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8_{2B3E8A94-DA70-44C7-B65F-621B1BE362A7}" xr6:coauthVersionLast="47" xr6:coauthVersionMax="47" xr10:uidLastSave="{00000000-0000-0000-0000-000000000000}"/>
  <bookViews>
    <workbookView xWindow="14760" yWindow="2340" windowWidth="23040" windowHeight="12360" xr2:uid="{ADA72213-68A0-4E32-BFDD-83F138392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G36" i="1"/>
  <c r="F32" i="1"/>
  <c r="E32" i="1"/>
  <c r="G32" i="1"/>
  <c r="F31" i="1"/>
  <c r="E31" i="1"/>
  <c r="G31" i="1"/>
  <c r="F26" i="1"/>
  <c r="E26" i="1"/>
  <c r="G26" i="1"/>
  <c r="F29" i="1"/>
  <c r="E29" i="1"/>
  <c r="G29" i="1"/>
  <c r="F25" i="1"/>
  <c r="E25" i="1"/>
  <c r="G25" i="1"/>
  <c r="F23" i="1"/>
  <c r="E23" i="1"/>
  <c r="G23" i="1"/>
  <c r="F17" i="1"/>
  <c r="E17" i="1"/>
  <c r="G17" i="1"/>
  <c r="F14" i="1"/>
  <c r="E14" i="1"/>
  <c r="G14" i="1"/>
  <c r="F10" i="1"/>
  <c r="F19" i="1" s="1"/>
  <c r="F20" i="1" s="1"/>
  <c r="E10" i="1"/>
  <c r="E19" i="1" s="1"/>
  <c r="E20" i="1" s="1"/>
  <c r="G10" i="1"/>
  <c r="G19" i="1" s="1"/>
  <c r="G20" i="1" s="1"/>
  <c r="F8" i="1"/>
  <c r="E8" i="1"/>
  <c r="G8" i="1"/>
  <c r="F5" i="1"/>
  <c r="G5" i="1"/>
  <c r="E11" i="1" l="1"/>
  <c r="F11" i="1"/>
  <c r="G11" i="1"/>
</calcChain>
</file>

<file path=xl/sharedStrings.xml><?xml version="1.0" encoding="utf-8"?>
<sst xmlns="http://schemas.openxmlformats.org/spreadsheetml/2006/main" count="45" uniqueCount="41">
  <si>
    <t>Apple Income Statement</t>
  </si>
  <si>
    <t>Revenue</t>
  </si>
  <si>
    <t>COGS</t>
  </si>
  <si>
    <t>Gross Income</t>
  </si>
  <si>
    <t>R&amp;D</t>
  </si>
  <si>
    <t>SG&amp;A</t>
  </si>
  <si>
    <t>Operating Income</t>
  </si>
  <si>
    <t>Other Income</t>
  </si>
  <si>
    <t>EBT</t>
  </si>
  <si>
    <t>Taxes</t>
  </si>
  <si>
    <t>Net Income</t>
  </si>
  <si>
    <t>% of sales</t>
  </si>
  <si>
    <t>% growth</t>
  </si>
  <si>
    <t>% gross margin</t>
  </si>
  <si>
    <t>% operating margin</t>
  </si>
  <si>
    <t>% tax rate</t>
  </si>
  <si>
    <t>% net margin</t>
  </si>
  <si>
    <t>A</t>
  </si>
  <si>
    <t>B</t>
  </si>
  <si>
    <t>E</t>
  </si>
  <si>
    <t>F</t>
  </si>
  <si>
    <t>A - B = C</t>
  </si>
  <si>
    <t>C - E - F = G</t>
  </si>
  <si>
    <t>H</t>
  </si>
  <si>
    <t>G + H = I</t>
  </si>
  <si>
    <t>J</t>
  </si>
  <si>
    <t>I - J = K</t>
  </si>
  <si>
    <t>EPS</t>
  </si>
  <si>
    <t>Shares Outstanding</t>
  </si>
  <si>
    <t>C / A</t>
  </si>
  <si>
    <t>B / A</t>
  </si>
  <si>
    <t>(A2 - A1) / A1</t>
  </si>
  <si>
    <t>E / A</t>
  </si>
  <si>
    <t>F / A</t>
  </si>
  <si>
    <t>G / A</t>
  </si>
  <si>
    <t>H / A</t>
  </si>
  <si>
    <t>I / A</t>
  </si>
  <si>
    <t>J / I</t>
  </si>
  <si>
    <t>K / A</t>
  </si>
  <si>
    <t>L</t>
  </si>
  <si>
    <t>K /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</si>
</sst>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%0;\(%0\)"/>
    <numFmt numFmtId="167" formatCode="0%;\(0%\)"/>
    <numFmt numFmtId="170" formatCode="0;\(0\)"/>
  </numFmts>
  <fonts count="5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theme="1"/>
      <name val="calibri"/>
      <family val="2"/>
    </font>
    <font>
      <sz val="12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0" applyFont="1"/>
    <xf numFmtId="3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0163-CD9D-48BD-B3AF-FE3D385758C3}">
  <dimension ref="A1:G40"/>
  <sheetViews>
    <sheetView showGridLines="0" tabSelected="1" topLeftCell="A7" workbookViewId="0">
      <selection activeCell="J30" sqref="J30"/>
    </sheetView>
  </sheetViews>
  <sheetFormatPr defaultRowHeight="15.6" x14ac:dyDescent="0.3"/>
  <cols>
    <col min="1" max="1" width="12.59765625" style="8" customWidth="1"/>
  </cols>
  <sheetData>
    <row r="1" spans="1:7" x14ac:dyDescent="0.3">
      <c r="A1"/>
    </row>
    <row r="2" spans="1:7" x14ac:dyDescent="0.3">
      <c r="A2"/>
      <c r="B2" s="1" t="s">
        <v>0</v>
      </c>
      <c r="C2" s="1"/>
      <c r="D2" s="1"/>
      <c r="E2" s="1">
        <v>2023</v>
      </c>
      <c r="F2" s="1">
        <v>2024</v>
      </c>
      <c r="G2" s="1">
        <v>2025</v>
      </c>
    </row>
    <row r="3" spans="1:7" s="3" customFormat="1" ht="3" customHeight="1" x14ac:dyDescent="0.3">
      <c r="B3" s="2"/>
      <c r="C3" s="2"/>
      <c r="D3" s="2"/>
      <c r="E3" s="2"/>
      <c r="F3" s="2"/>
      <c r="G3" s="2"/>
    </row>
    <row r="4" spans="1:7" x14ac:dyDescent="0.3">
      <c r="A4" s="9" t="s">
        <v>17</v>
      </c>
      <c r="B4" t="s">
        <v>1</v>
      </c>
      <c r="E4" s="5">
        <v>383285</v>
      </c>
      <c r="F4" s="5">
        <v>391035</v>
      </c>
      <c r="G4" s="5">
        <v>416161</v>
      </c>
    </row>
    <row r="5" spans="1:7" x14ac:dyDescent="0.3">
      <c r="A5" s="9" t="s">
        <v>31</v>
      </c>
      <c r="B5" s="4" t="s">
        <v>12</v>
      </c>
      <c r="E5" s="7"/>
      <c r="F5" s="7">
        <f t="shared" ref="E5:F5" si="0">(F4-E4)/E4</f>
        <v>2.0219940775141214E-2</v>
      </c>
      <c r="G5" s="7">
        <f>(G4-F4)/F4</f>
        <v>6.4255117828327393E-2</v>
      </c>
    </row>
    <row r="6" spans="1:7" x14ac:dyDescent="0.3">
      <c r="A6" s="9"/>
    </row>
    <row r="7" spans="1:7" x14ac:dyDescent="0.3">
      <c r="A7" s="9" t="s">
        <v>18</v>
      </c>
      <c r="B7" t="s">
        <v>2</v>
      </c>
      <c r="E7" s="5">
        <v>214137</v>
      </c>
      <c r="F7" s="5">
        <v>210352</v>
      </c>
      <c r="G7" s="5">
        <v>220960</v>
      </c>
    </row>
    <row r="8" spans="1:7" x14ac:dyDescent="0.3">
      <c r="A8" s="9" t="s">
        <v>30</v>
      </c>
      <c r="B8" s="4" t="s">
        <v>11</v>
      </c>
      <c r="E8" s="6">
        <f t="shared" ref="E8:F8" si="1">E7/E4</f>
        <v>0.55868870422792438</v>
      </c>
      <c r="F8" s="6">
        <f t="shared" si="1"/>
        <v>0.53793650184766073</v>
      </c>
      <c r="G8" s="6">
        <f>G7/G4</f>
        <v>0.53094835892839554</v>
      </c>
    </row>
    <row r="9" spans="1:7" x14ac:dyDescent="0.3">
      <c r="A9" s="9"/>
    </row>
    <row r="10" spans="1:7" x14ac:dyDescent="0.3">
      <c r="A10" s="9" t="s">
        <v>21</v>
      </c>
      <c r="B10" t="s">
        <v>3</v>
      </c>
      <c r="E10" s="5">
        <f t="shared" ref="E10:G10" si="2">E4-E7</f>
        <v>169148</v>
      </c>
      <c r="F10" s="5">
        <f t="shared" si="2"/>
        <v>180683</v>
      </c>
      <c r="G10" s="5">
        <f>G4-G7</f>
        <v>195201</v>
      </c>
    </row>
    <row r="11" spans="1:7" x14ac:dyDescent="0.3">
      <c r="A11" s="9" t="s">
        <v>29</v>
      </c>
      <c r="B11" s="4" t="s">
        <v>13</v>
      </c>
      <c r="E11" s="6">
        <f t="shared" ref="E11:F11" si="3">E10/E4</f>
        <v>0.44131129577207562</v>
      </c>
      <c r="F11" s="6">
        <f t="shared" si="3"/>
        <v>0.46206349815233932</v>
      </c>
      <c r="G11" s="6">
        <f>G10/G4</f>
        <v>0.46905164107160452</v>
      </c>
    </row>
    <row r="12" spans="1:7" x14ac:dyDescent="0.3">
      <c r="A12" s="9"/>
    </row>
    <row r="13" spans="1:7" x14ac:dyDescent="0.3">
      <c r="A13" s="9" t="s">
        <v>19</v>
      </c>
      <c r="B13" t="s">
        <v>4</v>
      </c>
      <c r="E13" s="5">
        <v>29915</v>
      </c>
      <c r="F13" s="5">
        <v>31370</v>
      </c>
      <c r="G13" s="5">
        <v>34550</v>
      </c>
    </row>
    <row r="14" spans="1:7" x14ac:dyDescent="0.3">
      <c r="A14" s="9" t="s">
        <v>32</v>
      </c>
      <c r="B14" s="4" t="s">
        <v>11</v>
      </c>
      <c r="E14" s="6">
        <f t="shared" ref="E14:F14" si="4">E13/E4</f>
        <v>7.8048971392045086E-2</v>
      </c>
      <c r="F14" s="6">
        <f t="shared" si="4"/>
        <v>8.0222997941360744E-2</v>
      </c>
      <c r="G14" s="6">
        <f>G13/G4</f>
        <v>8.3020753987038676E-2</v>
      </c>
    </row>
    <row r="15" spans="1:7" x14ac:dyDescent="0.3">
      <c r="A15" s="9"/>
    </row>
    <row r="16" spans="1:7" x14ac:dyDescent="0.3">
      <c r="A16" s="9" t="s">
        <v>20</v>
      </c>
      <c r="B16" t="s">
        <v>5</v>
      </c>
      <c r="E16" s="5">
        <v>24932</v>
      </c>
      <c r="F16" s="5">
        <v>26097</v>
      </c>
      <c r="G16" s="5">
        <v>27601</v>
      </c>
    </row>
    <row r="17" spans="1:7" x14ac:dyDescent="0.3">
      <c r="A17" s="9" t="s">
        <v>33</v>
      </c>
      <c r="B17" s="4" t="s">
        <v>11</v>
      </c>
      <c r="E17" s="6">
        <f t="shared" ref="E17:F17" si="5">E16/E4</f>
        <v>6.5048201729783317E-2</v>
      </c>
      <c r="F17" s="6">
        <f t="shared" si="5"/>
        <v>6.6738271510222866E-2</v>
      </c>
      <c r="G17" s="6">
        <f>G16/G4</f>
        <v>6.6322889458647019E-2</v>
      </c>
    </row>
    <row r="18" spans="1:7" x14ac:dyDescent="0.3">
      <c r="A18" s="9"/>
    </row>
    <row r="19" spans="1:7" x14ac:dyDescent="0.3">
      <c r="A19" s="9" t="s">
        <v>22</v>
      </c>
      <c r="B19" t="s">
        <v>6</v>
      </c>
      <c r="E19" s="5">
        <f t="shared" ref="E19:G19" si="6">E10-E13-E16</f>
        <v>114301</v>
      </c>
      <c r="F19" s="5">
        <f t="shared" si="6"/>
        <v>123216</v>
      </c>
      <c r="G19" s="5">
        <f>G10-G13-G16</f>
        <v>133050</v>
      </c>
    </row>
    <row r="20" spans="1:7" x14ac:dyDescent="0.3">
      <c r="A20" s="9" t="s">
        <v>34</v>
      </c>
      <c r="B20" s="4" t="s">
        <v>14</v>
      </c>
      <c r="E20" s="6">
        <f t="shared" ref="E20:F20" si="7">E19/E4</f>
        <v>0.29821412265024722</v>
      </c>
      <c r="F20" s="6">
        <f t="shared" si="7"/>
        <v>0.31510222870075566</v>
      </c>
      <c r="G20" s="6">
        <f>G19/G4</f>
        <v>0.31970799762591884</v>
      </c>
    </row>
    <row r="21" spans="1:7" x14ac:dyDescent="0.3">
      <c r="A21" s="9"/>
    </row>
    <row r="22" spans="1:7" x14ac:dyDescent="0.3">
      <c r="A22" s="9" t="s">
        <v>23</v>
      </c>
      <c r="B22" t="s">
        <v>7</v>
      </c>
      <c r="E22" s="10">
        <v>-565</v>
      </c>
      <c r="F22" s="10">
        <v>269</v>
      </c>
      <c r="G22" s="10">
        <v>-321</v>
      </c>
    </row>
    <row r="23" spans="1:7" x14ac:dyDescent="0.3">
      <c r="A23" s="9" t="s">
        <v>35</v>
      </c>
      <c r="B23" s="4" t="s">
        <v>11</v>
      </c>
      <c r="E23" s="6">
        <f t="shared" ref="E23:F23" si="8">E22/E4</f>
        <v>-1.4740989081231982E-3</v>
      </c>
      <c r="F23" s="6">
        <f t="shared" si="8"/>
        <v>6.8791796130781137E-4</v>
      </c>
      <c r="G23" s="6">
        <f>G22/G4</f>
        <v>-7.7133609348305101E-4</v>
      </c>
    </row>
    <row r="24" spans="1:7" x14ac:dyDescent="0.3">
      <c r="A24" s="9"/>
    </row>
    <row r="25" spans="1:7" x14ac:dyDescent="0.3">
      <c r="A25" s="9" t="s">
        <v>24</v>
      </c>
      <c r="B25" t="s">
        <v>8</v>
      </c>
      <c r="E25" s="5">
        <f t="shared" ref="E25:G25" si="9">E19+E22</f>
        <v>113736</v>
      </c>
      <c r="F25" s="5">
        <f t="shared" si="9"/>
        <v>123485</v>
      </c>
      <c r="G25" s="5">
        <f>G19+G22</f>
        <v>132729</v>
      </c>
    </row>
    <row r="26" spans="1:7" x14ac:dyDescent="0.3">
      <c r="A26" s="9" t="s">
        <v>36</v>
      </c>
      <c r="B26" s="4" t="s">
        <v>11</v>
      </c>
      <c r="E26" s="6">
        <f t="shared" ref="E26:F26" si="10">E25/E4</f>
        <v>0.29674002374212399</v>
      </c>
      <c r="F26" s="6">
        <f t="shared" si="10"/>
        <v>0.31579014666206351</v>
      </c>
      <c r="G26" s="6">
        <f>G25/G4</f>
        <v>0.31893666153243577</v>
      </c>
    </row>
    <row r="27" spans="1:7" x14ac:dyDescent="0.3">
      <c r="A27" s="9"/>
    </row>
    <row r="28" spans="1:7" x14ac:dyDescent="0.3">
      <c r="A28" s="9" t="s">
        <v>25</v>
      </c>
      <c r="B28" t="s">
        <v>9</v>
      </c>
      <c r="E28" s="5">
        <v>16741</v>
      </c>
      <c r="F28" s="5">
        <v>29749</v>
      </c>
      <c r="G28" s="5">
        <v>20719</v>
      </c>
    </row>
    <row r="29" spans="1:7" x14ac:dyDescent="0.3">
      <c r="A29" s="9" t="s">
        <v>37</v>
      </c>
      <c r="B29" s="4" t="s">
        <v>15</v>
      </c>
      <c r="E29" s="6">
        <f t="shared" ref="E29:F29" si="11">E28/E25</f>
        <v>0.14719174228036858</v>
      </c>
      <c r="F29" s="6">
        <f t="shared" si="11"/>
        <v>0.24091185164189982</v>
      </c>
      <c r="G29" s="6">
        <f>G28/G25</f>
        <v>0.15610002335586043</v>
      </c>
    </row>
    <row r="30" spans="1:7" x14ac:dyDescent="0.3">
      <c r="A30" s="9"/>
    </row>
    <row r="31" spans="1:7" x14ac:dyDescent="0.3">
      <c r="A31" s="9" t="s">
        <v>26</v>
      </c>
      <c r="B31" t="s">
        <v>10</v>
      </c>
      <c r="E31" s="5">
        <f t="shared" ref="E31:G31" si="12">E25-E28</f>
        <v>96995</v>
      </c>
      <c r="F31" s="5">
        <f t="shared" si="12"/>
        <v>93736</v>
      </c>
      <c r="G31" s="5">
        <f>G25-G28</f>
        <v>112010</v>
      </c>
    </row>
    <row r="32" spans="1:7" x14ac:dyDescent="0.3">
      <c r="A32" s="9" t="s">
        <v>38</v>
      </c>
      <c r="B32" s="4" t="s">
        <v>16</v>
      </c>
      <c r="E32" s="6">
        <f t="shared" ref="E32:F32" si="13">E31/E4</f>
        <v>0.25306234264320282</v>
      </c>
      <c r="F32" s="6">
        <f t="shared" si="13"/>
        <v>0.23971255769943867</v>
      </c>
      <c r="G32" s="6">
        <f>G31/G4</f>
        <v>0.26915064121818238</v>
      </c>
    </row>
    <row r="33" spans="1:7" x14ac:dyDescent="0.3">
      <c r="A33" s="9"/>
    </row>
    <row r="34" spans="1:7" x14ac:dyDescent="0.3">
      <c r="A34" s="9" t="s">
        <v>39</v>
      </c>
      <c r="B34" t="s">
        <v>28</v>
      </c>
      <c r="E34" s="5">
        <v>15744</v>
      </c>
      <c r="F34" s="5">
        <v>15343</v>
      </c>
      <c r="G34" s="5">
        <v>14948</v>
      </c>
    </row>
    <row r="35" spans="1:7" x14ac:dyDescent="0.3">
      <c r="A35" s="9"/>
      <c r="E35" s="6"/>
      <c r="F35" s="6"/>
      <c r="G35" s="6"/>
    </row>
    <row r="36" spans="1:7" x14ac:dyDescent="0.3">
      <c r="A36" s="9" t="s">
        <v>40</v>
      </c>
      <c r="B36" t="s">
        <v>27</v>
      </c>
      <c r="E36" s="11">
        <f t="shared" ref="E36:G36" si="14">E31/E34</f>
        <v>6.1607596544715451</v>
      </c>
      <c r="F36" s="11">
        <f t="shared" si="14"/>
        <v>6.1093658345825457</v>
      </c>
      <c r="G36" s="11">
        <f>G31/G34</f>
        <v>7.4933101418249937</v>
      </c>
    </row>
    <row r="37" spans="1:7" x14ac:dyDescent="0.3">
      <c r="A37" s="9"/>
    </row>
    <row r="38" spans="1:7" x14ac:dyDescent="0.3">
      <c r="A38" s="9"/>
    </row>
    <row r="39" spans="1:7" x14ac:dyDescent="0.3">
      <c r="A39" s="9"/>
    </row>
    <row r="40" spans="1:7" x14ac:dyDescent="0.3">
      <c r="A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2026-04-06T05:55:21Z</dcterms:created>
  <dcterms:modified xsi:type="dcterms:W3CDTF">2026-04-06T06:13:41Z</dcterms:modified>
</cp:coreProperties>
</file>