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C1C1606E-B397-453C-8CF4-42C9B5215FB6}" xr6:coauthVersionLast="47" xr6:coauthVersionMax="47" xr10:uidLastSave="{00000000-0000-0000-0000-000000000000}"/>
  <bookViews>
    <workbookView xWindow="29880" yWindow="1008" windowWidth="25824" windowHeight="15672" xr2:uid="{CBF5B39C-E737-4C01-9097-FA06F3398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8" i="1" s="1"/>
  <c r="L17" i="1"/>
  <c r="L14" i="1"/>
  <c r="L12" i="1"/>
  <c r="K12" i="1"/>
  <c r="J12" i="1"/>
  <c r="H12" i="1"/>
  <c r="I12" i="1"/>
  <c r="I14" i="1"/>
  <c r="F15" i="1"/>
  <c r="F14" i="1"/>
  <c r="I11" i="1"/>
  <c r="J11" i="1" s="1"/>
  <c r="K11" i="1" s="1"/>
  <c r="L11" i="1" s="1"/>
  <c r="H11" i="1"/>
  <c r="AG12" i="1"/>
  <c r="AF12" i="1"/>
  <c r="AE12" i="1"/>
  <c r="AD12" i="1"/>
  <c r="AC12" i="1"/>
  <c r="AG14" i="1"/>
  <c r="AF14" i="1"/>
  <c r="AE14" i="1"/>
  <c r="AD14" i="1"/>
  <c r="AC14" i="1"/>
  <c r="AG13" i="1"/>
  <c r="AF13" i="1"/>
  <c r="AE13" i="1"/>
  <c r="AD13" i="1"/>
  <c r="AC13" i="1"/>
  <c r="AD11" i="1"/>
  <c r="AE11" i="1" s="1"/>
  <c r="AF11" i="1" s="1"/>
  <c r="AG11" i="1" s="1"/>
  <c r="AC11" i="1"/>
  <c r="AB14" i="1"/>
  <c r="AA14" i="1"/>
  <c r="Z14" i="1"/>
  <c r="Y14" i="1"/>
  <c r="X14" i="1"/>
  <c r="W14" i="1"/>
  <c r="V14" i="1"/>
  <c r="U14" i="1"/>
  <c r="T14" i="1"/>
  <c r="S14" i="1"/>
  <c r="R14" i="1"/>
  <c r="AB12" i="1"/>
  <c r="AA12" i="1"/>
  <c r="Z12" i="1"/>
  <c r="Y12" i="1"/>
  <c r="X12" i="1"/>
  <c r="W12" i="1"/>
  <c r="V12" i="1"/>
  <c r="U12" i="1"/>
  <c r="T12" i="1"/>
  <c r="S12" i="1"/>
  <c r="I8" i="1"/>
  <c r="J8" i="1"/>
  <c r="K8" i="1"/>
  <c r="L8" i="1"/>
  <c r="H8" i="1"/>
  <c r="H7" i="1"/>
  <c r="I7" i="1" s="1"/>
  <c r="J7" i="1" s="1"/>
  <c r="K7" i="1" s="1"/>
  <c r="L7" i="1" s="1"/>
  <c r="C17" i="1" l="1"/>
  <c r="D2" i="1" s="1"/>
  <c r="G2" i="1" s="1"/>
  <c r="I15" i="1"/>
  <c r="C18" i="1" l="1"/>
  <c r="D3" i="1" s="1"/>
  <c r="G3" i="1" s="1"/>
</calcChain>
</file>

<file path=xl/sharedStrings.xml><?xml version="1.0" encoding="utf-8"?>
<sst xmlns="http://schemas.openxmlformats.org/spreadsheetml/2006/main" count="51" uniqueCount="29">
  <si>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</si>
  <si>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</si>
  <si>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</si>
  <si>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</si>
  <si>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</si>
  <si>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</si>
  <si>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</si>
  <si>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</si>
  <si>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</si>
  <si>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</si>
  <si>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AMZN</t>
  </si>
  <si>
    <t>Revenue</t>
  </si>
  <si>
    <t>FCF</t>
  </si>
  <si>
    <t>GOOGL</t>
  </si>
  <si>
    <t>% growth</t>
  </si>
  <si>
    <t>% of sales</t>
  </si>
  <si>
    <t>Discount Rate</t>
  </si>
  <si>
    <t>AMZN S/O</t>
  </si>
  <si>
    <t>GOOGL S/O</t>
  </si>
  <si>
    <t>2030 FCF</t>
  </si>
  <si>
    <t>2035 DCF</t>
  </si>
  <si>
    <t>Terminal</t>
  </si>
  <si>
    <t>AMZN TV</t>
  </si>
  <si>
    <t>GOOGL TV</t>
  </si>
  <si>
    <t>PV</t>
  </si>
  <si>
    <t>AMZN 2030 Share Price</t>
  </si>
  <si>
    <t>GOOGL 2030 Share Price</t>
  </si>
  <si>
    <t>Share Price</t>
  </si>
  <si>
    <t>CAGR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</si>
</sst>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5" x14ac:knownFonts="1">
    <font>
      <sz val="10"/>
      <color theme="1"/>
      <name val="Arial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i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/>
    <xf numFmtId="37" fontId="2" fillId="0" borderId="0" xfId="0" applyNumberFormat="1" applyFont="1"/>
    <xf numFmtId="0" fontId="1" fillId="3" borderId="0" xfId="0" applyFont="1" applyFill="1"/>
    <xf numFmtId="0" fontId="3" fillId="0" borderId="0" xfId="0" applyFont="1"/>
    <xf numFmtId="10" fontId="4" fillId="0" borderId="0" xfId="0" applyNumberFormat="1" applyFont="1"/>
    <xf numFmtId="10" fontId="3" fillId="0" borderId="0" xfId="0" applyNumberFormat="1" applyFont="1"/>
    <xf numFmtId="0" fontId="1" fillId="3" borderId="4" xfId="0" applyFont="1" applyFill="1" applyBorder="1"/>
    <xf numFmtId="0" fontId="1" fillId="3" borderId="5" xfId="0" applyFont="1" applyFill="1" applyBorder="1"/>
    <xf numFmtId="0" fontId="1" fillId="3" borderId="0" xfId="0" applyFont="1" applyFill="1" applyAlignment="1">
      <alignment horizontal="right"/>
    </xf>
    <xf numFmtId="0" fontId="1" fillId="2" borderId="2" xfId="0" applyFont="1" applyFill="1" applyBorder="1"/>
    <xf numFmtId="10" fontId="1" fillId="2" borderId="3" xfId="0" applyNumberFormat="1" applyFont="1" applyFill="1" applyBorder="1"/>
    <xf numFmtId="10" fontId="1" fillId="3" borderId="6" xfId="0" applyNumberFormat="1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0" fontId="1" fillId="4" borderId="0" xfId="0" applyNumberFormat="1" applyFont="1" applyFill="1"/>
    <xf numFmtId="5" fontId="1" fillId="2" borderId="3" xfId="0" applyNumberFormat="1" applyFont="1" applyFill="1" applyBorder="1"/>
    <xf numFmtId="5" fontId="1" fillId="3" borderId="6" xfId="0" applyNumberFormat="1" applyFont="1" applyFill="1" applyBorder="1"/>
    <xf numFmtId="0" fontId="1" fillId="3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4A853"/>
      <color rgb="FFFF9900"/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4F81BD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52B8B-1446-4C22-8472-7878E728F0F4}">
  <dimension ref="B2:AG28"/>
  <sheetViews>
    <sheetView showGridLines="0" tabSelected="1" workbookViewId="0">
      <selection activeCell="N24" sqref="N24"/>
    </sheetView>
  </sheetViews>
  <sheetFormatPr defaultColWidth="12.33203125" defaultRowHeight="16.5" customHeight="1" x14ac:dyDescent="0.25"/>
  <sheetData>
    <row r="2" spans="2:33" ht="16.5" customHeight="1" x14ac:dyDescent="0.3">
      <c r="B2" s="16" t="s">
        <v>25</v>
      </c>
      <c r="C2" s="17"/>
      <c r="D2" s="19">
        <f>C17/C14</f>
        <v>371.3643462168061</v>
      </c>
      <c r="F2" s="16" t="s">
        <v>28</v>
      </c>
      <c r="G2" s="13">
        <f>(D2/F17)^(1/5)-1</f>
        <v>0.10101224701004763</v>
      </c>
      <c r="I2" s="15" t="s">
        <v>16</v>
      </c>
      <c r="J2" s="12"/>
      <c r="K2" s="13">
        <v>0.1</v>
      </c>
      <c r="L2" s="18"/>
    </row>
    <row r="3" spans="2:33" ht="16.5" customHeight="1" x14ac:dyDescent="0.3">
      <c r="B3" s="9" t="s">
        <v>26</v>
      </c>
      <c r="C3" s="10"/>
      <c r="D3" s="20">
        <f>C18/C15+8+5</f>
        <v>511.64289069194894</v>
      </c>
      <c r="F3" s="21" t="s">
        <v>28</v>
      </c>
      <c r="G3" s="14">
        <f>(D3/F18)^(1/5)-1</f>
        <v>9.7537465262437895E-2</v>
      </c>
      <c r="I3" s="9" t="s">
        <v>16</v>
      </c>
      <c r="J3" s="10"/>
      <c r="K3" s="14">
        <v>0.09</v>
      </c>
      <c r="L3" s="18"/>
    </row>
    <row r="4" spans="2:33" ht="16.5" customHeight="1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2:33" ht="16.5" customHeight="1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2:33" ht="16.5" customHeight="1" x14ac:dyDescent="0.3">
      <c r="B6" s="1" t="s">
        <v>10</v>
      </c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2" t="s">
        <v>7</v>
      </c>
      <c r="K6" s="2" t="s">
        <v>8</v>
      </c>
      <c r="L6" s="2" t="s">
        <v>9</v>
      </c>
    </row>
    <row r="7" spans="2:33" ht="16.5" customHeight="1" x14ac:dyDescent="0.3">
      <c r="B7" s="3" t="s">
        <v>11</v>
      </c>
      <c r="C7" s="4">
        <v>795024</v>
      </c>
      <c r="D7" s="4">
        <v>883240</v>
      </c>
      <c r="E7" s="4">
        <v>976732</v>
      </c>
      <c r="F7" s="4">
        <v>1087420</v>
      </c>
      <c r="G7" s="4">
        <v>1211330</v>
      </c>
      <c r="H7" s="4">
        <f>G7*1.1</f>
        <v>1332463</v>
      </c>
      <c r="I7" s="4">
        <f>H7*1.1</f>
        <v>1465709.3</v>
      </c>
      <c r="J7" s="4">
        <f t="shared" ref="J7" si="0">I7*1.09</f>
        <v>1597623.1370000001</v>
      </c>
      <c r="K7" s="4">
        <f>J7*1.09</f>
        <v>1741409.2193300002</v>
      </c>
      <c r="L7" s="4">
        <f>K7*1.08</f>
        <v>1880721.9568764004</v>
      </c>
    </row>
    <row r="8" spans="2:33" ht="16.5" customHeight="1" x14ac:dyDescent="0.3">
      <c r="B8" s="3" t="s">
        <v>12</v>
      </c>
      <c r="C8" s="4">
        <v>46798</v>
      </c>
      <c r="D8" s="4">
        <v>67351</v>
      </c>
      <c r="E8" s="4">
        <v>113258</v>
      </c>
      <c r="F8" s="4">
        <v>124534</v>
      </c>
      <c r="G8" s="4">
        <v>158038</v>
      </c>
      <c r="H8" s="4">
        <f>H7*0.1</f>
        <v>133246.30000000002</v>
      </c>
      <c r="I8" s="4">
        <f t="shared" ref="I8:L8" si="1">I7*0.1</f>
        <v>146570.93000000002</v>
      </c>
      <c r="J8" s="4">
        <f t="shared" si="1"/>
        <v>159762.31370000003</v>
      </c>
      <c r="K8" s="4">
        <f t="shared" si="1"/>
        <v>174140.92193300003</v>
      </c>
      <c r="L8" s="4">
        <f t="shared" si="1"/>
        <v>188072.19568764005</v>
      </c>
    </row>
    <row r="9" spans="2:33" ht="16.5" customHeight="1" x14ac:dyDescent="0.3">
      <c r="B9" s="3"/>
    </row>
    <row r="10" spans="2:33" ht="16.5" customHeight="1" x14ac:dyDescent="0.3">
      <c r="B10" s="5" t="s">
        <v>13</v>
      </c>
      <c r="C10" s="11" t="s">
        <v>0</v>
      </c>
      <c r="D10" s="11" t="s">
        <v>1</v>
      </c>
      <c r="E10" s="11" t="s">
        <v>2</v>
      </c>
      <c r="F10" s="11" t="s">
        <v>3</v>
      </c>
      <c r="G10" s="11" t="s">
        <v>4</v>
      </c>
      <c r="H10" s="11" t="s">
        <v>5</v>
      </c>
      <c r="I10" s="11" t="s">
        <v>6</v>
      </c>
      <c r="J10" s="11" t="s">
        <v>7</v>
      </c>
      <c r="K10" s="11" t="s">
        <v>8</v>
      </c>
      <c r="L10" s="11" t="s">
        <v>9</v>
      </c>
      <c r="Q10" s="5" t="s">
        <v>13</v>
      </c>
      <c r="R10" s="5">
        <v>2020</v>
      </c>
      <c r="S10" s="5">
        <v>2021</v>
      </c>
      <c r="T10" s="5">
        <v>2022</v>
      </c>
      <c r="U10" s="5">
        <v>2023</v>
      </c>
      <c r="V10" s="5">
        <v>2024</v>
      </c>
      <c r="W10" s="5">
        <v>2025</v>
      </c>
      <c r="X10" s="5">
        <v>2026</v>
      </c>
      <c r="Y10" s="5">
        <v>2027</v>
      </c>
      <c r="Z10" s="5">
        <v>2028</v>
      </c>
      <c r="AA10" s="5">
        <v>2029</v>
      </c>
      <c r="AB10" s="5">
        <v>2030</v>
      </c>
      <c r="AC10" s="5">
        <v>2031</v>
      </c>
      <c r="AD10" s="5">
        <v>2032</v>
      </c>
      <c r="AE10" s="5">
        <v>2033</v>
      </c>
      <c r="AF10" s="5">
        <v>2034</v>
      </c>
      <c r="AG10" s="5">
        <v>2035</v>
      </c>
    </row>
    <row r="11" spans="2:33" ht="16.5" customHeight="1" x14ac:dyDescent="0.3">
      <c r="B11" s="3" t="s">
        <v>11</v>
      </c>
      <c r="C11" s="4">
        <v>455019</v>
      </c>
      <c r="D11" s="4">
        <v>512537</v>
      </c>
      <c r="E11" s="4">
        <v>571652</v>
      </c>
      <c r="F11" s="4">
        <v>632117</v>
      </c>
      <c r="G11" s="4">
        <v>710339</v>
      </c>
      <c r="H11" s="4">
        <f>G11*1.08</f>
        <v>767166.12</v>
      </c>
      <c r="I11" s="4">
        <f t="shared" ref="I11:L11" si="2">H11*1.08</f>
        <v>828539.40960000001</v>
      </c>
      <c r="J11" s="4">
        <f t="shared" si="2"/>
        <v>894822.56236800004</v>
      </c>
      <c r="K11" s="4">
        <f t="shared" si="2"/>
        <v>966408.36735744006</v>
      </c>
      <c r="L11" s="4">
        <f t="shared" si="2"/>
        <v>1043721.0367460353</v>
      </c>
      <c r="Q11" s="3" t="s">
        <v>11</v>
      </c>
      <c r="R11" s="4">
        <v>182527</v>
      </c>
      <c r="S11" s="4">
        <v>257637</v>
      </c>
      <c r="T11" s="4">
        <v>282836</v>
      </c>
      <c r="U11" s="4">
        <v>307394</v>
      </c>
      <c r="V11" s="4">
        <v>350018</v>
      </c>
      <c r="W11" s="4">
        <v>399972</v>
      </c>
      <c r="X11" s="4">
        <v>455019</v>
      </c>
      <c r="Y11" s="4">
        <v>512537</v>
      </c>
      <c r="Z11" s="4">
        <v>571652</v>
      </c>
      <c r="AA11" s="4">
        <v>632117</v>
      </c>
      <c r="AB11" s="4">
        <v>710339</v>
      </c>
      <c r="AC11" s="4">
        <f>AB11*1.08</f>
        <v>767166.12</v>
      </c>
      <c r="AD11" s="4">
        <f t="shared" ref="AD11:AG11" si="3">AC11*1.08</f>
        <v>828539.40960000001</v>
      </c>
      <c r="AE11" s="4">
        <f t="shared" si="3"/>
        <v>894822.56236800004</v>
      </c>
      <c r="AF11" s="4">
        <f t="shared" si="3"/>
        <v>966408.36735744006</v>
      </c>
      <c r="AG11" s="4">
        <f t="shared" si="3"/>
        <v>1043721.0367460353</v>
      </c>
    </row>
    <row r="12" spans="2:33" ht="16.5" customHeight="1" x14ac:dyDescent="0.3">
      <c r="B12" s="3" t="s">
        <v>12</v>
      </c>
      <c r="C12" s="4">
        <v>69027</v>
      </c>
      <c r="D12" s="4">
        <v>94008</v>
      </c>
      <c r="E12" s="4">
        <v>131875</v>
      </c>
      <c r="F12" s="4">
        <v>175206</v>
      </c>
      <c r="G12" s="4">
        <v>202857</v>
      </c>
      <c r="H12" s="4">
        <f>H11*0.28</f>
        <v>214806.51360000001</v>
      </c>
      <c r="I12" s="4">
        <f>I11*0.28</f>
        <v>231991.03468800001</v>
      </c>
      <c r="J12" s="4">
        <f>J11*0.28</f>
        <v>250550.31746304003</v>
      </c>
      <c r="K12" s="4">
        <f>K11*0.28</f>
        <v>270594.34286008327</v>
      </c>
      <c r="L12" s="4">
        <f>L11*0.28</f>
        <v>292241.89028888993</v>
      </c>
      <c r="Q12" s="6" t="s">
        <v>14</v>
      </c>
      <c r="R12" s="7"/>
      <c r="S12" s="8">
        <f>S11/R11-1</f>
        <v>0.41150076427049154</v>
      </c>
      <c r="T12" s="8">
        <f t="shared" ref="T12:AB12" si="4">T11/S11-1</f>
        <v>9.7808156437157789E-2</v>
      </c>
      <c r="U12" s="8">
        <f t="shared" si="4"/>
        <v>8.6827702272695095E-2</v>
      </c>
      <c r="V12" s="8">
        <f t="shared" si="4"/>
        <v>0.13866243322901561</v>
      </c>
      <c r="W12" s="8">
        <f t="shared" si="4"/>
        <v>0.14271837448359803</v>
      </c>
      <c r="X12" s="8">
        <f t="shared" si="4"/>
        <v>0.13762713389937287</v>
      </c>
      <c r="Y12" s="8">
        <f t="shared" si="4"/>
        <v>0.12640790824119441</v>
      </c>
      <c r="Z12" s="8">
        <f t="shared" si="4"/>
        <v>0.11533801462138338</v>
      </c>
      <c r="AA12" s="8">
        <f t="shared" si="4"/>
        <v>0.10577239299433927</v>
      </c>
      <c r="AB12" s="8">
        <f t="shared" si="4"/>
        <v>0.12374607865316078</v>
      </c>
      <c r="AC12" s="8">
        <f t="shared" ref="AC12" si="5">AC11/AB11-1</f>
        <v>8.0000000000000071E-2</v>
      </c>
      <c r="AD12" s="8">
        <f t="shared" ref="AD12" si="6">AD11/AC11-1</f>
        <v>8.0000000000000071E-2</v>
      </c>
      <c r="AE12" s="8">
        <f t="shared" ref="AE12" si="7">AE11/AD11-1</f>
        <v>8.0000000000000071E-2</v>
      </c>
      <c r="AF12" s="8">
        <f t="shared" ref="AF12" si="8">AF11/AE11-1</f>
        <v>8.0000000000000071E-2</v>
      </c>
      <c r="AG12" s="8">
        <f t="shared" ref="AG12" si="9">AG11/AF11-1</f>
        <v>8.0000000000000071E-2</v>
      </c>
    </row>
    <row r="13" spans="2:33" ht="16.5" customHeight="1" x14ac:dyDescent="0.3">
      <c r="B13" s="3"/>
      <c r="Q13" s="3" t="s">
        <v>12</v>
      </c>
      <c r="R13" s="4">
        <v>42843</v>
      </c>
      <c r="S13" s="4">
        <v>67012</v>
      </c>
      <c r="T13" s="4">
        <v>60010</v>
      </c>
      <c r="U13" s="4">
        <v>69495</v>
      </c>
      <c r="V13" s="4">
        <v>72764</v>
      </c>
      <c r="W13" s="4">
        <v>65955</v>
      </c>
      <c r="X13" s="4">
        <v>69027</v>
      </c>
      <c r="Y13" s="4">
        <v>94008</v>
      </c>
      <c r="Z13" s="4">
        <v>131875</v>
      </c>
      <c r="AA13" s="4">
        <v>175206</v>
      </c>
      <c r="AB13" s="4">
        <v>202857</v>
      </c>
      <c r="AC13" s="4">
        <f>AC11*0.28</f>
        <v>214806.51360000001</v>
      </c>
      <c r="AD13" s="4">
        <f t="shared" ref="AD13:AG13" si="10">AD11*0.28</f>
        <v>231991.03468800001</v>
      </c>
      <c r="AE13" s="4">
        <f t="shared" si="10"/>
        <v>250550.31746304003</v>
      </c>
      <c r="AF13" s="4">
        <f t="shared" si="10"/>
        <v>270594.34286008327</v>
      </c>
      <c r="AG13" s="4">
        <f t="shared" si="10"/>
        <v>292241.89028888993</v>
      </c>
    </row>
    <row r="14" spans="2:33" ht="16.5" customHeight="1" x14ac:dyDescent="0.3">
      <c r="B14" s="3" t="s">
        <v>17</v>
      </c>
      <c r="C14" s="4">
        <v>10845</v>
      </c>
      <c r="E14" s="3" t="s">
        <v>19</v>
      </c>
      <c r="F14" s="4">
        <f>SUM(C8:G8)</f>
        <v>509979</v>
      </c>
      <c r="H14" s="3" t="s">
        <v>20</v>
      </c>
      <c r="I14" s="4">
        <f>NPV(K2,H8:L8)</f>
        <v>598016.42029601801</v>
      </c>
      <c r="K14" s="3" t="s">
        <v>21</v>
      </c>
      <c r="L14" s="4">
        <f>L8*25</f>
        <v>4701804.8921910012</v>
      </c>
      <c r="Q14" s="6" t="s">
        <v>15</v>
      </c>
      <c r="R14" s="8">
        <f>R13/R11</f>
        <v>0.23472143847211646</v>
      </c>
      <c r="S14" s="8">
        <f t="shared" ref="S14:AB14" si="11">S13/S11</f>
        <v>0.26010239212535469</v>
      </c>
      <c r="T14" s="8">
        <f t="shared" si="11"/>
        <v>0.21217242500954617</v>
      </c>
      <c r="U14" s="8">
        <f t="shared" si="11"/>
        <v>0.22607793255561268</v>
      </c>
      <c r="V14" s="8">
        <f t="shared" si="11"/>
        <v>0.20788645155392008</v>
      </c>
      <c r="W14" s="8">
        <f t="shared" si="11"/>
        <v>0.16489904293300531</v>
      </c>
      <c r="X14" s="8">
        <f t="shared" si="11"/>
        <v>0.15170135752572969</v>
      </c>
      <c r="Y14" s="8">
        <f t="shared" si="11"/>
        <v>0.18341700208960524</v>
      </c>
      <c r="Z14" s="8">
        <f t="shared" si="11"/>
        <v>0.2306910497995284</v>
      </c>
      <c r="AA14" s="8">
        <f t="shared" si="11"/>
        <v>0.27717337138536063</v>
      </c>
      <c r="AB14" s="8">
        <f t="shared" si="11"/>
        <v>0.28557773119595009</v>
      </c>
      <c r="AC14" s="8">
        <f t="shared" ref="AC14" si="12">AC13/AC11</f>
        <v>0.28000000000000003</v>
      </c>
      <c r="AD14" s="8">
        <f t="shared" ref="AD14" si="13">AD13/AD11</f>
        <v>0.28000000000000003</v>
      </c>
      <c r="AE14" s="8">
        <f t="shared" ref="AE14" si="14">AE13/AE11</f>
        <v>0.28000000000000003</v>
      </c>
      <c r="AF14" s="8">
        <f t="shared" ref="AF14" si="15">AF13/AF11</f>
        <v>0.28000000000000008</v>
      </c>
      <c r="AG14" s="8">
        <f t="shared" ref="AG14" si="16">AG13/AG11</f>
        <v>0.28000000000000003</v>
      </c>
    </row>
    <row r="15" spans="2:33" ht="16.5" customHeight="1" x14ac:dyDescent="0.3">
      <c r="B15" s="3" t="s">
        <v>18</v>
      </c>
      <c r="C15" s="4">
        <v>12203</v>
      </c>
      <c r="E15" s="3" t="s">
        <v>19</v>
      </c>
      <c r="F15" s="4">
        <f>SUM(C12:G12)</f>
        <v>672973</v>
      </c>
      <c r="H15" s="3" t="s">
        <v>20</v>
      </c>
      <c r="I15" s="4">
        <f>NPV(K3,H12:L12)</f>
        <v>967436.25589002541</v>
      </c>
      <c r="K15" s="3" t="s">
        <v>21</v>
      </c>
      <c r="L15" s="4">
        <f>L12*23.4</f>
        <v>6838460.2327600243</v>
      </c>
      <c r="Q15" s="3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2:33" ht="16.5" customHeight="1" x14ac:dyDescent="0.3">
      <c r="B16" s="3"/>
      <c r="Q16" s="3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2:33" ht="16.5" customHeight="1" x14ac:dyDescent="0.3">
      <c r="B17" s="3" t="s">
        <v>22</v>
      </c>
      <c r="C17" s="4">
        <f>F14+I14+L17</f>
        <v>4027446.3347212621</v>
      </c>
      <c r="E17" s="3" t="s">
        <v>27</v>
      </c>
      <c r="F17" s="4">
        <v>229.53</v>
      </c>
      <c r="K17" s="3" t="s">
        <v>24</v>
      </c>
      <c r="L17" s="4">
        <f>L14/(1+K2)^5</f>
        <v>2919450.9144252441</v>
      </c>
      <c r="Q17" s="3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2:33" ht="16.5" customHeight="1" x14ac:dyDescent="0.3">
      <c r="B18" s="3" t="s">
        <v>23</v>
      </c>
      <c r="C18" s="4">
        <f>F15+I15+L18</f>
        <v>6084939.1951138526</v>
      </c>
      <c r="E18" s="3" t="s">
        <v>27</v>
      </c>
      <c r="F18" s="4">
        <v>321.27</v>
      </c>
      <c r="K18" s="3" t="s">
        <v>24</v>
      </c>
      <c r="L18" s="4">
        <f>L15/(1+K3)^5</f>
        <v>4444529.9392238278</v>
      </c>
      <c r="Q18" s="3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2:33" ht="16.5" customHeight="1" x14ac:dyDescent="0.3">
      <c r="B19" s="3"/>
      <c r="Q19" s="3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ht="16.5" customHeight="1" x14ac:dyDescent="0.3">
      <c r="B20" s="3"/>
      <c r="Q20" s="3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2:33" ht="16.5" customHeight="1" x14ac:dyDescent="0.3">
      <c r="B21" s="3"/>
      <c r="G21" s="4"/>
      <c r="Q21" s="3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2:33" ht="16.5" customHeight="1" x14ac:dyDescent="0.3">
      <c r="B22" s="3"/>
      <c r="G22" s="4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2:33" ht="16.5" customHeight="1" x14ac:dyDescent="0.3">
      <c r="B23" s="3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2:33" ht="16.5" customHeight="1" x14ac:dyDescent="0.3">
      <c r="B24" s="3"/>
      <c r="Q24" s="3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2:33" ht="16.5" customHeight="1" x14ac:dyDescent="0.3">
      <c r="B25" s="3"/>
      <c r="Q25" s="3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2:33" ht="16.5" customHeight="1" x14ac:dyDescent="0.3">
      <c r="B26" s="3"/>
      <c r="Q26" s="3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2:33" ht="16.5" customHeight="1" x14ac:dyDescent="0.3">
      <c r="B27" s="3"/>
      <c r="Q27" s="3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2:33" ht="16.5" customHeight="1" x14ac:dyDescent="0.3">
      <c r="B28" s="3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2025-12-07T02:51:53Z</dcterms:created>
  <dcterms:modified xsi:type="dcterms:W3CDTF">2025-12-07T04:30:19Z</dcterms:modified>
</cp:coreProperties>
</file>