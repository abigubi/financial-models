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ED1A02AE-024A-4337-946A-F989635399EE}" xr6:coauthVersionLast="47" xr6:coauthVersionMax="47" xr10:uidLastSave="{00000000-0000-0000-0000-000000000000}"/>
  <bookViews>
    <workbookView xWindow="29100" yWindow="312" windowWidth="30444" windowHeight="15948" xr2:uid="{469DED0C-FBAF-46EC-92A5-7476F74FD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H22" i="1"/>
  <c r="G22" i="1"/>
  <c r="F22" i="1"/>
  <c r="E22" i="1"/>
  <c r="L20" i="1"/>
  <c r="L19" i="1"/>
  <c r="L18" i="1"/>
  <c r="L17" i="1"/>
  <c r="L16" i="1"/>
  <c r="L15" i="1"/>
  <c r="L14" i="1"/>
  <c r="L9" i="1"/>
  <c r="L8" i="1"/>
  <c r="L7" i="1"/>
  <c r="L6" i="1"/>
  <c r="L5" i="1"/>
  <c r="L4" i="1"/>
  <c r="L3" i="1"/>
  <c r="I11" i="1"/>
  <c r="H11" i="1"/>
  <c r="G11" i="1"/>
  <c r="F11" i="1"/>
  <c r="E11" i="1"/>
  <c r="L11" i="1" l="1"/>
  <c r="L22" i="1"/>
</calcChain>
</file>

<file path=xl/sharedStrings.xml><?xml version="1.0" encoding="utf-8"?>
<sst xmlns="http://schemas.openxmlformats.org/spreadsheetml/2006/main" count="46" uniqueCount="18">
  <si>
    <t>CAPEX</t>
  </si>
  <si>
    <t>FCF</t>
  </si>
  <si>
    <t>Cash Flow From Operations</t>
  </si>
  <si>
    <t>Cash Flow From Investing</t>
  </si>
  <si>
    <t>Cash Flow From Financing</t>
  </si>
  <si>
    <t>26E</t>
  </si>
  <si>
    <t>27E</t>
  </si>
  <si>
    <t>28E</t>
  </si>
  <si>
    <t>29E</t>
  </si>
  <si>
    <t>30E</t>
  </si>
  <si>
    <t>Share Repurchases</t>
  </si>
  <si>
    <t>Dividends</t>
  </si>
  <si>
    <t>Nakit Açığı</t>
  </si>
  <si>
    <t>Toplam:</t>
  </si>
  <si>
    <t>Toplam</t>
  </si>
  <si>
    <t>2030 saymadan</t>
  </si>
  <si>
    <t>Bilanco Oncesi ORCL Nakit Akisi (m)</t>
  </si>
  <si>
    <t>Bilanco Sonrasi ORCL Nakit Akisi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</si>
</sst>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i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/>
    <xf numFmtId="0" fontId="0" fillId="2" borderId="2" xfId="0" applyFill="1" applyBorder="1"/>
    <xf numFmtId="0" fontId="0" fillId="0" borderId="4" xfId="0" applyBorder="1"/>
    <xf numFmtId="41" fontId="0" fillId="0" borderId="0" xfId="0" applyNumberFormat="1"/>
    <xf numFmtId="41" fontId="0" fillId="0" borderId="5" xfId="0" applyNumberFormat="1" applyBorder="1"/>
    <xf numFmtId="0" fontId="0" fillId="0" borderId="6" xfId="0" applyBorder="1"/>
    <xf numFmtId="0" fontId="0" fillId="0" borderId="7" xfId="0" applyBorder="1"/>
    <xf numFmtId="41" fontId="0" fillId="0" borderId="7" xfId="0" applyNumberFormat="1" applyBorder="1"/>
    <xf numFmtId="41" fontId="0" fillId="0" borderId="8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4F81BD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32F5-1522-4D17-8943-2A734E242F67}">
  <dimension ref="B2:L29"/>
  <sheetViews>
    <sheetView showGridLines="0" tabSelected="1" workbookViewId="0">
      <selection activeCell="L18" sqref="L18"/>
    </sheetView>
  </sheetViews>
  <sheetFormatPr defaultColWidth="10.19921875" defaultRowHeight="16.5" customHeight="1" x14ac:dyDescent="0.3"/>
  <sheetData>
    <row r="2" spans="2:12" ht="16.5" customHeight="1" x14ac:dyDescent="0.3">
      <c r="B2" s="12" t="s">
        <v>16</v>
      </c>
      <c r="C2" s="1"/>
      <c r="D2" s="1"/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2"/>
      <c r="K2" s="10" t="s">
        <v>15</v>
      </c>
      <c r="L2" s="11"/>
    </row>
    <row r="3" spans="2:12" ht="16.5" customHeight="1" x14ac:dyDescent="0.3">
      <c r="B3" s="3" t="s">
        <v>0</v>
      </c>
      <c r="E3" s="4">
        <v>34886</v>
      </c>
      <c r="F3" s="4">
        <v>45579</v>
      </c>
      <c r="G3" s="4">
        <v>65790</v>
      </c>
      <c r="H3" s="4">
        <v>79973</v>
      </c>
      <c r="I3" s="4">
        <v>80432</v>
      </c>
      <c r="K3" t="s">
        <v>14</v>
      </c>
      <c r="L3" s="5">
        <f>SUM(E3:H3)</f>
        <v>226228</v>
      </c>
    </row>
    <row r="4" spans="2:12" ht="16.5" customHeight="1" x14ac:dyDescent="0.3">
      <c r="B4" s="3" t="s">
        <v>1</v>
      </c>
      <c r="E4" s="4">
        <v>-9279</v>
      </c>
      <c r="F4" s="4">
        <v>-11047</v>
      </c>
      <c r="G4" s="4">
        <v>-9442</v>
      </c>
      <c r="H4" s="4">
        <v>-6492</v>
      </c>
      <c r="I4" s="4">
        <v>22676</v>
      </c>
      <c r="K4" t="s">
        <v>14</v>
      </c>
      <c r="L4" s="5">
        <f t="shared" ref="L4:L9" si="0">SUM(E4:H4)</f>
        <v>-36260</v>
      </c>
    </row>
    <row r="5" spans="2:12" ht="16.5" customHeight="1" x14ac:dyDescent="0.3">
      <c r="B5" s="3" t="s">
        <v>2</v>
      </c>
      <c r="E5" s="4">
        <v>26124</v>
      </c>
      <c r="F5" s="4">
        <v>33853</v>
      </c>
      <c r="G5" s="4">
        <v>51129</v>
      </c>
      <c r="H5" s="4">
        <v>77297</v>
      </c>
      <c r="I5" s="4">
        <v>106240</v>
      </c>
      <c r="K5" t="s">
        <v>14</v>
      </c>
      <c r="L5" s="5">
        <f t="shared" si="0"/>
        <v>188403</v>
      </c>
    </row>
    <row r="6" spans="2:12" ht="16.5" customHeight="1" x14ac:dyDescent="0.3">
      <c r="B6" s="3" t="s">
        <v>3</v>
      </c>
      <c r="E6" s="4">
        <v>-34496</v>
      </c>
      <c r="F6" s="4">
        <v>-46147</v>
      </c>
      <c r="G6" s="4">
        <v>-66112</v>
      </c>
      <c r="H6" s="4">
        <v>-61394</v>
      </c>
      <c r="I6" s="4">
        <v>-62080</v>
      </c>
      <c r="K6" t="s">
        <v>14</v>
      </c>
      <c r="L6" s="5">
        <f t="shared" si="0"/>
        <v>-208149</v>
      </c>
    </row>
    <row r="7" spans="2:12" ht="16.5" customHeight="1" x14ac:dyDescent="0.3">
      <c r="B7" s="3" t="s">
        <v>4</v>
      </c>
      <c r="E7" s="4">
        <v>5615</v>
      </c>
      <c r="F7" s="4">
        <v>11493</v>
      </c>
      <c r="G7" s="4">
        <v>8161</v>
      </c>
      <c r="H7" s="4">
        <v>-5314</v>
      </c>
      <c r="I7" s="4">
        <v>-5361</v>
      </c>
      <c r="K7" t="s">
        <v>14</v>
      </c>
      <c r="L7" s="5">
        <f t="shared" si="0"/>
        <v>19955</v>
      </c>
    </row>
    <row r="8" spans="2:12" ht="16.5" customHeight="1" x14ac:dyDescent="0.3">
      <c r="B8" s="3" t="s">
        <v>10</v>
      </c>
      <c r="E8" s="4">
        <v>1083</v>
      </c>
      <c r="F8" s="4">
        <v>1324</v>
      </c>
      <c r="G8" s="4">
        <v>400</v>
      </c>
      <c r="H8" s="4">
        <v>600</v>
      </c>
      <c r="I8" s="4">
        <v>600</v>
      </c>
      <c r="K8" t="s">
        <v>14</v>
      </c>
      <c r="L8" s="5">
        <f t="shared" si="0"/>
        <v>3407</v>
      </c>
    </row>
    <row r="9" spans="2:12" ht="16.5" customHeight="1" x14ac:dyDescent="0.3">
      <c r="B9" s="3" t="s">
        <v>11</v>
      </c>
      <c r="E9" s="4">
        <v>5104</v>
      </c>
      <c r="F9" s="4">
        <v>5299</v>
      </c>
      <c r="G9" s="4">
        <v>6108</v>
      </c>
      <c r="H9" s="4">
        <v>6052</v>
      </c>
      <c r="I9" s="4">
        <v>5411</v>
      </c>
      <c r="K9" t="s">
        <v>14</v>
      </c>
      <c r="L9" s="5">
        <f t="shared" si="0"/>
        <v>22563</v>
      </c>
    </row>
    <row r="10" spans="2:12" ht="16.5" customHeight="1" x14ac:dyDescent="0.3">
      <c r="B10" s="3"/>
      <c r="L10" s="5"/>
    </row>
    <row r="11" spans="2:12" ht="16.5" customHeight="1" x14ac:dyDescent="0.3">
      <c r="B11" s="6" t="s">
        <v>12</v>
      </c>
      <c r="C11" s="7"/>
      <c r="D11" s="7"/>
      <c r="E11" s="8">
        <f>E4-E9-E8</f>
        <v>-15466</v>
      </c>
      <c r="F11" s="8">
        <f t="shared" ref="F11:I11" si="1">F4-F9-F8</f>
        <v>-17670</v>
      </c>
      <c r="G11" s="8">
        <f t="shared" si="1"/>
        <v>-15950</v>
      </c>
      <c r="H11" s="8">
        <f t="shared" si="1"/>
        <v>-13144</v>
      </c>
      <c r="I11" s="8">
        <f t="shared" si="1"/>
        <v>16665</v>
      </c>
      <c r="J11" s="7"/>
      <c r="K11" s="7" t="s">
        <v>13</v>
      </c>
      <c r="L11" s="9">
        <f>SUM(E11:H11)</f>
        <v>-62230</v>
      </c>
    </row>
    <row r="13" spans="2:12" ht="16.5" customHeight="1" x14ac:dyDescent="0.3">
      <c r="B13" s="12" t="s">
        <v>17</v>
      </c>
      <c r="C13" s="1"/>
      <c r="D13" s="1"/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2"/>
      <c r="K13" s="10" t="s">
        <v>15</v>
      </c>
      <c r="L13" s="11"/>
    </row>
    <row r="14" spans="2:12" ht="16.5" customHeight="1" x14ac:dyDescent="0.3">
      <c r="B14" s="3" t="s">
        <v>0</v>
      </c>
      <c r="E14" s="4">
        <v>46868</v>
      </c>
      <c r="F14" s="4">
        <v>55303</v>
      </c>
      <c r="G14" s="4">
        <v>72286</v>
      </c>
      <c r="H14" s="4">
        <v>78357</v>
      </c>
      <c r="I14" s="4">
        <v>79556</v>
      </c>
      <c r="K14" t="s">
        <v>14</v>
      </c>
      <c r="L14" s="5">
        <f>SUM(E14:H14)</f>
        <v>252814</v>
      </c>
    </row>
    <row r="15" spans="2:12" ht="16.5" customHeight="1" x14ac:dyDescent="0.3">
      <c r="B15" s="3" t="s">
        <v>1</v>
      </c>
      <c r="E15" s="4">
        <v>-20767</v>
      </c>
      <c r="F15" s="4">
        <v>-20804</v>
      </c>
      <c r="G15" s="4">
        <v>-12847</v>
      </c>
      <c r="H15" s="4">
        <v>-3216</v>
      </c>
      <c r="I15" s="4">
        <v>25736</v>
      </c>
      <c r="K15" t="s">
        <v>14</v>
      </c>
      <c r="L15" s="5">
        <f t="shared" ref="L15:L20" si="2">SUM(E15:H15)</f>
        <v>-57634</v>
      </c>
    </row>
    <row r="16" spans="2:12" ht="16.5" customHeight="1" x14ac:dyDescent="0.3">
      <c r="B16" s="3" t="s">
        <v>2</v>
      </c>
      <c r="E16" s="4">
        <v>26137</v>
      </c>
      <c r="F16" s="4">
        <v>35481</v>
      </c>
      <c r="G16" s="4">
        <v>52510</v>
      </c>
      <c r="H16" s="4">
        <v>79344</v>
      </c>
      <c r="I16" s="4">
        <v>108398</v>
      </c>
      <c r="K16" t="s">
        <v>14</v>
      </c>
      <c r="L16" s="5">
        <f t="shared" si="2"/>
        <v>193472</v>
      </c>
    </row>
    <row r="17" spans="2:12" ht="16.5" customHeight="1" x14ac:dyDescent="0.3">
      <c r="B17" s="3" t="s">
        <v>3</v>
      </c>
      <c r="E17" s="4">
        <v>-42675</v>
      </c>
      <c r="F17" s="4">
        <v>-56097</v>
      </c>
      <c r="G17" s="4">
        <v>-68579</v>
      </c>
      <c r="H17" s="4">
        <v>-64118</v>
      </c>
      <c r="I17" s="4">
        <v>-56623</v>
      </c>
      <c r="K17" t="s">
        <v>14</v>
      </c>
      <c r="L17" s="5">
        <f t="shared" si="2"/>
        <v>-231469</v>
      </c>
    </row>
    <row r="18" spans="2:12" ht="16.5" customHeight="1" x14ac:dyDescent="0.3">
      <c r="B18" s="3" t="s">
        <v>4</v>
      </c>
      <c r="E18" s="4">
        <v>17699</v>
      </c>
      <c r="F18" s="4">
        <v>14195</v>
      </c>
      <c r="G18" s="4">
        <v>7513</v>
      </c>
      <c r="H18" s="4">
        <v>-4711</v>
      </c>
      <c r="I18" s="4">
        <v>-4758</v>
      </c>
      <c r="K18" t="s">
        <v>14</v>
      </c>
      <c r="L18" s="5">
        <f t="shared" si="2"/>
        <v>34696</v>
      </c>
    </row>
    <row r="19" spans="2:12" ht="16.5" customHeight="1" x14ac:dyDescent="0.3">
      <c r="B19" s="3" t="s">
        <v>10</v>
      </c>
      <c r="E19" s="4">
        <v>745</v>
      </c>
      <c r="F19" s="4">
        <v>1204</v>
      </c>
      <c r="G19" s="4">
        <v>267</v>
      </c>
      <c r="H19" s="4">
        <v>0</v>
      </c>
      <c r="I19" s="4">
        <v>0</v>
      </c>
      <c r="K19" t="s">
        <v>14</v>
      </c>
      <c r="L19" s="5">
        <f t="shared" si="2"/>
        <v>2216</v>
      </c>
    </row>
    <row r="20" spans="2:12" ht="16.5" customHeight="1" x14ac:dyDescent="0.3">
      <c r="B20" s="3" t="s">
        <v>11</v>
      </c>
      <c r="E20" s="4">
        <v>5104</v>
      </c>
      <c r="F20" s="4">
        <v>5299</v>
      </c>
      <c r="G20" s="4">
        <v>6108</v>
      </c>
      <c r="H20" s="4">
        <v>6052</v>
      </c>
      <c r="I20" s="4">
        <v>5411</v>
      </c>
      <c r="K20" t="s">
        <v>14</v>
      </c>
      <c r="L20" s="5">
        <f t="shared" si="2"/>
        <v>22563</v>
      </c>
    </row>
    <row r="21" spans="2:12" ht="16.5" customHeight="1" x14ac:dyDescent="0.3">
      <c r="B21" s="3"/>
      <c r="L21" s="5"/>
    </row>
    <row r="22" spans="2:12" ht="16.5" customHeight="1" x14ac:dyDescent="0.3">
      <c r="B22" s="6" t="s">
        <v>12</v>
      </c>
      <c r="C22" s="7"/>
      <c r="D22" s="7"/>
      <c r="E22" s="8">
        <f>E15-E20-E19</f>
        <v>-26616</v>
      </c>
      <c r="F22" s="8">
        <f t="shared" ref="F22:I22" si="3">F15-F20-F19</f>
        <v>-27307</v>
      </c>
      <c r="G22" s="8">
        <f t="shared" si="3"/>
        <v>-19222</v>
      </c>
      <c r="H22" s="8">
        <f t="shared" si="3"/>
        <v>-9268</v>
      </c>
      <c r="I22" s="8">
        <f t="shared" si="3"/>
        <v>20325</v>
      </c>
      <c r="J22" s="7"/>
      <c r="K22" s="7" t="s">
        <v>13</v>
      </c>
      <c r="L22" s="9">
        <f>SUM(E22:H22)</f>
        <v>-82413</v>
      </c>
    </row>
    <row r="24" spans="2:12" ht="16.5" customHeight="1" x14ac:dyDescent="0.3">
      <c r="E24" s="13"/>
    </row>
    <row r="25" spans="2:12" ht="16.5" customHeight="1" x14ac:dyDescent="0.3">
      <c r="E25" s="4"/>
    </row>
    <row r="26" spans="2:12" ht="16.5" customHeight="1" x14ac:dyDescent="0.3">
      <c r="E26" s="4"/>
    </row>
    <row r="27" spans="2:12" ht="16.5" customHeight="1" x14ac:dyDescent="0.3">
      <c r="E27" s="4"/>
    </row>
    <row r="28" spans="2:12" ht="16.5" customHeight="1" x14ac:dyDescent="0.3">
      <c r="E28" s="4"/>
    </row>
    <row r="29" spans="2:12" ht="16.5" customHeight="1" x14ac:dyDescent="0.3">
      <c r="E29" s="4"/>
    </row>
  </sheetData>
  <mergeCells count="2">
    <mergeCell ref="K2:L2"/>
    <mergeCell ref="K13:L13"/>
  </mergeCells>
  <pageMargins left="0.7" right="0.7" top="0.75" bottom="0.75" header="0.3" footer="0.3"/>
  <ignoredErrors>
    <ignoredError sqref="L3:L9 L14:L2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4E8456-BBFE-4C97-A30E-1BE91F04E0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2025-12-11T02:45:08Z</dcterms:created>
  <dcterms:modified xsi:type="dcterms:W3CDTF">2025-12-13T23:47:52Z</dcterms:modified>
</cp:coreProperties>
</file>