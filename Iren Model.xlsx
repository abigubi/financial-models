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5F287B2B-9B61-4A3F-AFA7-BC6F319A72F3}" xr6:coauthVersionLast="47" xr6:coauthVersionMax="47" xr10:uidLastSave="{00000000-0000-0000-0000-000000000000}"/>
  <bookViews>
    <workbookView xWindow="29952" yWindow="1788" windowWidth="30720" windowHeight="13344" activeTab="2" xr2:uid="{00000000-000D-0000-FFFF-FFFF00000000}"/>
  </bookViews>
  <sheets>
    <sheet name="DCF Model" sheetId="2" r:id="rId1"/>
    <sheet name="Deal Economics" sheetId="1" r:id="rId2"/>
    <sheet name="Deal Economics lo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2" i="3" l="1"/>
  <c r="T22" i="3"/>
  <c r="O22" i="3"/>
  <c r="AF15" i="3"/>
  <c r="Z28" i="3"/>
  <c r="Z31" i="3"/>
  <c r="AF6" i="3"/>
  <c r="AF21" i="3" s="1"/>
  <c r="AF23" i="3" s="1"/>
  <c r="AF19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AF7" i="3"/>
  <c r="AF5" i="3"/>
  <c r="Y26" i="3"/>
  <c r="T26" i="3"/>
  <c r="O26" i="3"/>
  <c r="Y15" i="3"/>
  <c r="X15" i="3"/>
  <c r="W15" i="3"/>
  <c r="T15" i="3"/>
  <c r="S15" i="3"/>
  <c r="R15" i="3"/>
  <c r="O15" i="3"/>
  <c r="N15" i="3"/>
  <c r="M15" i="3"/>
  <c r="R11" i="3"/>
  <c r="L11" i="3"/>
  <c r="K11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Y7" i="3"/>
  <c r="Y14" i="3" s="1"/>
  <c r="X7" i="3"/>
  <c r="X6" i="3" s="1"/>
  <c r="W7" i="3"/>
  <c r="W6" i="3" s="1"/>
  <c r="V7" i="3"/>
  <c r="V8" i="3" s="1"/>
  <c r="U7" i="3"/>
  <c r="U6" i="3" s="1"/>
  <c r="T7" i="3"/>
  <c r="T6" i="3" s="1"/>
  <c r="S7" i="3"/>
  <c r="S6" i="3" s="1"/>
  <c r="R7" i="3"/>
  <c r="R6" i="3" s="1"/>
  <c r="Q7" i="3"/>
  <c r="Q6" i="3" s="1"/>
  <c r="P7" i="3"/>
  <c r="P8" i="3" s="1"/>
  <c r="O7" i="3"/>
  <c r="O8" i="3" s="1"/>
  <c r="N7" i="3"/>
  <c r="N8" i="3" s="1"/>
  <c r="M7" i="3"/>
  <c r="L7" i="3"/>
  <c r="L14" i="3" s="1"/>
  <c r="L22" i="3" s="1"/>
  <c r="K7" i="3"/>
  <c r="K14" i="3" s="1"/>
  <c r="K22" i="3" s="1"/>
  <c r="U17" i="3"/>
  <c r="Y19" i="3" s="1"/>
  <c r="P17" i="3"/>
  <c r="T19" i="3" s="1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K17" i="3"/>
  <c r="O19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J26" i="3"/>
  <c r="J25" i="3"/>
  <c r="I25" i="3"/>
  <c r="H25" i="3"/>
  <c r="G25" i="3"/>
  <c r="F25" i="3"/>
  <c r="E25" i="3"/>
  <c r="J18" i="3"/>
  <c r="I18" i="3"/>
  <c r="H18" i="3"/>
  <c r="G18" i="3"/>
  <c r="F18" i="3"/>
  <c r="F17" i="3"/>
  <c r="E17" i="3"/>
  <c r="F16" i="3"/>
  <c r="E16" i="3"/>
  <c r="F11" i="3" s="1"/>
  <c r="J15" i="3"/>
  <c r="I15" i="3"/>
  <c r="H15" i="3"/>
  <c r="G15" i="3"/>
  <c r="J10" i="3"/>
  <c r="I10" i="3"/>
  <c r="H10" i="3"/>
  <c r="G10" i="3"/>
  <c r="F10" i="3"/>
  <c r="E10" i="3"/>
  <c r="J7" i="3"/>
  <c r="J14" i="3" s="1"/>
  <c r="I7" i="3"/>
  <c r="I14" i="3" s="1"/>
  <c r="H7" i="3"/>
  <c r="H14" i="3" s="1"/>
  <c r="G7" i="3"/>
  <c r="G6" i="3" s="1"/>
  <c r="F7" i="3"/>
  <c r="F14" i="3" s="1"/>
  <c r="E7" i="3"/>
  <c r="E8" i="3" s="1"/>
  <c r="F6" i="3"/>
  <c r="J10" i="1"/>
  <c r="E10" i="1"/>
  <c r="F10" i="1"/>
  <c r="I10" i="1"/>
  <c r="H10" i="1"/>
  <c r="G10" i="1"/>
  <c r="Q7" i="1"/>
  <c r="Q6" i="1"/>
  <c r="Q5" i="1"/>
  <c r="E6" i="3" l="1"/>
  <c r="N11" i="3"/>
  <c r="V6" i="3"/>
  <c r="Y6" i="3"/>
  <c r="I6" i="3"/>
  <c r="M11" i="3"/>
  <c r="M12" i="3" s="1"/>
  <c r="P11" i="3"/>
  <c r="P14" i="3"/>
  <c r="P22" i="3" s="1"/>
  <c r="P30" i="3" s="1"/>
  <c r="T11" i="3"/>
  <c r="T12" i="3" s="1"/>
  <c r="V14" i="3"/>
  <c r="V22" i="3" s="1"/>
  <c r="U11" i="3"/>
  <c r="U12" i="3" s="1"/>
  <c r="M14" i="3"/>
  <c r="M22" i="3" s="1"/>
  <c r="Y11" i="3"/>
  <c r="Q8" i="3"/>
  <c r="P12" i="3"/>
  <c r="O14" i="3"/>
  <c r="R14" i="3"/>
  <c r="R22" i="3" s="1"/>
  <c r="R30" i="3" s="1"/>
  <c r="R12" i="3"/>
  <c r="N14" i="3"/>
  <c r="N22" i="3" s="1"/>
  <c r="N30" i="3" s="1"/>
  <c r="Y12" i="3"/>
  <c r="Q14" i="3"/>
  <c r="Q22" i="3" s="1"/>
  <c r="Q28" i="3" s="1"/>
  <c r="Q31" i="3" s="1"/>
  <c r="X11" i="3"/>
  <c r="X12" i="3" s="1"/>
  <c r="S8" i="3"/>
  <c r="H6" i="3"/>
  <c r="F22" i="3"/>
  <c r="F30" i="3" s="1"/>
  <c r="X8" i="3"/>
  <c r="T14" i="3"/>
  <c r="T28" i="3" s="1"/>
  <c r="N12" i="3"/>
  <c r="R8" i="3"/>
  <c r="U8" i="3"/>
  <c r="Y8" i="3"/>
  <c r="I22" i="3"/>
  <c r="I28" i="3" s="1"/>
  <c r="I31" i="3" s="1"/>
  <c r="K12" i="3"/>
  <c r="X14" i="3"/>
  <c r="X22" i="3" s="1"/>
  <c r="X28" i="3" s="1"/>
  <c r="X31" i="3" s="1"/>
  <c r="T8" i="3"/>
  <c r="O6" i="3"/>
  <c r="L12" i="3"/>
  <c r="M28" i="3"/>
  <c r="M31" i="3" s="1"/>
  <c r="M30" i="3"/>
  <c r="L30" i="3"/>
  <c r="L28" i="3"/>
  <c r="L31" i="3" s="1"/>
  <c r="O30" i="3"/>
  <c r="V28" i="3"/>
  <c r="V31" i="3" s="1"/>
  <c r="V30" i="3"/>
  <c r="K28" i="3"/>
  <c r="K31" i="3" s="1"/>
  <c r="K30" i="3"/>
  <c r="W8" i="3"/>
  <c r="S14" i="3"/>
  <c r="S22" i="3" s="1"/>
  <c r="K6" i="3"/>
  <c r="L6" i="3"/>
  <c r="U14" i="3"/>
  <c r="U22" i="3" s="1"/>
  <c r="O11" i="3"/>
  <c r="O12" i="3" s="1"/>
  <c r="M6" i="3"/>
  <c r="J19" i="3"/>
  <c r="J22" i="3" s="1"/>
  <c r="N6" i="3"/>
  <c r="W14" i="3"/>
  <c r="W22" i="3" s="1"/>
  <c r="Q11" i="3"/>
  <c r="Q12" i="3" s="1"/>
  <c r="P6" i="3"/>
  <c r="S11" i="3"/>
  <c r="S12" i="3" s="1"/>
  <c r="J6" i="3"/>
  <c r="V11" i="3"/>
  <c r="V12" i="3" s="1"/>
  <c r="K8" i="3"/>
  <c r="W11" i="3"/>
  <c r="W12" i="3" s="1"/>
  <c r="M8" i="3"/>
  <c r="L8" i="3"/>
  <c r="H22" i="3"/>
  <c r="H30" i="3" s="1"/>
  <c r="AF8" i="3"/>
  <c r="Y4" i="3"/>
  <c r="H28" i="3"/>
  <c r="H31" i="3" s="1"/>
  <c r="E11" i="3"/>
  <c r="E12" i="3" s="1"/>
  <c r="I11" i="3"/>
  <c r="I12" i="3" s="1"/>
  <c r="G11" i="3"/>
  <c r="G12" i="3" s="1"/>
  <c r="H11" i="3"/>
  <c r="H12" i="3" s="1"/>
  <c r="F12" i="3"/>
  <c r="E14" i="3"/>
  <c r="E22" i="3" s="1"/>
  <c r="G8" i="3"/>
  <c r="G14" i="3"/>
  <c r="G22" i="3" s="1"/>
  <c r="F8" i="3"/>
  <c r="H8" i="3"/>
  <c r="J11" i="3"/>
  <c r="J12" i="3" s="1"/>
  <c r="I8" i="3"/>
  <c r="J8" i="3"/>
  <c r="Q8" i="1"/>
  <c r="J15" i="1"/>
  <c r="I15" i="1"/>
  <c r="H15" i="1"/>
  <c r="G15" i="1"/>
  <c r="F17" i="1"/>
  <c r="E17" i="1"/>
  <c r="F16" i="1"/>
  <c r="E16" i="1"/>
  <c r="J11" i="1" s="1"/>
  <c r="J22" i="2"/>
  <c r="I22" i="2"/>
  <c r="H22" i="2"/>
  <c r="G22" i="2"/>
  <c r="J21" i="2"/>
  <c r="I21" i="2"/>
  <c r="H21" i="2"/>
  <c r="G21" i="2"/>
  <c r="F21" i="2"/>
  <c r="J18" i="2"/>
  <c r="I18" i="2"/>
  <c r="H18" i="2"/>
  <c r="G18" i="2"/>
  <c r="F18" i="2"/>
  <c r="J17" i="2"/>
  <c r="I17" i="2"/>
  <c r="H17" i="2"/>
  <c r="G17" i="2"/>
  <c r="F17" i="2"/>
  <c r="J16" i="2"/>
  <c r="I16" i="2"/>
  <c r="H16" i="2"/>
  <c r="G16" i="2"/>
  <c r="F16" i="2"/>
  <c r="J19" i="2"/>
  <c r="I19" i="2"/>
  <c r="I20" i="2" s="1"/>
  <c r="I23" i="2" s="1"/>
  <c r="H19" i="2"/>
  <c r="H20" i="2" s="1"/>
  <c r="H23" i="2" s="1"/>
  <c r="G19" i="2"/>
  <c r="G20" i="2" s="1"/>
  <c r="G23" i="2" s="1"/>
  <c r="F19" i="2"/>
  <c r="F20" i="2" s="1"/>
  <c r="F23" i="2" s="1"/>
  <c r="E19" i="2"/>
  <c r="E20" i="2" s="1"/>
  <c r="E17" i="2"/>
  <c r="E18" i="2"/>
  <c r="E13" i="2"/>
  <c r="E16" i="2"/>
  <c r="G9" i="2"/>
  <c r="H9" i="2" s="1"/>
  <c r="I9" i="2" s="1"/>
  <c r="J9" i="2" s="1"/>
  <c r="E11" i="2"/>
  <c r="E12" i="2" s="1"/>
  <c r="H10" i="2"/>
  <c r="I10" i="2" s="1"/>
  <c r="F11" i="2"/>
  <c r="J18" i="1"/>
  <c r="I18" i="1"/>
  <c r="H18" i="1"/>
  <c r="G18" i="1"/>
  <c r="F18" i="1"/>
  <c r="J26" i="1"/>
  <c r="J25" i="1"/>
  <c r="I25" i="1"/>
  <c r="H25" i="1"/>
  <c r="G25" i="1"/>
  <c r="F25" i="1"/>
  <c r="E25" i="1"/>
  <c r="J7" i="1"/>
  <c r="J6" i="1" s="1"/>
  <c r="I7" i="1"/>
  <c r="I6" i="1" s="1"/>
  <c r="H7" i="1"/>
  <c r="H8" i="1" s="1"/>
  <c r="G7" i="1"/>
  <c r="G6" i="1" s="1"/>
  <c r="F7" i="1"/>
  <c r="F8" i="1" s="1"/>
  <c r="E7" i="1"/>
  <c r="E6" i="1" s="1"/>
  <c r="O28" i="3" l="1"/>
  <c r="O31" i="3" s="1"/>
  <c r="Y28" i="3"/>
  <c r="Y31" i="3" s="1"/>
  <c r="J19" i="1"/>
  <c r="R28" i="3"/>
  <c r="R31" i="3" s="1"/>
  <c r="I30" i="3"/>
  <c r="P28" i="3"/>
  <c r="P31" i="3" s="1"/>
  <c r="Y30" i="3"/>
  <c r="T31" i="3"/>
  <c r="T30" i="3"/>
  <c r="F28" i="3"/>
  <c r="F31" i="3" s="1"/>
  <c r="Q30" i="3"/>
  <c r="N28" i="3"/>
  <c r="N31" i="3" s="1"/>
  <c r="X30" i="3"/>
  <c r="AF10" i="3"/>
  <c r="E35" i="3"/>
  <c r="W28" i="3"/>
  <c r="W31" i="3" s="1"/>
  <c r="W30" i="3"/>
  <c r="U28" i="3"/>
  <c r="U31" i="3" s="1"/>
  <c r="U30" i="3"/>
  <c r="S28" i="3"/>
  <c r="S31" i="3" s="1"/>
  <c r="S30" i="3"/>
  <c r="J30" i="3"/>
  <c r="J28" i="3"/>
  <c r="J31" i="3" s="1"/>
  <c r="G30" i="3"/>
  <c r="G28" i="3"/>
  <c r="G31" i="3" s="1"/>
  <c r="E30" i="3"/>
  <c r="E28" i="3"/>
  <c r="J20" i="2"/>
  <c r="J23" i="2" s="1"/>
  <c r="E23" i="2"/>
  <c r="F12" i="2"/>
  <c r="J10" i="2"/>
  <c r="J13" i="2" s="1"/>
  <c r="G11" i="2"/>
  <c r="J20" i="1"/>
  <c r="I11" i="1"/>
  <c r="E14" i="1"/>
  <c r="E22" i="1" s="1"/>
  <c r="F14" i="1"/>
  <c r="F22" i="1" s="1"/>
  <c r="I14" i="1"/>
  <c r="I22" i="1" s="1"/>
  <c r="F6" i="1"/>
  <c r="H11" i="1"/>
  <c r="J14" i="1"/>
  <c r="G11" i="1"/>
  <c r="G14" i="1"/>
  <c r="G22" i="1" s="1"/>
  <c r="E11" i="1"/>
  <c r="E12" i="1" s="1"/>
  <c r="F11" i="1"/>
  <c r="H14" i="1"/>
  <c r="H22" i="1" s="1"/>
  <c r="H12" i="1"/>
  <c r="J12" i="1"/>
  <c r="G8" i="1"/>
  <c r="E8" i="1"/>
  <c r="J8" i="1"/>
  <c r="H6" i="1"/>
  <c r="I8" i="1"/>
  <c r="E33" i="3" l="1"/>
  <c r="AF13" i="3" s="1"/>
  <c r="AF11" i="3"/>
  <c r="E36" i="3"/>
  <c r="E31" i="3"/>
  <c r="E34" i="3" s="1"/>
  <c r="AF14" i="3" s="1"/>
  <c r="AF25" i="3" s="1"/>
  <c r="AF27" i="3" s="1"/>
  <c r="G12" i="1"/>
  <c r="F12" i="1"/>
  <c r="I12" i="1"/>
  <c r="E35" i="1"/>
  <c r="J22" i="1"/>
  <c r="J28" i="1" s="1"/>
  <c r="H11" i="2"/>
  <c r="G12" i="2"/>
  <c r="H28" i="1"/>
  <c r="H31" i="1" s="1"/>
  <c r="H30" i="1"/>
  <c r="I28" i="1"/>
  <c r="I31" i="1" s="1"/>
  <c r="I30" i="1"/>
  <c r="G28" i="1"/>
  <c r="G30" i="1"/>
  <c r="F30" i="1"/>
  <c r="F28" i="1"/>
  <c r="F31" i="1" s="1"/>
  <c r="J30" i="1"/>
  <c r="J31" i="1"/>
  <c r="E30" i="1"/>
  <c r="E28" i="1"/>
  <c r="E36" i="1" l="1"/>
  <c r="I11" i="2"/>
  <c r="H12" i="2"/>
  <c r="E33" i="1"/>
  <c r="G31" i="1"/>
  <c r="E31" i="1"/>
  <c r="E34" i="1" l="1"/>
  <c r="J11" i="2"/>
  <c r="I12" i="2"/>
  <c r="J12" i="2" l="1"/>
</calcChain>
</file>

<file path=xl/sharedStrings.xml><?xml version="1.0" encoding="utf-8"?>
<sst xmlns="http://schemas.openxmlformats.org/spreadsheetml/2006/main" count="142" uniqueCount="78">
  <si>
    <t>Revenue</t>
  </si>
  <si>
    <t>EBITDA</t>
  </si>
  <si>
    <t>EBITDA Margin</t>
  </si>
  <si>
    <t>EBIT</t>
  </si>
  <si>
    <t>GPU D&amp;A</t>
  </si>
  <si>
    <t>Data Center D&amp;A</t>
  </si>
  <si>
    <t>MSFT Pre Payment</t>
  </si>
  <si>
    <t>Data Center CapEx</t>
  </si>
  <si>
    <t>GPU CapEx</t>
  </si>
  <si>
    <t>Data Center Maintenance</t>
  </si>
  <si>
    <t>GPU Residual Value</t>
  </si>
  <si>
    <t>Data Center Residual Value</t>
  </si>
  <si>
    <t>Unlevered Cash Flow</t>
  </si>
  <si>
    <t>IREN - MSFT Deal ($mm)</t>
  </si>
  <si>
    <t>Notes</t>
  </si>
  <si>
    <t>$9.7B Total</t>
  </si>
  <si>
    <t>$15M/MW x 200MW</t>
  </si>
  <si>
    <t>NPV</t>
  </si>
  <si>
    <t>Unlevered IRR</t>
  </si>
  <si>
    <t>Levered IRR</t>
  </si>
  <si>
    <t>Debt Drawdown</t>
  </si>
  <si>
    <t>Interest Expense</t>
  </si>
  <si>
    <t>Debt Repayment</t>
  </si>
  <si>
    <t>Levered Cash Flow</t>
  </si>
  <si>
    <t>PV of Unlevered Cash Flow</t>
  </si>
  <si>
    <t>PV of Levered Cash Flow</t>
  </si>
  <si>
    <t>Date:</t>
  </si>
  <si>
    <t>Discount Rate:</t>
  </si>
  <si>
    <t>Mid-year discounting</t>
  </si>
  <si>
    <t>Equity NPV</t>
  </si>
  <si>
    <t>12% Discount Rate</t>
  </si>
  <si>
    <t>6% p.a.</t>
  </si>
  <si>
    <t>$500k/MW</t>
  </si>
  <si>
    <t>Levered Discount Rate:</t>
  </si>
  <si>
    <t>OpEx ex D&amp;A</t>
  </si>
  <si>
    <t>Childress</t>
  </si>
  <si>
    <t>Oklahoma</t>
  </si>
  <si>
    <t>Total Active MW</t>
  </si>
  <si>
    <t>New MW added</t>
  </si>
  <si>
    <t>Prince George</t>
  </si>
  <si>
    <t>Mackenzie</t>
  </si>
  <si>
    <t>Canal Flats</t>
  </si>
  <si>
    <t>Sweetwater</t>
  </si>
  <si>
    <t>Weighted Average MW</t>
  </si>
  <si>
    <t>KPI's</t>
  </si>
  <si>
    <t>Total Revenue</t>
  </si>
  <si>
    <t>Childress MSFT</t>
  </si>
  <si>
    <t>Childress non MSFT</t>
  </si>
  <si>
    <t>4.5 GW</t>
  </si>
  <si>
    <t>Pre Payment</t>
  </si>
  <si>
    <t>Equity</t>
  </si>
  <si>
    <t>Debt</t>
  </si>
  <si>
    <t>Total</t>
  </si>
  <si>
    <t>1920*(4510/200)</t>
  </si>
  <si>
    <t>4160*(4510/200)</t>
  </si>
  <si>
    <t>3600*(4510/200)</t>
  </si>
  <si>
    <t>$5.8B Total</t>
  </si>
  <si>
    <t>5 Year Life on 5800-1688</t>
  </si>
  <si>
    <t>Unlevered FCF</t>
  </si>
  <si>
    <t>Levered FCF</t>
  </si>
  <si>
    <t>PV of Unlevered FCF</t>
  </si>
  <si>
    <t>PV of Levered FCF</t>
  </si>
  <si>
    <t>Stock Price</t>
  </si>
  <si>
    <t>Shares Outstanding</t>
  </si>
  <si>
    <t>millions</t>
  </si>
  <si>
    <t>Market Cap</t>
  </si>
  <si>
    <t>Dilution</t>
  </si>
  <si>
    <t>Implied Stock Price</t>
  </si>
  <si>
    <t>Terminal Value</t>
  </si>
  <si>
    <t>Sum</t>
  </si>
  <si>
    <t>Average</t>
  </si>
  <si>
    <t>Running Total</t>
  </si>
  <si>
    <t>Count</t>
  </si>
  <si>
    <t>Upside/(Downside)</t>
  </si>
  <si>
    <t>12.5% Discount Rate</t>
  </si>
  <si>
    <t>15% Discount Rate</t>
  </si>
  <si>
    <t>5 Year Life on 5800-1160</t>
  </si>
  <si>
    <t>$5.8B Total per 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</si>
</sst>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;\(#,000\)"/>
    <numFmt numFmtId="165" formatCode="#,000;\(#,000\)"/>
    <numFmt numFmtId="166" formatCode="#,##0.0"/>
    <numFmt numFmtId="167" formatCode="&quot;$&quot;#,##0.0;\(&quot;$&quot;#,##0.0\);\-"/>
    <numFmt numFmtId="168" formatCode="#,000;\(#,#00\)"/>
    <numFmt numFmtId="169" formatCode="0.00;\(#,##0\)"/>
    <numFmt numFmtId="170" formatCode="0.00;\(#,#00\)"/>
    <numFmt numFmtId="173" formatCode="&quot;$&quot;#,##0.00"/>
    <numFmt numFmtId="178" formatCode="0%;\(0%\)"/>
    <numFmt numFmtId="181" formatCode="0\x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rgb="FF7030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3" fontId="0" fillId="0" borderId="0" xfId="0" applyNumberFormat="1"/>
    <xf numFmtId="0" fontId="1" fillId="2" borderId="0" xfId="0" applyFont="1" applyFill="1"/>
    <xf numFmtId="9" fontId="0" fillId="0" borderId="0" xfId="0" applyNumberFormat="1"/>
    <xf numFmtId="3" fontId="2" fillId="0" borderId="0" xfId="0" applyNumberFormat="1" applyFont="1"/>
    <xf numFmtId="164" fontId="0" fillId="0" borderId="0" xfId="0" applyNumberFormat="1"/>
    <xf numFmtId="165" fontId="0" fillId="0" borderId="0" xfId="0" applyNumberFormat="1"/>
    <xf numFmtId="3" fontId="3" fillId="0" borderId="0" xfId="0" applyNumberFormat="1" applyFont="1"/>
    <xf numFmtId="3" fontId="4" fillId="0" borderId="0" xfId="0" applyNumberFormat="1" applyFont="1"/>
    <xf numFmtId="166" fontId="0" fillId="0" borderId="0" xfId="0" applyNumberFormat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7" xfId="0" applyFill="1" applyBorder="1"/>
    <xf numFmtId="0" fontId="0" fillId="0" borderId="9" xfId="0" applyBorder="1"/>
    <xf numFmtId="0" fontId="0" fillId="0" borderId="10" xfId="0" applyBorder="1"/>
    <xf numFmtId="165" fontId="0" fillId="0" borderId="10" xfId="0" applyNumberFormat="1" applyBorder="1"/>
    <xf numFmtId="165" fontId="0" fillId="0" borderId="11" xfId="0" applyNumberFormat="1" applyBorder="1"/>
    <xf numFmtId="164" fontId="4" fillId="0" borderId="0" xfId="0" applyNumberFormat="1" applyFont="1"/>
    <xf numFmtId="164" fontId="0" fillId="0" borderId="10" xfId="0" applyNumberFormat="1" applyBorder="1"/>
    <xf numFmtId="14" fontId="0" fillId="0" borderId="0" xfId="0" applyNumberFormat="1"/>
    <xf numFmtId="167" fontId="0" fillId="0" borderId="0" xfId="0" applyNumberFormat="1"/>
    <xf numFmtId="10" fontId="0" fillId="0" borderId="0" xfId="0" applyNumberFormat="1"/>
    <xf numFmtId="9" fontId="0" fillId="3" borderId="6" xfId="0" applyNumberFormat="1" applyFill="1" applyBorder="1"/>
    <xf numFmtId="9" fontId="0" fillId="3" borderId="8" xfId="0" applyNumberFormat="1" applyFill="1" applyBorder="1"/>
    <xf numFmtId="37" fontId="0" fillId="3" borderId="6" xfId="0" applyNumberFormat="1" applyFill="1" applyBorder="1"/>
    <xf numFmtId="37" fontId="0" fillId="0" borderId="0" xfId="0" applyNumberFormat="1"/>
    <xf numFmtId="168" fontId="0" fillId="0" borderId="11" xfId="0" applyNumberFormat="1" applyBorder="1"/>
    <xf numFmtId="169" fontId="0" fillId="0" borderId="0" xfId="0" applyNumberFormat="1"/>
    <xf numFmtId="3" fontId="0" fillId="0" borderId="1" xfId="0" applyNumberFormat="1" applyBorder="1"/>
    <xf numFmtId="170" fontId="0" fillId="3" borderId="4" xfId="0" applyNumberFormat="1" applyFill="1" applyBorder="1"/>
    <xf numFmtId="168" fontId="0" fillId="0" borderId="10" xfId="0" applyNumberFormat="1" applyBorder="1"/>
    <xf numFmtId="0" fontId="1" fillId="2" borderId="5" xfId="0" applyFont="1" applyFill="1" applyBorder="1"/>
    <xf numFmtId="3" fontId="2" fillId="0" borderId="5" xfId="0" applyNumberFormat="1" applyFont="1" applyBorder="1"/>
    <xf numFmtId="3" fontId="0" fillId="0" borderId="5" xfId="0" applyNumberFormat="1" applyBorder="1"/>
    <xf numFmtId="9" fontId="0" fillId="0" borderId="5" xfId="0" applyNumberFormat="1" applyBorder="1"/>
    <xf numFmtId="0" fontId="0" fillId="0" borderId="5" xfId="0" applyBorder="1"/>
    <xf numFmtId="164" fontId="0" fillId="0" borderId="5" xfId="0" applyNumberFormat="1" applyBorder="1"/>
    <xf numFmtId="0" fontId="1" fillId="2" borderId="6" xfId="0" applyFont="1" applyFill="1" applyBorder="1"/>
    <xf numFmtId="3" fontId="2" fillId="0" borderId="6" xfId="0" applyNumberFormat="1" applyFont="1" applyBorder="1"/>
    <xf numFmtId="3" fontId="0" fillId="0" borderId="6" xfId="0" applyNumberFormat="1" applyBorder="1"/>
    <xf numFmtId="9" fontId="0" fillId="0" borderId="6" xfId="0" applyNumberFormat="1" applyBorder="1"/>
    <xf numFmtId="0" fontId="0" fillId="0" borderId="6" xfId="0" applyBorder="1"/>
    <xf numFmtId="164" fontId="0" fillId="0" borderId="6" xfId="0" applyNumberFormat="1" applyBorder="1"/>
    <xf numFmtId="3" fontId="4" fillId="0" borderId="5" xfId="0" applyNumberFormat="1" applyFont="1" applyBorder="1"/>
    <xf numFmtId="3" fontId="4" fillId="0" borderId="6" xfId="0" applyNumberFormat="1" applyFont="1" applyBorder="1"/>
    <xf numFmtId="165" fontId="0" fillId="0" borderId="5" xfId="0" applyNumberFormat="1" applyBorder="1"/>
    <xf numFmtId="165" fontId="0" fillId="0" borderId="6" xfId="0" applyNumberFormat="1" applyBorder="1"/>
    <xf numFmtId="4" fontId="0" fillId="0" borderId="0" xfId="0" applyNumberFormat="1"/>
    <xf numFmtId="164" fontId="4" fillId="0" borderId="6" xfId="0" applyNumberFormat="1" applyFont="1" applyBorder="1"/>
    <xf numFmtId="0" fontId="0" fillId="0" borderId="3" xfId="0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73" fontId="0" fillId="0" borderId="0" xfId="0" applyNumberFormat="1"/>
    <xf numFmtId="178" fontId="0" fillId="0" borderId="0" xfId="0" applyNumberFormat="1"/>
    <xf numFmtId="181" fontId="0" fillId="0" borderId="0" xfId="0" applyNumberFormat="1"/>
    <xf numFmtId="165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BD93EB-2B5A-410B-9876-3A444689ED2A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DEE80-ADC2-488E-B0D0-39BB8E448947}">
  <dimension ref="B2:N23"/>
  <sheetViews>
    <sheetView showGridLines="0" zoomScale="115" zoomScaleNormal="115" workbookViewId="0">
      <selection activeCell="G25" sqref="G25"/>
    </sheetView>
  </sheetViews>
  <sheetFormatPr defaultRowHeight="14.4" x14ac:dyDescent="0.3"/>
  <sheetData>
    <row r="2" spans="2:14" x14ac:dyDescent="0.3">
      <c r="B2" t="s">
        <v>26</v>
      </c>
      <c r="C2" s="23">
        <v>46060</v>
      </c>
      <c r="E2" t="s">
        <v>27</v>
      </c>
      <c r="G2" s="25">
        <v>0.12</v>
      </c>
      <c r="I2" t="s">
        <v>33</v>
      </c>
      <c r="L2" s="25">
        <v>0.18</v>
      </c>
    </row>
    <row r="4" spans="2:14" x14ac:dyDescent="0.3">
      <c r="B4" s="2" t="s">
        <v>44</v>
      </c>
      <c r="C4" s="2"/>
      <c r="D4" s="2"/>
      <c r="E4" s="2">
        <v>2026</v>
      </c>
      <c r="F4" s="2">
        <v>2027</v>
      </c>
      <c r="G4" s="2">
        <v>2028</v>
      </c>
      <c r="H4" s="2">
        <v>2029</v>
      </c>
      <c r="I4" s="2">
        <v>2030</v>
      </c>
      <c r="J4" s="2">
        <v>2031</v>
      </c>
      <c r="K4" s="2"/>
      <c r="L4" s="54" t="s">
        <v>14</v>
      </c>
      <c r="M4" s="54"/>
      <c r="N4" s="54"/>
    </row>
    <row r="5" spans="2:14" x14ac:dyDescent="0.3">
      <c r="B5" t="s">
        <v>39</v>
      </c>
      <c r="E5" s="1">
        <v>50</v>
      </c>
      <c r="F5" s="1">
        <v>50</v>
      </c>
      <c r="G5" s="1">
        <v>50</v>
      </c>
      <c r="H5" s="1">
        <v>50</v>
      </c>
      <c r="I5" s="1">
        <v>50</v>
      </c>
      <c r="J5" s="1">
        <v>50</v>
      </c>
    </row>
    <row r="6" spans="2:14" x14ac:dyDescent="0.3">
      <c r="B6" t="s">
        <v>40</v>
      </c>
      <c r="E6" s="1">
        <v>80</v>
      </c>
      <c r="F6" s="1">
        <v>80</v>
      </c>
      <c r="G6" s="1">
        <v>80</v>
      </c>
      <c r="H6" s="1">
        <v>80</v>
      </c>
      <c r="I6" s="1">
        <v>80</v>
      </c>
      <c r="J6" s="1">
        <v>80</v>
      </c>
    </row>
    <row r="7" spans="2:14" x14ac:dyDescent="0.3">
      <c r="B7" t="s">
        <v>41</v>
      </c>
      <c r="E7" s="1">
        <v>30</v>
      </c>
      <c r="F7" s="1">
        <v>30</v>
      </c>
      <c r="G7" s="1">
        <v>30</v>
      </c>
      <c r="H7" s="1">
        <v>30</v>
      </c>
      <c r="I7" s="1">
        <v>30</v>
      </c>
      <c r="J7" s="1">
        <v>30</v>
      </c>
    </row>
    <row r="8" spans="2:14" x14ac:dyDescent="0.3">
      <c r="B8" t="s">
        <v>35</v>
      </c>
      <c r="E8" s="1">
        <v>300</v>
      </c>
      <c r="F8" s="1">
        <v>525</v>
      </c>
      <c r="G8" s="1">
        <v>750</v>
      </c>
      <c r="H8" s="1">
        <v>750</v>
      </c>
      <c r="I8" s="1">
        <v>750</v>
      </c>
      <c r="J8" s="1">
        <v>750</v>
      </c>
    </row>
    <row r="9" spans="2:14" x14ac:dyDescent="0.3">
      <c r="B9" t="s">
        <v>42</v>
      </c>
      <c r="E9" s="1">
        <v>0</v>
      </c>
      <c r="F9" s="1">
        <v>700</v>
      </c>
      <c r="G9" s="1">
        <f>F9+700</f>
        <v>1400</v>
      </c>
      <c r="H9" s="1">
        <f>G9+600</f>
        <v>2000</v>
      </c>
      <c r="I9" s="1">
        <f>H9</f>
        <v>2000</v>
      </c>
      <c r="J9" s="1">
        <f>I9</f>
        <v>2000</v>
      </c>
    </row>
    <row r="10" spans="2:14" x14ac:dyDescent="0.3">
      <c r="B10" t="s">
        <v>36</v>
      </c>
      <c r="E10" s="1">
        <v>0</v>
      </c>
      <c r="F10" s="1">
        <v>0</v>
      </c>
      <c r="G10" s="1">
        <v>500</v>
      </c>
      <c r="H10" s="1">
        <f>G10+1000</f>
        <v>1500</v>
      </c>
      <c r="I10" s="1">
        <f>H10+100</f>
        <v>1600</v>
      </c>
      <c r="J10" s="1">
        <f>I10</f>
        <v>1600</v>
      </c>
    </row>
    <row r="11" spans="2:14" x14ac:dyDescent="0.3">
      <c r="B11" t="s">
        <v>37</v>
      </c>
      <c r="E11" s="1">
        <f t="shared" ref="E11:J11" si="0">SUM(E5:E10)</f>
        <v>460</v>
      </c>
      <c r="F11" s="1">
        <f t="shared" si="0"/>
        <v>1385</v>
      </c>
      <c r="G11" s="1">
        <f t="shared" si="0"/>
        <v>2810</v>
      </c>
      <c r="H11" s="1">
        <f t="shared" si="0"/>
        <v>4410</v>
      </c>
      <c r="I11" s="1">
        <f t="shared" si="0"/>
        <v>4510</v>
      </c>
      <c r="J11" s="1">
        <f t="shared" si="0"/>
        <v>4510</v>
      </c>
    </row>
    <row r="12" spans="2:14" x14ac:dyDescent="0.3">
      <c r="B12" t="s">
        <v>38</v>
      </c>
      <c r="E12" s="1">
        <f>E11</f>
        <v>460</v>
      </c>
      <c r="F12" s="1">
        <f>F11-E11</f>
        <v>925</v>
      </c>
      <c r="G12" s="1">
        <f t="shared" ref="G12:J12" si="1">G11-F11</f>
        <v>1425</v>
      </c>
      <c r="H12" s="1">
        <f t="shared" si="1"/>
        <v>1600</v>
      </c>
      <c r="I12" s="1">
        <f t="shared" si="1"/>
        <v>100</v>
      </c>
      <c r="J12" s="1">
        <f t="shared" si="1"/>
        <v>0</v>
      </c>
    </row>
    <row r="13" spans="2:14" x14ac:dyDescent="0.3">
      <c r="B13" t="s">
        <v>43</v>
      </c>
      <c r="E13" s="1">
        <f>SUM(E5:E10)</f>
        <v>460</v>
      </c>
      <c r="F13" s="1">
        <v>1035</v>
      </c>
      <c r="G13" s="1">
        <v>2210</v>
      </c>
      <c r="H13" s="1">
        <v>3610</v>
      </c>
      <c r="I13" s="1">
        <v>4460</v>
      </c>
      <c r="J13" s="1">
        <f t="shared" ref="J13" si="2">SUM(J5:J10)</f>
        <v>4510</v>
      </c>
    </row>
    <row r="15" spans="2:14" x14ac:dyDescent="0.3">
      <c r="B15" s="2" t="s">
        <v>0</v>
      </c>
      <c r="C15" s="2"/>
      <c r="D15" s="2"/>
      <c r="E15" s="2">
        <v>2026</v>
      </c>
      <c r="F15" s="2">
        <v>2027</v>
      </c>
      <c r="G15" s="2">
        <v>2028</v>
      </c>
      <c r="H15" s="2">
        <v>2029</v>
      </c>
      <c r="I15" s="2">
        <v>2030</v>
      </c>
      <c r="J15" s="2">
        <v>2031</v>
      </c>
      <c r="K15" s="2"/>
      <c r="L15" s="54" t="s">
        <v>14</v>
      </c>
      <c r="M15" s="54"/>
      <c r="N15" s="54"/>
    </row>
    <row r="16" spans="2:14" x14ac:dyDescent="0.3">
      <c r="B16" t="s">
        <v>39</v>
      </c>
      <c r="E16" s="1">
        <f>E5*0.8*9.4</f>
        <v>376</v>
      </c>
      <c r="F16" s="1">
        <f>F5*9.4</f>
        <v>470</v>
      </c>
      <c r="G16" s="1">
        <f t="shared" ref="G16:J16" si="3">G5*9.4</f>
        <v>470</v>
      </c>
      <c r="H16" s="1">
        <f t="shared" si="3"/>
        <v>470</v>
      </c>
      <c r="I16" s="1">
        <f t="shared" si="3"/>
        <v>470</v>
      </c>
      <c r="J16" s="1">
        <f t="shared" si="3"/>
        <v>470</v>
      </c>
    </row>
    <row r="17" spans="2:10" x14ac:dyDescent="0.3">
      <c r="B17" t="s">
        <v>40</v>
      </c>
      <c r="E17" s="1">
        <f>E6*0.41*9.4</f>
        <v>308.32</v>
      </c>
      <c r="F17" s="1">
        <f>F6*9.4</f>
        <v>752</v>
      </c>
      <c r="G17" s="1">
        <f t="shared" ref="G17:J17" si="4">G6*9.4</f>
        <v>752</v>
      </c>
      <c r="H17" s="1">
        <f t="shared" si="4"/>
        <v>752</v>
      </c>
      <c r="I17" s="1">
        <f t="shared" si="4"/>
        <v>752</v>
      </c>
      <c r="J17" s="1">
        <f t="shared" si="4"/>
        <v>752</v>
      </c>
    </row>
    <row r="18" spans="2:10" x14ac:dyDescent="0.3">
      <c r="B18" t="s">
        <v>41</v>
      </c>
      <c r="E18" s="1">
        <f>E7*0.4*9.4</f>
        <v>112.80000000000001</v>
      </c>
      <c r="F18" s="1">
        <f>F7*9.4</f>
        <v>282</v>
      </c>
      <c r="G18" s="1">
        <f t="shared" ref="G18:J18" si="5">G7*9.4</f>
        <v>282</v>
      </c>
      <c r="H18" s="1">
        <f t="shared" si="5"/>
        <v>282</v>
      </c>
      <c r="I18" s="1">
        <f t="shared" si="5"/>
        <v>282</v>
      </c>
      <c r="J18" s="1">
        <f t="shared" si="5"/>
        <v>282</v>
      </c>
    </row>
    <row r="19" spans="2:10" x14ac:dyDescent="0.3">
      <c r="B19" t="s">
        <v>46</v>
      </c>
      <c r="E19" s="7">
        <f>'Deal Economics'!E5</f>
        <v>485</v>
      </c>
      <c r="F19" s="7">
        <f>'Deal Economics'!F5</f>
        <v>1940</v>
      </c>
      <c r="G19" s="7">
        <f>'Deal Economics'!G5</f>
        <v>1940</v>
      </c>
      <c r="H19" s="7">
        <f>'Deal Economics'!H5</f>
        <v>1940</v>
      </c>
      <c r="I19" s="7">
        <f>'Deal Economics'!I5</f>
        <v>1940</v>
      </c>
      <c r="J19" s="7">
        <f>'Deal Economics'!J5</f>
        <v>1455</v>
      </c>
    </row>
    <row r="20" spans="2:10" x14ac:dyDescent="0.3">
      <c r="B20" t="s">
        <v>47</v>
      </c>
      <c r="E20" s="1">
        <f>E19*0.2</f>
        <v>97</v>
      </c>
      <c r="F20" s="1">
        <f t="shared" ref="F20:J20" si="6">F19*0.5</f>
        <v>970</v>
      </c>
      <c r="G20" s="1">
        <f t="shared" si="6"/>
        <v>970</v>
      </c>
      <c r="H20" s="1">
        <f t="shared" si="6"/>
        <v>970</v>
      </c>
      <c r="I20" s="1">
        <f t="shared" si="6"/>
        <v>970</v>
      </c>
      <c r="J20" s="1">
        <f t="shared" si="6"/>
        <v>727.5</v>
      </c>
    </row>
    <row r="21" spans="2:10" x14ac:dyDescent="0.3">
      <c r="B21" t="s">
        <v>42</v>
      </c>
      <c r="E21" s="1">
        <v>0</v>
      </c>
      <c r="F21" s="1">
        <f>F9*0.45*9.7</f>
        <v>3055.5</v>
      </c>
      <c r="G21" s="1">
        <f>G9*0.7*9.7</f>
        <v>9505.9999999999982</v>
      </c>
      <c r="H21" s="1">
        <f>H9*0.7*9.7</f>
        <v>13579.999999999998</v>
      </c>
      <c r="I21" s="1">
        <f>I9*9.7</f>
        <v>19400</v>
      </c>
      <c r="J21" s="1">
        <f t="shared" ref="J21" si="7">J9*9.7</f>
        <v>19400</v>
      </c>
    </row>
    <row r="22" spans="2:10" x14ac:dyDescent="0.3">
      <c r="B22" t="s">
        <v>36</v>
      </c>
      <c r="E22" s="1">
        <v>0</v>
      </c>
      <c r="F22" s="1">
        <v>0</v>
      </c>
      <c r="G22" s="1">
        <f>G10*0.4*9.7</f>
        <v>1939.9999999999998</v>
      </c>
      <c r="H22" s="1">
        <f>H10*0.6*9.7</f>
        <v>8730</v>
      </c>
      <c r="I22" s="1">
        <f>I10*0.85*9.7</f>
        <v>13191.999999999998</v>
      </c>
      <c r="J22" s="1">
        <f>J10*9.7</f>
        <v>15519.999999999998</v>
      </c>
    </row>
    <row r="23" spans="2:10" x14ac:dyDescent="0.3">
      <c r="B23" t="s">
        <v>45</v>
      </c>
      <c r="E23" s="1">
        <f>SUM(E16:E22)</f>
        <v>1379.12</v>
      </c>
      <c r="F23" s="1">
        <f t="shared" ref="F23:J23" si="8">SUM(F16:F22)</f>
        <v>7469.5</v>
      </c>
      <c r="G23" s="1">
        <f t="shared" si="8"/>
        <v>15859.999999999998</v>
      </c>
      <c r="H23" s="1">
        <f t="shared" si="8"/>
        <v>26724</v>
      </c>
      <c r="I23" s="1">
        <f t="shared" si="8"/>
        <v>37006</v>
      </c>
      <c r="J23" s="1">
        <f t="shared" si="8"/>
        <v>38606.5</v>
      </c>
    </row>
  </sheetData>
  <mergeCells count="2">
    <mergeCell ref="L4:N4"/>
    <mergeCell ref="L15:N15"/>
  </mergeCells>
  <pageMargins left="0.7" right="0.7" top="0.75" bottom="0.75" header="0.3" footer="0.3"/>
  <ignoredErrors>
    <ignoredError sqref="E11:F11 E13 J1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36"/>
  <sheetViews>
    <sheetView showGridLines="0" zoomScaleNormal="100" workbookViewId="0">
      <selection activeCell="G31" sqref="G31"/>
    </sheetView>
  </sheetViews>
  <sheetFormatPr defaultColWidth="9.33203125" defaultRowHeight="14.4" x14ac:dyDescent="0.3"/>
  <sheetData>
    <row r="2" spans="2:21" x14ac:dyDescent="0.3">
      <c r="B2" t="s">
        <v>26</v>
      </c>
      <c r="C2" s="23">
        <v>46060</v>
      </c>
      <c r="E2" t="s">
        <v>27</v>
      </c>
      <c r="G2" s="25">
        <v>0.125</v>
      </c>
      <c r="I2" t="s">
        <v>33</v>
      </c>
      <c r="L2" s="25">
        <v>0.15</v>
      </c>
    </row>
    <row r="4" spans="2:21" x14ac:dyDescent="0.3">
      <c r="B4" s="2" t="s">
        <v>13</v>
      </c>
      <c r="C4" s="2"/>
      <c r="D4" s="2"/>
      <c r="E4" s="2">
        <v>2026</v>
      </c>
      <c r="F4" s="2">
        <v>2027</v>
      </c>
      <c r="G4" s="2">
        <v>2028</v>
      </c>
      <c r="H4" s="2">
        <v>2029</v>
      </c>
      <c r="I4" s="2">
        <v>2030</v>
      </c>
      <c r="J4" s="2">
        <v>2031</v>
      </c>
      <c r="K4" s="2"/>
      <c r="L4" s="54" t="s">
        <v>14</v>
      </c>
      <c r="M4" s="54"/>
      <c r="N4" s="54"/>
      <c r="O4" s="54" t="s">
        <v>48</v>
      </c>
      <c r="P4" s="54"/>
      <c r="Q4" s="54"/>
      <c r="R4" s="2"/>
      <c r="S4" s="54" t="s">
        <v>14</v>
      </c>
      <c r="T4" s="54"/>
      <c r="U4" s="54"/>
    </row>
    <row r="5" spans="2:21" x14ac:dyDescent="0.3">
      <c r="B5" t="s">
        <v>0</v>
      </c>
      <c r="E5" s="4">
        <v>485</v>
      </c>
      <c r="F5" s="4">
        <v>1940</v>
      </c>
      <c r="G5" s="4">
        <v>1940</v>
      </c>
      <c r="H5" s="4">
        <v>1940</v>
      </c>
      <c r="I5" s="4">
        <v>1940</v>
      </c>
      <c r="J5" s="4">
        <v>1455</v>
      </c>
      <c r="K5" s="1"/>
      <c r="L5" s="55" t="s">
        <v>15</v>
      </c>
      <c r="M5" s="55"/>
      <c r="N5" s="55"/>
      <c r="O5" t="s">
        <v>49</v>
      </c>
      <c r="Q5" s="1">
        <f>E15*22.55</f>
        <v>43747</v>
      </c>
      <c r="S5" s="55" t="s">
        <v>53</v>
      </c>
      <c r="T5" s="55"/>
      <c r="U5" s="55"/>
    </row>
    <row r="6" spans="2:21" x14ac:dyDescent="0.3">
      <c r="B6" t="s">
        <v>34</v>
      </c>
      <c r="E6" s="1">
        <f>E5-E7</f>
        <v>72.75</v>
      </c>
      <c r="F6" s="1">
        <f t="shared" ref="F6:J6" si="0">F5-F7</f>
        <v>291</v>
      </c>
      <c r="G6" s="1">
        <f t="shared" si="0"/>
        <v>291</v>
      </c>
      <c r="H6" s="1">
        <f t="shared" si="0"/>
        <v>291</v>
      </c>
      <c r="I6" s="1">
        <f t="shared" si="0"/>
        <v>291</v>
      </c>
      <c r="J6" s="1">
        <f t="shared" si="0"/>
        <v>218.25</v>
      </c>
      <c r="O6" t="s">
        <v>50</v>
      </c>
      <c r="Q6" s="1">
        <f>4160*22.55</f>
        <v>93808</v>
      </c>
      <c r="S6" s="55" t="s">
        <v>54</v>
      </c>
      <c r="T6" s="55"/>
      <c r="U6" s="55"/>
    </row>
    <row r="7" spans="2:21" x14ac:dyDescent="0.3">
      <c r="B7" t="s">
        <v>1</v>
      </c>
      <c r="E7" s="1">
        <f>E5*0.85</f>
        <v>412.25</v>
      </c>
      <c r="F7" s="1">
        <f t="shared" ref="F7:J7" si="1">F5*0.85</f>
        <v>1649</v>
      </c>
      <c r="G7" s="1">
        <f t="shared" si="1"/>
        <v>1649</v>
      </c>
      <c r="H7" s="1">
        <f t="shared" si="1"/>
        <v>1649</v>
      </c>
      <c r="I7" s="1">
        <f t="shared" si="1"/>
        <v>1649</v>
      </c>
      <c r="J7" s="1">
        <f t="shared" si="1"/>
        <v>1236.75</v>
      </c>
      <c r="O7" s="10" t="s">
        <v>51</v>
      </c>
      <c r="P7" s="10"/>
      <c r="Q7" s="32">
        <f>E24*22.55</f>
        <v>81180</v>
      </c>
      <c r="S7" s="55" t="s">
        <v>55</v>
      </c>
      <c r="T7" s="55"/>
      <c r="U7" s="55"/>
    </row>
    <row r="8" spans="2:21" x14ac:dyDescent="0.3">
      <c r="B8" t="s">
        <v>2</v>
      </c>
      <c r="E8" s="3">
        <f>E7/E5</f>
        <v>0.85</v>
      </c>
      <c r="F8" s="3">
        <f t="shared" ref="F8:J8" si="2">F7/F5</f>
        <v>0.85</v>
      </c>
      <c r="G8" s="3">
        <f t="shared" si="2"/>
        <v>0.85</v>
      </c>
      <c r="H8" s="3">
        <f t="shared" si="2"/>
        <v>0.85</v>
      </c>
      <c r="I8" s="3">
        <f t="shared" si="2"/>
        <v>0.85</v>
      </c>
      <c r="J8" s="3">
        <f t="shared" si="2"/>
        <v>0.85</v>
      </c>
      <c r="L8" s="55"/>
      <c r="M8" s="55"/>
      <c r="N8" s="55"/>
      <c r="O8" t="s">
        <v>52</v>
      </c>
      <c r="Q8" s="1">
        <f>SUM(Q5:Q7)</f>
        <v>218735</v>
      </c>
    </row>
    <row r="9" spans="2:21" x14ac:dyDescent="0.3">
      <c r="E9" s="1"/>
      <c r="F9" s="1"/>
      <c r="G9" s="1"/>
      <c r="H9" s="1"/>
      <c r="I9" s="1"/>
      <c r="J9" s="1"/>
    </row>
    <row r="10" spans="2:21" x14ac:dyDescent="0.3">
      <c r="B10" t="s">
        <v>4</v>
      </c>
      <c r="E10" s="1">
        <f>4640/5*0.25</f>
        <v>232</v>
      </c>
      <c r="F10" s="1">
        <f>4640/5</f>
        <v>928</v>
      </c>
      <c r="G10" s="1">
        <f>4640/5</f>
        <v>928</v>
      </c>
      <c r="H10" s="1">
        <f t="shared" ref="H10:I10" si="3">4640/5</f>
        <v>928</v>
      </c>
      <c r="I10" s="1">
        <f t="shared" si="3"/>
        <v>928</v>
      </c>
      <c r="J10" s="1">
        <f>4640/5*0.75</f>
        <v>696</v>
      </c>
      <c r="L10" s="55" t="s">
        <v>57</v>
      </c>
      <c r="M10" s="55"/>
      <c r="N10" s="55"/>
      <c r="P10" s="1"/>
      <c r="Q10" s="1"/>
    </row>
    <row r="11" spans="2:21" x14ac:dyDescent="0.3">
      <c r="B11" t="s">
        <v>5</v>
      </c>
      <c r="E11" s="1">
        <f>$E$16*-0.05</f>
        <v>112.5</v>
      </c>
      <c r="F11" s="1">
        <f t="shared" ref="F11:J11" si="4">$E$16*-0.05</f>
        <v>112.5</v>
      </c>
      <c r="G11" s="1">
        <f t="shared" si="4"/>
        <v>112.5</v>
      </c>
      <c r="H11" s="1">
        <f t="shared" si="4"/>
        <v>112.5</v>
      </c>
      <c r="I11" s="1">
        <f t="shared" si="4"/>
        <v>112.5</v>
      </c>
      <c r="J11" s="1">
        <f t="shared" si="4"/>
        <v>112.5</v>
      </c>
    </row>
    <row r="12" spans="2:21" x14ac:dyDescent="0.3">
      <c r="B12" t="s">
        <v>3</v>
      </c>
      <c r="E12" s="29">
        <f>E7-E10-E11</f>
        <v>67.75</v>
      </c>
      <c r="F12" s="6">
        <f>F7-F10-F11</f>
        <v>608.5</v>
      </c>
      <c r="G12" s="6">
        <f t="shared" ref="G12:J12" si="5">G7-G10-G11</f>
        <v>608.5</v>
      </c>
      <c r="H12" s="6">
        <f t="shared" si="5"/>
        <v>608.5</v>
      </c>
      <c r="I12" s="6">
        <f t="shared" si="5"/>
        <v>608.5</v>
      </c>
      <c r="J12" s="6">
        <f t="shared" si="5"/>
        <v>428.25</v>
      </c>
      <c r="P12" s="1"/>
    </row>
    <row r="13" spans="2:21" x14ac:dyDescent="0.3">
      <c r="E13" s="1"/>
      <c r="F13" s="1"/>
      <c r="G13" s="1"/>
      <c r="H13" s="1"/>
      <c r="I13" s="1"/>
      <c r="J13" s="1"/>
    </row>
    <row r="14" spans="2:21" x14ac:dyDescent="0.3">
      <c r="B14" t="s">
        <v>1</v>
      </c>
      <c r="E14" s="8">
        <f>E7</f>
        <v>412.25</v>
      </c>
      <c r="F14" s="8">
        <f t="shared" ref="F14:J14" si="6">F7</f>
        <v>1649</v>
      </c>
      <c r="G14" s="8">
        <f t="shared" si="6"/>
        <v>1649</v>
      </c>
      <c r="H14" s="8">
        <f t="shared" si="6"/>
        <v>1649</v>
      </c>
      <c r="I14" s="8">
        <f t="shared" si="6"/>
        <v>1649</v>
      </c>
      <c r="J14" s="8">
        <f t="shared" si="6"/>
        <v>1236.75</v>
      </c>
    </row>
    <row r="15" spans="2:21" x14ac:dyDescent="0.3">
      <c r="B15" t="s">
        <v>6</v>
      </c>
      <c r="E15" s="1">
        <v>1940</v>
      </c>
      <c r="F15" s="29">
        <v>0</v>
      </c>
      <c r="G15" s="5">
        <f>$E$15/-4</f>
        <v>-485</v>
      </c>
      <c r="H15" s="5">
        <f t="shared" ref="H15:J15" si="7">$E$15/-4</f>
        <v>-485</v>
      </c>
      <c r="I15" s="5">
        <f t="shared" si="7"/>
        <v>-485</v>
      </c>
      <c r="J15" s="5">
        <f t="shared" si="7"/>
        <v>-485</v>
      </c>
    </row>
    <row r="16" spans="2:21" x14ac:dyDescent="0.3">
      <c r="B16" t="s">
        <v>7</v>
      </c>
      <c r="E16" s="5">
        <f>-3000*0.75</f>
        <v>-2250</v>
      </c>
      <c r="F16" s="5">
        <f>-3000*0.25</f>
        <v>-750</v>
      </c>
      <c r="G16" s="1"/>
      <c r="H16" s="1"/>
      <c r="I16" s="1"/>
      <c r="J16" s="1"/>
      <c r="L16" s="55" t="s">
        <v>16</v>
      </c>
      <c r="M16" s="55"/>
      <c r="N16" s="55"/>
    </row>
    <row r="17" spans="2:18" x14ac:dyDescent="0.3">
      <c r="B17" t="s">
        <v>8</v>
      </c>
      <c r="E17" s="5">
        <f>-5800*0.75</f>
        <v>-4350</v>
      </c>
      <c r="F17" s="5">
        <f>-5800*0.25</f>
        <v>-1450</v>
      </c>
      <c r="G17" s="1"/>
      <c r="H17" s="1"/>
      <c r="I17" s="1"/>
      <c r="J17" s="1"/>
      <c r="L17" s="55" t="s">
        <v>56</v>
      </c>
      <c r="M17" s="55"/>
      <c r="N17" s="55"/>
    </row>
    <row r="18" spans="2:18" x14ac:dyDescent="0.3">
      <c r="B18" t="s">
        <v>9</v>
      </c>
      <c r="E18" s="1"/>
      <c r="F18" s="5">
        <f>-0.5*200</f>
        <v>-100</v>
      </c>
      <c r="G18" s="5">
        <f t="shared" ref="G18:J18" si="8">-0.5*200</f>
        <v>-100</v>
      </c>
      <c r="H18" s="5">
        <f t="shared" si="8"/>
        <v>-100</v>
      </c>
      <c r="I18" s="5">
        <f t="shared" si="8"/>
        <v>-100</v>
      </c>
      <c r="J18" s="5">
        <f t="shared" si="8"/>
        <v>-100</v>
      </c>
      <c r="L18" s="55" t="s">
        <v>32</v>
      </c>
      <c r="M18" s="55"/>
      <c r="N18" s="55"/>
    </row>
    <row r="19" spans="2:18" x14ac:dyDescent="0.3">
      <c r="B19" t="s">
        <v>10</v>
      </c>
      <c r="E19" s="1"/>
      <c r="F19" s="1"/>
      <c r="G19" s="1"/>
      <c r="H19" s="1"/>
      <c r="I19" s="1"/>
      <c r="J19" s="1">
        <f>(E17+F17)*-0.2</f>
        <v>1160</v>
      </c>
      <c r="L19" s="1"/>
    </row>
    <row r="20" spans="2:18" x14ac:dyDescent="0.3">
      <c r="B20" t="s">
        <v>11</v>
      </c>
      <c r="E20" s="1"/>
      <c r="F20" s="1"/>
      <c r="G20" s="1"/>
      <c r="H20" s="1"/>
      <c r="I20" s="1"/>
      <c r="J20" s="1">
        <f>E16*-0.75</f>
        <v>1687.5</v>
      </c>
      <c r="Q20" s="9"/>
    </row>
    <row r="21" spans="2:18" x14ac:dyDescent="0.3">
      <c r="E21" s="1"/>
      <c r="F21" s="1"/>
      <c r="G21" s="1"/>
      <c r="H21" s="1"/>
      <c r="I21" s="1"/>
      <c r="J21" s="1"/>
    </row>
    <row r="22" spans="2:18" x14ac:dyDescent="0.3">
      <c r="B22" s="17" t="s">
        <v>12</v>
      </c>
      <c r="C22" s="18"/>
      <c r="D22" s="18"/>
      <c r="E22" s="19">
        <f>E14+E15+E16+E17</f>
        <v>-4247.75</v>
      </c>
      <c r="F22" s="19">
        <f>SUM(F14:F18)</f>
        <v>-651</v>
      </c>
      <c r="G22" s="19">
        <f>G14+G15+G18</f>
        <v>1064</v>
      </c>
      <c r="H22" s="19">
        <f>H14+H15+H18</f>
        <v>1064</v>
      </c>
      <c r="I22" s="19">
        <f>I14+I18</f>
        <v>1549</v>
      </c>
      <c r="J22" s="20">
        <f>J14+J18+J19+J20</f>
        <v>3984.25</v>
      </c>
      <c r="Q22" s="1"/>
    </row>
    <row r="23" spans="2:18" x14ac:dyDescent="0.3">
      <c r="Q23" s="1"/>
      <c r="R23" s="1"/>
    </row>
    <row r="24" spans="2:18" x14ac:dyDescent="0.3">
      <c r="B24" t="s">
        <v>20</v>
      </c>
      <c r="E24" s="4">
        <v>3600</v>
      </c>
      <c r="F24" s="5"/>
      <c r="G24" s="5"/>
      <c r="H24" s="5"/>
      <c r="I24" s="5"/>
      <c r="J24" s="5"/>
    </row>
    <row r="25" spans="2:18" x14ac:dyDescent="0.3">
      <c r="B25" t="s">
        <v>21</v>
      </c>
      <c r="E25" s="5">
        <f>$E$24*-0.06</f>
        <v>-216</v>
      </c>
      <c r="F25" s="5">
        <f t="shared" ref="F25:I25" si="9">$E$24*-0.06</f>
        <v>-216</v>
      </c>
      <c r="G25" s="5">
        <f t="shared" si="9"/>
        <v>-216</v>
      </c>
      <c r="H25" s="5">
        <f t="shared" si="9"/>
        <v>-216</v>
      </c>
      <c r="I25" s="5">
        <f t="shared" si="9"/>
        <v>-216</v>
      </c>
      <c r="J25" s="5">
        <f>$E$24*-0.06*0.5</f>
        <v>-108</v>
      </c>
      <c r="L25" s="55" t="s">
        <v>31</v>
      </c>
      <c r="M25" s="55"/>
      <c r="N25" s="55"/>
    </row>
    <row r="26" spans="2:18" x14ac:dyDescent="0.3">
      <c r="B26" t="s">
        <v>22</v>
      </c>
      <c r="E26" s="5"/>
      <c r="F26" s="5"/>
      <c r="G26" s="5"/>
      <c r="H26" s="5"/>
      <c r="I26" s="5"/>
      <c r="J26" s="21">
        <f>-E24</f>
        <v>-3600</v>
      </c>
    </row>
    <row r="27" spans="2:18" x14ac:dyDescent="0.3">
      <c r="E27" s="5"/>
      <c r="F27" s="5"/>
      <c r="G27" s="5"/>
      <c r="H27" s="5"/>
      <c r="I27" s="5"/>
      <c r="J27" s="5"/>
    </row>
    <row r="28" spans="2:18" x14ac:dyDescent="0.3">
      <c r="B28" s="17" t="s">
        <v>23</v>
      </c>
      <c r="C28" s="18"/>
      <c r="D28" s="18"/>
      <c r="E28" s="22">
        <f>E22+E24+E25</f>
        <v>-863.75</v>
      </c>
      <c r="F28" s="19">
        <f>F22+F25</f>
        <v>-867</v>
      </c>
      <c r="G28" s="19">
        <f t="shared" ref="G28:I28" si="10">G22+G25</f>
        <v>848</v>
      </c>
      <c r="H28" s="19">
        <f t="shared" si="10"/>
        <v>848</v>
      </c>
      <c r="I28" s="19">
        <f t="shared" si="10"/>
        <v>1333</v>
      </c>
      <c r="J28" s="30">
        <f>J22+J25+J26</f>
        <v>276.25</v>
      </c>
    </row>
    <row r="30" spans="2:18" x14ac:dyDescent="0.3">
      <c r="B30" t="s">
        <v>24</v>
      </c>
      <c r="D30" s="24"/>
      <c r="E30" s="5">
        <f t="shared" ref="E30:J30" si="11">E22/((1+$G$2)^(E$4-YEAR($C$2)+0.5))</f>
        <v>-4004.8171063802101</v>
      </c>
      <c r="F30" s="59">
        <f t="shared" si="11"/>
        <v>-545.57216539548733</v>
      </c>
      <c r="G30" s="1">
        <f t="shared" si="11"/>
        <v>792.61141352558263</v>
      </c>
      <c r="H30" s="1">
        <f t="shared" si="11"/>
        <v>704.5434786894067</v>
      </c>
      <c r="I30" s="1">
        <f t="shared" si="11"/>
        <v>911.72752588963328</v>
      </c>
      <c r="J30" s="1">
        <f t="shared" si="11"/>
        <v>2084.5278789330873</v>
      </c>
      <c r="L30" s="55" t="s">
        <v>28</v>
      </c>
      <c r="M30" s="55"/>
      <c r="N30" s="55"/>
    </row>
    <row r="31" spans="2:18" x14ac:dyDescent="0.3">
      <c r="B31" t="s">
        <v>25</v>
      </c>
      <c r="D31" s="24"/>
      <c r="E31" s="5">
        <f>E28/((1+$L$2)^(E$4-YEAR($C$2)+0.5))</f>
        <v>-805.45102811757101</v>
      </c>
      <c r="F31" s="59">
        <f t="shared" ref="F31:J31" si="12">F28/((1+$L$2)^(F$4-YEAR($C$2)+0.5))</f>
        <v>-703.02753803856706</v>
      </c>
      <c r="G31" s="1">
        <f t="shared" si="12"/>
        <v>597.93124944256044</v>
      </c>
      <c r="H31" s="1">
        <f t="shared" si="12"/>
        <v>519.94021690657428</v>
      </c>
      <c r="I31" s="1">
        <f t="shared" si="12"/>
        <v>710.70581330646405</v>
      </c>
      <c r="J31" s="1">
        <f t="shared" si="12"/>
        <v>128.0749410782548</v>
      </c>
      <c r="L31" s="55" t="s">
        <v>28</v>
      </c>
      <c r="M31" s="55"/>
      <c r="N31" s="55"/>
    </row>
    <row r="33" spans="2:14" x14ac:dyDescent="0.3">
      <c r="B33" s="13" t="s">
        <v>17</v>
      </c>
      <c r="C33" s="14"/>
      <c r="D33" s="14"/>
      <c r="E33" s="33">
        <f>SUM(E30:J30)</f>
        <v>-56.978974737987301</v>
      </c>
      <c r="I33" s="6"/>
      <c r="L33" s="55" t="s">
        <v>30</v>
      </c>
      <c r="M33" s="55"/>
      <c r="N33" s="55"/>
    </row>
    <row r="34" spans="2:14" x14ac:dyDescent="0.3">
      <c r="B34" s="15" t="s">
        <v>29</v>
      </c>
      <c r="C34" s="11"/>
      <c r="D34" s="11"/>
      <c r="E34" s="28">
        <f>SUM(E31:J31)</f>
        <v>448.17365457771541</v>
      </c>
      <c r="I34" s="6"/>
      <c r="L34" s="55" t="s">
        <v>75</v>
      </c>
      <c r="M34" s="55"/>
      <c r="N34" s="55"/>
    </row>
    <row r="35" spans="2:14" x14ac:dyDescent="0.3">
      <c r="B35" s="15" t="s">
        <v>18</v>
      </c>
      <c r="C35" s="11"/>
      <c r="D35" s="11"/>
      <c r="E35" s="26">
        <f>IRR(E22:J22)</f>
        <v>0.1213109729894053</v>
      </c>
    </row>
    <row r="36" spans="2:14" x14ac:dyDescent="0.3">
      <c r="B36" s="16" t="s">
        <v>19</v>
      </c>
      <c r="C36" s="12"/>
      <c r="D36" s="12"/>
      <c r="E36" s="27">
        <f>IRR(E28:J28)</f>
        <v>0.266701540819269</v>
      </c>
    </row>
  </sheetData>
  <mergeCells count="17">
    <mergeCell ref="L5:N5"/>
    <mergeCell ref="L4:N4"/>
    <mergeCell ref="L8:N8"/>
    <mergeCell ref="L10:N10"/>
    <mergeCell ref="O4:Q4"/>
    <mergeCell ref="S4:U4"/>
    <mergeCell ref="S5:U5"/>
    <mergeCell ref="S6:U6"/>
    <mergeCell ref="S7:U7"/>
    <mergeCell ref="L30:N30"/>
    <mergeCell ref="L31:N31"/>
    <mergeCell ref="L33:N33"/>
    <mergeCell ref="L34:N34"/>
    <mergeCell ref="L16:N16"/>
    <mergeCell ref="L25:N25"/>
    <mergeCell ref="L18:N18"/>
    <mergeCell ref="L17:N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313F-51A0-4AC5-A64D-FE1E32BC2FAC}">
  <dimension ref="B2:AJ38"/>
  <sheetViews>
    <sheetView showGridLines="0" tabSelected="1" zoomScale="85" zoomScaleNormal="85" workbookViewId="0">
      <selection activeCell="L2" sqref="L2"/>
    </sheetView>
  </sheetViews>
  <sheetFormatPr defaultRowHeight="14.4" x14ac:dyDescent="0.3"/>
  <sheetData>
    <row r="2" spans="2:36" x14ac:dyDescent="0.3">
      <c r="B2" t="s">
        <v>26</v>
      </c>
      <c r="C2" s="23">
        <v>46060</v>
      </c>
      <c r="E2" t="s">
        <v>27</v>
      </c>
      <c r="G2" s="25">
        <v>0.125</v>
      </c>
      <c r="I2" t="s">
        <v>33</v>
      </c>
      <c r="L2" s="25">
        <v>0.15</v>
      </c>
    </row>
    <row r="4" spans="2:36" x14ac:dyDescent="0.3">
      <c r="B4" s="2" t="s">
        <v>13</v>
      </c>
      <c r="C4" s="2"/>
      <c r="D4" s="2"/>
      <c r="E4" s="2">
        <v>2026</v>
      </c>
      <c r="F4" s="2">
        <v>2027</v>
      </c>
      <c r="G4" s="2">
        <v>2028</v>
      </c>
      <c r="H4" s="2">
        <v>2029</v>
      </c>
      <c r="I4" s="2">
        <v>2030</v>
      </c>
      <c r="J4" s="2">
        <v>2031</v>
      </c>
      <c r="K4" s="35">
        <f>J4+1</f>
        <v>2032</v>
      </c>
      <c r="L4" s="2">
        <f t="shared" ref="L4:Y4" si="0">K4+1</f>
        <v>2033</v>
      </c>
      <c r="M4" s="2">
        <f t="shared" si="0"/>
        <v>2034</v>
      </c>
      <c r="N4" s="2">
        <f t="shared" si="0"/>
        <v>2035</v>
      </c>
      <c r="O4" s="2">
        <f t="shared" si="0"/>
        <v>2036</v>
      </c>
      <c r="P4" s="35">
        <f t="shared" si="0"/>
        <v>2037</v>
      </c>
      <c r="Q4" s="2">
        <f t="shared" si="0"/>
        <v>2038</v>
      </c>
      <c r="R4" s="2">
        <f t="shared" si="0"/>
        <v>2039</v>
      </c>
      <c r="S4" s="2">
        <f t="shared" si="0"/>
        <v>2040</v>
      </c>
      <c r="T4" s="2">
        <f t="shared" si="0"/>
        <v>2041</v>
      </c>
      <c r="U4" s="35">
        <f t="shared" si="0"/>
        <v>2042</v>
      </c>
      <c r="V4" s="2">
        <f t="shared" si="0"/>
        <v>2043</v>
      </c>
      <c r="W4" s="2">
        <f t="shared" si="0"/>
        <v>2044</v>
      </c>
      <c r="X4" s="2">
        <f t="shared" si="0"/>
        <v>2045</v>
      </c>
      <c r="Y4" s="41">
        <f t="shared" si="0"/>
        <v>2046</v>
      </c>
      <c r="Z4" s="2">
        <v>2047</v>
      </c>
      <c r="AA4" s="54" t="s">
        <v>14</v>
      </c>
      <c r="AB4" s="54"/>
      <c r="AC4" s="54"/>
      <c r="AD4" s="54" t="s">
        <v>48</v>
      </c>
      <c r="AE4" s="54"/>
      <c r="AF4" s="54"/>
      <c r="AG4" s="2"/>
      <c r="AH4" s="54" t="s">
        <v>14</v>
      </c>
      <c r="AI4" s="54"/>
      <c r="AJ4" s="54"/>
    </row>
    <row r="5" spans="2:36" x14ac:dyDescent="0.3">
      <c r="B5" t="s">
        <v>0</v>
      </c>
      <c r="E5" s="4">
        <v>485</v>
      </c>
      <c r="F5" s="4">
        <v>1940</v>
      </c>
      <c r="G5" s="4">
        <v>1940</v>
      </c>
      <c r="H5" s="4">
        <v>1940</v>
      </c>
      <c r="I5" s="4">
        <v>1940</v>
      </c>
      <c r="J5" s="4">
        <v>1455</v>
      </c>
      <c r="K5" s="36">
        <v>1940</v>
      </c>
      <c r="L5" s="4">
        <v>1940</v>
      </c>
      <c r="M5" s="4">
        <v>1940</v>
      </c>
      <c r="N5" s="4">
        <v>1940</v>
      </c>
      <c r="O5" s="4">
        <v>1940</v>
      </c>
      <c r="P5" s="36">
        <v>1940</v>
      </c>
      <c r="Q5" s="4">
        <v>1940</v>
      </c>
      <c r="R5" s="4">
        <v>1940</v>
      </c>
      <c r="S5" s="4">
        <v>1940</v>
      </c>
      <c r="T5" s="4">
        <v>1940</v>
      </c>
      <c r="U5" s="36">
        <v>1940</v>
      </c>
      <c r="V5" s="4">
        <v>1940</v>
      </c>
      <c r="W5" s="4">
        <v>1940</v>
      </c>
      <c r="X5" s="4">
        <v>1940</v>
      </c>
      <c r="Y5" s="42">
        <v>1940</v>
      </c>
      <c r="AA5" s="55" t="s">
        <v>15</v>
      </c>
      <c r="AB5" s="55"/>
      <c r="AC5" s="55"/>
      <c r="AD5" t="s">
        <v>49</v>
      </c>
      <c r="AF5" s="1">
        <f>(E15*4)*22.55</f>
        <v>174988</v>
      </c>
      <c r="AH5" s="55" t="s">
        <v>53</v>
      </c>
      <c r="AI5" s="55"/>
      <c r="AJ5" s="55"/>
    </row>
    <row r="6" spans="2:36" x14ac:dyDescent="0.3">
      <c r="B6" t="s">
        <v>34</v>
      </c>
      <c r="E6" s="1">
        <f>E5-E7</f>
        <v>72.75</v>
      </c>
      <c r="F6" s="1">
        <f t="shared" ref="F6:Y6" si="1">F5-F7</f>
        <v>291</v>
      </c>
      <c r="G6" s="1">
        <f t="shared" si="1"/>
        <v>291</v>
      </c>
      <c r="H6" s="1">
        <f t="shared" si="1"/>
        <v>291</v>
      </c>
      <c r="I6" s="1">
        <f t="shared" si="1"/>
        <v>291</v>
      </c>
      <c r="J6" s="1">
        <f t="shared" si="1"/>
        <v>218.25</v>
      </c>
      <c r="K6" s="37">
        <f t="shared" si="1"/>
        <v>291</v>
      </c>
      <c r="L6" s="1">
        <f t="shared" si="1"/>
        <v>291</v>
      </c>
      <c r="M6" s="1">
        <f t="shared" si="1"/>
        <v>291</v>
      </c>
      <c r="N6" s="1">
        <f t="shared" si="1"/>
        <v>291</v>
      </c>
      <c r="O6" s="1">
        <f t="shared" si="1"/>
        <v>291</v>
      </c>
      <c r="P6" s="37">
        <f t="shared" si="1"/>
        <v>291</v>
      </c>
      <c r="Q6" s="1">
        <f t="shared" si="1"/>
        <v>291</v>
      </c>
      <c r="R6" s="1">
        <f t="shared" si="1"/>
        <v>291</v>
      </c>
      <c r="S6" s="1">
        <f t="shared" si="1"/>
        <v>291</v>
      </c>
      <c r="T6" s="1">
        <f t="shared" si="1"/>
        <v>291</v>
      </c>
      <c r="U6" s="37">
        <f t="shared" si="1"/>
        <v>291</v>
      </c>
      <c r="V6" s="1">
        <f t="shared" si="1"/>
        <v>291</v>
      </c>
      <c r="W6" s="1">
        <f t="shared" si="1"/>
        <v>291</v>
      </c>
      <c r="X6" s="1">
        <f t="shared" si="1"/>
        <v>291</v>
      </c>
      <c r="Y6" s="43">
        <f t="shared" si="1"/>
        <v>291</v>
      </c>
      <c r="AD6" t="s">
        <v>50</v>
      </c>
      <c r="AF6" s="1">
        <f>(4160)+((2200)*3)*22.55</f>
        <v>152990</v>
      </c>
      <c r="AH6" s="55" t="s">
        <v>54</v>
      </c>
      <c r="AI6" s="55"/>
      <c r="AJ6" s="55"/>
    </row>
    <row r="7" spans="2:36" x14ac:dyDescent="0.3">
      <c r="B7" t="s">
        <v>1</v>
      </c>
      <c r="E7" s="1">
        <f>E5*0.85</f>
        <v>412.25</v>
      </c>
      <c r="F7" s="1">
        <f t="shared" ref="F7:Y7" si="2">F5*0.85</f>
        <v>1649</v>
      </c>
      <c r="G7" s="1">
        <f t="shared" si="2"/>
        <v>1649</v>
      </c>
      <c r="H7" s="1">
        <f t="shared" si="2"/>
        <v>1649</v>
      </c>
      <c r="I7" s="1">
        <f t="shared" si="2"/>
        <v>1649</v>
      </c>
      <c r="J7" s="1">
        <f t="shared" si="2"/>
        <v>1236.75</v>
      </c>
      <c r="K7" s="37">
        <f t="shared" si="2"/>
        <v>1649</v>
      </c>
      <c r="L7" s="1">
        <f t="shared" si="2"/>
        <v>1649</v>
      </c>
      <c r="M7" s="1">
        <f t="shared" si="2"/>
        <v>1649</v>
      </c>
      <c r="N7" s="1">
        <f t="shared" si="2"/>
        <v>1649</v>
      </c>
      <c r="O7" s="1">
        <f t="shared" si="2"/>
        <v>1649</v>
      </c>
      <c r="P7" s="37">
        <f t="shared" si="2"/>
        <v>1649</v>
      </c>
      <c r="Q7" s="1">
        <f t="shared" si="2"/>
        <v>1649</v>
      </c>
      <c r="R7" s="1">
        <f t="shared" si="2"/>
        <v>1649</v>
      </c>
      <c r="S7" s="1">
        <f t="shared" si="2"/>
        <v>1649</v>
      </c>
      <c r="T7" s="1">
        <f t="shared" si="2"/>
        <v>1649</v>
      </c>
      <c r="U7" s="37">
        <f t="shared" si="2"/>
        <v>1649</v>
      </c>
      <c r="V7" s="1">
        <f t="shared" si="2"/>
        <v>1649</v>
      </c>
      <c r="W7" s="1">
        <f t="shared" si="2"/>
        <v>1649</v>
      </c>
      <c r="X7" s="1">
        <f t="shared" si="2"/>
        <v>1649</v>
      </c>
      <c r="Y7" s="43">
        <f t="shared" si="2"/>
        <v>1649</v>
      </c>
      <c r="AD7" s="10" t="s">
        <v>51</v>
      </c>
      <c r="AE7" s="10"/>
      <c r="AF7" s="32">
        <f>(E24*4)*22.55</f>
        <v>324720</v>
      </c>
      <c r="AH7" s="55" t="s">
        <v>55</v>
      </c>
      <c r="AI7" s="55"/>
      <c r="AJ7" s="55"/>
    </row>
    <row r="8" spans="2:36" x14ac:dyDescent="0.3">
      <c r="B8" t="s">
        <v>2</v>
      </c>
      <c r="E8" s="3">
        <f>E7/E5</f>
        <v>0.85</v>
      </c>
      <c r="F8" s="3">
        <f t="shared" ref="F8:Y8" si="3">F7/F5</f>
        <v>0.85</v>
      </c>
      <c r="G8" s="3">
        <f t="shared" si="3"/>
        <v>0.85</v>
      </c>
      <c r="H8" s="3">
        <f t="shared" si="3"/>
        <v>0.85</v>
      </c>
      <c r="I8" s="3">
        <f t="shared" si="3"/>
        <v>0.85</v>
      </c>
      <c r="J8" s="3">
        <f t="shared" si="3"/>
        <v>0.85</v>
      </c>
      <c r="K8" s="38">
        <f t="shared" si="3"/>
        <v>0.85</v>
      </c>
      <c r="L8" s="3">
        <f t="shared" si="3"/>
        <v>0.85</v>
      </c>
      <c r="M8" s="3">
        <f t="shared" si="3"/>
        <v>0.85</v>
      </c>
      <c r="N8" s="3">
        <f t="shared" si="3"/>
        <v>0.85</v>
      </c>
      <c r="O8" s="3">
        <f t="shared" si="3"/>
        <v>0.85</v>
      </c>
      <c r="P8" s="38">
        <f t="shared" si="3"/>
        <v>0.85</v>
      </c>
      <c r="Q8" s="3">
        <f t="shared" si="3"/>
        <v>0.85</v>
      </c>
      <c r="R8" s="3">
        <f t="shared" si="3"/>
        <v>0.85</v>
      </c>
      <c r="S8" s="3">
        <f t="shared" si="3"/>
        <v>0.85</v>
      </c>
      <c r="T8" s="3">
        <f t="shared" si="3"/>
        <v>0.85</v>
      </c>
      <c r="U8" s="38">
        <f t="shared" si="3"/>
        <v>0.85</v>
      </c>
      <c r="V8" s="3">
        <f t="shared" si="3"/>
        <v>0.85</v>
      </c>
      <c r="W8" s="3">
        <f t="shared" si="3"/>
        <v>0.85</v>
      </c>
      <c r="X8" s="3">
        <f t="shared" si="3"/>
        <v>0.85</v>
      </c>
      <c r="Y8" s="44">
        <f t="shared" si="3"/>
        <v>0.85</v>
      </c>
      <c r="AA8" s="55"/>
      <c r="AB8" s="55"/>
      <c r="AC8" s="55"/>
      <c r="AD8" t="s">
        <v>52</v>
      </c>
      <c r="AF8" s="1">
        <f>SUM(AF5:AF7)</f>
        <v>652698</v>
      </c>
    </row>
    <row r="9" spans="2:36" x14ac:dyDescent="0.3">
      <c r="E9" s="1"/>
      <c r="F9" s="1"/>
      <c r="G9" s="1"/>
      <c r="H9" s="1"/>
      <c r="I9" s="1"/>
      <c r="J9" s="1"/>
      <c r="K9" s="39"/>
      <c r="P9" s="39"/>
      <c r="U9" s="39"/>
      <c r="Y9" s="45"/>
    </row>
    <row r="10" spans="2:36" x14ac:dyDescent="0.3">
      <c r="B10" t="s">
        <v>4</v>
      </c>
      <c r="E10" s="1">
        <f>4640/5*0.25</f>
        <v>232</v>
      </c>
      <c r="F10" s="1">
        <f>4640/5</f>
        <v>928</v>
      </c>
      <c r="G10" s="1">
        <f>4640/5</f>
        <v>928</v>
      </c>
      <c r="H10" s="1">
        <f t="shared" ref="H10:Y10" si="4">4640/5</f>
        <v>928</v>
      </c>
      <c r="I10" s="1">
        <f t="shared" si="4"/>
        <v>928</v>
      </c>
      <c r="J10" s="1">
        <f>4640/5*0.75</f>
        <v>696</v>
      </c>
      <c r="K10" s="37">
        <f t="shared" si="4"/>
        <v>928</v>
      </c>
      <c r="L10" s="1">
        <f t="shared" si="4"/>
        <v>928</v>
      </c>
      <c r="M10" s="1">
        <f t="shared" si="4"/>
        <v>928</v>
      </c>
      <c r="N10" s="1">
        <f t="shared" si="4"/>
        <v>928</v>
      </c>
      <c r="O10" s="43">
        <f t="shared" si="4"/>
        <v>928</v>
      </c>
      <c r="P10" s="37">
        <f t="shared" si="4"/>
        <v>928</v>
      </c>
      <c r="Q10" s="1">
        <f t="shared" si="4"/>
        <v>928</v>
      </c>
      <c r="R10" s="1">
        <f t="shared" si="4"/>
        <v>928</v>
      </c>
      <c r="S10" s="1">
        <f t="shared" si="4"/>
        <v>928</v>
      </c>
      <c r="T10" s="43">
        <f t="shared" si="4"/>
        <v>928</v>
      </c>
      <c r="U10" s="37">
        <f t="shared" si="4"/>
        <v>928</v>
      </c>
      <c r="V10" s="1">
        <f t="shared" si="4"/>
        <v>928</v>
      </c>
      <c r="W10" s="1">
        <f t="shared" si="4"/>
        <v>928</v>
      </c>
      <c r="X10" s="1">
        <f t="shared" si="4"/>
        <v>928</v>
      </c>
      <c r="Y10" s="43">
        <f t="shared" si="4"/>
        <v>928</v>
      </c>
      <c r="AA10" s="55" t="s">
        <v>76</v>
      </c>
      <c r="AB10" s="55"/>
      <c r="AC10" s="55"/>
      <c r="AD10" t="s">
        <v>58</v>
      </c>
      <c r="AF10" s="1">
        <f>SUM(E22:Y22)*22.5</f>
        <v>233775</v>
      </c>
    </row>
    <row r="11" spans="2:36" x14ac:dyDescent="0.3">
      <c r="B11" t="s">
        <v>5</v>
      </c>
      <c r="E11" s="1">
        <f>$E$16*-0.05</f>
        <v>112.5</v>
      </c>
      <c r="F11" s="1">
        <f t="shared" ref="F11:Y11" si="5">$E$16*-0.05</f>
        <v>112.5</v>
      </c>
      <c r="G11" s="1">
        <f t="shared" si="5"/>
        <v>112.5</v>
      </c>
      <c r="H11" s="1">
        <f t="shared" si="5"/>
        <v>112.5</v>
      </c>
      <c r="I11" s="1">
        <f t="shared" si="5"/>
        <v>112.5</v>
      </c>
      <c r="J11" s="1">
        <f t="shared" si="5"/>
        <v>112.5</v>
      </c>
      <c r="K11" s="37">
        <f t="shared" si="5"/>
        <v>112.5</v>
      </c>
      <c r="L11" s="1">
        <f t="shared" si="5"/>
        <v>112.5</v>
      </c>
      <c r="M11" s="1">
        <f t="shared" si="5"/>
        <v>112.5</v>
      </c>
      <c r="N11" s="1">
        <f t="shared" si="5"/>
        <v>112.5</v>
      </c>
      <c r="O11" s="1">
        <f t="shared" si="5"/>
        <v>112.5</v>
      </c>
      <c r="P11" s="37">
        <f t="shared" si="5"/>
        <v>112.5</v>
      </c>
      <c r="Q11" s="1">
        <f t="shared" si="5"/>
        <v>112.5</v>
      </c>
      <c r="R11" s="1">
        <f t="shared" si="5"/>
        <v>112.5</v>
      </c>
      <c r="S11" s="1">
        <f t="shared" si="5"/>
        <v>112.5</v>
      </c>
      <c r="T11" s="1">
        <f t="shared" si="5"/>
        <v>112.5</v>
      </c>
      <c r="U11" s="37">
        <f t="shared" si="5"/>
        <v>112.5</v>
      </c>
      <c r="V11" s="1">
        <f t="shared" si="5"/>
        <v>112.5</v>
      </c>
      <c r="W11" s="1">
        <f t="shared" si="5"/>
        <v>112.5</v>
      </c>
      <c r="X11" s="1">
        <f t="shared" si="5"/>
        <v>112.5</v>
      </c>
      <c r="Y11" s="43">
        <f t="shared" si="5"/>
        <v>112.5</v>
      </c>
      <c r="AD11" t="s">
        <v>59</v>
      </c>
      <c r="AF11" s="1">
        <f>SUM(E28:Y28)*22.5</f>
        <v>134145</v>
      </c>
    </row>
    <row r="12" spans="2:36" x14ac:dyDescent="0.3">
      <c r="B12" t="s">
        <v>3</v>
      </c>
      <c r="E12" s="29">
        <f>E7-E10-E11</f>
        <v>67.75</v>
      </c>
      <c r="F12" s="6">
        <f>F7-F10-F11</f>
        <v>608.5</v>
      </c>
      <c r="G12" s="6">
        <f t="shared" ref="G12:Y12" si="6">G7-G10-G11</f>
        <v>608.5</v>
      </c>
      <c r="H12" s="6">
        <f t="shared" si="6"/>
        <v>608.5</v>
      </c>
      <c r="I12" s="6">
        <f t="shared" si="6"/>
        <v>608.5</v>
      </c>
      <c r="J12" s="6">
        <f t="shared" si="6"/>
        <v>428.25</v>
      </c>
      <c r="K12" s="49">
        <f t="shared" si="6"/>
        <v>608.5</v>
      </c>
      <c r="L12" s="6">
        <f t="shared" si="6"/>
        <v>608.5</v>
      </c>
      <c r="M12" s="6">
        <f t="shared" si="6"/>
        <v>608.5</v>
      </c>
      <c r="N12" s="6">
        <f t="shared" si="6"/>
        <v>608.5</v>
      </c>
      <c r="O12" s="50">
        <f t="shared" si="6"/>
        <v>608.5</v>
      </c>
      <c r="P12" s="49">
        <f t="shared" si="6"/>
        <v>608.5</v>
      </c>
      <c r="Q12" s="6">
        <f t="shared" si="6"/>
        <v>608.5</v>
      </c>
      <c r="R12" s="6">
        <f t="shared" si="6"/>
        <v>608.5</v>
      </c>
      <c r="S12" s="6">
        <f t="shared" si="6"/>
        <v>608.5</v>
      </c>
      <c r="T12" s="50">
        <f t="shared" si="6"/>
        <v>608.5</v>
      </c>
      <c r="U12" s="49">
        <f t="shared" si="6"/>
        <v>608.5</v>
      </c>
      <c r="V12" s="6">
        <f t="shared" si="6"/>
        <v>608.5</v>
      </c>
      <c r="W12" s="6">
        <f t="shared" si="6"/>
        <v>608.5</v>
      </c>
      <c r="X12" s="6">
        <f t="shared" si="6"/>
        <v>608.5</v>
      </c>
      <c r="Y12" s="50">
        <f t="shared" si="6"/>
        <v>608.5</v>
      </c>
    </row>
    <row r="13" spans="2:36" x14ac:dyDescent="0.3">
      <c r="E13" s="1"/>
      <c r="F13" s="1"/>
      <c r="G13" s="1"/>
      <c r="H13" s="1"/>
      <c r="I13" s="1"/>
      <c r="J13" s="1"/>
      <c r="K13" s="39"/>
      <c r="P13" s="39"/>
      <c r="U13" s="39"/>
      <c r="Y13" s="45"/>
      <c r="AD13" t="s">
        <v>60</v>
      </c>
      <c r="AF13" s="6">
        <f>E33*22.5</f>
        <v>11992.504458013258</v>
      </c>
    </row>
    <row r="14" spans="2:36" x14ac:dyDescent="0.3">
      <c r="B14" t="s">
        <v>1</v>
      </c>
      <c r="E14" s="8">
        <f>E7</f>
        <v>412.25</v>
      </c>
      <c r="F14" s="8">
        <f t="shared" ref="F14:Y14" si="7">F7</f>
        <v>1649</v>
      </c>
      <c r="G14" s="8">
        <f t="shared" si="7"/>
        <v>1649</v>
      </c>
      <c r="H14" s="8">
        <f t="shared" si="7"/>
        <v>1649</v>
      </c>
      <c r="I14" s="8">
        <f t="shared" si="7"/>
        <v>1649</v>
      </c>
      <c r="J14" s="8">
        <f t="shared" si="7"/>
        <v>1236.75</v>
      </c>
      <c r="K14" s="47">
        <f t="shared" si="7"/>
        <v>1649</v>
      </c>
      <c r="L14" s="8">
        <f t="shared" si="7"/>
        <v>1649</v>
      </c>
      <c r="M14" s="8">
        <f t="shared" si="7"/>
        <v>1649</v>
      </c>
      <c r="N14" s="8">
        <f t="shared" si="7"/>
        <v>1649</v>
      </c>
      <c r="O14" s="8">
        <f t="shared" si="7"/>
        <v>1649</v>
      </c>
      <c r="P14" s="47">
        <f t="shared" si="7"/>
        <v>1649</v>
      </c>
      <c r="Q14" s="8">
        <f t="shared" si="7"/>
        <v>1649</v>
      </c>
      <c r="R14" s="8">
        <f t="shared" si="7"/>
        <v>1649</v>
      </c>
      <c r="S14" s="8">
        <f t="shared" si="7"/>
        <v>1649</v>
      </c>
      <c r="T14" s="8">
        <f t="shared" si="7"/>
        <v>1649</v>
      </c>
      <c r="U14" s="47">
        <f t="shared" si="7"/>
        <v>1649</v>
      </c>
      <c r="V14" s="8">
        <f t="shared" si="7"/>
        <v>1649</v>
      </c>
      <c r="W14" s="8">
        <f t="shared" si="7"/>
        <v>1649</v>
      </c>
      <c r="X14" s="8">
        <f t="shared" si="7"/>
        <v>1649</v>
      </c>
      <c r="Y14" s="48">
        <f t="shared" si="7"/>
        <v>1649</v>
      </c>
      <c r="AD14" t="s">
        <v>61</v>
      </c>
      <c r="AF14" s="6">
        <f>E34*22.5+AF15</f>
        <v>37094.63059866117</v>
      </c>
    </row>
    <row r="15" spans="2:36" x14ac:dyDescent="0.3">
      <c r="B15" t="s">
        <v>6</v>
      </c>
      <c r="E15" s="1">
        <v>1940</v>
      </c>
      <c r="F15" s="29">
        <v>0</v>
      </c>
      <c r="G15" s="5">
        <f>$E$15/-4</f>
        <v>-485</v>
      </c>
      <c r="H15" s="5">
        <f t="shared" ref="H15:J15" si="8">$E$15/-4</f>
        <v>-485</v>
      </c>
      <c r="I15" s="5">
        <f t="shared" si="8"/>
        <v>-485</v>
      </c>
      <c r="J15" s="5">
        <f t="shared" si="8"/>
        <v>-485</v>
      </c>
      <c r="K15" s="39">
        <v>1940</v>
      </c>
      <c r="L15">
        <v>0</v>
      </c>
      <c r="M15" s="5">
        <f>$K$15/-3</f>
        <v>-646.66666666666663</v>
      </c>
      <c r="N15" s="5">
        <f t="shared" ref="N15:O15" si="9">$K$15/-3</f>
        <v>-646.66666666666663</v>
      </c>
      <c r="O15" s="5">
        <f t="shared" si="9"/>
        <v>-646.66666666666663</v>
      </c>
      <c r="P15" s="39">
        <v>1940</v>
      </c>
      <c r="Q15">
        <v>0</v>
      </c>
      <c r="R15" s="5">
        <f>$K$15/-3</f>
        <v>-646.66666666666663</v>
      </c>
      <c r="S15" s="5">
        <f t="shared" ref="S15:T15" si="10">$K$15/-3</f>
        <v>-646.66666666666663</v>
      </c>
      <c r="T15" s="5">
        <f t="shared" si="10"/>
        <v>-646.66666666666663</v>
      </c>
      <c r="U15" s="39">
        <v>1940</v>
      </c>
      <c r="V15">
        <v>0</v>
      </c>
      <c r="W15" s="5">
        <f>$K$15/-3</f>
        <v>-646.66666666666663</v>
      </c>
      <c r="X15" s="5">
        <f t="shared" ref="X15:Y15" si="11">$K$15/-3</f>
        <v>-646.66666666666663</v>
      </c>
      <c r="Y15" s="46">
        <f t="shared" si="11"/>
        <v>-646.66666666666663</v>
      </c>
      <c r="AD15" t="s">
        <v>68</v>
      </c>
      <c r="AF15" s="1">
        <f>Z31</f>
        <v>9808.2725374013135</v>
      </c>
    </row>
    <row r="16" spans="2:36" x14ac:dyDescent="0.3">
      <c r="B16" t="s">
        <v>7</v>
      </c>
      <c r="E16" s="5">
        <f>-3000*0.75</f>
        <v>-2250</v>
      </c>
      <c r="F16" s="5">
        <f>-3000*0.25</f>
        <v>-750</v>
      </c>
      <c r="G16" s="1"/>
      <c r="H16" s="1"/>
      <c r="I16" s="1"/>
      <c r="J16" s="1"/>
      <c r="K16" s="39"/>
      <c r="P16" s="39"/>
      <c r="U16" s="39"/>
      <c r="Y16" s="45"/>
      <c r="AA16" s="55" t="s">
        <v>16</v>
      </c>
      <c r="AB16" s="55"/>
      <c r="AC16" s="55"/>
    </row>
    <row r="17" spans="2:36" x14ac:dyDescent="0.3">
      <c r="B17" t="s">
        <v>8</v>
      </c>
      <c r="E17" s="5">
        <f>-5800*0.75</f>
        <v>-4350</v>
      </c>
      <c r="F17" s="5">
        <f>-5800*0.25</f>
        <v>-1450</v>
      </c>
      <c r="G17" s="1"/>
      <c r="H17" s="1"/>
      <c r="I17" s="1"/>
      <c r="J17" s="1"/>
      <c r="K17" s="40">
        <f>-5800</f>
        <v>-5800</v>
      </c>
      <c r="P17" s="40">
        <f>-5800</f>
        <v>-5800</v>
      </c>
      <c r="U17" s="40">
        <f>-5800</f>
        <v>-5800</v>
      </c>
      <c r="Y17" s="45"/>
      <c r="AA17" s="55" t="s">
        <v>77</v>
      </c>
      <c r="AB17" s="55"/>
      <c r="AC17" s="55"/>
      <c r="AD17" t="s">
        <v>62</v>
      </c>
      <c r="AF17">
        <v>46.15</v>
      </c>
    </row>
    <row r="18" spans="2:36" x14ac:dyDescent="0.3">
      <c r="B18" t="s">
        <v>9</v>
      </c>
      <c r="E18" s="1"/>
      <c r="F18" s="5">
        <f>-0.5*200</f>
        <v>-100</v>
      </c>
      <c r="G18" s="5">
        <f t="shared" ref="G18:Y18" si="12">-0.5*200</f>
        <v>-100</v>
      </c>
      <c r="H18" s="5">
        <f t="shared" si="12"/>
        <v>-100</v>
      </c>
      <c r="I18" s="5">
        <f t="shared" si="12"/>
        <v>-100</v>
      </c>
      <c r="J18" s="5">
        <f t="shared" si="12"/>
        <v>-100</v>
      </c>
      <c r="K18" s="40">
        <f t="shared" si="12"/>
        <v>-100</v>
      </c>
      <c r="L18" s="5">
        <f t="shared" si="12"/>
        <v>-100</v>
      </c>
      <c r="M18" s="5">
        <f t="shared" si="12"/>
        <v>-100</v>
      </c>
      <c r="N18" s="5">
        <f t="shared" si="12"/>
        <v>-100</v>
      </c>
      <c r="O18" s="5">
        <f t="shared" si="12"/>
        <v>-100</v>
      </c>
      <c r="P18" s="40">
        <f t="shared" si="12"/>
        <v>-100</v>
      </c>
      <c r="Q18" s="5">
        <f t="shared" si="12"/>
        <v>-100</v>
      </c>
      <c r="R18" s="5">
        <f t="shared" si="12"/>
        <v>-100</v>
      </c>
      <c r="S18" s="5">
        <f t="shared" si="12"/>
        <v>-100</v>
      </c>
      <c r="T18" s="5">
        <f t="shared" si="12"/>
        <v>-100</v>
      </c>
      <c r="U18" s="40">
        <f t="shared" si="12"/>
        <v>-100</v>
      </c>
      <c r="V18" s="5">
        <f t="shared" si="12"/>
        <v>-100</v>
      </c>
      <c r="W18" s="5">
        <f t="shared" si="12"/>
        <v>-100</v>
      </c>
      <c r="X18" s="5">
        <f t="shared" si="12"/>
        <v>-100</v>
      </c>
      <c r="Y18" s="46">
        <f t="shared" si="12"/>
        <v>-100</v>
      </c>
      <c r="AA18" s="55" t="s">
        <v>32</v>
      </c>
      <c r="AB18" s="55"/>
      <c r="AC18" s="55"/>
      <c r="AD18" t="s">
        <v>63</v>
      </c>
      <c r="AF18">
        <v>331.44</v>
      </c>
      <c r="AH18" s="55" t="s">
        <v>64</v>
      </c>
      <c r="AI18" s="55"/>
      <c r="AJ18" s="55"/>
    </row>
    <row r="19" spans="2:36" x14ac:dyDescent="0.3">
      <c r="B19" t="s">
        <v>10</v>
      </c>
      <c r="E19" s="1"/>
      <c r="F19" s="1"/>
      <c r="G19" s="1"/>
      <c r="H19" s="1"/>
      <c r="I19" s="1"/>
      <c r="J19" s="1">
        <f>(E17+F17)*-0.2</f>
        <v>1160</v>
      </c>
      <c r="K19" s="39"/>
      <c r="O19" s="1">
        <f>K17*-0.2</f>
        <v>1160</v>
      </c>
      <c r="P19" s="39"/>
      <c r="T19" s="1">
        <f>P17*-0.2</f>
        <v>1160</v>
      </c>
      <c r="U19" s="39"/>
      <c r="Y19" s="43">
        <f>U17*-0.2</f>
        <v>1160</v>
      </c>
      <c r="AA19" s="1"/>
      <c r="AD19" t="s">
        <v>65</v>
      </c>
      <c r="AF19" s="1">
        <f>AF17*AF18</f>
        <v>15295.956</v>
      </c>
    </row>
    <row r="20" spans="2:36" x14ac:dyDescent="0.3">
      <c r="E20" s="1"/>
      <c r="F20" s="1"/>
      <c r="G20" s="1"/>
      <c r="H20" s="1"/>
      <c r="I20" s="1"/>
      <c r="J20" s="1"/>
      <c r="K20" s="39"/>
      <c r="P20" s="39"/>
      <c r="U20" s="39"/>
      <c r="Y20" s="45"/>
    </row>
    <row r="21" spans="2:36" x14ac:dyDescent="0.3">
      <c r="E21" s="1"/>
      <c r="F21" s="1"/>
      <c r="G21" s="1"/>
      <c r="H21" s="1"/>
      <c r="I21" s="1"/>
      <c r="J21" s="1"/>
      <c r="K21" s="39"/>
      <c r="P21" s="39"/>
      <c r="U21" s="39"/>
      <c r="Y21" s="45"/>
      <c r="AD21" t="s">
        <v>50</v>
      </c>
      <c r="AF21" s="1">
        <f>AF6</f>
        <v>152990</v>
      </c>
    </row>
    <row r="22" spans="2:36" x14ac:dyDescent="0.3">
      <c r="B22" s="17" t="s">
        <v>12</v>
      </c>
      <c r="C22" s="18"/>
      <c r="D22" s="18"/>
      <c r="E22" s="19">
        <f>E14+E15+E16+E17</f>
        <v>-4247.75</v>
      </c>
      <c r="F22" s="19">
        <f>SUM(F14:F18)</f>
        <v>-651</v>
      </c>
      <c r="G22" s="19">
        <f>G14+G15+G18</f>
        <v>1064</v>
      </c>
      <c r="H22" s="19">
        <f>H14+H15+H18</f>
        <v>1064</v>
      </c>
      <c r="I22" s="19">
        <f>I14+I18</f>
        <v>1549</v>
      </c>
      <c r="J22" s="19">
        <f>J14+J18+J19+J20</f>
        <v>2296.75</v>
      </c>
      <c r="K22" s="19">
        <f>K14+K15+K17+K18</f>
        <v>-2311</v>
      </c>
      <c r="L22" s="19">
        <f>L14+L15+L18</f>
        <v>1549</v>
      </c>
      <c r="M22" s="19">
        <f t="shared" ref="M22:O22" si="13">M14+M15+M18</f>
        <v>902.33333333333337</v>
      </c>
      <c r="N22" s="19">
        <f t="shared" si="13"/>
        <v>902.33333333333337</v>
      </c>
      <c r="O22" s="19">
        <f>O14+O15+O18+O19</f>
        <v>2062.3333333333335</v>
      </c>
      <c r="P22" s="19">
        <f>P14+P15+P17+P18</f>
        <v>-2311</v>
      </c>
      <c r="Q22" s="19">
        <f>Q14+Q15+Q18</f>
        <v>1549</v>
      </c>
      <c r="R22" s="19">
        <f t="shared" ref="R22:T22" si="14">R14+R15+R18</f>
        <v>902.33333333333337</v>
      </c>
      <c r="S22" s="19">
        <f t="shared" si="14"/>
        <v>902.33333333333337</v>
      </c>
      <c r="T22" s="19">
        <f>T14+T15+T18+T19</f>
        <v>2062.3333333333335</v>
      </c>
      <c r="U22" s="19">
        <f>U14+U15+U17+U18</f>
        <v>-2311</v>
      </c>
      <c r="V22" s="19">
        <f>V14+V15+V18</f>
        <v>1549</v>
      </c>
      <c r="W22" s="19">
        <f t="shared" ref="W22:Y22" si="15">W14+W15+W18</f>
        <v>902.33333333333337</v>
      </c>
      <c r="X22" s="19">
        <f t="shared" si="15"/>
        <v>902.33333333333337</v>
      </c>
      <c r="Y22" s="20">
        <f>Y14+Y15+Y18+Y19</f>
        <v>2062.3333333333335</v>
      </c>
      <c r="AD22" t="s">
        <v>66</v>
      </c>
      <c r="AF22" s="58">
        <v>3</v>
      </c>
    </row>
    <row r="23" spans="2:36" x14ac:dyDescent="0.3">
      <c r="K23" s="39"/>
      <c r="P23" s="39"/>
      <c r="U23" s="39"/>
      <c r="Y23" s="45"/>
      <c r="AD23" t="s">
        <v>63</v>
      </c>
      <c r="AF23" s="51">
        <f>AF18*AF22</f>
        <v>994.31999999999994</v>
      </c>
      <c r="AH23" s="55" t="s">
        <v>64</v>
      </c>
      <c r="AI23" s="55"/>
      <c r="AJ23" s="55"/>
    </row>
    <row r="24" spans="2:36" x14ac:dyDescent="0.3">
      <c r="B24" t="s">
        <v>20</v>
      </c>
      <c r="E24" s="4">
        <v>3600</v>
      </c>
      <c r="F24" s="5"/>
      <c r="G24" s="5"/>
      <c r="H24" s="5"/>
      <c r="I24" s="5"/>
      <c r="J24" s="5"/>
      <c r="K24" s="36">
        <v>3600</v>
      </c>
      <c r="P24" s="36">
        <v>3600</v>
      </c>
      <c r="U24" s="36">
        <v>3600</v>
      </c>
      <c r="Y24" s="45"/>
    </row>
    <row r="25" spans="2:36" x14ac:dyDescent="0.3">
      <c r="B25" t="s">
        <v>21</v>
      </c>
      <c r="E25" s="5">
        <f>$E$24*-0.06</f>
        <v>-216</v>
      </c>
      <c r="F25" s="5">
        <f t="shared" ref="F25:I25" si="16">$E$24*-0.06</f>
        <v>-216</v>
      </c>
      <c r="G25" s="5">
        <f t="shared" si="16"/>
        <v>-216</v>
      </c>
      <c r="H25" s="5">
        <f t="shared" si="16"/>
        <v>-216</v>
      </c>
      <c r="I25" s="5">
        <f t="shared" si="16"/>
        <v>-216</v>
      </c>
      <c r="J25" s="5">
        <f>$E$24*-0.06*0.5</f>
        <v>-108</v>
      </c>
      <c r="K25" s="40">
        <f>$K$24*-0.06</f>
        <v>-216</v>
      </c>
      <c r="L25" s="5">
        <f>$K$24*-0.06</f>
        <v>-216</v>
      </c>
      <c r="M25" s="5">
        <f t="shared" ref="M25:O25" si="17">$K$24*-0.06</f>
        <v>-216</v>
      </c>
      <c r="N25" s="5">
        <f t="shared" si="17"/>
        <v>-216</v>
      </c>
      <c r="O25" s="5">
        <f t="shared" si="17"/>
        <v>-216</v>
      </c>
      <c r="P25" s="40">
        <f>$K$24*-0.06</f>
        <v>-216</v>
      </c>
      <c r="Q25" s="5">
        <f>$K$24*-0.06</f>
        <v>-216</v>
      </c>
      <c r="R25" s="5">
        <f t="shared" ref="R25:T25" si="18">$K$24*-0.06</f>
        <v>-216</v>
      </c>
      <c r="S25" s="5">
        <f t="shared" si="18"/>
        <v>-216</v>
      </c>
      <c r="T25" s="5">
        <f t="shared" si="18"/>
        <v>-216</v>
      </c>
      <c r="U25" s="40">
        <f>$K$24*-0.06</f>
        <v>-216</v>
      </c>
      <c r="V25" s="5">
        <f>$K$24*-0.06</f>
        <v>-216</v>
      </c>
      <c r="W25" s="5">
        <f t="shared" ref="W25:Y25" si="19">$K$24*-0.06</f>
        <v>-216</v>
      </c>
      <c r="X25" s="5">
        <f t="shared" si="19"/>
        <v>-216</v>
      </c>
      <c r="Y25" s="46">
        <f t="shared" si="19"/>
        <v>-216</v>
      </c>
      <c r="AA25" s="55" t="s">
        <v>31</v>
      </c>
      <c r="AB25" s="55"/>
      <c r="AC25" s="55"/>
      <c r="AD25" t="s">
        <v>67</v>
      </c>
      <c r="AF25" s="56">
        <f>AF14/AF23</f>
        <v>37.306531698709847</v>
      </c>
    </row>
    <row r="26" spans="2:36" x14ac:dyDescent="0.3">
      <c r="B26" t="s">
        <v>22</v>
      </c>
      <c r="E26" s="5"/>
      <c r="F26" s="5"/>
      <c r="G26" s="5"/>
      <c r="H26" s="5"/>
      <c r="I26" s="5"/>
      <c r="J26" s="21">
        <f>-E24</f>
        <v>-3600</v>
      </c>
      <c r="K26" s="39"/>
      <c r="O26" s="21">
        <f>-K24</f>
        <v>-3600</v>
      </c>
      <c r="P26" s="39"/>
      <c r="T26" s="21">
        <f>-P24</f>
        <v>-3600</v>
      </c>
      <c r="U26" s="39"/>
      <c r="Y26" s="52">
        <f>-U24</f>
        <v>-3600</v>
      </c>
      <c r="AD26" t="s">
        <v>62</v>
      </c>
      <c r="AF26" s="56">
        <v>46.15</v>
      </c>
    </row>
    <row r="27" spans="2:36" x14ac:dyDescent="0.3">
      <c r="E27" s="5"/>
      <c r="F27" s="5"/>
      <c r="G27" s="5"/>
      <c r="H27" s="5"/>
      <c r="I27" s="5"/>
      <c r="J27" s="5"/>
      <c r="K27" s="39"/>
      <c r="P27" s="39"/>
      <c r="U27" s="39"/>
      <c r="Y27" s="45"/>
      <c r="AD27" t="s">
        <v>73</v>
      </c>
      <c r="AF27" s="57">
        <f>AF25/AF26-1</f>
        <v>-0.19162444856533378</v>
      </c>
    </row>
    <row r="28" spans="2:36" x14ac:dyDescent="0.3">
      <c r="B28" s="17" t="s">
        <v>23</v>
      </c>
      <c r="C28" s="18"/>
      <c r="D28" s="18"/>
      <c r="E28" s="22">
        <f>E22+E24+E25</f>
        <v>-863.75</v>
      </c>
      <c r="F28" s="19">
        <f>F22+F25</f>
        <v>-867</v>
      </c>
      <c r="G28" s="19">
        <f t="shared" ref="G28:I28" si="20">G22+G25</f>
        <v>848</v>
      </c>
      <c r="H28" s="19">
        <f t="shared" si="20"/>
        <v>848</v>
      </c>
      <c r="I28" s="19">
        <f t="shared" si="20"/>
        <v>1333</v>
      </c>
      <c r="J28" s="34">
        <f>J22+J25+J26</f>
        <v>-1411.25</v>
      </c>
      <c r="K28" s="19">
        <f>K22+K24+K25</f>
        <v>1073</v>
      </c>
      <c r="L28" s="19">
        <f>L22+L25</f>
        <v>1333</v>
      </c>
      <c r="M28" s="19">
        <f t="shared" ref="M28:N28" si="21">M22+M25</f>
        <v>686.33333333333337</v>
      </c>
      <c r="N28" s="19">
        <f t="shared" si="21"/>
        <v>686.33333333333337</v>
      </c>
      <c r="O28" s="19">
        <f>O22+O25+O26</f>
        <v>-1753.6666666666665</v>
      </c>
      <c r="P28" s="19">
        <f>P22+P24+P25</f>
        <v>1073</v>
      </c>
      <c r="Q28" s="19">
        <f>Q22+Q25</f>
        <v>1333</v>
      </c>
      <c r="R28" s="19">
        <f t="shared" ref="R28:S28" si="22">R22+R25</f>
        <v>686.33333333333337</v>
      </c>
      <c r="S28" s="19">
        <f t="shared" si="22"/>
        <v>686.33333333333337</v>
      </c>
      <c r="T28" s="19">
        <f>T22+T25+T26</f>
        <v>-1753.6666666666665</v>
      </c>
      <c r="U28" s="19">
        <f>U22+U24+U25</f>
        <v>1073</v>
      </c>
      <c r="V28" s="19">
        <f>V22+V25</f>
        <v>1333</v>
      </c>
      <c r="W28" s="19">
        <f t="shared" ref="W28:X28" si="23">W22+W25</f>
        <v>686.33333333333337</v>
      </c>
      <c r="X28" s="19">
        <f t="shared" si="23"/>
        <v>686.33333333333337</v>
      </c>
      <c r="Y28" s="20">
        <f>Y22+Y25+Y26</f>
        <v>-1753.6666666666665</v>
      </c>
      <c r="Z28" s="1">
        <f>(1073*(1+0.025)/(L2-0.025))*22.5</f>
        <v>197968.49999999997</v>
      </c>
    </row>
    <row r="29" spans="2:36" x14ac:dyDescent="0.3">
      <c r="K29" s="53"/>
      <c r="P29" s="53"/>
      <c r="U29" s="53"/>
      <c r="Y29" s="53"/>
    </row>
    <row r="30" spans="2:36" x14ac:dyDescent="0.3">
      <c r="B30" t="s">
        <v>24</v>
      </c>
      <c r="D30" s="24"/>
      <c r="E30" s="5">
        <f t="shared" ref="E30:J30" si="24">E22/((1+$G$2)^(E$4-YEAR($C$2)+0.5))</f>
        <v>-4004.8171063802101</v>
      </c>
      <c r="F30" s="6">
        <f t="shared" si="24"/>
        <v>-545.57216539548733</v>
      </c>
      <c r="G30" s="1">
        <f t="shared" si="24"/>
        <v>792.61141352558263</v>
      </c>
      <c r="H30" s="1">
        <f t="shared" si="24"/>
        <v>704.5434786894067</v>
      </c>
      <c r="I30" s="1">
        <f t="shared" si="24"/>
        <v>911.72752588963328</v>
      </c>
      <c r="J30" s="1">
        <f t="shared" si="24"/>
        <v>1201.6413141593948</v>
      </c>
      <c r="K30" s="5">
        <f t="shared" ref="K30:N30" si="25">K22/((1+$G$2)^(K$4-YEAR($C$2)+0.5))</f>
        <v>-1074.7527117389977</v>
      </c>
      <c r="L30" s="6">
        <f t="shared" si="25"/>
        <v>640.33538169477674</v>
      </c>
      <c r="M30" s="1">
        <f t="shared" si="25"/>
        <v>331.56643535810645</v>
      </c>
      <c r="N30" s="1">
        <f t="shared" si="25"/>
        <v>294.7257203183168</v>
      </c>
      <c r="O30" s="1">
        <f t="shared" ref="O30:S30" si="26">O22/((1+$G$2)^(O$4-YEAR($C$2)+0.5))</f>
        <v>598.76633636561223</v>
      </c>
      <c r="P30" s="5">
        <f t="shared" si="26"/>
        <v>-596.41140168780976</v>
      </c>
      <c r="Q30" s="6">
        <f t="shared" si="26"/>
        <v>355.34064569043403</v>
      </c>
      <c r="R30" s="1">
        <f t="shared" si="26"/>
        <v>183.99581625115465</v>
      </c>
      <c r="S30" s="1">
        <f t="shared" si="26"/>
        <v>163.55183666769307</v>
      </c>
      <c r="T30" s="1">
        <f t="shared" ref="T30:Y30" si="27">T22/((1+$G$2)^(T$4-YEAR($C$2)+0.5))</f>
        <v>332.27277870968817</v>
      </c>
      <c r="U30" s="5">
        <f t="shared" si="27"/>
        <v>-330.96595726441012</v>
      </c>
      <c r="V30" s="6">
        <f t="shared" si="27"/>
        <v>197.18881400166205</v>
      </c>
      <c r="W30" s="1">
        <f t="shared" si="27"/>
        <v>102.10460646103803</v>
      </c>
      <c r="X30" s="1">
        <f t="shared" si="27"/>
        <v>90.759650187589386</v>
      </c>
      <c r="Y30" s="1">
        <f t="shared" si="27"/>
        <v>184.38778663074848</v>
      </c>
      <c r="AA30" s="55" t="s">
        <v>28</v>
      </c>
      <c r="AB30" s="55"/>
      <c r="AC30" s="55"/>
    </row>
    <row r="31" spans="2:36" x14ac:dyDescent="0.3">
      <c r="B31" t="s">
        <v>25</v>
      </c>
      <c r="D31" s="24"/>
      <c r="E31" s="5">
        <f>E28/((1+$L$2)^(E$4-YEAR($C$2)+0.5))</f>
        <v>-805.45102811757101</v>
      </c>
      <c r="F31" s="6">
        <f t="shared" ref="F31:J31" si="28">F28/((1+$L$2)^(F$4-YEAR($C$2)+0.5))</f>
        <v>-703.02753803856706</v>
      </c>
      <c r="G31" s="1">
        <f t="shared" si="28"/>
        <v>597.93124944256044</v>
      </c>
      <c r="H31" s="1">
        <f t="shared" si="28"/>
        <v>519.94021690657428</v>
      </c>
      <c r="I31" s="1">
        <f t="shared" si="28"/>
        <v>710.70581330646405</v>
      </c>
      <c r="J31" s="31">
        <f t="shared" si="28"/>
        <v>-654.28329627760036</v>
      </c>
      <c r="K31" s="6">
        <f>K28/((1+$L$2)^(K$4-YEAR($C$2)+0.5))</f>
        <v>432.57733394284446</v>
      </c>
      <c r="L31" s="6">
        <f t="shared" ref="L31:N31" si="29">L28/((1+$L$2)^(L$4-YEAR($C$2)+0.5))</f>
        <v>467.3006087327783</v>
      </c>
      <c r="M31" s="1">
        <f t="shared" si="29"/>
        <v>209.2201209825914</v>
      </c>
      <c r="N31" s="1">
        <f t="shared" si="29"/>
        <v>181.93053998486212</v>
      </c>
      <c r="O31" s="1">
        <f t="shared" ref="O31" si="30">O28/((1+$L$2)^(O$4-YEAR($C$2)+0.5))</f>
        <v>-404.22179228429138</v>
      </c>
      <c r="P31" s="6">
        <f>P28/((1+$L$2)^(P$4-YEAR($C$2)+0.5))</f>
        <v>215.06738665374155</v>
      </c>
      <c r="Q31" s="6">
        <f t="shared" ref="Q31:T31" si="31">Q28/((1+$L$2)^(Q$4-YEAR($C$2)+0.5))</f>
        <v>232.33099105266623</v>
      </c>
      <c r="R31" s="1">
        <f t="shared" si="31"/>
        <v>104.01937670883805</v>
      </c>
      <c r="S31" s="1">
        <f t="shared" si="31"/>
        <v>90.451631920728744</v>
      </c>
      <c r="T31" s="1">
        <f t="shared" si="31"/>
        <v>-200.96967102432748</v>
      </c>
      <c r="U31" s="6">
        <f>U28/((1+$L$2)^(U$4-YEAR($C$2)+0.5))</f>
        <v>106.92650116564225</v>
      </c>
      <c r="V31" s="6">
        <f t="shared" ref="V31:Y31" si="32">V28/((1+$L$2)^(V$4-YEAR($C$2)+0.5))</f>
        <v>115.50956364018079</v>
      </c>
      <c r="W31" s="1">
        <f t="shared" si="32"/>
        <v>51.716014119863082</v>
      </c>
      <c r="X31" s="1">
        <f t="shared" si="32"/>
        <v>44.970447060750502</v>
      </c>
      <c r="Y31" s="1">
        <f t="shared" si="32"/>
        <v>-99.917444933846454</v>
      </c>
      <c r="Z31" s="1">
        <f>Z28/((1+$L$2)^(Z$4-YEAR($C$2)+0.5))</f>
        <v>9808.2725374013135</v>
      </c>
      <c r="AA31" s="55" t="s">
        <v>28</v>
      </c>
      <c r="AB31" s="55"/>
      <c r="AC31" s="55"/>
    </row>
    <row r="33" spans="2:29" x14ac:dyDescent="0.3">
      <c r="B33" s="13" t="s">
        <v>17</v>
      </c>
      <c r="C33" s="14"/>
      <c r="D33" s="14"/>
      <c r="E33" s="33">
        <f>SUM(E30:Y30)</f>
        <v>533.00019813392259</v>
      </c>
      <c r="I33" s="6"/>
      <c r="Z33" s="25"/>
      <c r="AA33" s="55" t="s">
        <v>74</v>
      </c>
      <c r="AB33" s="55"/>
      <c r="AC33" s="55"/>
    </row>
    <row r="34" spans="2:29" x14ac:dyDescent="0.3">
      <c r="B34" s="15" t="s">
        <v>29</v>
      </c>
      <c r="C34" s="11"/>
      <c r="D34" s="11"/>
      <c r="E34" s="28">
        <f>SUM(E31:Y31)</f>
        <v>1212.7270249448827</v>
      </c>
      <c r="I34" s="6"/>
      <c r="AA34" s="55" t="s">
        <v>75</v>
      </c>
      <c r="AB34" s="55"/>
      <c r="AC34" s="55"/>
    </row>
    <row r="35" spans="2:29" x14ac:dyDescent="0.3">
      <c r="B35" s="15" t="s">
        <v>18</v>
      </c>
      <c r="C35" s="11"/>
      <c r="D35" s="11"/>
      <c r="E35" s="26">
        <f>IRR(E22:Y22)</f>
        <v>0.14397618342749863</v>
      </c>
    </row>
    <row r="36" spans="2:29" x14ac:dyDescent="0.3">
      <c r="B36" s="16" t="s">
        <v>19</v>
      </c>
      <c r="C36" s="12"/>
      <c r="D36" s="12"/>
      <c r="E36" s="27">
        <f>IRR(E28:Y28)</f>
        <v>0.31226884705108193</v>
      </c>
      <c r="K36" s="29"/>
      <c r="S36" s="6"/>
    </row>
    <row r="37" spans="2:29" x14ac:dyDescent="0.3">
      <c r="K37" s="29"/>
      <c r="S37" s="6"/>
    </row>
    <row r="38" spans="2:29" x14ac:dyDescent="0.3">
      <c r="K38" s="1"/>
    </row>
  </sheetData>
  <mergeCells count="19">
    <mergeCell ref="AA4:AC4"/>
    <mergeCell ref="AA5:AC5"/>
    <mergeCell ref="AA10:AC10"/>
    <mergeCell ref="AH23:AJ23"/>
    <mergeCell ref="AA33:AC33"/>
    <mergeCell ref="AA34:AC34"/>
    <mergeCell ref="AD4:AF4"/>
    <mergeCell ref="AH4:AJ4"/>
    <mergeCell ref="AH5:AJ5"/>
    <mergeCell ref="AH6:AJ6"/>
    <mergeCell ref="AH7:AJ7"/>
    <mergeCell ref="AH18:AJ18"/>
    <mergeCell ref="AA16:AC16"/>
    <mergeCell ref="AA31:AC31"/>
    <mergeCell ref="AA17:AC17"/>
    <mergeCell ref="AA18:AC18"/>
    <mergeCell ref="AA25:AC25"/>
    <mergeCell ref="AA30:AC30"/>
    <mergeCell ref="AA8:A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Model</vt:lpstr>
      <vt:lpstr>Deal Economics</vt:lpstr>
      <vt:lpstr>Deal Economics long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2015-06-05T18:17:20Z</dcterms:created>
  <dcterms:modified xsi:type="dcterms:W3CDTF">2026-02-10T10:35:45Z</dcterms:modified>
</cp:coreProperties>
</file>