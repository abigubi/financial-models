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285E924D-8763-49F1-AEEC-8B565B0F9C74}" xr6:coauthVersionLast="47" xr6:coauthVersionMax="47" xr10:uidLastSave="{00000000-0000-0000-0000-000000000000}"/>
  <bookViews>
    <workbookView xWindow="26268" yWindow="540" windowWidth="23016" windowHeight="12336" xr2:uid="{00000000-000D-0000-FFFF-FFFF00000000}"/>
  </bookViews>
  <sheets>
    <sheet name="DCF Model" sheetId="2" r:id="rId1"/>
    <sheet name="Deal Economics" sheetId="1" r:id="rId2"/>
    <sheet name="Deal Economics long" sheetId="3" r:id="rId3"/>
    <sheet name="Cost of Equity" sheetId="4" r:id="rId4"/>
    <sheet name="BC Deal Economics" sheetId="5" r:id="rId5"/>
    <sheet name="P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6" l="1"/>
  <c r="K6" i="6"/>
  <c r="K7" i="6"/>
  <c r="I7" i="6"/>
  <c r="I5" i="6"/>
  <c r="I6" i="6"/>
  <c r="I4" i="6"/>
  <c r="K4" i="6" s="1"/>
  <c r="X15" i="2"/>
  <c r="Y11" i="2"/>
  <c r="X12" i="2"/>
  <c r="E27" i="2"/>
  <c r="E26" i="2"/>
  <c r="U4" i="2"/>
  <c r="U5" i="2" s="1"/>
  <c r="J14" i="2"/>
  <c r="G14" i="2"/>
  <c r="E11" i="5"/>
  <c r="O13" i="5"/>
  <c r="N13" i="5"/>
  <c r="M13" i="5"/>
  <c r="L13" i="5"/>
  <c r="K13" i="5"/>
  <c r="J14" i="5"/>
  <c r="J13" i="5"/>
  <c r="I13" i="5"/>
  <c r="H13" i="5"/>
  <c r="G13" i="5"/>
  <c r="F13" i="5"/>
  <c r="E5" i="5"/>
  <c r="E7" i="5" s="1"/>
  <c r="E6" i="5" s="1"/>
  <c r="Y7" i="5"/>
  <c r="Y10" i="5" s="1"/>
  <c r="X7" i="5"/>
  <c r="X10" i="5" s="1"/>
  <c r="W7" i="5"/>
  <c r="W10" i="5" s="1"/>
  <c r="V7" i="5"/>
  <c r="V10" i="5" s="1"/>
  <c r="U7" i="5"/>
  <c r="U10" i="5" s="1"/>
  <c r="T7" i="5"/>
  <c r="T6" i="5" s="1"/>
  <c r="S7" i="5"/>
  <c r="R7" i="5"/>
  <c r="Q7" i="5"/>
  <c r="P7" i="5"/>
  <c r="O7" i="5"/>
  <c r="N7" i="5"/>
  <c r="N10" i="5" s="1"/>
  <c r="M7" i="5"/>
  <c r="L7" i="5"/>
  <c r="K7" i="5"/>
  <c r="K10" i="5" s="1"/>
  <c r="I7" i="5"/>
  <c r="H7" i="5"/>
  <c r="H10" i="5" s="1"/>
  <c r="G7" i="5"/>
  <c r="G10" i="5" s="1"/>
  <c r="F7" i="5"/>
  <c r="F10" i="5" s="1"/>
  <c r="J5" i="5"/>
  <c r="J7" i="5" s="1"/>
  <c r="J29" i="5"/>
  <c r="Y21" i="5"/>
  <c r="T21" i="5"/>
  <c r="O21" i="5"/>
  <c r="J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Y13" i="5"/>
  <c r="X13" i="5"/>
  <c r="W13" i="5"/>
  <c r="V13" i="5"/>
  <c r="U13" i="5"/>
  <c r="T13" i="5"/>
  <c r="S13" i="5"/>
  <c r="R13" i="5"/>
  <c r="Q13" i="5"/>
  <c r="P13" i="5"/>
  <c r="U12" i="5"/>
  <c r="Y14" i="5" s="1"/>
  <c r="P12" i="5"/>
  <c r="T14" i="5" s="1"/>
  <c r="O14" i="5"/>
  <c r="K4" i="5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E16" i="2"/>
  <c r="H14" i="2"/>
  <c r="I14" i="2" s="1"/>
  <c r="F13" i="2"/>
  <c r="G12" i="2"/>
  <c r="F12" i="2"/>
  <c r="O30" i="2"/>
  <c r="O24" i="2"/>
  <c r="O21" i="2"/>
  <c r="O22" i="2" s="1"/>
  <c r="O25" i="2"/>
  <c r="E8" i="3"/>
  <c r="E7" i="3"/>
  <c r="F7" i="3"/>
  <c r="G7" i="3"/>
  <c r="H7" i="3"/>
  <c r="I7" i="3"/>
  <c r="J7" i="3"/>
  <c r="K7" i="3"/>
  <c r="K12" i="3" s="1"/>
  <c r="L7" i="3"/>
  <c r="L15" i="3" s="1"/>
  <c r="M7" i="3"/>
  <c r="M8" i="3" s="1"/>
  <c r="N7" i="3"/>
  <c r="N8" i="3" s="1"/>
  <c r="O7" i="3"/>
  <c r="P7" i="3"/>
  <c r="Q7" i="3"/>
  <c r="Q6" i="3" s="1"/>
  <c r="R7" i="3"/>
  <c r="R6" i="3" s="1"/>
  <c r="S7" i="3"/>
  <c r="S6" i="3" s="1"/>
  <c r="T7" i="3"/>
  <c r="T6" i="3" s="1"/>
  <c r="U7" i="3"/>
  <c r="U6" i="3" s="1"/>
  <c r="V7" i="3"/>
  <c r="W7" i="3"/>
  <c r="W6" i="3" s="1"/>
  <c r="X7" i="3"/>
  <c r="X6" i="3" s="1"/>
  <c r="Y7" i="3"/>
  <c r="Y15" i="3" s="1"/>
  <c r="Z29" i="3"/>
  <c r="Q8" i="3"/>
  <c r="P8" i="3"/>
  <c r="O8" i="3"/>
  <c r="J8" i="3"/>
  <c r="I8" i="3"/>
  <c r="H15" i="3"/>
  <c r="G6" i="3"/>
  <c r="F15" i="3"/>
  <c r="F8" i="3"/>
  <c r="G8" i="3"/>
  <c r="H8" i="3"/>
  <c r="R8" i="3"/>
  <c r="S8" i="3"/>
  <c r="T8" i="3"/>
  <c r="U8" i="3"/>
  <c r="V8" i="3"/>
  <c r="W8" i="3"/>
  <c r="X8" i="3"/>
  <c r="O17" i="2"/>
  <c r="AF33" i="3"/>
  <c r="AF35" i="3"/>
  <c r="T34" i="3"/>
  <c r="E29" i="2"/>
  <c r="G13" i="2"/>
  <c r="H13" i="2" s="1"/>
  <c r="I13" i="2" s="1"/>
  <c r="J13" i="2" s="1"/>
  <c r="H12" i="2"/>
  <c r="T8" i="1"/>
  <c r="J35" i="3"/>
  <c r="J36" i="1"/>
  <c r="J35" i="1"/>
  <c r="J34" i="1"/>
  <c r="G15" i="1"/>
  <c r="H15" i="1"/>
  <c r="I15" i="1"/>
  <c r="J15" i="1"/>
  <c r="I25" i="1"/>
  <c r="H25" i="1"/>
  <c r="G25" i="1"/>
  <c r="F25" i="1"/>
  <c r="E25" i="1"/>
  <c r="J22" i="1"/>
  <c r="I22" i="1"/>
  <c r="H22" i="1"/>
  <c r="G22" i="1"/>
  <c r="F22" i="1"/>
  <c r="E22" i="1"/>
  <c r="AF34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AF32" i="3"/>
  <c r="D6" i="4"/>
  <c r="AF6" i="3"/>
  <c r="AF23" i="3" s="1"/>
  <c r="AF25" i="3" s="1"/>
  <c r="AF21" i="3"/>
  <c r="AF7" i="3"/>
  <c r="AF5" i="3"/>
  <c r="Y27" i="3"/>
  <c r="T27" i="3"/>
  <c r="O27" i="3"/>
  <c r="Y16" i="3"/>
  <c r="X16" i="3"/>
  <c r="W16" i="3"/>
  <c r="T16" i="3"/>
  <c r="S16" i="3"/>
  <c r="R16" i="3"/>
  <c r="O16" i="3"/>
  <c r="N16" i="3"/>
  <c r="M16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U18" i="3"/>
  <c r="Y20" i="3" s="1"/>
  <c r="P18" i="3"/>
  <c r="T20" i="3" s="1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K18" i="3"/>
  <c r="O20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J27" i="3"/>
  <c r="J19" i="3"/>
  <c r="I19" i="3"/>
  <c r="H19" i="3"/>
  <c r="G19" i="3"/>
  <c r="F19" i="3"/>
  <c r="F18" i="3"/>
  <c r="E18" i="3"/>
  <c r="F17" i="3"/>
  <c r="E17" i="3"/>
  <c r="F11" i="3" s="1"/>
  <c r="J16" i="3"/>
  <c r="I16" i="3"/>
  <c r="H16" i="3"/>
  <c r="G16" i="3"/>
  <c r="J10" i="3"/>
  <c r="I10" i="3"/>
  <c r="H10" i="3"/>
  <c r="G10" i="3"/>
  <c r="F10" i="3"/>
  <c r="E10" i="3"/>
  <c r="J10" i="1"/>
  <c r="E10" i="1"/>
  <c r="F10" i="1"/>
  <c r="I10" i="1"/>
  <c r="H10" i="1"/>
  <c r="G10" i="1"/>
  <c r="Q7" i="1"/>
  <c r="Q6" i="1"/>
  <c r="Q5" i="1"/>
  <c r="Y6" i="5" l="1"/>
  <c r="F6" i="5"/>
  <c r="G6" i="5"/>
  <c r="G17" i="5"/>
  <c r="G23" i="5" s="1"/>
  <c r="G26" i="5" s="1"/>
  <c r="U17" i="5"/>
  <c r="V17" i="5"/>
  <c r="V25" i="5" s="1"/>
  <c r="Y17" i="5"/>
  <c r="Y23" i="5" s="1"/>
  <c r="Y26" i="5" s="1"/>
  <c r="W17" i="5"/>
  <c r="W25" i="5" s="1"/>
  <c r="X17" i="5"/>
  <c r="X23" i="5" s="1"/>
  <c r="X26" i="5" s="1"/>
  <c r="E10" i="5"/>
  <c r="F17" i="5"/>
  <c r="F23" i="5" s="1"/>
  <c r="F26" i="5" s="1"/>
  <c r="U23" i="5"/>
  <c r="U25" i="5"/>
  <c r="H6" i="5"/>
  <c r="K6" i="5"/>
  <c r="L6" i="5"/>
  <c r="M10" i="5"/>
  <c r="M6" i="5"/>
  <c r="P6" i="5"/>
  <c r="R6" i="5"/>
  <c r="O10" i="5"/>
  <c r="I6" i="5"/>
  <c r="I10" i="5"/>
  <c r="N6" i="5"/>
  <c r="S6" i="5"/>
  <c r="P10" i="5"/>
  <c r="L10" i="5"/>
  <c r="K17" i="5"/>
  <c r="Q10" i="5"/>
  <c r="Q6" i="5"/>
  <c r="U6" i="5"/>
  <c r="R10" i="5"/>
  <c r="O6" i="5"/>
  <c r="V6" i="5"/>
  <c r="S10" i="5"/>
  <c r="W6" i="5"/>
  <c r="T10" i="5"/>
  <c r="X6" i="5"/>
  <c r="J6" i="5"/>
  <c r="H17" i="5"/>
  <c r="J10" i="5"/>
  <c r="N17" i="5"/>
  <c r="Y8" i="3"/>
  <c r="K15" i="3"/>
  <c r="I15" i="3"/>
  <c r="J15" i="3"/>
  <c r="L8" i="3"/>
  <c r="K8" i="3"/>
  <c r="Z32" i="3"/>
  <c r="T35" i="3" s="1"/>
  <c r="E17" i="2"/>
  <c r="O11" i="2" s="1"/>
  <c r="O12" i="2" s="1"/>
  <c r="F6" i="3"/>
  <c r="K11" i="3"/>
  <c r="L11" i="3"/>
  <c r="R11" i="3"/>
  <c r="R12" i="3" s="1"/>
  <c r="R13" i="3" s="1"/>
  <c r="E6" i="3"/>
  <c r="N11" i="3"/>
  <c r="N12" i="3" s="1"/>
  <c r="N13" i="3" s="1"/>
  <c r="V6" i="3"/>
  <c r="Y6" i="3"/>
  <c r="I6" i="3"/>
  <c r="M11" i="3"/>
  <c r="M12" i="3" s="1"/>
  <c r="M13" i="3" s="1"/>
  <c r="P11" i="3"/>
  <c r="P12" i="3" s="1"/>
  <c r="P13" i="3" s="1"/>
  <c r="P15" i="3"/>
  <c r="T11" i="3"/>
  <c r="T12" i="3" s="1"/>
  <c r="T13" i="3" s="1"/>
  <c r="V15" i="3"/>
  <c r="V23" i="3" s="1"/>
  <c r="U11" i="3"/>
  <c r="U12" i="3" s="1"/>
  <c r="U13" i="3" s="1"/>
  <c r="M15" i="3"/>
  <c r="Y11" i="3"/>
  <c r="Y12" i="3" s="1"/>
  <c r="Y13" i="3" s="1"/>
  <c r="Y23" i="3" s="1"/>
  <c r="O15" i="3"/>
  <c r="R15" i="3"/>
  <c r="N15" i="3"/>
  <c r="Q15" i="3"/>
  <c r="X11" i="3"/>
  <c r="X12" i="3" s="1"/>
  <c r="X13" i="3" s="1"/>
  <c r="H6" i="3"/>
  <c r="T15" i="3"/>
  <c r="K13" i="3"/>
  <c r="K23" i="3" s="1"/>
  <c r="X15" i="3"/>
  <c r="X23" i="3" s="1"/>
  <c r="O6" i="3"/>
  <c r="L12" i="3"/>
  <c r="L13" i="3" s="1"/>
  <c r="S15" i="3"/>
  <c r="K6" i="3"/>
  <c r="L6" i="3"/>
  <c r="U15" i="3"/>
  <c r="O11" i="3"/>
  <c r="O12" i="3" s="1"/>
  <c r="O13" i="3" s="1"/>
  <c r="M6" i="3"/>
  <c r="J20" i="3"/>
  <c r="N6" i="3"/>
  <c r="W15" i="3"/>
  <c r="Q11" i="3"/>
  <c r="Q12" i="3" s="1"/>
  <c r="Q13" i="3" s="1"/>
  <c r="P6" i="3"/>
  <c r="S11" i="3"/>
  <c r="S12" i="3" s="1"/>
  <c r="S13" i="3" s="1"/>
  <c r="J6" i="3"/>
  <c r="V11" i="3"/>
  <c r="V12" i="3" s="1"/>
  <c r="V13" i="3" s="1"/>
  <c r="W11" i="3"/>
  <c r="W12" i="3" s="1"/>
  <c r="W13" i="3" s="1"/>
  <c r="AF8" i="3"/>
  <c r="Y4" i="3"/>
  <c r="E11" i="3"/>
  <c r="E12" i="3" s="1"/>
  <c r="E13" i="3" s="1"/>
  <c r="I11" i="3"/>
  <c r="I12" i="3" s="1"/>
  <c r="I13" i="3" s="1"/>
  <c r="G11" i="3"/>
  <c r="G12" i="3" s="1"/>
  <c r="G13" i="3" s="1"/>
  <c r="H11" i="3"/>
  <c r="H12" i="3" s="1"/>
  <c r="F12" i="3"/>
  <c r="F13" i="3" s="1"/>
  <c r="E15" i="3"/>
  <c r="G15" i="3"/>
  <c r="J11" i="3"/>
  <c r="J12" i="3" s="1"/>
  <c r="J13" i="3" s="1"/>
  <c r="Q8" i="1"/>
  <c r="F17" i="1"/>
  <c r="E17" i="1"/>
  <c r="F16" i="1"/>
  <c r="E16" i="1"/>
  <c r="J11" i="1" s="1"/>
  <c r="I12" i="2"/>
  <c r="J12" i="2" s="1"/>
  <c r="E15" i="2"/>
  <c r="F15" i="2"/>
  <c r="J18" i="1"/>
  <c r="I18" i="1"/>
  <c r="H18" i="1"/>
  <c r="G18" i="1"/>
  <c r="F18" i="1"/>
  <c r="J26" i="1"/>
  <c r="J25" i="1"/>
  <c r="J7" i="1"/>
  <c r="J6" i="1" s="1"/>
  <c r="I7" i="1"/>
  <c r="I6" i="1" s="1"/>
  <c r="H7" i="1"/>
  <c r="H8" i="1" s="1"/>
  <c r="G7" i="1"/>
  <c r="G6" i="1" s="1"/>
  <c r="F7" i="1"/>
  <c r="F8" i="1" s="1"/>
  <c r="E7" i="1"/>
  <c r="E6" i="1" s="1"/>
  <c r="E17" i="5" l="1"/>
  <c r="E23" i="5" s="1"/>
  <c r="E26" i="5" s="1"/>
  <c r="S17" i="5"/>
  <c r="G25" i="5"/>
  <c r="T17" i="5"/>
  <c r="T23" i="5" s="1"/>
  <c r="T26" i="5" s="1"/>
  <c r="V23" i="5"/>
  <c r="V26" i="5" s="1"/>
  <c r="R17" i="5"/>
  <c r="R23" i="5" s="1"/>
  <c r="R26" i="5" s="1"/>
  <c r="W23" i="5"/>
  <c r="W26" i="5" s="1"/>
  <c r="X25" i="5"/>
  <c r="P17" i="5"/>
  <c r="U26" i="5"/>
  <c r="Z23" i="5"/>
  <c r="E25" i="5"/>
  <c r="F25" i="5"/>
  <c r="Y25" i="5"/>
  <c r="Q17" i="5"/>
  <c r="Q23" i="5" s="1"/>
  <c r="Q26" i="5" s="1"/>
  <c r="N25" i="5"/>
  <c r="N23" i="5"/>
  <c r="N26" i="5" s="1"/>
  <c r="K25" i="5"/>
  <c r="K23" i="5"/>
  <c r="K26" i="5" s="1"/>
  <c r="H23" i="5"/>
  <c r="H26" i="5" s="1"/>
  <c r="H25" i="5"/>
  <c r="P23" i="5"/>
  <c r="P26" i="5" s="1"/>
  <c r="P25" i="5"/>
  <c r="L17" i="5"/>
  <c r="M17" i="5"/>
  <c r="S23" i="5"/>
  <c r="S26" i="5" s="1"/>
  <c r="S25" i="5"/>
  <c r="I17" i="5"/>
  <c r="O17" i="5"/>
  <c r="T25" i="5"/>
  <c r="J17" i="5"/>
  <c r="E23" i="3"/>
  <c r="S23" i="3"/>
  <c r="O23" i="3"/>
  <c r="H13" i="3"/>
  <c r="H23" i="3" s="1"/>
  <c r="O8" i="2"/>
  <c r="O9" i="2" s="1"/>
  <c r="AF16" i="3"/>
  <c r="J23" i="3"/>
  <c r="E20" i="2"/>
  <c r="E21" i="2" s="1"/>
  <c r="E23" i="2"/>
  <c r="E24" i="2" s="1"/>
  <c r="F17" i="2"/>
  <c r="F23" i="3"/>
  <c r="F31" i="3" s="1"/>
  <c r="M23" i="3"/>
  <c r="M29" i="3" s="1"/>
  <c r="M32" i="3" s="1"/>
  <c r="P23" i="3"/>
  <c r="P29" i="3" s="1"/>
  <c r="P32" i="3" s="1"/>
  <c r="R23" i="3"/>
  <c r="R31" i="3" s="1"/>
  <c r="Q23" i="3"/>
  <c r="Q31" i="3" s="1"/>
  <c r="K29" i="3"/>
  <c r="K32" i="3" s="1"/>
  <c r="T23" i="3"/>
  <c r="T31" i="3" s="1"/>
  <c r="W23" i="3"/>
  <c r="W29" i="3" s="1"/>
  <c r="W32" i="3" s="1"/>
  <c r="I23" i="3"/>
  <c r="I29" i="3" s="1"/>
  <c r="I32" i="3" s="1"/>
  <c r="N23" i="3"/>
  <c r="N29" i="3" s="1"/>
  <c r="N32" i="3" s="1"/>
  <c r="G23" i="3"/>
  <c r="G29" i="3" s="1"/>
  <c r="G32" i="3" s="1"/>
  <c r="U23" i="3"/>
  <c r="U29" i="3" s="1"/>
  <c r="U32" i="3" s="1"/>
  <c r="L23" i="3"/>
  <c r="L31" i="3" s="1"/>
  <c r="E31" i="3"/>
  <c r="X29" i="3"/>
  <c r="X32" i="3" s="1"/>
  <c r="S29" i="3"/>
  <c r="S32" i="3" s="1"/>
  <c r="K31" i="3"/>
  <c r="O31" i="3"/>
  <c r="O29" i="3"/>
  <c r="O32" i="3" s="1"/>
  <c r="Y29" i="3"/>
  <c r="Y32" i="3" s="1"/>
  <c r="J19" i="1"/>
  <c r="Y31" i="3"/>
  <c r="F16" i="2"/>
  <c r="G15" i="2"/>
  <c r="J20" i="1"/>
  <c r="I11" i="1"/>
  <c r="E14" i="1"/>
  <c r="F14" i="1"/>
  <c r="I14" i="1"/>
  <c r="F6" i="1"/>
  <c r="H11" i="1"/>
  <c r="H12" i="1" s="1"/>
  <c r="J14" i="1"/>
  <c r="G11" i="1"/>
  <c r="G14" i="1"/>
  <c r="E11" i="1"/>
  <c r="E12" i="1" s="1"/>
  <c r="F11" i="1"/>
  <c r="H14" i="1"/>
  <c r="J12" i="1"/>
  <c r="G8" i="1"/>
  <c r="E8" i="1"/>
  <c r="J8" i="1"/>
  <c r="H6" i="1"/>
  <c r="I8" i="1"/>
  <c r="R25" i="5" l="1"/>
  <c r="Q25" i="5"/>
  <c r="Z26" i="5"/>
  <c r="T29" i="5" s="1"/>
  <c r="T28" i="5"/>
  <c r="O30" i="5"/>
  <c r="O25" i="5"/>
  <c r="O23" i="5"/>
  <c r="O26" i="5" s="1"/>
  <c r="M23" i="5"/>
  <c r="M26" i="5" s="1"/>
  <c r="M25" i="5"/>
  <c r="L25" i="5"/>
  <c r="L23" i="5"/>
  <c r="L26" i="5" s="1"/>
  <c r="I23" i="5"/>
  <c r="I25" i="5"/>
  <c r="J23" i="5"/>
  <c r="J26" i="5" s="1"/>
  <c r="J25" i="5"/>
  <c r="J30" i="5"/>
  <c r="E30" i="5"/>
  <c r="P11" i="2"/>
  <c r="P12" i="2" s="1"/>
  <c r="P21" i="2"/>
  <c r="P22" i="2" s="1"/>
  <c r="P24" i="2"/>
  <c r="P25" i="2" s="1"/>
  <c r="H29" i="3"/>
  <c r="H32" i="3" s="1"/>
  <c r="H31" i="3"/>
  <c r="M31" i="3"/>
  <c r="P8" i="2"/>
  <c r="P9" i="2" s="1"/>
  <c r="F29" i="3"/>
  <c r="F32" i="3" s="1"/>
  <c r="I31" i="3"/>
  <c r="L29" i="3"/>
  <c r="L32" i="3" s="1"/>
  <c r="J36" i="3"/>
  <c r="G31" i="3"/>
  <c r="O36" i="3"/>
  <c r="F20" i="2"/>
  <c r="F21" i="2" s="1"/>
  <c r="F23" i="2"/>
  <c r="F24" i="2" s="1"/>
  <c r="G17" i="2"/>
  <c r="T29" i="3"/>
  <c r="T32" i="3" s="1"/>
  <c r="AF10" i="3"/>
  <c r="E29" i="3"/>
  <c r="X31" i="3"/>
  <c r="S31" i="3"/>
  <c r="J31" i="3"/>
  <c r="U31" i="3"/>
  <c r="J29" i="3"/>
  <c r="J32" i="3" s="1"/>
  <c r="W31" i="3"/>
  <c r="E36" i="3"/>
  <c r="N31" i="3"/>
  <c r="Q29" i="3"/>
  <c r="Q32" i="3" s="1"/>
  <c r="V29" i="3"/>
  <c r="V32" i="3" s="1"/>
  <c r="V31" i="3"/>
  <c r="P31" i="3"/>
  <c r="R29" i="3"/>
  <c r="R32" i="3" s="1"/>
  <c r="G12" i="1"/>
  <c r="F12" i="1"/>
  <c r="I12" i="1"/>
  <c r="E35" i="1"/>
  <c r="J28" i="1"/>
  <c r="J31" i="1" s="1"/>
  <c r="H15" i="2"/>
  <c r="G16" i="2"/>
  <c r="H28" i="1"/>
  <c r="H31" i="1" s="1"/>
  <c r="H30" i="1"/>
  <c r="I28" i="1"/>
  <c r="I31" i="1" s="1"/>
  <c r="I30" i="1"/>
  <c r="G28" i="1"/>
  <c r="G30" i="1"/>
  <c r="F30" i="1"/>
  <c r="F28" i="1"/>
  <c r="F31" i="1" s="1"/>
  <c r="E30" i="1"/>
  <c r="E28" i="1"/>
  <c r="O28" i="5" l="1"/>
  <c r="E28" i="5"/>
  <c r="I26" i="5"/>
  <c r="J31" i="5"/>
  <c r="O31" i="5"/>
  <c r="E31" i="5"/>
  <c r="Q11" i="2"/>
  <c r="Q12" i="2" s="1"/>
  <c r="Q21" i="2"/>
  <c r="Q22" i="2" s="1"/>
  <c r="Q24" i="2"/>
  <c r="Q25" i="2" s="1"/>
  <c r="Q8" i="2"/>
  <c r="Q9" i="2" s="1"/>
  <c r="E37" i="3"/>
  <c r="O34" i="3"/>
  <c r="O37" i="3"/>
  <c r="J37" i="3"/>
  <c r="E32" i="3"/>
  <c r="O35" i="3" s="1"/>
  <c r="AF11" i="3"/>
  <c r="G20" i="2"/>
  <c r="G21" i="2" s="1"/>
  <c r="G23" i="2"/>
  <c r="G24" i="2" s="1"/>
  <c r="H17" i="2"/>
  <c r="E34" i="3"/>
  <c r="AF14" i="3" s="1"/>
  <c r="J30" i="1"/>
  <c r="E33" i="1" s="1"/>
  <c r="AT23" i="3" a="1"/>
  <c r="AT23" i="3" s="1"/>
  <c r="AO21" i="3" a="1"/>
  <c r="AO21" i="3" s="1"/>
  <c r="AW29" i="3" a="1"/>
  <c r="AW29" i="3" s="1"/>
  <c r="AN27" i="3" a="1"/>
  <c r="AN27" i="3" s="1"/>
  <c r="AU29" i="3" a="1"/>
  <c r="AU29" i="3" s="1"/>
  <c r="AM23" i="3" a="1"/>
  <c r="AM23" i="3" s="1"/>
  <c r="AX27" i="3" a="1"/>
  <c r="AX27" i="3" s="1"/>
  <c r="AU23" i="3" a="1"/>
  <c r="AU23" i="3" s="1"/>
  <c r="AQ28" i="3" a="1"/>
  <c r="AQ28" i="3" s="1"/>
  <c r="AP23" i="3" a="1"/>
  <c r="AP23" i="3" s="1"/>
  <c r="AZ23" i="3" a="1"/>
  <c r="AZ23" i="3" s="1"/>
  <c r="AZ26" i="3" a="1"/>
  <c r="AZ26" i="3" s="1"/>
  <c r="AQ25" i="3" a="1"/>
  <c r="AQ25" i="3" s="1"/>
  <c r="AW21" i="3" a="1"/>
  <c r="AW21" i="3" s="1"/>
  <c r="AU27" i="3" a="1"/>
  <c r="AU27" i="3" s="1"/>
  <c r="AU21" i="3" a="1"/>
  <c r="AU21" i="3" s="1"/>
  <c r="AO24" i="3" a="1"/>
  <c r="AO24" i="3" s="1"/>
  <c r="AQ22" i="3" a="1"/>
  <c r="AQ22" i="3" s="1"/>
  <c r="AP31" i="3" a="1"/>
  <c r="AP31" i="3" s="1"/>
  <c r="AO30" i="3" a="1"/>
  <c r="AO30" i="3" s="1"/>
  <c r="AO26" i="3" a="1"/>
  <c r="AO26" i="3" s="1"/>
  <c r="AM31" i="3" a="1"/>
  <c r="AM31" i="3" s="1"/>
  <c r="AS26" i="3" a="1"/>
  <c r="AS26" i="3" s="1"/>
  <c r="AQ24" i="3" a="1"/>
  <c r="AQ24" i="3" s="1"/>
  <c r="AU24" i="3" a="1"/>
  <c r="AU24" i="3" s="1"/>
  <c r="AN25" i="3" a="1"/>
  <c r="AN25" i="3" s="1"/>
  <c r="AX28" i="3" a="1"/>
  <c r="AX28" i="3" s="1"/>
  <c r="AW23" i="3" a="1"/>
  <c r="AW23" i="3" s="1"/>
  <c r="AM29" i="3" a="1"/>
  <c r="AM29" i="3" s="1"/>
  <c r="AN22" i="3" a="1"/>
  <c r="AN22" i="3" s="1"/>
  <c r="AO27" i="3" a="1"/>
  <c r="AO27" i="3" s="1"/>
  <c r="AR27" i="3" a="1"/>
  <c r="AR27" i="3" s="1"/>
  <c r="AZ30" i="3" a="1"/>
  <c r="AZ30" i="3" s="1"/>
  <c r="AY25" i="3" a="1"/>
  <c r="AY25" i="3" s="1"/>
  <c r="AQ31" i="3" a="1"/>
  <c r="AQ31" i="3" s="1"/>
  <c r="AR24" i="3" a="1"/>
  <c r="AR24" i="3" s="1"/>
  <c r="AS29" i="3" a="1"/>
  <c r="AS29" i="3" s="1"/>
  <c r="AV29" i="3" a="1"/>
  <c r="AV29" i="3" s="1"/>
  <c r="AR29" i="3" a="1"/>
  <c r="AR29" i="3" s="1"/>
  <c r="AR21" i="3" a="1"/>
  <c r="AR21" i="3" s="1"/>
  <c r="AW27" i="3" a="1"/>
  <c r="AW27" i="3" s="1"/>
  <c r="AV26" i="3" a="1"/>
  <c r="AV26" i="3" s="1"/>
  <c r="AX22" i="3" a="1"/>
  <c r="AX22" i="3" s="1"/>
  <c r="AX25" i="3" a="1"/>
  <c r="AX25" i="3" s="1"/>
  <c r="AT22" i="3" a="1"/>
  <c r="AT22" i="3" s="1"/>
  <c r="AV23" i="3" a="1"/>
  <c r="AV23" i="3" s="1"/>
  <c r="AY29" i="3" a="1"/>
  <c r="AY29" i="3" s="1"/>
  <c r="AP29" i="3" a="1"/>
  <c r="AP29" i="3" s="1"/>
  <c r="AZ24" i="3" a="1"/>
  <c r="AZ24" i="3" s="1"/>
  <c r="AZ27" i="3" a="1"/>
  <c r="AZ27" i="3" s="1"/>
  <c r="AP25" i="3" a="1"/>
  <c r="AP25" i="3" s="1"/>
  <c r="AS30" i="3" a="1"/>
  <c r="AS30" i="3" s="1"/>
  <c r="AN30" i="3" a="1"/>
  <c r="AN30" i="3" s="1"/>
  <c r="AN24" i="3" a="1"/>
  <c r="AN24" i="3" s="1"/>
  <c r="AT31" i="3" a="1"/>
  <c r="AT31" i="3" s="1"/>
  <c r="AT28" i="3" a="1"/>
  <c r="AT28" i="3" s="1"/>
  <c r="AV28" i="3" a="1"/>
  <c r="AV28" i="3" s="1"/>
  <c r="AW30" i="3" a="1"/>
  <c r="AW30" i="3" s="1"/>
  <c r="AR26" i="3" a="1"/>
  <c r="AR26" i="3" s="1"/>
  <c r="AP22" i="3" a="1"/>
  <c r="AP22" i="3" s="1"/>
  <c r="AN23" i="3" a="1"/>
  <c r="AN23" i="3" s="1"/>
  <c r="AX24" i="3" a="1"/>
  <c r="AX24" i="3" s="1"/>
  <c r="AU25" i="3" a="1"/>
  <c r="AU25" i="3" s="1"/>
  <c r="AN31" i="3" a="1"/>
  <c r="AN31" i="3" s="1"/>
  <c r="AV21" i="3" a="1"/>
  <c r="AV21" i="3" s="1"/>
  <c r="AZ21" i="3" a="1"/>
  <c r="AZ21" i="3" s="1"/>
  <c r="AR22" i="3" a="1"/>
  <c r="AR22" i="3" s="1"/>
  <c r="AU22" i="3" a="1"/>
  <c r="AU22" i="3" s="1"/>
  <c r="AR25" i="3" a="1"/>
  <c r="AR25" i="3" s="1"/>
  <c r="AO25" i="3" a="1"/>
  <c r="AO25" i="3" s="1"/>
  <c r="AV27" i="3" a="1"/>
  <c r="AV27" i="3" s="1"/>
  <c r="AT21" i="3" a="1"/>
  <c r="AT21" i="3" s="1"/>
  <c r="AY21" i="3" a="1"/>
  <c r="AY21" i="3" s="1"/>
  <c r="AY26" i="3" a="1"/>
  <c r="AY26" i="3" s="1"/>
  <c r="AT26" i="3" a="1"/>
  <c r="AT26" i="3" s="1"/>
  <c r="AW26" i="3" a="1"/>
  <c r="AW26" i="3" s="1"/>
  <c r="AP27" i="3" a="1"/>
  <c r="AP27" i="3" s="1"/>
  <c r="AS27" i="3" a="1"/>
  <c r="AS27" i="3" s="1"/>
  <c r="AP30" i="3" a="1"/>
  <c r="AP30" i="3" s="1"/>
  <c r="AX21" i="3" a="1"/>
  <c r="AX21" i="3" s="1"/>
  <c r="AS23" i="3" a="1"/>
  <c r="AS23" i="3" s="1"/>
  <c r="AM26" i="3" a="1"/>
  <c r="AM26" i="3" s="1"/>
  <c r="AN29" i="3" a="1"/>
  <c r="AN29" i="3" s="1"/>
  <c r="AO22" i="3" a="1"/>
  <c r="AO22" i="3" s="1"/>
  <c r="AT29" i="3" a="1"/>
  <c r="AT29" i="3" s="1"/>
  <c r="AM30" i="3" a="1"/>
  <c r="AM30" i="3" s="1"/>
  <c r="AX29" i="3" a="1"/>
  <c r="AX29" i="3" s="1"/>
  <c r="AR23" i="3" a="1"/>
  <c r="AR23" i="3" s="1"/>
  <c r="AS21" i="3" a="1"/>
  <c r="AS21" i="3" s="1"/>
  <c r="AR31" i="3" a="1"/>
  <c r="AR31" i="3" s="1"/>
  <c r="AS24" i="3" a="1"/>
  <c r="AS24" i="3" s="1"/>
  <c r="AX23" i="3" a="1"/>
  <c r="AX23" i="3" s="1"/>
  <c r="AX26" i="3" a="1"/>
  <c r="AX26" i="3" s="1"/>
  <c r="AZ31" i="3" a="1"/>
  <c r="AZ31" i="3" s="1"/>
  <c r="AS28" i="3" a="1"/>
  <c r="AS28" i="3" s="1"/>
  <c r="AV25" i="3" a="1"/>
  <c r="AV25" i="3" s="1"/>
  <c r="AM24" i="3" a="1"/>
  <c r="AM24" i="3" s="1"/>
  <c r="AW28" i="3" a="1"/>
  <c r="AW28" i="3" s="1"/>
  <c r="AM27" i="3" a="1"/>
  <c r="AM27" i="3" s="1"/>
  <c r="AZ25" i="3" a="1"/>
  <c r="AZ25" i="3" s="1"/>
  <c r="AZ28" i="3" a="1"/>
  <c r="AZ28" i="3" s="1"/>
  <c r="AN28" i="3" a="1"/>
  <c r="AN28" i="3" s="1"/>
  <c r="AY28" i="3" a="1"/>
  <c r="AY28" i="3" s="1"/>
  <c r="AW24" i="3" a="1"/>
  <c r="AW24" i="3" s="1"/>
  <c r="AP28" i="3" a="1"/>
  <c r="AP28" i="3" s="1"/>
  <c r="AQ26" i="3" a="1"/>
  <c r="AQ26" i="3" s="1"/>
  <c r="AY30" i="3" a="1"/>
  <c r="AY30" i="3" s="1"/>
  <c r="AQ29" i="3" a="1"/>
  <c r="AQ29" i="3" s="1"/>
  <c r="AQ23" i="3" a="1"/>
  <c r="AQ23" i="3" s="1"/>
  <c r="AZ29" i="3" a="1"/>
  <c r="AZ29" i="3" s="1"/>
  <c r="AV30" i="3" a="1"/>
  <c r="AV30" i="3" s="1"/>
  <c r="AQ21" i="3" a="1"/>
  <c r="AQ21" i="3" s="1"/>
  <c r="AR30" i="3" a="1"/>
  <c r="AR30" i="3" s="1"/>
  <c r="AT30" i="3" a="1"/>
  <c r="AT30" i="3" s="1"/>
  <c r="AU28" i="3" a="1"/>
  <c r="AU28" i="3" s="1"/>
  <c r="AU30" i="3" a="1"/>
  <c r="AU30" i="3" s="1"/>
  <c r="AU31" i="3" a="1"/>
  <c r="AU31" i="3" s="1"/>
  <c r="AP21" i="3" a="1"/>
  <c r="AP21" i="3" s="1"/>
  <c r="AM21" i="3" a="1"/>
  <c r="AM21" i="3" s="1"/>
  <c r="AO23" i="3" a="1"/>
  <c r="AO23" i="3" s="1"/>
  <c r="AY31" i="3" a="1"/>
  <c r="AY31" i="3" s="1"/>
  <c r="AP26" i="3" a="1"/>
  <c r="AP26" i="3" s="1"/>
  <c r="AY22" i="3" a="1"/>
  <c r="AY22" i="3" s="1"/>
  <c r="AO31" i="3" a="1"/>
  <c r="AO31" i="3" s="1"/>
  <c r="AM22" i="3" a="1"/>
  <c r="AM22" i="3" s="1"/>
  <c r="AW31" i="3" a="1"/>
  <c r="AW31" i="3" s="1"/>
  <c r="AT24" i="3" a="1"/>
  <c r="AT24" i="3" s="1"/>
  <c r="AN26" i="3" a="1"/>
  <c r="AN26" i="3" s="1"/>
  <c r="AS25" i="3" a="1"/>
  <c r="AS25" i="3" s="1"/>
  <c r="AW22" i="3" a="1"/>
  <c r="AW22" i="3" s="1"/>
  <c r="AV24" i="3" a="1"/>
  <c r="AV24" i="3" s="1"/>
  <c r="AW25" i="3" a="1"/>
  <c r="AW25" i="3" s="1"/>
  <c r="AU26" i="3" a="1"/>
  <c r="AU26" i="3" s="1"/>
  <c r="AZ22" i="3" a="1"/>
  <c r="AZ22" i="3" s="1"/>
  <c r="AS22" i="3" a="1"/>
  <c r="AS22" i="3" s="1"/>
  <c r="AV31" i="3" a="1"/>
  <c r="AV31" i="3" s="1"/>
  <c r="AM28" i="3" a="1"/>
  <c r="AM28" i="3" s="1"/>
  <c r="AP24" i="3" a="1"/>
  <c r="AP24" i="3" s="1"/>
  <c r="AN21" i="3" a="1"/>
  <c r="AN21" i="3" s="1"/>
  <c r="AY23" i="3" a="1"/>
  <c r="AY23" i="3" s="1"/>
  <c r="E35" i="3"/>
  <c r="AF15" i="3" s="1"/>
  <c r="AY24" i="3" a="1"/>
  <c r="AY24" i="3" s="1"/>
  <c r="AY27" i="3" a="1"/>
  <c r="AY27" i="3" s="1"/>
  <c r="AO29" i="3" a="1"/>
  <c r="AO29" i="3" s="1"/>
  <c r="AT25" i="3" a="1"/>
  <c r="AT25" i="3" s="1"/>
  <c r="AM25" i="3" a="1"/>
  <c r="AM25" i="3" s="1"/>
  <c r="AV22" i="3" a="1"/>
  <c r="AV22" i="3" s="1"/>
  <c r="AQ30" i="3" a="1"/>
  <c r="AQ30" i="3" s="1"/>
  <c r="AO28" i="3" a="1"/>
  <c r="AO28" i="3" s="1"/>
  <c r="AX31" i="3" a="1"/>
  <c r="AX31" i="3" s="1"/>
  <c r="AS31" i="3" a="1"/>
  <c r="AS31" i="3" s="1"/>
  <c r="AR28" i="3" a="1"/>
  <c r="AR28" i="3" s="1"/>
  <c r="AQ27" i="3" a="1"/>
  <c r="AQ27" i="3" s="1"/>
  <c r="AT27" i="3" a="1"/>
  <c r="AT27" i="3" s="1"/>
  <c r="AX30" i="3" a="1"/>
  <c r="AX30" i="3" s="1"/>
  <c r="E36" i="1"/>
  <c r="I15" i="2"/>
  <c r="H16" i="2"/>
  <c r="G31" i="1"/>
  <c r="E31" i="1"/>
  <c r="O29" i="5" l="1"/>
  <c r="E29" i="5"/>
  <c r="R11" i="2"/>
  <c r="R12" i="2" s="1"/>
  <c r="R21" i="2"/>
  <c r="R22" i="2" s="1"/>
  <c r="R24" i="2"/>
  <c r="R25" i="2" s="1"/>
  <c r="R8" i="2"/>
  <c r="R9" i="2" s="1"/>
  <c r="H20" i="2"/>
  <c r="H21" i="2" s="1"/>
  <c r="H23" i="2"/>
  <c r="H24" i="2" s="1"/>
  <c r="I17" i="2"/>
  <c r="AZ12" i="3"/>
  <c r="AW15" i="3"/>
  <c r="AZ11" i="3"/>
  <c r="AW14" i="3"/>
  <c r="AZ9" i="3"/>
  <c r="AX8" i="3"/>
  <c r="AZ10" i="3"/>
  <c r="AW13" i="3"/>
  <c r="AW12" i="3"/>
  <c r="AZ8" i="3"/>
  <c r="AW11" i="3"/>
  <c r="AZ7" i="3"/>
  <c r="AW10" i="3"/>
  <c r="AY15" i="3"/>
  <c r="AW9" i="3"/>
  <c r="AY14" i="3"/>
  <c r="AW8" i="3"/>
  <c r="AX10" i="3"/>
  <c r="AY13" i="3"/>
  <c r="AW7" i="3"/>
  <c r="AY12" i="3"/>
  <c r="AY11" i="3"/>
  <c r="AX7" i="3"/>
  <c r="AY10" i="3"/>
  <c r="AX11" i="3"/>
  <c r="AY9" i="3"/>
  <c r="AX15" i="3"/>
  <c r="AM7" i="3"/>
  <c r="AY8" i="3"/>
  <c r="AY7" i="3"/>
  <c r="AX14" i="3"/>
  <c r="AZ13" i="3"/>
  <c r="AX13" i="3"/>
  <c r="AZ14" i="3"/>
  <c r="AX12" i="3"/>
  <c r="AZ15" i="3"/>
  <c r="AX9" i="3"/>
  <c r="AV15" i="3"/>
  <c r="AR13" i="3"/>
  <c r="AN11" i="3"/>
  <c r="AR8" i="3"/>
  <c r="AS7" i="3"/>
  <c r="AP12" i="3"/>
  <c r="AM9" i="3"/>
  <c r="AQ9" i="3"/>
  <c r="AU15" i="3"/>
  <c r="AQ13" i="3"/>
  <c r="AM11" i="3"/>
  <c r="AQ8" i="3"/>
  <c r="AR12" i="3"/>
  <c r="AO7" i="3"/>
  <c r="AM8" i="3"/>
  <c r="AU11" i="3"/>
  <c r="AN9" i="3"/>
  <c r="AU13" i="3"/>
  <c r="AS8" i="3"/>
  <c r="AT15" i="3"/>
  <c r="AP13" i="3"/>
  <c r="AV10" i="3"/>
  <c r="AP8" i="3"/>
  <c r="AU9" i="3"/>
  <c r="AR9" i="3"/>
  <c r="AP9" i="3"/>
  <c r="AF17" i="3"/>
  <c r="AF27" i="3" s="1"/>
  <c r="AF29" i="3" s="1"/>
  <c r="AS13" i="3"/>
  <c r="AS15" i="3"/>
  <c r="AO13" i="3"/>
  <c r="AU10" i="3"/>
  <c r="AO8" i="3"/>
  <c r="AN12" i="3"/>
  <c r="AV11" i="3"/>
  <c r="AT11" i="3"/>
  <c r="AR15" i="3"/>
  <c r="AN13" i="3"/>
  <c r="AT10" i="3"/>
  <c r="AN8" i="3"/>
  <c r="AS9" i="3"/>
  <c r="AT8" i="3"/>
  <c r="AQ15" i="3"/>
  <c r="AM13" i="3"/>
  <c r="AS10" i="3"/>
  <c r="AV7" i="3"/>
  <c r="AT12" i="3"/>
  <c r="AQ7" i="3"/>
  <c r="AN7" i="3"/>
  <c r="AM10" i="3"/>
  <c r="AO9" i="3"/>
  <c r="AV8" i="3"/>
  <c r="AP15" i="3"/>
  <c r="AV12" i="3"/>
  <c r="AR10" i="3"/>
  <c r="AU7" i="3"/>
  <c r="AQ10" i="3"/>
  <c r="AP10" i="3"/>
  <c r="AO15" i="3"/>
  <c r="AU12" i="3"/>
  <c r="AT7" i="3"/>
  <c r="AN10" i="3"/>
  <c r="AT9" i="3"/>
  <c r="AM12" i="3"/>
  <c r="AO14" i="3"/>
  <c r="AS11" i="3"/>
  <c r="AN15" i="3"/>
  <c r="AP14" i="3"/>
  <c r="AV13" i="3"/>
  <c r="AM15" i="3"/>
  <c r="AS12" i="3"/>
  <c r="AO10" i="3"/>
  <c r="AR7" i="3"/>
  <c r="AP11" i="3"/>
  <c r="AV14" i="3"/>
  <c r="AM14" i="3"/>
  <c r="AU8" i="3"/>
  <c r="AU14" i="3"/>
  <c r="AQ12" i="3"/>
  <c r="AV9" i="3"/>
  <c r="AP7" i="3"/>
  <c r="AO12" i="3"/>
  <c r="AR11" i="3"/>
  <c r="AT14" i="3"/>
  <c r="AS14" i="3"/>
  <c r="AR14" i="3"/>
  <c r="AT13" i="3"/>
  <c r="AQ14" i="3"/>
  <c r="AQ11" i="3"/>
  <c r="AO11" i="3"/>
  <c r="AN14" i="3"/>
  <c r="E34" i="1"/>
  <c r="J15" i="2"/>
  <c r="I16" i="2"/>
  <c r="S11" i="2" l="1"/>
  <c r="S12" i="2" s="1"/>
  <c r="S24" i="2"/>
  <c r="S25" i="2" s="1"/>
  <c r="S21" i="2"/>
  <c r="S22" i="2" s="1"/>
  <c r="S8" i="2"/>
  <c r="S9" i="2" s="1"/>
  <c r="I20" i="2"/>
  <c r="I21" i="2" s="1"/>
  <c r="I23" i="2"/>
  <c r="I24" i="2" s="1"/>
  <c r="J17" i="2"/>
  <c r="J16" i="2"/>
  <c r="T11" i="2" l="1"/>
  <c r="T12" i="2" s="1"/>
  <c r="O15" i="2" s="1"/>
  <c r="T24" i="2"/>
  <c r="T25" i="2" s="1"/>
  <c r="O28" i="2" s="1"/>
  <c r="T21" i="2"/>
  <c r="T22" i="2" s="1"/>
  <c r="O27" i="2" s="1"/>
  <c r="T8" i="2"/>
  <c r="T9" i="2" s="1"/>
  <c r="O14" i="2" s="1"/>
  <c r="J20" i="2"/>
  <c r="J21" i="2" s="1"/>
  <c r="J23" i="2"/>
  <c r="J24" i="2" s="1"/>
  <c r="L36" i="2" l="1"/>
  <c r="O16" i="2"/>
  <c r="O18" i="2" s="1"/>
  <c r="N40" i="2"/>
  <c r="M38" i="2"/>
  <c r="O42" i="2"/>
  <c r="O36" i="2"/>
  <c r="M40" i="2"/>
  <c r="N39" i="2"/>
  <c r="N42" i="2"/>
  <c r="N36" i="2"/>
  <c r="L40" i="2"/>
  <c r="M42" i="2"/>
  <c r="M36" i="2"/>
  <c r="L41" i="2"/>
  <c r="O39" i="2"/>
  <c r="O37" i="2"/>
  <c r="L42" i="2"/>
  <c r="M39" i="2"/>
  <c r="L44" i="2"/>
  <c r="N37" i="2"/>
  <c r="N38" i="2"/>
  <c r="O43" i="2"/>
  <c r="M43" i="2"/>
  <c r="M37" i="2"/>
  <c r="L50" i="2" a="1"/>
  <c r="L50" i="2" s="1"/>
  <c r="M48" i="2" a="1"/>
  <c r="M48" i="2" s="1"/>
  <c r="L58" i="2" a="1"/>
  <c r="L58" i="2" s="1"/>
  <c r="O55" i="2" a="1"/>
  <c r="O55" i="2" s="1"/>
  <c r="N56" i="2" a="1"/>
  <c r="N56" i="2" s="1"/>
  <c r="M53" i="2" a="1"/>
  <c r="M53" i="2" s="1"/>
  <c r="M52" i="2" a="1"/>
  <c r="M52" i="2" s="1"/>
  <c r="O49" i="2" a="1"/>
  <c r="O49" i="2" s="1"/>
  <c r="M54" i="2" a="1"/>
  <c r="M54" i="2" s="1"/>
  <c r="N53" i="2" a="1"/>
  <c r="N53" i="2" s="1"/>
  <c r="O57" i="2" a="1"/>
  <c r="O57" i="2" s="1"/>
  <c r="N55" i="2" a="1"/>
  <c r="N55" i="2" s="1"/>
  <c r="O54" i="2" a="1"/>
  <c r="O54" i="2" s="1"/>
  <c r="L51" i="2" a="1"/>
  <c r="L51" i="2" s="1"/>
  <c r="O58" i="2" a="1"/>
  <c r="O58" i="2" s="1"/>
  <c r="N49" i="2" a="1"/>
  <c r="N49" i="2" s="1"/>
  <c r="L48" i="2" a="1"/>
  <c r="L48" i="2" s="1"/>
  <c r="L53" i="2" a="1"/>
  <c r="L53" i="2" s="1"/>
  <c r="O52" i="2" a="1"/>
  <c r="O52" i="2" s="1"/>
  <c r="M55" i="2" a="1"/>
  <c r="M55" i="2" s="1"/>
  <c r="N54" i="2" a="1"/>
  <c r="N54" i="2" s="1"/>
  <c r="N58" i="2" a="1"/>
  <c r="N58" i="2" s="1"/>
  <c r="O51" i="2" a="1"/>
  <c r="O51" i="2" s="1"/>
  <c r="N52" i="2" a="1"/>
  <c r="N52" i="2" s="1"/>
  <c r="O56" i="2" a="1"/>
  <c r="O56" i="2" s="1"/>
  <c r="L54" i="2" a="1"/>
  <c r="L54" i="2" s="1"/>
  <c r="M56" i="2" a="1"/>
  <c r="M56" i="2" s="1"/>
  <c r="M57" i="2" a="1"/>
  <c r="M57" i="2" s="1"/>
  <c r="L55" i="2" a="1"/>
  <c r="L55" i="2" s="1"/>
  <c r="N51" i="2" a="1"/>
  <c r="N51" i="2" s="1"/>
  <c r="L49" i="2" a="1"/>
  <c r="L49" i="2" s="1"/>
  <c r="O50" i="2" a="1"/>
  <c r="O50" i="2" s="1"/>
  <c r="L57" i="2" a="1"/>
  <c r="L57" i="2" s="1"/>
  <c r="O48" i="2" a="1"/>
  <c r="O48" i="2" s="1"/>
  <c r="M51" i="2" a="1"/>
  <c r="M51" i="2" s="1"/>
  <c r="N50" i="2" a="1"/>
  <c r="N50" i="2" s="1"/>
  <c r="M50" i="2" a="1"/>
  <c r="M50" i="2" s="1"/>
  <c r="L56" i="2" a="1"/>
  <c r="L56" i="2" s="1"/>
  <c r="G56" i="2" a="1"/>
  <c r="G56" i="2" s="1"/>
  <c r="K54" i="2" a="1"/>
  <c r="K54" i="2" s="1"/>
  <c r="F55" i="2" a="1"/>
  <c r="F55" i="2" s="1"/>
  <c r="H37" i="2"/>
  <c r="D58" i="2" a="1"/>
  <c r="D58" i="2" s="1"/>
  <c r="J54" i="2" a="1"/>
  <c r="J54" i="2" s="1"/>
  <c r="K52" i="2" a="1"/>
  <c r="K52" i="2" s="1"/>
  <c r="K50" i="2" a="1"/>
  <c r="K50" i="2" s="1"/>
  <c r="K48" i="2" a="1"/>
  <c r="K48" i="2" s="1"/>
  <c r="G53" i="2" a="1"/>
  <c r="G53" i="2" s="1"/>
  <c r="F53" i="2" a="1"/>
  <c r="F53" i="2" s="1"/>
  <c r="D55" i="2" a="1"/>
  <c r="D55" i="2" s="1"/>
  <c r="K56" i="2" a="1"/>
  <c r="K56" i="2" s="1"/>
  <c r="F56" i="2" a="1"/>
  <c r="F56" i="2" s="1"/>
  <c r="I54" i="2" a="1"/>
  <c r="I54" i="2" s="1"/>
  <c r="J52" i="2" a="1"/>
  <c r="J52" i="2" s="1"/>
  <c r="J50" i="2" a="1"/>
  <c r="J50" i="2" s="1"/>
  <c r="J48" i="2" a="1"/>
  <c r="J48" i="2" s="1"/>
  <c r="J56" i="2" a="1"/>
  <c r="J56" i="2" s="1"/>
  <c r="H54" i="2" a="1"/>
  <c r="H54" i="2" s="1"/>
  <c r="I52" i="2" a="1"/>
  <c r="I52" i="2" s="1"/>
  <c r="I50" i="2" a="1"/>
  <c r="I50" i="2" s="1"/>
  <c r="I48" i="2" a="1"/>
  <c r="I48" i="2" s="1"/>
  <c r="G49" i="2" a="1"/>
  <c r="G49" i="2" s="1"/>
  <c r="I41" i="2"/>
  <c r="G58" i="2" a="1"/>
  <c r="G58" i="2" s="1"/>
  <c r="K44" i="2"/>
  <c r="K42" i="2"/>
  <c r="K40" i="2"/>
  <c r="K38" i="2"/>
  <c r="K36" i="2"/>
  <c r="E56" i="2" a="1"/>
  <c r="E56" i="2" s="1"/>
  <c r="G54" i="2" a="1"/>
  <c r="G54" i="2" s="1"/>
  <c r="H52" i="2" a="1"/>
  <c r="H52" i="2" s="1"/>
  <c r="H50" i="2" a="1"/>
  <c r="H50" i="2" s="1"/>
  <c r="H48" i="2" a="1"/>
  <c r="H48" i="2" s="1"/>
  <c r="K37" i="2"/>
  <c r="I39" i="2"/>
  <c r="G39" i="2"/>
  <c r="D53" i="2" a="1"/>
  <c r="D53" i="2" s="1"/>
  <c r="J42" i="2"/>
  <c r="J40" i="2"/>
  <c r="J38" i="2"/>
  <c r="J36" i="2"/>
  <c r="D56" i="2" a="1"/>
  <c r="D56" i="2" s="1"/>
  <c r="F54" i="2" a="1"/>
  <c r="F54" i="2" s="1"/>
  <c r="G50" i="2" a="1"/>
  <c r="G50" i="2" s="1"/>
  <c r="G48" i="2" a="1"/>
  <c r="G48" i="2" s="1"/>
  <c r="J53" i="2" a="1"/>
  <c r="J53" i="2" s="1"/>
  <c r="J37" i="2"/>
  <c r="F49" i="2" a="1"/>
  <c r="F49" i="2" s="1"/>
  <c r="E51" i="2" a="1"/>
  <c r="E51" i="2" s="1"/>
  <c r="F58" i="2" a="1"/>
  <c r="F58" i="2" s="1"/>
  <c r="I44" i="2"/>
  <c r="I42" i="2"/>
  <c r="I40" i="2"/>
  <c r="I38" i="2"/>
  <c r="I36" i="2"/>
  <c r="K57" i="2" a="1"/>
  <c r="K57" i="2" s="1"/>
  <c r="F52" i="2" a="1"/>
  <c r="F52" i="2" s="1"/>
  <c r="F50" i="2" a="1"/>
  <c r="F50" i="2" s="1"/>
  <c r="F48" i="2" a="1"/>
  <c r="F48" i="2" s="1"/>
  <c r="H58" i="2" a="1"/>
  <c r="H58" i="2" s="1"/>
  <c r="D39" i="2"/>
  <c r="H44" i="2"/>
  <c r="H42" i="2"/>
  <c r="H40" i="2"/>
  <c r="H36" i="2"/>
  <c r="J57" i="2" a="1"/>
  <c r="J57" i="2" s="1"/>
  <c r="E52" i="2" a="1"/>
  <c r="E52" i="2" s="1"/>
  <c r="E50" i="2" a="1"/>
  <c r="E50" i="2" s="1"/>
  <c r="E48" i="2" a="1"/>
  <c r="E48" i="2" s="1"/>
  <c r="J49" i="2" a="1"/>
  <c r="J49" i="2" s="1"/>
  <c r="H41" i="2"/>
  <c r="D41" i="2"/>
  <c r="G44" i="2"/>
  <c r="G42" i="2"/>
  <c r="G40" i="2"/>
  <c r="G38" i="2"/>
  <c r="G36" i="2"/>
  <c r="I57" i="2" a="1"/>
  <c r="I57" i="2" s="1"/>
  <c r="D54" i="2" a="1"/>
  <c r="D54" i="2" s="1"/>
  <c r="D52" i="2" a="1"/>
  <c r="D52" i="2" s="1"/>
  <c r="D50" i="2" a="1"/>
  <c r="D50" i="2" s="1"/>
  <c r="D48" i="2" a="1"/>
  <c r="D48" i="2" s="1"/>
  <c r="I49" i="2" a="1"/>
  <c r="I49" i="2" s="1"/>
  <c r="J41" i="2"/>
  <c r="D49" i="2" a="1"/>
  <c r="D49" i="2" s="1"/>
  <c r="F44" i="2"/>
  <c r="F42" i="2"/>
  <c r="F40" i="2"/>
  <c r="F38" i="2"/>
  <c r="F36" i="2"/>
  <c r="H57" i="2" a="1"/>
  <c r="H57" i="2" s="1"/>
  <c r="H51" i="2" a="1"/>
  <c r="H51" i="2" s="1"/>
  <c r="I58" i="2" a="1"/>
  <c r="I58" i="2" s="1"/>
  <c r="F39" i="2"/>
  <c r="E44" i="2"/>
  <c r="E42" i="2"/>
  <c r="E40" i="2"/>
  <c r="E38" i="2"/>
  <c r="E36" i="2"/>
  <c r="G57" i="2" a="1"/>
  <c r="G57" i="2" s="1"/>
  <c r="K55" i="2" a="1"/>
  <c r="K55" i="2" s="1"/>
  <c r="H49" i="2" a="1"/>
  <c r="H49" i="2" s="1"/>
  <c r="G41" i="2"/>
  <c r="E41" i="2"/>
  <c r="D44" i="2"/>
  <c r="D42" i="2"/>
  <c r="D40" i="2"/>
  <c r="D38" i="2"/>
  <c r="D36" i="2"/>
  <c r="J55" i="2" a="1"/>
  <c r="J55" i="2" s="1"/>
  <c r="J39" i="2"/>
  <c r="H39" i="2"/>
  <c r="D51" i="2" a="1"/>
  <c r="D51" i="2" s="1"/>
  <c r="E37" i="2"/>
  <c r="F57" i="2" a="1"/>
  <c r="F57" i="2" s="1"/>
  <c r="I55" i="2" a="1"/>
  <c r="I55" i="2" s="1"/>
  <c r="H53" i="2" a="1"/>
  <c r="H53" i="2" s="1"/>
  <c r="I37" i="2"/>
  <c r="G43" i="2"/>
  <c r="E39" i="2"/>
  <c r="H55" i="2" a="1"/>
  <c r="H55" i="2" s="1"/>
  <c r="K53" i="2" a="1"/>
  <c r="K53" i="2" s="1"/>
  <c r="K51" i="2" a="1"/>
  <c r="K51" i="2" s="1"/>
  <c r="K49" i="2" a="1"/>
  <c r="K49" i="2" s="1"/>
  <c r="J58" i="2" a="1"/>
  <c r="J58" i="2" s="1"/>
  <c r="E57" i="2" a="1"/>
  <c r="E57" i="2" s="1"/>
  <c r="G55" i="2" a="1"/>
  <c r="G55" i="2" s="1"/>
  <c r="F51" i="2" a="1"/>
  <c r="F51" i="2" s="1"/>
  <c r="E53" i="2" a="1"/>
  <c r="E53" i="2" s="1"/>
  <c r="F41" i="2"/>
  <c r="D37" i="2"/>
  <c r="D57" i="2" a="1"/>
  <c r="D57" i="2" s="1"/>
  <c r="I53" i="2" a="1"/>
  <c r="I53" i="2" s="1"/>
  <c r="I51" i="2" a="1"/>
  <c r="I51" i="2" s="1"/>
  <c r="G51" i="2" a="1"/>
  <c r="G51" i="2" s="1"/>
  <c r="E55" i="2" a="1"/>
  <c r="E55" i="2" s="1"/>
  <c r="G37" i="2"/>
  <c r="K43" i="2"/>
  <c r="K41" i="2"/>
  <c r="K39" i="2"/>
  <c r="K58" i="2" a="1"/>
  <c r="K58" i="2" s="1"/>
  <c r="I56" i="2" a="1"/>
  <c r="I56" i="2" s="1"/>
  <c r="J43" i="2"/>
  <c r="F37" i="2"/>
  <c r="I43" i="2"/>
  <c r="H43" i="2"/>
  <c r="D43" i="2"/>
  <c r="F43" i="2"/>
  <c r="H56" i="2" a="1"/>
  <c r="H56" i="2" s="1"/>
  <c r="E43" i="2"/>
  <c r="E28" i="2"/>
  <c r="E30" i="2" s="1"/>
  <c r="O29" i="2" l="1"/>
  <c r="O31" i="2" s="1"/>
  <c r="O44" i="2"/>
  <c r="N57" i="2" a="1"/>
  <c r="N57" i="2" s="1"/>
  <c r="O40" i="2"/>
  <c r="M49" i="2" a="1"/>
  <c r="M49" i="2" s="1"/>
  <c r="L38" i="2"/>
  <c r="E54" i="2" a="1"/>
  <c r="E54" i="2" s="1"/>
  <c r="G52" i="2" a="1"/>
  <c r="G52" i="2" s="1"/>
  <c r="J51" i="2" a="1"/>
  <c r="J51" i="2" s="1"/>
  <c r="E58" i="2" a="1"/>
  <c r="E58" i="2" s="1"/>
  <c r="M58" i="2" a="1"/>
  <c r="M58" i="2" s="1"/>
  <c r="N44" i="2"/>
  <c r="N48" i="2" a="1"/>
  <c r="N48" i="2" s="1"/>
  <c r="M41" i="2"/>
  <c r="J44" i="2"/>
  <c r="E49" i="2" a="1"/>
  <c r="E49" i="2" s="1"/>
  <c r="O53" i="2" a="1"/>
  <c r="O53" i="2" s="1"/>
  <c r="L52" i="2" a="1"/>
  <c r="L52" i="2" s="1"/>
  <c r="M44" i="2"/>
  <c r="O38" i="2"/>
  <c r="L37" i="2"/>
  <c r="N41" i="2"/>
  <c r="L43" i="2"/>
  <c r="N43" i="2"/>
  <c r="L39" i="2"/>
  <c r="O41" i="2"/>
  <c r="H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<sst xmlns="http://schemas.openxmlformats.org/spreadsheetml/2006/main" count="248" uniqueCount="124">
  <si>
    <t>Revenue</t>
  </si>
  <si>
    <t>EBITDA</t>
  </si>
  <si>
    <t>EBITDA Margin</t>
  </si>
  <si>
    <t>EBIT</t>
  </si>
  <si>
    <t>GPU D&amp;A</t>
  </si>
  <si>
    <t>Data Center D&amp;A</t>
  </si>
  <si>
    <t>MSFT Pre Payment</t>
  </si>
  <si>
    <t>Data Center CapEx</t>
  </si>
  <si>
    <t>GPU CapEx</t>
  </si>
  <si>
    <t>Data Center Maintenance</t>
  </si>
  <si>
    <t>GPU Residual Value</t>
  </si>
  <si>
    <t>Data Center Residual Value</t>
  </si>
  <si>
    <t>Unlevered Cash Flow</t>
  </si>
  <si>
    <t>IREN - MSFT Deal ($mm)</t>
  </si>
  <si>
    <t>Notes</t>
  </si>
  <si>
    <t>$9.7B Total</t>
  </si>
  <si>
    <t>$15M/MW x 200MW</t>
  </si>
  <si>
    <t>NPV</t>
  </si>
  <si>
    <t>Unlevered IRR</t>
  </si>
  <si>
    <t>Levered IRR</t>
  </si>
  <si>
    <t>Debt Drawdown</t>
  </si>
  <si>
    <t>Interest Expense</t>
  </si>
  <si>
    <t>Debt Repayment</t>
  </si>
  <si>
    <t>Levered Cash Flow</t>
  </si>
  <si>
    <t>PV of Unlevered Cash Flow</t>
  </si>
  <si>
    <t>PV of Levered Cash Flow</t>
  </si>
  <si>
    <t>Date:</t>
  </si>
  <si>
    <t>Discount Rate:</t>
  </si>
  <si>
    <t>Mid-year discounting</t>
  </si>
  <si>
    <t>Equity NPV</t>
  </si>
  <si>
    <t>6% p.a.</t>
  </si>
  <si>
    <t>$500k/MW</t>
  </si>
  <si>
    <t>Levered Discount Rate:</t>
  </si>
  <si>
    <t>OpEx ex D&amp;A</t>
  </si>
  <si>
    <t>Childress</t>
  </si>
  <si>
    <t>Oklahoma</t>
  </si>
  <si>
    <t>Total Active MW</t>
  </si>
  <si>
    <t>New MW added</t>
  </si>
  <si>
    <t>Prince George</t>
  </si>
  <si>
    <t>Mackenzie</t>
  </si>
  <si>
    <t>Canal Flats</t>
  </si>
  <si>
    <t>Weighted Average MW</t>
  </si>
  <si>
    <t>KPI's</t>
  </si>
  <si>
    <t>4.5 GW</t>
  </si>
  <si>
    <t>Pre Payment</t>
  </si>
  <si>
    <t>Equity</t>
  </si>
  <si>
    <t>Debt</t>
  </si>
  <si>
    <t>Total</t>
  </si>
  <si>
    <t>1920*(4510/200)</t>
  </si>
  <si>
    <t>4160*(4510/200)</t>
  </si>
  <si>
    <t>3600*(4510/200)</t>
  </si>
  <si>
    <t>$5.8B Total</t>
  </si>
  <si>
    <t>5 Year Life on 5800-1688</t>
  </si>
  <si>
    <t>Unlevered FCF</t>
  </si>
  <si>
    <t>Levered FCF</t>
  </si>
  <si>
    <t>PV of Unlevered FCF</t>
  </si>
  <si>
    <t>PV of Levered FCF</t>
  </si>
  <si>
    <t>Stock Price</t>
  </si>
  <si>
    <t>Shares Outstanding</t>
  </si>
  <si>
    <t>millions</t>
  </si>
  <si>
    <t>Market Cap</t>
  </si>
  <si>
    <t>Dilution</t>
  </si>
  <si>
    <t>Implied Stock Price</t>
  </si>
  <si>
    <t>Terminal Value</t>
  </si>
  <si>
    <t>Upside/(Downside)</t>
  </si>
  <si>
    <t>5 Year Life on 5800-1160</t>
  </si>
  <si>
    <t>$5.8B Total per deal</t>
  </si>
  <si>
    <t>Taxes</t>
  </si>
  <si>
    <t>Risk Free Rate</t>
  </si>
  <si>
    <t>Equity Risk Premium</t>
  </si>
  <si>
    <t>Beta</t>
  </si>
  <si>
    <t>Cost of Equity</t>
  </si>
  <si>
    <t>Levered Total</t>
  </si>
  <si>
    <t>Terminal Growth Rate</t>
  </si>
  <si>
    <t>Stock Price Senstivity Table</t>
  </si>
  <si>
    <t>Discount Rate</t>
  </si>
  <si>
    <t>Dilution since IPO</t>
  </si>
  <si>
    <t>Implied Dilution</t>
  </si>
  <si>
    <t>With Current Market Cap</t>
  </si>
  <si>
    <t>331.44/21 (2026/2021)</t>
  </si>
  <si>
    <t>SBC Dilution</t>
  </si>
  <si>
    <t>2% a year</t>
  </si>
  <si>
    <t>GPU Count</t>
  </si>
  <si>
    <t>GPU/Hour</t>
  </si>
  <si>
    <t>Unlevered CF per MW</t>
  </si>
  <si>
    <t>Levered CF per MW</t>
  </si>
  <si>
    <t>PV of Unlevered CF per MW</t>
  </si>
  <si>
    <t>PV of Levered CF per MW</t>
  </si>
  <si>
    <t>Total Unlevered CF</t>
  </si>
  <si>
    <t>Sweetwater 1</t>
  </si>
  <si>
    <t>Sweetwater 2</t>
  </si>
  <si>
    <t>PV of CF per MW</t>
  </si>
  <si>
    <t>PV of Cash Flow</t>
  </si>
  <si>
    <t>TV Per CF</t>
  </si>
  <si>
    <t>PV of Terminal Value</t>
  </si>
  <si>
    <t>Implied Market Cap</t>
  </si>
  <si>
    <t>Implied Share Price</t>
  </si>
  <si>
    <t>Share Count with 3x Dilution</t>
  </si>
  <si>
    <t>PV of Terminal Value per MW</t>
  </si>
  <si>
    <t>Terminal Value per MW</t>
  </si>
  <si>
    <t>PV of CF per MW (+10% Revenue)</t>
  </si>
  <si>
    <t>Cash Flows</t>
  </si>
  <si>
    <t>Cash Flows (+10% Revenue)</t>
  </si>
  <si>
    <t>PV of Cash Flows</t>
  </si>
  <si>
    <t>Stock Price Sensitivity Table</t>
  </si>
  <si>
    <t>Implied Dilution 5Y</t>
  </si>
  <si>
    <t>PV of CF per MW with 3% Corp SG&amp;A</t>
  </si>
  <si>
    <t>PV of TV per MW with 3% Corp SG&amp;A</t>
  </si>
  <si>
    <t>Cash Flows with Corp SG&amp;A</t>
  </si>
  <si>
    <t>Energization per month:</t>
  </si>
  <si>
    <t>IREN - British Columbia ($mm)</t>
  </si>
  <si>
    <t>BC PV of CF Difference</t>
  </si>
  <si>
    <t>BC PV of CF per MW est</t>
  </si>
  <si>
    <t>Q2</t>
  </si>
  <si>
    <t>Q1</t>
  </si>
  <si>
    <t>Q4</t>
  </si>
  <si>
    <t>Q3</t>
  </si>
  <si>
    <t>P/E</t>
  </si>
  <si>
    <t>EPS - Reported</t>
  </si>
  <si>
    <t>$mm unless per share</t>
  </si>
  <si>
    <t>EPS Recuring</t>
  </si>
  <si>
    <t>Operating Cash Flow</t>
  </si>
  <si>
    <t>FCF per Share</t>
  </si>
  <si>
    <t>Source: FactSet, Stockanalysis.com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</si>
</sst>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164" formatCode="0.00;\(#,000\)"/>
    <numFmt numFmtId="165" formatCode="#,000;\(#,000\)"/>
    <numFmt numFmtId="166" formatCode="#,##0.0"/>
    <numFmt numFmtId="167" formatCode="&quot;$&quot;#,##0.0;\(&quot;$&quot;#,##0.0\);\-"/>
    <numFmt numFmtId="168" formatCode="#,000;\(#,#00\)"/>
    <numFmt numFmtId="169" formatCode="0.00;\(#,##0\)"/>
    <numFmt numFmtId="170" formatCode="0.00;\(#,#00\)"/>
    <numFmt numFmtId="171" formatCode="&quot;$&quot;#,##0.00"/>
    <numFmt numFmtId="172" formatCode="0%;\(0%\)"/>
    <numFmt numFmtId="173" formatCode="0\x"/>
    <numFmt numFmtId="174" formatCode="0.00\x"/>
    <numFmt numFmtId="175" formatCode="0.0%"/>
    <numFmt numFmtId="176" formatCode="0.0\x"/>
    <numFmt numFmtId="177" formatCode="#,#00;\(#,000\)"/>
    <numFmt numFmtId="178" formatCode="00&quot;MW&quot;"/>
    <numFmt numFmtId="179" formatCode="0.00;\(#,##0.00\)"/>
    <numFmt numFmtId="180" formatCode="0.00;\(#,#00.00\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3" fontId="0" fillId="0" borderId="0" xfId="0" applyNumberFormat="1"/>
    <xf numFmtId="0" fontId="1" fillId="2" borderId="0" xfId="0" applyFont="1" applyFill="1"/>
    <xf numFmtId="9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3" fontId="3" fillId="0" borderId="0" xfId="0" applyNumberFormat="1" applyFont="1"/>
    <xf numFmtId="166" fontId="0" fillId="0" borderId="0" xfId="0" applyNumberFormat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0" borderId="9" xfId="0" applyBorder="1"/>
    <xf numFmtId="0" fontId="0" fillId="0" borderId="10" xfId="0" applyBorder="1"/>
    <xf numFmtId="165" fontId="0" fillId="0" borderId="10" xfId="0" applyNumberFormat="1" applyBorder="1"/>
    <xf numFmtId="165" fontId="0" fillId="0" borderId="11" xfId="0" applyNumberFormat="1" applyBorder="1"/>
    <xf numFmtId="164" fontId="3" fillId="0" borderId="0" xfId="0" applyNumberFormat="1" applyFont="1"/>
    <xf numFmtId="164" fontId="0" fillId="0" borderId="10" xfId="0" applyNumberFormat="1" applyBorder="1"/>
    <xf numFmtId="14" fontId="0" fillId="0" borderId="0" xfId="0" applyNumberFormat="1"/>
    <xf numFmtId="167" fontId="0" fillId="0" borderId="0" xfId="0" applyNumberFormat="1"/>
    <xf numFmtId="10" fontId="0" fillId="0" borderId="0" xfId="0" applyNumberFormat="1"/>
    <xf numFmtId="9" fontId="0" fillId="3" borderId="6" xfId="0" applyNumberFormat="1" applyFill="1" applyBorder="1"/>
    <xf numFmtId="9" fontId="0" fillId="3" borderId="8" xfId="0" applyNumberFormat="1" applyFill="1" applyBorder="1"/>
    <xf numFmtId="37" fontId="0" fillId="3" borderId="6" xfId="0" applyNumberFormat="1" applyFill="1" applyBorder="1"/>
    <xf numFmtId="37" fontId="0" fillId="0" borderId="0" xfId="0" applyNumberFormat="1"/>
    <xf numFmtId="168" fontId="0" fillId="0" borderId="11" xfId="0" applyNumberFormat="1" applyBorder="1"/>
    <xf numFmtId="169" fontId="0" fillId="0" borderId="0" xfId="0" applyNumberFormat="1"/>
    <xf numFmtId="3" fontId="0" fillId="0" borderId="1" xfId="0" applyNumberFormat="1" applyBorder="1"/>
    <xf numFmtId="168" fontId="0" fillId="0" borderId="10" xfId="0" applyNumberFormat="1" applyBorder="1"/>
    <xf numFmtId="0" fontId="1" fillId="2" borderId="5" xfId="0" applyFont="1" applyFill="1" applyBorder="1"/>
    <xf numFmtId="3" fontId="2" fillId="0" borderId="5" xfId="0" applyNumberFormat="1" applyFont="1" applyBorder="1"/>
    <xf numFmtId="3" fontId="0" fillId="0" borderId="5" xfId="0" applyNumberFormat="1" applyBorder="1"/>
    <xf numFmtId="9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0" fontId="1" fillId="2" borderId="6" xfId="0" applyFont="1" applyFill="1" applyBorder="1"/>
    <xf numFmtId="3" fontId="2" fillId="0" borderId="6" xfId="0" applyNumberFormat="1" applyFont="1" applyBorder="1"/>
    <xf numFmtId="3" fontId="0" fillId="0" borderId="6" xfId="0" applyNumberFormat="1" applyBorder="1"/>
    <xf numFmtId="9" fontId="0" fillId="0" borderId="6" xfId="0" applyNumberFormat="1" applyBorder="1"/>
    <xf numFmtId="0" fontId="0" fillId="0" borderId="6" xfId="0" applyBorder="1"/>
    <xf numFmtId="164" fontId="0" fillId="0" borderId="6" xfId="0" applyNumberForma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165" fontId="0" fillId="0" borderId="5" xfId="0" applyNumberFormat="1" applyBorder="1"/>
    <xf numFmtId="165" fontId="0" fillId="0" borderId="6" xfId="0" applyNumberFormat="1" applyBorder="1"/>
    <xf numFmtId="4" fontId="0" fillId="0" borderId="0" xfId="0" applyNumberFormat="1"/>
    <xf numFmtId="164" fontId="3" fillId="0" borderId="6" xfId="0" applyNumberFormat="1" applyFont="1" applyBorder="1"/>
    <xf numFmtId="0" fontId="0" fillId="0" borderId="3" xfId="0" applyBorder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37" fontId="0" fillId="3" borderId="4" xfId="0" applyNumberFormat="1" applyFill="1" applyBorder="1"/>
    <xf numFmtId="174" fontId="0" fillId="0" borderId="0" xfId="0" applyNumberFormat="1" applyAlignment="1">
      <alignment horizontal="right"/>
    </xf>
    <xf numFmtId="171" fontId="0" fillId="0" borderId="5" xfId="0" applyNumberFormat="1" applyBorder="1"/>
    <xf numFmtId="171" fontId="0" fillId="0" borderId="2" xfId="0" applyNumberFormat="1" applyBorder="1"/>
    <xf numFmtId="171" fontId="0" fillId="0" borderId="3" xfId="0" applyNumberFormat="1" applyBorder="1"/>
    <xf numFmtId="175" fontId="0" fillId="0" borderId="12" xfId="0" applyNumberFormat="1" applyBorder="1"/>
    <xf numFmtId="171" fontId="0" fillId="4" borderId="0" xfId="0" applyNumberFormat="1" applyFill="1"/>
    <xf numFmtId="171" fontId="0" fillId="0" borderId="13" xfId="0" applyNumberFormat="1" applyBorder="1"/>
    <xf numFmtId="175" fontId="0" fillId="0" borderId="14" xfId="0" applyNumberFormat="1" applyBorder="1"/>
    <xf numFmtId="171" fontId="0" fillId="0" borderId="15" xfId="0" applyNumberFormat="1" applyBorder="1"/>
    <xf numFmtId="171" fontId="0" fillId="0" borderId="14" xfId="0" applyNumberFormat="1" applyBorder="1"/>
    <xf numFmtId="173" fontId="0" fillId="0" borderId="10" xfId="0" applyNumberFormat="1" applyBorder="1"/>
    <xf numFmtId="176" fontId="0" fillId="0" borderId="0" xfId="0" applyNumberFormat="1" applyAlignment="1">
      <alignment horizontal="right"/>
    </xf>
    <xf numFmtId="176" fontId="0" fillId="0" borderId="10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173" fontId="0" fillId="0" borderId="1" xfId="0" applyNumberFormat="1" applyBorder="1"/>
    <xf numFmtId="170" fontId="0" fillId="0" borderId="6" xfId="0" applyNumberFormat="1" applyBorder="1"/>
    <xf numFmtId="39" fontId="0" fillId="3" borderId="6" xfId="0" applyNumberFormat="1" applyFill="1" applyBorder="1"/>
    <xf numFmtId="39" fontId="0" fillId="3" borderId="8" xfId="0" applyNumberFormat="1" applyFill="1" applyBorder="1"/>
    <xf numFmtId="39" fontId="0" fillId="3" borderId="4" xfId="0" applyNumberFormat="1" applyFill="1" applyBorder="1"/>
    <xf numFmtId="37" fontId="0" fillId="3" borderId="8" xfId="0" applyNumberFormat="1" applyFill="1" applyBorder="1"/>
    <xf numFmtId="5" fontId="0" fillId="3" borderId="8" xfId="0" applyNumberFormat="1" applyFill="1" applyBorder="1"/>
    <xf numFmtId="0" fontId="0" fillId="3" borderId="4" xfId="0" applyFill="1" applyBorder="1"/>
    <xf numFmtId="0" fontId="0" fillId="3" borderId="8" xfId="0" applyFill="1" applyBorder="1"/>
    <xf numFmtId="0" fontId="4" fillId="5" borderId="0" xfId="0" applyFont="1" applyFill="1"/>
    <xf numFmtId="0" fontId="5" fillId="6" borderId="0" xfId="0" applyFont="1" applyFill="1"/>
    <xf numFmtId="10" fontId="2" fillId="0" borderId="12" xfId="0" applyNumberFormat="1" applyFont="1" applyBorder="1"/>
    <xf numFmtId="0" fontId="2" fillId="6" borderId="10" xfId="0" applyFont="1" applyFill="1" applyBorder="1"/>
    <xf numFmtId="3" fontId="0" fillId="0" borderId="10" xfId="0" applyNumberFormat="1" applyBorder="1"/>
    <xf numFmtId="3" fontId="0" fillId="0" borderId="11" xfId="0" applyNumberFormat="1" applyBorder="1"/>
    <xf numFmtId="177" fontId="0" fillId="0" borderId="0" xfId="0" applyNumberFormat="1"/>
    <xf numFmtId="178" fontId="0" fillId="0" borderId="0" xfId="0" applyNumberFormat="1"/>
    <xf numFmtId="164" fontId="2" fillId="0" borderId="0" xfId="0" applyNumberFormat="1" applyFont="1"/>
    <xf numFmtId="164" fontId="2" fillId="0" borderId="5" xfId="0" applyNumberFormat="1" applyFont="1" applyBorder="1"/>
    <xf numFmtId="0" fontId="0" fillId="3" borderId="9" xfId="0" applyFill="1" applyBorder="1"/>
    <xf numFmtId="0" fontId="0" fillId="3" borderId="10" xfId="0" applyFill="1" applyBorder="1"/>
    <xf numFmtId="1" fontId="0" fillId="3" borderId="11" xfId="0" applyNumberFormat="1" applyFill="1" applyBorder="1"/>
    <xf numFmtId="0" fontId="1" fillId="2" borderId="0" xfId="0" applyFont="1" applyFill="1" applyAlignment="1">
      <alignment horizontal="center"/>
    </xf>
    <xf numFmtId="179" fontId="0" fillId="0" borderId="0" xfId="0" applyNumberFormat="1"/>
    <xf numFmtId="2" fontId="0" fillId="0" borderId="0" xfId="0" applyNumberFormat="1"/>
    <xf numFmtId="180" fontId="0" fillId="0" borderId="0" xfId="0" applyNumberFormat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BD93EB-2B5A-410B-9876-3A444689ED2A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E80-ADC2-488E-B0D0-39BB8E448947}">
  <dimension ref="B2:AG59"/>
  <sheetViews>
    <sheetView showGridLines="0" tabSelected="1" topLeftCell="A10" zoomScale="115" zoomScaleNormal="115" workbookViewId="0">
      <selection activeCell="C4" sqref="C4"/>
    </sheetView>
  </sheetViews>
  <sheetFormatPr defaultRowHeight="14.4" x14ac:dyDescent="0.3"/>
  <cols>
    <col min="5" max="5" width="8.88671875" customWidth="1"/>
  </cols>
  <sheetData>
    <row r="2" spans="2:25" x14ac:dyDescent="0.3">
      <c r="B2" t="s">
        <v>26</v>
      </c>
      <c r="D2" s="22">
        <v>46085</v>
      </c>
      <c r="F2" t="s">
        <v>27</v>
      </c>
      <c r="H2" s="24">
        <v>0.12</v>
      </c>
      <c r="J2" t="s">
        <v>109</v>
      </c>
      <c r="L2" s="24"/>
      <c r="M2" s="86">
        <v>50</v>
      </c>
    </row>
    <row r="3" spans="2:25" x14ac:dyDescent="0.3">
      <c r="G3" s="24"/>
      <c r="L3" s="24"/>
    </row>
    <row r="4" spans="2:25" x14ac:dyDescent="0.3">
      <c r="B4" s="12" t="s">
        <v>91</v>
      </c>
      <c r="C4" s="13"/>
      <c r="D4" s="77">
        <v>3.66</v>
      </c>
      <c r="F4" s="12" t="s">
        <v>100</v>
      </c>
      <c r="G4" s="13"/>
      <c r="H4" s="77"/>
      <c r="I4" s="12"/>
      <c r="J4" s="77">
        <v>8.44</v>
      </c>
      <c r="L4" s="12" t="s">
        <v>106</v>
      </c>
      <c r="M4" s="13"/>
      <c r="N4" s="77"/>
      <c r="O4" s="12"/>
      <c r="P4" s="77">
        <v>1.93</v>
      </c>
      <c r="R4" s="89" t="s">
        <v>112</v>
      </c>
      <c r="S4" s="90"/>
      <c r="T4" s="90"/>
      <c r="U4" s="91">
        <f>15</f>
        <v>15</v>
      </c>
    </row>
    <row r="5" spans="2:25" x14ac:dyDescent="0.3">
      <c r="B5" s="15" t="s">
        <v>93</v>
      </c>
      <c r="C5" s="11"/>
      <c r="D5" s="78">
        <v>4.1399999999999997</v>
      </c>
      <c r="F5" s="15" t="s">
        <v>100</v>
      </c>
      <c r="G5" s="11"/>
      <c r="H5" s="78"/>
      <c r="I5" s="15"/>
      <c r="J5" s="78">
        <v>4.6100000000000003</v>
      </c>
      <c r="L5" s="15" t="s">
        <v>107</v>
      </c>
      <c r="M5" s="11"/>
      <c r="N5" s="78"/>
      <c r="O5" s="15"/>
      <c r="P5" s="78">
        <v>3.92</v>
      </c>
      <c r="R5" s="89" t="s">
        <v>111</v>
      </c>
      <c r="S5" s="90"/>
      <c r="T5" s="90"/>
      <c r="U5" s="91">
        <f>(160*U4)-(160*D4)</f>
        <v>1814.4</v>
      </c>
    </row>
    <row r="7" spans="2:25" x14ac:dyDescent="0.3">
      <c r="B7" s="2" t="s">
        <v>42</v>
      </c>
      <c r="C7" s="2"/>
      <c r="D7" s="2"/>
      <c r="E7" s="2">
        <v>2026</v>
      </c>
      <c r="F7" s="2">
        <v>2027</v>
      </c>
      <c r="G7" s="2">
        <v>2028</v>
      </c>
      <c r="H7" s="2">
        <v>2029</v>
      </c>
      <c r="I7" s="2">
        <v>2030</v>
      </c>
      <c r="J7" s="2">
        <v>2031</v>
      </c>
      <c r="K7" s="1"/>
      <c r="L7" s="2" t="s">
        <v>102</v>
      </c>
      <c r="M7" s="2"/>
      <c r="N7" s="2"/>
      <c r="O7" s="2">
        <v>2026</v>
      </c>
      <c r="P7" s="2">
        <v>2027</v>
      </c>
      <c r="Q7" s="2">
        <v>2028</v>
      </c>
      <c r="R7" s="2">
        <v>2029</v>
      </c>
      <c r="S7" s="2">
        <v>2030</v>
      </c>
      <c r="T7" s="2">
        <v>2031</v>
      </c>
    </row>
    <row r="8" spans="2:25" x14ac:dyDescent="0.3">
      <c r="B8" t="s">
        <v>38</v>
      </c>
      <c r="E8" s="1">
        <v>50</v>
      </c>
      <c r="F8" s="1">
        <v>50</v>
      </c>
      <c r="G8" s="1">
        <v>50</v>
      </c>
      <c r="H8" s="1">
        <v>50</v>
      </c>
      <c r="I8" s="1">
        <v>50</v>
      </c>
      <c r="J8" s="1">
        <v>50</v>
      </c>
      <c r="K8" s="1"/>
      <c r="L8" t="s">
        <v>23</v>
      </c>
      <c r="O8" s="1">
        <f>E17*$J$4</f>
        <v>1941.1999999999998</v>
      </c>
      <c r="P8" s="1">
        <f>(F17-E17)*$J$4</f>
        <v>5844.7</v>
      </c>
      <c r="Q8" s="1">
        <f>(G17-F17)*$J$4</f>
        <v>11183</v>
      </c>
      <c r="R8" s="1">
        <f>(H17-G17)*$J$4</f>
        <v>10655.5</v>
      </c>
      <c r="S8" s="1">
        <f>(I17-H17)*$J$4</f>
        <v>5908</v>
      </c>
      <c r="T8" s="1">
        <f>(J17-I17)*$J$4</f>
        <v>2532</v>
      </c>
    </row>
    <row r="9" spans="2:25" x14ac:dyDescent="0.3">
      <c r="B9" t="s">
        <v>39</v>
      </c>
      <c r="E9" s="1">
        <v>80</v>
      </c>
      <c r="F9" s="1">
        <v>80</v>
      </c>
      <c r="G9" s="1">
        <v>80</v>
      </c>
      <c r="H9" s="1">
        <v>80</v>
      </c>
      <c r="I9" s="1">
        <v>80</v>
      </c>
      <c r="J9" s="1">
        <v>80</v>
      </c>
      <c r="K9" s="1"/>
      <c r="L9" t="s">
        <v>92</v>
      </c>
      <c r="O9" s="1">
        <f t="shared" ref="O9:T9" si="0">O8/((1+$H$2)^(O$7-YEAR($D$2)+0.5))</f>
        <v>1834.2615875137794</v>
      </c>
      <c r="P9" s="1">
        <f t="shared" si="0"/>
        <v>4931.0021325826565</v>
      </c>
      <c r="Q9" s="1">
        <f t="shared" si="0"/>
        <v>8423.9012708509781</v>
      </c>
      <c r="R9" s="1">
        <f t="shared" si="0"/>
        <v>7166.5602118930992</v>
      </c>
      <c r="S9" s="1">
        <f t="shared" si="0"/>
        <v>3547.8020850955936</v>
      </c>
      <c r="T9" s="1">
        <f t="shared" si="0"/>
        <v>1357.5773284804566</v>
      </c>
    </row>
    <row r="10" spans="2:25" x14ac:dyDescent="0.3">
      <c r="B10" t="s">
        <v>40</v>
      </c>
      <c r="E10" s="1">
        <v>30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  <c r="K10" s="1"/>
      <c r="O10" s="1"/>
      <c r="P10" s="1"/>
      <c r="Q10" s="1"/>
      <c r="R10" s="1"/>
      <c r="S10" s="1"/>
      <c r="T10" s="1"/>
    </row>
    <row r="11" spans="2:25" x14ac:dyDescent="0.3">
      <c r="B11" t="s">
        <v>34</v>
      </c>
      <c r="E11" s="1">
        <v>300</v>
      </c>
      <c r="F11" s="1">
        <v>525</v>
      </c>
      <c r="G11" s="1">
        <v>750</v>
      </c>
      <c r="H11" s="1">
        <v>750</v>
      </c>
      <c r="I11" s="1">
        <v>750</v>
      </c>
      <c r="J11" s="1">
        <v>750</v>
      </c>
      <c r="K11" s="1"/>
      <c r="L11" t="s">
        <v>63</v>
      </c>
      <c r="O11" s="1">
        <f>E17*$J$5</f>
        <v>1060.3000000000002</v>
      </c>
      <c r="P11" s="1">
        <f>(F17-E17)*$J$5</f>
        <v>3192.4250000000002</v>
      </c>
      <c r="Q11" s="1">
        <f>(G17-F17)*$J$5</f>
        <v>6108.25</v>
      </c>
      <c r="R11" s="1">
        <f>(H17-G17)*$J$5</f>
        <v>5820.125</v>
      </c>
      <c r="S11" s="1">
        <f>(I17-H17)*$J$5</f>
        <v>3227</v>
      </c>
      <c r="T11" s="1">
        <f>(J17-I17)*$J$5</f>
        <v>1383</v>
      </c>
      <c r="X11">
        <v>40.31</v>
      </c>
      <c r="Y11" s="24">
        <f>(O18-X11)/X11</f>
        <v>9.6921471963471451E-2</v>
      </c>
    </row>
    <row r="12" spans="2:25" x14ac:dyDescent="0.3">
      <c r="B12" t="s">
        <v>89</v>
      </c>
      <c r="E12" s="1">
        <v>0</v>
      </c>
      <c r="F12" s="1">
        <f>E12+(M2*12)</f>
        <v>600</v>
      </c>
      <c r="G12" s="1">
        <f>F12+(M2*12)</f>
        <v>1200</v>
      </c>
      <c r="H12" s="1">
        <f>G12+200</f>
        <v>1400</v>
      </c>
      <c r="I12" s="1">
        <f>H12</f>
        <v>1400</v>
      </c>
      <c r="J12" s="1">
        <f>I12</f>
        <v>1400</v>
      </c>
      <c r="K12" s="1"/>
      <c r="L12" t="s">
        <v>94</v>
      </c>
      <c r="O12" s="1">
        <f t="shared" ref="O12:T12" si="1">O11/((1+$H$2)^(O$7-YEAR($D$2)+0.5))</f>
        <v>1001.8893268292092</v>
      </c>
      <c r="P12" s="1">
        <f t="shared" si="1"/>
        <v>2693.3554302376833</v>
      </c>
      <c r="Q12" s="1">
        <f t="shared" si="1"/>
        <v>4601.2067368036742</v>
      </c>
      <c r="R12" s="1">
        <f t="shared" si="1"/>
        <v>3914.436324268624</v>
      </c>
      <c r="S12" s="1">
        <f t="shared" si="1"/>
        <v>1937.8397644894178</v>
      </c>
      <c r="T12" s="1">
        <f t="shared" si="1"/>
        <v>741.52031804442004</v>
      </c>
      <c r="X12" s="24">
        <f>(E30-X11)/X11</f>
        <v>-0.32615739540767874</v>
      </c>
    </row>
    <row r="13" spans="2:25" x14ac:dyDescent="0.3">
      <c r="B13" t="s">
        <v>90</v>
      </c>
      <c r="E13" s="1">
        <v>0</v>
      </c>
      <c r="F13" s="1">
        <f>M2*2</f>
        <v>100</v>
      </c>
      <c r="G13" s="1">
        <f>F13+500</f>
        <v>600</v>
      </c>
      <c r="H13" s="1">
        <f>G13</f>
        <v>600</v>
      </c>
      <c r="I13" s="1">
        <f t="shared" ref="I13:J13" si="2">H13</f>
        <v>600</v>
      </c>
      <c r="J13" s="1">
        <f t="shared" si="2"/>
        <v>600</v>
      </c>
      <c r="K13" s="1"/>
    </row>
    <row r="14" spans="2:25" x14ac:dyDescent="0.3">
      <c r="B14" t="s">
        <v>35</v>
      </c>
      <c r="E14" s="1">
        <v>0</v>
      </c>
      <c r="F14" s="1">
        <v>0</v>
      </c>
      <c r="G14" s="1">
        <f>M2*8</f>
        <v>400</v>
      </c>
      <c r="H14" s="1">
        <f>G14+(M2*12)</f>
        <v>1000</v>
      </c>
      <c r="I14" s="1">
        <f>H14+(M2*12)</f>
        <v>1600</v>
      </c>
      <c r="J14" s="1">
        <f>I14</f>
        <v>1600</v>
      </c>
      <c r="K14" s="1"/>
      <c r="L14" s="12" t="s">
        <v>103</v>
      </c>
      <c r="M14" s="13"/>
      <c r="N14" s="13"/>
      <c r="O14" s="55">
        <f>SUM(O9:T9)+U5</f>
        <v>29075.504616416565</v>
      </c>
    </row>
    <row r="15" spans="2:25" x14ac:dyDescent="0.3">
      <c r="B15" t="s">
        <v>36</v>
      </c>
      <c r="E15" s="1">
        <f t="shared" ref="E15:J15" si="3">SUM(E8:E14)</f>
        <v>460</v>
      </c>
      <c r="F15" s="1">
        <f t="shared" si="3"/>
        <v>1385</v>
      </c>
      <c r="G15" s="1">
        <f t="shared" si="3"/>
        <v>3110</v>
      </c>
      <c r="H15" s="1">
        <f t="shared" si="3"/>
        <v>3910</v>
      </c>
      <c r="I15" s="1">
        <f t="shared" si="3"/>
        <v>4510</v>
      </c>
      <c r="J15" s="1">
        <f t="shared" si="3"/>
        <v>4510</v>
      </c>
      <c r="K15" s="1"/>
      <c r="L15" s="14" t="s">
        <v>94</v>
      </c>
      <c r="M15" s="10"/>
      <c r="N15" s="10"/>
      <c r="O15" s="27">
        <f>SUM(O12:T12)</f>
        <v>14890.24790067303</v>
      </c>
      <c r="X15" s="24">
        <f>(O31-X11)/X11</f>
        <v>-0.48330097471696304</v>
      </c>
    </row>
    <row r="16" spans="2:25" x14ac:dyDescent="0.3">
      <c r="B16" t="s">
        <v>37</v>
      </c>
      <c r="E16" s="1">
        <f>E15</f>
        <v>460</v>
      </c>
      <c r="F16" s="1">
        <f t="shared" ref="F16:J16" si="4">F15-E15</f>
        <v>925</v>
      </c>
      <c r="G16" s="1">
        <f t="shared" si="4"/>
        <v>1725</v>
      </c>
      <c r="H16" s="1">
        <f t="shared" si="4"/>
        <v>800</v>
      </c>
      <c r="I16" s="1">
        <f t="shared" si="4"/>
        <v>600</v>
      </c>
      <c r="J16" s="1">
        <f t="shared" si="4"/>
        <v>0</v>
      </c>
      <c r="K16" s="1"/>
      <c r="L16" s="14" t="s">
        <v>95</v>
      </c>
      <c r="M16" s="10"/>
      <c r="N16" s="10"/>
      <c r="O16" s="27">
        <f>O14+O15</f>
        <v>43965.752517089597</v>
      </c>
    </row>
    <row r="17" spans="2:33" x14ac:dyDescent="0.3">
      <c r="B17" s="16" t="s">
        <v>41</v>
      </c>
      <c r="C17" s="17"/>
      <c r="D17" s="17"/>
      <c r="E17" s="83">
        <f>SUM(E8:E14)/2</f>
        <v>230</v>
      </c>
      <c r="F17" s="83">
        <f t="shared" ref="F17:J17" si="5">E15+((F15-E15)/2)</f>
        <v>922.5</v>
      </c>
      <c r="G17" s="83">
        <f t="shared" si="5"/>
        <v>2247.5</v>
      </c>
      <c r="H17" s="83">
        <f t="shared" si="5"/>
        <v>3510</v>
      </c>
      <c r="I17" s="83">
        <f t="shared" si="5"/>
        <v>4210</v>
      </c>
      <c r="J17" s="84">
        <f t="shared" si="5"/>
        <v>4510</v>
      </c>
      <c r="K17" s="1"/>
      <c r="L17" s="14" t="s">
        <v>97</v>
      </c>
      <c r="M17" s="10"/>
      <c r="N17" s="10"/>
      <c r="O17" s="27">
        <f>331.44*3</f>
        <v>994.31999999999994</v>
      </c>
    </row>
    <row r="18" spans="2:33" x14ac:dyDescent="0.3">
      <c r="L18" s="15" t="s">
        <v>96</v>
      </c>
      <c r="M18" s="11"/>
      <c r="N18" s="11"/>
      <c r="O18" s="76">
        <f>O16/O17</f>
        <v>44.216904534847536</v>
      </c>
    </row>
    <row r="19" spans="2:33" x14ac:dyDescent="0.3">
      <c r="B19" s="2" t="s">
        <v>101</v>
      </c>
      <c r="C19" s="2"/>
      <c r="D19" s="2"/>
      <c r="E19" s="2">
        <v>2026</v>
      </c>
      <c r="F19" s="2">
        <v>2027</v>
      </c>
      <c r="G19" s="2">
        <v>2028</v>
      </c>
      <c r="H19" s="2">
        <v>2029</v>
      </c>
      <c r="I19" s="2">
        <v>2030</v>
      </c>
      <c r="J19" s="2">
        <v>2031</v>
      </c>
      <c r="K19" s="1"/>
      <c r="V19" s="1"/>
      <c r="AG19" s="1"/>
    </row>
    <row r="20" spans="2:33" x14ac:dyDescent="0.3">
      <c r="B20" t="s">
        <v>23</v>
      </c>
      <c r="E20" s="1">
        <f>E17*$D$4</f>
        <v>841.80000000000007</v>
      </c>
      <c r="F20" s="1">
        <f t="shared" ref="F20:J20" si="6">(F17-E17)*$D$4</f>
        <v>2534.5500000000002</v>
      </c>
      <c r="G20" s="1">
        <f t="shared" si="6"/>
        <v>4849.5</v>
      </c>
      <c r="H20" s="1">
        <f t="shared" si="6"/>
        <v>4620.75</v>
      </c>
      <c r="I20" s="1">
        <f t="shared" si="6"/>
        <v>2562</v>
      </c>
      <c r="J20" s="1">
        <f t="shared" si="6"/>
        <v>1098</v>
      </c>
      <c r="K20" s="1"/>
      <c r="L20" s="2" t="s">
        <v>108</v>
      </c>
      <c r="M20" s="2"/>
      <c r="N20" s="2"/>
      <c r="O20" s="2">
        <v>2026</v>
      </c>
      <c r="P20" s="2">
        <v>2027</v>
      </c>
      <c r="Q20" s="2">
        <v>2028</v>
      </c>
      <c r="R20" s="2">
        <v>2029</v>
      </c>
      <c r="S20" s="2">
        <v>2030</v>
      </c>
      <c r="T20" s="2">
        <v>2031</v>
      </c>
      <c r="V20" s="1"/>
      <c r="AG20" s="1"/>
    </row>
    <row r="21" spans="2:33" x14ac:dyDescent="0.3">
      <c r="B21" t="s">
        <v>92</v>
      </c>
      <c r="E21" s="1">
        <f t="shared" ref="E21:J21" si="7">E20/((1+$H$2)^(E$7-YEAR($D$2)+0.5))</f>
        <v>795.42623344791866</v>
      </c>
      <c r="F21" s="1">
        <f t="shared" si="7"/>
        <v>2138.3255693427159</v>
      </c>
      <c r="G21" s="1">
        <f t="shared" si="7"/>
        <v>3653.0187975491212</v>
      </c>
      <c r="H21" s="1">
        <f t="shared" si="7"/>
        <v>3107.7737411763915</v>
      </c>
      <c r="I21" s="1">
        <f t="shared" si="7"/>
        <v>1538.5018520675205</v>
      </c>
      <c r="J21" s="1">
        <f t="shared" si="7"/>
        <v>588.71244339318378</v>
      </c>
      <c r="K21" s="1"/>
      <c r="L21" t="s">
        <v>23</v>
      </c>
      <c r="O21" s="1">
        <f>E17*$P$4</f>
        <v>443.9</v>
      </c>
      <c r="P21" s="1">
        <f>(F17-E17)*$P$4</f>
        <v>1336.5249999999999</v>
      </c>
      <c r="Q21" s="1">
        <f>(G17-F17)*$P$4</f>
        <v>2557.25</v>
      </c>
      <c r="R21" s="1">
        <f>(H17-G17)*$P$4</f>
        <v>2436.625</v>
      </c>
      <c r="S21" s="1">
        <f>(I17-H17)*$P$4</f>
        <v>1351</v>
      </c>
      <c r="T21" s="1">
        <f>(J17-I17)*$P$4</f>
        <v>579</v>
      </c>
      <c r="V21" s="1"/>
      <c r="AG21" s="1"/>
    </row>
    <row r="22" spans="2:33" x14ac:dyDescent="0.3">
      <c r="E22" s="1"/>
      <c r="F22" s="1"/>
      <c r="G22" s="1"/>
      <c r="H22" s="1"/>
      <c r="I22" s="1"/>
      <c r="J22" s="1"/>
      <c r="L22" t="s">
        <v>92</v>
      </c>
      <c r="O22" s="1">
        <f t="shared" ref="O22:T22" si="8">O21/((1+$H$2)^(O$20-YEAR($D$2)+0.5))</f>
        <v>419.44607392198986</v>
      </c>
      <c r="P22" s="1">
        <f t="shared" si="8"/>
        <v>1127.5869805550385</v>
      </c>
      <c r="Q22" s="1">
        <f t="shared" si="8"/>
        <v>1926.3186555381978</v>
      </c>
      <c r="R22" s="1">
        <f t="shared" si="8"/>
        <v>1638.7987214400098</v>
      </c>
      <c r="S22" s="1">
        <f t="shared" si="8"/>
        <v>811.28649576238104</v>
      </c>
      <c r="T22" s="1">
        <f t="shared" si="8"/>
        <v>310.44126113356413</v>
      </c>
      <c r="V22" s="1"/>
      <c r="AG22" s="1"/>
    </row>
    <row r="23" spans="2:33" x14ac:dyDescent="0.3">
      <c r="B23" t="s">
        <v>63</v>
      </c>
      <c r="E23" s="1">
        <f>E17*$D$5</f>
        <v>952.19999999999993</v>
      </c>
      <c r="F23" s="1">
        <f t="shared" ref="F23:J23" si="9">(F17-E17)*$D$5</f>
        <v>2866.95</v>
      </c>
      <c r="G23" s="1">
        <f t="shared" si="9"/>
        <v>5485.5</v>
      </c>
      <c r="H23" s="1">
        <f t="shared" si="9"/>
        <v>5226.75</v>
      </c>
      <c r="I23" s="1">
        <f t="shared" si="9"/>
        <v>2898</v>
      </c>
      <c r="J23" s="1">
        <f t="shared" si="9"/>
        <v>1242</v>
      </c>
      <c r="K23" s="1"/>
      <c r="O23" s="1"/>
      <c r="P23" s="1"/>
      <c r="Q23" s="1"/>
      <c r="R23" s="1"/>
      <c r="S23" s="1"/>
      <c r="T23" s="1"/>
      <c r="V23" s="1"/>
      <c r="AG23" s="1"/>
    </row>
    <row r="24" spans="2:33" x14ac:dyDescent="0.3">
      <c r="B24" t="s">
        <v>94</v>
      </c>
      <c r="E24" s="1">
        <f t="shared" ref="E24:J24" si="10">E23/((1+$H$2)^(E$7-YEAR($D$2)+0.5))</f>
        <v>899.74442799846531</v>
      </c>
      <c r="F24" s="1">
        <f t="shared" si="10"/>
        <v>2418.7617095843834</v>
      </c>
      <c r="G24" s="1">
        <f t="shared" si="10"/>
        <v>4132.1032300145798</v>
      </c>
      <c r="H24" s="1">
        <f t="shared" si="10"/>
        <v>3515.3506252650986</v>
      </c>
      <c r="I24" s="1">
        <f t="shared" si="10"/>
        <v>1740.2725867649001</v>
      </c>
      <c r="J24" s="1">
        <f t="shared" si="10"/>
        <v>665.92063269065056</v>
      </c>
      <c r="K24" s="1"/>
      <c r="L24" t="s">
        <v>63</v>
      </c>
      <c r="O24" s="1">
        <f>E17*$P$5</f>
        <v>901.6</v>
      </c>
      <c r="P24" s="1">
        <f>(F17-E17)*$P$5</f>
        <v>2714.6</v>
      </c>
      <c r="Q24" s="1">
        <f>(G17-F17)*$P$5</f>
        <v>5194</v>
      </c>
      <c r="R24" s="1">
        <f>(H17-G17)*$P$5</f>
        <v>4949</v>
      </c>
      <c r="S24" s="1">
        <f>(I17-H17)*$P$5</f>
        <v>2744</v>
      </c>
      <c r="T24" s="1">
        <f>(J17-I17)*$P$5</f>
        <v>1176</v>
      </c>
      <c r="V24" s="1"/>
      <c r="AG24" s="1"/>
    </row>
    <row r="25" spans="2:33" x14ac:dyDescent="0.3">
      <c r="L25" t="s">
        <v>94</v>
      </c>
      <c r="O25" s="1">
        <f t="shared" ref="O25:T25" si="11">O24/((1+$H$2)^(O$20-YEAR($D$2)+0.5))</f>
        <v>851.93192216279806</v>
      </c>
      <c r="P25" s="1">
        <f t="shared" si="11"/>
        <v>2290.2284786402856</v>
      </c>
      <c r="Q25" s="1">
        <f t="shared" si="11"/>
        <v>3912.5228651345778</v>
      </c>
      <c r="R25" s="1">
        <f t="shared" si="11"/>
        <v>3328.5445533911079</v>
      </c>
      <c r="S25" s="1">
        <f t="shared" si="11"/>
        <v>1647.7943333619344</v>
      </c>
      <c r="T25" s="1">
        <f t="shared" si="11"/>
        <v>630.53354592931157</v>
      </c>
    </row>
    <row r="26" spans="2:33" x14ac:dyDescent="0.3">
      <c r="B26" s="12" t="s">
        <v>103</v>
      </c>
      <c r="C26" s="13"/>
      <c r="D26" s="13"/>
      <c r="E26" s="55">
        <f>SUM(E21:J21)+U5</f>
        <v>13636.158636976852</v>
      </c>
    </row>
    <row r="27" spans="2:33" x14ac:dyDescent="0.3">
      <c r="B27" s="14" t="s">
        <v>94</v>
      </c>
      <c r="C27" s="10"/>
      <c r="D27" s="10"/>
      <c r="E27" s="27">
        <f>SUM(E24:J24)</f>
        <v>13372.153212318077</v>
      </c>
      <c r="L27" s="12" t="s">
        <v>103</v>
      </c>
      <c r="M27" s="13"/>
      <c r="N27" s="13"/>
      <c r="O27" s="55">
        <f>SUM(O22:T22)+U5</f>
        <v>8048.2781883511816</v>
      </c>
    </row>
    <row r="28" spans="2:33" x14ac:dyDescent="0.3">
      <c r="B28" s="14" t="s">
        <v>95</v>
      </c>
      <c r="C28" s="10"/>
      <c r="D28" s="10"/>
      <c r="E28" s="27">
        <f>E26+E27</f>
        <v>27008.311849294929</v>
      </c>
      <c r="L28" s="14" t="s">
        <v>94</v>
      </c>
      <c r="M28" s="10"/>
      <c r="N28" s="10"/>
      <c r="O28" s="27">
        <f>SUM(O25:T25)</f>
        <v>12661.555698620015</v>
      </c>
    </row>
    <row r="29" spans="2:33" x14ac:dyDescent="0.3">
      <c r="B29" s="14" t="s">
        <v>97</v>
      </c>
      <c r="C29" s="10"/>
      <c r="D29" s="10"/>
      <c r="E29" s="27">
        <f>331.44*3</f>
        <v>994.31999999999994</v>
      </c>
      <c r="L29" s="14" t="s">
        <v>95</v>
      </c>
      <c r="M29" s="10"/>
      <c r="N29" s="10"/>
      <c r="O29" s="27">
        <f>O27+O28</f>
        <v>20709.833886971195</v>
      </c>
    </row>
    <row r="30" spans="2:33" x14ac:dyDescent="0.3">
      <c r="B30" s="15" t="s">
        <v>96</v>
      </c>
      <c r="C30" s="11"/>
      <c r="D30" s="11"/>
      <c r="E30" s="76">
        <f>E28/E29</f>
        <v>27.162595391116472</v>
      </c>
      <c r="L30" s="14" t="s">
        <v>97</v>
      </c>
      <c r="M30" s="10"/>
      <c r="N30" s="10"/>
      <c r="O30" s="27">
        <f>331.44*3</f>
        <v>994.31999999999994</v>
      </c>
    </row>
    <row r="31" spans="2:33" x14ac:dyDescent="0.3">
      <c r="L31" s="15" t="s">
        <v>96</v>
      </c>
      <c r="M31" s="11"/>
      <c r="N31" s="11"/>
      <c r="O31" s="76">
        <f>O29/O30</f>
        <v>20.828137709159222</v>
      </c>
    </row>
    <row r="33" spans="2:16" x14ac:dyDescent="0.3">
      <c r="B33" s="79" t="s">
        <v>104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</row>
    <row r="34" spans="2:16" x14ac:dyDescent="0.3">
      <c r="I34" s="80" t="s">
        <v>61</v>
      </c>
    </row>
    <row r="35" spans="2:16" x14ac:dyDescent="0.3">
      <c r="C35" s="80"/>
      <c r="D35" s="82">
        <v>1</v>
      </c>
      <c r="E35" s="82">
        <v>1.25</v>
      </c>
      <c r="F35" s="82">
        <v>1.5</v>
      </c>
      <c r="G35" s="82">
        <v>1.75</v>
      </c>
      <c r="H35" s="82">
        <v>2</v>
      </c>
      <c r="I35" s="82">
        <v>2.5</v>
      </c>
      <c r="J35" s="82">
        <v>3</v>
      </c>
      <c r="K35" s="82">
        <v>4</v>
      </c>
      <c r="L35" s="82">
        <v>5</v>
      </c>
      <c r="M35" s="82">
        <v>10</v>
      </c>
      <c r="N35" s="82">
        <v>12.5</v>
      </c>
      <c r="O35" s="82">
        <v>15</v>
      </c>
    </row>
    <row r="36" spans="2:16" x14ac:dyDescent="0.3">
      <c r="B36" s="96" t="s">
        <v>73</v>
      </c>
      <c r="C36" s="81">
        <v>0.01</v>
      </c>
      <c r="D36" s="52">
        <f>($E$26+$E$27*(1+$C36)*($H$2-0.025)/(1.025*($H$2-$C36)))/('Deal Economics long'!$AF$20*D$35)</f>
        <v>75.476198921833259</v>
      </c>
      <c r="E36" s="52">
        <f>($E$26+$E$27*(1+$C36)*($H$2-0.025)/(1.025*($H$2-$C36)))/('Deal Economics long'!$AF$20*E$35)</f>
        <v>60.380959137466597</v>
      </c>
      <c r="F36" s="52">
        <f>($E$26+$E$27*(1+$C36)*($H$2-0.025)/(1.025*($H$2-$C36)))/('Deal Economics long'!$AF$20*F$35)</f>
        <v>50.317465947888842</v>
      </c>
      <c r="G36" s="52">
        <f>($E$26+$E$27*(1+$C36)*($H$2-0.025)/(1.025*($H$2-$C36)))/('Deal Economics long'!$AF$20*G$35)</f>
        <v>43.129256526761857</v>
      </c>
      <c r="H36" s="52">
        <f>($E$26+$E$27*(1+$C36)*($H$2-0.025)/(1.025*($H$2-$C36)))/('Deal Economics long'!$AF$20*H$35)</f>
        <v>37.738099460916629</v>
      </c>
      <c r="I36" s="52">
        <f>($E$26+$E$27*(1+$C36)*($H$2-0.025)/(1.025*($H$2-$C36)))/('Deal Economics long'!$AF$20*I$35)</f>
        <v>30.190479568733299</v>
      </c>
      <c r="J36" s="52">
        <f>($E$26+$E$27*(1+$C36)*($H$2-0.025)/(1.025*($H$2-$C36)))/('Deal Economics long'!$AF$20*J$35)</f>
        <v>25.158732973944421</v>
      </c>
      <c r="K36" s="52">
        <f>($E$26+$E$27*(1+$C36)*($H$2-0.025)/(1.025*($H$2-$C36)))/('Deal Economics long'!$AF$20*K$35)</f>
        <v>18.869049730458315</v>
      </c>
      <c r="L36" s="52">
        <f>($E$26+$E$27*(1+$C36)*($H$2-0.025)/(1.025*($H$2-$C36)))/('Deal Economics long'!$AF$20*L$35)</f>
        <v>15.095239784366649</v>
      </c>
      <c r="M36" s="52">
        <f>($E$26+$E$27*(1+$C36)*($H$2-0.025)/(1.025*($H$2-$C36)))/('Deal Economics long'!$AF$20*M$35)</f>
        <v>7.5476198921833246</v>
      </c>
      <c r="N36" s="52">
        <f>($E$26+$E$27*(1+$C36)*($H$2-0.025)/(1.025*($H$2-$C36)))/('Deal Economics long'!$AF$20*N$35)</f>
        <v>6.0380959137466599</v>
      </c>
      <c r="O36" s="52">
        <f>($E$26+$E$27*(1+$C36)*($H$2-0.025)/(1.025*($H$2-$C36)))/('Deal Economics long'!$AF$20*O$35)</f>
        <v>5.0317465947888831</v>
      </c>
      <c r="P36" s="52"/>
    </row>
    <row r="37" spans="2:16" x14ac:dyDescent="0.3">
      <c r="B37" s="96"/>
      <c r="C37" s="81">
        <v>1.4999999999999999E-2</v>
      </c>
      <c r="D37" s="52">
        <f>($E$26+$E$27*(1+$C37)*($H$2-0.025)/(1.025*($H$2-$C37)))/('Deal Economics long'!$AF$20*D$35)</f>
        <v>77.28921729927464</v>
      </c>
      <c r="E37" s="52">
        <f>($E$26+$E$27*(1+$C37)*($H$2-0.025)/(1.025*($H$2-$C37)))/('Deal Economics long'!$AF$20*E$35)</f>
        <v>61.831373839419712</v>
      </c>
      <c r="F37" s="52">
        <f>($E$26+$E$27*(1+$C37)*($H$2-0.025)/(1.025*($H$2-$C37)))/('Deal Economics long'!$AF$20*F$35)</f>
        <v>51.526144866183095</v>
      </c>
      <c r="G37" s="52">
        <f>($E$26+$E$27*(1+$C37)*($H$2-0.025)/(1.025*($H$2-$C37)))/('Deal Economics long'!$AF$20*G$35)</f>
        <v>44.16526702815694</v>
      </c>
      <c r="H37" s="52">
        <f>($E$26+$E$27*(1+$C37)*($H$2-0.025)/(1.025*($H$2-$C37)))/('Deal Economics long'!$AF$20*H$35)</f>
        <v>38.64460864963732</v>
      </c>
      <c r="I37" s="52">
        <f>($E$26+$E$27*(1+$C37)*($H$2-0.025)/(1.025*($H$2-$C37)))/('Deal Economics long'!$AF$20*I$35)</f>
        <v>30.915686919709856</v>
      </c>
      <c r="J37" s="52">
        <f>($E$26+$E$27*(1+$C37)*($H$2-0.025)/(1.025*($H$2-$C37)))/('Deal Economics long'!$AF$20*J$35)</f>
        <v>25.763072433091548</v>
      </c>
      <c r="K37" s="52">
        <f>($E$26+$E$27*(1+$C37)*($H$2-0.025)/(1.025*($H$2-$C37)))/('Deal Economics long'!$AF$20*K$35)</f>
        <v>19.32230432481866</v>
      </c>
      <c r="L37" s="52">
        <f>($E$26+$E$27*(1+$C37)*($H$2-0.025)/(1.025*($H$2-$C37)))/('Deal Economics long'!$AF$20*L$35)</f>
        <v>15.457843459854928</v>
      </c>
      <c r="M37" s="52">
        <f>($E$26+$E$27*(1+$C37)*($H$2-0.025)/(1.025*($H$2-$C37)))/('Deal Economics long'!$AF$20*M$35)</f>
        <v>7.728921729927464</v>
      </c>
      <c r="N37" s="52">
        <f>($E$26+$E$27*(1+$C37)*($H$2-0.025)/(1.025*($H$2-$C37)))/('Deal Economics long'!$AF$20*N$35)</f>
        <v>6.183137383941971</v>
      </c>
      <c r="O37" s="52">
        <f>($E$26+$E$27*(1+$C37)*($H$2-0.025)/(1.025*($H$2-$C37)))/('Deal Economics long'!$AF$20*O$35)</f>
        <v>5.152614486618309</v>
      </c>
      <c r="P37" s="52"/>
    </row>
    <row r="38" spans="2:16" x14ac:dyDescent="0.3">
      <c r="B38" s="96"/>
      <c r="C38" s="81">
        <v>0.02</v>
      </c>
      <c r="D38" s="52">
        <f>($E$26+$E$27*(1+$C38)*($H$2-0.025)/(1.025*($H$2-$C38)))/('Deal Economics long'!$AF$20*D$35)</f>
        <v>79.283537514460164</v>
      </c>
      <c r="E38" s="52">
        <f>($E$26+$E$27*(1+$C38)*($H$2-0.025)/(1.025*($H$2-$C38)))/('Deal Economics long'!$AF$20*E$35)</f>
        <v>63.426830011568121</v>
      </c>
      <c r="F38" s="52">
        <f>($E$26+$E$27*(1+$C38)*($H$2-0.025)/(1.025*($H$2-$C38)))/('Deal Economics long'!$AF$20*F$35)</f>
        <v>52.855691676306776</v>
      </c>
      <c r="G38" s="52">
        <f>($E$26+$E$27*(1+$C38)*($H$2-0.025)/(1.025*($H$2-$C38)))/('Deal Economics long'!$AF$20*G$35)</f>
        <v>45.304878579691518</v>
      </c>
      <c r="H38" s="61">
        <f>($E$26+$E$27*(1+$C38)*($H$2-0.025)/(1.025*($H$2-$C38)))/('Deal Economics long'!$AF$20*H$35)</f>
        <v>39.641768757230082</v>
      </c>
      <c r="I38" s="61">
        <f>($E$26+$E$27*(1+$C38)*($H$2-0.025)/(1.025*($H$2-$C38)))/('Deal Economics long'!$AF$20*I$35)</f>
        <v>31.713415005784061</v>
      </c>
      <c r="J38" s="61">
        <f>($E$26+$E$27*(1+$C38)*($H$2-0.025)/(1.025*($H$2-$C38)))/('Deal Economics long'!$AF$20*J$35)</f>
        <v>26.427845838153388</v>
      </c>
      <c r="K38" s="61">
        <f>($E$26+$E$27*(1+$C38)*($H$2-0.025)/(1.025*($H$2-$C38)))/('Deal Economics long'!$AF$20*K$35)</f>
        <v>19.820884378615041</v>
      </c>
      <c r="L38" s="61">
        <f>($E$26+$E$27*(1+$C38)*($H$2-0.025)/(1.025*($H$2-$C38)))/('Deal Economics long'!$AF$20*L$35)</f>
        <v>15.85670750289203</v>
      </c>
      <c r="M38" s="61">
        <f>($E$26+$E$27*(1+$C38)*($H$2-0.025)/(1.025*($H$2-$C38)))/('Deal Economics long'!$AF$20*M$35)</f>
        <v>7.9283537514460152</v>
      </c>
      <c r="N38" s="52">
        <f>($E$26+$E$27*(1+$C38)*($H$2-0.025)/(1.025*($H$2-$C38)))/('Deal Economics long'!$AF$20*N$35)</f>
        <v>6.3426830011568125</v>
      </c>
      <c r="O38" s="52">
        <f>($E$26+$E$27*(1+$C38)*($H$2-0.025)/(1.025*($H$2-$C38)))/('Deal Economics long'!$AF$20*O$35)</f>
        <v>5.2855691676306771</v>
      </c>
      <c r="P38" s="52"/>
    </row>
    <row r="39" spans="2:16" x14ac:dyDescent="0.3">
      <c r="B39" s="96"/>
      <c r="C39" s="81">
        <v>2.5000000000000001E-2</v>
      </c>
      <c r="D39" s="52">
        <f>($E$26+$E$27*(1+$C39)*($H$2-0.025)/(1.025*($H$2-$C39)))/('Deal Economics long'!$AF$20*D$35)</f>
        <v>81.487786173349406</v>
      </c>
      <c r="E39" s="52">
        <f>($E$26+$E$27*(1+$C39)*($H$2-0.025)/(1.025*($H$2-$C39)))/('Deal Economics long'!$AF$20*E$35)</f>
        <v>65.190228938679525</v>
      </c>
      <c r="F39" s="52">
        <f>($E$26+$E$27*(1+$C39)*($H$2-0.025)/(1.025*($H$2-$C39)))/('Deal Economics long'!$AF$20*F$35)</f>
        <v>54.325190782232944</v>
      </c>
      <c r="G39" s="52">
        <f>($E$26+$E$27*(1+$C39)*($H$2-0.025)/(1.025*($H$2-$C39)))/('Deal Economics long'!$AF$20*G$35)</f>
        <v>46.564449241913948</v>
      </c>
      <c r="H39" s="61">
        <f>($E$26+$E$27*(1+$C39)*($H$2-0.025)/(1.025*($H$2-$C39)))/('Deal Economics long'!$AF$20*H$35)</f>
        <v>40.743893086674703</v>
      </c>
      <c r="I39" s="61">
        <f>($E$26+$E$27*(1+$C39)*($H$2-0.025)/(1.025*($H$2-$C39)))/('Deal Economics long'!$AF$20*I$35)</f>
        <v>32.595114469339762</v>
      </c>
      <c r="J39" s="61">
        <f>($E$26+$E$27*(1+$C39)*($H$2-0.025)/(1.025*($H$2-$C39)))/('Deal Economics long'!$AF$20*J$35)</f>
        <v>27.162595391116472</v>
      </c>
      <c r="K39" s="61">
        <f>($E$26+$E$27*(1+$C39)*($H$2-0.025)/(1.025*($H$2-$C39)))/('Deal Economics long'!$AF$20*K$35)</f>
        <v>20.371946543337351</v>
      </c>
      <c r="L39" s="61">
        <f>($E$26+$E$27*(1+$C39)*($H$2-0.025)/(1.025*($H$2-$C39)))/('Deal Economics long'!$AF$20*L$35)</f>
        <v>16.297557234669881</v>
      </c>
      <c r="M39" s="61">
        <f>($E$26+$E$27*(1+$C39)*($H$2-0.025)/(1.025*($H$2-$C39)))/('Deal Economics long'!$AF$20*M$35)</f>
        <v>8.1487786173349406</v>
      </c>
      <c r="N39" s="52">
        <f>($E$26+$E$27*(1+$C39)*($H$2-0.025)/(1.025*($H$2-$C39)))/('Deal Economics long'!$AF$20*N$35)</f>
        <v>6.5190228938679526</v>
      </c>
      <c r="O39" s="52">
        <f>($E$26+$E$27*(1+$C39)*($H$2-0.025)/(1.025*($H$2-$C39)))/('Deal Economics long'!$AF$20*O$35)</f>
        <v>5.4325190782232937</v>
      </c>
      <c r="P39" s="52"/>
    </row>
    <row r="40" spans="2:16" x14ac:dyDescent="0.3">
      <c r="B40" s="96"/>
      <c r="C40" s="81">
        <v>0.03</v>
      </c>
      <c r="D40" s="52">
        <f>($E$26+$E$27*(1+$C40)*($H$2-0.025)/(1.025*($H$2-$C40)))/('Deal Economics long'!$AF$20*D$35)</f>
        <v>83.936951349893036</v>
      </c>
      <c r="E40" s="52">
        <f>($E$26+$E$27*(1+$C40)*($H$2-0.025)/(1.025*($H$2-$C40)))/('Deal Economics long'!$AF$20*E$35)</f>
        <v>67.149561079914434</v>
      </c>
      <c r="F40" s="52">
        <f>($E$26+$E$27*(1+$C40)*($H$2-0.025)/(1.025*($H$2-$C40)))/('Deal Economics long'!$AF$20*F$35)</f>
        <v>55.957967566595364</v>
      </c>
      <c r="G40" s="52">
        <f>($E$26+$E$27*(1+$C40)*($H$2-0.025)/(1.025*($H$2-$C40)))/('Deal Economics long'!$AF$20*G$35)</f>
        <v>47.96397219993888</v>
      </c>
      <c r="H40" s="61">
        <f>($E$26+$E$27*(1+$C40)*($H$2-0.025)/(1.025*($H$2-$C40)))/('Deal Economics long'!$AF$20*H$35)</f>
        <v>41.968475674946518</v>
      </c>
      <c r="I40" s="61">
        <f>($E$26+$E$27*(1+$C40)*($H$2-0.025)/(1.025*($H$2-$C40)))/('Deal Economics long'!$AF$20*I$35)</f>
        <v>33.574780539957217</v>
      </c>
      <c r="J40" s="61">
        <f>($E$26+$E$27*(1+$C40)*($H$2-0.025)/(1.025*($H$2-$C40)))/('Deal Economics long'!$AF$20*J$35)</f>
        <v>27.978983783297682</v>
      </c>
      <c r="K40" s="61">
        <f>($E$26+$E$27*(1+$C40)*($H$2-0.025)/(1.025*($H$2-$C40)))/('Deal Economics long'!$AF$20*K$35)</f>
        <v>20.984237837473259</v>
      </c>
      <c r="L40" s="61">
        <f>($E$26+$E$27*(1+$C40)*($H$2-0.025)/(1.025*($H$2-$C40)))/('Deal Economics long'!$AF$20*L$35)</f>
        <v>16.787390269978609</v>
      </c>
      <c r="M40" s="61">
        <f>($E$26+$E$27*(1+$C40)*($H$2-0.025)/(1.025*($H$2-$C40)))/('Deal Economics long'!$AF$20*M$35)</f>
        <v>8.3936951349893043</v>
      </c>
      <c r="N40" s="52">
        <f>($E$26+$E$27*(1+$C40)*($H$2-0.025)/(1.025*($H$2-$C40)))/('Deal Economics long'!$AF$20*N$35)</f>
        <v>6.7149561079914433</v>
      </c>
      <c r="O40" s="52">
        <f>($E$26+$E$27*(1+$C40)*($H$2-0.025)/(1.025*($H$2-$C40)))/('Deal Economics long'!$AF$20*O$35)</f>
        <v>5.595796756659535</v>
      </c>
      <c r="P40" s="52"/>
    </row>
    <row r="41" spans="2:16" x14ac:dyDescent="0.3">
      <c r="B41" s="96"/>
      <c r="C41" s="81">
        <v>3.5000000000000003E-2</v>
      </c>
      <c r="D41" s="52">
        <f>($E$26+$E$27*(1+$C41)*($H$2-0.025)/(1.025*($H$2-$C41)))/('Deal Economics long'!$AF$20*D$35)</f>
        <v>86.674253606030035</v>
      </c>
      <c r="E41" s="52">
        <f>($E$26+$E$27*(1+$C41)*($H$2-0.025)/(1.025*($H$2-$C41)))/('Deal Economics long'!$AF$20*E$35)</f>
        <v>69.339402884824025</v>
      </c>
      <c r="F41" s="52">
        <f>($E$26+$E$27*(1+$C41)*($H$2-0.025)/(1.025*($H$2-$C41)))/('Deal Economics long'!$AF$20*F$35)</f>
        <v>57.782835737353359</v>
      </c>
      <c r="G41" s="52">
        <f>($E$26+$E$27*(1+$C41)*($H$2-0.025)/(1.025*($H$2-$C41)))/('Deal Economics long'!$AF$20*G$35)</f>
        <v>49.528144917731446</v>
      </c>
      <c r="H41" s="61">
        <f>($E$26+$E$27*(1+$C41)*($H$2-0.025)/(1.025*($H$2-$C41)))/('Deal Economics long'!$AF$20*H$35)</f>
        <v>43.337126803015018</v>
      </c>
      <c r="I41" s="61">
        <f>($E$26+$E$27*(1+$C41)*($H$2-0.025)/(1.025*($H$2-$C41)))/('Deal Economics long'!$AF$20*I$35)</f>
        <v>34.669701442412013</v>
      </c>
      <c r="J41" s="61">
        <f>($E$26+$E$27*(1+$C41)*($H$2-0.025)/(1.025*($H$2-$C41)))/('Deal Economics long'!$AF$20*J$35)</f>
        <v>28.89141786867668</v>
      </c>
      <c r="K41" s="61">
        <f>($E$26+$E$27*(1+$C41)*($H$2-0.025)/(1.025*($H$2-$C41)))/('Deal Economics long'!$AF$20*K$35)</f>
        <v>21.668563401507509</v>
      </c>
      <c r="L41" s="61">
        <f>($E$26+$E$27*(1+$C41)*($H$2-0.025)/(1.025*($H$2-$C41)))/('Deal Economics long'!$AF$20*L$35)</f>
        <v>17.334850721206006</v>
      </c>
      <c r="M41" s="61">
        <f>($E$26+$E$27*(1+$C41)*($H$2-0.025)/(1.025*($H$2-$C41)))/('Deal Economics long'!$AF$20*M$35)</f>
        <v>8.6674253606030032</v>
      </c>
      <c r="N41" s="52">
        <f>($E$26+$E$27*(1+$C41)*($H$2-0.025)/(1.025*($H$2-$C41)))/('Deal Economics long'!$AF$20*N$35)</f>
        <v>6.9339402884824022</v>
      </c>
      <c r="O41" s="52">
        <f>($E$26+$E$27*(1+$C41)*($H$2-0.025)/(1.025*($H$2-$C41)))/('Deal Economics long'!$AF$20*O$35)</f>
        <v>5.7782835737353349</v>
      </c>
      <c r="P41" s="52"/>
    </row>
    <row r="42" spans="2:16" x14ac:dyDescent="0.3">
      <c r="B42" s="96"/>
      <c r="C42" s="81">
        <v>0.04</v>
      </c>
      <c r="D42" s="52">
        <f>($E$26+$E$27*(1+$C42)*($H$2-0.025)/(1.025*($H$2-$C42)))/('Deal Economics long'!$AF$20*D$35)</f>
        <v>89.753718644184161</v>
      </c>
      <c r="E42" s="52">
        <f>($E$26+$E$27*(1+$C42)*($H$2-0.025)/(1.025*($H$2-$C42)))/('Deal Economics long'!$AF$20*E$35)</f>
        <v>71.80297491534732</v>
      </c>
      <c r="F42" s="52">
        <f>($E$26+$E$27*(1+$C42)*($H$2-0.025)/(1.025*($H$2-$C42)))/('Deal Economics long'!$AF$20*F$35)</f>
        <v>59.835812429456105</v>
      </c>
      <c r="G42" s="52">
        <f>($E$26+$E$27*(1+$C42)*($H$2-0.025)/(1.025*($H$2-$C42)))/('Deal Economics long'!$AF$20*G$35)</f>
        <v>51.287839225248092</v>
      </c>
      <c r="H42" s="52">
        <f>($E$26+$E$27*(1+$C42)*($H$2-0.025)/(1.025*($H$2-$C42)))/('Deal Economics long'!$AF$20*H$35)</f>
        <v>44.876859322092081</v>
      </c>
      <c r="I42" s="52">
        <f>($E$26+$E$27*(1+$C42)*($H$2-0.025)/(1.025*($H$2-$C42)))/('Deal Economics long'!$AF$20*I$35)</f>
        <v>35.90148745767366</v>
      </c>
      <c r="J42" s="52">
        <f>($E$26+$E$27*(1+$C42)*($H$2-0.025)/(1.025*($H$2-$C42)))/('Deal Economics long'!$AF$20*J$35)</f>
        <v>29.917906214728053</v>
      </c>
      <c r="K42" s="52">
        <f>($E$26+$E$27*(1+$C42)*($H$2-0.025)/(1.025*($H$2-$C42)))/('Deal Economics long'!$AF$20*K$35)</f>
        <v>22.43842966104604</v>
      </c>
      <c r="L42" s="52">
        <f>($E$26+$E$27*(1+$C42)*($H$2-0.025)/(1.025*($H$2-$C42)))/('Deal Economics long'!$AF$20*L$35)</f>
        <v>17.95074372883683</v>
      </c>
      <c r="M42" s="52">
        <f>($E$26+$E$27*(1+$C42)*($H$2-0.025)/(1.025*($H$2-$C42)))/('Deal Economics long'!$AF$20*M$35)</f>
        <v>8.9753718644184151</v>
      </c>
      <c r="N42" s="52">
        <f>($E$26+$E$27*(1+$C42)*($H$2-0.025)/(1.025*($H$2-$C42)))/('Deal Economics long'!$AF$20*N$35)</f>
        <v>7.1802974915347324</v>
      </c>
      <c r="O42" s="52">
        <f>($E$26+$E$27*(1+$C42)*($H$2-0.025)/(1.025*($H$2-$C42)))/('Deal Economics long'!$AF$20*O$35)</f>
        <v>5.9835812429456094</v>
      </c>
      <c r="P42" s="52"/>
    </row>
    <row r="43" spans="2:16" x14ac:dyDescent="0.3">
      <c r="B43" s="96"/>
      <c r="C43" s="81">
        <v>4.4999999999999998E-2</v>
      </c>
      <c r="D43" s="52">
        <f>($E$26+$E$27*(1+$C43)*($H$2-0.025)/(1.025*($H$2-$C43)))/('Deal Economics long'!$AF$20*D$35)</f>
        <v>93.243779020758794</v>
      </c>
      <c r="E43" s="52">
        <f>($E$26+$E$27*(1+$C43)*($H$2-0.025)/(1.025*($H$2-$C43)))/('Deal Economics long'!$AF$20*E$35)</f>
        <v>74.595023216607032</v>
      </c>
      <c r="F43" s="52">
        <f>($E$26+$E$27*(1+$C43)*($H$2-0.025)/(1.025*($H$2-$C43)))/('Deal Economics long'!$AF$20*F$35)</f>
        <v>62.162519347172534</v>
      </c>
      <c r="G43" s="52">
        <f>($E$26+$E$27*(1+$C43)*($H$2-0.025)/(1.025*($H$2-$C43)))/('Deal Economics long'!$AF$20*G$35)</f>
        <v>53.282159440433603</v>
      </c>
      <c r="H43" s="52">
        <f>($E$26+$E$27*(1+$C43)*($H$2-0.025)/(1.025*($H$2-$C43)))/('Deal Economics long'!$AF$20*H$35)</f>
        <v>46.621889510379397</v>
      </c>
      <c r="I43" s="52">
        <f>($E$26+$E$27*(1+$C43)*($H$2-0.025)/(1.025*($H$2-$C43)))/('Deal Economics long'!$AF$20*I$35)</f>
        <v>37.297511608303516</v>
      </c>
      <c r="J43" s="52">
        <f>($E$26+$E$27*(1+$C43)*($H$2-0.025)/(1.025*($H$2-$C43)))/('Deal Economics long'!$AF$20*J$35)</f>
        <v>31.081259673586267</v>
      </c>
      <c r="K43" s="52">
        <f>($E$26+$E$27*(1+$C43)*($H$2-0.025)/(1.025*($H$2-$C43)))/('Deal Economics long'!$AF$20*K$35)</f>
        <v>23.310944755189698</v>
      </c>
      <c r="L43" s="52">
        <f>($E$26+$E$27*(1+$C43)*($H$2-0.025)/(1.025*($H$2-$C43)))/('Deal Economics long'!$AF$20*L$35)</f>
        <v>18.648755804151758</v>
      </c>
      <c r="M43" s="52">
        <f>($E$26+$E$27*(1+$C43)*($H$2-0.025)/(1.025*($H$2-$C43)))/('Deal Economics long'!$AF$20*M$35)</f>
        <v>9.324377902075879</v>
      </c>
      <c r="N43" s="52">
        <f>($E$26+$E$27*(1+$C43)*($H$2-0.025)/(1.025*($H$2-$C43)))/('Deal Economics long'!$AF$20*N$35)</f>
        <v>7.4595023216607039</v>
      </c>
      <c r="O43" s="52">
        <f>($E$26+$E$27*(1+$C43)*($H$2-0.025)/(1.025*($H$2-$C43)))/('Deal Economics long'!$AF$20*O$35)</f>
        <v>6.2162519347172527</v>
      </c>
      <c r="P43" s="52"/>
    </row>
    <row r="44" spans="2:16" x14ac:dyDescent="0.3">
      <c r="B44" s="96"/>
      <c r="C44" s="81">
        <v>0.05</v>
      </c>
      <c r="D44" s="52">
        <f>($E$26+$E$27*(1+$C44)*($H$2-0.025)/(1.025*($H$2-$C44)))/('Deal Economics long'!$AF$20*D$35)</f>
        <v>97.232419451129843</v>
      </c>
      <c r="E44" s="52">
        <f>($E$26+$E$27*(1+$C44)*($H$2-0.025)/(1.025*($H$2-$C44)))/('Deal Economics long'!$AF$20*E$35)</f>
        <v>77.78593556090388</v>
      </c>
      <c r="F44" s="52">
        <f>($E$26+$E$27*(1+$C44)*($H$2-0.025)/(1.025*($H$2-$C44)))/('Deal Economics long'!$AF$20*F$35)</f>
        <v>64.82161296741991</v>
      </c>
      <c r="G44" s="52">
        <f>($E$26+$E$27*(1+$C44)*($H$2-0.025)/(1.025*($H$2-$C44)))/('Deal Economics long'!$AF$20*G$35)</f>
        <v>55.561382543502774</v>
      </c>
      <c r="H44" s="52">
        <f>($E$26+$E$27*(1+$C44)*($H$2-0.025)/(1.025*($H$2-$C44)))/('Deal Economics long'!$AF$20*H$35)</f>
        <v>48.616209725564921</v>
      </c>
      <c r="I44" s="52">
        <f>($E$26+$E$27*(1+$C44)*($H$2-0.025)/(1.025*($H$2-$C44)))/('Deal Economics long'!$AF$20*I$35)</f>
        <v>38.89296778045194</v>
      </c>
      <c r="J44" s="52">
        <f>($E$26+$E$27*(1+$C44)*($H$2-0.025)/(1.025*($H$2-$C44)))/('Deal Economics long'!$AF$20*J$35)</f>
        <v>32.410806483709955</v>
      </c>
      <c r="K44" s="52">
        <f>($E$26+$E$27*(1+$C44)*($H$2-0.025)/(1.025*($H$2-$C44)))/('Deal Economics long'!$AF$20*K$35)</f>
        <v>24.308104862782461</v>
      </c>
      <c r="L44" s="52">
        <f>($E$26+$E$27*(1+$C44)*($H$2-0.025)/(1.025*($H$2-$C44)))/('Deal Economics long'!$AF$20*L$35)</f>
        <v>19.44648389022597</v>
      </c>
      <c r="M44" s="52">
        <f>($E$26+$E$27*(1+$C44)*($H$2-0.025)/(1.025*($H$2-$C44)))/('Deal Economics long'!$AF$20*M$35)</f>
        <v>9.723241945112985</v>
      </c>
      <c r="N44" s="52">
        <f>($E$26+$E$27*(1+$C44)*($H$2-0.025)/(1.025*($H$2-$C44)))/('Deal Economics long'!$AF$20*N$35)</f>
        <v>7.7785935560903878</v>
      </c>
      <c r="O44" s="52">
        <f>($E$26+$E$27*(1+$C44)*($H$2-0.025)/(1.025*($H$2-$C44)))/('Deal Economics long'!$AF$20*O$35)</f>
        <v>6.4821612967419897</v>
      </c>
      <c r="P44" s="52"/>
    </row>
    <row r="46" spans="2:16" x14ac:dyDescent="0.3">
      <c r="I46" s="80" t="s">
        <v>61</v>
      </c>
    </row>
    <row r="47" spans="2:16" x14ac:dyDescent="0.3">
      <c r="C47" s="80"/>
      <c r="D47" s="82">
        <v>1</v>
      </c>
      <c r="E47" s="82">
        <v>1.25</v>
      </c>
      <c r="F47" s="82">
        <v>1.5</v>
      </c>
      <c r="G47" s="82">
        <v>1.75</v>
      </c>
      <c r="H47" s="82">
        <v>2</v>
      </c>
      <c r="I47" s="82">
        <v>2.5</v>
      </c>
      <c r="J47" s="82">
        <v>3</v>
      </c>
      <c r="K47" s="82">
        <v>4</v>
      </c>
      <c r="L47" s="82">
        <v>5</v>
      </c>
      <c r="M47" s="82">
        <v>10</v>
      </c>
      <c r="N47" s="82">
        <v>12.5</v>
      </c>
      <c r="O47" s="82">
        <v>15</v>
      </c>
    </row>
    <row r="48" spans="2:16" x14ac:dyDescent="0.3">
      <c r="B48" s="96" t="s">
        <v>75</v>
      </c>
      <c r="C48" s="81">
        <v>0.08</v>
      </c>
      <c r="D48" s="52" cm="1">
        <f t="array" ref="D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253.08374360764529</v>
      </c>
      <c r="E48" s="52" cm="1">
        <f t="array" ref="E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202.46699488611623</v>
      </c>
      <c r="F48" s="52" cm="1">
        <f t="array" ref="F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168.72249573843018</v>
      </c>
      <c r="G48" s="52" cm="1">
        <f t="array" ref="G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144.6192820615116</v>
      </c>
      <c r="H48" s="52" cm="1">
        <f t="array" ref="H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126.54187180382264</v>
      </c>
      <c r="I48" s="52" cm="1">
        <f t="array" ref="I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101.23349744305811</v>
      </c>
      <c r="J48" s="52" cm="1">
        <f t="array" ref="J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84.361247869215092</v>
      </c>
      <c r="K48" s="52" cm="1">
        <f t="array" ref="K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63.270935901911322</v>
      </c>
      <c r="L48" s="52" cm="1">
        <f t="array" ref="L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50.616748721529056</v>
      </c>
      <c r="M48" s="52" cm="1">
        <f t="array" ref="M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25.308374360764528</v>
      </c>
      <c r="N48" s="52" cm="1">
        <f t="array" ref="N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20.246699488611622</v>
      </c>
      <c r="O48" s="52" cm="1">
        <f t="array" ref="O48">(($E$26*SUMPRODUCT('Deal Economics long'!$E$29:$Y$29/((1+$C48)^('Deal Economics long'!$E$4:$Y$4-YEAR($D$2)+0.5)))/SUMPRODUCT('Deal Economics long'!$E$29:$Y$29/((1+$H$2)^('Deal Economics long'!$E$4:$Y$4-YEAR($D$2)+0.5)))+$E$27*((843*1.025/($C48-0.025))/((1+$C48)^(2047-YEAR($D$2)+0.5)))/((843*1.025/($H$2-0.025))/((1+$H$2)^(2047-YEAR($D$2)+0.5))))*($E$17/(1+$C48)^(2026-YEAR($D$2)+0.5)+($F$17-$E$17)/(1+$C48)^(2027-YEAR($D$2)+0.5)+($G$17-$F$17)/(1+$C48)^(2028-YEAR($D$2)+0.5)+($H$17-$G$17)/(1+$C48)^(2029-YEAR($D$2)+0.5)+($I$17-$H$17)/(1+$C48)^(2030-YEAR($D$2)+0.5)+($J$17-$I$17)/(1+$C48)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16.872249573843018</v>
      </c>
    </row>
    <row r="49" spans="2:15" x14ac:dyDescent="0.3">
      <c r="B49" s="96"/>
      <c r="C49" s="81">
        <v>0.09</v>
      </c>
      <c r="D49" s="52" cm="1">
        <f t="array" ref="D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185.200825013795</v>
      </c>
      <c r="E49" s="52" cm="1">
        <f t="array" ref="E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148.16066001103599</v>
      </c>
      <c r="F49" s="52" cm="1">
        <f t="array" ref="F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123.46721667586333</v>
      </c>
      <c r="G49" s="52" cm="1">
        <f t="array" ref="G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105.82904286502571</v>
      </c>
      <c r="H49" s="52" cm="1">
        <f t="array" ref="H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92.600412506897499</v>
      </c>
      <c r="I49" s="52" cm="1">
        <f t="array" ref="I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74.080330005517993</v>
      </c>
      <c r="J49" s="52" cm="1">
        <f t="array" ref="J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61.733608337931663</v>
      </c>
      <c r="K49" s="52" cm="1">
        <f t="array" ref="K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46.300206253448749</v>
      </c>
      <c r="L49" s="52" cm="1">
        <f t="array" ref="L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37.040165002758997</v>
      </c>
      <c r="M49" s="52" cm="1">
        <f t="array" ref="M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18.520082501379498</v>
      </c>
      <c r="N49" s="52" cm="1">
        <f t="array" ref="N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14.8160660011036</v>
      </c>
      <c r="O49" s="52" cm="1">
        <f t="array" ref="O49">(($E$26*SUMPRODUCT('Deal Economics long'!$E$29:$Y$29/((1+$C49)^('Deal Economics long'!$E$4:$Y$4-YEAR($D$2)+0.5)))/SUMPRODUCT('Deal Economics long'!$E$29:$Y$29/((1+$H$2)^('Deal Economics long'!$E$4:$Y$4-YEAR($D$2)+0.5)))+$E$27*((843*1.025/($C49-0.025))/((1+$C49)^(2047-YEAR($D$2)+0.5)))/((843*1.025/($H$2-0.025))/((1+$H$2)^(2047-YEAR($D$2)+0.5))))*($E$17/(1+$C49)^(2026-YEAR($D$2)+0.5)+($F$17-$E$17)/(1+$C49)^(2027-YEAR($D$2)+0.5)+($G$17-$F$17)/(1+$C49)^(2028-YEAR($D$2)+0.5)+($H$17-$G$17)/(1+$C49)^(2029-YEAR($D$2)+0.5)+($I$17-$H$17)/(1+$C49)^(2030-YEAR($D$2)+0.5)+($J$17-$I$17)/(1+$C49)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12.346721667586332</v>
      </c>
    </row>
    <row r="50" spans="2:15" x14ac:dyDescent="0.3">
      <c r="B50" s="96"/>
      <c r="C50" s="81">
        <v>0.1</v>
      </c>
      <c r="D50" s="52" cm="1">
        <f t="array" ref="D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138.85613141235066</v>
      </c>
      <c r="E50" s="52" cm="1">
        <f t="array" ref="E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111.08490512988053</v>
      </c>
      <c r="F50" s="52" cm="1">
        <f t="array" ref="F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92.570754274900438</v>
      </c>
      <c r="G50" s="52" cm="1">
        <f t="array" ref="G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79.346360807057522</v>
      </c>
      <c r="H50" s="61" cm="1">
        <f t="array" ref="H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69.428065706175332</v>
      </c>
      <c r="I50" s="61" cm="1">
        <f t="array" ref="I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55.542452564940263</v>
      </c>
      <c r="J50" s="61" cm="1">
        <f t="array" ref="J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46.285377137450219</v>
      </c>
      <c r="K50" s="61" cm="1">
        <f t="array" ref="K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34.714032853087666</v>
      </c>
      <c r="L50" s="61" cm="1">
        <f t="array" ref="L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27.771226282470131</v>
      </c>
      <c r="M50" s="61" cm="1">
        <f t="array" ref="M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13.885613141235066</v>
      </c>
      <c r="N50" s="52" cm="1">
        <f t="array" ref="N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11.108490512988054</v>
      </c>
      <c r="O50" s="52" cm="1">
        <f t="array" ref="O50">(($E$26*SUMPRODUCT('Deal Economics long'!$E$29:$Y$29/((1+$C50)^('Deal Economics long'!$E$4:$Y$4-YEAR($D$2)+0.5)))/SUMPRODUCT('Deal Economics long'!$E$29:$Y$29/((1+$H$2)^('Deal Economics long'!$E$4:$Y$4-YEAR($D$2)+0.5)))+$E$27*((843*1.025/($C50-0.025))/((1+$C50)^(2047-YEAR($D$2)+0.5)))/((843*1.025/($H$2-0.025))/((1+$H$2)^(2047-YEAR($D$2)+0.5))))*($E$17/(1+$C50)^(2026-YEAR($D$2)+0.5)+($F$17-$E$17)/(1+$C50)^(2027-YEAR($D$2)+0.5)+($G$17-$F$17)/(1+$C50)^(2028-YEAR($D$2)+0.5)+($H$17-$G$17)/(1+$C50)^(2029-YEAR($D$2)+0.5)+($I$17-$H$17)/(1+$C50)^(2030-YEAR($D$2)+0.5)+($J$17-$I$17)/(1+$C50)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9.2570754274900438</v>
      </c>
    </row>
    <row r="51" spans="2:15" x14ac:dyDescent="0.3">
      <c r="B51" s="96"/>
      <c r="C51" s="81">
        <v>0.11</v>
      </c>
      <c r="D51" s="52" cm="1">
        <f t="array" ref="D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105.82790074790385</v>
      </c>
      <c r="E51" s="52" cm="1">
        <f t="array" ref="E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84.662320598323078</v>
      </c>
      <c r="F51" s="52" cm="1">
        <f t="array" ref="F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70.551933831935898</v>
      </c>
      <c r="G51" s="52" cm="1">
        <f t="array" ref="G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60.473086141659344</v>
      </c>
      <c r="H51" s="61" cm="1">
        <f t="array" ref="H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52.913950373951927</v>
      </c>
      <c r="I51" s="61" cm="1">
        <f t="array" ref="I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42.331160299161539</v>
      </c>
      <c r="J51" s="61" cm="1">
        <f t="array" ref="J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35.275966915967949</v>
      </c>
      <c r="K51" s="61" cm="1">
        <f t="array" ref="K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26.456975186975964</v>
      </c>
      <c r="L51" s="61" cm="1">
        <f t="array" ref="L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21.165580149580769</v>
      </c>
      <c r="M51" s="61" cm="1">
        <f t="array" ref="M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10.582790074790385</v>
      </c>
      <c r="N51" s="52" cm="1">
        <f t="array" ref="N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8.4662320598323078</v>
      </c>
      <c r="O51" s="52" cm="1">
        <f t="array" ref="O51">(($E$26*SUMPRODUCT('Deal Economics long'!$E$29:$Y$29/((1+$C51)^('Deal Economics long'!$E$4:$Y$4-YEAR($D$2)+0.5)))/SUMPRODUCT('Deal Economics long'!$E$29:$Y$29/((1+$H$2)^('Deal Economics long'!$E$4:$Y$4-YEAR($D$2)+0.5)))+$E$27*((843*1.025/($C51-0.025))/((1+$C51)^(2047-YEAR($D$2)+0.5)))/((843*1.025/($H$2-0.025))/((1+$H$2)^(2047-YEAR($D$2)+0.5))))*($E$17/(1+$C51)^(2026-YEAR($D$2)+0.5)+($F$17-$E$17)/(1+$C51)^(2027-YEAR($D$2)+0.5)+($G$17-$F$17)/(1+$C51)^(2028-YEAR($D$2)+0.5)+($H$17-$G$17)/(1+$C51)^(2029-YEAR($D$2)+0.5)+($I$17-$H$17)/(1+$C51)^(2030-YEAR($D$2)+0.5)+($J$17-$I$17)/(1+$C51)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7.0551933831935898</v>
      </c>
    </row>
    <row r="52" spans="2:15" x14ac:dyDescent="0.3">
      <c r="B52" s="96"/>
      <c r="C52" s="81">
        <v>0.12</v>
      </c>
      <c r="D52" s="52" cm="1">
        <f t="array" ref="D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81.48778617334942</v>
      </c>
      <c r="E52" s="52" cm="1">
        <f t="array" ref="E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65.190228938679539</v>
      </c>
      <c r="F52" s="52" cm="1">
        <f t="array" ref="F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54.325190782232944</v>
      </c>
      <c r="G52" s="52" cm="1">
        <f t="array" ref="G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46.564449241913955</v>
      </c>
      <c r="H52" s="61" cm="1">
        <f t="array" ref="H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40.74389308667471</v>
      </c>
      <c r="I52" s="61" cm="1">
        <f t="array" ref="I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32.595114469339769</v>
      </c>
      <c r="J52" s="61" cm="1">
        <f t="array" ref="J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27.162595391116472</v>
      </c>
      <c r="K52" s="61" cm="1">
        <f t="array" ref="K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20.371946543337355</v>
      </c>
      <c r="L52" s="61" cm="1">
        <f t="array" ref="L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16.297557234669885</v>
      </c>
      <c r="M52" s="61" cm="1">
        <f t="array" ref="M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8.1487786173349424</v>
      </c>
      <c r="N52" s="52" cm="1">
        <f t="array" ref="N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6.5190228938679535</v>
      </c>
      <c r="O52" s="52" cm="1">
        <f t="array" ref="O52">(($E$26*SUMPRODUCT('Deal Economics long'!$E$29:$Y$29/((1+$C52)^('Deal Economics long'!$E$4:$Y$4-YEAR($D$2)+0.5)))/SUMPRODUCT('Deal Economics long'!$E$29:$Y$29/((1+$H$2)^('Deal Economics long'!$E$4:$Y$4-YEAR($D$2)+0.5)))+$E$27*((843*1.025/($C52-0.025))/((1+$C52)^(2047-YEAR($D$2)+0.5)))/((843*1.025/($H$2-0.025))/((1+$H$2)^(2047-YEAR($D$2)+0.5))))*($E$17/(1+$C52)^(2026-YEAR($D$2)+0.5)+($F$17-$E$17)/(1+$C52)^(2027-YEAR($D$2)+0.5)+($G$17-$F$17)/(1+$C52)^(2028-YEAR($D$2)+0.5)+($H$17-$G$17)/(1+$C52)^(2029-YEAR($D$2)+0.5)+($I$17-$H$17)/(1+$C52)^(2030-YEAR($D$2)+0.5)+($J$17-$I$17)/(1+$C52)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5.4325190782232946</v>
      </c>
    </row>
    <row r="53" spans="2:15" x14ac:dyDescent="0.3">
      <c r="B53" s="96"/>
      <c r="C53" s="81">
        <v>0.13</v>
      </c>
      <c r="D53" s="52" cm="1">
        <f t="array" ref="D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63.060123930453003</v>
      </c>
      <c r="E53" s="52" cm="1">
        <f t="array" ref="E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50.448099144362402</v>
      </c>
      <c r="F53" s="52" cm="1">
        <f t="array" ref="F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42.040082620302002</v>
      </c>
      <c r="G53" s="52" cm="1">
        <f t="array" ref="G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36.034356531687429</v>
      </c>
      <c r="H53" s="61" cm="1">
        <f t="array" ref="H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31.530061965226501</v>
      </c>
      <c r="I53" s="61" cm="1">
        <f t="array" ref="I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25.224049572181201</v>
      </c>
      <c r="J53" s="61" cm="1">
        <f t="array" ref="J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21.020041310151001</v>
      </c>
      <c r="K53" s="61" cm="1">
        <f t="array" ref="K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15.765030982613251</v>
      </c>
      <c r="L53" s="61" cm="1">
        <f t="array" ref="L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12.612024786090601</v>
      </c>
      <c r="M53" s="61" cm="1">
        <f t="array" ref="M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6.3060123930453003</v>
      </c>
      <c r="N53" s="52" cm="1">
        <f t="array" ref="N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5.0448099144362404</v>
      </c>
      <c r="O53" s="52" cm="1">
        <f t="array" ref="O53">(($E$26*SUMPRODUCT('Deal Economics long'!$E$29:$Y$29/((1+$C53)^('Deal Economics long'!$E$4:$Y$4-YEAR($D$2)+0.5)))/SUMPRODUCT('Deal Economics long'!$E$29:$Y$29/((1+$H$2)^('Deal Economics long'!$E$4:$Y$4-YEAR($D$2)+0.5)))+$E$27*((843*1.025/($C53-0.025))/((1+$C53)^(2047-YEAR($D$2)+0.5)))/((843*1.025/($H$2-0.025))/((1+$H$2)^(2047-YEAR($D$2)+0.5))))*($E$17/(1+$C53)^(2026-YEAR($D$2)+0.5)+($F$17-$E$17)/(1+$C53)^(2027-YEAR($D$2)+0.5)+($G$17-$F$17)/(1+$C53)^(2028-YEAR($D$2)+0.5)+($H$17-$G$17)/(1+$C53)^(2029-YEAR($D$2)+0.5)+($I$17-$H$17)/(1+$C53)^(2030-YEAR($D$2)+0.5)+($J$17-$I$17)/(1+$C53)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4.2040082620302002</v>
      </c>
    </row>
    <row r="54" spans="2:15" x14ac:dyDescent="0.3">
      <c r="B54" s="96"/>
      <c r="C54" s="81">
        <v>0.14000000000000001</v>
      </c>
      <c r="D54" s="52" cm="1">
        <f t="array" ref="D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48.796260562384916</v>
      </c>
      <c r="E54" s="52" cm="1">
        <f t="array" ref="E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39.03700844990793</v>
      </c>
      <c r="F54" s="52" cm="1">
        <f t="array" ref="F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32.530840374923272</v>
      </c>
      <c r="G54" s="52" cm="1">
        <f t="array" ref="G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27.88357746421995</v>
      </c>
      <c r="H54" s="52" cm="1">
        <f t="array" ref="H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24.398130281192458</v>
      </c>
      <c r="I54" s="52" cm="1">
        <f t="array" ref="I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19.518504224953965</v>
      </c>
      <c r="J54" s="52" cm="1">
        <f t="array" ref="J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16.265420187461636</v>
      </c>
      <c r="K54" s="52" cm="1">
        <f t="array" ref="K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12.199065140596229</v>
      </c>
      <c r="L54" s="52" cm="1">
        <f t="array" ref="L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9.7592521124769824</v>
      </c>
      <c r="M54" s="52" cm="1">
        <f t="array" ref="M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4.8796260562384912</v>
      </c>
      <c r="N54" s="52" cm="1">
        <f t="array" ref="N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3.9037008449907931</v>
      </c>
      <c r="O54" s="52" cm="1">
        <f t="array" ref="O54">(($E$26*SUMPRODUCT('Deal Economics long'!$E$29:$Y$29/((1+$C54)^('Deal Economics long'!$E$4:$Y$4-YEAR($D$2)+0.5)))/SUMPRODUCT('Deal Economics long'!$E$29:$Y$29/((1+$H$2)^('Deal Economics long'!$E$4:$Y$4-YEAR($D$2)+0.5)))+$E$27*((843*1.025/($C54-0.025))/((1+$C54)^(2047-YEAR($D$2)+0.5)))/((843*1.025/($H$2-0.025))/((1+$H$2)^(2047-YEAR($D$2)+0.5))))*($E$17/(1+$C54)^(2026-YEAR($D$2)+0.5)+($F$17-$E$17)/(1+$C54)^(2027-YEAR($D$2)+0.5)+($G$17-$F$17)/(1+$C54)^(2028-YEAR($D$2)+0.5)+($H$17-$G$17)/(1+$C54)^(2029-YEAR($D$2)+0.5)+($I$17-$H$17)/(1+$C54)^(2030-YEAR($D$2)+0.5)+($J$17-$I$17)/(1+$C54)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3.2530840374923273</v>
      </c>
    </row>
    <row r="55" spans="2:15" x14ac:dyDescent="0.3">
      <c r="B55" s="96"/>
      <c r="C55" s="81">
        <v>0.15</v>
      </c>
      <c r="D55" s="52" cm="1">
        <f t="array" ref="D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37.549881260713789</v>
      </c>
      <c r="E55" s="52" cm="1">
        <f t="array" ref="E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30.039905008571033</v>
      </c>
      <c r="F55" s="52" cm="1">
        <f t="array" ref="F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25.033254173809194</v>
      </c>
      <c r="G55" s="52" cm="1">
        <f t="array" ref="G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21.457075006122167</v>
      </c>
      <c r="H55" s="52" cm="1">
        <f t="array" ref="H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18.774940630356895</v>
      </c>
      <c r="I55" s="52" cm="1">
        <f t="array" ref="I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15.019952504285516</v>
      </c>
      <c r="J55" s="52" cm="1">
        <f t="array" ref="J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12.516627086904597</v>
      </c>
      <c r="K55" s="52" cm="1">
        <f t="array" ref="K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9.3874703151784473</v>
      </c>
      <c r="L55" s="52" cm="1">
        <f t="array" ref="L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7.5099762521427582</v>
      </c>
      <c r="M55" s="52" cm="1">
        <f t="array" ref="M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3.7549881260713791</v>
      </c>
      <c r="N55" s="52" cm="1">
        <f t="array" ref="N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3.0039905008571033</v>
      </c>
      <c r="O55" s="52" cm="1">
        <f t="array" ref="O55">(($E$26*SUMPRODUCT('Deal Economics long'!$E$29:$Y$29/((1+$C55)^('Deal Economics long'!$E$4:$Y$4-YEAR($D$2)+0.5)))/SUMPRODUCT('Deal Economics long'!$E$29:$Y$29/((1+$H$2)^('Deal Economics long'!$E$4:$Y$4-YEAR($D$2)+0.5)))+$E$27*((843*1.025/($C55-0.025))/((1+$C55)^(2047-YEAR($D$2)+0.5)))/((843*1.025/($H$2-0.025))/((1+$H$2)^(2047-YEAR($D$2)+0.5))))*($E$17/(1+$C55)^(2026-YEAR($D$2)+0.5)+($F$17-$E$17)/(1+$C55)^(2027-YEAR($D$2)+0.5)+($G$17-$F$17)/(1+$C55)^(2028-YEAR($D$2)+0.5)+($H$17-$G$17)/(1+$C55)^(2029-YEAR($D$2)+0.5)+($I$17-$H$17)/(1+$C55)^(2030-YEAR($D$2)+0.5)+($J$17-$I$17)/(1+$C55)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2.5033254173809194</v>
      </c>
    </row>
    <row r="56" spans="2:15" x14ac:dyDescent="0.3">
      <c r="B56" s="96"/>
      <c r="C56" s="81">
        <v>0.16</v>
      </c>
      <c r="D56" s="52" cm="1">
        <f t="array" ref="D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28.544302352335155</v>
      </c>
      <c r="E56" s="52" cm="1">
        <f t="array" ref="E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22.835441881868125</v>
      </c>
      <c r="F56" s="52" cm="1">
        <f t="array" ref="F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19.029534901556772</v>
      </c>
      <c r="G56" s="52" cm="1">
        <f t="array" ref="G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16.31102991562009</v>
      </c>
      <c r="H56" s="52" cm="1">
        <f t="array" ref="H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14.272151176167577</v>
      </c>
      <c r="I56" s="52" cm="1">
        <f t="array" ref="I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11.417720940934062</v>
      </c>
      <c r="J56" s="52" cm="1">
        <f t="array" ref="J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9.5147674507783861</v>
      </c>
      <c r="K56" s="52" cm="1">
        <f t="array" ref="K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7.1360755880837887</v>
      </c>
      <c r="L56" s="52" cm="1">
        <f t="array" ref="L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5.7088604704670312</v>
      </c>
      <c r="M56" s="52" cm="1">
        <f t="array" ref="M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2.8544302352335156</v>
      </c>
      <c r="N56" s="52" cm="1">
        <f t="array" ref="N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2.2835441881868124</v>
      </c>
      <c r="O56" s="52" cm="1">
        <f t="array" ref="O56">(($E$26*SUMPRODUCT('Deal Economics long'!$E$29:$Y$29/((1+$C56)^('Deal Economics long'!$E$4:$Y$4-YEAR($D$2)+0.5)))/SUMPRODUCT('Deal Economics long'!$E$29:$Y$29/((1+$H$2)^('Deal Economics long'!$E$4:$Y$4-YEAR($D$2)+0.5)))+$E$27*((843*1.025/($C56-0.025))/((1+$C56)^(2047-YEAR($D$2)+0.5)))/((843*1.025/($H$2-0.025))/((1+$H$2)^(2047-YEAR($D$2)+0.5))))*($E$17/(1+$C56)^(2026-YEAR($D$2)+0.5)+($F$17-$E$17)/(1+$C56)^(2027-YEAR($D$2)+0.5)+($G$17-$F$17)/(1+$C56)^(2028-YEAR($D$2)+0.5)+($H$17-$G$17)/(1+$C56)^(2029-YEAR($D$2)+0.5)+($I$17-$H$17)/(1+$C56)^(2030-YEAR($D$2)+0.5)+($J$17-$I$17)/(1+$C56)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1.9029534901556771</v>
      </c>
    </row>
    <row r="57" spans="2:15" ht="14.4" customHeight="1" x14ac:dyDescent="0.3">
      <c r="B57" s="96"/>
      <c r="C57" s="81">
        <v>0.17</v>
      </c>
      <c r="D57" s="52" cm="1">
        <f t="array" ref="D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21.23829092043081</v>
      </c>
      <c r="E57" s="52" cm="1">
        <f t="array" ref="E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16.990632736344647</v>
      </c>
      <c r="F57" s="52" cm="1">
        <f t="array" ref="F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14.15886061362054</v>
      </c>
      <c r="G57" s="52" cm="1">
        <f t="array" ref="G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12.136166240246178</v>
      </c>
      <c r="H57" s="52" cm="1">
        <f t="array" ref="H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10.619145460215405</v>
      </c>
      <c r="I57" s="52" cm="1">
        <f t="array" ref="I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8.4953163681723236</v>
      </c>
      <c r="J57" s="52" cm="1">
        <f t="array" ref="J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7.07943030681027</v>
      </c>
      <c r="K57" s="52" cm="1">
        <f t="array" ref="K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5.3095727301077025</v>
      </c>
      <c r="L57" s="52" cm="1">
        <f t="array" ref="L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4.2476581840861618</v>
      </c>
      <c r="M57" s="52" cm="1">
        <f t="array" ref="M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2.1238290920430809</v>
      </c>
      <c r="N57" s="52" cm="1">
        <f t="array" ref="N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1.6990632736344649</v>
      </c>
      <c r="O57" s="52" cm="1">
        <f t="array" ref="O57">(($E$26*SUMPRODUCT('Deal Economics long'!$E$29:$Y$29/((1+$C57)^('Deal Economics long'!$E$4:$Y$4-YEAR($D$2)+0.5)))/SUMPRODUCT('Deal Economics long'!$E$29:$Y$29/((1+$H$2)^('Deal Economics long'!$E$4:$Y$4-YEAR($D$2)+0.5)))+$E$27*((843*1.025/($C57-0.025))/((1+$C57)^(2047-YEAR($D$2)+0.5)))/((843*1.025/($H$2-0.025))/((1+$H$2)^(2047-YEAR($D$2)+0.5))))*($E$17/(1+$C57)^(2026-YEAR($D$2)+0.5)+($F$17-$E$17)/(1+$C57)^(2027-YEAR($D$2)+0.5)+($G$17-$F$17)/(1+$C57)^(2028-YEAR($D$2)+0.5)+($H$17-$G$17)/(1+$C57)^(2029-YEAR($D$2)+0.5)+($I$17-$H$17)/(1+$C57)^(2030-YEAR($D$2)+0.5)+($J$17-$I$17)/(1+$C57)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1.4158860613620539</v>
      </c>
    </row>
    <row r="58" spans="2:15" x14ac:dyDescent="0.3">
      <c r="B58" s="96"/>
      <c r="C58" s="81">
        <v>0.18</v>
      </c>
      <c r="D58" s="52" cm="1">
        <f t="array" ref="D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long'!$AF$20*D$47))</f>
        <v>15.245385314670045</v>
      </c>
      <c r="E58" s="52" cm="1">
        <f t="array" ref="E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long'!$AF$20*E$47))</f>
        <v>12.196308251736037</v>
      </c>
      <c r="F58" s="52" cm="1">
        <f t="array" ref="F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long'!$AF$20*F$47))</f>
        <v>10.163590209780031</v>
      </c>
      <c r="G58" s="52" cm="1">
        <f t="array" ref="G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long'!$AF$20*G$47))</f>
        <v>8.7116487512400251</v>
      </c>
      <c r="H58" s="52" cm="1">
        <f t="array" ref="H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long'!$AF$20*H$47))</f>
        <v>7.6226926573350227</v>
      </c>
      <c r="I58" s="52" cm="1">
        <f t="array" ref="I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long'!$AF$20*I$47))</f>
        <v>6.0981541258680183</v>
      </c>
      <c r="J58" s="52" cm="1">
        <f t="array" ref="J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long'!$AF$20*J$47))</f>
        <v>5.0817951048900154</v>
      </c>
      <c r="K58" s="52" cm="1">
        <f t="array" ref="K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long'!$AF$20*K$47))</f>
        <v>3.8113463286675113</v>
      </c>
      <c r="L58" s="52" cm="1">
        <f t="array" ref="L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long'!$AF$20*L$47))</f>
        <v>3.0490770629340092</v>
      </c>
      <c r="M58" s="52" cm="1">
        <f t="array" ref="M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long'!$AF$20*M$47))</f>
        <v>1.5245385314670046</v>
      </c>
      <c r="N58" s="52" cm="1">
        <f t="array" ref="N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long'!$AF$20*N$47))</f>
        <v>1.2196308251736037</v>
      </c>
      <c r="O58" s="52" cm="1">
        <f t="array" ref="O58">(($E$26*SUMPRODUCT('Deal Economics long'!$E$29:$Y$29/((1+$C58)^('Deal Economics long'!$E$4:$Y$4-YEAR($D$2)+0.5)))/SUMPRODUCT('Deal Economics long'!$E$29:$Y$29/((1+$H$2)^('Deal Economics long'!$E$4:$Y$4-YEAR($D$2)+0.5)))+$E$27*((843*1.025/($C58-0.025))/((1+$C58)^(2047-YEAR($D$2)+0.5)))/((843*1.025/($H$2-0.025))/((1+$H$2)^(2047-YEAR($D$2)+0.5))))*($E$17/(1+$C58)^(2026-YEAR($D$2)+0.5)+($F$17-$E$17)/(1+$C58)^(2027-YEAR($D$2)+0.5)+($G$17-$F$17)/(1+$C58)^(2028-YEAR($D$2)+0.5)+($H$17-$G$17)/(1+$C58)^(2029-YEAR($D$2)+0.5)+($I$17-$H$17)/(1+$C58)^(2030-YEAR($D$2)+0.5)+($J$17-$I$17)/(1+$C58)^(2031-YEAR($D$2)+0.5)))/((($E$17/(1+$H$2)^(2026-YEAR($D$2)+0.5)+($F$17-$E$17)/(1+$H$2)^(2027-YEAR($D$2)+0.5)+($G$17-$F$17)/(1+$H$2)^(2028-YEAR($D$2)+0.5)+($H$17-$G$17)/(1+$H$2)^(2029-YEAR($D$2)+0.5)+($I$17-$H$17)/(1+$H$2)^(2030-YEAR($D$2)+0.5)+($J$17-$I$17)/(1+$H$2)^(2031-YEAR($D$2)+0.5))*'Deal Economics long'!$AF$20*O$47))</f>
        <v>1.0163590209780029</v>
      </c>
    </row>
    <row r="59" spans="2:15" x14ac:dyDescent="0.3">
      <c r="B59" s="96"/>
    </row>
  </sheetData>
  <mergeCells count="2">
    <mergeCell ref="B48:B59"/>
    <mergeCell ref="B36:B44"/>
  </mergeCells>
  <pageMargins left="0.7" right="0.7" top="0.75" bottom="0.75" header="0.3" footer="0.3"/>
  <ignoredErrors>
    <ignoredError sqref="E15:F15 E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1"/>
  <sheetViews>
    <sheetView showGridLines="0" zoomScaleNormal="100" workbookViewId="0">
      <selection activeCell="Q8" sqref="Q8"/>
    </sheetView>
  </sheetViews>
  <sheetFormatPr defaultColWidth="9.33203125" defaultRowHeight="14.4" x14ac:dyDescent="0.3"/>
  <sheetData>
    <row r="2" spans="2:21" x14ac:dyDescent="0.3">
      <c r="B2" t="s">
        <v>26</v>
      </c>
      <c r="C2" s="22">
        <v>46085</v>
      </c>
      <c r="E2" t="s">
        <v>27</v>
      </c>
      <c r="G2" s="24">
        <v>0.12</v>
      </c>
      <c r="I2" t="s">
        <v>32</v>
      </c>
      <c r="L2" s="24">
        <v>0.12</v>
      </c>
    </row>
    <row r="4" spans="2:21" x14ac:dyDescent="0.3">
      <c r="B4" s="2" t="s">
        <v>13</v>
      </c>
      <c r="C4" s="2"/>
      <c r="D4" s="2"/>
      <c r="E4" s="2">
        <v>2026</v>
      </c>
      <c r="F4" s="2">
        <v>2027</v>
      </c>
      <c r="G4" s="2">
        <v>2028</v>
      </c>
      <c r="H4" s="2">
        <v>2029</v>
      </c>
      <c r="I4" s="2">
        <v>2030</v>
      </c>
      <c r="J4" s="2">
        <v>2031</v>
      </c>
      <c r="K4" s="2"/>
      <c r="L4" s="98" t="s">
        <v>14</v>
      </c>
      <c r="M4" s="98"/>
      <c r="N4" s="98"/>
      <c r="O4" s="98" t="s">
        <v>43</v>
      </c>
      <c r="P4" s="98"/>
      <c r="Q4" s="98"/>
      <c r="R4" s="2"/>
      <c r="S4" s="98" t="s">
        <v>14</v>
      </c>
      <c r="T4" s="98"/>
      <c r="U4" s="98"/>
    </row>
    <row r="5" spans="2:21" x14ac:dyDescent="0.3">
      <c r="B5" t="s">
        <v>0</v>
      </c>
      <c r="E5" s="4">
        <v>485</v>
      </c>
      <c r="F5" s="4">
        <v>1940</v>
      </c>
      <c r="G5" s="4">
        <v>1940</v>
      </c>
      <c r="H5" s="4">
        <v>1940</v>
      </c>
      <c r="I5" s="4">
        <v>1940</v>
      </c>
      <c r="J5" s="4">
        <v>1455</v>
      </c>
      <c r="K5" s="1"/>
      <c r="L5" s="97" t="s">
        <v>15</v>
      </c>
      <c r="M5" s="97"/>
      <c r="N5" s="97"/>
      <c r="O5" t="s">
        <v>44</v>
      </c>
      <c r="Q5" s="1">
        <f>E15*22.55</f>
        <v>43747</v>
      </c>
      <c r="S5" s="97" t="s">
        <v>48</v>
      </c>
      <c r="T5" s="97"/>
      <c r="U5" s="97"/>
    </row>
    <row r="6" spans="2:21" x14ac:dyDescent="0.3">
      <c r="B6" t="s">
        <v>33</v>
      </c>
      <c r="E6" s="1">
        <f>E5-E7</f>
        <v>72.75</v>
      </c>
      <c r="F6" s="1">
        <f t="shared" ref="F6:J6" si="0">F5-F7</f>
        <v>291</v>
      </c>
      <c r="G6" s="1">
        <f t="shared" si="0"/>
        <v>291</v>
      </c>
      <c r="H6" s="1">
        <f t="shared" si="0"/>
        <v>291</v>
      </c>
      <c r="I6" s="1">
        <f t="shared" si="0"/>
        <v>291</v>
      </c>
      <c r="J6" s="1">
        <f t="shared" si="0"/>
        <v>218.25</v>
      </c>
      <c r="O6" t="s">
        <v>45</v>
      </c>
      <c r="Q6" s="1">
        <f>4160*22.55</f>
        <v>93808</v>
      </c>
      <c r="S6" s="97" t="s">
        <v>49</v>
      </c>
      <c r="T6" s="97"/>
      <c r="U6" s="97"/>
    </row>
    <row r="7" spans="2:21" x14ac:dyDescent="0.3">
      <c r="B7" t="s">
        <v>1</v>
      </c>
      <c r="E7" s="1">
        <f>E5*0.85</f>
        <v>412.25</v>
      </c>
      <c r="F7" s="1">
        <f t="shared" ref="F7:J7" si="1">F5*0.85</f>
        <v>1649</v>
      </c>
      <c r="G7" s="1">
        <f t="shared" si="1"/>
        <v>1649</v>
      </c>
      <c r="H7" s="1">
        <f t="shared" si="1"/>
        <v>1649</v>
      </c>
      <c r="I7" s="1">
        <f t="shared" si="1"/>
        <v>1649</v>
      </c>
      <c r="J7" s="1">
        <f t="shared" si="1"/>
        <v>1236.75</v>
      </c>
      <c r="O7" s="9" t="s">
        <v>46</v>
      </c>
      <c r="P7" s="9"/>
      <c r="Q7" s="31">
        <f>E24*22.55</f>
        <v>81180</v>
      </c>
      <c r="S7" s="97" t="s">
        <v>50</v>
      </c>
      <c r="T7" s="97"/>
      <c r="U7" s="97"/>
    </row>
    <row r="8" spans="2:21" x14ac:dyDescent="0.3">
      <c r="B8" t="s">
        <v>2</v>
      </c>
      <c r="E8" s="3">
        <f>E7/E5</f>
        <v>0.85</v>
      </c>
      <c r="F8" s="3">
        <f t="shared" ref="F8:J8" si="2">F7/F5</f>
        <v>0.85</v>
      </c>
      <c r="G8" s="3">
        <f t="shared" si="2"/>
        <v>0.85</v>
      </c>
      <c r="H8" s="3">
        <f t="shared" si="2"/>
        <v>0.85</v>
      </c>
      <c r="I8" s="3">
        <f t="shared" si="2"/>
        <v>0.85</v>
      </c>
      <c r="J8" s="3">
        <f t="shared" si="2"/>
        <v>0.85</v>
      </c>
      <c r="L8" s="97"/>
      <c r="M8" s="97"/>
      <c r="N8" s="97"/>
      <c r="O8" t="s">
        <v>47</v>
      </c>
      <c r="Q8" s="1">
        <f>SUM(Q5:Q7)</f>
        <v>218735</v>
      </c>
      <c r="T8" s="24">
        <f>Q7/Q8</f>
        <v>0.37113402061855671</v>
      </c>
    </row>
    <row r="9" spans="2:21" x14ac:dyDescent="0.3">
      <c r="E9" s="1"/>
      <c r="F9" s="1"/>
      <c r="G9" s="1"/>
      <c r="H9" s="1"/>
      <c r="I9" s="1"/>
      <c r="J9" s="1"/>
    </row>
    <row r="10" spans="2:21" x14ac:dyDescent="0.3">
      <c r="B10" t="s">
        <v>4</v>
      </c>
      <c r="E10" s="1">
        <f>4640/5*0.25</f>
        <v>232</v>
      </c>
      <c r="F10" s="1">
        <f>4640/5</f>
        <v>928</v>
      </c>
      <c r="G10" s="1">
        <f>4640/5</f>
        <v>928</v>
      </c>
      <c r="H10" s="1">
        <f t="shared" ref="H10:I10" si="3">4640/5</f>
        <v>928</v>
      </c>
      <c r="I10" s="1">
        <f t="shared" si="3"/>
        <v>928</v>
      </c>
      <c r="J10" s="1">
        <f>4640/5*0.75</f>
        <v>696</v>
      </c>
      <c r="L10" s="97" t="s">
        <v>52</v>
      </c>
      <c r="M10" s="97"/>
      <c r="N10" s="97"/>
      <c r="P10" s="1"/>
      <c r="Q10" s="1"/>
    </row>
    <row r="11" spans="2:21" x14ac:dyDescent="0.3">
      <c r="B11" t="s">
        <v>5</v>
      </c>
      <c r="E11" s="1">
        <f>$E$16*-0.05</f>
        <v>112.5</v>
      </c>
      <c r="F11" s="1">
        <f t="shared" ref="F11:J11" si="4">$E$16*-0.05</f>
        <v>112.5</v>
      </c>
      <c r="G11" s="1">
        <f t="shared" si="4"/>
        <v>112.5</v>
      </c>
      <c r="H11" s="1">
        <f t="shared" si="4"/>
        <v>112.5</v>
      </c>
      <c r="I11" s="1">
        <f t="shared" si="4"/>
        <v>112.5</v>
      </c>
      <c r="J11" s="1">
        <f t="shared" si="4"/>
        <v>112.5</v>
      </c>
    </row>
    <row r="12" spans="2:21" x14ac:dyDescent="0.3">
      <c r="B12" t="s">
        <v>3</v>
      </c>
      <c r="E12" s="28">
        <f>E7-E10-E11</f>
        <v>67.75</v>
      </c>
      <c r="F12" s="6">
        <f>F7-F10-F11</f>
        <v>608.5</v>
      </c>
      <c r="G12" s="6">
        <f t="shared" ref="G12:J12" si="5">G7-G10-G11</f>
        <v>608.5</v>
      </c>
      <c r="H12" s="6">
        <f t="shared" si="5"/>
        <v>608.5</v>
      </c>
      <c r="I12" s="6">
        <f t="shared" si="5"/>
        <v>608.5</v>
      </c>
      <c r="J12" s="6">
        <f t="shared" si="5"/>
        <v>428.25</v>
      </c>
      <c r="P12" s="1"/>
    </row>
    <row r="13" spans="2:21" x14ac:dyDescent="0.3">
      <c r="E13" s="1"/>
      <c r="F13" s="1"/>
      <c r="G13" s="1"/>
      <c r="H13" s="1"/>
      <c r="I13" s="1"/>
      <c r="J13" s="1"/>
    </row>
    <row r="14" spans="2:21" x14ac:dyDescent="0.3">
      <c r="B14" t="s">
        <v>1</v>
      </c>
      <c r="E14" s="7">
        <f t="shared" ref="E14:J14" si="6">E7</f>
        <v>412.25</v>
      </c>
      <c r="F14" s="7">
        <f t="shared" si="6"/>
        <v>1649</v>
      </c>
      <c r="G14" s="7">
        <f t="shared" si="6"/>
        <v>1649</v>
      </c>
      <c r="H14" s="7">
        <f t="shared" si="6"/>
        <v>1649</v>
      </c>
      <c r="I14" s="7">
        <f t="shared" si="6"/>
        <v>1649</v>
      </c>
      <c r="J14" s="7">
        <f t="shared" si="6"/>
        <v>1236.75</v>
      </c>
    </row>
    <row r="15" spans="2:21" x14ac:dyDescent="0.3">
      <c r="B15" t="s">
        <v>6</v>
      </c>
      <c r="E15" s="1">
        <v>1940</v>
      </c>
      <c r="F15" s="28">
        <v>0</v>
      </c>
      <c r="G15" s="5">
        <f>$E$15/-4</f>
        <v>-485</v>
      </c>
      <c r="H15" s="5">
        <f t="shared" ref="H15:J15" si="7">$E$15/-4</f>
        <v>-485</v>
      </c>
      <c r="I15" s="5">
        <f t="shared" si="7"/>
        <v>-485</v>
      </c>
      <c r="J15" s="5">
        <f t="shared" si="7"/>
        <v>-485</v>
      </c>
    </row>
    <row r="16" spans="2:21" x14ac:dyDescent="0.3">
      <c r="B16" t="s">
        <v>7</v>
      </c>
      <c r="E16" s="5">
        <f>-3000*0.75</f>
        <v>-2250</v>
      </c>
      <c r="F16" s="5">
        <f>-3000*0.25</f>
        <v>-750</v>
      </c>
      <c r="G16" s="1"/>
      <c r="H16" s="1"/>
      <c r="I16" s="1"/>
      <c r="J16" s="1"/>
      <c r="L16" s="97" t="s">
        <v>16</v>
      </c>
      <c r="M16" s="97"/>
      <c r="N16" s="97"/>
    </row>
    <row r="17" spans="2:18" x14ac:dyDescent="0.3">
      <c r="B17" t="s">
        <v>8</v>
      </c>
      <c r="E17" s="5">
        <f>-5800*0.75</f>
        <v>-4350</v>
      </c>
      <c r="F17" s="5">
        <f>-5800*0.25</f>
        <v>-1450</v>
      </c>
      <c r="G17" s="1"/>
      <c r="H17" s="1"/>
      <c r="I17" s="1"/>
      <c r="J17" s="1"/>
      <c r="L17" s="97" t="s">
        <v>51</v>
      </c>
      <c r="M17" s="97"/>
      <c r="N17" s="97"/>
    </row>
    <row r="18" spans="2:18" x14ac:dyDescent="0.3">
      <c r="B18" t="s">
        <v>9</v>
      </c>
      <c r="E18" s="1"/>
      <c r="F18" s="5">
        <f>-0.5*200</f>
        <v>-100</v>
      </c>
      <c r="G18" s="5">
        <f t="shared" ref="G18:J18" si="8">-0.5*200</f>
        <v>-100</v>
      </c>
      <c r="H18" s="5">
        <f t="shared" si="8"/>
        <v>-100</v>
      </c>
      <c r="I18" s="5">
        <f t="shared" si="8"/>
        <v>-100</v>
      </c>
      <c r="J18" s="5">
        <f t="shared" si="8"/>
        <v>-100</v>
      </c>
      <c r="L18" s="97" t="s">
        <v>31</v>
      </c>
      <c r="M18" s="97"/>
      <c r="N18" s="97"/>
    </row>
    <row r="19" spans="2:18" x14ac:dyDescent="0.3">
      <c r="B19" t="s">
        <v>10</v>
      </c>
      <c r="E19" s="1"/>
      <c r="F19" s="1"/>
      <c r="G19" s="1"/>
      <c r="H19" s="1"/>
      <c r="I19" s="1"/>
      <c r="J19" s="1">
        <f>(E17+F17)*-0.2</f>
        <v>1160</v>
      </c>
      <c r="L19" s="1"/>
    </row>
    <row r="20" spans="2:18" x14ac:dyDescent="0.3">
      <c r="B20" t="s">
        <v>11</v>
      </c>
      <c r="E20" s="1"/>
      <c r="F20" s="1"/>
      <c r="G20" s="1"/>
      <c r="H20" s="1"/>
      <c r="I20" s="1"/>
      <c r="J20" s="1">
        <f>E16*-0.75</f>
        <v>1687.5</v>
      </c>
      <c r="Q20" s="8"/>
    </row>
    <row r="21" spans="2:18" x14ac:dyDescent="0.3">
      <c r="E21" s="1"/>
      <c r="F21" s="1"/>
      <c r="G21" s="1"/>
      <c r="H21" s="1"/>
      <c r="I21" s="1"/>
      <c r="J21" s="1"/>
    </row>
    <row r="22" spans="2:18" x14ac:dyDescent="0.3">
      <c r="B22" s="16" t="s">
        <v>12</v>
      </c>
      <c r="C22" s="17"/>
      <c r="D22" s="17"/>
      <c r="E22" s="18">
        <f>E14+E15+E16+E17</f>
        <v>-4247.75</v>
      </c>
      <c r="F22" s="18">
        <f>SUM(F14:F18)</f>
        <v>-651</v>
      </c>
      <c r="G22" s="18">
        <f>G14+G15+G18</f>
        <v>1064</v>
      </c>
      <c r="H22" s="18">
        <f t="shared" ref="H22:I22" si="9">H14+H15+H18</f>
        <v>1064</v>
      </c>
      <c r="I22" s="18">
        <f t="shared" si="9"/>
        <v>1064</v>
      </c>
      <c r="J22" s="19">
        <f>J14+J18+J15+J19+J20</f>
        <v>3499.25</v>
      </c>
      <c r="Q22" s="1"/>
    </row>
    <row r="23" spans="2:18" x14ac:dyDescent="0.3">
      <c r="Q23" s="1"/>
      <c r="R23" s="1"/>
    </row>
    <row r="24" spans="2:18" x14ac:dyDescent="0.3">
      <c r="B24" t="s">
        <v>20</v>
      </c>
      <c r="E24" s="4">
        <v>3600</v>
      </c>
      <c r="F24" s="5"/>
      <c r="G24" s="5"/>
      <c r="H24" s="5"/>
      <c r="I24" s="5"/>
      <c r="J24" s="5"/>
    </row>
    <row r="25" spans="2:18" x14ac:dyDescent="0.3">
      <c r="B25" t="s">
        <v>21</v>
      </c>
      <c r="E25" s="5">
        <f>(($E$24*-0.06)*0.75)</f>
        <v>-162</v>
      </c>
      <c r="F25" s="5">
        <f>($E$24*-0.06)</f>
        <v>-216</v>
      </c>
      <c r="G25" s="5">
        <f>($E$24*-0.06)</f>
        <v>-216</v>
      </c>
      <c r="H25" s="5">
        <f>($E$24*-0.06)</f>
        <v>-216</v>
      </c>
      <c r="I25" s="5">
        <f>($E$24*-0.06)</f>
        <v>-216</v>
      </c>
      <c r="J25" s="5">
        <f>$E$24*-0.06*0.5</f>
        <v>-108</v>
      </c>
      <c r="L25" s="97" t="s">
        <v>30</v>
      </c>
      <c r="M25" s="97"/>
      <c r="N25" s="97"/>
    </row>
    <row r="26" spans="2:18" x14ac:dyDescent="0.3">
      <c r="B26" t="s">
        <v>22</v>
      </c>
      <c r="E26" s="5"/>
      <c r="F26" s="5"/>
      <c r="G26" s="5"/>
      <c r="H26" s="5"/>
      <c r="I26" s="5"/>
      <c r="J26" s="20">
        <f>-E24</f>
        <v>-3600</v>
      </c>
    </row>
    <row r="27" spans="2:18" x14ac:dyDescent="0.3">
      <c r="E27" s="5"/>
      <c r="F27" s="5"/>
      <c r="G27" s="5"/>
      <c r="H27" s="5"/>
      <c r="I27" s="5"/>
      <c r="J27" s="5"/>
    </row>
    <row r="28" spans="2:18" x14ac:dyDescent="0.3">
      <c r="B28" s="16" t="s">
        <v>23</v>
      </c>
      <c r="C28" s="17"/>
      <c r="D28" s="17"/>
      <c r="E28" s="21">
        <f>E22+E24+E25</f>
        <v>-809.75</v>
      </c>
      <c r="F28" s="18">
        <f>F22+F25</f>
        <v>-867</v>
      </c>
      <c r="G28" s="18">
        <f t="shared" ref="G28:I28" si="10">G22+G25</f>
        <v>848</v>
      </c>
      <c r="H28" s="18">
        <f t="shared" si="10"/>
        <v>848</v>
      </c>
      <c r="I28" s="18">
        <f t="shared" si="10"/>
        <v>848</v>
      </c>
      <c r="J28" s="29">
        <f>J22+J25+J26</f>
        <v>-208.75</v>
      </c>
    </row>
    <row r="30" spans="2:18" x14ac:dyDescent="0.3">
      <c r="B30" t="s">
        <v>24</v>
      </c>
      <c r="D30" s="23"/>
      <c r="E30" s="5">
        <f t="shared" ref="E30:J30" si="11">E22/((1+$G$2)^(E$4-YEAR($C$2)+0.5))</f>
        <v>-4013.7464755623619</v>
      </c>
      <c r="F30" s="6">
        <f t="shared" si="11"/>
        <v>-549.22962484153322</v>
      </c>
      <c r="G30" s="1">
        <f t="shared" si="11"/>
        <v>801.48716374724506</v>
      </c>
      <c r="H30" s="1">
        <f t="shared" si="11"/>
        <v>715.61353906004013</v>
      </c>
      <c r="I30" s="1">
        <f t="shared" si="11"/>
        <v>638.94065987503575</v>
      </c>
      <c r="J30" s="1">
        <f t="shared" si="11"/>
        <v>1876.1858083275031</v>
      </c>
      <c r="L30" s="97" t="s">
        <v>28</v>
      </c>
      <c r="M30" s="97"/>
      <c r="N30" s="97"/>
    </row>
    <row r="31" spans="2:18" x14ac:dyDescent="0.3">
      <c r="B31" t="s">
        <v>25</v>
      </c>
      <c r="D31" s="23"/>
      <c r="E31" s="5">
        <f>E28/((1+$L$2)^(E$4-YEAR($C$2)+0.5))</f>
        <v>-765.14183004805432</v>
      </c>
      <c r="F31" s="6">
        <f t="shared" ref="F31:J31" si="12">F28/((1+$L$2)^(F$4-YEAR($C$2)+0.5))</f>
        <v>-731.46249575669628</v>
      </c>
      <c r="G31" s="1">
        <f t="shared" si="12"/>
        <v>638.77924328727795</v>
      </c>
      <c r="H31" s="1">
        <f t="shared" si="12"/>
        <v>570.33861007792677</v>
      </c>
      <c r="I31" s="1">
        <f t="shared" si="12"/>
        <v>509.23090185529168</v>
      </c>
      <c r="J31" s="1">
        <f t="shared" si="12"/>
        <v>-111.92506608226513</v>
      </c>
      <c r="L31" s="97" t="s">
        <v>28</v>
      </c>
      <c r="M31" s="97"/>
      <c r="N31" s="97"/>
    </row>
    <row r="33" spans="2:14" x14ac:dyDescent="0.3">
      <c r="B33" s="12" t="s">
        <v>17</v>
      </c>
      <c r="C33" s="13"/>
      <c r="D33" s="13"/>
      <c r="E33" s="55">
        <f>SUM(E30:J30)</f>
        <v>-530.74892939407141</v>
      </c>
      <c r="G33" s="12" t="s">
        <v>82</v>
      </c>
      <c r="H33" s="13"/>
      <c r="I33" s="13"/>
      <c r="J33" s="55">
        <v>77000</v>
      </c>
      <c r="L33" s="97"/>
      <c r="M33" s="97"/>
      <c r="N33" s="97"/>
    </row>
    <row r="34" spans="2:14" x14ac:dyDescent="0.3">
      <c r="B34" s="14" t="s">
        <v>29</v>
      </c>
      <c r="C34" s="10"/>
      <c r="D34" s="10"/>
      <c r="E34" s="27">
        <f>SUM(E31:J31)</f>
        <v>109.81936333348055</v>
      </c>
      <c r="G34" s="14" t="s">
        <v>83</v>
      </c>
      <c r="H34" s="10"/>
      <c r="I34" s="10"/>
      <c r="J34" s="72">
        <f>9700000000/(J33*43800)</f>
        <v>2.8761193144754786</v>
      </c>
      <c r="L34" s="97"/>
      <c r="M34" s="97"/>
      <c r="N34" s="97"/>
    </row>
    <row r="35" spans="2:14" x14ac:dyDescent="0.3">
      <c r="B35" s="14" t="s">
        <v>18</v>
      </c>
      <c r="C35" s="10"/>
      <c r="D35" s="10"/>
      <c r="E35" s="25">
        <f>IRR(E22:J22)</f>
        <v>8.4059411255245076E-2</v>
      </c>
      <c r="G35" s="14" t="s">
        <v>84</v>
      </c>
      <c r="H35" s="10"/>
      <c r="I35" s="10"/>
      <c r="J35" s="72">
        <f>SUM(E22:J22)/200</f>
        <v>8.9625000000000004</v>
      </c>
    </row>
    <row r="36" spans="2:14" x14ac:dyDescent="0.3">
      <c r="B36" s="15" t="s">
        <v>19</v>
      </c>
      <c r="C36" s="11"/>
      <c r="D36" s="11"/>
      <c r="E36" s="26">
        <f>IRR(E28:J28)</f>
        <v>0.15518825465068709</v>
      </c>
      <c r="G36" s="15" t="s">
        <v>85</v>
      </c>
      <c r="H36" s="11"/>
      <c r="I36" s="11"/>
      <c r="J36" s="73">
        <f>SUM(E28:J28)/200</f>
        <v>3.2925</v>
      </c>
    </row>
    <row r="41" spans="2:14" x14ac:dyDescent="0.3">
      <c r="J41" s="5"/>
    </row>
  </sheetData>
  <mergeCells count="17">
    <mergeCell ref="S4:U4"/>
    <mergeCell ref="S5:U5"/>
    <mergeCell ref="S6:U6"/>
    <mergeCell ref="S7:U7"/>
    <mergeCell ref="L30:N30"/>
    <mergeCell ref="L5:N5"/>
    <mergeCell ref="L4:N4"/>
    <mergeCell ref="L8:N8"/>
    <mergeCell ref="L10:N10"/>
    <mergeCell ref="O4:Q4"/>
    <mergeCell ref="L31:N31"/>
    <mergeCell ref="L33:N33"/>
    <mergeCell ref="L34:N34"/>
    <mergeCell ref="L16:N16"/>
    <mergeCell ref="L25:N25"/>
    <mergeCell ref="L18:N18"/>
    <mergeCell ref="L17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313F-51A0-4AC5-A64D-FE1E32BC2FAC}">
  <dimension ref="B2:AZ39"/>
  <sheetViews>
    <sheetView showGridLines="0" zoomScaleNormal="100" workbookViewId="0">
      <selection activeCell="J37" sqref="J37"/>
    </sheetView>
  </sheetViews>
  <sheetFormatPr defaultRowHeight="14.4" x14ac:dyDescent="0.3"/>
  <cols>
    <col min="39" max="39" width="9.77734375" bestFit="1" customWidth="1"/>
  </cols>
  <sheetData>
    <row r="2" spans="2:52" x14ac:dyDescent="0.3">
      <c r="B2" t="s">
        <v>26</v>
      </c>
      <c r="C2" s="22">
        <v>46085</v>
      </c>
      <c r="E2" t="s">
        <v>27</v>
      </c>
      <c r="G2" s="24">
        <v>0.12</v>
      </c>
      <c r="I2" t="s">
        <v>32</v>
      </c>
      <c r="L2" s="24">
        <v>0.12</v>
      </c>
    </row>
    <row r="4" spans="2:52" x14ac:dyDescent="0.3">
      <c r="B4" s="2" t="s">
        <v>13</v>
      </c>
      <c r="C4" s="2"/>
      <c r="D4" s="2"/>
      <c r="E4" s="2">
        <v>2026</v>
      </c>
      <c r="F4" s="2">
        <v>2027</v>
      </c>
      <c r="G4" s="2">
        <v>2028</v>
      </c>
      <c r="H4" s="2">
        <v>2029</v>
      </c>
      <c r="I4" s="2">
        <v>2030</v>
      </c>
      <c r="J4" s="2">
        <v>2031</v>
      </c>
      <c r="K4" s="33">
        <f>J4+1</f>
        <v>2032</v>
      </c>
      <c r="L4" s="2">
        <f t="shared" ref="L4:Y4" si="0">K4+1</f>
        <v>2033</v>
      </c>
      <c r="M4" s="2">
        <f t="shared" si="0"/>
        <v>2034</v>
      </c>
      <c r="N4" s="2">
        <f t="shared" si="0"/>
        <v>2035</v>
      </c>
      <c r="O4" s="2">
        <f t="shared" si="0"/>
        <v>2036</v>
      </c>
      <c r="P4" s="33">
        <f t="shared" si="0"/>
        <v>2037</v>
      </c>
      <c r="Q4" s="2">
        <f t="shared" si="0"/>
        <v>2038</v>
      </c>
      <c r="R4" s="2">
        <f t="shared" si="0"/>
        <v>2039</v>
      </c>
      <c r="S4" s="2">
        <f t="shared" si="0"/>
        <v>2040</v>
      </c>
      <c r="T4" s="2">
        <f t="shared" si="0"/>
        <v>2041</v>
      </c>
      <c r="U4" s="33">
        <f t="shared" si="0"/>
        <v>2042</v>
      </c>
      <c r="V4" s="2">
        <f t="shared" si="0"/>
        <v>2043</v>
      </c>
      <c r="W4" s="2">
        <f t="shared" si="0"/>
        <v>2044</v>
      </c>
      <c r="X4" s="2">
        <f t="shared" si="0"/>
        <v>2045</v>
      </c>
      <c r="Y4" s="39">
        <f t="shared" si="0"/>
        <v>2046</v>
      </c>
      <c r="Z4" s="2">
        <v>2047</v>
      </c>
      <c r="AA4" s="98" t="s">
        <v>14</v>
      </c>
      <c r="AB4" s="98"/>
      <c r="AC4" s="98"/>
      <c r="AD4" s="98" t="s">
        <v>43</v>
      </c>
      <c r="AE4" s="98"/>
      <c r="AF4" s="98"/>
      <c r="AG4" s="2"/>
      <c r="AH4" s="98" t="s">
        <v>14</v>
      </c>
      <c r="AI4" s="98"/>
      <c r="AJ4" s="98"/>
      <c r="AK4" s="98" t="s">
        <v>74</v>
      </c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</row>
    <row r="5" spans="2:52" x14ac:dyDescent="0.3">
      <c r="B5" t="s">
        <v>0</v>
      </c>
      <c r="E5" s="4">
        <v>485</v>
      </c>
      <c r="F5" s="4">
        <v>1940</v>
      </c>
      <c r="G5" s="4">
        <v>1940</v>
      </c>
      <c r="H5" s="4">
        <v>1940</v>
      </c>
      <c r="I5" s="4">
        <v>1940</v>
      </c>
      <c r="J5" s="4">
        <v>1455</v>
      </c>
      <c r="K5" s="34">
        <v>1940</v>
      </c>
      <c r="L5" s="4">
        <v>1940</v>
      </c>
      <c r="M5" s="4">
        <v>1940</v>
      </c>
      <c r="N5" s="4">
        <v>1940</v>
      </c>
      <c r="O5" s="4">
        <v>1940</v>
      </c>
      <c r="P5" s="34">
        <v>1940</v>
      </c>
      <c r="Q5" s="4">
        <v>1940</v>
      </c>
      <c r="R5" s="4">
        <v>1940</v>
      </c>
      <c r="S5" s="4">
        <v>1940</v>
      </c>
      <c r="T5" s="4">
        <v>1940</v>
      </c>
      <c r="U5" s="34">
        <v>1940</v>
      </c>
      <c r="V5" s="4">
        <v>1940</v>
      </c>
      <c r="W5" s="4">
        <v>1940</v>
      </c>
      <c r="X5" s="4">
        <v>1940</v>
      </c>
      <c r="Y5" s="40">
        <v>1940</v>
      </c>
      <c r="AA5" s="97" t="s">
        <v>15</v>
      </c>
      <c r="AB5" s="97"/>
      <c r="AC5" s="97"/>
      <c r="AD5" t="s">
        <v>44</v>
      </c>
      <c r="AF5" s="1">
        <f>(E16*4)*22.55</f>
        <v>174988</v>
      </c>
      <c r="AH5" s="97" t="s">
        <v>48</v>
      </c>
      <c r="AI5" s="97"/>
      <c r="AJ5" s="97"/>
      <c r="AM5" s="99" t="s">
        <v>61</v>
      </c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</row>
    <row r="6" spans="2:52" x14ac:dyDescent="0.3">
      <c r="B6" t="s">
        <v>33</v>
      </c>
      <c r="E6" s="1">
        <f>E5-E7</f>
        <v>72.75</v>
      </c>
      <c r="F6" s="1">
        <f t="shared" ref="F6:Y6" si="1">F5-F7</f>
        <v>291</v>
      </c>
      <c r="G6" s="1">
        <f t="shared" si="1"/>
        <v>291</v>
      </c>
      <c r="H6" s="1">
        <f t="shared" si="1"/>
        <v>291</v>
      </c>
      <c r="I6" s="1">
        <f t="shared" si="1"/>
        <v>291</v>
      </c>
      <c r="J6" s="1">
        <f t="shared" si="1"/>
        <v>218.25</v>
      </c>
      <c r="K6" s="35">
        <f t="shared" si="1"/>
        <v>291</v>
      </c>
      <c r="L6" s="1">
        <f t="shared" si="1"/>
        <v>291</v>
      </c>
      <c r="M6" s="1">
        <f t="shared" si="1"/>
        <v>291</v>
      </c>
      <c r="N6" s="1">
        <f t="shared" si="1"/>
        <v>291</v>
      </c>
      <c r="O6" s="1">
        <f t="shared" si="1"/>
        <v>291</v>
      </c>
      <c r="P6" s="35">
        <f t="shared" si="1"/>
        <v>291</v>
      </c>
      <c r="Q6" s="1">
        <f t="shared" si="1"/>
        <v>291</v>
      </c>
      <c r="R6" s="1">
        <f t="shared" si="1"/>
        <v>291</v>
      </c>
      <c r="S6" s="1">
        <f t="shared" si="1"/>
        <v>291</v>
      </c>
      <c r="T6" s="1">
        <f t="shared" si="1"/>
        <v>291</v>
      </c>
      <c r="U6" s="35">
        <f t="shared" si="1"/>
        <v>291</v>
      </c>
      <c r="V6" s="1">
        <f t="shared" si="1"/>
        <v>291</v>
      </c>
      <c r="W6" s="1">
        <f t="shared" si="1"/>
        <v>291</v>
      </c>
      <c r="X6" s="1">
        <f t="shared" si="1"/>
        <v>291</v>
      </c>
      <c r="Y6" s="41">
        <f t="shared" si="1"/>
        <v>291</v>
      </c>
      <c r="AD6" t="s">
        <v>45</v>
      </c>
      <c r="AF6" s="1">
        <f>(4160)+((2200)*3)*22.55</f>
        <v>152990</v>
      </c>
      <c r="AH6" s="97" t="s">
        <v>49</v>
      </c>
      <c r="AI6" s="97"/>
      <c r="AJ6" s="97"/>
      <c r="AM6" s="54">
        <v>1</v>
      </c>
      <c r="AN6" s="56">
        <v>1.25</v>
      </c>
      <c r="AO6" s="67">
        <v>1.5</v>
      </c>
      <c r="AP6" s="56">
        <v>1.75</v>
      </c>
      <c r="AQ6" s="54">
        <v>2</v>
      </c>
      <c r="AR6" s="54">
        <v>2.5</v>
      </c>
      <c r="AS6" s="54">
        <v>3</v>
      </c>
      <c r="AT6" s="54">
        <v>4</v>
      </c>
      <c r="AU6" s="54">
        <v>5</v>
      </c>
      <c r="AV6" s="54">
        <v>10</v>
      </c>
      <c r="AW6" s="68">
        <v>12.5</v>
      </c>
      <c r="AX6" s="66">
        <v>15</v>
      </c>
      <c r="AY6" s="68">
        <v>17.5</v>
      </c>
      <c r="AZ6" s="66">
        <v>20</v>
      </c>
    </row>
    <row r="7" spans="2:52" ht="14.4" customHeight="1" x14ac:dyDescent="0.3">
      <c r="B7" t="s">
        <v>1</v>
      </c>
      <c r="E7" s="1">
        <f>E5*0.85</f>
        <v>412.25</v>
      </c>
      <c r="F7" s="1">
        <f t="shared" ref="F7:Y7" si="2">F5*0.85</f>
        <v>1649</v>
      </c>
      <c r="G7" s="1">
        <f t="shared" si="2"/>
        <v>1649</v>
      </c>
      <c r="H7" s="1">
        <f t="shared" si="2"/>
        <v>1649</v>
      </c>
      <c r="I7" s="1">
        <f t="shared" si="2"/>
        <v>1649</v>
      </c>
      <c r="J7" s="1">
        <f t="shared" si="2"/>
        <v>1236.75</v>
      </c>
      <c r="K7" s="35">
        <f t="shared" si="2"/>
        <v>1649</v>
      </c>
      <c r="L7" s="1">
        <f t="shared" si="2"/>
        <v>1649</v>
      </c>
      <c r="M7" s="1">
        <f t="shared" si="2"/>
        <v>1649</v>
      </c>
      <c r="N7" s="1">
        <f t="shared" si="2"/>
        <v>1649</v>
      </c>
      <c r="O7" s="1">
        <f t="shared" si="2"/>
        <v>1649</v>
      </c>
      <c r="P7" s="35">
        <f t="shared" si="2"/>
        <v>1649</v>
      </c>
      <c r="Q7" s="1">
        <f t="shared" si="2"/>
        <v>1649</v>
      </c>
      <c r="R7" s="1">
        <f t="shared" si="2"/>
        <v>1649</v>
      </c>
      <c r="S7" s="1">
        <f t="shared" si="2"/>
        <v>1649</v>
      </c>
      <c r="T7" s="1">
        <f t="shared" si="2"/>
        <v>1649</v>
      </c>
      <c r="U7" s="35">
        <f t="shared" si="2"/>
        <v>1649</v>
      </c>
      <c r="V7" s="1">
        <f t="shared" si="2"/>
        <v>1649</v>
      </c>
      <c r="W7" s="1">
        <f t="shared" si="2"/>
        <v>1649</v>
      </c>
      <c r="X7" s="1">
        <f t="shared" si="2"/>
        <v>1649</v>
      </c>
      <c r="Y7" s="41">
        <f t="shared" si="2"/>
        <v>1649</v>
      </c>
      <c r="AD7" s="9" t="s">
        <v>46</v>
      </c>
      <c r="AE7" s="9"/>
      <c r="AF7" s="31">
        <f>(E25*4)*22.55</f>
        <v>324720</v>
      </c>
      <c r="AH7" s="97" t="s">
        <v>50</v>
      </c>
      <c r="AI7" s="97"/>
      <c r="AJ7" s="97"/>
      <c r="AK7" s="100" t="s">
        <v>73</v>
      </c>
      <c r="AL7" s="60">
        <v>0.01</v>
      </c>
      <c r="AM7" s="58">
        <f t="shared" ref="AM7:AZ15" si="3">(($AF$15+((843*(1+$AL7)/($L$2-$AL7))*22.5)/((1+$L$2)^($Z$4-YEAR($C$2)+0.5)))/($AF$20*AM$6))</f>
        <v>95.618555934369596</v>
      </c>
      <c r="AN7" s="59">
        <f t="shared" si="3"/>
        <v>76.494844747495662</v>
      </c>
      <c r="AO7" s="59">
        <f t="shared" si="3"/>
        <v>63.745703956246395</v>
      </c>
      <c r="AP7" s="59">
        <f t="shared" si="3"/>
        <v>54.63917481963977</v>
      </c>
      <c r="AQ7" s="59">
        <f t="shared" si="3"/>
        <v>47.809277967184798</v>
      </c>
      <c r="AR7" s="59">
        <f t="shared" si="3"/>
        <v>38.247422373747831</v>
      </c>
      <c r="AS7" s="59">
        <f t="shared" si="3"/>
        <v>31.872851978123197</v>
      </c>
      <c r="AT7" s="59">
        <f t="shared" si="3"/>
        <v>23.904638983592399</v>
      </c>
      <c r="AU7" s="59">
        <f t="shared" si="3"/>
        <v>19.123711186873916</v>
      </c>
      <c r="AV7" s="59">
        <f t="shared" si="3"/>
        <v>9.5618555934369578</v>
      </c>
      <c r="AW7" s="59">
        <f t="shared" si="3"/>
        <v>7.6494844747495669</v>
      </c>
      <c r="AX7" s="59">
        <f t="shared" si="3"/>
        <v>6.3745703956246391</v>
      </c>
      <c r="AY7" s="59">
        <f t="shared" si="3"/>
        <v>5.4639174819639766</v>
      </c>
      <c r="AZ7" s="59">
        <f t="shared" si="3"/>
        <v>4.7809277967184789</v>
      </c>
    </row>
    <row r="8" spans="2:52" x14ac:dyDescent="0.3">
      <c r="B8" t="s">
        <v>2</v>
      </c>
      <c r="E8" s="3">
        <f>E7/E5</f>
        <v>0.85</v>
      </c>
      <c r="F8" s="3">
        <f t="shared" ref="F8:Y8" si="4">F7/F5</f>
        <v>0.85</v>
      </c>
      <c r="G8" s="3">
        <f t="shared" si="4"/>
        <v>0.85</v>
      </c>
      <c r="H8" s="3">
        <f t="shared" si="4"/>
        <v>0.85</v>
      </c>
      <c r="I8" s="3">
        <f t="shared" si="4"/>
        <v>0.85</v>
      </c>
      <c r="J8" s="3">
        <f t="shared" si="4"/>
        <v>0.85</v>
      </c>
      <c r="K8" s="36">
        <f t="shared" si="4"/>
        <v>0.85</v>
      </c>
      <c r="L8" s="3">
        <f t="shared" si="4"/>
        <v>0.85</v>
      </c>
      <c r="M8" s="3">
        <f t="shared" si="4"/>
        <v>0.85</v>
      </c>
      <c r="N8" s="3">
        <f t="shared" si="4"/>
        <v>0.85</v>
      </c>
      <c r="O8" s="3">
        <f t="shared" si="4"/>
        <v>0.85</v>
      </c>
      <c r="P8" s="36">
        <f t="shared" si="4"/>
        <v>0.85</v>
      </c>
      <c r="Q8" s="3">
        <f t="shared" si="4"/>
        <v>0.85</v>
      </c>
      <c r="R8" s="3">
        <f t="shared" si="4"/>
        <v>0.85</v>
      </c>
      <c r="S8" s="3">
        <f t="shared" si="4"/>
        <v>0.85</v>
      </c>
      <c r="T8" s="3">
        <f t="shared" si="4"/>
        <v>0.85</v>
      </c>
      <c r="U8" s="36">
        <f t="shared" si="4"/>
        <v>0.85</v>
      </c>
      <c r="V8" s="3">
        <f t="shared" si="4"/>
        <v>0.85</v>
      </c>
      <c r="W8" s="3">
        <f t="shared" si="4"/>
        <v>0.85</v>
      </c>
      <c r="X8" s="3">
        <f t="shared" si="4"/>
        <v>0.85</v>
      </c>
      <c r="Y8" s="42">
        <f t="shared" si="4"/>
        <v>0.85</v>
      </c>
      <c r="AA8" s="97"/>
      <c r="AB8" s="97"/>
      <c r="AC8" s="97"/>
      <c r="AD8" t="s">
        <v>47</v>
      </c>
      <c r="AF8" s="1">
        <f>SUM(AF5:AF7)</f>
        <v>652698</v>
      </c>
      <c r="AK8" s="100"/>
      <c r="AL8" s="60">
        <v>1.4999999999999999E-2</v>
      </c>
      <c r="AM8" s="57">
        <f t="shared" si="3"/>
        <v>98.045298611676131</v>
      </c>
      <c r="AN8" s="52">
        <f t="shared" si="3"/>
        <v>78.436238889340899</v>
      </c>
      <c r="AO8" s="52">
        <f t="shared" si="3"/>
        <v>65.363532407784092</v>
      </c>
      <c r="AP8" s="52">
        <f t="shared" si="3"/>
        <v>56.025884920957793</v>
      </c>
      <c r="AQ8" s="52">
        <f t="shared" si="3"/>
        <v>49.022649305838065</v>
      </c>
      <c r="AR8" s="52">
        <f t="shared" si="3"/>
        <v>39.21811944467045</v>
      </c>
      <c r="AS8" s="52">
        <f t="shared" si="3"/>
        <v>32.681766203892046</v>
      </c>
      <c r="AT8" s="52">
        <f t="shared" si="3"/>
        <v>24.511324652919033</v>
      </c>
      <c r="AU8" s="52">
        <f t="shared" si="3"/>
        <v>19.609059722335225</v>
      </c>
      <c r="AV8" s="52">
        <f t="shared" si="3"/>
        <v>9.8045298611676124</v>
      </c>
      <c r="AW8" s="52">
        <f t="shared" si="3"/>
        <v>7.8436238889340899</v>
      </c>
      <c r="AX8" s="52">
        <f t="shared" si="3"/>
        <v>6.536353240778408</v>
      </c>
      <c r="AY8" s="52">
        <f t="shared" si="3"/>
        <v>5.6025884920957791</v>
      </c>
      <c r="AZ8" s="52">
        <f t="shared" si="3"/>
        <v>4.9022649305838062</v>
      </c>
    </row>
    <row r="9" spans="2:52" x14ac:dyDescent="0.3">
      <c r="E9" s="1"/>
      <c r="F9" s="1"/>
      <c r="G9" s="1"/>
      <c r="H9" s="1"/>
      <c r="I9" s="1"/>
      <c r="J9" s="1"/>
      <c r="K9" s="37"/>
      <c r="P9" s="37"/>
      <c r="U9" s="37"/>
      <c r="Y9" s="43"/>
      <c r="AK9" s="100"/>
      <c r="AL9" s="60">
        <v>0.02</v>
      </c>
      <c r="AM9" s="57">
        <f t="shared" si="3"/>
        <v>100.71471555671334</v>
      </c>
      <c r="AN9" s="52">
        <f t="shared" si="3"/>
        <v>80.571772445370684</v>
      </c>
      <c r="AO9" s="52">
        <f t="shared" si="3"/>
        <v>67.143143704475577</v>
      </c>
      <c r="AP9" s="52">
        <f t="shared" si="3"/>
        <v>57.551266032407632</v>
      </c>
      <c r="AQ9" s="61">
        <f t="shared" si="3"/>
        <v>50.357357778356672</v>
      </c>
      <c r="AR9" s="61">
        <f t="shared" si="3"/>
        <v>40.285886222685342</v>
      </c>
      <c r="AS9" s="61">
        <f t="shared" si="3"/>
        <v>33.571571852237788</v>
      </c>
      <c r="AT9" s="61">
        <f t="shared" si="3"/>
        <v>25.178678889178336</v>
      </c>
      <c r="AU9" s="61">
        <f t="shared" si="3"/>
        <v>20.142943111342671</v>
      </c>
      <c r="AV9" s="61">
        <f t="shared" si="3"/>
        <v>10.071471555671335</v>
      </c>
      <c r="AW9" s="52">
        <f t="shared" si="3"/>
        <v>8.0571772445370673</v>
      </c>
      <c r="AX9" s="52">
        <f t="shared" si="3"/>
        <v>6.7143143704475561</v>
      </c>
      <c r="AY9" s="52">
        <f t="shared" si="3"/>
        <v>5.7551266032407629</v>
      </c>
      <c r="AZ9" s="52">
        <f t="shared" si="3"/>
        <v>5.0357357778356677</v>
      </c>
    </row>
    <row r="10" spans="2:52" x14ac:dyDescent="0.3">
      <c r="B10" t="s">
        <v>4</v>
      </c>
      <c r="E10" s="1">
        <f>4640/5*0.25</f>
        <v>232</v>
      </c>
      <c r="F10" s="1">
        <f>4640/5</f>
        <v>928</v>
      </c>
      <c r="G10" s="1">
        <f>4640/5</f>
        <v>928</v>
      </c>
      <c r="H10" s="1">
        <f t="shared" ref="H10:Y10" si="5">4640/5</f>
        <v>928</v>
      </c>
      <c r="I10" s="1">
        <f t="shared" si="5"/>
        <v>928</v>
      </c>
      <c r="J10" s="1">
        <f>4640/5*0.75</f>
        <v>696</v>
      </c>
      <c r="K10" s="35">
        <f t="shared" si="5"/>
        <v>928</v>
      </c>
      <c r="L10" s="1">
        <f t="shared" si="5"/>
        <v>928</v>
      </c>
      <c r="M10" s="1">
        <f t="shared" si="5"/>
        <v>928</v>
      </c>
      <c r="N10" s="1">
        <f t="shared" si="5"/>
        <v>928</v>
      </c>
      <c r="O10" s="41">
        <f t="shared" si="5"/>
        <v>928</v>
      </c>
      <c r="P10" s="35">
        <f t="shared" si="5"/>
        <v>928</v>
      </c>
      <c r="Q10" s="1">
        <f t="shared" si="5"/>
        <v>928</v>
      </c>
      <c r="R10" s="1">
        <f t="shared" si="5"/>
        <v>928</v>
      </c>
      <c r="S10" s="1">
        <f t="shared" si="5"/>
        <v>928</v>
      </c>
      <c r="T10" s="41">
        <f t="shared" si="5"/>
        <v>928</v>
      </c>
      <c r="U10" s="35">
        <f t="shared" si="5"/>
        <v>928</v>
      </c>
      <c r="V10" s="1">
        <f t="shared" si="5"/>
        <v>928</v>
      </c>
      <c r="W10" s="1">
        <f t="shared" si="5"/>
        <v>928</v>
      </c>
      <c r="X10" s="1">
        <f t="shared" si="5"/>
        <v>928</v>
      </c>
      <c r="Y10" s="41">
        <f t="shared" si="5"/>
        <v>928</v>
      </c>
      <c r="AA10" s="97" t="s">
        <v>65</v>
      </c>
      <c r="AB10" s="97"/>
      <c r="AC10" s="97"/>
      <c r="AD10" t="s">
        <v>53</v>
      </c>
      <c r="AF10" s="1">
        <f>SUM(E23:Y23)*22.5</f>
        <v>165830.0625</v>
      </c>
      <c r="AK10" s="100"/>
      <c r="AL10" s="60">
        <v>2.5000000000000001E-2</v>
      </c>
      <c r="AM10" s="57">
        <f t="shared" si="3"/>
        <v>103.66512375912286</v>
      </c>
      <c r="AN10" s="52">
        <f t="shared" si="3"/>
        <v>82.932099007298291</v>
      </c>
      <c r="AO10" s="52">
        <f t="shared" si="3"/>
        <v>69.110082506081909</v>
      </c>
      <c r="AP10" s="52">
        <f t="shared" si="3"/>
        <v>59.237213576641643</v>
      </c>
      <c r="AQ10" s="61">
        <f t="shared" si="3"/>
        <v>51.832561879561432</v>
      </c>
      <c r="AR10" s="61">
        <f t="shared" si="3"/>
        <v>41.466049503649145</v>
      </c>
      <c r="AS10" s="61">
        <f t="shared" si="3"/>
        <v>34.555041253040955</v>
      </c>
      <c r="AT10" s="61">
        <f t="shared" si="3"/>
        <v>25.916280939780716</v>
      </c>
      <c r="AU10" s="61">
        <f t="shared" si="3"/>
        <v>20.733024751824573</v>
      </c>
      <c r="AV10" s="61">
        <f t="shared" si="3"/>
        <v>10.366512375912286</v>
      </c>
      <c r="AW10" s="52">
        <f t="shared" si="3"/>
        <v>8.2932099007298294</v>
      </c>
      <c r="AX10" s="52">
        <f t="shared" si="3"/>
        <v>6.9110082506081909</v>
      </c>
      <c r="AY10" s="52">
        <f t="shared" si="3"/>
        <v>5.9237213576641636</v>
      </c>
      <c r="AZ10" s="52">
        <f t="shared" si="3"/>
        <v>5.1832561879561432</v>
      </c>
    </row>
    <row r="11" spans="2:52" x14ac:dyDescent="0.3">
      <c r="B11" t="s">
        <v>5</v>
      </c>
      <c r="E11" s="1">
        <f>$E$17*-0.05</f>
        <v>112.5</v>
      </c>
      <c r="F11" s="1">
        <f t="shared" ref="F11:Y11" si="6">$E$17*-0.05</f>
        <v>112.5</v>
      </c>
      <c r="G11" s="1">
        <f t="shared" si="6"/>
        <v>112.5</v>
      </c>
      <c r="H11" s="1">
        <f t="shared" si="6"/>
        <v>112.5</v>
      </c>
      <c r="I11" s="1">
        <f t="shared" si="6"/>
        <v>112.5</v>
      </c>
      <c r="J11" s="1">
        <f t="shared" si="6"/>
        <v>112.5</v>
      </c>
      <c r="K11" s="35">
        <f t="shared" si="6"/>
        <v>112.5</v>
      </c>
      <c r="L11" s="1">
        <f t="shared" si="6"/>
        <v>112.5</v>
      </c>
      <c r="M11" s="1">
        <f t="shared" si="6"/>
        <v>112.5</v>
      </c>
      <c r="N11" s="1">
        <f t="shared" si="6"/>
        <v>112.5</v>
      </c>
      <c r="O11" s="1">
        <f t="shared" si="6"/>
        <v>112.5</v>
      </c>
      <c r="P11" s="35">
        <f t="shared" si="6"/>
        <v>112.5</v>
      </c>
      <c r="Q11" s="1">
        <f t="shared" si="6"/>
        <v>112.5</v>
      </c>
      <c r="R11" s="1">
        <f t="shared" si="6"/>
        <v>112.5</v>
      </c>
      <c r="S11" s="1">
        <f t="shared" si="6"/>
        <v>112.5</v>
      </c>
      <c r="T11" s="1">
        <f t="shared" si="6"/>
        <v>112.5</v>
      </c>
      <c r="U11" s="35">
        <f t="shared" si="6"/>
        <v>112.5</v>
      </c>
      <c r="V11" s="1">
        <f t="shared" si="6"/>
        <v>112.5</v>
      </c>
      <c r="W11" s="1">
        <f t="shared" si="6"/>
        <v>112.5</v>
      </c>
      <c r="X11" s="1">
        <f t="shared" si="6"/>
        <v>112.5</v>
      </c>
      <c r="Y11" s="41">
        <f t="shared" si="6"/>
        <v>112.5</v>
      </c>
      <c r="AD11" t="s">
        <v>54</v>
      </c>
      <c r="AF11" s="1">
        <f>SUM(E29:Y29)*22.5</f>
        <v>84145.612500000047</v>
      </c>
      <c r="AK11" s="100"/>
      <c r="AL11" s="60">
        <v>0.03</v>
      </c>
      <c r="AM11" s="57">
        <f t="shared" si="3"/>
        <v>106.94335509513348</v>
      </c>
      <c r="AN11" s="52">
        <f t="shared" si="3"/>
        <v>85.554684076106781</v>
      </c>
      <c r="AO11" s="52">
        <f t="shared" si="3"/>
        <v>71.295570063422332</v>
      </c>
      <c r="AP11" s="52">
        <f t="shared" si="3"/>
        <v>61.110488625790566</v>
      </c>
      <c r="AQ11" s="61">
        <f t="shared" si="3"/>
        <v>53.471677547566742</v>
      </c>
      <c r="AR11" s="61">
        <f t="shared" si="3"/>
        <v>42.777342038053391</v>
      </c>
      <c r="AS11" s="61">
        <f t="shared" si="3"/>
        <v>35.647785031711166</v>
      </c>
      <c r="AT11" s="61">
        <f t="shared" si="3"/>
        <v>26.735838773783371</v>
      </c>
      <c r="AU11" s="61">
        <f t="shared" si="3"/>
        <v>21.388671019026695</v>
      </c>
      <c r="AV11" s="61">
        <f t="shared" si="3"/>
        <v>10.694335509513348</v>
      </c>
      <c r="AW11" s="52">
        <f t="shared" si="3"/>
        <v>8.5554684076106788</v>
      </c>
      <c r="AX11" s="52">
        <f t="shared" si="3"/>
        <v>7.1295570063422318</v>
      </c>
      <c r="AY11" s="52">
        <f t="shared" si="3"/>
        <v>6.1110488625790564</v>
      </c>
      <c r="AZ11" s="52">
        <f t="shared" si="3"/>
        <v>5.3471677547566738</v>
      </c>
    </row>
    <row r="12" spans="2:52" x14ac:dyDescent="0.3">
      <c r="B12" t="s">
        <v>3</v>
      </c>
      <c r="E12" s="28">
        <f>E7-E10-E11</f>
        <v>67.75</v>
      </c>
      <c r="F12" s="6">
        <f>F7-F10-F11</f>
        <v>608.5</v>
      </c>
      <c r="G12" s="6">
        <f t="shared" ref="G12:Y12" si="7">G7-G10-G11</f>
        <v>608.5</v>
      </c>
      <c r="H12" s="6">
        <f t="shared" si="7"/>
        <v>608.5</v>
      </c>
      <c r="I12" s="6">
        <f t="shared" si="7"/>
        <v>608.5</v>
      </c>
      <c r="J12" s="6">
        <f t="shared" si="7"/>
        <v>428.25</v>
      </c>
      <c r="K12" s="47">
        <f t="shared" si="7"/>
        <v>608.5</v>
      </c>
      <c r="L12" s="6">
        <f t="shared" si="7"/>
        <v>608.5</v>
      </c>
      <c r="M12" s="6">
        <f t="shared" si="7"/>
        <v>608.5</v>
      </c>
      <c r="N12" s="6">
        <f t="shared" si="7"/>
        <v>608.5</v>
      </c>
      <c r="O12" s="48">
        <f t="shared" si="7"/>
        <v>608.5</v>
      </c>
      <c r="P12" s="47">
        <f t="shared" si="7"/>
        <v>608.5</v>
      </c>
      <c r="Q12" s="6">
        <f t="shared" si="7"/>
        <v>608.5</v>
      </c>
      <c r="R12" s="6">
        <f t="shared" si="7"/>
        <v>608.5</v>
      </c>
      <c r="S12" s="6">
        <f t="shared" si="7"/>
        <v>608.5</v>
      </c>
      <c r="T12" s="48">
        <f t="shared" si="7"/>
        <v>608.5</v>
      </c>
      <c r="U12" s="47">
        <f t="shared" si="7"/>
        <v>608.5</v>
      </c>
      <c r="V12" s="6">
        <f t="shared" si="7"/>
        <v>608.5</v>
      </c>
      <c r="W12" s="6">
        <f t="shared" si="7"/>
        <v>608.5</v>
      </c>
      <c r="X12" s="6">
        <f t="shared" si="7"/>
        <v>608.5</v>
      </c>
      <c r="Y12" s="48">
        <f t="shared" si="7"/>
        <v>608.5</v>
      </c>
      <c r="AK12" s="100"/>
      <c r="AL12" s="60">
        <v>3.5000000000000003E-2</v>
      </c>
      <c r="AM12" s="57">
        <f t="shared" si="3"/>
        <v>110.60726070596888</v>
      </c>
      <c r="AN12" s="52">
        <f t="shared" si="3"/>
        <v>88.485808564775112</v>
      </c>
      <c r="AO12" s="52">
        <f t="shared" si="3"/>
        <v>73.738173803979265</v>
      </c>
      <c r="AP12" s="52">
        <f t="shared" si="3"/>
        <v>63.204148974839363</v>
      </c>
      <c r="AQ12" s="61">
        <f t="shared" si="3"/>
        <v>55.303630352984442</v>
      </c>
      <c r="AR12" s="61">
        <f t="shared" si="3"/>
        <v>44.242904282387556</v>
      </c>
      <c r="AS12" s="61">
        <f t="shared" si="3"/>
        <v>36.869086901989633</v>
      </c>
      <c r="AT12" s="61">
        <f t="shared" si="3"/>
        <v>27.651815176492221</v>
      </c>
      <c r="AU12" s="61">
        <f t="shared" si="3"/>
        <v>22.121452141193778</v>
      </c>
      <c r="AV12" s="61">
        <f t="shared" si="3"/>
        <v>11.060726070596889</v>
      </c>
      <c r="AW12" s="52">
        <f t="shared" si="3"/>
        <v>8.8485808564775112</v>
      </c>
      <c r="AX12" s="52">
        <f t="shared" si="3"/>
        <v>7.3738173803979254</v>
      </c>
      <c r="AY12" s="52">
        <f t="shared" si="3"/>
        <v>6.3204148974839365</v>
      </c>
      <c r="AZ12" s="52">
        <f t="shared" si="3"/>
        <v>5.5303630352984445</v>
      </c>
    </row>
    <row r="13" spans="2:52" x14ac:dyDescent="0.3">
      <c r="B13" t="s">
        <v>67</v>
      </c>
      <c r="E13" s="85">
        <f>E12*0.17</f>
        <v>11.5175</v>
      </c>
      <c r="F13" s="6">
        <f t="shared" ref="F13:Y13" si="8">F12*0.17</f>
        <v>103.44500000000001</v>
      </c>
      <c r="G13" s="6">
        <f t="shared" si="8"/>
        <v>103.44500000000001</v>
      </c>
      <c r="H13" s="6">
        <f t="shared" si="8"/>
        <v>103.44500000000001</v>
      </c>
      <c r="I13" s="6">
        <f t="shared" si="8"/>
        <v>103.44500000000001</v>
      </c>
      <c r="J13" s="85">
        <f t="shared" si="8"/>
        <v>72.802500000000009</v>
      </c>
      <c r="K13" s="47">
        <f t="shared" si="8"/>
        <v>103.44500000000001</v>
      </c>
      <c r="L13" s="6">
        <f t="shared" si="8"/>
        <v>103.44500000000001</v>
      </c>
      <c r="M13" s="6">
        <f t="shared" si="8"/>
        <v>103.44500000000001</v>
      </c>
      <c r="N13" s="6">
        <f t="shared" si="8"/>
        <v>103.44500000000001</v>
      </c>
      <c r="O13" s="48">
        <f t="shared" si="8"/>
        <v>103.44500000000001</v>
      </c>
      <c r="P13" s="47">
        <f t="shared" si="8"/>
        <v>103.44500000000001</v>
      </c>
      <c r="Q13" s="6">
        <f t="shared" si="8"/>
        <v>103.44500000000001</v>
      </c>
      <c r="R13" s="6">
        <f t="shared" si="8"/>
        <v>103.44500000000001</v>
      </c>
      <c r="S13" s="6">
        <f t="shared" si="8"/>
        <v>103.44500000000001</v>
      </c>
      <c r="T13" s="48">
        <f t="shared" si="8"/>
        <v>103.44500000000001</v>
      </c>
      <c r="U13" s="47">
        <f t="shared" si="8"/>
        <v>103.44500000000001</v>
      </c>
      <c r="V13" s="6">
        <f t="shared" si="8"/>
        <v>103.44500000000001</v>
      </c>
      <c r="W13" s="6">
        <f t="shared" si="8"/>
        <v>103.44500000000001</v>
      </c>
      <c r="X13" s="6">
        <f t="shared" si="8"/>
        <v>103.44500000000001</v>
      </c>
      <c r="Y13" s="48">
        <f t="shared" si="8"/>
        <v>103.44500000000001</v>
      </c>
      <c r="AK13" s="100"/>
      <c r="AL13" s="60">
        <v>0.04</v>
      </c>
      <c r="AM13" s="57">
        <f t="shared" si="3"/>
        <v>114.72915451815867</v>
      </c>
      <c r="AN13" s="52">
        <f t="shared" si="3"/>
        <v>91.783323614526935</v>
      </c>
      <c r="AO13" s="52">
        <f t="shared" si="3"/>
        <v>76.486103012105787</v>
      </c>
      <c r="AP13" s="52">
        <f t="shared" si="3"/>
        <v>65.559516867519235</v>
      </c>
      <c r="AQ13" s="52">
        <f t="shared" si="3"/>
        <v>57.364577259079333</v>
      </c>
      <c r="AR13" s="52">
        <f t="shared" si="3"/>
        <v>45.891661807263468</v>
      </c>
      <c r="AS13" s="52">
        <f t="shared" si="3"/>
        <v>38.243051506052893</v>
      </c>
      <c r="AT13" s="52">
        <f t="shared" si="3"/>
        <v>28.682288629539666</v>
      </c>
      <c r="AU13" s="52">
        <f t="shared" si="3"/>
        <v>22.945830903631734</v>
      </c>
      <c r="AV13" s="52">
        <f t="shared" si="3"/>
        <v>11.472915451815867</v>
      </c>
      <c r="AW13" s="52">
        <f t="shared" si="3"/>
        <v>9.1783323614526928</v>
      </c>
      <c r="AX13" s="52">
        <f t="shared" si="3"/>
        <v>7.6486103012105771</v>
      </c>
      <c r="AY13" s="52">
        <f t="shared" si="3"/>
        <v>6.5559516867519241</v>
      </c>
      <c r="AZ13" s="52">
        <f t="shared" si="3"/>
        <v>5.7364577259079335</v>
      </c>
    </row>
    <row r="14" spans="2:52" x14ac:dyDescent="0.3">
      <c r="E14" s="1"/>
      <c r="F14" s="1"/>
      <c r="G14" s="1"/>
      <c r="H14" s="1"/>
      <c r="I14" s="1"/>
      <c r="J14" s="1"/>
      <c r="K14" s="37"/>
      <c r="P14" s="37"/>
      <c r="U14" s="37"/>
      <c r="Y14" s="43"/>
      <c r="AD14" t="s">
        <v>55</v>
      </c>
      <c r="AF14" s="6">
        <f>E34*22.5</f>
        <v>-13103.971175407411</v>
      </c>
      <c r="AK14" s="100"/>
      <c r="AL14" s="60">
        <v>4.4999999999999998E-2</v>
      </c>
      <c r="AM14" s="57">
        <f t="shared" si="3"/>
        <v>119.40063417197379</v>
      </c>
      <c r="AN14" s="52">
        <f t="shared" si="3"/>
        <v>95.520507337579033</v>
      </c>
      <c r="AO14" s="52">
        <f t="shared" si="3"/>
        <v>79.600422781315856</v>
      </c>
      <c r="AP14" s="52">
        <f t="shared" si="3"/>
        <v>68.228933812556448</v>
      </c>
      <c r="AQ14" s="52">
        <f t="shared" si="3"/>
        <v>59.700317085986896</v>
      </c>
      <c r="AR14" s="52">
        <f t="shared" si="3"/>
        <v>47.760253668789517</v>
      </c>
      <c r="AS14" s="52">
        <f t="shared" si="3"/>
        <v>39.800211390657928</v>
      </c>
      <c r="AT14" s="52">
        <f t="shared" si="3"/>
        <v>29.850158542993448</v>
      </c>
      <c r="AU14" s="52">
        <f t="shared" si="3"/>
        <v>23.880126834394758</v>
      </c>
      <c r="AV14" s="52">
        <f t="shared" si="3"/>
        <v>11.940063417197379</v>
      </c>
      <c r="AW14" s="52">
        <f t="shared" si="3"/>
        <v>9.5520507337579037</v>
      </c>
      <c r="AX14" s="52">
        <f t="shared" si="3"/>
        <v>7.9600422781315849</v>
      </c>
      <c r="AY14" s="52">
        <f t="shared" si="3"/>
        <v>6.8228933812556454</v>
      </c>
      <c r="AZ14" s="52">
        <f t="shared" si="3"/>
        <v>5.9700317085986896</v>
      </c>
    </row>
    <row r="15" spans="2:52" x14ac:dyDescent="0.3">
      <c r="B15" t="s">
        <v>1</v>
      </c>
      <c r="E15" s="7">
        <f>E7</f>
        <v>412.25</v>
      </c>
      <c r="F15" s="7">
        <f t="shared" ref="F15:Y15" si="9">F7</f>
        <v>1649</v>
      </c>
      <c r="G15" s="7">
        <f t="shared" si="9"/>
        <v>1649</v>
      </c>
      <c r="H15" s="7">
        <f t="shared" si="9"/>
        <v>1649</v>
      </c>
      <c r="I15" s="7">
        <f t="shared" si="9"/>
        <v>1649</v>
      </c>
      <c r="J15" s="7">
        <f t="shared" si="9"/>
        <v>1236.75</v>
      </c>
      <c r="K15" s="45">
        <f t="shared" si="9"/>
        <v>1649</v>
      </c>
      <c r="L15" s="7">
        <f t="shared" si="9"/>
        <v>1649</v>
      </c>
      <c r="M15" s="7">
        <f t="shared" si="9"/>
        <v>1649</v>
      </c>
      <c r="N15" s="7">
        <f t="shared" si="9"/>
        <v>1649</v>
      </c>
      <c r="O15" s="7">
        <f t="shared" si="9"/>
        <v>1649</v>
      </c>
      <c r="P15" s="45">
        <f t="shared" si="9"/>
        <v>1649</v>
      </c>
      <c r="Q15" s="7">
        <f t="shared" si="9"/>
        <v>1649</v>
      </c>
      <c r="R15" s="7">
        <f t="shared" si="9"/>
        <v>1649</v>
      </c>
      <c r="S15" s="7">
        <f t="shared" si="9"/>
        <v>1649</v>
      </c>
      <c r="T15" s="7">
        <f t="shared" si="9"/>
        <v>1649</v>
      </c>
      <c r="U15" s="45">
        <f t="shared" si="9"/>
        <v>1649</v>
      </c>
      <c r="V15" s="7">
        <f t="shared" si="9"/>
        <v>1649</v>
      </c>
      <c r="W15" s="7">
        <f t="shared" si="9"/>
        <v>1649</v>
      </c>
      <c r="X15" s="7">
        <f t="shared" si="9"/>
        <v>1649</v>
      </c>
      <c r="Y15" s="46">
        <f t="shared" si="9"/>
        <v>1649</v>
      </c>
      <c r="AD15" t="s">
        <v>56</v>
      </c>
      <c r="AF15" s="6">
        <f>E35*22.5</f>
        <v>16460.011887084675</v>
      </c>
      <c r="AK15" s="100"/>
      <c r="AL15" s="60">
        <v>0.05</v>
      </c>
      <c r="AM15" s="57">
        <f t="shared" si="3"/>
        <v>124.7394680620482</v>
      </c>
      <c r="AN15" s="52">
        <f t="shared" si="3"/>
        <v>99.79157444963856</v>
      </c>
      <c r="AO15" s="52">
        <f t="shared" si="3"/>
        <v>83.159645374698812</v>
      </c>
      <c r="AP15" s="52">
        <f t="shared" si="3"/>
        <v>71.279696035456126</v>
      </c>
      <c r="AQ15" s="52">
        <f t="shared" si="3"/>
        <v>62.369734031024102</v>
      </c>
      <c r="AR15" s="52">
        <f t="shared" si="3"/>
        <v>49.89578722481928</v>
      </c>
      <c r="AS15" s="52">
        <f t="shared" si="3"/>
        <v>41.579822687349406</v>
      </c>
      <c r="AT15" s="52">
        <f t="shared" si="3"/>
        <v>31.184867015512051</v>
      </c>
      <c r="AU15" s="52">
        <f t="shared" si="3"/>
        <v>24.94789361240964</v>
      </c>
      <c r="AV15" s="52">
        <f t="shared" si="3"/>
        <v>12.47394680620482</v>
      </c>
      <c r="AW15" s="52">
        <f t="shared" si="3"/>
        <v>9.9791574449638567</v>
      </c>
      <c r="AX15" s="52">
        <f t="shared" si="3"/>
        <v>8.3159645374698794</v>
      </c>
      <c r="AY15" s="52">
        <f t="shared" si="3"/>
        <v>7.1279696035456119</v>
      </c>
      <c r="AZ15" s="52">
        <f t="shared" si="3"/>
        <v>6.23697340310241</v>
      </c>
    </row>
    <row r="16" spans="2:52" x14ac:dyDescent="0.3">
      <c r="B16" t="s">
        <v>6</v>
      </c>
      <c r="E16" s="1">
        <v>1940</v>
      </c>
      <c r="F16" s="28">
        <v>0</v>
      </c>
      <c r="G16" s="5">
        <f>$E$16/-4</f>
        <v>-485</v>
      </c>
      <c r="H16" s="5">
        <f t="shared" ref="H16:J16" si="10">$E$16/-4</f>
        <v>-485</v>
      </c>
      <c r="I16" s="5">
        <f t="shared" si="10"/>
        <v>-485</v>
      </c>
      <c r="J16" s="5">
        <f t="shared" si="10"/>
        <v>-485</v>
      </c>
      <c r="K16" s="37">
        <v>1940</v>
      </c>
      <c r="L16">
        <v>0</v>
      </c>
      <c r="M16" s="5">
        <f>$K$16/-3</f>
        <v>-646.66666666666663</v>
      </c>
      <c r="N16" s="5">
        <f t="shared" ref="N16:O16" si="11">$K$16/-3</f>
        <v>-646.66666666666663</v>
      </c>
      <c r="O16" s="5">
        <f t="shared" si="11"/>
        <v>-646.66666666666663</v>
      </c>
      <c r="P16" s="37">
        <v>1940</v>
      </c>
      <c r="Q16">
        <v>0</v>
      </c>
      <c r="R16" s="5">
        <f>$K$16/-3</f>
        <v>-646.66666666666663</v>
      </c>
      <c r="S16" s="5">
        <f t="shared" ref="S16:T16" si="12">$K$16/-3</f>
        <v>-646.66666666666663</v>
      </c>
      <c r="T16" s="5">
        <f t="shared" si="12"/>
        <v>-646.66666666666663</v>
      </c>
      <c r="U16" s="37">
        <v>1940</v>
      </c>
      <c r="V16">
        <v>0</v>
      </c>
      <c r="W16" s="5">
        <f>$K$16/-3</f>
        <v>-646.66666666666663</v>
      </c>
      <c r="X16" s="5">
        <f t="shared" ref="X16:Y16" si="13">$K$16/-3</f>
        <v>-646.66666666666663</v>
      </c>
      <c r="Y16" s="44">
        <f t="shared" si="13"/>
        <v>-646.66666666666663</v>
      </c>
      <c r="AD16" t="s">
        <v>63</v>
      </c>
      <c r="AF16" s="1">
        <f>Z32</f>
        <v>18641.884235325091</v>
      </c>
    </row>
    <row r="17" spans="2:52" x14ac:dyDescent="0.3">
      <c r="B17" t="s">
        <v>7</v>
      </c>
      <c r="E17" s="5">
        <f>-3000*0.75</f>
        <v>-2250</v>
      </c>
      <c r="F17" s="5">
        <f>-3000*0.25</f>
        <v>-750</v>
      </c>
      <c r="G17" s="1"/>
      <c r="H17" s="1"/>
      <c r="I17" s="1"/>
      <c r="J17" s="1"/>
      <c r="K17" s="37"/>
      <c r="P17" s="37"/>
      <c r="U17" s="37"/>
      <c r="Y17" s="43"/>
      <c r="AA17" s="97" t="s">
        <v>16</v>
      </c>
      <c r="AB17" s="97"/>
      <c r="AC17" s="97"/>
      <c r="AD17" t="s">
        <v>72</v>
      </c>
      <c r="AF17" s="6">
        <f>SUM(AF15:AF16)</f>
        <v>35101.896122409766</v>
      </c>
    </row>
    <row r="18" spans="2:52" x14ac:dyDescent="0.3">
      <c r="B18" t="s">
        <v>8</v>
      </c>
      <c r="E18" s="5">
        <f>-5800*0.75</f>
        <v>-4350</v>
      </c>
      <c r="F18" s="5">
        <f>-5800*0.25</f>
        <v>-1450</v>
      </c>
      <c r="G18" s="1"/>
      <c r="H18" s="1"/>
      <c r="I18" s="1"/>
      <c r="J18" s="1"/>
      <c r="K18" s="38">
        <f>-5800</f>
        <v>-5800</v>
      </c>
      <c r="P18" s="38">
        <f>-5800</f>
        <v>-5800</v>
      </c>
      <c r="U18" s="38">
        <f>-5800</f>
        <v>-5800</v>
      </c>
      <c r="Y18" s="43"/>
      <c r="AA18" s="97" t="s">
        <v>66</v>
      </c>
      <c r="AB18" s="97"/>
      <c r="AC18" s="97"/>
    </row>
    <row r="19" spans="2:52" x14ac:dyDescent="0.3">
      <c r="B19" t="s">
        <v>9</v>
      </c>
      <c r="E19" s="1"/>
      <c r="F19" s="5">
        <f>-0.5*200</f>
        <v>-100</v>
      </c>
      <c r="G19" s="5">
        <f t="shared" ref="G19:Y19" si="14">-0.5*200</f>
        <v>-100</v>
      </c>
      <c r="H19" s="5">
        <f t="shared" si="14"/>
        <v>-100</v>
      </c>
      <c r="I19" s="5">
        <f t="shared" si="14"/>
        <v>-100</v>
      </c>
      <c r="J19" s="5">
        <f t="shared" si="14"/>
        <v>-100</v>
      </c>
      <c r="K19" s="38">
        <f t="shared" si="14"/>
        <v>-100</v>
      </c>
      <c r="L19" s="5">
        <f t="shared" si="14"/>
        <v>-100</v>
      </c>
      <c r="M19" s="5">
        <f t="shared" si="14"/>
        <v>-100</v>
      </c>
      <c r="N19" s="5">
        <f t="shared" si="14"/>
        <v>-100</v>
      </c>
      <c r="O19" s="5">
        <f t="shared" si="14"/>
        <v>-100</v>
      </c>
      <c r="P19" s="38">
        <f t="shared" si="14"/>
        <v>-100</v>
      </c>
      <c r="Q19" s="5">
        <f t="shared" si="14"/>
        <v>-100</v>
      </c>
      <c r="R19" s="5">
        <f t="shared" si="14"/>
        <v>-100</v>
      </c>
      <c r="S19" s="5">
        <f t="shared" si="14"/>
        <v>-100</v>
      </c>
      <c r="T19" s="5">
        <f t="shared" si="14"/>
        <v>-100</v>
      </c>
      <c r="U19" s="38">
        <f t="shared" si="14"/>
        <v>-100</v>
      </c>
      <c r="V19" s="5">
        <f t="shared" si="14"/>
        <v>-100</v>
      </c>
      <c r="W19" s="5">
        <f t="shared" si="14"/>
        <v>-100</v>
      </c>
      <c r="X19" s="5">
        <f t="shared" si="14"/>
        <v>-100</v>
      </c>
      <c r="Y19" s="44">
        <f t="shared" si="14"/>
        <v>-100</v>
      </c>
      <c r="AA19" s="97" t="s">
        <v>31</v>
      </c>
      <c r="AB19" s="97"/>
      <c r="AC19" s="97"/>
      <c r="AD19" t="s">
        <v>57</v>
      </c>
      <c r="AF19">
        <v>46.15</v>
      </c>
      <c r="AM19" s="99" t="s">
        <v>61</v>
      </c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</row>
    <row r="20" spans="2:52" ht="14.4" customHeight="1" x14ac:dyDescent="0.3">
      <c r="B20" t="s">
        <v>10</v>
      </c>
      <c r="E20" s="1"/>
      <c r="F20" s="1"/>
      <c r="G20" s="1"/>
      <c r="H20" s="1"/>
      <c r="I20" s="1"/>
      <c r="J20" s="1">
        <f>(E18+F18)*-0.2</f>
        <v>1160</v>
      </c>
      <c r="K20" s="37"/>
      <c r="O20" s="1">
        <f>K18*-0.2</f>
        <v>1160</v>
      </c>
      <c r="P20" s="37"/>
      <c r="T20" s="1">
        <f>P18*-0.2</f>
        <v>1160</v>
      </c>
      <c r="U20" s="37"/>
      <c r="Y20" s="41">
        <f>U18*-0.2</f>
        <v>1160</v>
      </c>
      <c r="AA20" s="1"/>
      <c r="AD20" t="s">
        <v>58</v>
      </c>
      <c r="AF20">
        <v>331.44</v>
      </c>
      <c r="AH20" s="97" t="s">
        <v>59</v>
      </c>
      <c r="AI20" s="97"/>
      <c r="AJ20" s="97"/>
      <c r="AK20" s="96" t="s">
        <v>75</v>
      </c>
      <c r="AM20" s="54">
        <v>1</v>
      </c>
      <c r="AN20" s="56">
        <v>1.25</v>
      </c>
      <c r="AO20" s="67">
        <v>1.5</v>
      </c>
      <c r="AP20" s="56">
        <v>1.75</v>
      </c>
      <c r="AQ20" s="54">
        <v>2</v>
      </c>
      <c r="AR20" s="54">
        <v>2.5</v>
      </c>
      <c r="AS20" s="54">
        <v>3</v>
      </c>
      <c r="AT20" s="54">
        <v>4</v>
      </c>
      <c r="AU20" s="54">
        <v>5</v>
      </c>
      <c r="AV20" s="54">
        <v>10</v>
      </c>
      <c r="AW20" s="69">
        <v>12.5</v>
      </c>
      <c r="AX20" s="70">
        <v>15</v>
      </c>
      <c r="AY20" s="69">
        <v>17.5</v>
      </c>
      <c r="AZ20" s="70">
        <v>20</v>
      </c>
    </row>
    <row r="21" spans="2:52" x14ac:dyDescent="0.3">
      <c r="E21" s="1"/>
      <c r="F21" s="1"/>
      <c r="G21" s="1"/>
      <c r="H21" s="1"/>
      <c r="I21" s="1"/>
      <c r="J21" s="1"/>
      <c r="K21" s="37"/>
      <c r="P21" s="37"/>
      <c r="U21" s="37"/>
      <c r="Y21" s="43"/>
      <c r="AD21" t="s">
        <v>60</v>
      </c>
      <c r="AF21" s="1">
        <f>AF19*AF20</f>
        <v>15295.956</v>
      </c>
      <c r="AK21" s="96"/>
      <c r="AL21" s="63">
        <v>0.08</v>
      </c>
      <c r="AM21" s="64" cm="1">
        <f t="array" ref="AM21">(SUMPRODUCT($E$29:$Y$29/((1+$AL21)^($E$4:$Y$4-YEAR($C$2)+0.5)))*22.5+((843*1.025/($AL21-0.025))*22.5)/((1+$AL21)^($Z$4-YEAR($C$2)+0.5)))/($AF$20*AM$20)</f>
        <v>295.07858440191097</v>
      </c>
      <c r="AN21" s="62" cm="1">
        <f t="array" ref="AN21">(SUMPRODUCT($E$29:$Y$29/((1+$AL21)^($E$4:$Y$4-YEAR($C$2)+0.5)))*22.5+((843*1.025/($AL21-0.025))*22.5)/((1+$AL21)^($Z$4-YEAR($C$2)+0.5)))/($AF$20*AN$20)</f>
        <v>236.06286752152874</v>
      </c>
      <c r="AO21" s="62" cm="1">
        <f t="array" ref="AO21">(SUMPRODUCT($E$29:$Y$29/((1+$AL21)^($E$4:$Y$4-YEAR($C$2)+0.5)))*22.5+((843*1.025/($AL21-0.025))*22.5)/((1+$AL21)^($Z$4-YEAR($C$2)+0.5)))/($AF$20*AO$20)</f>
        <v>196.71905626794066</v>
      </c>
      <c r="AP21" s="62" cm="1">
        <f t="array" ref="AP21">(SUMPRODUCT($E$29:$Y$29/((1+$AL21)^($E$4:$Y$4-YEAR($C$2)+0.5)))*22.5+((843*1.025/($AL21-0.025))*22.5)/((1+$AL21)^($Z$4-YEAR($C$2)+0.5)))/($AF$20*AP$20)</f>
        <v>168.61633394394912</v>
      </c>
      <c r="AQ21" s="62" cm="1">
        <f t="array" ref="AQ21">(SUMPRODUCT($E$29:$Y$29/((1+$AL21)^($E$4:$Y$4-YEAR($C$2)+0.5)))*22.5+((843*1.025/($AL21-0.025))*22.5)/((1+$AL21)^($Z$4-YEAR($C$2)+0.5)))/($AF$20*AQ$20)</f>
        <v>147.53929220095549</v>
      </c>
      <c r="AR21" s="62" cm="1">
        <f t="array" ref="AR21">(SUMPRODUCT($E$29:$Y$29/((1+$AL21)^($E$4:$Y$4-YEAR($C$2)+0.5)))*22.5+((843*1.025/($AL21-0.025))*22.5)/((1+$AL21)^($Z$4-YEAR($C$2)+0.5)))/($AF$20*AR$20)</f>
        <v>118.03143376076437</v>
      </c>
      <c r="AS21" s="62" cm="1">
        <f t="array" ref="AS21">(SUMPRODUCT($E$29:$Y$29/((1+$AL21)^($E$4:$Y$4-YEAR($C$2)+0.5)))*22.5+((843*1.025/($AL21-0.025))*22.5)/((1+$AL21)^($Z$4-YEAR($C$2)+0.5)))/($AF$20*AS$20)</f>
        <v>98.359528133970329</v>
      </c>
      <c r="AT21" s="62" cm="1">
        <f t="array" ref="AT21">(SUMPRODUCT($E$29:$Y$29/((1+$AL21)^($E$4:$Y$4-YEAR($C$2)+0.5)))*22.5+((843*1.025/($AL21-0.025))*22.5)/((1+$AL21)^($Z$4-YEAR($C$2)+0.5)))/($AF$20*AT$20)</f>
        <v>73.769646100477743</v>
      </c>
      <c r="AU21" s="62" cm="1">
        <f t="array" ref="AU21">(SUMPRODUCT($E$29:$Y$29/((1+$AL21)^($E$4:$Y$4-YEAR($C$2)+0.5)))*22.5+((843*1.025/($AL21-0.025))*22.5)/((1+$AL21)^($Z$4-YEAR($C$2)+0.5)))/($AF$20*AU$20)</f>
        <v>59.015716880382186</v>
      </c>
      <c r="AV21" s="62" cm="1">
        <f t="array" ref="AV21">(SUMPRODUCT($E$29:$Y$29/((1+$AL21)^($E$4:$Y$4-YEAR($C$2)+0.5)))*22.5+((843*1.025/($AL21-0.025))*22.5)/((1+$AL21)^($Z$4-YEAR($C$2)+0.5)))/($AF$20*AV$20)</f>
        <v>29.507858440191093</v>
      </c>
      <c r="AW21" s="62" cm="1">
        <f t="array" ref="AW21">(SUMPRODUCT($E$29:$Y$29/((1+$AL21)^($E$4:$Y$4-YEAR($C$2)+0.5)))*22.5+((843*1.025/($AL21-0.025))*22.5)/((1+$AL21)^($Z$4-YEAR($C$2)+0.5)))/($AF$20*AW$20)</f>
        <v>23.606286752152876</v>
      </c>
      <c r="AX21" s="62" cm="1">
        <f t="array" ref="AX21">(SUMPRODUCT($E$29:$Y$29/((1+$AL21)^($E$4:$Y$4-YEAR($C$2)+0.5)))*22.5+((843*1.025/($AL21-0.025))*22.5)/((1+$AL21)^($Z$4-YEAR($C$2)+0.5)))/($AF$20*AX$20)</f>
        <v>19.671905626794061</v>
      </c>
      <c r="AY21" s="62" cm="1">
        <f t="array" ref="AY21">(SUMPRODUCT($E$29:$Y$29/((1+$AL21)^($E$4:$Y$4-YEAR($C$2)+0.5)))*22.5+((843*1.025/($AL21-0.025))*22.5)/((1+$AL21)^($Z$4-YEAR($C$2)+0.5)))/($AF$20*AY$20)</f>
        <v>16.861633394394911</v>
      </c>
      <c r="AZ21" s="62" cm="1">
        <f t="array" ref="AZ21">(SUMPRODUCT($E$29:$Y$29/((1+$AL21)^($E$4:$Y$4-YEAR($C$2)+0.5)))*22.5+((843*1.025/($AL21-0.025))*22.5)/((1+$AL21)^($Z$4-YEAR($C$2)+0.5)))/($AF$20*AZ$20)</f>
        <v>14.753929220095547</v>
      </c>
    </row>
    <row r="22" spans="2:52" x14ac:dyDescent="0.3">
      <c r="E22" s="1"/>
      <c r="F22" s="1"/>
      <c r="G22" s="1"/>
      <c r="H22" s="1"/>
      <c r="I22" s="1"/>
      <c r="J22" s="1"/>
      <c r="K22" s="37"/>
      <c r="P22" s="37"/>
      <c r="U22" s="37"/>
      <c r="Y22" s="43"/>
      <c r="AK22" s="96"/>
      <c r="AL22" s="63">
        <v>0.09</v>
      </c>
      <c r="AM22" s="65" cm="1">
        <f t="array" ref="AM22">(SUMPRODUCT($E$29:$Y$29/((1+$AL22)^($E$4:$Y$4-YEAR($C$2)+0.5)))*22.5+((843*1.025/($AL22-0.025))*22.5)/((1+$AL22)^($Z$4-YEAR($C$2)+0.5)))/($AF$20*AM$20)</f>
        <v>220.64151120882147</v>
      </c>
      <c r="AN22" s="52" cm="1">
        <f t="array" ref="AN22">(SUMPRODUCT($E$29:$Y$29/((1+$AL22)^($E$4:$Y$4-YEAR($C$2)+0.5)))*22.5+((843*1.025/($AL22-0.025))*22.5)/((1+$AL22)^($Z$4-YEAR($C$2)+0.5)))/($AF$20*AN$20)</f>
        <v>176.51320896705718</v>
      </c>
      <c r="AO22" s="52" cm="1">
        <f t="array" ref="AO22">(SUMPRODUCT($E$29:$Y$29/((1+$AL22)^($E$4:$Y$4-YEAR($C$2)+0.5)))*22.5+((843*1.025/($AL22-0.025))*22.5)/((1+$AL22)^($Z$4-YEAR($C$2)+0.5)))/($AF$20*AO$20)</f>
        <v>147.09434080588099</v>
      </c>
      <c r="AP22" s="52" cm="1">
        <f t="array" ref="AP22">(SUMPRODUCT($E$29:$Y$29/((1+$AL22)^($E$4:$Y$4-YEAR($C$2)+0.5)))*22.5+((843*1.025/($AL22-0.025))*22.5)/((1+$AL22)^($Z$4-YEAR($C$2)+0.5)))/($AF$20*AP$20)</f>
        <v>126.08086354789799</v>
      </c>
      <c r="AQ22" s="52" cm="1">
        <f t="array" ref="AQ22">(SUMPRODUCT($E$29:$Y$29/((1+$AL22)^($E$4:$Y$4-YEAR($C$2)+0.5)))*22.5+((843*1.025/($AL22-0.025))*22.5)/((1+$AL22)^($Z$4-YEAR($C$2)+0.5)))/($AF$20*AQ$20)</f>
        <v>110.32075560441073</v>
      </c>
      <c r="AR22" s="52" cm="1">
        <f t="array" ref="AR22">(SUMPRODUCT($E$29:$Y$29/((1+$AL22)^($E$4:$Y$4-YEAR($C$2)+0.5)))*22.5+((843*1.025/($AL22-0.025))*22.5)/((1+$AL22)^($Z$4-YEAR($C$2)+0.5)))/($AF$20*AR$20)</f>
        <v>88.256604483528591</v>
      </c>
      <c r="AS22" s="52" cm="1">
        <f t="array" ref="AS22">(SUMPRODUCT($E$29:$Y$29/((1+$AL22)^($E$4:$Y$4-YEAR($C$2)+0.5)))*22.5+((843*1.025/($AL22-0.025))*22.5)/((1+$AL22)^($Z$4-YEAR($C$2)+0.5)))/($AF$20*AS$20)</f>
        <v>73.547170402940495</v>
      </c>
      <c r="AT22" s="52" cm="1">
        <f t="array" ref="AT22">(SUMPRODUCT($E$29:$Y$29/((1+$AL22)^($E$4:$Y$4-YEAR($C$2)+0.5)))*22.5+((843*1.025/($AL22-0.025))*22.5)/((1+$AL22)^($Z$4-YEAR($C$2)+0.5)))/($AF$20*AT$20)</f>
        <v>55.160377802205367</v>
      </c>
      <c r="AU22" s="52" cm="1">
        <f t="array" ref="AU22">(SUMPRODUCT($E$29:$Y$29/((1+$AL22)^($E$4:$Y$4-YEAR($C$2)+0.5)))*22.5+((843*1.025/($AL22-0.025))*22.5)/((1+$AL22)^($Z$4-YEAR($C$2)+0.5)))/($AF$20*AU$20)</f>
        <v>44.128302241764295</v>
      </c>
      <c r="AV22" s="52" cm="1">
        <f t="array" ref="AV22">(SUMPRODUCT($E$29:$Y$29/((1+$AL22)^($E$4:$Y$4-YEAR($C$2)+0.5)))*22.5+((843*1.025/($AL22-0.025))*22.5)/((1+$AL22)^($Z$4-YEAR($C$2)+0.5)))/($AF$20*AV$20)</f>
        <v>22.064151120882148</v>
      </c>
      <c r="AW22" s="52" cm="1">
        <f t="array" ref="AW22">(SUMPRODUCT($E$29:$Y$29/((1+$AL22)^($E$4:$Y$4-YEAR($C$2)+0.5)))*22.5+((843*1.025/($AL22-0.025))*22.5)/((1+$AL22)^($Z$4-YEAR($C$2)+0.5)))/($AF$20*AW$20)</f>
        <v>17.65132089670572</v>
      </c>
      <c r="AX22" s="52" cm="1">
        <f t="array" ref="AX22">(SUMPRODUCT($E$29:$Y$29/((1+$AL22)^($E$4:$Y$4-YEAR($C$2)+0.5)))*22.5+((843*1.025/($AL22-0.025))*22.5)/((1+$AL22)^($Z$4-YEAR($C$2)+0.5)))/($AF$20*AX$20)</f>
        <v>14.709434080588098</v>
      </c>
      <c r="AY22" s="52" cm="1">
        <f t="array" ref="AY22">(SUMPRODUCT($E$29:$Y$29/((1+$AL22)^($E$4:$Y$4-YEAR($C$2)+0.5)))*22.5+((843*1.025/($AL22-0.025))*22.5)/((1+$AL22)^($Z$4-YEAR($C$2)+0.5)))/($AF$20*AY$20)</f>
        <v>12.608086354789799</v>
      </c>
      <c r="AZ22" s="52" cm="1">
        <f t="array" ref="AZ22">(SUMPRODUCT($E$29:$Y$29/((1+$AL22)^($E$4:$Y$4-YEAR($C$2)+0.5)))*22.5+((843*1.025/($AL22-0.025))*22.5)/((1+$AL22)^($Z$4-YEAR($C$2)+0.5)))/($AF$20*AZ$20)</f>
        <v>11.032075560441074</v>
      </c>
    </row>
    <row r="23" spans="2:52" x14ac:dyDescent="0.3">
      <c r="B23" s="16" t="s">
        <v>12</v>
      </c>
      <c r="C23" s="17"/>
      <c r="D23" s="17"/>
      <c r="E23" s="18">
        <f>E15+E16+E17+E18-E13</f>
        <v>-4259.2674999999999</v>
      </c>
      <c r="F23" s="18">
        <f>SUM(F15:F19)-F13</f>
        <v>-754.44500000000005</v>
      </c>
      <c r="G23" s="18">
        <f>G15+G16+G19-G13</f>
        <v>960.55499999999995</v>
      </c>
      <c r="H23" s="18">
        <f>H15+H16+H19-H13</f>
        <v>960.55499999999995</v>
      </c>
      <c r="I23" s="18">
        <f>I15+I16+I19-I13</f>
        <v>960.55499999999995</v>
      </c>
      <c r="J23" s="18">
        <f>J15+J19+J16+J20+-J13</f>
        <v>1738.9475</v>
      </c>
      <c r="K23" s="18">
        <f>K15+K16+K18+K19-K13</f>
        <v>-2414.4450000000002</v>
      </c>
      <c r="L23" s="18">
        <f>L15+L16+L19-L13</f>
        <v>1445.5550000000001</v>
      </c>
      <c r="M23" s="18">
        <f t="shared" ref="M23:N23" si="15">M15+M16+M19-M13</f>
        <v>798.88833333333332</v>
      </c>
      <c r="N23" s="18">
        <f t="shared" si="15"/>
        <v>798.88833333333332</v>
      </c>
      <c r="O23" s="18">
        <f>O15+O16+O19+O20-O13</f>
        <v>1958.8883333333335</v>
      </c>
      <c r="P23" s="18">
        <f>P15+P16+P18+P19-P13</f>
        <v>-2414.4450000000002</v>
      </c>
      <c r="Q23" s="18">
        <f>Q15+Q16+Q19-Q13</f>
        <v>1445.5550000000001</v>
      </c>
      <c r="R23" s="18">
        <f t="shared" ref="R23:S23" si="16">R15+R16+R19-R13</f>
        <v>798.88833333333332</v>
      </c>
      <c r="S23" s="18">
        <f t="shared" si="16"/>
        <v>798.88833333333332</v>
      </c>
      <c r="T23" s="18">
        <f>T15+T16+T19+T20-T13</f>
        <v>1958.8883333333335</v>
      </c>
      <c r="U23" s="18">
        <f>U15+U16+U18+U19-U13</f>
        <v>-2414.4450000000002</v>
      </c>
      <c r="V23" s="18">
        <f>V15+V16+V19-V13</f>
        <v>1445.5550000000001</v>
      </c>
      <c r="W23" s="18">
        <f t="shared" ref="W23:X23" si="17">W15+W16+W19-W13</f>
        <v>798.88833333333332</v>
      </c>
      <c r="X23" s="18">
        <f t="shared" si="17"/>
        <v>798.88833333333332</v>
      </c>
      <c r="Y23" s="19">
        <f>Y15+Y16+Y19+Y20-Y13</f>
        <v>1958.8883333333335</v>
      </c>
      <c r="AA23" s="5"/>
      <c r="AD23" t="s">
        <v>45</v>
      </c>
      <c r="AF23" s="1">
        <f>AF6</f>
        <v>152990</v>
      </c>
      <c r="AK23" s="96"/>
      <c r="AL23" s="63">
        <v>0.1</v>
      </c>
      <c r="AM23" s="65" cm="1">
        <f t="array" ref="AM23">(SUMPRODUCT($E$29:$Y$29/((1+$AL23)^($E$4:$Y$4-YEAR($C$2)+0.5)))*22.5+((843*1.025/($AL23-0.025))*22.5)/((1+$AL23)^($Z$4-YEAR($C$2)+0.5)))/($AF$20*AM$20)</f>
        <v>169.05475911195936</v>
      </c>
      <c r="AN23" s="52" cm="1">
        <f t="array" ref="AN23">(SUMPRODUCT($E$29:$Y$29/((1+$AL23)^($E$4:$Y$4-YEAR($C$2)+0.5)))*22.5+((843*1.025/($AL23-0.025))*22.5)/((1+$AL23)^($Z$4-YEAR($C$2)+0.5)))/($AF$20*AN$20)</f>
        <v>135.24380728956748</v>
      </c>
      <c r="AO23" s="52" cm="1">
        <f t="array" ref="AO23">(SUMPRODUCT($E$29:$Y$29/((1+$AL23)^($E$4:$Y$4-YEAR($C$2)+0.5)))*22.5+((843*1.025/($AL23-0.025))*22.5)/((1+$AL23)^($Z$4-YEAR($C$2)+0.5)))/($AF$20*AO$20)</f>
        <v>112.70317274130625</v>
      </c>
      <c r="AP23" s="52" cm="1">
        <f t="array" ref="AP23">(SUMPRODUCT($E$29:$Y$29/((1+$AL23)^($E$4:$Y$4-YEAR($C$2)+0.5)))*22.5+((843*1.025/($AL23-0.025))*22.5)/((1+$AL23)^($Z$4-YEAR($C$2)+0.5)))/($AF$20*AP$20)</f>
        <v>96.602719492548204</v>
      </c>
      <c r="AQ23" s="52" cm="1">
        <f t="array" ref="AQ23">(SUMPRODUCT($E$29:$Y$29/((1+$AL23)^($E$4:$Y$4-YEAR($C$2)+0.5)))*22.5+((843*1.025/($AL23-0.025))*22.5)/((1+$AL23)^($Z$4-YEAR($C$2)+0.5)))/($AF$20*AQ$20)</f>
        <v>84.527379555979678</v>
      </c>
      <c r="AR23" s="52" cm="1">
        <f t="array" ref="AR23">(SUMPRODUCT($E$29:$Y$29/((1+$AL23)^($E$4:$Y$4-YEAR($C$2)+0.5)))*22.5+((843*1.025/($AL23-0.025))*22.5)/((1+$AL23)^($Z$4-YEAR($C$2)+0.5)))/($AF$20*AR$20)</f>
        <v>67.621903644783742</v>
      </c>
      <c r="AS23" s="52" cm="1">
        <f t="array" ref="AS23">(SUMPRODUCT($E$29:$Y$29/((1+$AL23)^($E$4:$Y$4-YEAR($C$2)+0.5)))*22.5+((843*1.025/($AL23-0.025))*22.5)/((1+$AL23)^($Z$4-YEAR($C$2)+0.5)))/($AF$20*AS$20)</f>
        <v>56.351586370653123</v>
      </c>
      <c r="AT23" s="52" cm="1">
        <f t="array" ref="AT23">(SUMPRODUCT($E$29:$Y$29/((1+$AL23)^($E$4:$Y$4-YEAR($C$2)+0.5)))*22.5+((843*1.025/($AL23-0.025))*22.5)/((1+$AL23)^($Z$4-YEAR($C$2)+0.5)))/($AF$20*AT$20)</f>
        <v>42.263689777989839</v>
      </c>
      <c r="AU23" s="52" cm="1">
        <f t="array" ref="AU23">(SUMPRODUCT($E$29:$Y$29/((1+$AL23)^($E$4:$Y$4-YEAR($C$2)+0.5)))*22.5+((843*1.025/($AL23-0.025))*22.5)/((1+$AL23)^($Z$4-YEAR($C$2)+0.5)))/($AF$20*AU$20)</f>
        <v>33.810951822391871</v>
      </c>
      <c r="AV23" s="52" cm="1">
        <f t="array" ref="AV23">(SUMPRODUCT($E$29:$Y$29/((1+$AL23)^($E$4:$Y$4-YEAR($C$2)+0.5)))*22.5+((843*1.025/($AL23-0.025))*22.5)/((1+$AL23)^($Z$4-YEAR($C$2)+0.5)))/($AF$20*AV$20)</f>
        <v>16.905475911195936</v>
      </c>
      <c r="AW23" s="52" cm="1">
        <f t="array" ref="AW23">(SUMPRODUCT($E$29:$Y$29/((1+$AL23)^($E$4:$Y$4-YEAR($C$2)+0.5)))*22.5+((843*1.025/($AL23-0.025))*22.5)/((1+$AL23)^($Z$4-YEAR($C$2)+0.5)))/($AF$20*AW$20)</f>
        <v>13.524380728956748</v>
      </c>
      <c r="AX23" s="52" cm="1">
        <f t="array" ref="AX23">(SUMPRODUCT($E$29:$Y$29/((1+$AL23)^($E$4:$Y$4-YEAR($C$2)+0.5)))*22.5+((843*1.025/($AL23-0.025))*22.5)/((1+$AL23)^($Z$4-YEAR($C$2)+0.5)))/($AF$20*AX$20)</f>
        <v>11.270317274130623</v>
      </c>
      <c r="AY23" s="52" cm="1">
        <f t="array" ref="AY23">(SUMPRODUCT($E$29:$Y$29/((1+$AL23)^($E$4:$Y$4-YEAR($C$2)+0.5)))*22.5+((843*1.025/($AL23-0.025))*22.5)/((1+$AL23)^($Z$4-YEAR($C$2)+0.5)))/($AF$20*AY$20)</f>
        <v>9.6602719492548204</v>
      </c>
      <c r="AZ23" s="52" cm="1">
        <f t="array" ref="AZ23">(SUMPRODUCT($E$29:$Y$29/((1+$AL23)^($E$4:$Y$4-YEAR($C$2)+0.5)))*22.5+((843*1.025/($AL23-0.025))*22.5)/((1+$AL23)^($Z$4-YEAR($C$2)+0.5)))/($AF$20*AZ$20)</f>
        <v>8.4527379555979678</v>
      </c>
    </row>
    <row r="24" spans="2:52" x14ac:dyDescent="0.3">
      <c r="K24" s="37"/>
      <c r="P24" s="37"/>
      <c r="U24" s="37"/>
      <c r="Y24" s="43"/>
      <c r="AD24" t="s">
        <v>61</v>
      </c>
      <c r="AF24" s="54">
        <v>3</v>
      </c>
      <c r="AK24" s="96"/>
      <c r="AL24" s="63">
        <v>0.11</v>
      </c>
      <c r="AM24" s="65" cm="1">
        <f t="array" ref="AM24">(SUMPRODUCT($E$29:$Y$29/((1+$AL24)^($E$4:$Y$4-YEAR($C$2)+0.5)))*22.5+((843*1.025/($AL24-0.025))*22.5)/((1+$AL24)^($Z$4-YEAR($C$2)+0.5)))/($AF$20*AM$20)</f>
        <v>131.6903091053662</v>
      </c>
      <c r="AN24" s="52" cm="1">
        <f t="array" ref="AN24">(SUMPRODUCT($E$29:$Y$29/((1+$AL24)^($E$4:$Y$4-YEAR($C$2)+0.5)))*22.5+((843*1.025/($AL24-0.025))*22.5)/((1+$AL24)^($Z$4-YEAR($C$2)+0.5)))/($AF$20*AN$20)</f>
        <v>105.35224728429294</v>
      </c>
      <c r="AO24" s="52" cm="1">
        <f t="array" ref="AO24">(SUMPRODUCT($E$29:$Y$29/((1+$AL24)^($E$4:$Y$4-YEAR($C$2)+0.5)))*22.5+((843*1.025/($AL24-0.025))*22.5)/((1+$AL24)^($Z$4-YEAR($C$2)+0.5)))/($AF$20*AO$20)</f>
        <v>87.793539403577469</v>
      </c>
      <c r="AP24" s="52" cm="1">
        <f t="array" ref="AP24">(SUMPRODUCT($E$29:$Y$29/((1+$AL24)^($E$4:$Y$4-YEAR($C$2)+0.5)))*22.5+((843*1.025/($AL24-0.025))*22.5)/((1+$AL24)^($Z$4-YEAR($C$2)+0.5)))/($AF$20*AP$20)</f>
        <v>75.25160520306639</v>
      </c>
      <c r="AQ24" s="61" cm="1">
        <f t="array" ref="AQ24">(SUMPRODUCT($E$29:$Y$29/((1+$AL24)^($E$4:$Y$4-YEAR($C$2)+0.5)))*22.5+((843*1.025/($AL24-0.025))*22.5)/((1+$AL24)^($Z$4-YEAR($C$2)+0.5)))/($AF$20*AQ$20)</f>
        <v>65.845154552683098</v>
      </c>
      <c r="AR24" s="61" cm="1">
        <f t="array" ref="AR24">(SUMPRODUCT($E$29:$Y$29/((1+$AL24)^($E$4:$Y$4-YEAR($C$2)+0.5)))*22.5+((843*1.025/($AL24-0.025))*22.5)/((1+$AL24)^($Z$4-YEAR($C$2)+0.5)))/($AF$20*AR$20)</f>
        <v>52.676123642146472</v>
      </c>
      <c r="AS24" s="61" cm="1">
        <f t="array" ref="AS24">(SUMPRODUCT($E$29:$Y$29/((1+$AL24)^($E$4:$Y$4-YEAR($C$2)+0.5)))*22.5+((843*1.025/($AL24-0.025))*22.5)/((1+$AL24)^($Z$4-YEAR($C$2)+0.5)))/($AF$20*AS$20)</f>
        <v>43.896769701788735</v>
      </c>
      <c r="AT24" s="61" cm="1">
        <f t="array" ref="AT24">(SUMPRODUCT($E$29:$Y$29/((1+$AL24)^($E$4:$Y$4-YEAR($C$2)+0.5)))*22.5+((843*1.025/($AL24-0.025))*22.5)/((1+$AL24)^($Z$4-YEAR($C$2)+0.5)))/($AF$20*AT$20)</f>
        <v>32.922577276341549</v>
      </c>
      <c r="AU24" s="61" cm="1">
        <f t="array" ref="AU24">(SUMPRODUCT($E$29:$Y$29/((1+$AL24)^($E$4:$Y$4-YEAR($C$2)+0.5)))*22.5+((843*1.025/($AL24-0.025))*22.5)/((1+$AL24)^($Z$4-YEAR($C$2)+0.5)))/($AF$20*AU$20)</f>
        <v>26.338061821073236</v>
      </c>
      <c r="AV24" s="61" cm="1">
        <f t="array" ref="AV24">(SUMPRODUCT($E$29:$Y$29/((1+$AL24)^($E$4:$Y$4-YEAR($C$2)+0.5)))*22.5+((843*1.025/($AL24-0.025))*22.5)/((1+$AL24)^($Z$4-YEAR($C$2)+0.5)))/($AF$20*AV$20)</f>
        <v>13.169030910536618</v>
      </c>
      <c r="AW24" s="52" cm="1">
        <f t="array" ref="AW24">(SUMPRODUCT($E$29:$Y$29/((1+$AL24)^($E$4:$Y$4-YEAR($C$2)+0.5)))*22.5+((843*1.025/($AL24-0.025))*22.5)/((1+$AL24)^($Z$4-YEAR($C$2)+0.5)))/($AF$20*AW$20)</f>
        <v>10.535224728429295</v>
      </c>
      <c r="AX24" s="52" cm="1">
        <f t="array" ref="AX24">(SUMPRODUCT($E$29:$Y$29/((1+$AL24)^($E$4:$Y$4-YEAR($C$2)+0.5)))*22.5+((843*1.025/($AL24-0.025))*22.5)/((1+$AL24)^($Z$4-YEAR($C$2)+0.5)))/($AF$20*AX$20)</f>
        <v>8.7793539403577459</v>
      </c>
      <c r="AY24" s="52" cm="1">
        <f t="array" ref="AY24">(SUMPRODUCT($E$29:$Y$29/((1+$AL24)^($E$4:$Y$4-YEAR($C$2)+0.5)))*22.5+((843*1.025/($AL24-0.025))*22.5)/((1+$AL24)^($Z$4-YEAR($C$2)+0.5)))/($AF$20*AY$20)</f>
        <v>7.5251605203066401</v>
      </c>
      <c r="AZ24" s="52" cm="1">
        <f t="array" ref="AZ24">(SUMPRODUCT($E$29:$Y$29/((1+$AL24)^($E$4:$Y$4-YEAR($C$2)+0.5)))*22.5+((843*1.025/($AL24-0.025))*22.5)/((1+$AL24)^($Z$4-YEAR($C$2)+0.5)))/($AF$20*AZ$20)</f>
        <v>6.5845154552683089</v>
      </c>
    </row>
    <row r="25" spans="2:52" x14ac:dyDescent="0.3">
      <c r="B25" t="s">
        <v>20</v>
      </c>
      <c r="E25" s="4">
        <v>3600</v>
      </c>
      <c r="F25" s="5"/>
      <c r="G25" s="5"/>
      <c r="H25" s="5"/>
      <c r="I25" s="5"/>
      <c r="J25" s="5"/>
      <c r="K25" s="34">
        <v>3600</v>
      </c>
      <c r="P25" s="34">
        <v>3600</v>
      </c>
      <c r="U25" s="34">
        <v>3600</v>
      </c>
      <c r="Y25" s="43"/>
      <c r="AD25" t="s">
        <v>58</v>
      </c>
      <c r="AF25" s="49">
        <f>AF20*AF24</f>
        <v>994.31999999999994</v>
      </c>
      <c r="AH25" s="97" t="s">
        <v>59</v>
      </c>
      <c r="AI25" s="97"/>
      <c r="AJ25" s="97"/>
      <c r="AK25" s="96"/>
      <c r="AL25" s="63">
        <v>0.12</v>
      </c>
      <c r="AM25" s="65" cm="1">
        <f t="array" ref="AM25">(SUMPRODUCT($E$29:$Y$29/((1+$AL25)^($E$4:$Y$4-YEAR($C$2)+0.5)))*22.5+((843*1.025/($AL25-0.025))*22.5)/((1+$AL25)^($Z$4-YEAR($C$2)+0.5)))/($AF$20*AM$20)</f>
        <v>103.66512375912286</v>
      </c>
      <c r="AN25" s="52" cm="1">
        <f t="array" ref="AN25">(SUMPRODUCT($E$29:$Y$29/((1+$AL25)^($E$4:$Y$4-YEAR($C$2)+0.5)))*22.5+((843*1.025/($AL25-0.025))*22.5)/((1+$AL25)^($Z$4-YEAR($C$2)+0.5)))/($AF$20*AN$20)</f>
        <v>82.932099007298291</v>
      </c>
      <c r="AO25" s="52" cm="1">
        <f t="array" ref="AO25">(SUMPRODUCT($E$29:$Y$29/((1+$AL25)^($E$4:$Y$4-YEAR($C$2)+0.5)))*22.5+((843*1.025/($AL25-0.025))*22.5)/((1+$AL25)^($Z$4-YEAR($C$2)+0.5)))/($AF$20*AO$20)</f>
        <v>69.110082506081909</v>
      </c>
      <c r="AP25" s="52" cm="1">
        <f t="array" ref="AP25">(SUMPRODUCT($E$29:$Y$29/((1+$AL25)^($E$4:$Y$4-YEAR($C$2)+0.5)))*22.5+((843*1.025/($AL25-0.025))*22.5)/((1+$AL25)^($Z$4-YEAR($C$2)+0.5)))/($AF$20*AP$20)</f>
        <v>59.237213576641643</v>
      </c>
      <c r="AQ25" s="61" cm="1">
        <f t="array" ref="AQ25">(SUMPRODUCT($E$29:$Y$29/((1+$AL25)^($E$4:$Y$4-YEAR($C$2)+0.5)))*22.5+((843*1.025/($AL25-0.025))*22.5)/((1+$AL25)^($Z$4-YEAR($C$2)+0.5)))/($AF$20*AQ$20)</f>
        <v>51.832561879561432</v>
      </c>
      <c r="AR25" s="61" cm="1">
        <f t="array" ref="AR25">(SUMPRODUCT($E$29:$Y$29/((1+$AL25)^($E$4:$Y$4-YEAR($C$2)+0.5)))*22.5+((843*1.025/($AL25-0.025))*22.5)/((1+$AL25)^($Z$4-YEAR($C$2)+0.5)))/($AF$20*AR$20)</f>
        <v>41.466049503649145</v>
      </c>
      <c r="AS25" s="61" cm="1">
        <f t="array" ref="AS25">(SUMPRODUCT($E$29:$Y$29/((1+$AL25)^($E$4:$Y$4-YEAR($C$2)+0.5)))*22.5+((843*1.025/($AL25-0.025))*22.5)/((1+$AL25)^($Z$4-YEAR($C$2)+0.5)))/($AF$20*AS$20)</f>
        <v>34.555041253040955</v>
      </c>
      <c r="AT25" s="61" cm="1">
        <f t="array" ref="AT25">(SUMPRODUCT($E$29:$Y$29/((1+$AL25)^($E$4:$Y$4-YEAR($C$2)+0.5)))*22.5+((843*1.025/($AL25-0.025))*22.5)/((1+$AL25)^($Z$4-YEAR($C$2)+0.5)))/($AF$20*AT$20)</f>
        <v>25.916280939780716</v>
      </c>
      <c r="AU25" s="61" cm="1">
        <f t="array" ref="AU25">(SUMPRODUCT($E$29:$Y$29/((1+$AL25)^($E$4:$Y$4-YEAR($C$2)+0.5)))*22.5+((843*1.025/($AL25-0.025))*22.5)/((1+$AL25)^($Z$4-YEAR($C$2)+0.5)))/($AF$20*AU$20)</f>
        <v>20.733024751824573</v>
      </c>
      <c r="AV25" s="61" cm="1">
        <f t="array" ref="AV25">(SUMPRODUCT($E$29:$Y$29/((1+$AL25)^($E$4:$Y$4-YEAR($C$2)+0.5)))*22.5+((843*1.025/($AL25-0.025))*22.5)/((1+$AL25)^($Z$4-YEAR($C$2)+0.5)))/($AF$20*AV$20)</f>
        <v>10.366512375912286</v>
      </c>
      <c r="AW25" s="52" cm="1">
        <f t="array" ref="AW25">(SUMPRODUCT($E$29:$Y$29/((1+$AL25)^($E$4:$Y$4-YEAR($C$2)+0.5)))*22.5+((843*1.025/($AL25-0.025))*22.5)/((1+$AL25)^($Z$4-YEAR($C$2)+0.5)))/($AF$20*AW$20)</f>
        <v>8.2932099007298294</v>
      </c>
      <c r="AX25" s="52" cm="1">
        <f t="array" ref="AX25">(SUMPRODUCT($E$29:$Y$29/((1+$AL25)^($E$4:$Y$4-YEAR($C$2)+0.5)))*22.5+((843*1.025/($AL25-0.025))*22.5)/((1+$AL25)^($Z$4-YEAR($C$2)+0.5)))/($AF$20*AX$20)</f>
        <v>6.9110082506081909</v>
      </c>
      <c r="AY25" s="52" cm="1">
        <f t="array" ref="AY25">(SUMPRODUCT($E$29:$Y$29/((1+$AL25)^($E$4:$Y$4-YEAR($C$2)+0.5)))*22.5+((843*1.025/($AL25-0.025))*22.5)/((1+$AL25)^($Z$4-YEAR($C$2)+0.5)))/($AF$20*AY$20)</f>
        <v>5.9237213576641636</v>
      </c>
      <c r="AZ25" s="52" cm="1">
        <f t="array" ref="AZ25">(SUMPRODUCT($E$29:$Y$29/((1+$AL25)^($E$4:$Y$4-YEAR($C$2)+0.5)))*22.5+((843*1.025/($AL25-0.025))*22.5)/((1+$AL25)^($Z$4-YEAR($C$2)+0.5)))/($AF$20*AZ$20)</f>
        <v>5.1832561879561432</v>
      </c>
    </row>
    <row r="26" spans="2:52" x14ac:dyDescent="0.3">
      <c r="B26" t="s">
        <v>21</v>
      </c>
      <c r="E26" s="5">
        <f>(($E$25*-0.06)*0.75)*0.83</f>
        <v>-134.45999999999998</v>
      </c>
      <c r="F26" s="5">
        <f>($E$25*-0.06)*0.83</f>
        <v>-179.28</v>
      </c>
      <c r="G26" s="5">
        <f>($E$25*-0.06)*0.83</f>
        <v>-179.28</v>
      </c>
      <c r="H26" s="5">
        <f>($E$25*-0.06)*0.83</f>
        <v>-179.28</v>
      </c>
      <c r="I26" s="5">
        <f>($E$25*-0.06)*0.83</f>
        <v>-179.28</v>
      </c>
      <c r="J26" s="71">
        <f>($E$25*-0.06*0.5)*0.83</f>
        <v>-89.64</v>
      </c>
      <c r="K26" s="5">
        <f t="shared" ref="K26:Y26" si="18">($K$25*-0.06)*0.83</f>
        <v>-179.28</v>
      </c>
      <c r="L26" s="5">
        <f t="shared" si="18"/>
        <v>-179.28</v>
      </c>
      <c r="M26" s="5">
        <f t="shared" si="18"/>
        <v>-179.28</v>
      </c>
      <c r="N26" s="5">
        <f t="shared" si="18"/>
        <v>-179.28</v>
      </c>
      <c r="O26" s="44">
        <f t="shared" si="18"/>
        <v>-179.28</v>
      </c>
      <c r="P26" s="5">
        <f t="shared" si="18"/>
        <v>-179.28</v>
      </c>
      <c r="Q26" s="5">
        <f t="shared" si="18"/>
        <v>-179.28</v>
      </c>
      <c r="R26" s="5">
        <f t="shared" si="18"/>
        <v>-179.28</v>
      </c>
      <c r="S26" s="5">
        <f t="shared" si="18"/>
        <v>-179.28</v>
      </c>
      <c r="T26" s="44">
        <f t="shared" si="18"/>
        <v>-179.28</v>
      </c>
      <c r="U26" s="5">
        <f t="shared" si="18"/>
        <v>-179.28</v>
      </c>
      <c r="V26" s="5">
        <f t="shared" si="18"/>
        <v>-179.28</v>
      </c>
      <c r="W26" s="5">
        <f t="shared" si="18"/>
        <v>-179.28</v>
      </c>
      <c r="X26" s="5">
        <f t="shared" si="18"/>
        <v>-179.28</v>
      </c>
      <c r="Y26" s="44">
        <f t="shared" si="18"/>
        <v>-179.28</v>
      </c>
      <c r="AA26" s="97" t="s">
        <v>30</v>
      </c>
      <c r="AB26" s="97"/>
      <c r="AC26" s="97"/>
      <c r="AK26" s="96"/>
      <c r="AL26" s="63">
        <v>0.13</v>
      </c>
      <c r="AM26" s="65" cm="1">
        <f t="array" ref="AM26">(SUMPRODUCT($E$29:$Y$29/((1+$AL26)^($E$4:$Y$4-YEAR($C$2)+0.5)))*22.5+((843*1.025/($AL26-0.025))*22.5)/((1+$AL26)^($Z$4-YEAR($C$2)+0.5)))/($AF$20*AM$20)</f>
        <v>82.034951984832063</v>
      </c>
      <c r="AN26" s="52" cm="1">
        <f t="array" ref="AN26">(SUMPRODUCT($E$29:$Y$29/((1+$AL26)^($E$4:$Y$4-YEAR($C$2)+0.5)))*22.5+((843*1.025/($AL26-0.025))*22.5)/((1+$AL26)^($Z$4-YEAR($C$2)+0.5)))/($AF$20*AN$20)</f>
        <v>65.627961587865656</v>
      </c>
      <c r="AO26" s="52" cm="1">
        <f t="array" ref="AO26">(SUMPRODUCT($E$29:$Y$29/((1+$AL26)^($E$4:$Y$4-YEAR($C$2)+0.5)))*22.5+((843*1.025/($AL26-0.025))*22.5)/((1+$AL26)^($Z$4-YEAR($C$2)+0.5)))/($AF$20*AO$20)</f>
        <v>54.689967989888046</v>
      </c>
      <c r="AP26" s="52" cm="1">
        <f t="array" ref="AP26">(SUMPRODUCT($E$29:$Y$29/((1+$AL26)^($E$4:$Y$4-YEAR($C$2)+0.5)))*22.5+((843*1.025/($AL26-0.025))*22.5)/((1+$AL26)^($Z$4-YEAR($C$2)+0.5)))/($AF$20*AP$20)</f>
        <v>46.877115419904037</v>
      </c>
      <c r="AQ26" s="61" cm="1">
        <f t="array" ref="AQ26">(SUMPRODUCT($E$29:$Y$29/((1+$AL26)^($E$4:$Y$4-YEAR($C$2)+0.5)))*22.5+((843*1.025/($AL26-0.025))*22.5)/((1+$AL26)^($Z$4-YEAR($C$2)+0.5)))/($AF$20*AQ$20)</f>
        <v>41.017475992416031</v>
      </c>
      <c r="AR26" s="61" cm="1">
        <f t="array" ref="AR26">(SUMPRODUCT($E$29:$Y$29/((1+$AL26)^($E$4:$Y$4-YEAR($C$2)+0.5)))*22.5+((843*1.025/($AL26-0.025))*22.5)/((1+$AL26)^($Z$4-YEAR($C$2)+0.5)))/($AF$20*AR$20)</f>
        <v>32.813980793932828</v>
      </c>
      <c r="AS26" s="61" cm="1">
        <f t="array" ref="AS26">(SUMPRODUCT($E$29:$Y$29/((1+$AL26)^($E$4:$Y$4-YEAR($C$2)+0.5)))*22.5+((843*1.025/($AL26-0.025))*22.5)/((1+$AL26)^($Z$4-YEAR($C$2)+0.5)))/($AF$20*AS$20)</f>
        <v>27.344983994944023</v>
      </c>
      <c r="AT26" s="61" cm="1">
        <f t="array" ref="AT26">(SUMPRODUCT($E$29:$Y$29/((1+$AL26)^($E$4:$Y$4-YEAR($C$2)+0.5)))*22.5+((843*1.025/($AL26-0.025))*22.5)/((1+$AL26)^($Z$4-YEAR($C$2)+0.5)))/($AF$20*AT$20)</f>
        <v>20.508737996208016</v>
      </c>
      <c r="AU26" s="61" cm="1">
        <f t="array" ref="AU26">(SUMPRODUCT($E$29:$Y$29/((1+$AL26)^($E$4:$Y$4-YEAR($C$2)+0.5)))*22.5+((843*1.025/($AL26-0.025))*22.5)/((1+$AL26)^($Z$4-YEAR($C$2)+0.5)))/($AF$20*AU$20)</f>
        <v>16.406990396966414</v>
      </c>
      <c r="AV26" s="61" cm="1">
        <f t="array" ref="AV26">(SUMPRODUCT($E$29:$Y$29/((1+$AL26)^($E$4:$Y$4-YEAR($C$2)+0.5)))*22.5+((843*1.025/($AL26-0.025))*22.5)/((1+$AL26)^($Z$4-YEAR($C$2)+0.5)))/($AF$20*AV$20)</f>
        <v>8.203495198483207</v>
      </c>
      <c r="AW26" s="52" cm="1">
        <f t="array" ref="AW26">(SUMPRODUCT($E$29:$Y$29/((1+$AL26)^($E$4:$Y$4-YEAR($C$2)+0.5)))*22.5+((843*1.025/($AL26-0.025))*22.5)/((1+$AL26)^($Z$4-YEAR($C$2)+0.5)))/($AF$20*AW$20)</f>
        <v>6.5627961587865649</v>
      </c>
      <c r="AX26" s="52" cm="1">
        <f t="array" ref="AX26">(SUMPRODUCT($E$29:$Y$29/((1+$AL26)^($E$4:$Y$4-YEAR($C$2)+0.5)))*22.5+((843*1.025/($AL26-0.025))*22.5)/((1+$AL26)^($Z$4-YEAR($C$2)+0.5)))/($AF$20*AX$20)</f>
        <v>5.4689967989888038</v>
      </c>
      <c r="AY26" s="52" cm="1">
        <f t="array" ref="AY26">(SUMPRODUCT($E$29:$Y$29/((1+$AL26)^($E$4:$Y$4-YEAR($C$2)+0.5)))*22.5+((843*1.025/($AL26-0.025))*22.5)/((1+$AL26)^($Z$4-YEAR($C$2)+0.5)))/($AF$20*AY$20)</f>
        <v>4.6877115419904039</v>
      </c>
      <c r="AZ26" s="52" cm="1">
        <f t="array" ref="AZ26">(SUMPRODUCT($E$29:$Y$29/((1+$AL26)^($E$4:$Y$4-YEAR($C$2)+0.5)))*22.5+((843*1.025/($AL26-0.025))*22.5)/((1+$AL26)^($Z$4-YEAR($C$2)+0.5)))/($AF$20*AZ$20)</f>
        <v>4.1017475992416035</v>
      </c>
    </row>
    <row r="27" spans="2:52" x14ac:dyDescent="0.3">
      <c r="B27" t="s">
        <v>22</v>
      </c>
      <c r="E27" s="5"/>
      <c r="F27" s="5"/>
      <c r="G27" s="5"/>
      <c r="H27" s="5"/>
      <c r="I27" s="5"/>
      <c r="J27" s="20">
        <f>-E25</f>
        <v>-3600</v>
      </c>
      <c r="K27" s="37"/>
      <c r="O27" s="20">
        <f>-K25</f>
        <v>-3600</v>
      </c>
      <c r="P27" s="37"/>
      <c r="T27" s="20">
        <f>-P25</f>
        <v>-3600</v>
      </c>
      <c r="U27" s="37"/>
      <c r="Y27" s="50">
        <f>-U25</f>
        <v>-3600</v>
      </c>
      <c r="AD27" t="s">
        <v>62</v>
      </c>
      <c r="AF27" s="52">
        <f>AF17/AF25</f>
        <v>35.302413832981102</v>
      </c>
      <c r="AK27" s="96"/>
      <c r="AL27" s="63">
        <v>0.14000000000000001</v>
      </c>
      <c r="AM27" s="65" cm="1">
        <f t="array" ref="AM27">(SUMPRODUCT($E$29:$Y$29/((1+$AL27)^($E$4:$Y$4-YEAR($C$2)+0.5)))*22.5+((843*1.025/($AL27-0.025))*22.5)/((1+$AL27)^($Z$4-YEAR($C$2)+0.5)))/($AF$20*AM$20)</f>
        <v>64.935271897451756</v>
      </c>
      <c r="AN27" s="52" cm="1">
        <f t="array" ref="AN27">(SUMPRODUCT($E$29:$Y$29/((1+$AL27)^($E$4:$Y$4-YEAR($C$2)+0.5)))*22.5+((843*1.025/($AL27-0.025))*22.5)/((1+$AL27)^($Z$4-YEAR($C$2)+0.5)))/($AF$20*AN$20)</f>
        <v>51.948217517961403</v>
      </c>
      <c r="AO27" s="52" cm="1">
        <f t="array" ref="AO27">(SUMPRODUCT($E$29:$Y$29/((1+$AL27)^($E$4:$Y$4-YEAR($C$2)+0.5)))*22.5+((843*1.025/($AL27-0.025))*22.5)/((1+$AL27)^($Z$4-YEAR($C$2)+0.5)))/($AF$20*AO$20)</f>
        <v>43.290181264967842</v>
      </c>
      <c r="AP27" s="52" cm="1">
        <f t="array" ref="AP27">(SUMPRODUCT($E$29:$Y$29/((1+$AL27)^($E$4:$Y$4-YEAR($C$2)+0.5)))*22.5+((843*1.025/($AL27-0.025))*22.5)/((1+$AL27)^($Z$4-YEAR($C$2)+0.5)))/($AF$20*AP$20)</f>
        <v>37.105869655686718</v>
      </c>
      <c r="AQ27" s="61" cm="1">
        <f t="array" ref="AQ27">(SUMPRODUCT($E$29:$Y$29/((1+$AL27)^($E$4:$Y$4-YEAR($C$2)+0.5)))*22.5+((843*1.025/($AL27-0.025))*22.5)/((1+$AL27)^($Z$4-YEAR($C$2)+0.5)))/($AF$20*AQ$20)</f>
        <v>32.467635948725878</v>
      </c>
      <c r="AR27" s="61" cm="1">
        <f t="array" ref="AR27">(SUMPRODUCT($E$29:$Y$29/((1+$AL27)^($E$4:$Y$4-YEAR($C$2)+0.5)))*22.5+((843*1.025/($AL27-0.025))*22.5)/((1+$AL27)^($Z$4-YEAR($C$2)+0.5)))/($AF$20*AR$20)</f>
        <v>25.974108758980702</v>
      </c>
      <c r="AS27" s="61" cm="1">
        <f t="array" ref="AS27">(SUMPRODUCT($E$29:$Y$29/((1+$AL27)^($E$4:$Y$4-YEAR($C$2)+0.5)))*22.5+((843*1.025/($AL27-0.025))*22.5)/((1+$AL27)^($Z$4-YEAR($C$2)+0.5)))/($AF$20*AS$20)</f>
        <v>21.645090632483921</v>
      </c>
      <c r="AT27" s="61" cm="1">
        <f t="array" ref="AT27">(SUMPRODUCT($E$29:$Y$29/((1+$AL27)^($E$4:$Y$4-YEAR($C$2)+0.5)))*22.5+((843*1.025/($AL27-0.025))*22.5)/((1+$AL27)^($Z$4-YEAR($C$2)+0.5)))/($AF$20*AT$20)</f>
        <v>16.233817974362939</v>
      </c>
      <c r="AU27" s="61" cm="1">
        <f t="array" ref="AU27">(SUMPRODUCT($E$29:$Y$29/((1+$AL27)^($E$4:$Y$4-YEAR($C$2)+0.5)))*22.5+((843*1.025/($AL27-0.025))*22.5)/((1+$AL27)^($Z$4-YEAR($C$2)+0.5)))/($AF$20*AU$20)</f>
        <v>12.987054379490351</v>
      </c>
      <c r="AV27" s="61" cm="1">
        <f t="array" ref="AV27">(SUMPRODUCT($E$29:$Y$29/((1+$AL27)^($E$4:$Y$4-YEAR($C$2)+0.5)))*22.5+((843*1.025/($AL27-0.025))*22.5)/((1+$AL27)^($Z$4-YEAR($C$2)+0.5)))/($AF$20*AV$20)</f>
        <v>6.4935271897451754</v>
      </c>
      <c r="AW27" s="52" cm="1">
        <f t="array" ref="AW27">(SUMPRODUCT($E$29:$Y$29/((1+$AL27)^($E$4:$Y$4-YEAR($C$2)+0.5)))*22.5+((843*1.025/($AL27-0.025))*22.5)/((1+$AL27)^($Z$4-YEAR($C$2)+0.5)))/($AF$20*AW$20)</f>
        <v>5.1948217517961401</v>
      </c>
      <c r="AX27" s="52" cm="1">
        <f t="array" ref="AX27">(SUMPRODUCT($E$29:$Y$29/((1+$AL27)^($E$4:$Y$4-YEAR($C$2)+0.5)))*22.5+((843*1.025/($AL27-0.025))*22.5)/((1+$AL27)^($Z$4-YEAR($C$2)+0.5)))/($AF$20*AX$20)</f>
        <v>4.3290181264967833</v>
      </c>
      <c r="AY27" s="52" cm="1">
        <f t="array" ref="AY27">(SUMPRODUCT($E$29:$Y$29/((1+$AL27)^($E$4:$Y$4-YEAR($C$2)+0.5)))*22.5+((843*1.025/($AL27-0.025))*22.5)/((1+$AL27)^($Z$4-YEAR($C$2)+0.5)))/($AF$20*AY$20)</f>
        <v>3.7105869655686718</v>
      </c>
      <c r="AZ27" s="52" cm="1">
        <f t="array" ref="AZ27">(SUMPRODUCT($E$29:$Y$29/((1+$AL27)^($E$4:$Y$4-YEAR($C$2)+0.5)))*22.5+((843*1.025/($AL27-0.025))*22.5)/((1+$AL27)^($Z$4-YEAR($C$2)+0.5)))/($AF$20*AZ$20)</f>
        <v>3.2467635948725877</v>
      </c>
    </row>
    <row r="28" spans="2:52" x14ac:dyDescent="0.3">
      <c r="E28" s="5"/>
      <c r="F28" s="5"/>
      <c r="G28" s="5"/>
      <c r="H28" s="5"/>
      <c r="I28" s="5"/>
      <c r="J28" s="5"/>
      <c r="K28" s="37"/>
      <c r="P28" s="37"/>
      <c r="U28" s="37"/>
      <c r="Y28" s="43"/>
      <c r="AD28" t="s">
        <v>57</v>
      </c>
      <c r="AF28" s="52">
        <v>46.15</v>
      </c>
      <c r="AK28" s="96"/>
      <c r="AL28" s="63">
        <v>0.15</v>
      </c>
      <c r="AM28" s="65" cm="1">
        <f t="array" ref="AM28">(SUMPRODUCT($E$29:$Y$29/((1+$AL28)^($E$4:$Y$4-YEAR($C$2)+0.5)))*22.5+((843*1.025/($AL28-0.025))*22.5)/((1+$AL28)^($Z$4-YEAR($C$2)+0.5)))/($AF$20*AM$20)</f>
        <v>51.137952755218869</v>
      </c>
      <c r="AN28" s="52" cm="1">
        <f t="array" ref="AN28">(SUMPRODUCT($E$29:$Y$29/((1+$AL28)^($E$4:$Y$4-YEAR($C$2)+0.5)))*22.5+((843*1.025/($AL28-0.025))*22.5)/((1+$AL28)^($Z$4-YEAR($C$2)+0.5)))/($AF$20*AN$20)</f>
        <v>40.910362204175094</v>
      </c>
      <c r="AO28" s="52" cm="1">
        <f t="array" ref="AO28">(SUMPRODUCT($E$29:$Y$29/((1+$AL28)^($E$4:$Y$4-YEAR($C$2)+0.5)))*22.5+((843*1.025/($AL28-0.025))*22.5)/((1+$AL28)^($Z$4-YEAR($C$2)+0.5)))/($AF$20*AO$20)</f>
        <v>34.091968503479251</v>
      </c>
      <c r="AP28" s="52" cm="1">
        <f t="array" ref="AP28">(SUMPRODUCT($E$29:$Y$29/((1+$AL28)^($E$4:$Y$4-YEAR($C$2)+0.5)))*22.5+((843*1.025/($AL28-0.025))*22.5)/((1+$AL28)^($Z$4-YEAR($C$2)+0.5)))/($AF$20*AP$20)</f>
        <v>29.221687288696497</v>
      </c>
      <c r="AQ28" s="61" cm="1">
        <f t="array" ref="AQ28">(SUMPRODUCT($E$29:$Y$29/((1+$AL28)^($E$4:$Y$4-YEAR($C$2)+0.5)))*22.5+((843*1.025/($AL28-0.025))*22.5)/((1+$AL28)^($Z$4-YEAR($C$2)+0.5)))/($AF$20*AQ$20)</f>
        <v>25.568976377609435</v>
      </c>
      <c r="AR28" s="61" cm="1">
        <f t="array" ref="AR28">(SUMPRODUCT($E$29:$Y$29/((1+$AL28)^($E$4:$Y$4-YEAR($C$2)+0.5)))*22.5+((843*1.025/($AL28-0.025))*22.5)/((1+$AL28)^($Z$4-YEAR($C$2)+0.5)))/($AF$20*AR$20)</f>
        <v>20.455181102087547</v>
      </c>
      <c r="AS28" s="61" cm="1">
        <f t="array" ref="AS28">(SUMPRODUCT($E$29:$Y$29/((1+$AL28)^($E$4:$Y$4-YEAR($C$2)+0.5)))*22.5+((843*1.025/($AL28-0.025))*22.5)/((1+$AL28)^($Z$4-YEAR($C$2)+0.5)))/($AF$20*AS$20)</f>
        <v>17.045984251739625</v>
      </c>
      <c r="AT28" s="61" cm="1">
        <f t="array" ref="AT28">(SUMPRODUCT($E$29:$Y$29/((1+$AL28)^($E$4:$Y$4-YEAR($C$2)+0.5)))*22.5+((843*1.025/($AL28-0.025))*22.5)/((1+$AL28)^($Z$4-YEAR($C$2)+0.5)))/($AF$20*AT$20)</f>
        <v>12.784488188804717</v>
      </c>
      <c r="AU28" s="61" cm="1">
        <f t="array" ref="AU28">(SUMPRODUCT($E$29:$Y$29/((1+$AL28)^($E$4:$Y$4-YEAR($C$2)+0.5)))*22.5+((843*1.025/($AL28-0.025))*22.5)/((1+$AL28)^($Z$4-YEAR($C$2)+0.5)))/($AF$20*AU$20)</f>
        <v>10.227590551043773</v>
      </c>
      <c r="AV28" s="61" cm="1">
        <f t="array" ref="AV28">(SUMPRODUCT($E$29:$Y$29/((1+$AL28)^($E$4:$Y$4-YEAR($C$2)+0.5)))*22.5+((843*1.025/($AL28-0.025))*22.5)/((1+$AL28)^($Z$4-YEAR($C$2)+0.5)))/($AF$20*AV$20)</f>
        <v>5.1137952755218867</v>
      </c>
      <c r="AW28" s="52" cm="1">
        <f t="array" ref="AW28">(SUMPRODUCT($E$29:$Y$29/((1+$AL28)^($E$4:$Y$4-YEAR($C$2)+0.5)))*22.5+((843*1.025/($AL28-0.025))*22.5)/((1+$AL28)^($Z$4-YEAR($C$2)+0.5)))/($AF$20*AW$20)</f>
        <v>4.091036220417509</v>
      </c>
      <c r="AX28" s="52" cm="1">
        <f t="array" ref="AX28">(SUMPRODUCT($E$29:$Y$29/((1+$AL28)^($E$4:$Y$4-YEAR($C$2)+0.5)))*22.5+((843*1.025/($AL28-0.025))*22.5)/((1+$AL28)^($Z$4-YEAR($C$2)+0.5)))/($AF$20*AX$20)</f>
        <v>3.4091968503479242</v>
      </c>
      <c r="AY28" s="52" cm="1">
        <f t="array" ref="AY28">(SUMPRODUCT($E$29:$Y$29/((1+$AL28)^($E$4:$Y$4-YEAR($C$2)+0.5)))*22.5+((843*1.025/($AL28-0.025))*22.5)/((1+$AL28)^($Z$4-YEAR($C$2)+0.5)))/($AF$20*AY$20)</f>
        <v>2.9221687288696496</v>
      </c>
      <c r="AZ28" s="52" cm="1">
        <f t="array" ref="AZ28">(SUMPRODUCT($E$29:$Y$29/((1+$AL28)^($E$4:$Y$4-YEAR($C$2)+0.5)))*22.5+((843*1.025/($AL28-0.025))*22.5)/((1+$AL28)^($Z$4-YEAR($C$2)+0.5)))/($AF$20*AZ$20)</f>
        <v>2.5568976377609434</v>
      </c>
    </row>
    <row r="29" spans="2:52" x14ac:dyDescent="0.3">
      <c r="B29" s="16" t="s">
        <v>23</v>
      </c>
      <c r="C29" s="17"/>
      <c r="D29" s="17"/>
      <c r="E29" s="21">
        <f>E23+E25+E26</f>
        <v>-793.72749999999996</v>
      </c>
      <c r="F29" s="18">
        <f>F23+F26</f>
        <v>-933.72500000000002</v>
      </c>
      <c r="G29" s="18">
        <f t="shared" ref="G29:I29" si="19">G23+G26</f>
        <v>781.27499999999998</v>
      </c>
      <c r="H29" s="18">
        <f t="shared" si="19"/>
        <v>781.27499999999998</v>
      </c>
      <c r="I29" s="18">
        <f t="shared" si="19"/>
        <v>781.27499999999998</v>
      </c>
      <c r="J29" s="32">
        <f>J23+J26+J27</f>
        <v>-1950.6925000000001</v>
      </c>
      <c r="K29" s="18">
        <f>K23+K25+K26</f>
        <v>1006.2749999999999</v>
      </c>
      <c r="L29" s="18">
        <f>L23+L26</f>
        <v>1266.2750000000001</v>
      </c>
      <c r="M29" s="18">
        <f t="shared" ref="M29:N29" si="20">M23+M26</f>
        <v>619.60833333333335</v>
      </c>
      <c r="N29" s="18">
        <f t="shared" si="20"/>
        <v>619.60833333333335</v>
      </c>
      <c r="O29" s="18">
        <f>O23+O26+O27</f>
        <v>-1820.3916666666664</v>
      </c>
      <c r="P29" s="18">
        <f>P23+P25+P26</f>
        <v>1006.2749999999999</v>
      </c>
      <c r="Q29" s="18">
        <f>Q23+Q26</f>
        <v>1266.2750000000001</v>
      </c>
      <c r="R29" s="18">
        <f t="shared" ref="R29:S29" si="21">R23+R26</f>
        <v>619.60833333333335</v>
      </c>
      <c r="S29" s="18">
        <f t="shared" si="21"/>
        <v>619.60833333333335</v>
      </c>
      <c r="T29" s="18">
        <f>T23+T26+T27</f>
        <v>-1820.3916666666664</v>
      </c>
      <c r="U29" s="18">
        <f>U23+U25+U26</f>
        <v>1006.2749999999999</v>
      </c>
      <c r="V29" s="18">
        <f>V23+V26</f>
        <v>1266.2750000000001</v>
      </c>
      <c r="W29" s="18">
        <f t="shared" ref="W29:X29" si="22">W23+W26</f>
        <v>619.60833333333335</v>
      </c>
      <c r="X29" s="18">
        <f t="shared" si="22"/>
        <v>619.60833333333335</v>
      </c>
      <c r="Y29" s="19">
        <f>Y23+Y26+Y27</f>
        <v>-1820.3916666666664</v>
      </c>
      <c r="Z29" s="1">
        <f>(878*(1+0.025)/($L$2-0.025))*22.5</f>
        <v>213146.05263157893</v>
      </c>
      <c r="AD29" t="s">
        <v>64</v>
      </c>
      <c r="AF29" s="53">
        <f>AF27/AF28-1</f>
        <v>-0.23505062117050701</v>
      </c>
      <c r="AK29" s="96"/>
      <c r="AL29" s="63">
        <v>0.16</v>
      </c>
      <c r="AM29" s="65" cm="1">
        <f t="array" ref="AM29">(SUMPRODUCT($E$29:$Y$29/((1+$AL29)^($E$4:$Y$4-YEAR($C$2)+0.5)))*22.5+((843*1.025/($AL29-0.025))*22.5)/((1+$AL29)^($Z$4-YEAR($C$2)+0.5)))/($AF$20*AM$20)</f>
        <v>39.807355998173357</v>
      </c>
      <c r="AN29" s="52" cm="1">
        <f t="array" ref="AN29">(SUMPRODUCT($E$29:$Y$29/((1+$AL29)^($E$4:$Y$4-YEAR($C$2)+0.5)))*22.5+((843*1.025/($AL29-0.025))*22.5)/((1+$AL29)^($Z$4-YEAR($C$2)+0.5)))/($AF$20*AN$20)</f>
        <v>31.845884798538687</v>
      </c>
      <c r="AO29" s="52" cm="1">
        <f t="array" ref="AO29">(SUMPRODUCT($E$29:$Y$29/((1+$AL29)^($E$4:$Y$4-YEAR($C$2)+0.5)))*22.5+((843*1.025/($AL29-0.025))*22.5)/((1+$AL29)^($Z$4-YEAR($C$2)+0.5)))/($AF$20*AO$20)</f>
        <v>26.538237332115575</v>
      </c>
      <c r="AP29" s="52" cm="1">
        <f t="array" ref="AP29">(SUMPRODUCT($E$29:$Y$29/((1+$AL29)^($E$4:$Y$4-YEAR($C$2)+0.5)))*22.5+((843*1.025/($AL29-0.025))*22.5)/((1+$AL29)^($Z$4-YEAR($C$2)+0.5)))/($AF$20*AP$20)</f>
        <v>22.747060570384775</v>
      </c>
      <c r="AQ29" s="52" cm="1">
        <f t="array" ref="AQ29">(SUMPRODUCT($E$29:$Y$29/((1+$AL29)^($E$4:$Y$4-YEAR($C$2)+0.5)))*22.5+((843*1.025/($AL29-0.025))*22.5)/((1+$AL29)^($Z$4-YEAR($C$2)+0.5)))/($AF$20*AQ$20)</f>
        <v>19.903677999086678</v>
      </c>
      <c r="AR29" s="52" cm="1">
        <f t="array" ref="AR29">(SUMPRODUCT($E$29:$Y$29/((1+$AL29)^($E$4:$Y$4-YEAR($C$2)+0.5)))*22.5+((843*1.025/($AL29-0.025))*22.5)/((1+$AL29)^($Z$4-YEAR($C$2)+0.5)))/($AF$20*AR$20)</f>
        <v>15.922942399269344</v>
      </c>
      <c r="AS29" s="52" cm="1">
        <f t="array" ref="AS29">(SUMPRODUCT($E$29:$Y$29/((1+$AL29)^($E$4:$Y$4-YEAR($C$2)+0.5)))*22.5+((843*1.025/($AL29-0.025))*22.5)/((1+$AL29)^($Z$4-YEAR($C$2)+0.5)))/($AF$20*AS$20)</f>
        <v>13.269118666057787</v>
      </c>
      <c r="AT29" s="52" cm="1">
        <f t="array" ref="AT29">(SUMPRODUCT($E$29:$Y$29/((1+$AL29)^($E$4:$Y$4-YEAR($C$2)+0.5)))*22.5+((843*1.025/($AL29-0.025))*22.5)/((1+$AL29)^($Z$4-YEAR($C$2)+0.5)))/($AF$20*AT$20)</f>
        <v>9.9518389995433392</v>
      </c>
      <c r="AU29" s="52" cm="1">
        <f t="array" ref="AU29">(SUMPRODUCT($E$29:$Y$29/((1+$AL29)^($E$4:$Y$4-YEAR($C$2)+0.5)))*22.5+((843*1.025/($AL29-0.025))*22.5)/((1+$AL29)^($Z$4-YEAR($C$2)+0.5)))/($AF$20*AU$20)</f>
        <v>7.9614711996346719</v>
      </c>
      <c r="AV29" s="52" cm="1">
        <f t="array" ref="AV29">(SUMPRODUCT($E$29:$Y$29/((1+$AL29)^($E$4:$Y$4-YEAR($C$2)+0.5)))*22.5+((843*1.025/($AL29-0.025))*22.5)/((1+$AL29)^($Z$4-YEAR($C$2)+0.5)))/($AF$20*AV$20)</f>
        <v>3.9807355998173359</v>
      </c>
      <c r="AW29" s="52" cm="1">
        <f t="array" ref="AW29">(SUMPRODUCT($E$29:$Y$29/((1+$AL29)^($E$4:$Y$4-YEAR($C$2)+0.5)))*22.5+((843*1.025/($AL29-0.025))*22.5)/((1+$AL29)^($Z$4-YEAR($C$2)+0.5)))/($AF$20*AW$20)</f>
        <v>3.1845884798538688</v>
      </c>
      <c r="AX29" s="52" cm="1">
        <f t="array" ref="AX29">(SUMPRODUCT($E$29:$Y$29/((1+$AL29)^($E$4:$Y$4-YEAR($C$2)+0.5)))*22.5+((843*1.025/($AL29-0.025))*22.5)/((1+$AL29)^($Z$4-YEAR($C$2)+0.5)))/($AF$20*AX$20)</f>
        <v>2.6538237332115568</v>
      </c>
      <c r="AY29" s="52" cm="1">
        <f t="array" ref="AY29">(SUMPRODUCT($E$29:$Y$29/((1+$AL29)^($E$4:$Y$4-YEAR($C$2)+0.5)))*22.5+((843*1.025/($AL29-0.025))*22.5)/((1+$AL29)^($Z$4-YEAR($C$2)+0.5)))/($AF$20*AY$20)</f>
        <v>2.2747060570384776</v>
      </c>
      <c r="AZ29" s="52" cm="1">
        <f t="array" ref="AZ29">(SUMPRODUCT($E$29:$Y$29/((1+$AL29)^($E$4:$Y$4-YEAR($C$2)+0.5)))*22.5+((843*1.025/($AL29-0.025))*22.5)/((1+$AL29)^($Z$4-YEAR($C$2)+0.5)))/($AF$20*AZ$20)</f>
        <v>1.990367799908668</v>
      </c>
    </row>
    <row r="30" spans="2:52" x14ac:dyDescent="0.3">
      <c r="K30" s="51"/>
      <c r="P30" s="51"/>
      <c r="U30" s="51"/>
      <c r="Y30" s="51"/>
      <c r="AK30" s="96"/>
      <c r="AL30" s="63">
        <v>0.17</v>
      </c>
      <c r="AM30" s="65" cm="1">
        <f t="array" ref="AM30">(SUMPRODUCT($E$29:$Y$29/((1+$AL30)^($E$4:$Y$4-YEAR($C$2)+0.5)))*22.5+((843*1.025/($AL30-0.025))*22.5)/((1+$AL30)^($Z$4-YEAR($C$2)+0.5)))/($AF$20*AM$20)</f>
        <v>30.359080537936805</v>
      </c>
      <c r="AN30" s="52" cm="1">
        <f t="array" ref="AN30">(SUMPRODUCT($E$29:$Y$29/((1+$AL30)^($E$4:$Y$4-YEAR($C$2)+0.5)))*22.5+((843*1.025/($AL30-0.025))*22.5)/((1+$AL30)^($Z$4-YEAR($C$2)+0.5)))/($AF$20*AN$20)</f>
        <v>24.287264430349442</v>
      </c>
      <c r="AO30" s="52" cm="1">
        <f t="array" ref="AO30">(SUMPRODUCT($E$29:$Y$29/((1+$AL30)^($E$4:$Y$4-YEAR($C$2)+0.5)))*22.5+((843*1.025/($AL30-0.025))*22.5)/((1+$AL30)^($Z$4-YEAR($C$2)+0.5)))/($AF$20*AO$20)</f>
        <v>20.239387025291204</v>
      </c>
      <c r="AP30" s="52" cm="1">
        <f t="array" ref="AP30">(SUMPRODUCT($E$29:$Y$29/((1+$AL30)^($E$4:$Y$4-YEAR($C$2)+0.5)))*22.5+((843*1.025/($AL30-0.025))*22.5)/((1+$AL30)^($Z$4-YEAR($C$2)+0.5)))/($AF$20*AP$20)</f>
        <v>17.348046021678176</v>
      </c>
      <c r="AQ30" s="52" cm="1">
        <f t="array" ref="AQ30">(SUMPRODUCT($E$29:$Y$29/((1+$AL30)^($E$4:$Y$4-YEAR($C$2)+0.5)))*22.5+((843*1.025/($AL30-0.025))*22.5)/((1+$AL30)^($Z$4-YEAR($C$2)+0.5)))/($AF$20*AQ$20)</f>
        <v>15.179540268968402</v>
      </c>
      <c r="AR30" s="52" cm="1">
        <f t="array" ref="AR30">(SUMPRODUCT($E$29:$Y$29/((1+$AL30)^($E$4:$Y$4-YEAR($C$2)+0.5)))*22.5+((843*1.025/($AL30-0.025))*22.5)/((1+$AL30)^($Z$4-YEAR($C$2)+0.5)))/($AF$20*AR$20)</f>
        <v>12.143632215174721</v>
      </c>
      <c r="AS30" s="52" cm="1">
        <f t="array" ref="AS30">(SUMPRODUCT($E$29:$Y$29/((1+$AL30)^($E$4:$Y$4-YEAR($C$2)+0.5)))*22.5+((843*1.025/($AL30-0.025))*22.5)/((1+$AL30)^($Z$4-YEAR($C$2)+0.5)))/($AF$20*AS$20)</f>
        <v>10.119693512645602</v>
      </c>
      <c r="AT30" s="52" cm="1">
        <f t="array" ref="AT30">(SUMPRODUCT($E$29:$Y$29/((1+$AL30)^($E$4:$Y$4-YEAR($C$2)+0.5)))*22.5+((843*1.025/($AL30-0.025))*22.5)/((1+$AL30)^($Z$4-YEAR($C$2)+0.5)))/($AF$20*AT$20)</f>
        <v>7.5897701344842012</v>
      </c>
      <c r="AU30" s="52" cm="1">
        <f t="array" ref="AU30">(SUMPRODUCT($E$29:$Y$29/((1+$AL30)^($E$4:$Y$4-YEAR($C$2)+0.5)))*22.5+((843*1.025/($AL30-0.025))*22.5)/((1+$AL30)^($Z$4-YEAR($C$2)+0.5)))/($AF$20*AU$20)</f>
        <v>6.0718161075873605</v>
      </c>
      <c r="AV30" s="52" cm="1">
        <f t="array" ref="AV30">(SUMPRODUCT($E$29:$Y$29/((1+$AL30)^($E$4:$Y$4-YEAR($C$2)+0.5)))*22.5+((843*1.025/($AL30-0.025))*22.5)/((1+$AL30)^($Z$4-YEAR($C$2)+0.5)))/($AF$20*AV$20)</f>
        <v>3.0359080537936802</v>
      </c>
      <c r="AW30" s="52" cm="1">
        <f t="array" ref="AW30">(SUMPRODUCT($E$29:$Y$29/((1+$AL30)^($E$4:$Y$4-YEAR($C$2)+0.5)))*22.5+((843*1.025/($AL30-0.025))*22.5)/((1+$AL30)^($Z$4-YEAR($C$2)+0.5)))/($AF$20*AW$20)</f>
        <v>2.4287264430349444</v>
      </c>
      <c r="AX30" s="52" cm="1">
        <f t="array" ref="AX30">(SUMPRODUCT($E$29:$Y$29/((1+$AL30)^($E$4:$Y$4-YEAR($C$2)+0.5)))*22.5+((843*1.025/($AL30-0.025))*22.5)/((1+$AL30)^($Z$4-YEAR($C$2)+0.5)))/($AF$20*AX$20)</f>
        <v>2.02393870252912</v>
      </c>
      <c r="AY30" s="52" cm="1">
        <f t="array" ref="AY30">(SUMPRODUCT($E$29:$Y$29/((1+$AL30)^($E$4:$Y$4-YEAR($C$2)+0.5)))*22.5+((843*1.025/($AL30-0.025))*22.5)/((1+$AL30)^($Z$4-YEAR($C$2)+0.5)))/($AF$20*AY$20)</f>
        <v>1.7348046021678174</v>
      </c>
      <c r="AZ30" s="52" cm="1">
        <f t="array" ref="AZ30">(SUMPRODUCT($E$29:$Y$29/((1+$AL30)^($E$4:$Y$4-YEAR($C$2)+0.5)))*22.5+((843*1.025/($AL30-0.025))*22.5)/((1+$AL30)^($Z$4-YEAR($C$2)+0.5)))/($AF$20*AZ$20)</f>
        <v>1.5179540268968401</v>
      </c>
    </row>
    <row r="31" spans="2:52" x14ac:dyDescent="0.3">
      <c r="B31" t="s">
        <v>24</v>
      </c>
      <c r="D31" s="23"/>
      <c r="E31" s="5">
        <f t="shared" ref="E31:J31" si="23">E23/((1+$G$2)^(E$4-YEAR($C$2)+0.5))</f>
        <v>-4024.6294901070714</v>
      </c>
      <c r="F31" s="6">
        <f t="shared" si="23"/>
        <v>-636.50314026662147</v>
      </c>
      <c r="G31" s="1">
        <f t="shared" si="23"/>
        <v>723.56438211770205</v>
      </c>
      <c r="H31" s="1">
        <f t="shared" si="23"/>
        <v>646.03962689080527</v>
      </c>
      <c r="I31" s="1">
        <f t="shared" si="23"/>
        <v>576.821095438219</v>
      </c>
      <c r="J31" s="1">
        <f t="shared" si="23"/>
        <v>932.36797054414251</v>
      </c>
      <c r="K31" s="5">
        <f t="shared" ref="K31:N31" si="24">K23/((1+$G$2)^(K$4-YEAR($C$2)+0.5))</f>
        <v>-1155.8465191488219</v>
      </c>
      <c r="L31" s="6">
        <f t="shared" si="24"/>
        <v>617.87333076404116</v>
      </c>
      <c r="M31" s="1">
        <f t="shared" si="24"/>
        <v>304.88277329048611</v>
      </c>
      <c r="N31" s="1">
        <f t="shared" si="24"/>
        <v>272.21676186650546</v>
      </c>
      <c r="O31" s="1">
        <f t="shared" ref="O31:S31" si="25">O23/((1+$G$2)^(O$4-YEAR($C$2)+0.5))</f>
        <v>595.96456984207646</v>
      </c>
      <c r="P31" s="5">
        <f t="shared" si="25"/>
        <v>-655.85835605390378</v>
      </c>
      <c r="Q31" s="6">
        <f t="shared" si="25"/>
        <v>350.59792130781778</v>
      </c>
      <c r="R31" s="1">
        <f t="shared" si="25"/>
        <v>172.99867341098704</v>
      </c>
      <c r="S31" s="1">
        <f t="shared" si="25"/>
        <v>154.46310125980983</v>
      </c>
      <c r="T31" s="1">
        <f t="shared" ref="T31:Y31" si="26">T23/((1+$G$2)^(T$4-YEAR($C$2)+0.5))</f>
        <v>338.16630198517686</v>
      </c>
      <c r="U31" s="5">
        <f t="shared" si="26"/>
        <v>-372.1516447724361</v>
      </c>
      <c r="V31" s="6">
        <f t="shared" si="26"/>
        <v>198.93867610917192</v>
      </c>
      <c r="W31" s="1">
        <f t="shared" si="26"/>
        <v>98.164093297085202</v>
      </c>
      <c r="X31" s="1">
        <f t="shared" si="26"/>
        <v>87.646511872397497</v>
      </c>
      <c r="Y31" s="1">
        <f t="shared" si="26"/>
        <v>191.88464144543519</v>
      </c>
      <c r="AA31" s="97" t="s">
        <v>28</v>
      </c>
      <c r="AB31" s="97"/>
      <c r="AC31" s="97"/>
      <c r="AK31" s="96"/>
      <c r="AL31" s="63">
        <v>0.18</v>
      </c>
      <c r="AM31" s="65" cm="1">
        <f t="array" ref="AM31">(SUMPRODUCT($E$29:$Y$29/((1+$AL31)^($E$4:$Y$4-YEAR($C$2)+0.5)))*22.5+((843*1.025/($AL31-0.025))*22.5)/((1+$AL31)^($Z$4-YEAR($C$2)+0.5)))/($AF$20*AM$20)</f>
        <v>22.374628602616362</v>
      </c>
      <c r="AN31" s="52" cm="1">
        <f t="array" ref="AN31">(SUMPRODUCT($E$29:$Y$29/((1+$AL31)^($E$4:$Y$4-YEAR($C$2)+0.5)))*22.5+((843*1.025/($AL31-0.025))*22.5)/((1+$AL31)^($Z$4-YEAR($C$2)+0.5)))/($AF$20*AN$20)</f>
        <v>17.899702882093088</v>
      </c>
      <c r="AO31" s="52" cm="1">
        <f t="array" ref="AO31">(SUMPRODUCT($E$29:$Y$29/((1+$AL31)^($E$4:$Y$4-YEAR($C$2)+0.5)))*22.5+((843*1.025/($AL31-0.025))*22.5)/((1+$AL31)^($Z$4-YEAR($C$2)+0.5)))/($AF$20*AO$20)</f>
        <v>14.916419068410908</v>
      </c>
      <c r="AP31" s="52" cm="1">
        <f t="array" ref="AP31">(SUMPRODUCT($E$29:$Y$29/((1+$AL31)^($E$4:$Y$4-YEAR($C$2)+0.5)))*22.5+((843*1.025/($AL31-0.025))*22.5)/((1+$AL31)^($Z$4-YEAR($C$2)+0.5)))/($AF$20*AP$20)</f>
        <v>12.78550205863792</v>
      </c>
      <c r="AQ31" s="52" cm="1">
        <f t="array" ref="AQ31">(SUMPRODUCT($E$29:$Y$29/((1+$AL31)^($E$4:$Y$4-YEAR($C$2)+0.5)))*22.5+((843*1.025/($AL31-0.025))*22.5)/((1+$AL31)^($Z$4-YEAR($C$2)+0.5)))/($AF$20*AQ$20)</f>
        <v>11.187314301308181</v>
      </c>
      <c r="AR31" s="52" cm="1">
        <f t="array" ref="AR31">(SUMPRODUCT($E$29:$Y$29/((1+$AL31)^($E$4:$Y$4-YEAR($C$2)+0.5)))*22.5+((843*1.025/($AL31-0.025))*22.5)/((1+$AL31)^($Z$4-YEAR($C$2)+0.5)))/($AF$20*AR$20)</f>
        <v>8.949851441046544</v>
      </c>
      <c r="AS31" s="52" cm="1">
        <f t="array" ref="AS31">(SUMPRODUCT($E$29:$Y$29/((1+$AL31)^($E$4:$Y$4-YEAR($C$2)+0.5)))*22.5+((843*1.025/($AL31-0.025))*22.5)/((1+$AL31)^($Z$4-YEAR($C$2)+0.5)))/($AF$20*AS$20)</f>
        <v>7.4582095342054542</v>
      </c>
      <c r="AT31" s="52" cm="1">
        <f t="array" ref="AT31">(SUMPRODUCT($E$29:$Y$29/((1+$AL31)^($E$4:$Y$4-YEAR($C$2)+0.5)))*22.5+((843*1.025/($AL31-0.025))*22.5)/((1+$AL31)^($Z$4-YEAR($C$2)+0.5)))/($AF$20*AT$20)</f>
        <v>5.5936571506540904</v>
      </c>
      <c r="AU31" s="52" cm="1">
        <f t="array" ref="AU31">(SUMPRODUCT($E$29:$Y$29/((1+$AL31)^($E$4:$Y$4-YEAR($C$2)+0.5)))*22.5+((843*1.025/($AL31-0.025))*22.5)/((1+$AL31)^($Z$4-YEAR($C$2)+0.5)))/($AF$20*AU$20)</f>
        <v>4.474925720523272</v>
      </c>
      <c r="AV31" s="52" cm="1">
        <f t="array" ref="AV31">(SUMPRODUCT($E$29:$Y$29/((1+$AL31)^($E$4:$Y$4-YEAR($C$2)+0.5)))*22.5+((843*1.025/($AL31-0.025))*22.5)/((1+$AL31)^($Z$4-YEAR($C$2)+0.5)))/($AF$20*AV$20)</f>
        <v>2.237462860261636</v>
      </c>
      <c r="AW31" s="52" cm="1">
        <f t="array" ref="AW31">(SUMPRODUCT($E$29:$Y$29/((1+$AL31)^($E$4:$Y$4-YEAR($C$2)+0.5)))*22.5+((843*1.025/($AL31-0.025))*22.5)/((1+$AL31)^($Z$4-YEAR($C$2)+0.5)))/($AF$20*AW$20)</f>
        <v>1.7899702882093087</v>
      </c>
      <c r="AX31" s="52" cm="1">
        <f t="array" ref="AX31">(SUMPRODUCT($E$29:$Y$29/((1+$AL31)^($E$4:$Y$4-YEAR($C$2)+0.5)))*22.5+((843*1.025/($AL31-0.025))*22.5)/((1+$AL31)^($Z$4-YEAR($C$2)+0.5)))/($AF$20*AX$20)</f>
        <v>1.4916419068410907</v>
      </c>
      <c r="AY31" s="52" cm="1">
        <f t="array" ref="AY31">(SUMPRODUCT($E$29:$Y$29/((1+$AL31)^($E$4:$Y$4-YEAR($C$2)+0.5)))*22.5+((843*1.025/($AL31-0.025))*22.5)/((1+$AL31)^($Z$4-YEAR($C$2)+0.5)))/($AF$20*AY$20)</f>
        <v>1.2785502058637921</v>
      </c>
      <c r="AZ31" s="52" cm="1">
        <f t="array" ref="AZ31">(SUMPRODUCT($E$29:$Y$29/((1+$AL31)^($E$4:$Y$4-YEAR($C$2)+0.5)))*22.5+((843*1.025/($AL31-0.025))*22.5)/((1+$AL31)^($Z$4-YEAR($C$2)+0.5)))/($AF$20*AZ$20)</f>
        <v>1.118731430130818</v>
      </c>
    </row>
    <row r="32" spans="2:52" x14ac:dyDescent="0.3">
      <c r="B32" t="s">
        <v>25</v>
      </c>
      <c r="D32" s="23"/>
      <c r="E32" s="5">
        <f>E29/((1+$L$2)^(E$4-YEAR($C$2)+0.5))</f>
        <v>-750.0019906260784</v>
      </c>
      <c r="F32" s="6">
        <f t="shared" ref="F32:J32" si="27">F29/((1+$L$2)^(F$4-YEAR($C$2)+0.5))</f>
        <v>-787.75642312620676</v>
      </c>
      <c r="G32" s="1">
        <f t="shared" si="27"/>
        <v>588.51680813592941</v>
      </c>
      <c r="H32" s="1">
        <f t="shared" si="27"/>
        <v>525.46143583565117</v>
      </c>
      <c r="I32" s="1">
        <f t="shared" si="27"/>
        <v>469.16199628183136</v>
      </c>
      <c r="J32" s="30">
        <f t="shared" si="27"/>
        <v>-1045.8988597301989</v>
      </c>
      <c r="K32" s="6">
        <f>K29/((1+$L$2)^(K$4-YEAR($C$2)+0.5))</f>
        <v>481.7253886737866</v>
      </c>
      <c r="L32" s="6">
        <f t="shared" ref="L32:N32" si="28">L29/((1+$L$2)^(L$4-YEAR($C$2)+0.5))</f>
        <v>541.24371048713897</v>
      </c>
      <c r="M32" s="1">
        <f t="shared" si="28"/>
        <v>236.46346947182352</v>
      </c>
      <c r="N32" s="1">
        <f t="shared" si="28"/>
        <v>211.12809774269957</v>
      </c>
      <c r="O32" s="1">
        <f t="shared" ref="O32" si="29">O29/((1+$L$2)^(O$4-YEAR($C$2)+0.5))</f>
        <v>-553.82888248816312</v>
      </c>
      <c r="P32" s="6">
        <f>P29/((1+$L$2)^(P$4-YEAR($C$2)+0.5))</f>
        <v>273.34392261498687</v>
      </c>
      <c r="Q32" s="6">
        <f t="shared" ref="Q32:T32" si="30">Q29/((1+$L$2)^(Q$4-YEAR($C$2)+0.5))</f>
        <v>307.11621681918501</v>
      </c>
      <c r="R32" s="1">
        <f t="shared" si="30"/>
        <v>134.17572297470775</v>
      </c>
      <c r="S32" s="1">
        <f t="shared" si="30"/>
        <v>119.79975265598907</v>
      </c>
      <c r="T32" s="1">
        <f t="shared" si="30"/>
        <v>-314.2573813964039</v>
      </c>
      <c r="U32" s="6">
        <f>U29/((1+$L$2)^(U$4-YEAR($C$2)+0.5))</f>
        <v>155.10268253921006</v>
      </c>
      <c r="V32" s="6">
        <f t="shared" ref="V32:Y32" si="31">V29/((1+$L$2)^(V$4-YEAR($C$2)+0.5))</f>
        <v>174.26598924990171</v>
      </c>
      <c r="W32" s="1">
        <f t="shared" si="31"/>
        <v>76.13490860130824</v>
      </c>
      <c r="X32" s="1">
        <f t="shared" si="31"/>
        <v>67.97759696545377</v>
      </c>
      <c r="Y32" s="1">
        <f t="shared" si="31"/>
        <v>-178.31807781212206</v>
      </c>
      <c r="Z32" s="1">
        <f>$Z$29/((1+$L$2)^($Z$4-YEAR($C$2)+0.5))</f>
        <v>18641.884235325091</v>
      </c>
      <c r="AA32" s="97" t="s">
        <v>28</v>
      </c>
      <c r="AB32" s="97"/>
      <c r="AC32" s="97"/>
      <c r="AD32" t="s">
        <v>76</v>
      </c>
      <c r="AF32" s="56">
        <f>AF20/21</f>
        <v>15.782857142857143</v>
      </c>
      <c r="AH32" s="97" t="s">
        <v>79</v>
      </c>
      <c r="AI32" s="97"/>
      <c r="AJ32" s="97"/>
    </row>
    <row r="33" spans="2:36" x14ac:dyDescent="0.3">
      <c r="AD33" t="s">
        <v>77</v>
      </c>
      <c r="AF33" s="56">
        <f>AF6/AF21</f>
        <v>10.001990068486075</v>
      </c>
      <c r="AH33" s="97" t="s">
        <v>78</v>
      </c>
      <c r="AI33" s="97"/>
      <c r="AJ33" s="97"/>
    </row>
    <row r="34" spans="2:36" x14ac:dyDescent="0.3">
      <c r="B34" s="12" t="s">
        <v>17</v>
      </c>
      <c r="C34" s="13"/>
      <c r="D34" s="13"/>
      <c r="E34" s="55">
        <f>SUM(E31:Y31)</f>
        <v>-582.39871890699601</v>
      </c>
      <c r="G34" s="12" t="s">
        <v>82</v>
      </c>
      <c r="H34" s="13"/>
      <c r="I34" s="13"/>
      <c r="J34" s="55">
        <v>77000</v>
      </c>
      <c r="L34" s="12" t="s">
        <v>86</v>
      </c>
      <c r="M34" s="13"/>
      <c r="N34" s="13"/>
      <c r="O34" s="74">
        <f>SUM(E31:Y31)/200</f>
        <v>-2.9119935945349802</v>
      </c>
      <c r="Q34" s="12" t="s">
        <v>99</v>
      </c>
      <c r="R34" s="13"/>
      <c r="S34" s="13"/>
      <c r="T34" s="74">
        <f>Z29/200/22.5</f>
        <v>47.365789473684202</v>
      </c>
      <c r="Y34" s="6"/>
      <c r="Z34" s="24"/>
      <c r="AA34" s="97"/>
      <c r="AB34" s="97"/>
      <c r="AC34" s="97"/>
      <c r="AD34" t="s">
        <v>80</v>
      </c>
      <c r="AF34" s="56">
        <f>(AF20*(1.02)^20)/AF20</f>
        <v>1.4859473959783542</v>
      </c>
      <c r="AH34" s="97" t="s">
        <v>81</v>
      </c>
      <c r="AI34" s="97"/>
      <c r="AJ34" s="97"/>
    </row>
    <row r="35" spans="2:36" x14ac:dyDescent="0.3">
      <c r="B35" s="14" t="s">
        <v>29</v>
      </c>
      <c r="C35" s="10"/>
      <c r="D35" s="10"/>
      <c r="E35" s="27">
        <f>SUM(E32:Y32)</f>
        <v>731.55608387043003</v>
      </c>
      <c r="G35" s="14" t="s">
        <v>83</v>
      </c>
      <c r="H35" s="10"/>
      <c r="I35" s="10"/>
      <c r="J35" s="72">
        <f>9700000000/(J34*43800)</f>
        <v>2.8761193144754786</v>
      </c>
      <c r="L35" s="14" t="s">
        <v>87</v>
      </c>
      <c r="M35" s="10"/>
      <c r="N35" s="10"/>
      <c r="O35" s="72">
        <f>SUM(E32:Y32)/200</f>
        <v>3.6577804193521501</v>
      </c>
      <c r="Q35" s="15" t="s">
        <v>98</v>
      </c>
      <c r="R35" s="11"/>
      <c r="S35" s="11"/>
      <c r="T35" s="73">
        <f>Z32/200/22.5</f>
        <v>4.1426409411833536</v>
      </c>
      <c r="Z35" s="6"/>
      <c r="AA35" s="97"/>
      <c r="AB35" s="97"/>
      <c r="AC35" s="97"/>
      <c r="AD35" t="s">
        <v>105</v>
      </c>
      <c r="AF35" s="56">
        <f>'Deal Economics'!Q6/AF21</f>
        <v>6.1328628298878476</v>
      </c>
    </row>
    <row r="36" spans="2:36" x14ac:dyDescent="0.3">
      <c r="B36" s="14" t="s">
        <v>18</v>
      </c>
      <c r="C36" s="10"/>
      <c r="D36" s="10"/>
      <c r="E36" s="25">
        <f>IRR(E23:Y23)</f>
        <v>0.10008525843947669</v>
      </c>
      <c r="G36" s="14" t="s">
        <v>84</v>
      </c>
      <c r="H36" s="10"/>
      <c r="I36" s="10"/>
      <c r="J36" s="72">
        <f>SUM(E23:Y23)/200</f>
        <v>36.851124999999996</v>
      </c>
      <c r="L36" s="14" t="s">
        <v>88</v>
      </c>
      <c r="M36" s="10"/>
      <c r="N36" s="10"/>
      <c r="O36" s="27">
        <f>SUM(E23:Y23)</f>
        <v>7370.2249999999995</v>
      </c>
      <c r="Z36" s="6"/>
    </row>
    <row r="37" spans="2:36" x14ac:dyDescent="0.3">
      <c r="B37" s="15" t="s">
        <v>19</v>
      </c>
      <c r="C37" s="11"/>
      <c r="D37" s="11"/>
      <c r="E37" s="26">
        <f>IRR(E29:Y29)</f>
        <v>0.20792417628656423</v>
      </c>
      <c r="G37" s="15" t="s">
        <v>85</v>
      </c>
      <c r="H37" s="11"/>
      <c r="I37" s="11"/>
      <c r="J37" s="73">
        <f>SUM(E29:Y29)/200</f>
        <v>18.69902500000001</v>
      </c>
      <c r="K37" s="28"/>
      <c r="L37" s="15" t="s">
        <v>88</v>
      </c>
      <c r="M37" s="11"/>
      <c r="N37" s="11"/>
      <c r="O37" s="75">
        <f>SUM(E29:Y29)</f>
        <v>3739.8050000000021</v>
      </c>
    </row>
    <row r="38" spans="2:36" x14ac:dyDescent="0.3">
      <c r="K38" s="28"/>
      <c r="S38" s="6"/>
    </row>
    <row r="39" spans="2:36" x14ac:dyDescent="0.3">
      <c r="K39" s="1"/>
    </row>
  </sheetData>
  <mergeCells count="27">
    <mergeCell ref="AA34:AC34"/>
    <mergeCell ref="AH34:AJ34"/>
    <mergeCell ref="AA35:AC35"/>
    <mergeCell ref="AD4:AF4"/>
    <mergeCell ref="AH4:AJ4"/>
    <mergeCell ref="AH5:AJ5"/>
    <mergeCell ref="AH6:AJ6"/>
    <mergeCell ref="AH7:AJ7"/>
    <mergeCell ref="AA17:AC17"/>
    <mergeCell ref="AA32:AC32"/>
    <mergeCell ref="AA18:AC18"/>
    <mergeCell ref="AA19:AC19"/>
    <mergeCell ref="AA26:AC26"/>
    <mergeCell ref="AA31:AC31"/>
    <mergeCell ref="AA8:AC8"/>
    <mergeCell ref="AA4:AC4"/>
    <mergeCell ref="AA5:AC5"/>
    <mergeCell ref="AA10:AC10"/>
    <mergeCell ref="AH33:AJ33"/>
    <mergeCell ref="AH32:AJ32"/>
    <mergeCell ref="AK20:AK31"/>
    <mergeCell ref="AK4:AZ4"/>
    <mergeCell ref="AM19:AZ19"/>
    <mergeCell ref="AM5:AZ5"/>
    <mergeCell ref="AH20:AJ20"/>
    <mergeCell ref="AH25:AJ25"/>
    <mergeCell ref="AK7:A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7B7E-01D4-4825-85A2-696D315761AB}">
  <dimension ref="B2:D6"/>
  <sheetViews>
    <sheetView showGridLines="0" workbookViewId="0">
      <selection activeCell="D6" sqref="D6"/>
    </sheetView>
  </sheetViews>
  <sheetFormatPr defaultRowHeight="14.4" x14ac:dyDescent="0.3"/>
  <sheetData>
    <row r="2" spans="2:4" x14ac:dyDescent="0.3">
      <c r="B2" s="2" t="s">
        <v>71</v>
      </c>
      <c r="C2" s="2"/>
      <c r="D2" s="2"/>
    </row>
    <row r="3" spans="2:4" x14ac:dyDescent="0.3">
      <c r="B3" t="s">
        <v>68</v>
      </c>
      <c r="D3" s="24">
        <v>4.0439999999999997E-2</v>
      </c>
    </row>
    <row r="4" spans="2:4" x14ac:dyDescent="0.3">
      <c r="B4" t="s">
        <v>69</v>
      </c>
      <c r="D4" s="24">
        <v>4.1700000000000001E-2</v>
      </c>
    </row>
    <row r="5" spans="2:4" x14ac:dyDescent="0.3">
      <c r="B5" s="9" t="s">
        <v>70</v>
      </c>
      <c r="C5" s="9"/>
      <c r="D5" s="9">
        <v>1.94</v>
      </c>
    </row>
    <row r="6" spans="2:4" x14ac:dyDescent="0.3">
      <c r="B6" t="s">
        <v>71</v>
      </c>
      <c r="D6" s="24">
        <f>D3+(D5*D4)</f>
        <v>0.121338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25EE-88FF-42E8-ADB7-EC0455EA4B13}">
  <dimension ref="B2:AC31"/>
  <sheetViews>
    <sheetView showGridLines="0" workbookViewId="0">
      <selection activeCell="B12" sqref="B12"/>
    </sheetView>
  </sheetViews>
  <sheetFormatPr defaultRowHeight="14.4" x14ac:dyDescent="0.3"/>
  <sheetData>
    <row r="2" spans="2:29" x14ac:dyDescent="0.3">
      <c r="B2" t="s">
        <v>26</v>
      </c>
      <c r="C2" s="22">
        <v>46085</v>
      </c>
      <c r="E2" t="s">
        <v>27</v>
      </c>
      <c r="G2" s="24">
        <v>0.12</v>
      </c>
      <c r="I2" t="s">
        <v>32</v>
      </c>
      <c r="L2" s="24">
        <v>0.12</v>
      </c>
    </row>
    <row r="4" spans="2:29" x14ac:dyDescent="0.3">
      <c r="B4" s="2" t="s">
        <v>110</v>
      </c>
      <c r="C4" s="2"/>
      <c r="D4" s="2"/>
      <c r="E4" s="2">
        <v>2026</v>
      </c>
      <c r="F4" s="2">
        <v>2027</v>
      </c>
      <c r="G4" s="2">
        <v>2028</v>
      </c>
      <c r="H4" s="2">
        <v>2029</v>
      </c>
      <c r="I4" s="2">
        <v>2030</v>
      </c>
      <c r="J4" s="2">
        <v>2031</v>
      </c>
      <c r="K4" s="33">
        <f>J4+1</f>
        <v>2032</v>
      </c>
      <c r="L4" s="2">
        <f t="shared" ref="L4:Y4" si="0">K4+1</f>
        <v>2033</v>
      </c>
      <c r="M4" s="2">
        <f t="shared" si="0"/>
        <v>2034</v>
      </c>
      <c r="N4" s="2">
        <f t="shared" si="0"/>
        <v>2035</v>
      </c>
      <c r="O4" s="2">
        <f t="shared" si="0"/>
        <v>2036</v>
      </c>
      <c r="P4" s="33">
        <f t="shared" si="0"/>
        <v>2037</v>
      </c>
      <c r="Q4" s="2">
        <f t="shared" si="0"/>
        <v>2038</v>
      </c>
      <c r="R4" s="2">
        <f t="shared" si="0"/>
        <v>2039</v>
      </c>
      <c r="S4" s="2">
        <f t="shared" si="0"/>
        <v>2040</v>
      </c>
      <c r="T4" s="2">
        <f t="shared" si="0"/>
        <v>2041</v>
      </c>
      <c r="U4" s="33">
        <f t="shared" si="0"/>
        <v>2042</v>
      </c>
      <c r="V4" s="2">
        <f t="shared" si="0"/>
        <v>2043</v>
      </c>
      <c r="W4" s="2">
        <f t="shared" si="0"/>
        <v>2044</v>
      </c>
      <c r="X4" s="2">
        <f t="shared" si="0"/>
        <v>2045</v>
      </c>
      <c r="Y4" s="39">
        <f t="shared" si="0"/>
        <v>2046</v>
      </c>
      <c r="Z4" s="2">
        <v>2047</v>
      </c>
      <c r="AA4" s="98" t="s">
        <v>14</v>
      </c>
      <c r="AB4" s="98"/>
      <c r="AC4" s="98"/>
    </row>
    <row r="5" spans="2:29" x14ac:dyDescent="0.3">
      <c r="B5" t="s">
        <v>0</v>
      </c>
      <c r="E5" s="4">
        <f>F5*0.25</f>
        <v>440</v>
      </c>
      <c r="F5" s="4">
        <v>1760</v>
      </c>
      <c r="G5" s="4">
        <v>1760</v>
      </c>
      <c r="H5" s="4">
        <v>1760</v>
      </c>
      <c r="I5" s="4">
        <v>1760</v>
      </c>
      <c r="J5" s="4">
        <f>I5*0.75</f>
        <v>1320</v>
      </c>
      <c r="K5" s="34">
        <v>1760</v>
      </c>
      <c r="L5" s="4">
        <v>1760</v>
      </c>
      <c r="M5" s="4">
        <v>1760</v>
      </c>
      <c r="N5" s="4">
        <v>1760</v>
      </c>
      <c r="O5" s="4">
        <v>1760</v>
      </c>
      <c r="P5" s="34">
        <v>1760</v>
      </c>
      <c r="Q5" s="4">
        <v>1760</v>
      </c>
      <c r="R5" s="4">
        <v>1760</v>
      </c>
      <c r="S5" s="4">
        <v>1760</v>
      </c>
      <c r="T5" s="4">
        <v>1760</v>
      </c>
      <c r="U5" s="34">
        <v>1760</v>
      </c>
      <c r="V5" s="4">
        <v>1760</v>
      </c>
      <c r="W5" s="4">
        <v>1760</v>
      </c>
      <c r="X5" s="4">
        <v>1760</v>
      </c>
      <c r="Y5" s="4">
        <v>1760</v>
      </c>
    </row>
    <row r="6" spans="2:29" x14ac:dyDescent="0.3">
      <c r="B6" t="s">
        <v>33</v>
      </c>
      <c r="E6" s="1">
        <f>E5-E7</f>
        <v>44</v>
      </c>
      <c r="F6" s="1">
        <f t="shared" ref="F6:Y6" si="1">F5-F7</f>
        <v>176</v>
      </c>
      <c r="G6" s="1">
        <f t="shared" si="1"/>
        <v>176</v>
      </c>
      <c r="H6" s="1">
        <f t="shared" si="1"/>
        <v>176</v>
      </c>
      <c r="I6" s="1">
        <f t="shared" si="1"/>
        <v>176</v>
      </c>
      <c r="J6" s="1">
        <f t="shared" si="1"/>
        <v>132</v>
      </c>
      <c r="K6" s="35">
        <f t="shared" si="1"/>
        <v>176</v>
      </c>
      <c r="L6" s="1">
        <f t="shared" si="1"/>
        <v>176</v>
      </c>
      <c r="M6" s="1">
        <f t="shared" si="1"/>
        <v>176</v>
      </c>
      <c r="N6" s="1">
        <f t="shared" si="1"/>
        <v>176</v>
      </c>
      <c r="O6" s="1">
        <f t="shared" si="1"/>
        <v>176</v>
      </c>
      <c r="P6" s="35">
        <f t="shared" si="1"/>
        <v>176</v>
      </c>
      <c r="Q6" s="1">
        <f t="shared" si="1"/>
        <v>176</v>
      </c>
      <c r="R6" s="1">
        <f t="shared" si="1"/>
        <v>176</v>
      </c>
      <c r="S6" s="1">
        <f t="shared" si="1"/>
        <v>176</v>
      </c>
      <c r="T6" s="1">
        <f t="shared" si="1"/>
        <v>176</v>
      </c>
      <c r="U6" s="35">
        <f t="shared" si="1"/>
        <v>176</v>
      </c>
      <c r="V6" s="1">
        <f t="shared" si="1"/>
        <v>176</v>
      </c>
      <c r="W6" s="1">
        <f t="shared" si="1"/>
        <v>176</v>
      </c>
      <c r="X6" s="1">
        <f t="shared" si="1"/>
        <v>176</v>
      </c>
      <c r="Y6" s="41">
        <f t="shared" si="1"/>
        <v>176</v>
      </c>
    </row>
    <row r="7" spans="2:29" x14ac:dyDescent="0.3">
      <c r="B7" t="s">
        <v>1</v>
      </c>
      <c r="E7" s="1">
        <f>E5*E8</f>
        <v>396</v>
      </c>
      <c r="F7" s="1">
        <f t="shared" ref="F7:J7" si="2">F5*F8</f>
        <v>1584</v>
      </c>
      <c r="G7" s="1">
        <f t="shared" si="2"/>
        <v>1584</v>
      </c>
      <c r="H7" s="1">
        <f t="shared" si="2"/>
        <v>1584</v>
      </c>
      <c r="I7" s="1">
        <f t="shared" si="2"/>
        <v>1584</v>
      </c>
      <c r="J7" s="1">
        <f t="shared" si="2"/>
        <v>1188</v>
      </c>
      <c r="K7" s="35">
        <f t="shared" ref="K7" si="3">K5*K8</f>
        <v>1584</v>
      </c>
      <c r="L7" s="1">
        <f t="shared" ref="L7" si="4">L5*L8</f>
        <v>1584</v>
      </c>
      <c r="M7" s="1">
        <f t="shared" ref="M7" si="5">M5*M8</f>
        <v>1584</v>
      </c>
      <c r="N7" s="1">
        <f t="shared" ref="N7" si="6">N5*N8</f>
        <v>1584</v>
      </c>
      <c r="O7" s="41">
        <f t="shared" ref="O7" si="7">O5*O8</f>
        <v>1584</v>
      </c>
      <c r="P7" s="1">
        <f t="shared" ref="P7" si="8">P5*P8</f>
        <v>1584</v>
      </c>
      <c r="Q7" s="1">
        <f t="shared" ref="Q7" si="9">Q5*Q8</f>
        <v>1584</v>
      </c>
      <c r="R7" s="1">
        <f t="shared" ref="R7" si="10">R5*R8</f>
        <v>1584</v>
      </c>
      <c r="S7" s="1">
        <f t="shared" ref="S7" si="11">S5*S8</f>
        <v>1584</v>
      </c>
      <c r="T7" s="41">
        <f t="shared" ref="T7" si="12">T5*T8</f>
        <v>1584</v>
      </c>
      <c r="U7" s="1">
        <f t="shared" ref="U7" si="13">U5*U8</f>
        <v>1584</v>
      </c>
      <c r="V7" s="1">
        <f t="shared" ref="V7" si="14">V5*V8</f>
        <v>1584</v>
      </c>
      <c r="W7" s="1">
        <f t="shared" ref="W7" si="15">W5*W8</f>
        <v>1584</v>
      </c>
      <c r="X7" s="1">
        <f t="shared" ref="X7" si="16">X5*X8</f>
        <v>1584</v>
      </c>
      <c r="Y7" s="41">
        <f t="shared" ref="Y7" si="17">Y5*Y8</f>
        <v>1584</v>
      </c>
    </row>
    <row r="8" spans="2:29" x14ac:dyDescent="0.3">
      <c r="B8" t="s">
        <v>2</v>
      </c>
      <c r="E8" s="3">
        <v>0.9</v>
      </c>
      <c r="F8" s="3">
        <v>0.9</v>
      </c>
      <c r="G8" s="3">
        <v>0.9</v>
      </c>
      <c r="H8" s="3">
        <v>0.9</v>
      </c>
      <c r="I8" s="3">
        <v>0.9</v>
      </c>
      <c r="J8" s="3">
        <v>0.9</v>
      </c>
      <c r="K8" s="36">
        <v>0.9</v>
      </c>
      <c r="L8" s="3">
        <v>0.9</v>
      </c>
      <c r="M8" s="3">
        <v>0.9</v>
      </c>
      <c r="N8" s="3">
        <v>0.9</v>
      </c>
      <c r="O8" s="42">
        <v>0.9</v>
      </c>
      <c r="P8" s="3">
        <v>0.9</v>
      </c>
      <c r="Q8" s="3">
        <v>0.9</v>
      </c>
      <c r="R8" s="3">
        <v>0.9</v>
      </c>
      <c r="S8" s="3">
        <v>0.9</v>
      </c>
      <c r="T8" s="42">
        <v>0.9</v>
      </c>
      <c r="U8" s="3">
        <v>0.9</v>
      </c>
      <c r="V8" s="3">
        <v>0.9</v>
      </c>
      <c r="W8" s="3">
        <v>0.9</v>
      </c>
      <c r="X8" s="3">
        <v>0.9</v>
      </c>
      <c r="Y8" s="42">
        <v>0.9</v>
      </c>
    </row>
    <row r="9" spans="2:29" x14ac:dyDescent="0.3">
      <c r="E9" s="1"/>
      <c r="F9" s="1"/>
      <c r="G9" s="1"/>
      <c r="H9" s="1"/>
      <c r="I9" s="1"/>
      <c r="J9" s="1"/>
      <c r="K9" s="37"/>
      <c r="P9" s="37"/>
      <c r="U9" s="37"/>
      <c r="Y9" s="43"/>
    </row>
    <row r="10" spans="2:29" x14ac:dyDescent="0.3">
      <c r="B10" t="s">
        <v>1</v>
      </c>
      <c r="E10" s="7">
        <f t="shared" ref="E10:Y10" si="18">E7</f>
        <v>396</v>
      </c>
      <c r="F10" s="7">
        <f t="shared" si="18"/>
        <v>1584</v>
      </c>
      <c r="G10" s="7">
        <f t="shared" si="18"/>
        <v>1584</v>
      </c>
      <c r="H10" s="7">
        <f t="shared" si="18"/>
        <v>1584</v>
      </c>
      <c r="I10" s="7">
        <f t="shared" si="18"/>
        <v>1584</v>
      </c>
      <c r="J10" s="7">
        <f t="shared" si="18"/>
        <v>1188</v>
      </c>
      <c r="K10" s="45">
        <f t="shared" si="18"/>
        <v>1584</v>
      </c>
      <c r="L10" s="7">
        <f t="shared" si="18"/>
        <v>1584</v>
      </c>
      <c r="M10" s="7">
        <f t="shared" si="18"/>
        <v>1584</v>
      </c>
      <c r="N10" s="7">
        <f t="shared" si="18"/>
        <v>1584</v>
      </c>
      <c r="O10" s="7">
        <f t="shared" si="18"/>
        <v>1584</v>
      </c>
      <c r="P10" s="45">
        <f t="shared" si="18"/>
        <v>1584</v>
      </c>
      <c r="Q10" s="7">
        <f t="shared" si="18"/>
        <v>1584</v>
      </c>
      <c r="R10" s="7">
        <f t="shared" si="18"/>
        <v>1584</v>
      </c>
      <c r="S10" s="7">
        <f t="shared" si="18"/>
        <v>1584</v>
      </c>
      <c r="T10" s="7">
        <f t="shared" si="18"/>
        <v>1584</v>
      </c>
      <c r="U10" s="45">
        <f t="shared" si="18"/>
        <v>1584</v>
      </c>
      <c r="V10" s="7">
        <f t="shared" si="18"/>
        <v>1584</v>
      </c>
      <c r="W10" s="7">
        <f t="shared" si="18"/>
        <v>1584</v>
      </c>
      <c r="X10" s="7">
        <f t="shared" si="18"/>
        <v>1584</v>
      </c>
      <c r="Y10" s="46">
        <f t="shared" si="18"/>
        <v>1584</v>
      </c>
    </row>
    <row r="11" spans="2:29" x14ac:dyDescent="0.3">
      <c r="B11" t="s">
        <v>7</v>
      </c>
      <c r="E11" s="7">
        <f>4*160</f>
        <v>640</v>
      </c>
      <c r="F11" s="7"/>
      <c r="G11" s="7"/>
      <c r="H11" s="7"/>
      <c r="I11" s="7"/>
      <c r="J11" s="7"/>
      <c r="K11" s="45"/>
      <c r="L11" s="7"/>
      <c r="M11" s="7"/>
      <c r="N11" s="7"/>
      <c r="O11" s="7"/>
      <c r="P11" s="45"/>
      <c r="Q11" s="7"/>
      <c r="R11" s="7"/>
      <c r="S11" s="7"/>
      <c r="T11" s="7"/>
      <c r="U11" s="45"/>
      <c r="V11" s="7"/>
      <c r="W11" s="7"/>
      <c r="X11" s="7"/>
      <c r="Y11" s="46"/>
    </row>
    <row r="12" spans="2:29" x14ac:dyDescent="0.3">
      <c r="B12" t="s">
        <v>8</v>
      </c>
      <c r="E12" s="87">
        <v>-2300</v>
      </c>
      <c r="F12" s="5"/>
      <c r="G12" s="1"/>
      <c r="H12" s="1"/>
      <c r="I12" s="1"/>
      <c r="J12" s="1"/>
      <c r="K12" s="88">
        <v>-3500</v>
      </c>
      <c r="P12" s="38">
        <f>-5800</f>
        <v>-5800</v>
      </c>
      <c r="U12" s="38">
        <f>-5800</f>
        <v>-5800</v>
      </c>
      <c r="Y12" s="43"/>
    </row>
    <row r="13" spans="2:29" x14ac:dyDescent="0.3">
      <c r="B13" t="s">
        <v>9</v>
      </c>
      <c r="E13" s="1"/>
      <c r="F13" s="5">
        <f>-0.5*260</f>
        <v>-130</v>
      </c>
      <c r="G13" s="5">
        <f t="shared" ref="G13:I13" si="19">-0.5*260</f>
        <v>-130</v>
      </c>
      <c r="H13" s="5">
        <f t="shared" si="19"/>
        <v>-130</v>
      </c>
      <c r="I13" s="5">
        <f t="shared" si="19"/>
        <v>-130</v>
      </c>
      <c r="J13" s="5">
        <f>-0.5*260</f>
        <v>-130</v>
      </c>
      <c r="K13" s="38">
        <f>-0.5*260</f>
        <v>-130</v>
      </c>
      <c r="L13" s="5">
        <f t="shared" ref="L13:N13" si="20">-0.5*260</f>
        <v>-130</v>
      </c>
      <c r="M13" s="5">
        <f t="shared" si="20"/>
        <v>-130</v>
      </c>
      <c r="N13" s="5">
        <f t="shared" si="20"/>
        <v>-130</v>
      </c>
      <c r="O13" s="5">
        <f>-0.5*260</f>
        <v>-130</v>
      </c>
      <c r="P13" s="38">
        <f t="shared" ref="P13:Y13" si="21">-0.5*200</f>
        <v>-100</v>
      </c>
      <c r="Q13" s="5">
        <f t="shared" si="21"/>
        <v>-100</v>
      </c>
      <c r="R13" s="5">
        <f t="shared" si="21"/>
        <v>-100</v>
      </c>
      <c r="S13" s="5">
        <f t="shared" si="21"/>
        <v>-100</v>
      </c>
      <c r="T13" s="5">
        <f t="shared" si="21"/>
        <v>-100</v>
      </c>
      <c r="U13" s="38">
        <f t="shared" si="21"/>
        <v>-100</v>
      </c>
      <c r="V13" s="5">
        <f t="shared" si="21"/>
        <v>-100</v>
      </c>
      <c r="W13" s="5">
        <f t="shared" si="21"/>
        <v>-100</v>
      </c>
      <c r="X13" s="5">
        <f t="shared" si="21"/>
        <v>-100</v>
      </c>
      <c r="Y13" s="44">
        <f t="shared" si="21"/>
        <v>-100</v>
      </c>
    </row>
    <row r="14" spans="2:29" x14ac:dyDescent="0.3">
      <c r="B14" t="s">
        <v>10</v>
      </c>
      <c r="E14" s="1"/>
      <c r="F14" s="1"/>
      <c r="G14" s="1"/>
      <c r="H14" s="1"/>
      <c r="I14" s="1"/>
      <c r="J14" s="1">
        <f>E12*-0.2</f>
        <v>460</v>
      </c>
      <c r="K14" s="37"/>
      <c r="O14" s="1">
        <f>K12*-0.2</f>
        <v>700</v>
      </c>
      <c r="P14" s="37"/>
      <c r="T14" s="1">
        <f>P12*-0.2</f>
        <v>1160</v>
      </c>
      <c r="U14" s="37"/>
      <c r="Y14" s="41">
        <f>U12*-0.2</f>
        <v>1160</v>
      </c>
    </row>
    <row r="15" spans="2:29" x14ac:dyDescent="0.3">
      <c r="E15" s="1"/>
      <c r="F15" s="1"/>
      <c r="G15" s="1"/>
      <c r="H15" s="1"/>
      <c r="I15" s="1"/>
      <c r="J15" s="1"/>
      <c r="K15" s="37"/>
      <c r="P15" s="37"/>
      <c r="U15" s="37"/>
      <c r="Y15" s="43"/>
    </row>
    <row r="16" spans="2:29" x14ac:dyDescent="0.3">
      <c r="E16" s="1"/>
      <c r="F16" s="1"/>
      <c r="G16" s="1"/>
      <c r="H16" s="1"/>
      <c r="I16" s="1"/>
      <c r="J16" s="1"/>
      <c r="K16" s="37"/>
      <c r="P16" s="37"/>
      <c r="U16" s="37"/>
      <c r="Y16" s="43"/>
    </row>
    <row r="17" spans="2:26" x14ac:dyDescent="0.3">
      <c r="B17" s="16" t="s">
        <v>12</v>
      </c>
      <c r="C17" s="17"/>
      <c r="D17" s="17"/>
      <c r="E17" s="18" t="e">
        <f>E10+E12-#REF!</f>
        <v>#REF!</v>
      </c>
      <c r="F17" s="18" t="e">
        <f>SUM(F10:F13)-#REF!</f>
        <v>#REF!</v>
      </c>
      <c r="G17" s="18" t="e">
        <f>G10++G13-#REF!</f>
        <v>#REF!</v>
      </c>
      <c r="H17" s="18" t="e">
        <f>H10+#REF!+H13-#REF!</f>
        <v>#REF!</v>
      </c>
      <c r="I17" s="18" t="e">
        <f>I10+#REF!+I13-#REF!</f>
        <v>#REF!</v>
      </c>
      <c r="J17" s="18" t="e">
        <f>J10+J13+#REF!+J14+-#REF!</f>
        <v>#REF!</v>
      </c>
      <c r="K17" s="18" t="e">
        <f>K10+#REF!+K12+K13-#REF!</f>
        <v>#REF!</v>
      </c>
      <c r="L17" s="18" t="e">
        <f>L10+#REF!+L13-#REF!</f>
        <v>#REF!</v>
      </c>
      <c r="M17" s="18" t="e">
        <f>M10+#REF!+M13-#REF!</f>
        <v>#REF!</v>
      </c>
      <c r="N17" s="18" t="e">
        <f>N10+#REF!+N13-#REF!</f>
        <v>#REF!</v>
      </c>
      <c r="O17" s="18" t="e">
        <f>O10+#REF!+O13+O14-#REF!</f>
        <v>#REF!</v>
      </c>
      <c r="P17" s="18" t="e">
        <f>P10+#REF!+P12+P13-#REF!</f>
        <v>#REF!</v>
      </c>
      <c r="Q17" s="18" t="e">
        <f>Q10+#REF!+Q13-#REF!</f>
        <v>#REF!</v>
      </c>
      <c r="R17" s="18" t="e">
        <f>R10+#REF!+R13-#REF!</f>
        <v>#REF!</v>
      </c>
      <c r="S17" s="18" t="e">
        <f>S10+#REF!+S13-#REF!</f>
        <v>#REF!</v>
      </c>
      <c r="T17" s="18" t="e">
        <f>T10+#REF!+T13+T14-#REF!</f>
        <v>#REF!</v>
      </c>
      <c r="U17" s="18" t="e">
        <f>U10+#REF!+U12+U13-#REF!</f>
        <v>#REF!</v>
      </c>
      <c r="V17" s="18" t="e">
        <f>V10+#REF!+V13-#REF!</f>
        <v>#REF!</v>
      </c>
      <c r="W17" s="18" t="e">
        <f>W10+#REF!+W13-#REF!</f>
        <v>#REF!</v>
      </c>
      <c r="X17" s="18" t="e">
        <f>X10+#REF!+X13-#REF!</f>
        <v>#REF!</v>
      </c>
      <c r="Y17" s="19" t="e">
        <f>Y10+#REF!+Y13+Y14-#REF!</f>
        <v>#REF!</v>
      </c>
    </row>
    <row r="18" spans="2:26" x14ac:dyDescent="0.3">
      <c r="K18" s="37"/>
      <c r="P18" s="37"/>
      <c r="U18" s="37"/>
      <c r="Y18" s="43"/>
    </row>
    <row r="19" spans="2:26" x14ac:dyDescent="0.3">
      <c r="B19" t="s">
        <v>20</v>
      </c>
      <c r="E19" s="4">
        <v>3600</v>
      </c>
      <c r="F19" s="5"/>
      <c r="G19" s="5"/>
      <c r="H19" s="5"/>
      <c r="I19" s="5"/>
      <c r="J19" s="5"/>
      <c r="K19" s="34">
        <v>3600</v>
      </c>
      <c r="P19" s="34">
        <v>3600</v>
      </c>
      <c r="U19" s="34">
        <v>3600</v>
      </c>
      <c r="Y19" s="43"/>
    </row>
    <row r="20" spans="2:26" x14ac:dyDescent="0.3">
      <c r="B20" t="s">
        <v>21</v>
      </c>
      <c r="E20" s="5">
        <f>(($E$19*-0.06)*0.75)*0.83</f>
        <v>-134.45999999999998</v>
      </c>
      <c r="F20" s="5">
        <f>($E$19*-0.06)*0.83</f>
        <v>-179.28</v>
      </c>
      <c r="G20" s="5">
        <f>($E$19*-0.06)*0.83</f>
        <v>-179.28</v>
      </c>
      <c r="H20" s="5">
        <f>($E$19*-0.06)*0.83</f>
        <v>-179.28</v>
      </c>
      <c r="I20" s="5">
        <f>($E$19*-0.06)*0.83</f>
        <v>-179.28</v>
      </c>
      <c r="J20" s="71">
        <f>($E$19*-0.06*0.5)*0.83</f>
        <v>-89.64</v>
      </c>
      <c r="K20" s="5">
        <f t="shared" ref="K20:Y20" si="22">($K$19*-0.06)*0.83</f>
        <v>-179.28</v>
      </c>
      <c r="L20" s="5">
        <f t="shared" si="22"/>
        <v>-179.28</v>
      </c>
      <c r="M20" s="5">
        <f t="shared" si="22"/>
        <v>-179.28</v>
      </c>
      <c r="N20" s="5">
        <f t="shared" si="22"/>
        <v>-179.28</v>
      </c>
      <c r="O20" s="44">
        <f t="shared" si="22"/>
        <v>-179.28</v>
      </c>
      <c r="P20" s="5">
        <f t="shared" si="22"/>
        <v>-179.28</v>
      </c>
      <c r="Q20" s="5">
        <f t="shared" si="22"/>
        <v>-179.28</v>
      </c>
      <c r="R20" s="5">
        <f t="shared" si="22"/>
        <v>-179.28</v>
      </c>
      <c r="S20" s="5">
        <f t="shared" si="22"/>
        <v>-179.28</v>
      </c>
      <c r="T20" s="44">
        <f t="shared" si="22"/>
        <v>-179.28</v>
      </c>
      <c r="U20" s="5">
        <f t="shared" si="22"/>
        <v>-179.28</v>
      </c>
      <c r="V20" s="5">
        <f t="shared" si="22"/>
        <v>-179.28</v>
      </c>
      <c r="W20" s="5">
        <f t="shared" si="22"/>
        <v>-179.28</v>
      </c>
      <c r="X20" s="5">
        <f t="shared" si="22"/>
        <v>-179.28</v>
      </c>
      <c r="Y20" s="44">
        <f t="shared" si="22"/>
        <v>-179.28</v>
      </c>
    </row>
    <row r="21" spans="2:26" x14ac:dyDescent="0.3">
      <c r="B21" t="s">
        <v>22</v>
      </c>
      <c r="E21" s="5"/>
      <c r="F21" s="5"/>
      <c r="G21" s="5"/>
      <c r="H21" s="5"/>
      <c r="I21" s="5"/>
      <c r="J21" s="20">
        <f>-E19</f>
        <v>-3600</v>
      </c>
      <c r="K21" s="37"/>
      <c r="O21" s="20">
        <f>-K19</f>
        <v>-3600</v>
      </c>
      <c r="P21" s="37"/>
      <c r="T21" s="20">
        <f>-P19</f>
        <v>-3600</v>
      </c>
      <c r="U21" s="37"/>
      <c r="Y21" s="50">
        <f>-U19</f>
        <v>-3600</v>
      </c>
    </row>
    <row r="22" spans="2:26" x14ac:dyDescent="0.3">
      <c r="E22" s="5"/>
      <c r="F22" s="5"/>
      <c r="G22" s="5"/>
      <c r="H22" s="5"/>
      <c r="I22" s="5"/>
      <c r="J22" s="5"/>
      <c r="K22" s="37"/>
      <c r="P22" s="37"/>
      <c r="U22" s="37"/>
      <c r="Y22" s="43"/>
    </row>
    <row r="23" spans="2:26" x14ac:dyDescent="0.3">
      <c r="B23" s="16" t="s">
        <v>23</v>
      </c>
      <c r="C23" s="17"/>
      <c r="D23" s="17"/>
      <c r="E23" s="21" t="e">
        <f>E17+E19+E20</f>
        <v>#REF!</v>
      </c>
      <c r="F23" s="18" t="e">
        <f>F17+F20</f>
        <v>#REF!</v>
      </c>
      <c r="G23" s="18" t="e">
        <f t="shared" ref="G23:I23" si="23">G17+G20</f>
        <v>#REF!</v>
      </c>
      <c r="H23" s="18" t="e">
        <f t="shared" si="23"/>
        <v>#REF!</v>
      </c>
      <c r="I23" s="18" t="e">
        <f t="shared" si="23"/>
        <v>#REF!</v>
      </c>
      <c r="J23" s="32" t="e">
        <f>J17+J20+J21</f>
        <v>#REF!</v>
      </c>
      <c r="K23" s="18" t="e">
        <f>K17+K19+K20</f>
        <v>#REF!</v>
      </c>
      <c r="L23" s="18" t="e">
        <f>L17+L20</f>
        <v>#REF!</v>
      </c>
      <c r="M23" s="18" t="e">
        <f t="shared" ref="M23:N23" si="24">M17+M20</f>
        <v>#REF!</v>
      </c>
      <c r="N23" s="18" t="e">
        <f t="shared" si="24"/>
        <v>#REF!</v>
      </c>
      <c r="O23" s="18" t="e">
        <f>O17+O20+O21</f>
        <v>#REF!</v>
      </c>
      <c r="P23" s="18" t="e">
        <f>P17+P19+P20</f>
        <v>#REF!</v>
      </c>
      <c r="Q23" s="18" t="e">
        <f>Q17+Q20</f>
        <v>#REF!</v>
      </c>
      <c r="R23" s="18" t="e">
        <f t="shared" ref="R23:S23" si="25">R17+R20</f>
        <v>#REF!</v>
      </c>
      <c r="S23" s="18" t="e">
        <f t="shared" si="25"/>
        <v>#REF!</v>
      </c>
      <c r="T23" s="18" t="e">
        <f>T17+T20+T21</f>
        <v>#REF!</v>
      </c>
      <c r="U23" s="18" t="e">
        <f>U17+U19+U20</f>
        <v>#REF!</v>
      </c>
      <c r="V23" s="18" t="e">
        <f>V17+V20</f>
        <v>#REF!</v>
      </c>
      <c r="W23" s="18" t="e">
        <f t="shared" ref="W23:X23" si="26">W17+W20</f>
        <v>#REF!</v>
      </c>
      <c r="X23" s="18" t="e">
        <f t="shared" si="26"/>
        <v>#REF!</v>
      </c>
      <c r="Y23" s="19" t="e">
        <f>Y17+Y20+Y21</f>
        <v>#REF!</v>
      </c>
      <c r="Z23" s="1" t="e">
        <f>((AVERAGE(U23:X23))*(1+0.025)/($L$2-0.025))</f>
        <v>#REF!</v>
      </c>
    </row>
    <row r="24" spans="2:26" x14ac:dyDescent="0.3">
      <c r="K24" s="51"/>
      <c r="P24" s="51"/>
      <c r="U24" s="51"/>
      <c r="Y24" s="51"/>
    </row>
    <row r="25" spans="2:26" x14ac:dyDescent="0.3">
      <c r="B25" t="s">
        <v>24</v>
      </c>
      <c r="D25" s="23"/>
      <c r="E25" s="5" t="e">
        <f t="shared" ref="E25:Y25" si="27">E17/((1+$G$2)^(E$4-YEAR($C$2)+0.5))</f>
        <v>#REF!</v>
      </c>
      <c r="F25" s="6" t="e">
        <f t="shared" si="27"/>
        <v>#REF!</v>
      </c>
      <c r="G25" s="1" t="e">
        <f t="shared" si="27"/>
        <v>#REF!</v>
      </c>
      <c r="H25" s="1" t="e">
        <f t="shared" si="27"/>
        <v>#REF!</v>
      </c>
      <c r="I25" s="1" t="e">
        <f t="shared" si="27"/>
        <v>#REF!</v>
      </c>
      <c r="J25" s="1" t="e">
        <f t="shared" si="27"/>
        <v>#REF!</v>
      </c>
      <c r="K25" s="5" t="e">
        <f t="shared" si="27"/>
        <v>#REF!</v>
      </c>
      <c r="L25" s="6" t="e">
        <f t="shared" si="27"/>
        <v>#REF!</v>
      </c>
      <c r="M25" s="1" t="e">
        <f t="shared" si="27"/>
        <v>#REF!</v>
      </c>
      <c r="N25" s="1" t="e">
        <f t="shared" si="27"/>
        <v>#REF!</v>
      </c>
      <c r="O25" s="1" t="e">
        <f t="shared" si="27"/>
        <v>#REF!</v>
      </c>
      <c r="P25" s="5" t="e">
        <f t="shared" si="27"/>
        <v>#REF!</v>
      </c>
      <c r="Q25" s="6" t="e">
        <f t="shared" si="27"/>
        <v>#REF!</v>
      </c>
      <c r="R25" s="1" t="e">
        <f t="shared" si="27"/>
        <v>#REF!</v>
      </c>
      <c r="S25" s="1" t="e">
        <f t="shared" si="27"/>
        <v>#REF!</v>
      </c>
      <c r="T25" s="1" t="e">
        <f t="shared" si="27"/>
        <v>#REF!</v>
      </c>
      <c r="U25" s="5" t="e">
        <f t="shared" si="27"/>
        <v>#REF!</v>
      </c>
      <c r="V25" s="6" t="e">
        <f t="shared" si="27"/>
        <v>#REF!</v>
      </c>
      <c r="W25" s="1" t="e">
        <f t="shared" si="27"/>
        <v>#REF!</v>
      </c>
      <c r="X25" s="1" t="e">
        <f t="shared" si="27"/>
        <v>#REF!</v>
      </c>
      <c r="Y25" s="1" t="e">
        <f t="shared" si="27"/>
        <v>#REF!</v>
      </c>
    </row>
    <row r="26" spans="2:26" x14ac:dyDescent="0.3">
      <c r="B26" t="s">
        <v>25</v>
      </c>
      <c r="D26" s="23"/>
      <c r="E26" s="5" t="e">
        <f>E23/((1+$L$2)^(E$4-YEAR($C$2)+0.5))</f>
        <v>#REF!</v>
      </c>
      <c r="F26" s="6" t="e">
        <f t="shared" ref="F26:J26" si="28">F23/((1+$L$2)^(F$4-YEAR($C$2)+0.5))</f>
        <v>#REF!</v>
      </c>
      <c r="G26" s="1" t="e">
        <f t="shared" si="28"/>
        <v>#REF!</v>
      </c>
      <c r="H26" s="1" t="e">
        <f t="shared" si="28"/>
        <v>#REF!</v>
      </c>
      <c r="I26" s="1" t="e">
        <f t="shared" si="28"/>
        <v>#REF!</v>
      </c>
      <c r="J26" s="30" t="e">
        <f t="shared" si="28"/>
        <v>#REF!</v>
      </c>
      <c r="K26" s="6" t="e">
        <f>K23/((1+$L$2)^(K$4-YEAR($C$2)+0.5))</f>
        <v>#REF!</v>
      </c>
      <c r="L26" s="6" t="e">
        <f t="shared" ref="L26:O26" si="29">L23/((1+$L$2)^(L$4-YEAR($C$2)+0.5))</f>
        <v>#REF!</v>
      </c>
      <c r="M26" s="1" t="e">
        <f t="shared" si="29"/>
        <v>#REF!</v>
      </c>
      <c r="N26" s="1" t="e">
        <f t="shared" si="29"/>
        <v>#REF!</v>
      </c>
      <c r="O26" s="1" t="e">
        <f t="shared" si="29"/>
        <v>#REF!</v>
      </c>
      <c r="P26" s="6" t="e">
        <f>P23/((1+$L$2)^(P$4-YEAR($C$2)+0.5))</f>
        <v>#REF!</v>
      </c>
      <c r="Q26" s="6" t="e">
        <f t="shared" ref="Q26:T26" si="30">Q23/((1+$L$2)^(Q$4-YEAR($C$2)+0.5))</f>
        <v>#REF!</v>
      </c>
      <c r="R26" s="1" t="e">
        <f t="shared" si="30"/>
        <v>#REF!</v>
      </c>
      <c r="S26" s="1" t="e">
        <f t="shared" si="30"/>
        <v>#REF!</v>
      </c>
      <c r="T26" s="1" t="e">
        <f t="shared" si="30"/>
        <v>#REF!</v>
      </c>
      <c r="U26" s="6" t="e">
        <f>U23/((1+$L$2)^(U$4-YEAR($C$2)+0.5))</f>
        <v>#REF!</v>
      </c>
      <c r="V26" s="6" t="e">
        <f t="shared" ref="V26:Y26" si="31">V23/((1+$L$2)^(V$4-YEAR($C$2)+0.5))</f>
        <v>#REF!</v>
      </c>
      <c r="W26" s="1" t="e">
        <f t="shared" si="31"/>
        <v>#REF!</v>
      </c>
      <c r="X26" s="1" t="e">
        <f t="shared" si="31"/>
        <v>#REF!</v>
      </c>
      <c r="Y26" s="1" t="e">
        <f t="shared" si="31"/>
        <v>#REF!</v>
      </c>
      <c r="Z26" s="1" t="e">
        <f>$Z$23/((1+$L$2)^($Z$4-YEAR($C$2)+0.5))</f>
        <v>#REF!</v>
      </c>
    </row>
    <row r="28" spans="2:26" x14ac:dyDescent="0.3">
      <c r="B28" s="12" t="s">
        <v>17</v>
      </c>
      <c r="C28" s="13"/>
      <c r="D28" s="13"/>
      <c r="E28" s="55" t="e">
        <f>SUM(E25:Y25)</f>
        <v>#REF!</v>
      </c>
      <c r="G28" s="12" t="s">
        <v>82</v>
      </c>
      <c r="H28" s="13"/>
      <c r="I28" s="13"/>
      <c r="J28" s="55">
        <v>77000</v>
      </c>
      <c r="L28" s="12" t="s">
        <v>86</v>
      </c>
      <c r="M28" s="13"/>
      <c r="N28" s="13"/>
      <c r="O28" s="74" t="e">
        <f>SUM(E25:Y25)/200</f>
        <v>#REF!</v>
      </c>
      <c r="Q28" s="12" t="s">
        <v>99</v>
      </c>
      <c r="R28" s="13"/>
      <c r="S28" s="13"/>
      <c r="T28" s="74" t="e">
        <f>Z23/200/22.5</f>
        <v>#REF!</v>
      </c>
      <c r="Y28" s="6"/>
      <c r="Z28" s="24"/>
    </row>
    <row r="29" spans="2:26" x14ac:dyDescent="0.3">
      <c r="B29" s="14" t="s">
        <v>29</v>
      </c>
      <c r="C29" s="10"/>
      <c r="D29" s="10"/>
      <c r="E29" s="27" t="e">
        <f>SUM(E26:Y26)</f>
        <v>#REF!</v>
      </c>
      <c r="G29" s="14" t="s">
        <v>83</v>
      </c>
      <c r="H29" s="10"/>
      <c r="I29" s="10"/>
      <c r="J29" s="72">
        <f>9700000000/(J28*43800)</f>
        <v>2.8761193144754786</v>
      </c>
      <c r="L29" s="14" t="s">
        <v>87</v>
      </c>
      <c r="M29" s="10"/>
      <c r="N29" s="10"/>
      <c r="O29" s="72" t="e">
        <f>SUM(E26:Y26)/200</f>
        <v>#REF!</v>
      </c>
      <c r="Q29" s="15" t="s">
        <v>98</v>
      </c>
      <c r="R29" s="11"/>
      <c r="S29" s="11"/>
      <c r="T29" s="73" t="e">
        <f>Z26/200/22.5</f>
        <v>#REF!</v>
      </c>
      <c r="Z29" s="6"/>
    </row>
    <row r="30" spans="2:26" x14ac:dyDescent="0.3">
      <c r="B30" s="14" t="s">
        <v>18</v>
      </c>
      <c r="C30" s="10"/>
      <c r="D30" s="10"/>
      <c r="E30" s="25" t="e">
        <f>IRR(E17:Y17)</f>
        <v>#VALUE!</v>
      </c>
      <c r="G30" s="14" t="s">
        <v>84</v>
      </c>
      <c r="H30" s="10"/>
      <c r="I30" s="10"/>
      <c r="J30" s="72" t="e">
        <f>SUM(E17:Y17)/200</f>
        <v>#REF!</v>
      </c>
      <c r="L30" s="14" t="s">
        <v>88</v>
      </c>
      <c r="M30" s="10"/>
      <c r="N30" s="10"/>
      <c r="O30" s="27" t="e">
        <f>SUM(E17:Y17)</f>
        <v>#REF!</v>
      </c>
      <c r="Z30" s="6"/>
    </row>
    <row r="31" spans="2:26" x14ac:dyDescent="0.3">
      <c r="B31" s="15" t="s">
        <v>19</v>
      </c>
      <c r="C31" s="11"/>
      <c r="D31" s="11"/>
      <c r="E31" s="26" t="e">
        <f>IRR(E23:Y23)</f>
        <v>#VALUE!</v>
      </c>
      <c r="G31" s="15" t="s">
        <v>85</v>
      </c>
      <c r="H31" s="11"/>
      <c r="I31" s="11"/>
      <c r="J31" s="73" t="e">
        <f>SUM(E23:Y23)/200</f>
        <v>#REF!</v>
      </c>
      <c r="K31" s="28"/>
      <c r="L31" s="15" t="s">
        <v>88</v>
      </c>
      <c r="M31" s="11"/>
      <c r="N31" s="11"/>
      <c r="O31" s="75" t="e">
        <f>SUM(E23:Y23)</f>
        <v>#REF!</v>
      </c>
    </row>
  </sheetData>
  <mergeCells count="1">
    <mergeCell ref="AA4:A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487A-9EB6-4E85-847D-2FA6A98D9BAB}">
  <dimension ref="B3:K13"/>
  <sheetViews>
    <sheetView showGridLines="0" workbookViewId="0">
      <selection activeCell="H15" sqref="H15"/>
    </sheetView>
  </sheetViews>
  <sheetFormatPr defaultRowHeight="14.4" x14ac:dyDescent="0.3"/>
  <cols>
    <col min="9" max="10" width="10.21875" bestFit="1" customWidth="1"/>
  </cols>
  <sheetData>
    <row r="3" spans="2:11" x14ac:dyDescent="0.3">
      <c r="B3" s="2" t="s">
        <v>119</v>
      </c>
      <c r="C3" s="2"/>
      <c r="D3" s="2"/>
      <c r="E3" s="2" t="s">
        <v>116</v>
      </c>
      <c r="F3" s="2" t="s">
        <v>115</v>
      </c>
      <c r="G3" s="2" t="s">
        <v>114</v>
      </c>
      <c r="H3" s="2" t="s">
        <v>113</v>
      </c>
      <c r="I3" s="2" t="s">
        <v>47</v>
      </c>
      <c r="J3" s="2" t="s">
        <v>57</v>
      </c>
      <c r="K3" s="92" t="s">
        <v>117</v>
      </c>
    </row>
    <row r="4" spans="2:11" x14ac:dyDescent="0.3">
      <c r="B4" t="s">
        <v>118</v>
      </c>
      <c r="E4" s="5">
        <v>0.11</v>
      </c>
      <c r="F4" s="5">
        <v>0.65</v>
      </c>
      <c r="G4" s="5">
        <v>1.06</v>
      </c>
      <c r="H4" s="93">
        <v>-0.52</v>
      </c>
      <c r="I4" s="5">
        <f>SUM(E4:H4)</f>
        <v>1.3</v>
      </c>
      <c r="J4" s="5">
        <v>36.700000000000003</v>
      </c>
      <c r="K4" s="94">
        <f>J4/I4</f>
        <v>28.230769230769234</v>
      </c>
    </row>
    <row r="5" spans="2:11" x14ac:dyDescent="0.3">
      <c r="B5" t="s">
        <v>3</v>
      </c>
      <c r="E5">
        <v>16.440000000000001</v>
      </c>
      <c r="F5" s="95">
        <v>11.09</v>
      </c>
      <c r="G5" s="95">
        <v>-41.84</v>
      </c>
      <c r="H5" s="95">
        <v>-53.17</v>
      </c>
      <c r="I5" s="95">
        <f>SUM(E5:H5)</f>
        <v>-67.48</v>
      </c>
    </row>
    <row r="6" spans="2:11" x14ac:dyDescent="0.3">
      <c r="B6" t="s">
        <v>120</v>
      </c>
      <c r="E6" s="5">
        <v>0.06</v>
      </c>
      <c r="F6" s="5">
        <v>0.17</v>
      </c>
      <c r="G6" s="93">
        <v>-0.11</v>
      </c>
      <c r="H6" s="5">
        <v>0.05</v>
      </c>
      <c r="I6" s="5">
        <f>SUM(E6:H6)</f>
        <v>0.17</v>
      </c>
      <c r="J6" s="5">
        <v>36.700000000000003</v>
      </c>
      <c r="K6" s="94">
        <f>J6/I6</f>
        <v>215.88235294117646</v>
      </c>
    </row>
    <row r="7" spans="2:11" x14ac:dyDescent="0.3">
      <c r="B7" t="s">
        <v>122</v>
      </c>
      <c r="E7" s="93">
        <v>-2.25</v>
      </c>
      <c r="F7" s="30">
        <v>0.32</v>
      </c>
      <c r="G7" s="93">
        <v>-0.38</v>
      </c>
      <c r="H7" s="93">
        <v>-1.24</v>
      </c>
      <c r="I7" s="93">
        <f>SUM(E7:H7)</f>
        <v>-3.55</v>
      </c>
      <c r="J7" s="5">
        <v>36.700000000000003</v>
      </c>
      <c r="K7" s="95">
        <f>J7/I7</f>
        <v>-10.338028169014086</v>
      </c>
    </row>
    <row r="8" spans="2:11" x14ac:dyDescent="0.3">
      <c r="B8" t="s">
        <v>121</v>
      </c>
      <c r="E8" s="95">
        <v>-48.2</v>
      </c>
      <c r="F8" s="5">
        <v>15.94</v>
      </c>
      <c r="G8" s="5">
        <v>142.35</v>
      </c>
      <c r="H8" s="5">
        <v>217.92</v>
      </c>
      <c r="I8" s="95">
        <f>SUM(E8:H8)</f>
        <v>328.01</v>
      </c>
    </row>
    <row r="9" spans="2:11" x14ac:dyDescent="0.3">
      <c r="E9" s="5"/>
      <c r="F9" s="5"/>
      <c r="G9" s="5"/>
      <c r="H9" s="5"/>
    </row>
    <row r="10" spans="2:11" x14ac:dyDescent="0.3">
      <c r="B10" t="s">
        <v>123</v>
      </c>
      <c r="E10" s="5"/>
      <c r="F10" s="5"/>
      <c r="G10" s="5"/>
      <c r="H10" s="5"/>
    </row>
    <row r="11" spans="2:11" x14ac:dyDescent="0.3">
      <c r="E11" s="5"/>
      <c r="F11" s="5"/>
      <c r="G11" s="5"/>
      <c r="H11" s="5"/>
    </row>
    <row r="12" spans="2:11" x14ac:dyDescent="0.3">
      <c r="E12" s="5"/>
      <c r="F12" s="5"/>
      <c r="G12" s="5"/>
      <c r="H12" s="5"/>
    </row>
    <row r="13" spans="2:11" x14ac:dyDescent="0.3">
      <c r="E13" s="5"/>
      <c r="F13" s="5"/>
      <c r="G13" s="5"/>
      <c r="H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Deal Economics</vt:lpstr>
      <vt:lpstr>Deal Economics long</vt:lpstr>
      <vt:lpstr>Cost of Equity</vt:lpstr>
      <vt:lpstr>BC Deal Economics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2026-03-14T23:07:52Z</dcterms:modified>
</cp:coreProperties>
</file>