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CF4535DE-F6B6-4665-9A64-25D753CFD17A}" xr6:coauthVersionLast="47" xr6:coauthVersionMax="47" xr10:uidLastSave="{00000000-0000-0000-0000-000000000000}"/>
  <bookViews>
    <workbookView xWindow="7620" yWindow="960" windowWidth="30636" windowHeight="15360" xr2:uid="{00000000-000D-0000-FFFF-FFFF00000000}"/>
  </bookViews>
  <sheets>
    <sheet name="LULU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H40" i="1" s="1"/>
  <c r="I40" i="1" s="1"/>
  <c r="J40" i="1" s="1"/>
  <c r="K40" i="1" s="1"/>
  <c r="E33" i="1"/>
  <c r="D33" i="1"/>
  <c r="C33" i="1"/>
  <c r="E31" i="1"/>
  <c r="D31" i="1"/>
  <c r="G24" i="1"/>
  <c r="H24" i="1" s="1"/>
  <c r="I24" i="1" s="1"/>
  <c r="J24" i="1" s="1"/>
  <c r="K24" i="1" s="1"/>
  <c r="G15" i="1"/>
  <c r="G19" i="1" s="1"/>
  <c r="G33" i="1" s="1"/>
  <c r="E21" i="1"/>
  <c r="E22" i="1" s="1"/>
  <c r="E17" i="1"/>
  <c r="E4" i="1" s="1"/>
  <c r="D21" i="1"/>
  <c r="D22" i="1" s="1"/>
  <c r="D17" i="1"/>
  <c r="D4" i="1" s="1"/>
  <c r="C21" i="1"/>
  <c r="C22" i="1" s="1"/>
  <c r="C17" i="1"/>
  <c r="C32" i="1" s="1"/>
  <c r="E6" i="1"/>
  <c r="D6" i="1"/>
  <c r="C6" i="1"/>
  <c r="E5" i="1"/>
  <c r="D5" i="1"/>
  <c r="C5" i="1"/>
  <c r="E3" i="1"/>
  <c r="D3" i="1"/>
  <c r="G16" i="1" l="1"/>
  <c r="G20" i="1"/>
  <c r="D32" i="1"/>
  <c r="G31" i="1"/>
  <c r="H15" i="1"/>
  <c r="E32" i="1"/>
  <c r="D38" i="1"/>
  <c r="D39" i="1" s="1"/>
  <c r="D34" i="1"/>
  <c r="D25" i="1"/>
  <c r="E38" i="1"/>
  <c r="E39" i="1" s="1"/>
  <c r="E25" i="1"/>
  <c r="E34" i="1"/>
  <c r="C25" i="1"/>
  <c r="C38" i="1"/>
  <c r="C39" i="1" s="1"/>
  <c r="C34" i="1"/>
  <c r="G17" i="1"/>
  <c r="G32" i="1" s="1"/>
  <c r="C4" i="1"/>
  <c r="I15" i="1" l="1"/>
  <c r="H31" i="1"/>
  <c r="H20" i="1"/>
  <c r="H19" i="1"/>
  <c r="H33" i="1" s="1"/>
  <c r="H16" i="1"/>
  <c r="G21" i="1"/>
  <c r="G22" i="1" s="1"/>
  <c r="C7" i="1"/>
  <c r="C36" i="1"/>
  <c r="C27" i="1"/>
  <c r="C35" i="1" s="1"/>
  <c r="E7" i="1"/>
  <c r="E36" i="1"/>
  <c r="E27" i="1"/>
  <c r="E35" i="1" s="1"/>
  <c r="D27" i="1"/>
  <c r="D35" i="1" s="1"/>
  <c r="D36" i="1"/>
  <c r="D7" i="1"/>
  <c r="G34" i="1" l="1"/>
  <c r="G25" i="1"/>
  <c r="G26" i="1" s="1"/>
  <c r="G36" i="1" s="1"/>
  <c r="G38" i="1"/>
  <c r="G39" i="1" s="1"/>
  <c r="H21" i="1"/>
  <c r="H22" i="1" s="1"/>
  <c r="H17" i="1"/>
  <c r="H32" i="1" s="1"/>
  <c r="I16" i="1"/>
  <c r="I21" i="1" s="1"/>
  <c r="I22" i="1" s="1"/>
  <c r="I20" i="1"/>
  <c r="I19" i="1"/>
  <c r="I33" i="1" s="1"/>
  <c r="J15" i="1"/>
  <c r="I31" i="1"/>
  <c r="I34" i="1"/>
  <c r="I25" i="1"/>
  <c r="I38" i="1"/>
  <c r="I39" i="1" s="1"/>
  <c r="G27" i="1"/>
  <c r="G35" i="1" s="1"/>
  <c r="K15" i="1" l="1"/>
  <c r="J20" i="1"/>
  <c r="J16" i="1"/>
  <c r="J19" i="1"/>
  <c r="J33" i="1" s="1"/>
  <c r="J31" i="1"/>
  <c r="I17" i="1"/>
  <c r="I32" i="1" s="1"/>
  <c r="H25" i="1"/>
  <c r="H38" i="1"/>
  <c r="H39" i="1" s="1"/>
  <c r="H34" i="1"/>
  <c r="I26" i="1"/>
  <c r="I36" i="1" s="1"/>
  <c r="I27" i="1"/>
  <c r="I35" i="1" s="1"/>
  <c r="H26" i="1" l="1"/>
  <c r="H36" i="1" s="1"/>
  <c r="J21" i="1"/>
  <c r="J22" i="1" s="1"/>
  <c r="J17" i="1"/>
  <c r="J32" i="1" s="1"/>
  <c r="K16" i="1"/>
  <c r="K31" i="1"/>
  <c r="K19" i="1"/>
  <c r="K33" i="1" s="1"/>
  <c r="K20" i="1"/>
  <c r="K21" i="1" l="1"/>
  <c r="K22" i="1" s="1"/>
  <c r="K17" i="1"/>
  <c r="K32" i="1" s="1"/>
  <c r="J34" i="1"/>
  <c r="J38" i="1"/>
  <c r="J39" i="1" s="1"/>
  <c r="J25" i="1"/>
  <c r="H27" i="1"/>
  <c r="H35" i="1" s="1"/>
  <c r="J26" i="1" l="1"/>
  <c r="J36" i="1" s="1"/>
  <c r="J27" i="1"/>
  <c r="J35" i="1" s="1"/>
  <c r="K25" i="1"/>
  <c r="K34" i="1"/>
  <c r="K38" i="1"/>
  <c r="K39" i="1" s="1"/>
  <c r="K26" i="1" l="1"/>
  <c r="K36" i="1" s="1"/>
  <c r="K27" i="1" l="1"/>
  <c r="K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tc={641BE068-7CA4-479A-B55A-A88F90687DBE}</author>
    <author>tc={6B9719CF-E5E2-46E2-8A5E-5563DFE95867}</author>
    <author>tc={BF76F927-8878-4A6D-8320-CA2F4117A722}</author>
    <author>tc={29EF10E3-9533-4656-9158-8CC94CC1C801}</author>
    <author>tc={FCD2DE31-F087-4F58-B813-B9530C9B2528}</author>
  </authors>
  <commentList>
    <comment ref="C15" authorId="0" shapeId="0" xr:uid="{641BE068-7CA4-479A-B55A-A88F90687DB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lululemon 10-K FY2022, SEC EDGAR, https://www.sec.gov/Archives/edgar/data/1397187/000139718723000012/lulu-20230129.htm</t>
      </text>
    </comment>
    <comment ref="D15" authorId="1" shapeId="0" xr:uid="{6B9719CF-E5E2-46E2-8A5E-5563DFE95867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lululemon 10-K FY2023, SEC EDGAR, https://www.sec.gov/Archives/edgar/data/1397187/000139718724000010/lulu-20240128.htm</t>
      </text>
    </comment>
    <comment ref="E15" authorId="2" shapeId="0" xr:uid="{BF76F927-8878-4A6D-8320-CA2F4117A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lululemon FY2024 Press Release, SEC EDGAR, https://www.sec.gov/Archives/edgar/data/1397187/000139718725000012/lulu-20250202xex991.htm</t>
      </text>
    </comment>
    <comment ref="C20" authorId="3" shapeId="0" xr:uid="{29EF10E3-9533-4656-9158-8CC94CC1C801}">
      <text>
        <t>[Threaded comment]
Your version of Excel allows you to read this threaded comment; however, any edits to it will get removed if the file is opened in a newer version of Excel. Learn more: https://go.microsoft.com/fwlink/?linkid=870924
Comment:
    D&amp;A estimated as Operating Expenses less SG&amp;A and COGS per 10-K breakdown</t>
      </text>
    </comment>
    <comment ref="C24" authorId="4" shapeId="0" xr:uid="{FCD2DE31-F087-4F58-B813-B9530C9B25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$-442M lululemon Studio goodwill impairment and other charges in FY2022</t>
      </text>
    </comment>
  </commentList>
</comments>
</file>

<file path=xl/sharedStrings.xml><?xml version="1.0" encoding="utf-8"?>
<sst xmlns="http://schemas.openxmlformats.org/spreadsheetml/2006/main" count="62" uniqueCount="37">
  <si>
    <t>Levers</t>
  </si>
  <si>
    <t>FY2022</t>
  </si>
  <si>
    <t>FY2023</t>
  </si>
  <si>
    <t>FY2024</t>
  </si>
  <si>
    <t>FY2025E</t>
  </si>
  <si>
    <t>FY2026E</t>
  </si>
  <si>
    <t>FY2027E</t>
  </si>
  <si>
    <t>FY2028E</t>
  </si>
  <si>
    <t>FY2029E</t>
  </si>
  <si>
    <t>Revenue Growth</t>
  </si>
  <si>
    <t>Gross Margin</t>
  </si>
  <si>
    <t>SG&amp;A % of Revenue</t>
  </si>
  <si>
    <t>D&amp;A % of Revenue</t>
  </si>
  <si>
    <t>Tax Rate</t>
  </si>
  <si>
    <t>Store Count</t>
  </si>
  <si>
    <t>Fiscal year ends Sunday closest to Jan 31. FY2024 was 53-week year.</t>
  </si>
  <si>
    <t>Income Statement ($000s)</t>
  </si>
  <si>
    <t>Actual</t>
  </si>
  <si>
    <t>Projected</t>
  </si>
  <si>
    <t>Net Revenue</t>
  </si>
  <si>
    <t xml:space="preserve">  Cost of Goods Sold</t>
  </si>
  <si>
    <t>Gross Profit</t>
  </si>
  <si>
    <t xml:space="preserve">  Selling, General &amp; Administrative</t>
  </si>
  <si>
    <t xml:space="preserve">  Depreciation &amp; Amortization</t>
  </si>
  <si>
    <t>Total Operating Expenses</t>
  </si>
  <si>
    <t>Operating Income (EBIT)</t>
  </si>
  <si>
    <t xml:space="preserve">  Other Income / (Expense)</t>
  </si>
  <si>
    <t>Pretax Income</t>
  </si>
  <si>
    <t xml:space="preserve">  Income Tax Expense</t>
  </si>
  <si>
    <t>Net Income</t>
  </si>
  <si>
    <t>Key Metrics</t>
  </si>
  <si>
    <t>SG&amp;A Margin</t>
  </si>
  <si>
    <t>EBIT Margin</t>
  </si>
  <si>
    <t>Net Income Margin</t>
  </si>
  <si>
    <t>Effective Tax Rate</t>
  </si>
  <si>
    <t>EBITDA</t>
  </si>
  <si>
    <t>EBITDA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</si>
</sst>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&quot;-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000000"/>
      <name val="Calibri"/>
      <scheme val="minor"/>
    </font>
    <font>
      <b/>
      <sz val="11"/>
      <color rgb="FFFFFFFF"/>
      <name val="Calibri"/>
      <scheme val="minor"/>
    </font>
    <font>
      <sz val="10"/>
      <color rgb="FF0000FF"/>
      <name val="Calibri"/>
      <scheme val="minor"/>
    </font>
    <font>
      <i/>
      <sz val="8"/>
      <color rgb="FF808080"/>
      <name val="Calibri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2E509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7F7F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FFE8E8E8"/>
      </left>
      <right style="thin">
        <color rgb="FFE8E8E8"/>
      </right>
      <top style="thin">
        <color rgb="FFC0C0C0"/>
      </top>
      <bottom style="thin">
        <color rgb="FFE8E8E8"/>
      </bottom>
      <diagonal/>
    </border>
    <border>
      <left style="thin">
        <color rgb="FFE8E8E8"/>
      </left>
      <right style="thin">
        <color rgb="FFC0C0C0"/>
      </right>
      <top style="thin">
        <color rgb="FFC0C0C0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C0C0C0"/>
      </right>
      <top style="thin">
        <color rgb="FFE8E8E8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C0C0C0"/>
      </bottom>
      <diagonal/>
    </border>
    <border>
      <left style="thin">
        <color rgb="FFE8E8E8"/>
      </left>
      <right style="thin">
        <color rgb="FFC0C0C0"/>
      </right>
      <top style="thin">
        <color rgb="FFE8E8E8"/>
      </top>
      <bottom style="thin">
        <color rgb="FFC0C0C0"/>
      </bottom>
      <diagonal/>
    </border>
    <border>
      <left/>
      <right/>
      <top/>
      <bottom style="thin">
        <color rgb="FF2E5090"/>
      </bottom>
      <diagonal/>
    </border>
    <border>
      <left/>
      <right/>
      <top style="thin">
        <color rgb="FF808080"/>
      </top>
      <bottom style="double">
        <color rgb="FF000000"/>
      </bottom>
      <diagonal/>
    </border>
    <border>
      <left/>
      <right style="thin">
        <color rgb="FFE8E8E8"/>
      </right>
      <top style="thin">
        <color rgb="FFC0C0C0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rgb="FFE8E8E8"/>
      </right>
      <top style="thin">
        <color rgb="FFE8E8E8"/>
      </top>
      <bottom style="thin">
        <color rgb="FFC0C0C0"/>
      </bottom>
      <diagonal/>
    </border>
    <border>
      <left/>
      <right style="thin">
        <color rgb="FF2E5090"/>
      </right>
      <top/>
      <bottom/>
      <diagonal/>
    </border>
    <border>
      <left/>
      <right style="thin">
        <color rgb="FF2E5090"/>
      </right>
      <top style="thin">
        <color rgb="FF808080"/>
      </top>
      <bottom/>
      <diagonal/>
    </border>
    <border>
      <left/>
      <right style="thin">
        <color rgb="FF2E5090"/>
      </right>
      <top style="thin">
        <color rgb="FF808080"/>
      </top>
      <bottom style="double">
        <color rgb="FF000000"/>
      </bottom>
      <diagonal/>
    </border>
    <border>
      <left/>
      <right style="thin">
        <color rgb="FF2E5090"/>
      </right>
      <top/>
      <bottom style="thin">
        <color rgb="FF2E509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164" fontId="4" fillId="3" borderId="4" xfId="0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3" fontId="4" fillId="3" borderId="7" xfId="0" applyNumberFormat="1" applyFont="1" applyFill="1" applyBorder="1" applyAlignment="1">
      <alignment horizontal="center"/>
    </xf>
    <xf numFmtId="3" fontId="4" fillId="3" borderId="8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4" fontId="4" fillId="3" borderId="11" xfId="0" applyNumberFormat="1" applyFont="1" applyFill="1" applyBorder="1" applyAlignment="1">
      <alignment horizontal="center"/>
    </xf>
    <xf numFmtId="164" fontId="4" fillId="3" borderId="12" xfId="0" applyNumberFormat="1" applyFont="1" applyFill="1" applyBorder="1" applyAlignment="1">
      <alignment horizontal="center"/>
    </xf>
    <xf numFmtId="3" fontId="4" fillId="3" borderId="13" xfId="0" applyNumberFormat="1" applyFont="1" applyFill="1" applyBorder="1" applyAlignment="1">
      <alignment horizontal="center"/>
    </xf>
    <xf numFmtId="0" fontId="1" fillId="2" borderId="14" xfId="0" applyFont="1" applyFill="1" applyBorder="1"/>
    <xf numFmtId="0" fontId="2" fillId="0" borderId="14" xfId="0" applyFont="1" applyBorder="1" applyAlignment="1">
      <alignment horizontal="center"/>
    </xf>
    <xf numFmtId="0" fontId="1" fillId="0" borderId="14" xfId="0" applyFont="1" applyBorder="1"/>
    <xf numFmtId="0" fontId="5" fillId="0" borderId="14" xfId="0" applyFont="1" applyBorder="1" applyAlignment="1">
      <alignment horizontal="center"/>
    </xf>
    <xf numFmtId="165" fontId="2" fillId="0" borderId="14" xfId="0" applyNumberFormat="1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/>
    </xf>
    <xf numFmtId="165" fontId="2" fillId="0" borderId="16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1" fillId="0" borderId="9" xfId="0" applyFont="1" applyBorder="1"/>
    <xf numFmtId="3" fontId="1" fillId="0" borderId="9" xfId="0" applyNumberFormat="1" applyFont="1" applyBorder="1" applyAlignment="1">
      <alignment horizontal="center"/>
    </xf>
    <xf numFmtId="3" fontId="1" fillId="0" borderId="17" xfId="0" applyNumberFormat="1" applyFont="1" applyBorder="1" applyAlignment="1">
      <alignment horizontal="center"/>
    </xf>
    <xf numFmtId="0" fontId="1" fillId="0" borderId="0" xfId="0" applyFont="1" applyAlignment="1">
      <alignment indent="1"/>
    </xf>
    <xf numFmtId="0" fontId="1" fillId="4" borderId="0" xfId="0" applyFont="1" applyFill="1"/>
    <xf numFmtId="0" fontId="0" fillId="4" borderId="0" xfId="0" applyFill="1"/>
    <xf numFmtId="164" fontId="1" fillId="4" borderId="0" xfId="0" applyNumberFormat="1" applyFont="1" applyFill="1" applyAlignment="1">
      <alignment horizontal="center"/>
    </xf>
    <xf numFmtId="164" fontId="1" fillId="4" borderId="14" xfId="0" applyNumberFormat="1" applyFont="1" applyFill="1" applyBorder="1" applyAlignment="1">
      <alignment horizont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rem Odabasi" id="{1D89E24D-62B1-4FC2-8EFA-CC8A8170C121}" userId="fe4885f5b5840770" providerId="Windows Live"/>
</personList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6-03-17T05:04:00.75" personId="{1D89E24D-62B1-4FC2-8EFA-CC8A8170C121}" id="{641BE068-7CA4-479A-B55A-A88F90687DBE}">
    <text>Source: lululemon 10-K FY2022, SEC EDGAR, https://www.sec.gov/Archives/edgar/data/1397187/000139718723000012/lulu-20230129.htm</text>
  </threadedComment>
  <threadedComment ref="D15" dT="2026-03-17T05:04:00.76" personId="{1D89E24D-62B1-4FC2-8EFA-CC8A8170C121}" id="{6B9719CF-E5E2-46E2-8A5E-5563DFE95867}">
    <text>Source: lululemon 10-K FY2023, SEC EDGAR, https://www.sec.gov/Archives/edgar/data/1397187/000139718724000010/lulu-20240128.htm</text>
  </threadedComment>
  <threadedComment ref="E15" dT="2026-03-17T05:04:00.76" personId="{1D89E24D-62B1-4FC2-8EFA-CC8A8170C121}" id="{BF76F927-8878-4A6D-8320-CA2F4117A722}">
    <text>Source: lululemon FY2024 Press Release, SEC EDGAR, https://www.sec.gov/Archives/edgar/data/1397187/000139718725000012/lulu-20250202xex991.htm</text>
  </threadedComment>
  <threadedComment ref="C20" dT="2026-03-17T05:05:07.31" personId="{1D89E24D-62B1-4FC2-8EFA-CC8A8170C121}" id="{29EF10E3-9533-4656-9158-8CC94CC1C801}">
    <text>D&amp;A estimated as Operating Expenses less SG&amp;A and COGS per 10-K breakdown</text>
  </threadedComment>
  <threadedComment ref="C24" dT="2026-03-17T05:05:07.31" personId="{1D89E24D-62B1-4FC2-8EFA-CC8A8170C121}" id="{FCD2DE31-F087-4F58-B813-B9530C9B2528}">
    <text>Includes $-442M lululemon Studio goodwill impairment and other charges in FY2022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9E72A3-8B73-4E90-917F-C9EC9FE85D7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H4" sqref="H4"/>
    </sheetView>
  </sheetViews>
  <sheetFormatPr defaultRowHeight="14.4" x14ac:dyDescent="0.3"/>
  <cols>
    <col min="1" max="1" width="37" customWidth="1"/>
    <col min="2" max="2" width="2.21875" customWidth="1"/>
    <col min="3" max="5" width="15.77734375" customWidth="1"/>
    <col min="6" max="6" width="2.21875" customWidth="1"/>
    <col min="7" max="11" width="15.77734375" customWidth="1"/>
    <col min="12" max="12" width="2.77734375" customWidth="1"/>
    <col min="13" max="13" width="22.21875" customWidth="1"/>
  </cols>
  <sheetData>
    <row r="1" spans="1:11" ht="22.05" customHeight="1" x14ac:dyDescent="0.3">
      <c r="A1" s="41" t="s">
        <v>0</v>
      </c>
      <c r="C1" s="2"/>
      <c r="D1" s="2"/>
      <c r="E1" s="2"/>
      <c r="F1" s="24"/>
      <c r="G1" s="2"/>
      <c r="H1" s="2"/>
      <c r="I1" s="2"/>
      <c r="J1" s="2"/>
      <c r="K1" s="2"/>
    </row>
    <row r="2" spans="1:11" x14ac:dyDescent="0.3">
      <c r="A2" s="1"/>
      <c r="C2" s="4" t="s">
        <v>1</v>
      </c>
      <c r="D2" s="4" t="s">
        <v>2</v>
      </c>
      <c r="E2" s="4" t="s">
        <v>3</v>
      </c>
      <c r="F2" s="25"/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</row>
    <row r="3" spans="1:11" x14ac:dyDescent="0.3">
      <c r="A3" s="1" t="s">
        <v>9</v>
      </c>
      <c r="C3" s="5"/>
      <c r="D3" s="5">
        <f>(D15-C15)/C15</f>
        <v>0.18602510961691965</v>
      </c>
      <c r="E3" s="5">
        <f>(E15-D15)/D15</f>
        <v>0.10071940950245954</v>
      </c>
      <c r="F3" s="26"/>
      <c r="G3" s="21">
        <v>7.0000000000000007E-2</v>
      </c>
      <c r="H3" s="8">
        <v>0.08</v>
      </c>
      <c r="I3" s="8">
        <v>0.09</v>
      </c>
      <c r="J3" s="8">
        <v>0.09</v>
      </c>
      <c r="K3" s="9">
        <v>0.08</v>
      </c>
    </row>
    <row r="4" spans="1:11" x14ac:dyDescent="0.3">
      <c r="A4" s="1" t="s">
        <v>10</v>
      </c>
      <c r="C4" s="5">
        <f>C17/C15</f>
        <v>0.55389063929085669</v>
      </c>
      <c r="D4" s="5">
        <f>D17/D15</f>
        <v>0.58314199880697903</v>
      </c>
      <c r="E4" s="5">
        <f>E17/E15</f>
        <v>0.59224937444076509</v>
      </c>
      <c r="F4" s="26"/>
      <c r="G4" s="22">
        <v>0.59199999999999997</v>
      </c>
      <c r="H4" s="10">
        <v>0.59499999999999997</v>
      </c>
      <c r="I4" s="10">
        <v>0.59799999999999998</v>
      </c>
      <c r="J4" s="10">
        <v>0.6</v>
      </c>
      <c r="K4" s="11">
        <v>0.6</v>
      </c>
    </row>
    <row r="5" spans="1:11" x14ac:dyDescent="0.3">
      <c r="A5" s="1" t="s">
        <v>11</v>
      </c>
      <c r="C5" s="5">
        <f>C19/C15</f>
        <v>0.30106313801411944</v>
      </c>
      <c r="D5" s="5">
        <f>D19/D15</f>
        <v>0.31368851175732732</v>
      </c>
      <c r="E5" s="5">
        <f>E19/E15</f>
        <v>0.31559777433702624</v>
      </c>
      <c r="F5" s="26"/>
      <c r="G5" s="22">
        <v>0.315</v>
      </c>
      <c r="H5" s="10">
        <v>0.312</v>
      </c>
      <c r="I5" s="10">
        <v>0.31</v>
      </c>
      <c r="J5" s="10">
        <v>0.308</v>
      </c>
      <c r="K5" s="11">
        <v>0.30499999999999999</v>
      </c>
    </row>
    <row r="6" spans="1:11" x14ac:dyDescent="0.3">
      <c r="A6" s="1" t="s">
        <v>12</v>
      </c>
      <c r="C6" s="5">
        <f>C20/C15</f>
        <v>4.0000034523072388E-2</v>
      </c>
      <c r="D6" s="5">
        <f>D20/D15</f>
        <v>3.9999987525051253E-2</v>
      </c>
      <c r="E6" s="5">
        <f>E20/E15</f>
        <v>3.9999996222183226E-2</v>
      </c>
      <c r="F6" s="26"/>
      <c r="G6" s="22">
        <v>0.04</v>
      </c>
      <c r="H6" s="10">
        <v>0.04</v>
      </c>
      <c r="I6" s="10">
        <v>3.9E-2</v>
      </c>
      <c r="J6" s="10">
        <v>3.9E-2</v>
      </c>
      <c r="K6" s="11">
        <v>3.7999999999999999E-2</v>
      </c>
    </row>
    <row r="7" spans="1:11" x14ac:dyDescent="0.3">
      <c r="A7" s="1" t="s">
        <v>13</v>
      </c>
      <c r="C7" s="5">
        <f>C26/C25</f>
        <v>0.35853324138075943</v>
      </c>
      <c r="D7" s="5">
        <f>D26/D25</f>
        <v>0.28750973808850805</v>
      </c>
      <c r="E7" s="5">
        <f>E26/E25</f>
        <v>0.29558937873363256</v>
      </c>
      <c r="F7" s="26"/>
      <c r="G7" s="22">
        <v>0.3</v>
      </c>
      <c r="H7" s="10">
        <v>0.3</v>
      </c>
      <c r="I7" s="10">
        <v>0.29499999999999998</v>
      </c>
      <c r="J7" s="10">
        <v>0.29499999999999998</v>
      </c>
      <c r="K7" s="11">
        <v>0.29499999999999998</v>
      </c>
    </row>
    <row r="8" spans="1:11" x14ac:dyDescent="0.3">
      <c r="A8" s="1" t="s">
        <v>14</v>
      </c>
      <c r="C8" s="6">
        <v>655</v>
      </c>
      <c r="D8" s="6">
        <v>711</v>
      </c>
      <c r="E8" s="6">
        <v>767</v>
      </c>
      <c r="F8" s="26"/>
      <c r="G8" s="23">
        <v>55</v>
      </c>
      <c r="H8" s="12">
        <v>55</v>
      </c>
      <c r="I8" s="12">
        <v>50</v>
      </c>
      <c r="J8" s="12">
        <v>50</v>
      </c>
      <c r="K8" s="13">
        <v>45</v>
      </c>
    </row>
    <row r="9" spans="1:11" x14ac:dyDescent="0.3">
      <c r="A9" s="1"/>
      <c r="C9" s="1"/>
      <c r="D9" s="1"/>
      <c r="E9" s="1"/>
      <c r="F9" s="26"/>
      <c r="G9" s="1"/>
      <c r="H9" s="1"/>
      <c r="I9" s="1"/>
      <c r="J9" s="1"/>
      <c r="K9" s="1"/>
    </row>
    <row r="10" spans="1:11" x14ac:dyDescent="0.3">
      <c r="A10" s="14" t="s">
        <v>15</v>
      </c>
      <c r="C10" s="1"/>
      <c r="D10" s="1"/>
      <c r="E10" s="1"/>
      <c r="F10" s="26"/>
      <c r="G10" s="1"/>
      <c r="H10" s="1"/>
      <c r="I10" s="1"/>
      <c r="J10" s="1"/>
      <c r="K10" s="1"/>
    </row>
    <row r="11" spans="1:11" ht="22.05" customHeight="1" x14ac:dyDescent="0.3">
      <c r="A11" s="41" t="s">
        <v>16</v>
      </c>
      <c r="C11" s="2"/>
      <c r="D11" s="2"/>
      <c r="E11" s="2"/>
      <c r="F11" s="24"/>
      <c r="G11" s="2"/>
      <c r="H11" s="2"/>
      <c r="I11" s="2"/>
      <c r="J11" s="2"/>
      <c r="K11" s="2"/>
    </row>
    <row r="12" spans="1:11" x14ac:dyDescent="0.3">
      <c r="A12" s="1"/>
      <c r="C12" s="15" t="s">
        <v>1</v>
      </c>
      <c r="D12" s="15" t="s">
        <v>2</v>
      </c>
      <c r="E12" s="15" t="s">
        <v>3</v>
      </c>
      <c r="F12" s="25"/>
      <c r="G12" s="15" t="s">
        <v>4</v>
      </c>
      <c r="H12" s="15" t="s">
        <v>5</v>
      </c>
      <c r="I12" s="15" t="s">
        <v>6</v>
      </c>
      <c r="J12" s="15" t="s">
        <v>7</v>
      </c>
      <c r="K12" s="15" t="s">
        <v>8</v>
      </c>
    </row>
    <row r="13" spans="1:11" x14ac:dyDescent="0.3">
      <c r="A13" s="1"/>
      <c r="C13" s="16" t="s">
        <v>17</v>
      </c>
      <c r="D13" s="16" t="s">
        <v>17</v>
      </c>
      <c r="E13" s="16" t="s">
        <v>17</v>
      </c>
      <c r="F13" s="27"/>
      <c r="G13" s="16" t="s">
        <v>18</v>
      </c>
      <c r="H13" s="16" t="s">
        <v>18</v>
      </c>
      <c r="I13" s="16" t="s">
        <v>18</v>
      </c>
      <c r="J13" s="16" t="s">
        <v>18</v>
      </c>
      <c r="K13" s="16" t="s">
        <v>18</v>
      </c>
    </row>
    <row r="14" spans="1:11" x14ac:dyDescent="0.3">
      <c r="A14" s="1"/>
      <c r="C14" s="1"/>
      <c r="D14" s="1"/>
      <c r="E14" s="1"/>
      <c r="F14" s="26"/>
      <c r="G14" s="1"/>
      <c r="H14" s="1"/>
      <c r="I14" s="1"/>
      <c r="J14" s="1"/>
      <c r="K14" s="1"/>
    </row>
    <row r="15" spans="1:11" x14ac:dyDescent="0.3">
      <c r="A15" s="3" t="s">
        <v>19</v>
      </c>
      <c r="C15" s="18">
        <v>8110518</v>
      </c>
      <c r="D15" s="18">
        <v>9619278</v>
      </c>
      <c r="E15" s="18">
        <v>10588126</v>
      </c>
      <c r="F15" s="28"/>
      <c r="G15" s="18">
        <f>E15*(1+G3)</f>
        <v>11329294.82</v>
      </c>
      <c r="H15" s="18">
        <f>G15*(1+H3)</f>
        <v>12235638.405600002</v>
      </c>
      <c r="I15" s="18">
        <f>H15*(1+I3)</f>
        <v>13336845.862104002</v>
      </c>
      <c r="J15" s="18">
        <f>I15*(1+J3)</f>
        <v>14537161.989693364</v>
      </c>
      <c r="K15" s="18">
        <f>J15*(1+K3)</f>
        <v>15700134.948868833</v>
      </c>
    </row>
    <row r="16" spans="1:11" x14ac:dyDescent="0.3">
      <c r="A16" s="36" t="s">
        <v>20</v>
      </c>
      <c r="C16" s="17">
        <v>3618178</v>
      </c>
      <c r="D16" s="17">
        <v>4009873</v>
      </c>
      <c r="E16" s="17">
        <v>4317315</v>
      </c>
      <c r="F16" s="29"/>
      <c r="G16" s="17">
        <f>G15*(1-G4)</f>
        <v>4622352.2865600009</v>
      </c>
      <c r="H16" s="17">
        <f>H15*(1-H4)</f>
        <v>4955433.5542680016</v>
      </c>
      <c r="I16" s="17">
        <f>I15*(1-I4)</f>
        <v>5361412.0365658095</v>
      </c>
      <c r="J16" s="17">
        <f>J15*(1-J4)</f>
        <v>5814864.7958773458</v>
      </c>
      <c r="K16" s="17">
        <f>K15*(1-K4)</f>
        <v>6280053.9795475341</v>
      </c>
    </row>
    <row r="17" spans="1:11" x14ac:dyDescent="0.3">
      <c r="A17" s="3" t="s">
        <v>21</v>
      </c>
      <c r="C17" s="19">
        <f>C15-C16</f>
        <v>4492340</v>
      </c>
      <c r="D17" s="19">
        <f>D15-D16</f>
        <v>5609405</v>
      </c>
      <c r="E17" s="19">
        <f>E15-E16</f>
        <v>6270811</v>
      </c>
      <c r="F17" s="30"/>
      <c r="G17" s="19">
        <f>G15-G16</f>
        <v>6706942.5334399994</v>
      </c>
      <c r="H17" s="19">
        <f>H15-H16</f>
        <v>7280204.8513320005</v>
      </c>
      <c r="I17" s="19">
        <f>I15-I16</f>
        <v>7975433.8255381929</v>
      </c>
      <c r="J17" s="19">
        <f>J15-J16</f>
        <v>8722297.1938160174</v>
      </c>
      <c r="K17" s="19">
        <f>K15-K16</f>
        <v>9420080.9693212993</v>
      </c>
    </row>
    <row r="18" spans="1:11" x14ac:dyDescent="0.3">
      <c r="A18" s="1"/>
      <c r="C18" s="17"/>
      <c r="D18" s="17"/>
      <c r="E18" s="17"/>
      <c r="F18" s="29"/>
      <c r="G18" s="17"/>
      <c r="H18" s="17"/>
      <c r="I18" s="17"/>
      <c r="J18" s="17"/>
      <c r="K18" s="17"/>
    </row>
    <row r="19" spans="1:11" x14ac:dyDescent="0.3">
      <c r="A19" s="36" t="s">
        <v>22</v>
      </c>
      <c r="C19" s="17">
        <v>2441778</v>
      </c>
      <c r="D19" s="17">
        <v>3017457</v>
      </c>
      <c r="E19" s="17">
        <v>3341589</v>
      </c>
      <c r="F19" s="29"/>
      <c r="G19" s="17">
        <f>G15*G5</f>
        <v>3568727.8683000002</v>
      </c>
      <c r="H19" s="17">
        <f>H15*H5</f>
        <v>3817519.1825472005</v>
      </c>
      <c r="I19" s="17">
        <f>I15*I5</f>
        <v>4134422.2172522405</v>
      </c>
      <c r="J19" s="17">
        <f>J15*J5</f>
        <v>4477445.892825556</v>
      </c>
      <c r="K19" s="17">
        <f>K15*K5</f>
        <v>4788541.159404994</v>
      </c>
    </row>
    <row r="20" spans="1:11" x14ac:dyDescent="0.3">
      <c r="A20" s="36" t="s">
        <v>23</v>
      </c>
      <c r="C20" s="17">
        <v>324421</v>
      </c>
      <c r="D20" s="17">
        <v>384771</v>
      </c>
      <c r="E20" s="17">
        <v>423525</v>
      </c>
      <c r="F20" s="29"/>
      <c r="G20" s="17">
        <f>G15*G6</f>
        <v>453171.7928</v>
      </c>
      <c r="H20" s="17">
        <f>H15*H6</f>
        <v>489425.5362240001</v>
      </c>
      <c r="I20" s="17">
        <f>I15*I6</f>
        <v>520136.98862205609</v>
      </c>
      <c r="J20" s="17">
        <f>J15*J6</f>
        <v>566949.31759804115</v>
      </c>
      <c r="K20" s="17">
        <f>K15*K6</f>
        <v>596605.12805701571</v>
      </c>
    </row>
    <row r="21" spans="1:11" x14ac:dyDescent="0.3">
      <c r="A21" s="3" t="s">
        <v>24</v>
      </c>
      <c r="C21" s="19">
        <f>C16+C19+C20</f>
        <v>6384377</v>
      </c>
      <c r="D21" s="19">
        <f>D16+D19+D20</f>
        <v>7412101</v>
      </c>
      <c r="E21" s="19">
        <f>E16+E19+E20</f>
        <v>8082429</v>
      </c>
      <c r="F21" s="30"/>
      <c r="G21" s="19">
        <f>G16+G19+G20</f>
        <v>8644251.947660001</v>
      </c>
      <c r="H21" s="19">
        <f>H16+H19+H20</f>
        <v>9262378.2730392031</v>
      </c>
      <c r="I21" s="19">
        <f>I16+I19+I20</f>
        <v>10015971.242440106</v>
      </c>
      <c r="J21" s="19">
        <f>J16+J19+J20</f>
        <v>10859260.006300943</v>
      </c>
      <c r="K21" s="19">
        <f>K16+K19+K20</f>
        <v>11665200.267009543</v>
      </c>
    </row>
    <row r="22" spans="1:11" x14ac:dyDescent="0.3">
      <c r="A22" s="3" t="s">
        <v>25</v>
      </c>
      <c r="C22" s="19">
        <f>C15-C21</f>
        <v>1726141</v>
      </c>
      <c r="D22" s="19">
        <f>D15-D21</f>
        <v>2207177</v>
      </c>
      <c r="E22" s="19">
        <f>E15-E21</f>
        <v>2505697</v>
      </c>
      <c r="F22" s="30"/>
      <c r="G22" s="19">
        <f>G15-G21</f>
        <v>2685042.8723399993</v>
      </c>
      <c r="H22" s="19">
        <f>H15-H21</f>
        <v>2973260.1325607989</v>
      </c>
      <c r="I22" s="19">
        <f>I15-I21</f>
        <v>3320874.619663896</v>
      </c>
      <c r="J22" s="19">
        <f>J15-J21</f>
        <v>3677901.9833924212</v>
      </c>
      <c r="K22" s="19">
        <f>K15-K21</f>
        <v>4034934.6818592902</v>
      </c>
    </row>
    <row r="23" spans="1:11" x14ac:dyDescent="0.3">
      <c r="A23" s="1"/>
      <c r="C23" s="17"/>
      <c r="D23" s="17"/>
      <c r="E23" s="17"/>
      <c r="F23" s="29"/>
      <c r="G23" s="17"/>
      <c r="H23" s="17"/>
      <c r="I23" s="17"/>
      <c r="J23" s="17"/>
      <c r="K23" s="17"/>
    </row>
    <row r="24" spans="1:11" x14ac:dyDescent="0.3">
      <c r="A24" s="36" t="s">
        <v>26</v>
      </c>
      <c r="C24" s="17">
        <v>-393570</v>
      </c>
      <c r="D24" s="17">
        <v>-31442</v>
      </c>
      <c r="E24" s="17">
        <v>70380</v>
      </c>
      <c r="F24" s="29"/>
      <c r="G24" s="17">
        <f>E24*1.05</f>
        <v>73899</v>
      </c>
      <c r="H24" s="17">
        <f>G24*1.05</f>
        <v>77593.95</v>
      </c>
      <c r="I24" s="17">
        <f>H24*1.05</f>
        <v>81473.647500000006</v>
      </c>
      <c r="J24" s="17">
        <f>I24*1.05</f>
        <v>85547.32987500001</v>
      </c>
      <c r="K24" s="17">
        <f>J24*1.05</f>
        <v>89824.69636875001</v>
      </c>
    </row>
    <row r="25" spans="1:11" x14ac:dyDescent="0.3">
      <c r="A25" s="3" t="s">
        <v>27</v>
      </c>
      <c r="C25" s="19">
        <f>C22+C24</f>
        <v>1332571</v>
      </c>
      <c r="D25" s="19">
        <f>D22+D24</f>
        <v>2175735</v>
      </c>
      <c r="E25" s="19">
        <f>E22+E24</f>
        <v>2576077</v>
      </c>
      <c r="F25" s="30"/>
      <c r="G25" s="19">
        <f>G22+G24</f>
        <v>2758941.8723399993</v>
      </c>
      <c r="H25" s="19">
        <f>H22+H24</f>
        <v>3050854.0825607991</v>
      </c>
      <c r="I25" s="19">
        <f>I22+I24</f>
        <v>3402348.267163896</v>
      </c>
      <c r="J25" s="19">
        <f>J22+J24</f>
        <v>3763449.313267421</v>
      </c>
      <c r="K25" s="19">
        <f>K22+K24</f>
        <v>4124759.3782280404</v>
      </c>
    </row>
    <row r="26" spans="1:11" x14ac:dyDescent="0.3">
      <c r="A26" s="36" t="s">
        <v>28</v>
      </c>
      <c r="C26" s="17">
        <v>477771</v>
      </c>
      <c r="D26" s="17">
        <v>625545</v>
      </c>
      <c r="E26" s="17">
        <v>761461</v>
      </c>
      <c r="F26" s="29"/>
      <c r="G26" s="17">
        <f>G25*G7</f>
        <v>827682.56170199974</v>
      </c>
      <c r="H26" s="17">
        <f>H25*H7</f>
        <v>915256.22476823966</v>
      </c>
      <c r="I26" s="17">
        <f>I25*I7</f>
        <v>1003692.7388133493</v>
      </c>
      <c r="J26" s="17">
        <f>J25*J7</f>
        <v>1110217.5474138891</v>
      </c>
      <c r="K26" s="17">
        <f>K25*K7</f>
        <v>1216804.0165772717</v>
      </c>
    </row>
    <row r="27" spans="1:11" ht="15" thickBot="1" x14ac:dyDescent="0.35">
      <c r="A27" s="3" t="s">
        <v>29</v>
      </c>
      <c r="C27" s="20">
        <f>C25-C26</f>
        <v>854800</v>
      </c>
      <c r="D27" s="20">
        <f>D25-D26</f>
        <v>1550190</v>
      </c>
      <c r="E27" s="20">
        <f>E25-E26</f>
        <v>1814616</v>
      </c>
      <c r="F27" s="31"/>
      <c r="G27" s="20">
        <f>G25-G26</f>
        <v>1931259.3106379996</v>
      </c>
      <c r="H27" s="20">
        <f>H25-H26</f>
        <v>2135597.8577925595</v>
      </c>
      <c r="I27" s="20">
        <f>I25-I26</f>
        <v>2398655.528350547</v>
      </c>
      <c r="J27" s="20">
        <f>J25-J26</f>
        <v>2653231.7658535317</v>
      </c>
      <c r="K27" s="20">
        <f>K25-K26</f>
        <v>2907955.3616507687</v>
      </c>
    </row>
    <row r="28" spans="1:11" ht="15" thickTop="1" x14ac:dyDescent="0.3">
      <c r="A28" s="1"/>
      <c r="C28" s="1"/>
      <c r="D28" s="1"/>
      <c r="E28" s="1"/>
      <c r="F28" s="26"/>
      <c r="G28" s="1"/>
      <c r="H28" s="1"/>
      <c r="I28" s="1"/>
      <c r="J28" s="1"/>
      <c r="K28" s="1"/>
    </row>
    <row r="29" spans="1:11" ht="22.05" customHeight="1" x14ac:dyDescent="0.3">
      <c r="A29" s="41" t="s">
        <v>30</v>
      </c>
      <c r="C29" s="2"/>
      <c r="D29" s="2"/>
      <c r="E29" s="2"/>
      <c r="F29" s="24"/>
      <c r="G29" s="2"/>
      <c r="H29" s="2"/>
      <c r="I29" s="2"/>
      <c r="J29" s="2"/>
      <c r="K29" s="2"/>
    </row>
    <row r="30" spans="1:11" x14ac:dyDescent="0.3">
      <c r="A30" s="1"/>
      <c r="C30" s="15" t="s">
        <v>1</v>
      </c>
      <c r="D30" s="15" t="s">
        <v>2</v>
      </c>
      <c r="E30" s="15" t="s">
        <v>3</v>
      </c>
      <c r="F30" s="25"/>
      <c r="G30" s="15" t="s">
        <v>4</v>
      </c>
      <c r="H30" s="15" t="s">
        <v>5</v>
      </c>
      <c r="I30" s="15" t="s">
        <v>6</v>
      </c>
      <c r="J30" s="15" t="s">
        <v>7</v>
      </c>
      <c r="K30" s="15" t="s">
        <v>8</v>
      </c>
    </row>
    <row r="31" spans="1:11" x14ac:dyDescent="0.3">
      <c r="A31" s="37" t="s">
        <v>9</v>
      </c>
      <c r="B31" s="38"/>
      <c r="C31" s="39"/>
      <c r="D31" s="39">
        <f>(D15-C15)/C15</f>
        <v>0.18602510961691965</v>
      </c>
      <c r="E31" s="39">
        <f>(E15-D15)/D15</f>
        <v>0.10071940950245954</v>
      </c>
      <c r="F31" s="40"/>
      <c r="G31" s="39">
        <f>(G15-E15)/E15</f>
        <v>7.0000000000000034E-2</v>
      </c>
      <c r="H31" s="39">
        <f>(H15-G15)/G15</f>
        <v>8.0000000000000154E-2</v>
      </c>
      <c r="I31" s="39">
        <f>(I15-H15)/H15</f>
        <v>9.0000000000000011E-2</v>
      </c>
      <c r="J31" s="39">
        <f>(J15-I15)/I15</f>
        <v>9.0000000000000108E-2</v>
      </c>
      <c r="K31" s="39">
        <f>(K15-J15)/J15</f>
        <v>8.0000000000000016E-2</v>
      </c>
    </row>
    <row r="32" spans="1:11" x14ac:dyDescent="0.3">
      <c r="A32" s="1" t="s">
        <v>10</v>
      </c>
      <c r="C32" s="5">
        <f>C17/C15</f>
        <v>0.55389063929085669</v>
      </c>
      <c r="D32" s="5">
        <f>D17/D15</f>
        <v>0.58314199880697903</v>
      </c>
      <c r="E32" s="5">
        <f>E17/E15</f>
        <v>0.59224937444076509</v>
      </c>
      <c r="F32" s="32"/>
      <c r="G32" s="5">
        <f>G17/G15</f>
        <v>0.59199999999999997</v>
      </c>
      <c r="H32" s="5">
        <f>H17/H15</f>
        <v>0.59499999999999997</v>
      </c>
      <c r="I32" s="5">
        <f>I17/I15</f>
        <v>0.59799999999999998</v>
      </c>
      <c r="J32" s="5">
        <f>J17/J15</f>
        <v>0.6</v>
      </c>
      <c r="K32" s="5">
        <f>K17/K15</f>
        <v>0.6</v>
      </c>
    </row>
    <row r="33" spans="1:11" x14ac:dyDescent="0.3">
      <c r="A33" s="37" t="s">
        <v>31</v>
      </c>
      <c r="B33" s="38"/>
      <c r="C33" s="39">
        <f>C19/C15</f>
        <v>0.30106313801411944</v>
      </c>
      <c r="D33" s="39">
        <f>D19/D15</f>
        <v>0.31368851175732732</v>
      </c>
      <c r="E33" s="39">
        <f>E19/E15</f>
        <v>0.31559777433702624</v>
      </c>
      <c r="F33" s="40"/>
      <c r="G33" s="39">
        <f>G19/G15</f>
        <v>0.315</v>
      </c>
      <c r="H33" s="39">
        <f>H19/H15</f>
        <v>0.312</v>
      </c>
      <c r="I33" s="39">
        <f>I19/I15</f>
        <v>0.31</v>
      </c>
      <c r="J33" s="39">
        <f>J19/J15</f>
        <v>0.308</v>
      </c>
      <c r="K33" s="39">
        <f>K19/K15</f>
        <v>0.30499999999999999</v>
      </c>
    </row>
    <row r="34" spans="1:11" x14ac:dyDescent="0.3">
      <c r="A34" s="1" t="s">
        <v>32</v>
      </c>
      <c r="C34" s="5">
        <f>C22/C15</f>
        <v>0.21282746675366482</v>
      </c>
      <c r="D34" s="5">
        <f>D22/D15</f>
        <v>0.22945349952460051</v>
      </c>
      <c r="E34" s="5">
        <f>E22/E15</f>
        <v>0.23665160388155562</v>
      </c>
      <c r="F34" s="32"/>
      <c r="G34" s="5">
        <f>G22/G15</f>
        <v>0.23699999999999993</v>
      </c>
      <c r="H34" s="5">
        <f>H22/H15</f>
        <v>0.24299999999999988</v>
      </c>
      <c r="I34" s="5">
        <f>I22/I15</f>
        <v>0.24899999999999997</v>
      </c>
      <c r="J34" s="5">
        <f>J22/J15</f>
        <v>0.253</v>
      </c>
      <c r="K34" s="5">
        <f>K22/K15</f>
        <v>0.25700000000000001</v>
      </c>
    </row>
    <row r="35" spans="1:11" x14ac:dyDescent="0.3">
      <c r="A35" s="37" t="s">
        <v>33</v>
      </c>
      <c r="B35" s="38"/>
      <c r="C35" s="39">
        <f>C27/C15</f>
        <v>0.10539400812623806</v>
      </c>
      <c r="D35" s="39">
        <f>D27/D15</f>
        <v>0.16115450660642097</v>
      </c>
      <c r="E35" s="39">
        <f>E27/E15</f>
        <v>0.1713821690448338</v>
      </c>
      <c r="F35" s="40"/>
      <c r="G35" s="39">
        <f>G27/G15</f>
        <v>0.17046597703757166</v>
      </c>
      <c r="H35" s="39">
        <f>H27/H15</f>
        <v>0.17453914434208354</v>
      </c>
      <c r="I35" s="39">
        <f>I27/I15</f>
        <v>0.17985178453371869</v>
      </c>
      <c r="J35" s="39">
        <f>J27/J15</f>
        <v>0.18251373739486665</v>
      </c>
      <c r="K35" s="39">
        <f>K27/K15</f>
        <v>0.1852184946894537</v>
      </c>
    </row>
    <row r="36" spans="1:11" x14ac:dyDescent="0.3">
      <c r="A36" s="1" t="s">
        <v>34</v>
      </c>
      <c r="C36" s="5">
        <f>C26/C25</f>
        <v>0.35853324138075943</v>
      </c>
      <c r="D36" s="5">
        <f>D26/D25</f>
        <v>0.28750973808850805</v>
      </c>
      <c r="E36" s="5">
        <f>E26/E25</f>
        <v>0.29558937873363256</v>
      </c>
      <c r="F36" s="32"/>
      <c r="G36" s="5">
        <f>G26/G25</f>
        <v>0.3</v>
      </c>
      <c r="H36" s="5">
        <f>H26/H25</f>
        <v>0.3</v>
      </c>
      <c r="I36" s="5">
        <f>I26/I25</f>
        <v>0.29499999999999998</v>
      </c>
      <c r="J36" s="5">
        <f>J26/J25</f>
        <v>0.29499999999999998</v>
      </c>
      <c r="K36" s="5">
        <f>K26/K25</f>
        <v>0.29499999999999998</v>
      </c>
    </row>
    <row r="37" spans="1:11" x14ac:dyDescent="0.3">
      <c r="A37" s="1"/>
      <c r="C37" s="1"/>
      <c r="D37" s="1"/>
      <c r="E37" s="1"/>
      <c r="F37" s="26"/>
      <c r="G37" s="1"/>
      <c r="H37" s="1"/>
      <c r="I37" s="1"/>
      <c r="J37" s="1"/>
      <c r="K37" s="1"/>
    </row>
    <row r="38" spans="1:11" x14ac:dyDescent="0.3">
      <c r="A38" s="3" t="s">
        <v>35</v>
      </c>
      <c r="C38" s="19">
        <f>C22+C20</f>
        <v>2050562</v>
      </c>
      <c r="D38" s="19">
        <f>D22+D20</f>
        <v>2591948</v>
      </c>
      <c r="E38" s="19">
        <f>E22+E20</f>
        <v>2929222</v>
      </c>
      <c r="F38" s="30"/>
      <c r="G38" s="19">
        <f>G22+G20</f>
        <v>3138214.6651399992</v>
      </c>
      <c r="H38" s="19">
        <f>H22+H20</f>
        <v>3462685.6687847991</v>
      </c>
      <c r="I38" s="19">
        <f>I22+I20</f>
        <v>3841011.6082859524</v>
      </c>
      <c r="J38" s="19">
        <f>J22+J20</f>
        <v>4244851.3009904623</v>
      </c>
      <c r="K38" s="19">
        <f>K22+K20</f>
        <v>4631539.8099163063</v>
      </c>
    </row>
    <row r="39" spans="1:11" x14ac:dyDescent="0.3">
      <c r="A39" s="37" t="s">
        <v>36</v>
      </c>
      <c r="B39" s="38"/>
      <c r="C39" s="39">
        <f>C38/C15</f>
        <v>0.2528275012767372</v>
      </c>
      <c r="D39" s="39">
        <f>D38/D15</f>
        <v>0.26945348704965177</v>
      </c>
      <c r="E39" s="39">
        <f>E38/E15</f>
        <v>0.27665160010373885</v>
      </c>
      <c r="F39" s="40"/>
      <c r="G39" s="39">
        <f>G38/G15</f>
        <v>0.27699999999999991</v>
      </c>
      <c r="H39" s="39">
        <f>H38/H15</f>
        <v>0.28299999999999986</v>
      </c>
      <c r="I39" s="39">
        <f>I38/I15</f>
        <v>0.28799999999999998</v>
      </c>
      <c r="J39" s="39">
        <f>J38/J15</f>
        <v>0.29199999999999998</v>
      </c>
      <c r="K39" s="39">
        <f>K38/K15</f>
        <v>0.29500000000000004</v>
      </c>
    </row>
    <row r="40" spans="1:11" x14ac:dyDescent="0.3">
      <c r="A40" s="33" t="s">
        <v>14</v>
      </c>
      <c r="C40" s="34">
        <v>655</v>
      </c>
      <c r="D40" s="34">
        <v>711</v>
      </c>
      <c r="E40" s="34">
        <v>767</v>
      </c>
      <c r="F40" s="35"/>
      <c r="G40" s="34">
        <f>E40+G8</f>
        <v>822</v>
      </c>
      <c r="H40" s="34">
        <f>G40+H8</f>
        <v>877</v>
      </c>
      <c r="I40" s="34">
        <f>H40+I8</f>
        <v>927</v>
      </c>
      <c r="J40" s="34">
        <f>I40+J8</f>
        <v>977</v>
      </c>
      <c r="K40" s="34">
        <f>J40+K8</f>
        <v>1022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LULU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2026-03-17T05:05:40Z</dcterms:modified>
</cp:coreProperties>
</file>