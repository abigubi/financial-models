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4885f5b5840770/Masaüstü/Financial Models/"/>
    </mc:Choice>
  </mc:AlternateContent>
  <xr:revisionPtr revIDLastSave="0" documentId="13_ncr:1_{A02D53C4-B977-4F18-8B1E-4D8C901C82EC}" xr6:coauthVersionLast="47" xr6:coauthVersionMax="47" xr10:uidLastSave="{00000000-0000-0000-0000-000000000000}"/>
  <bookViews>
    <workbookView xWindow="32784" yWindow="1692" windowWidth="25872" windowHeight="13368" xr2:uid="{64BEE0EA-45A1-4490-9445-11F5F6D37C44}"/>
  </bookViews>
  <sheets>
    <sheet name="Main" sheetId="1" r:id="rId1"/>
    <sheet name="Segments" sheetId="3" r:id="rId2"/>
    <sheet name="Extr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K22" i="1"/>
  <c r="J22" i="1"/>
  <c r="J18" i="1"/>
  <c r="K18" i="1" s="1"/>
  <c r="I20" i="1"/>
  <c r="I23" i="1" s="1"/>
  <c r="I77" i="1"/>
  <c r="H77" i="1"/>
  <c r="G77" i="1"/>
  <c r="F77" i="1"/>
  <c r="E77" i="1"/>
  <c r="I67" i="1"/>
  <c r="J59" i="1"/>
  <c r="K33" i="1"/>
  <c r="L33" i="1" s="1"/>
  <c r="M33" i="1" s="1"/>
  <c r="I85" i="1"/>
  <c r="H85" i="1"/>
  <c r="I82" i="1"/>
  <c r="P17" i="1"/>
  <c r="P20" i="1" s="1"/>
  <c r="P10" i="1"/>
  <c r="U13" i="1"/>
  <c r="H20" i="1"/>
  <c r="H23" i="1" s="1"/>
  <c r="G20" i="1"/>
  <c r="G23" i="1" s="1"/>
  <c r="F20" i="1"/>
  <c r="F23" i="1" s="1"/>
  <c r="E20" i="1"/>
  <c r="E23" i="1" s="1"/>
  <c r="J85" i="1"/>
  <c r="P19" i="1" l="1"/>
  <c r="T11" i="1"/>
  <c r="P18" i="1"/>
  <c r="P21" i="1"/>
  <c r="T22" i="1"/>
  <c r="H66" i="1"/>
  <c r="H67" i="1" s="1"/>
  <c r="G66" i="1"/>
  <c r="G67" i="1" s="1"/>
  <c r="F66" i="1"/>
  <c r="F67" i="1" s="1"/>
  <c r="E66" i="1"/>
  <c r="E67" i="1" s="1"/>
  <c r="I88" i="1"/>
  <c r="J88" i="1" s="1"/>
  <c r="H88" i="1"/>
  <c r="G88" i="1"/>
  <c r="F88" i="1"/>
  <c r="E88" i="1"/>
  <c r="H61" i="1"/>
  <c r="G61" i="1"/>
  <c r="F61" i="1"/>
  <c r="E61" i="1"/>
  <c r="J60" i="1"/>
  <c r="I60" i="1"/>
  <c r="H60" i="1"/>
  <c r="G60" i="1"/>
  <c r="F60" i="1"/>
  <c r="E60" i="1"/>
  <c r="G85" i="1"/>
  <c r="F85" i="1"/>
  <c r="E85" i="1"/>
  <c r="K63" i="1"/>
  <c r="K59" i="1" s="1"/>
  <c r="K82" i="1" s="1"/>
  <c r="J82" i="1"/>
  <c r="H82" i="1"/>
  <c r="G82" i="1"/>
  <c r="F82" i="1"/>
  <c r="E82" i="1"/>
  <c r="G55" i="1"/>
  <c r="G78" i="1" s="1"/>
  <c r="F55" i="1"/>
  <c r="F78" i="1" s="1"/>
  <c r="E55" i="1"/>
  <c r="E78" i="1" s="1"/>
  <c r="H71" i="1"/>
  <c r="H95" i="1" s="1"/>
  <c r="G71" i="1"/>
  <c r="F71" i="1"/>
  <c r="F95" i="1" s="1"/>
  <c r="E71" i="1"/>
  <c r="E95" i="1" s="1"/>
  <c r="G52" i="1"/>
  <c r="F52" i="1"/>
  <c r="H49" i="1"/>
  <c r="G49" i="1"/>
  <c r="F49" i="1"/>
  <c r="E52" i="1"/>
  <c r="E49" i="1"/>
  <c r="H46" i="1"/>
  <c r="G46" i="1"/>
  <c r="F46" i="1"/>
  <c r="E46" i="1"/>
  <c r="E37" i="1"/>
  <c r="E72" i="1" s="1"/>
  <c r="H37" i="1"/>
  <c r="H72" i="1" s="1"/>
  <c r="G37" i="1"/>
  <c r="G72" i="1" s="1"/>
  <c r="F37" i="1"/>
  <c r="F72" i="1" s="1"/>
  <c r="H42" i="1"/>
  <c r="H51" i="1" s="1"/>
  <c r="H52" i="1" s="1"/>
  <c r="G42" i="1"/>
  <c r="G43" i="1" s="1"/>
  <c r="F42" i="1"/>
  <c r="F43" i="1" s="1"/>
  <c r="E42" i="1"/>
  <c r="E43" i="1" s="1"/>
  <c r="H40" i="1"/>
  <c r="G40" i="1"/>
  <c r="F40" i="1"/>
  <c r="E40" i="1"/>
  <c r="J30" i="1"/>
  <c r="K30" i="1" s="1"/>
  <c r="J31" i="1"/>
  <c r="E31" i="1"/>
  <c r="I31" i="1"/>
  <c r="H31" i="1"/>
  <c r="G31" i="1"/>
  <c r="F31" i="1"/>
  <c r="I27" i="1"/>
  <c r="I33" i="1" s="1"/>
  <c r="H28" i="1"/>
  <c r="G28" i="1"/>
  <c r="F28" i="1"/>
  <c r="E28" i="1"/>
  <c r="G83" i="1" l="1"/>
  <c r="H89" i="1"/>
  <c r="F92" i="1"/>
  <c r="H83" i="1"/>
  <c r="E89" i="1"/>
  <c r="F86" i="1"/>
  <c r="E86" i="1"/>
  <c r="E92" i="1"/>
  <c r="G89" i="1"/>
  <c r="F83" i="1"/>
  <c r="E83" i="1"/>
  <c r="G86" i="1"/>
  <c r="F89" i="1"/>
  <c r="H86" i="1"/>
  <c r="J66" i="1"/>
  <c r="G95" i="1"/>
  <c r="L63" i="1"/>
  <c r="L59" i="1" s="1"/>
  <c r="L82" i="1" s="1"/>
  <c r="K60" i="1"/>
  <c r="K85" i="1"/>
  <c r="K88" i="1"/>
  <c r="H55" i="1"/>
  <c r="H78" i="1" s="1"/>
  <c r="G92" i="1"/>
  <c r="H92" i="1"/>
  <c r="H43" i="1"/>
  <c r="J27" i="1"/>
  <c r="J28" i="1" s="1"/>
  <c r="K31" i="1"/>
  <c r="I28" i="1"/>
  <c r="K66" i="1" l="1"/>
  <c r="L88" i="1"/>
  <c r="M63" i="1"/>
  <c r="M59" i="1" s="1"/>
  <c r="M82" i="1" s="1"/>
  <c r="L60" i="1"/>
  <c r="L85" i="1"/>
  <c r="K27" i="1"/>
  <c r="L27" i="1" s="1"/>
  <c r="L66" i="1" l="1"/>
  <c r="M60" i="1"/>
  <c r="N63" i="1"/>
  <c r="N59" i="1" s="1"/>
  <c r="M85" i="1"/>
  <c r="M88" i="1"/>
  <c r="M27" i="1"/>
  <c r="L28" i="1"/>
  <c r="K28" i="1"/>
  <c r="M66" i="1" l="1"/>
  <c r="N85" i="1"/>
  <c r="N88" i="1"/>
  <c r="M28" i="1"/>
  <c r="N27" i="1"/>
  <c r="N28" i="1" s="1"/>
  <c r="N66" i="1" l="1"/>
  <c r="N82" i="1"/>
  <c r="N60" i="1"/>
  <c r="F15" i="1" l="1"/>
  <c r="G15" i="1" s="1"/>
  <c r="H15" i="1" s="1"/>
  <c r="I15" i="1" s="1"/>
  <c r="F70" i="1" l="1"/>
  <c r="G70" i="1" s="1"/>
  <c r="H70" i="1" s="1"/>
  <c r="I70" i="1" s="1"/>
  <c r="F57" i="1"/>
  <c r="G57" i="1" s="1"/>
  <c r="H57" i="1" s="1"/>
  <c r="I57" i="1" s="1"/>
  <c r="F25" i="1"/>
  <c r="G25" i="1" s="1"/>
  <c r="H25" i="1" s="1"/>
  <c r="I25" i="1" s="1"/>
  <c r="E33" i="1"/>
  <c r="E34" i="1" s="1"/>
  <c r="F33" i="1"/>
  <c r="G33" i="1"/>
  <c r="G34" i="1" s="1"/>
  <c r="H33" i="1"/>
  <c r="H34" i="1" s="1"/>
  <c r="F34" i="1" l="1"/>
  <c r="I34" i="1"/>
  <c r="I46" i="1" l="1"/>
  <c r="I61" i="1"/>
  <c r="I40" i="1"/>
  <c r="I42" i="1"/>
  <c r="I37" i="1"/>
  <c r="I72" i="1" s="1"/>
  <c r="I71" i="1"/>
  <c r="I86" i="1" s="1"/>
  <c r="I49" i="1"/>
  <c r="J36" i="1"/>
  <c r="J67" i="1" s="1"/>
  <c r="J34" i="1"/>
  <c r="I43" i="1" l="1"/>
  <c r="I51" i="1"/>
  <c r="J48" i="1"/>
  <c r="J45" i="1"/>
  <c r="J46" i="1" s="1"/>
  <c r="J61" i="1"/>
  <c r="I92" i="1"/>
  <c r="I83" i="1"/>
  <c r="I89" i="1"/>
  <c r="J39" i="1"/>
  <c r="J40" i="1" s="1"/>
  <c r="J49" i="1"/>
  <c r="J37" i="1"/>
  <c r="J72" i="1" s="1"/>
  <c r="J71" i="1"/>
  <c r="J86" i="1" s="1"/>
  <c r="K34" i="1"/>
  <c r="K36" i="1"/>
  <c r="K67" i="1" s="1"/>
  <c r="I52" i="1" l="1"/>
  <c r="I55" i="1"/>
  <c r="I78" i="1" s="1"/>
  <c r="P22" i="1"/>
  <c r="K45" i="1"/>
  <c r="K46" i="1" s="1"/>
  <c r="K48" i="1"/>
  <c r="K49" i="1" s="1"/>
  <c r="J42" i="1"/>
  <c r="K61" i="1"/>
  <c r="J91" i="1"/>
  <c r="J92" i="1" s="1"/>
  <c r="J83" i="1"/>
  <c r="J89" i="1"/>
  <c r="K39" i="1"/>
  <c r="K40" i="1" s="1"/>
  <c r="K37" i="1"/>
  <c r="K72" i="1" s="1"/>
  <c r="K71" i="1"/>
  <c r="K86" i="1" s="1"/>
  <c r="L36" i="1"/>
  <c r="L67" i="1" s="1"/>
  <c r="L34" i="1"/>
  <c r="J43" i="1" l="1"/>
  <c r="J51" i="1"/>
  <c r="L45" i="1"/>
  <c r="L46" i="1" s="1"/>
  <c r="L48" i="1"/>
  <c r="L49" i="1" s="1"/>
  <c r="K42" i="1"/>
  <c r="L61" i="1"/>
  <c r="K91" i="1"/>
  <c r="K92" i="1" s="1"/>
  <c r="K83" i="1"/>
  <c r="K89" i="1"/>
  <c r="L39" i="1"/>
  <c r="L40" i="1" s="1"/>
  <c r="L37" i="1"/>
  <c r="L72" i="1" s="1"/>
  <c r="L71" i="1"/>
  <c r="M36" i="1"/>
  <c r="M67" i="1" s="1"/>
  <c r="M34" i="1"/>
  <c r="N33" i="1" s="1"/>
  <c r="J52" i="1" l="1"/>
  <c r="J54" i="1"/>
  <c r="K43" i="1"/>
  <c r="K51" i="1"/>
  <c r="M45" i="1"/>
  <c r="M48" i="1"/>
  <c r="L42" i="1"/>
  <c r="L91" i="1"/>
  <c r="L92" i="1" s="1"/>
  <c r="L86" i="1"/>
  <c r="M61" i="1"/>
  <c r="L83" i="1"/>
  <c r="L89" i="1"/>
  <c r="M49" i="1"/>
  <c r="M37" i="1"/>
  <c r="M72" i="1" s="1"/>
  <c r="M39" i="1"/>
  <c r="M40" i="1" s="1"/>
  <c r="M71" i="1"/>
  <c r="N36" i="1"/>
  <c r="N67" i="1" s="1"/>
  <c r="N34" i="1"/>
  <c r="J55" i="1" l="1"/>
  <c r="J78" i="1" s="1"/>
  <c r="J77" i="1"/>
  <c r="K52" i="1"/>
  <c r="K54" i="1"/>
  <c r="L43" i="1"/>
  <c r="L51" i="1"/>
  <c r="M91" i="1"/>
  <c r="M92" i="1" s="1"/>
  <c r="M86" i="1"/>
  <c r="M83" i="1"/>
  <c r="M89" i="1"/>
  <c r="N45" i="1"/>
  <c r="N61" i="1"/>
  <c r="N48" i="1"/>
  <c r="N49" i="1" s="1"/>
  <c r="N37" i="1"/>
  <c r="N72" i="1" s="1"/>
  <c r="N39" i="1"/>
  <c r="N40" i="1" s="1"/>
  <c r="N71" i="1"/>
  <c r="M42" i="1"/>
  <c r="K55" i="1" l="1"/>
  <c r="K78" i="1" s="1"/>
  <c r="K77" i="1"/>
  <c r="L52" i="1"/>
  <c r="L54" i="1"/>
  <c r="M43" i="1"/>
  <c r="M51" i="1"/>
  <c r="N91" i="1"/>
  <c r="N92" i="1" s="1"/>
  <c r="N86" i="1"/>
  <c r="N89" i="1"/>
  <c r="N83" i="1"/>
  <c r="N42" i="1"/>
  <c r="L55" i="1" l="1"/>
  <c r="L78" i="1" s="1"/>
  <c r="L77" i="1"/>
  <c r="M52" i="1"/>
  <c r="M54" i="1"/>
  <c r="N43" i="1"/>
  <c r="N51" i="1"/>
  <c r="M55" i="1" l="1"/>
  <c r="M78" i="1" s="1"/>
  <c r="M77" i="1"/>
  <c r="P8" i="1"/>
  <c r="P9" i="1" s="1"/>
  <c r="N52" i="1"/>
  <c r="E74" i="1" a="1"/>
  <c r="E75" i="1" s="1"/>
  <c r="N54" i="1"/>
  <c r="H80" i="1" l="1"/>
  <c r="G80" i="1"/>
  <c r="K75" i="1"/>
  <c r="L75" i="1"/>
  <c r="I80" i="1"/>
  <c r="I94" i="1" s="1"/>
  <c r="I95" i="1" s="1"/>
  <c r="K80" i="1"/>
  <c r="K94" i="1" s="1"/>
  <c r="M80" i="1"/>
  <c r="M94" i="1" s="1"/>
  <c r="J80" i="1"/>
  <c r="J94" i="1" s="1"/>
  <c r="N75" i="1"/>
  <c r="F75" i="1"/>
  <c r="M75" i="1"/>
  <c r="G75" i="1"/>
  <c r="L80" i="1"/>
  <c r="L94" i="1" s="1"/>
  <c r="H75" i="1"/>
  <c r="I75" i="1"/>
  <c r="J75" i="1"/>
  <c r="F80" i="1"/>
  <c r="E80" i="1" s="1"/>
  <c r="N55" i="1"/>
  <c r="N78" i="1" s="1"/>
  <c r="N77" i="1"/>
  <c r="N80" i="1" s="1"/>
  <c r="N94" i="1" s="1"/>
  <c r="K95" i="1" l="1"/>
  <c r="K97" i="1"/>
  <c r="M95" i="1"/>
  <c r="M97" i="1"/>
  <c r="J95" i="1"/>
  <c r="J97" i="1"/>
  <c r="J21" i="1"/>
  <c r="L95" i="1"/>
  <c r="L97" i="1"/>
  <c r="N95" i="1"/>
  <c r="N97" i="1"/>
  <c r="P16" i="1" l="1"/>
  <c r="P7" i="1"/>
  <c r="P12" i="1" s="1"/>
  <c r="E8" i="1" s="1"/>
  <c r="E10" i="1" s="1"/>
  <c r="J17" i="1"/>
  <c r="J20" i="1" s="1"/>
  <c r="J23" i="1" s="1"/>
  <c r="K21" i="1"/>
  <c r="K17" i="1" s="1"/>
  <c r="E11" i="1" l="1"/>
  <c r="K20" i="1"/>
  <c r="K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<sst xmlns="http://schemas.openxmlformats.org/spreadsheetml/2006/main" count="124" uniqueCount="82">
  <si>
    <t>Ticker</t>
  </si>
  <si>
    <t>Implied Share Price</t>
  </si>
  <si>
    <t>Current Share Price</t>
  </si>
  <si>
    <t>Implied Upside / (Downside)</t>
  </si>
  <si>
    <t>Income Statement</t>
  </si>
  <si>
    <t>2026E</t>
  </si>
  <si>
    <t>2027E</t>
  </si>
  <si>
    <t>2028E</t>
  </si>
  <si>
    <t>2029E</t>
  </si>
  <si>
    <t>2030E</t>
  </si>
  <si>
    <t>Revenue</t>
  </si>
  <si>
    <t>% growth</t>
  </si>
  <si>
    <t>EBIT</t>
  </si>
  <si>
    <t>Taxes</t>
  </si>
  <si>
    <t>Tax rate</t>
  </si>
  <si>
    <t>% of sales</t>
  </si>
  <si>
    <t>Cash Flow Items</t>
  </si>
  <si>
    <t>D&amp;A</t>
  </si>
  <si>
    <t>CapEx</t>
  </si>
  <si>
    <t>Changes in NWC</t>
  </si>
  <si>
    <t>% of changes in sales</t>
  </si>
  <si>
    <t>DCF</t>
  </si>
  <si>
    <t>EBIAT</t>
  </si>
  <si>
    <t>Free Cash Flow</t>
  </si>
  <si>
    <t>Present Value of FCF</t>
  </si>
  <si>
    <t>Key Statistics</t>
  </si>
  <si>
    <t>Stock Price</t>
  </si>
  <si>
    <t>Market Cap</t>
  </si>
  <si>
    <t>Cash</t>
  </si>
  <si>
    <t>Debt</t>
  </si>
  <si>
    <t>Enterprise Value</t>
  </si>
  <si>
    <t xml:space="preserve">shares outstanding diluted </t>
  </si>
  <si>
    <t>Net Debt</t>
  </si>
  <si>
    <t>% of capex</t>
  </si>
  <si>
    <t>WACC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</si>
  <si>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</si>
  <si>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</si>
  <si>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</si>
  <si>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</si>
  <si>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</si>
  <si>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</si>
  <si>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</si>
  <si>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</si>
  <si>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>Total</t>
  </si>
  <si>
    <t>Notes</t>
  </si>
  <si>
    <t>Valuation</t>
  </si>
  <si>
    <t>PV of FCF</t>
  </si>
  <si>
    <t>Terminal Value</t>
  </si>
  <si>
    <t>Shares Outstanding</t>
  </si>
  <si>
    <t>Implied Market Cap</t>
  </si>
  <si>
    <t>all values in millions except per share numbers</t>
  </si>
  <si>
    <t>EV/EBIT Multiple</t>
  </si>
  <si>
    <t>PV of Terminal Value</t>
  </si>
  <si>
    <t>Company Overview</t>
  </si>
  <si>
    <t>Price</t>
  </si>
  <si>
    <t>Key Stats</t>
  </si>
  <si>
    <t>Employees</t>
  </si>
  <si>
    <t>Founded</t>
  </si>
  <si>
    <t>CEO</t>
  </si>
  <si>
    <t>Headquarters</t>
  </si>
  <si>
    <t>Primary Industry</t>
  </si>
  <si>
    <t>Fiscal Year End</t>
  </si>
  <si>
    <t>COGS</t>
  </si>
  <si>
    <t>Gross Income</t>
  </si>
  <si>
    <t>SG&amp;A</t>
  </si>
  <si>
    <t>R&amp;D</t>
  </si>
  <si>
    <t>Last Updated</t>
  </si>
  <si>
    <t>% of fcf</t>
  </si>
  <si>
    <t>P/E (LTM)</t>
  </si>
  <si>
    <t>P/S (LTM)</t>
  </si>
  <si>
    <t>Financial Ratios</t>
  </si>
  <si>
    <t>P/E (NTM)</t>
  </si>
  <si>
    <t>Stock Based Compensation</t>
  </si>
  <si>
    <t>META</t>
  </si>
  <si>
    <t>Monthly Active Users</t>
  </si>
  <si>
    <t>Daily Active Users</t>
  </si>
  <si>
    <t>ARPU</t>
  </si>
  <si>
    <t>Mark Zuckerberg</t>
  </si>
  <si>
    <t>Internet Content &amp; Information</t>
  </si>
  <si>
    <t>Menlo Park, California</t>
  </si>
  <si>
    <t>EV/EBIT (LTM)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</si>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</sst>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&quot;$&quot;#,##0"/>
  </numFmts>
  <fonts count="1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 tint="-0.249977111117893"/>
      <name val="Calibri"/>
      <family val="2"/>
    </font>
    <font>
      <b/>
      <sz val="11"/>
      <name val="calibri"/>
      <family val="2"/>
    </font>
    <font>
      <sz val="11"/>
      <color theme="5" tint="-0.249977111117893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5" fillId="0" borderId="0" xfId="0" applyFont="1"/>
    <xf numFmtId="0" fontId="2" fillId="0" borderId="1" xfId="0" applyFont="1" applyBorder="1"/>
    <xf numFmtId="164" fontId="6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/>
    <xf numFmtId="10" fontId="2" fillId="0" borderId="0" xfId="0" applyNumberFormat="1" applyFont="1"/>
    <xf numFmtId="10" fontId="5" fillId="0" borderId="0" xfId="0" applyNumberFormat="1" applyFont="1"/>
    <xf numFmtId="3" fontId="6" fillId="0" borderId="0" xfId="0" applyNumberFormat="1" applyFont="1"/>
    <xf numFmtId="41" fontId="2" fillId="0" borderId="0" xfId="0" applyNumberFormat="1" applyFont="1"/>
    <xf numFmtId="9" fontId="5" fillId="0" borderId="0" xfId="1" applyFont="1"/>
    <xf numFmtId="10" fontId="2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1" xfId="0" applyFont="1" applyBorder="1"/>
    <xf numFmtId="165" fontId="2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3" fontId="8" fillId="0" borderId="0" xfId="0" applyNumberFormat="1" applyFont="1"/>
    <xf numFmtId="4" fontId="2" fillId="0" borderId="0" xfId="0" applyNumberFormat="1" applyFont="1"/>
    <xf numFmtId="8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3" fontId="2" fillId="0" borderId="4" xfId="0" applyNumberFormat="1" applyFont="1" applyBorder="1"/>
    <xf numFmtId="3" fontId="2" fillId="0" borderId="5" xfId="0" applyNumberFormat="1" applyFont="1" applyBorder="1"/>
    <xf numFmtId="0" fontId="9" fillId="4" borderId="0" xfId="0" applyFont="1" applyFill="1"/>
    <xf numFmtId="0" fontId="10" fillId="4" borderId="0" xfId="0" applyFont="1" applyFill="1"/>
    <xf numFmtId="3" fontId="6" fillId="0" borderId="1" xfId="0" applyNumberFormat="1" applyFont="1" applyBorder="1"/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44336"/>
      <color rgb="FF00A1F1"/>
      <color rgb="FFFFC107"/>
      <color rgb="FF4CAF50"/>
      <color rgb="FF2196F3"/>
      <color rgb="FFF65314"/>
      <color rgb="FFF25022"/>
      <color rgb="FF7CBB00"/>
      <color rgb="FFFFBB00"/>
      <color rgb="FF00A4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103990</xdr:rowOff>
    </xdr:to>
    <xdr:sp macro="" textlink="">
      <xdr:nvSpPr>
        <xdr:cNvPr id="1025" name="AutoShape 1" descr="Microsoft Logo Icon Vector, Microsoft, Azure, Word PNG and Vector with  Transparent Background for Free Download">
          <a:extLst>
            <a:ext uri="{FF2B5EF4-FFF2-40B4-BE49-F238E27FC236}">
              <a16:creationId xmlns:a16="http://schemas.microsoft.com/office/drawing/2014/main" id="{5FC3D2D1-38EB-BCCB-8044-D022D4FC59F3}"/>
            </a:ext>
          </a:extLst>
        </xdr:cNvPr>
        <xdr:cNvSpPr>
          <a:spLocks noChangeAspect="1" noChangeArrowheads="1"/>
        </xdr:cNvSpPr>
      </xdr:nvSpPr>
      <xdr:spPr bwMode="auto">
        <a:xfrm>
          <a:off x="13258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304800</xdr:colOff>
      <xdr:row>37</xdr:row>
      <xdr:rowOff>121919</xdr:rowOff>
    </xdr:to>
    <xdr:sp macro="" textlink="">
      <xdr:nvSpPr>
        <xdr:cNvPr id="1028" name="AutoShape 4" descr="Microsoft Logo PNG Vector (EPS) Free Download">
          <a:extLst>
            <a:ext uri="{FF2B5EF4-FFF2-40B4-BE49-F238E27FC236}">
              <a16:creationId xmlns:a16="http://schemas.microsoft.com/office/drawing/2014/main" id="{ABBD38CA-2D10-A584-BCE7-0C6FD0BE426D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12964</xdr:colOff>
      <xdr:row>0</xdr:row>
      <xdr:rowOff>32018</xdr:rowOff>
    </xdr:from>
    <xdr:to>
      <xdr:col>3</xdr:col>
      <xdr:colOff>435684</xdr:colOff>
      <xdr:row>3</xdr:row>
      <xdr:rowOff>16585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BDF12A-BBF6-C882-EFAE-275F34C34F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667" b="22667"/>
        <a:stretch>
          <a:fillRect/>
        </a:stretch>
      </xdr:blipFill>
      <xdr:spPr>
        <a:xfrm>
          <a:off x="675904" y="32018"/>
          <a:ext cx="1748600" cy="548447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30</xdr:row>
      <xdr:rowOff>0</xdr:rowOff>
    </xdr:from>
    <xdr:ext cx="304800" cy="307450"/>
    <xdr:sp macro="" textlink="">
      <xdr:nvSpPr>
        <xdr:cNvPr id="8" name="AutoShape 4" descr="Microsoft Logo PNG Vector (EPS) Free Download">
          <a:extLst>
            <a:ext uri="{FF2B5EF4-FFF2-40B4-BE49-F238E27FC236}">
              <a16:creationId xmlns:a16="http://schemas.microsoft.com/office/drawing/2014/main" id="{6FA6B343-2ACA-4CD3-B35E-0E401E86DAD8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</xdr:row>
      <xdr:rowOff>0</xdr:rowOff>
    </xdr:from>
    <xdr:ext cx="304800" cy="307450"/>
    <xdr:sp macro="" textlink="">
      <xdr:nvSpPr>
        <xdr:cNvPr id="9" name="AutoShape 4" descr="Microsoft Logo PNG Vector (EPS) Free Download">
          <a:extLst>
            <a:ext uri="{FF2B5EF4-FFF2-40B4-BE49-F238E27FC236}">
              <a16:creationId xmlns:a16="http://schemas.microsoft.com/office/drawing/2014/main" id="{60FAE949-BC8C-4680-841F-42993A3BEC53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C10E40-B346-48F7-91A5-193FCE6F1F7B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BA9-FD26-46A5-A630-9D65D6C233D8}">
  <dimension ref="B2:X105"/>
  <sheetViews>
    <sheetView showGridLines="0" tabSelected="1" zoomScale="115" zoomScaleNormal="115" workbookViewId="0">
      <selection activeCell="B17" sqref="B17"/>
    </sheetView>
  </sheetViews>
  <sheetFormatPr defaultColWidth="8.69921875" defaultRowHeight="14.4" customHeight="1" x14ac:dyDescent="0.3"/>
  <cols>
    <col min="1" max="3" width="8.69921875" style="1"/>
    <col min="4" max="5" width="8.69921875" style="1" customWidth="1"/>
    <col min="6" max="7" width="8.69921875" style="1"/>
    <col min="8" max="8" width="8.69921875" style="1" customWidth="1"/>
    <col min="9" max="15" width="8.69921875" style="1"/>
    <col min="16" max="17" width="8.69921875" style="1" customWidth="1"/>
    <col min="18" max="19" width="8.69921875" style="1"/>
    <col min="20" max="20" width="8.69921875" style="1" customWidth="1"/>
    <col min="21" max="21" width="8.69921875" style="1"/>
    <col min="22" max="22" width="8.69921875" style="1" customWidth="1"/>
    <col min="23" max="23" width="8.69921875" style="1"/>
    <col min="24" max="24" width="8.69921875" style="1" customWidth="1"/>
    <col min="25" max="16384" width="8.69921875" style="1"/>
  </cols>
  <sheetData>
    <row r="2" spans="2:24" ht="15.6" x14ac:dyDescent="0.3">
      <c r="B2"/>
      <c r="C2"/>
      <c r="R2" s="4" t="s">
        <v>50</v>
      </c>
    </row>
    <row r="3" spans="2:24" x14ac:dyDescent="0.3">
      <c r="B3" s="4"/>
    </row>
    <row r="4" spans="2:24" ht="14.4" customHeight="1" x14ac:dyDescent="0.3">
      <c r="B4" s="2" t="s">
        <v>53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4" s="21" customFormat="1" ht="1.9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3"/>
      <c r="N5" s="23"/>
      <c r="O5" s="23"/>
      <c r="P5" s="23"/>
    </row>
    <row r="6" spans="2:24" ht="14.4" customHeight="1" x14ac:dyDescent="0.3">
      <c r="B6" s="15" t="s">
        <v>54</v>
      </c>
      <c r="C6" s="5"/>
      <c r="D6" s="5"/>
      <c r="E6" s="5"/>
      <c r="G6" s="15" t="s">
        <v>55</v>
      </c>
      <c r="H6" s="5"/>
      <c r="I6" s="5"/>
      <c r="J6" s="5"/>
      <c r="K6" s="5"/>
      <c r="M6" s="18" t="s">
        <v>45</v>
      </c>
      <c r="N6" s="18"/>
      <c r="O6" s="18"/>
      <c r="P6" s="5"/>
      <c r="R6" s="18" t="s">
        <v>44</v>
      </c>
      <c r="S6" s="18"/>
      <c r="T6" s="18"/>
      <c r="U6" s="5"/>
    </row>
    <row r="7" spans="2:24" ht="14.4" customHeight="1" x14ac:dyDescent="0.3">
      <c r="B7" s="1" t="s">
        <v>0</v>
      </c>
      <c r="E7" s="16" t="s">
        <v>73</v>
      </c>
      <c r="G7" s="1" t="s">
        <v>56</v>
      </c>
      <c r="I7" s="34">
        <v>78450</v>
      </c>
      <c r="J7" s="34"/>
      <c r="K7" s="34"/>
      <c r="M7" s="1" t="s">
        <v>46</v>
      </c>
      <c r="P7" s="7">
        <f>SUM(J97:N97)</f>
        <v>164233.26687311727</v>
      </c>
      <c r="R7" s="1" t="s">
        <v>34</v>
      </c>
      <c r="T7" s="31"/>
      <c r="U7" s="9">
        <v>9.6299999999999997E-2</v>
      </c>
    </row>
    <row r="8" spans="2:24" ht="14.4" customHeight="1" x14ac:dyDescent="0.3">
      <c r="B8" s="1" t="s">
        <v>1</v>
      </c>
      <c r="E8" s="19">
        <f>P12/P11</f>
        <v>818.5724174061304</v>
      </c>
      <c r="G8" s="1" t="s">
        <v>57</v>
      </c>
      <c r="I8" s="38">
        <v>2004</v>
      </c>
      <c r="J8" s="38"/>
      <c r="K8" s="38"/>
      <c r="M8" s="1" t="s">
        <v>47</v>
      </c>
      <c r="P8" s="7">
        <f>N51*U8</f>
        <v>2948355.1141003342</v>
      </c>
      <c r="R8" s="1" t="s">
        <v>51</v>
      </c>
      <c r="U8" s="7">
        <v>20</v>
      </c>
      <c r="X8" s="20"/>
    </row>
    <row r="9" spans="2:24" ht="14.4" customHeight="1" x14ac:dyDescent="0.3">
      <c r="B9" s="1" t="s">
        <v>2</v>
      </c>
      <c r="E9" s="19">
        <v>580</v>
      </c>
      <c r="G9" s="1" t="s">
        <v>58</v>
      </c>
      <c r="I9" s="38" t="s">
        <v>77</v>
      </c>
      <c r="J9" s="38"/>
      <c r="K9" s="38"/>
      <c r="M9" s="1" t="s">
        <v>52</v>
      </c>
      <c r="P9" s="7">
        <f>P8/(1+U7)^4.5</f>
        <v>1949384.1355302625</v>
      </c>
      <c r="R9" s="32"/>
      <c r="U9" s="7"/>
    </row>
    <row r="10" spans="2:24" ht="14.4" customHeight="1" x14ac:dyDescent="0.3">
      <c r="B10" s="1" t="s">
        <v>3</v>
      </c>
      <c r="E10" s="14">
        <f>E8/E9-1</f>
        <v>0.41133175414850065</v>
      </c>
      <c r="G10" s="1" t="s">
        <v>59</v>
      </c>
      <c r="I10" s="38" t="s">
        <v>79</v>
      </c>
      <c r="J10" s="38"/>
      <c r="K10" s="38"/>
      <c r="M10" s="1" t="s">
        <v>32</v>
      </c>
      <c r="P10" s="7">
        <f>51060-44448</f>
        <v>6612</v>
      </c>
      <c r="R10" s="18" t="s">
        <v>34</v>
      </c>
      <c r="S10" s="18"/>
      <c r="T10" s="18"/>
      <c r="U10" s="7"/>
      <c r="V10" s="7"/>
    </row>
    <row r="11" spans="2:24" ht="14.4" customHeight="1" x14ac:dyDescent="0.3">
      <c r="B11" s="1" t="s">
        <v>81</v>
      </c>
      <c r="E11" s="14">
        <f>(K17/E9)^(1/2)-1</f>
        <v>0.28708773583480296</v>
      </c>
      <c r="G11" s="1" t="s">
        <v>60</v>
      </c>
      <c r="I11" s="38" t="s">
        <v>78</v>
      </c>
      <c r="J11" s="38"/>
      <c r="K11" s="38"/>
      <c r="M11" s="1" t="s">
        <v>48</v>
      </c>
      <c r="P11" s="7">
        <v>2574</v>
      </c>
      <c r="R11" s="1" t="s">
        <v>27</v>
      </c>
      <c r="T11" s="36">
        <f>P17</f>
        <v>1492920</v>
      </c>
      <c r="U11" s="36"/>
    </row>
    <row r="12" spans="2:24" ht="14.4" customHeight="1" x14ac:dyDescent="0.3">
      <c r="B12" s="1" t="s">
        <v>66</v>
      </c>
      <c r="E12" s="17">
        <v>46107</v>
      </c>
      <c r="G12" s="1" t="s">
        <v>61</v>
      </c>
      <c r="I12" s="35">
        <v>46022</v>
      </c>
      <c r="J12" s="35"/>
      <c r="K12" s="35"/>
      <c r="M12" s="1" t="s">
        <v>49</v>
      </c>
      <c r="P12" s="7">
        <f>P9+P7-P10</f>
        <v>2107005.4024033798</v>
      </c>
      <c r="R12" s="1" t="s">
        <v>35</v>
      </c>
      <c r="U12" s="9">
        <v>0.98370000000000002</v>
      </c>
    </row>
    <row r="13" spans="2:24" ht="14.4" customHeight="1" x14ac:dyDescent="0.3">
      <c r="I13" s="9"/>
      <c r="P13" s="7"/>
      <c r="R13" s="1" t="s">
        <v>36</v>
      </c>
      <c r="U13" s="9">
        <f>U14+U15*U17</f>
        <v>9.8049999999999998E-2</v>
      </c>
    </row>
    <row r="14" spans="2:24" ht="14.4" customHeight="1" x14ac:dyDescent="0.3">
      <c r="R14" s="1" t="s">
        <v>37</v>
      </c>
      <c r="U14" s="9">
        <v>4.2299999999999997E-2</v>
      </c>
    </row>
    <row r="15" spans="2:24" ht="14.4" customHeight="1" x14ac:dyDescent="0.3">
      <c r="B15" s="2" t="s">
        <v>25</v>
      </c>
      <c r="C15" s="2"/>
      <c r="D15" s="2"/>
      <c r="E15" s="2">
        <v>2021</v>
      </c>
      <c r="F15" s="2">
        <f>E15+1</f>
        <v>2022</v>
      </c>
      <c r="G15" s="2">
        <f>F15+1</f>
        <v>2023</v>
      </c>
      <c r="H15" s="2">
        <f>G15+1</f>
        <v>2024</v>
      </c>
      <c r="I15" s="2">
        <f>H15+1</f>
        <v>2025</v>
      </c>
      <c r="J15" s="3" t="s">
        <v>5</v>
      </c>
      <c r="K15" s="3" t="s">
        <v>6</v>
      </c>
      <c r="M15" s="18" t="s">
        <v>70</v>
      </c>
      <c r="N15" s="18"/>
      <c r="O15" s="18"/>
      <c r="P15" s="5"/>
      <c r="R15" s="1" t="s">
        <v>38</v>
      </c>
      <c r="U15" s="1">
        <v>1.25</v>
      </c>
    </row>
    <row r="16" spans="2:24" s="21" customFormat="1" ht="1.95" customHeight="1" x14ac:dyDescent="0.3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1"/>
      <c r="M16" s="1" t="s">
        <v>46</v>
      </c>
      <c r="N16" s="1"/>
      <c r="O16" s="1"/>
      <c r="P16" s="7">
        <f>SUM(J97:N97)</f>
        <v>164233.26687311727</v>
      </c>
    </row>
    <row r="17" spans="2:21" ht="14.4" customHeight="1" x14ac:dyDescent="0.3">
      <c r="B17" s="1" t="s">
        <v>26</v>
      </c>
      <c r="E17" s="6">
        <v>334</v>
      </c>
      <c r="F17" s="6">
        <v>120</v>
      </c>
      <c r="G17" s="6">
        <v>353</v>
      </c>
      <c r="H17" s="6">
        <v>593</v>
      </c>
      <c r="I17" s="6">
        <v>713</v>
      </c>
      <c r="J17" s="6">
        <f>((SUM(K97:N97)+P9)*(1+$U$7)^0.5+J21-J22)/J18</f>
        <v>867.8781878353816</v>
      </c>
      <c r="K17" s="6">
        <f>((SUM(L97:N97)+P9)*(1+$U$7)^1.5+K21-K22)/K18</f>
        <v>960.82500704708866</v>
      </c>
      <c r="M17" s="1" t="s">
        <v>27</v>
      </c>
      <c r="P17" s="7">
        <f>E9*P11</f>
        <v>1492920</v>
      </c>
      <c r="R17" s="1" t="s">
        <v>39</v>
      </c>
      <c r="U17" s="9">
        <v>4.4600000000000001E-2</v>
      </c>
    </row>
    <row r="18" spans="2:21" ht="14.4" customHeight="1" x14ac:dyDescent="0.3">
      <c r="B18" s="1" t="s">
        <v>31</v>
      </c>
      <c r="E18" s="11">
        <v>2810</v>
      </c>
      <c r="F18" s="11">
        <v>2690</v>
      </c>
      <c r="G18" s="11">
        <v>2630</v>
      </c>
      <c r="H18" s="11">
        <v>2610</v>
      </c>
      <c r="I18" s="11">
        <v>2574</v>
      </c>
      <c r="J18" s="11">
        <f>I18*(1-0.01)</f>
        <v>2548.2599999999998</v>
      </c>
      <c r="K18" s="11">
        <f>J18*(1-0.01)</f>
        <v>2522.7773999999999</v>
      </c>
      <c r="M18" s="1" t="s">
        <v>30</v>
      </c>
      <c r="P18" s="7">
        <f>P17+P10</f>
        <v>1499532</v>
      </c>
      <c r="R18" s="1" t="s">
        <v>29</v>
      </c>
      <c r="U18" s="1">
        <v>51060</v>
      </c>
    </row>
    <row r="19" spans="2:21" ht="14.4" customHeight="1" x14ac:dyDescent="0.3">
      <c r="M19" s="1" t="s">
        <v>68</v>
      </c>
      <c r="P19" s="25">
        <f>P17/60458</f>
        <v>24.693506235733899</v>
      </c>
      <c r="R19" s="1" t="s">
        <v>40</v>
      </c>
      <c r="U19" s="9">
        <v>1.6299999999999999E-2</v>
      </c>
    </row>
    <row r="20" spans="2:21" ht="14.4" customHeight="1" x14ac:dyDescent="0.3">
      <c r="B20" s="1" t="s">
        <v>27</v>
      </c>
      <c r="E20" s="7">
        <f t="shared" ref="E20:K20" si="0">E17*E18</f>
        <v>938540</v>
      </c>
      <c r="F20" s="7">
        <f t="shared" si="0"/>
        <v>322800</v>
      </c>
      <c r="G20" s="7">
        <f t="shared" si="0"/>
        <v>928390</v>
      </c>
      <c r="H20" s="7">
        <f t="shared" si="0"/>
        <v>1547730</v>
      </c>
      <c r="I20" s="7">
        <f t="shared" si="0"/>
        <v>1835262</v>
      </c>
      <c r="J20" s="7">
        <f t="shared" si="0"/>
        <v>2211579.2709333892</v>
      </c>
      <c r="K20" s="7">
        <f t="shared" si="0"/>
        <v>2423947.6131332358</v>
      </c>
      <c r="M20" s="1" t="s">
        <v>71</v>
      </c>
      <c r="P20" s="25">
        <f>P17/76769</f>
        <v>19.446912165066628</v>
      </c>
      <c r="R20" s="1" t="s">
        <v>41</v>
      </c>
      <c r="U20" s="9">
        <v>4.1000000000000002E-2</v>
      </c>
    </row>
    <row r="21" spans="2:21" ht="14.4" customHeight="1" x14ac:dyDescent="0.3">
      <c r="B21" s="1" t="s">
        <v>28</v>
      </c>
      <c r="E21" s="11">
        <v>48000</v>
      </c>
      <c r="F21" s="11">
        <v>40740</v>
      </c>
      <c r="G21" s="11">
        <v>65400</v>
      </c>
      <c r="H21" s="11">
        <v>70938</v>
      </c>
      <c r="I21" s="11">
        <v>82430</v>
      </c>
      <c r="J21" s="11">
        <f>I21+J94</f>
        <v>90200.535732490505</v>
      </c>
      <c r="K21" s="11">
        <f>J21+K94</f>
        <v>116893.12024962489</v>
      </c>
      <c r="M21" s="1" t="s">
        <v>69</v>
      </c>
      <c r="P21" s="25">
        <f>P17/I36</f>
        <v>7.4287192858493478</v>
      </c>
      <c r="R21" s="1" t="s">
        <v>42</v>
      </c>
      <c r="U21" s="9">
        <v>0.17</v>
      </c>
    </row>
    <row r="22" spans="2:21" ht="14.4" customHeight="1" x14ac:dyDescent="0.3">
      <c r="B22" s="5" t="s">
        <v>29</v>
      </c>
      <c r="C22" s="5"/>
      <c r="D22" s="5"/>
      <c r="E22" s="33">
        <v>14450</v>
      </c>
      <c r="F22" s="33">
        <v>27280</v>
      </c>
      <c r="G22" s="33">
        <v>37920</v>
      </c>
      <c r="H22" s="33">
        <v>49770</v>
      </c>
      <c r="I22" s="33">
        <v>83900</v>
      </c>
      <c r="J22" s="8">
        <f>I22</f>
        <v>83900</v>
      </c>
      <c r="K22" s="8">
        <f>I22</f>
        <v>83900</v>
      </c>
      <c r="M22" s="1" t="s">
        <v>80</v>
      </c>
      <c r="P22" s="25">
        <f>P17/I51</f>
        <v>17.927158759321301</v>
      </c>
      <c r="R22" s="5" t="s">
        <v>43</v>
      </c>
      <c r="S22" s="5"/>
      <c r="T22" s="37">
        <f>U12+U19</f>
        <v>1</v>
      </c>
      <c r="U22" s="37"/>
    </row>
    <row r="23" spans="2:21" ht="14.4" customHeight="1" x14ac:dyDescent="0.3">
      <c r="B23" s="1" t="s">
        <v>30</v>
      </c>
      <c r="E23" s="7">
        <f t="shared" ref="E23:K23" si="1">E20+E22-E21</f>
        <v>904990</v>
      </c>
      <c r="F23" s="7">
        <f t="shared" si="1"/>
        <v>309340</v>
      </c>
      <c r="G23" s="7">
        <f t="shared" si="1"/>
        <v>900910</v>
      </c>
      <c r="H23" s="7">
        <f t="shared" si="1"/>
        <v>1526562</v>
      </c>
      <c r="I23" s="7">
        <f t="shared" si="1"/>
        <v>1836732</v>
      </c>
      <c r="J23" s="7">
        <f t="shared" si="1"/>
        <v>2205278.7352008987</v>
      </c>
      <c r="K23" s="7">
        <f t="shared" si="1"/>
        <v>2390954.492883611</v>
      </c>
      <c r="R23" s="1" t="s">
        <v>34</v>
      </c>
      <c r="U23" s="9">
        <v>9.6299999999999997E-2</v>
      </c>
    </row>
    <row r="25" spans="2:21" ht="14.4" customHeight="1" x14ac:dyDescent="0.3">
      <c r="B25" s="2" t="s">
        <v>4</v>
      </c>
      <c r="C25" s="2"/>
      <c r="D25" s="2"/>
      <c r="E25" s="2">
        <v>2021</v>
      </c>
      <c r="F25" s="2">
        <f>E25+1</f>
        <v>2022</v>
      </c>
      <c r="G25" s="2">
        <f>F25+1</f>
        <v>2023</v>
      </c>
      <c r="H25" s="2">
        <f>G25+1</f>
        <v>2024</v>
      </c>
      <c r="I25" s="2">
        <f>H25+1</f>
        <v>2025</v>
      </c>
      <c r="J25" s="3" t="s">
        <v>5</v>
      </c>
      <c r="K25" s="3" t="s">
        <v>6</v>
      </c>
      <c r="L25" s="3" t="s">
        <v>7</v>
      </c>
      <c r="M25" s="3" t="s">
        <v>8</v>
      </c>
      <c r="N25" s="3" t="s">
        <v>9</v>
      </c>
    </row>
    <row r="26" spans="2:21" s="21" customFormat="1" ht="1.95" customHeight="1" x14ac:dyDescent="0.3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3"/>
      <c r="N26" s="23"/>
      <c r="O26" s="23"/>
      <c r="P26" s="23"/>
    </row>
    <row r="27" spans="2:21" ht="14.4" customHeight="1" x14ac:dyDescent="0.3">
      <c r="B27" s="1" t="s">
        <v>74</v>
      </c>
      <c r="E27" s="11">
        <v>2912</v>
      </c>
      <c r="F27" s="11">
        <v>2963</v>
      </c>
      <c r="G27" s="11">
        <v>3065</v>
      </c>
      <c r="H27" s="11">
        <v>3139</v>
      </c>
      <c r="I27" s="7">
        <f>H27*1.0268</f>
        <v>3223.1251999999999</v>
      </c>
      <c r="J27" s="7">
        <f>I27*1.023</f>
        <v>3297.2570795999995</v>
      </c>
      <c r="K27" s="7">
        <f>J27*1.019</f>
        <v>3359.9049641123993</v>
      </c>
      <c r="L27" s="7">
        <f>K27*1.018</f>
        <v>3420.3832534664225</v>
      </c>
      <c r="M27" s="7">
        <f>L27*1.016</f>
        <v>3475.1093855218851</v>
      </c>
      <c r="N27" s="7">
        <f>M27*1.014</f>
        <v>3523.7609169191915</v>
      </c>
    </row>
    <row r="28" spans="2:21" ht="14.4" customHeight="1" x14ac:dyDescent="0.3">
      <c r="B28" s="4" t="s">
        <v>11</v>
      </c>
      <c r="C28" s="4"/>
      <c r="D28" s="4"/>
      <c r="E28" s="10">
        <f>(E27-2797)/2797</f>
        <v>4.1115480872363247E-2</v>
      </c>
      <c r="F28" s="10">
        <f>(F27-E27)/E27</f>
        <v>1.7513736263736264E-2</v>
      </c>
      <c r="G28" s="10">
        <f t="shared" ref="G28:K28" si="2">(G27-F27)/F27</f>
        <v>3.442456969287884E-2</v>
      </c>
      <c r="H28" s="10">
        <f t="shared" si="2"/>
        <v>2.4143556280587276E-2</v>
      </c>
      <c r="I28" s="10">
        <f t="shared" si="2"/>
        <v>2.6799999999999984E-2</v>
      </c>
      <c r="J28" s="10">
        <f t="shared" si="2"/>
        <v>2.2999999999999875E-2</v>
      </c>
      <c r="K28" s="10">
        <f t="shared" si="2"/>
        <v>1.8999999999999923E-2</v>
      </c>
      <c r="L28" s="10">
        <f t="shared" ref="L28" si="3">(L27-K27)/K27</f>
        <v>1.8000000000000009E-2</v>
      </c>
      <c r="M28" s="10">
        <f t="shared" ref="M28" si="4">(M27-L27)/L27</f>
        <v>1.5999999999999948E-2</v>
      </c>
      <c r="N28" s="10">
        <f t="shared" ref="N28" si="5">(N27-M27)/M27</f>
        <v>1.3999999999999995E-2</v>
      </c>
      <c r="T28"/>
    </row>
    <row r="29" spans="2:21" ht="14.4" customHeight="1" x14ac:dyDescent="0.3">
      <c r="E29" s="11"/>
      <c r="F29" s="11"/>
      <c r="G29" s="11"/>
      <c r="H29" s="11"/>
      <c r="I29" s="11"/>
      <c r="J29" s="24"/>
      <c r="K29" s="24"/>
      <c r="L29" s="24"/>
      <c r="M29" s="7"/>
      <c r="N29" s="7"/>
    </row>
    <row r="30" spans="2:21" ht="14.4" customHeight="1" x14ac:dyDescent="0.3">
      <c r="B30" s="1" t="s">
        <v>75</v>
      </c>
      <c r="E30" s="11">
        <v>1929</v>
      </c>
      <c r="F30" s="11">
        <v>2000</v>
      </c>
      <c r="G30" s="11">
        <v>2110</v>
      </c>
      <c r="H30" s="11">
        <v>2156</v>
      </c>
      <c r="I30" s="7">
        <v>2192.5500000000002</v>
      </c>
      <c r="J30" s="7">
        <f>I30*1.03</f>
        <v>2258.3265000000001</v>
      </c>
      <c r="K30" s="7">
        <f>J30*1.02</f>
        <v>2303.4930300000001</v>
      </c>
      <c r="L30" s="24"/>
      <c r="M30" s="7"/>
      <c r="N30" s="7"/>
    </row>
    <row r="31" spans="2:21" ht="14.4" customHeight="1" x14ac:dyDescent="0.3">
      <c r="B31" s="4" t="s">
        <v>11</v>
      </c>
      <c r="C31" s="4"/>
      <c r="D31" s="4"/>
      <c r="E31" s="10">
        <f>(E30-1845)/1845</f>
        <v>4.5528455284552849E-2</v>
      </c>
      <c r="F31" s="10">
        <f>(F30-E30)/E30</f>
        <v>3.6806635562467598E-2</v>
      </c>
      <c r="G31" s="10">
        <f>(G30-F30)/F30</f>
        <v>5.5E-2</v>
      </c>
      <c r="H31" s="10">
        <f>(H30-G30)/G30</f>
        <v>2.1800947867298578E-2</v>
      </c>
      <c r="I31" s="10">
        <f>(I30-H30)/H30</f>
        <v>1.6952690166975967E-2</v>
      </c>
      <c r="J31" s="10">
        <f>(J30-I30)/I30</f>
        <v>2.9999999999999971E-2</v>
      </c>
      <c r="K31" s="10">
        <f t="shared" ref="K31" si="6">(K30-J30)/J30</f>
        <v>1.9999999999999983E-2</v>
      </c>
      <c r="L31" s="10"/>
      <c r="M31" s="10"/>
      <c r="N31" s="10"/>
      <c r="T31"/>
    </row>
    <row r="32" spans="2:21" ht="14.4" customHeight="1" x14ac:dyDescent="0.3">
      <c r="E32" s="11"/>
      <c r="F32" s="11"/>
      <c r="G32" s="11"/>
      <c r="H32" s="11"/>
      <c r="I32" s="11"/>
      <c r="J32" s="24"/>
      <c r="K32" s="24"/>
      <c r="L32" s="24"/>
      <c r="M32" s="7"/>
      <c r="N32" s="7"/>
    </row>
    <row r="33" spans="2:20" ht="14.4" customHeight="1" x14ac:dyDescent="0.3">
      <c r="B33" s="1" t="s">
        <v>76</v>
      </c>
      <c r="E33" s="7">
        <f t="shared" ref="E33:I33" si="7">E36/E27</f>
        <v>40.497596153846153</v>
      </c>
      <c r="F33" s="7">
        <f t="shared" si="7"/>
        <v>39.355045561930474</v>
      </c>
      <c r="G33" s="7">
        <f t="shared" si="7"/>
        <v>44.0137030995106</v>
      </c>
      <c r="H33" s="7">
        <f t="shared" si="7"/>
        <v>52.405543166613569</v>
      </c>
      <c r="I33" s="7">
        <f t="shared" si="7"/>
        <v>62.351285640408882</v>
      </c>
      <c r="J33" s="7">
        <v>75.5</v>
      </c>
      <c r="K33" s="7">
        <f>J33*1.15</f>
        <v>86.824999999999989</v>
      </c>
      <c r="L33" s="7">
        <f>K33*1.14</f>
        <v>98.980499999999978</v>
      </c>
      <c r="M33" s="7">
        <f>L33*1.125</f>
        <v>111.35306249999998</v>
      </c>
      <c r="N33" s="7">
        <f>M33*(1+M34-0.02)</f>
        <v>123.04513406249997</v>
      </c>
    </row>
    <row r="34" spans="2:20" ht="14.4" customHeight="1" x14ac:dyDescent="0.3">
      <c r="B34" s="4" t="s">
        <v>11</v>
      </c>
      <c r="C34" s="4"/>
      <c r="D34" s="4"/>
      <c r="E34" s="10">
        <f>(E33-32.14)/32.14</f>
        <v>0.26003721698338994</v>
      </c>
      <c r="F34" s="10">
        <f>(F33-E33)/E33</f>
        <v>-2.8212800275237284E-2</v>
      </c>
      <c r="G34" s="10">
        <f>(G33-F33)/F33</f>
        <v>0.11837510212633599</v>
      </c>
      <c r="H34" s="10">
        <f>(H33-G33)/G33</f>
        <v>0.19066425854079702</v>
      </c>
      <c r="I34" s="10">
        <f>(I33-H33)/H33</f>
        <v>0.18978416924665192</v>
      </c>
      <c r="J34" s="10">
        <f>(J33-I33)/I33</f>
        <v>0.2108812067712946</v>
      </c>
      <c r="K34" s="10">
        <f t="shared" ref="K34:N34" si="8">(K33-J33)/J33</f>
        <v>0.14999999999999986</v>
      </c>
      <c r="L34" s="10">
        <f t="shared" si="8"/>
        <v>0.1399999999999999</v>
      </c>
      <c r="M34" s="10">
        <f t="shared" si="8"/>
        <v>0.12500000000000003</v>
      </c>
      <c r="N34" s="10">
        <f t="shared" si="8"/>
        <v>0.10499999999999993</v>
      </c>
      <c r="T34"/>
    </row>
    <row r="35" spans="2:20" ht="14.4" customHeight="1" x14ac:dyDescent="0.3">
      <c r="E35" s="11"/>
      <c r="F35" s="11"/>
      <c r="G35" s="11"/>
      <c r="H35" s="11"/>
      <c r="I35" s="11"/>
      <c r="J35" s="24"/>
      <c r="K35" s="24"/>
      <c r="L35" s="24"/>
      <c r="M35" s="7"/>
      <c r="N35" s="7"/>
    </row>
    <row r="36" spans="2:20" ht="14.4" customHeight="1" x14ac:dyDescent="0.3">
      <c r="B36" s="1" t="s">
        <v>10</v>
      </c>
      <c r="E36" s="11">
        <v>117929</v>
      </c>
      <c r="F36" s="11">
        <v>116609</v>
      </c>
      <c r="G36" s="11">
        <v>134902</v>
      </c>
      <c r="H36" s="11">
        <v>164501</v>
      </c>
      <c r="I36" s="11">
        <v>200966</v>
      </c>
      <c r="J36" s="7">
        <f t="shared" ref="J36:N36" si="9">J27*J33</f>
        <v>248942.90950979997</v>
      </c>
      <c r="K36" s="7">
        <f t="shared" si="9"/>
        <v>291723.74850905902</v>
      </c>
      <c r="L36" s="7">
        <f t="shared" si="9"/>
        <v>338551.24461973313</v>
      </c>
      <c r="M36" s="7">
        <f t="shared" si="9"/>
        <v>386964.07260035496</v>
      </c>
      <c r="N36" s="7">
        <f t="shared" si="9"/>
        <v>433581.63442651974</v>
      </c>
    </row>
    <row r="37" spans="2:20" ht="14.4" customHeight="1" x14ac:dyDescent="0.3">
      <c r="B37" s="4" t="s">
        <v>11</v>
      </c>
      <c r="C37" s="4"/>
      <c r="D37" s="4"/>
      <c r="E37" s="10">
        <f>(E36-85965)/85965</f>
        <v>0.37182574303495608</v>
      </c>
      <c r="F37" s="10">
        <f>(F36-E36)/E36</f>
        <v>-1.1193175554782962E-2</v>
      </c>
      <c r="G37" s="10">
        <f>(G36-F36)/F36</f>
        <v>0.15687468377226457</v>
      </c>
      <c r="H37" s="10">
        <f>(H36-G36)/G36</f>
        <v>0.21941112807816043</v>
      </c>
      <c r="I37" s="10">
        <f>(I36-H36)/H36</f>
        <v>0.22167038498246211</v>
      </c>
      <c r="J37" s="10">
        <f>(J36-I36)/I36</f>
        <v>0.23873147452703425</v>
      </c>
      <c r="K37" s="10">
        <f t="shared" ref="K37" si="10">(K36-J36)/J36</f>
        <v>0.17184999999999973</v>
      </c>
      <c r="L37" s="10">
        <f t="shared" ref="L37" si="11">(L36-K36)/K36</f>
        <v>0.16051999999999986</v>
      </c>
      <c r="M37" s="10">
        <f t="shared" ref="M37" si="12">(M36-L36)/L36</f>
        <v>0.14299999999999999</v>
      </c>
      <c r="N37" s="10">
        <f t="shared" ref="N37" si="13">(N36-M36)/M36</f>
        <v>0.12047000000000004</v>
      </c>
      <c r="T37"/>
    </row>
    <row r="38" spans="2:20" ht="14.4" customHeight="1" x14ac:dyDescent="0.3">
      <c r="B38" s="4"/>
      <c r="C38" s="4"/>
      <c r="D38" s="4"/>
      <c r="E38" s="10"/>
      <c r="F38" s="10"/>
      <c r="G38" s="10"/>
      <c r="H38" s="10"/>
      <c r="I38" s="10"/>
      <c r="J38" s="10"/>
      <c r="K38" s="10"/>
      <c r="L38" s="10"/>
      <c r="M38" s="10"/>
      <c r="N38" s="10"/>
      <c r="T38"/>
    </row>
    <row r="39" spans="2:20" ht="14.4" customHeight="1" x14ac:dyDescent="0.3">
      <c r="B39" s="1" t="s">
        <v>62</v>
      </c>
      <c r="E39" s="11">
        <v>22649</v>
      </c>
      <c r="F39" s="11">
        <v>25249</v>
      </c>
      <c r="G39" s="11">
        <v>25958</v>
      </c>
      <c r="H39" s="11">
        <v>30162</v>
      </c>
      <c r="I39" s="11">
        <v>36174</v>
      </c>
      <c r="J39" s="7">
        <f>J36*0.198</f>
        <v>49290.696082940398</v>
      </c>
      <c r="K39" s="7">
        <f>K36*0.21</f>
        <v>61261.987186902392</v>
      </c>
      <c r="L39" s="7">
        <f>L36*0.225</f>
        <v>76174.030039439953</v>
      </c>
      <c r="M39" s="7">
        <f>M36*0.244</f>
        <v>94419.233714486603</v>
      </c>
      <c r="N39" s="7">
        <f>N36*0.25</f>
        <v>108395.40860662994</v>
      </c>
    </row>
    <row r="40" spans="2:20" ht="14.4" customHeight="1" x14ac:dyDescent="0.3">
      <c r="B40" s="4" t="s">
        <v>15</v>
      </c>
      <c r="E40" s="10">
        <f>E39/E36</f>
        <v>0.19205623722748433</v>
      </c>
      <c r="F40" s="10">
        <f t="shared" ref="F40:N40" si="14">F39/F36</f>
        <v>0.21652702621581524</v>
      </c>
      <c r="G40" s="10">
        <f t="shared" si="14"/>
        <v>0.1924211649938474</v>
      </c>
      <c r="H40" s="10">
        <f t="shared" si="14"/>
        <v>0.18335450848323109</v>
      </c>
      <c r="I40" s="10">
        <f t="shared" si="14"/>
        <v>0.18000059711593006</v>
      </c>
      <c r="J40" s="10">
        <f t="shared" si="14"/>
        <v>0.19800000000000001</v>
      </c>
      <c r="K40" s="10">
        <f t="shared" si="14"/>
        <v>0.21</v>
      </c>
      <c r="L40" s="10">
        <f t="shared" si="14"/>
        <v>0.22500000000000001</v>
      </c>
      <c r="M40" s="10">
        <f t="shared" si="14"/>
        <v>0.24399999999999997</v>
      </c>
      <c r="N40" s="10">
        <f t="shared" si="14"/>
        <v>0.25</v>
      </c>
    </row>
    <row r="42" spans="2:20" ht="14.4" customHeight="1" x14ac:dyDescent="0.3">
      <c r="B42" s="1" t="s">
        <v>63</v>
      </c>
      <c r="E42" s="7">
        <f>E36-E39</f>
        <v>95280</v>
      </c>
      <c r="F42" s="7">
        <f t="shared" ref="F42:N42" si="15">F36-F39</f>
        <v>91360</v>
      </c>
      <c r="G42" s="7">
        <f t="shared" si="15"/>
        <v>108944</v>
      </c>
      <c r="H42" s="7">
        <f t="shared" si="15"/>
        <v>134339</v>
      </c>
      <c r="I42" s="7">
        <f t="shared" si="15"/>
        <v>164792</v>
      </c>
      <c r="J42" s="7">
        <f t="shared" si="15"/>
        <v>199652.21342685958</v>
      </c>
      <c r="K42" s="7">
        <f t="shared" si="15"/>
        <v>230461.76132215664</v>
      </c>
      <c r="L42" s="7">
        <f t="shared" si="15"/>
        <v>262377.21458029316</v>
      </c>
      <c r="M42" s="7">
        <f t="shared" si="15"/>
        <v>292544.83888586838</v>
      </c>
      <c r="N42" s="7">
        <f t="shared" si="15"/>
        <v>325186.22581988981</v>
      </c>
    </row>
    <row r="43" spans="2:20" ht="14.4" customHeight="1" x14ac:dyDescent="0.3">
      <c r="B43" s="4" t="s">
        <v>15</v>
      </c>
      <c r="E43" s="10">
        <f>E42/E36</f>
        <v>0.80794376277251567</v>
      </c>
      <c r="F43" s="10">
        <f t="shared" ref="F43:N43" si="16">F42/F36</f>
        <v>0.78347297378418479</v>
      </c>
      <c r="G43" s="10">
        <f t="shared" si="16"/>
        <v>0.80757883500615257</v>
      </c>
      <c r="H43" s="10">
        <f t="shared" si="16"/>
        <v>0.81664549151676891</v>
      </c>
      <c r="I43" s="10">
        <f t="shared" si="16"/>
        <v>0.81999940288406992</v>
      </c>
      <c r="J43" s="10">
        <f t="shared" si="16"/>
        <v>0.80200000000000005</v>
      </c>
      <c r="K43" s="10">
        <f t="shared" si="16"/>
        <v>0.79</v>
      </c>
      <c r="L43" s="10">
        <f t="shared" si="16"/>
        <v>0.77499999999999991</v>
      </c>
      <c r="M43" s="10">
        <f t="shared" si="16"/>
        <v>0.75600000000000001</v>
      </c>
      <c r="N43" s="10">
        <f t="shared" si="16"/>
        <v>0.75</v>
      </c>
    </row>
    <row r="45" spans="2:20" ht="14.4" customHeight="1" x14ac:dyDescent="0.3">
      <c r="B45" s="1" t="s">
        <v>64</v>
      </c>
      <c r="E45" s="11">
        <v>35459.5</v>
      </c>
      <c r="F45" s="11">
        <v>27078</v>
      </c>
      <c r="G45" s="11">
        <v>23709</v>
      </c>
      <c r="H45" s="11">
        <v>21086</v>
      </c>
      <c r="I45" s="11">
        <f>11991+12152</f>
        <v>24143</v>
      </c>
      <c r="J45" s="7">
        <f>J36*0.14</f>
        <v>34852.007331371999</v>
      </c>
      <c r="K45" s="7">
        <f>K36*0.13</f>
        <v>37924.087306177673</v>
      </c>
      <c r="L45" s="7">
        <f>L36*0.12</f>
        <v>40626.149354367975</v>
      </c>
      <c r="M45" s="7">
        <f>M36*0.115</f>
        <v>44500.868349040822</v>
      </c>
      <c r="N45" s="7">
        <f>N36*0.11</f>
        <v>47693.979786917174</v>
      </c>
    </row>
    <row r="46" spans="2:20" ht="14.4" customHeight="1" x14ac:dyDescent="0.3">
      <c r="B46" s="4" t="s">
        <v>15</v>
      </c>
      <c r="E46" s="10">
        <f>E45/E36</f>
        <v>0.30068515801880791</v>
      </c>
      <c r="F46" s="10">
        <f t="shared" ref="F46:L46" si="17">F45/F36</f>
        <v>0.2322119218928213</v>
      </c>
      <c r="G46" s="10">
        <f t="shared" si="17"/>
        <v>0.17574980356110362</v>
      </c>
      <c r="H46" s="10">
        <f t="shared" si="17"/>
        <v>0.12818159160126685</v>
      </c>
      <c r="I46" s="10">
        <f t="shared" si="17"/>
        <v>0.12013474916154972</v>
      </c>
      <c r="J46" s="10">
        <f t="shared" si="17"/>
        <v>0.14000000000000001</v>
      </c>
      <c r="K46" s="10">
        <f t="shared" si="17"/>
        <v>0.13</v>
      </c>
      <c r="L46" s="10">
        <f t="shared" si="17"/>
        <v>0.12</v>
      </c>
      <c r="M46" s="10">
        <v>0.12</v>
      </c>
      <c r="N46" s="10">
        <v>0.12</v>
      </c>
    </row>
    <row r="48" spans="2:20" ht="14.4" customHeight="1" x14ac:dyDescent="0.3">
      <c r="B48" s="1" t="s">
        <v>65</v>
      </c>
      <c r="E48" s="11">
        <v>24655</v>
      </c>
      <c r="F48" s="11">
        <v>35338</v>
      </c>
      <c r="G48" s="11">
        <v>38483</v>
      </c>
      <c r="H48" s="11">
        <v>43872</v>
      </c>
      <c r="I48" s="11">
        <v>57372</v>
      </c>
      <c r="J48" s="7">
        <f>J36*0.301</f>
        <v>74931.815762449784</v>
      </c>
      <c r="K48" s="7">
        <f>K36*0.302</f>
        <v>88100.572049735827</v>
      </c>
      <c r="L48" s="7">
        <f>L36*0.315</f>
        <v>106643.64205521594</v>
      </c>
      <c r="M48" s="7">
        <f>M36*0.3</f>
        <v>116089.22178010648</v>
      </c>
      <c r="N48" s="7">
        <f>N36*0.3</f>
        <v>130074.49032795592</v>
      </c>
      <c r="P48" s="7"/>
    </row>
    <row r="49" spans="2:16" ht="14.4" customHeight="1" x14ac:dyDescent="0.3">
      <c r="B49" s="4" t="s">
        <v>15</v>
      </c>
      <c r="E49" s="10">
        <f>E48/E36</f>
        <v>0.20906647219937419</v>
      </c>
      <c r="F49" s="10">
        <f t="shared" ref="F49:N49" si="18">F48/F36</f>
        <v>0.30304693462768739</v>
      </c>
      <c r="G49" s="10">
        <f t="shared" si="18"/>
        <v>0.28526634149234259</v>
      </c>
      <c r="H49" s="10">
        <f t="shared" si="18"/>
        <v>0.26669746688469981</v>
      </c>
      <c r="I49" s="10">
        <f t="shared" si="18"/>
        <v>0.28548112616064408</v>
      </c>
      <c r="J49" s="10">
        <f t="shared" si="18"/>
        <v>0.30099999999999999</v>
      </c>
      <c r="K49" s="10">
        <f t="shared" si="18"/>
        <v>0.30199999999999999</v>
      </c>
      <c r="L49" s="10">
        <f t="shared" si="18"/>
        <v>0.315</v>
      </c>
      <c r="M49" s="10">
        <f t="shared" si="18"/>
        <v>0.3</v>
      </c>
      <c r="N49" s="10">
        <f t="shared" si="18"/>
        <v>0.3</v>
      </c>
    </row>
    <row r="51" spans="2:16" ht="14.4" customHeight="1" x14ac:dyDescent="0.3">
      <c r="B51" s="1" t="s">
        <v>12</v>
      </c>
      <c r="E51" s="11">
        <v>46753</v>
      </c>
      <c r="F51" s="11">
        <v>28945</v>
      </c>
      <c r="G51" s="11">
        <v>46751</v>
      </c>
      <c r="H51" s="11">
        <f>H42-H45-H48</f>
        <v>69381</v>
      </c>
      <c r="I51" s="11">
        <f>I42-I45-I48</f>
        <v>83277</v>
      </c>
      <c r="J51" s="7">
        <f>J42-J45-J48</f>
        <v>89868.390333037794</v>
      </c>
      <c r="K51" s="7">
        <f t="shared" ref="K51:N51" si="19">K42-K45-K48</f>
        <v>104437.10196624314</v>
      </c>
      <c r="L51" s="7">
        <f t="shared" si="19"/>
        <v>115107.42317070924</v>
      </c>
      <c r="M51" s="7">
        <f t="shared" si="19"/>
        <v>131954.74875672106</v>
      </c>
      <c r="N51" s="7">
        <f t="shared" si="19"/>
        <v>147417.75570501672</v>
      </c>
    </row>
    <row r="52" spans="2:16" ht="14.4" customHeight="1" x14ac:dyDescent="0.3">
      <c r="B52" s="4" t="s">
        <v>15</v>
      </c>
      <c r="E52" s="10">
        <f>E51/E36</f>
        <v>0.39645040660058173</v>
      </c>
      <c r="F52" s="10">
        <f t="shared" ref="F52:N52" si="20">F51/F36</f>
        <v>0.24822269293107735</v>
      </c>
      <c r="G52" s="10">
        <f t="shared" si="20"/>
        <v>0.34655527716416362</v>
      </c>
      <c r="H52" s="10">
        <f t="shared" si="20"/>
        <v>0.42176643303080225</v>
      </c>
      <c r="I52" s="10">
        <f t="shared" si="20"/>
        <v>0.41438352756187613</v>
      </c>
      <c r="J52" s="10">
        <f t="shared" si="20"/>
        <v>0.36100000000000004</v>
      </c>
      <c r="K52" s="10">
        <f t="shared" si="20"/>
        <v>0.35800000000000004</v>
      </c>
      <c r="L52" s="10">
        <f t="shared" si="20"/>
        <v>0.33999999999999991</v>
      </c>
      <c r="M52" s="10">
        <f t="shared" si="20"/>
        <v>0.34100000000000003</v>
      </c>
      <c r="N52" s="10">
        <f t="shared" si="20"/>
        <v>0.34</v>
      </c>
    </row>
    <row r="54" spans="2:16" ht="14.4" customHeight="1" x14ac:dyDescent="0.3">
      <c r="B54" s="1" t="s">
        <v>13</v>
      </c>
      <c r="E54" s="11">
        <v>7913</v>
      </c>
      <c r="F54" s="11">
        <v>5620</v>
      </c>
      <c r="G54" s="11">
        <v>8331</v>
      </c>
      <c r="H54" s="11">
        <v>8304</v>
      </c>
      <c r="I54" s="11">
        <v>25805</v>
      </c>
      <c r="J54" s="7">
        <f>J51*0.14</f>
        <v>12581.574646625293</v>
      </c>
      <c r="K54" s="7">
        <f>K51*0.145</f>
        <v>15143.379785105253</v>
      </c>
      <c r="L54" s="7">
        <f>L51*0.15</f>
        <v>17266.113475606384</v>
      </c>
      <c r="M54" s="7">
        <f>M51*0.17</f>
        <v>22432.307288642583</v>
      </c>
      <c r="N54" s="7">
        <f>N51*0.175</f>
        <v>25798.107248377924</v>
      </c>
    </row>
    <row r="55" spans="2:16" ht="14.4" customHeight="1" x14ac:dyDescent="0.3">
      <c r="B55" s="4" t="s">
        <v>14</v>
      </c>
      <c r="E55" s="10">
        <f>E54/E51</f>
        <v>0.1692511710478472</v>
      </c>
      <c r="F55" s="10">
        <f t="shared" ref="F55:N55" si="21">F54/F51</f>
        <v>0.19416134047331146</v>
      </c>
      <c r="G55" s="10">
        <f t="shared" si="21"/>
        <v>0.17819939680434643</v>
      </c>
      <c r="H55" s="10">
        <f t="shared" si="21"/>
        <v>0.11968694599386</v>
      </c>
      <c r="I55" s="10">
        <f t="shared" si="21"/>
        <v>0.30986947176291174</v>
      </c>
      <c r="J55" s="10">
        <f t="shared" si="21"/>
        <v>0.14000000000000001</v>
      </c>
      <c r="K55" s="10">
        <f t="shared" si="21"/>
        <v>0.14499999999999999</v>
      </c>
      <c r="L55" s="10">
        <f t="shared" si="21"/>
        <v>0.15</v>
      </c>
      <c r="M55" s="10">
        <f t="shared" si="21"/>
        <v>0.17</v>
      </c>
      <c r="N55" s="10">
        <f t="shared" si="21"/>
        <v>0.17499999999999999</v>
      </c>
    </row>
    <row r="57" spans="2:16" ht="14.4" customHeight="1" x14ac:dyDescent="0.3">
      <c r="B57" s="2" t="s">
        <v>16</v>
      </c>
      <c r="C57" s="2"/>
      <c r="D57" s="2"/>
      <c r="E57" s="2">
        <v>2021</v>
      </c>
      <c r="F57" s="2">
        <f>E57+1</f>
        <v>2022</v>
      </c>
      <c r="G57" s="2">
        <f>F57+1</f>
        <v>2023</v>
      </c>
      <c r="H57" s="2">
        <f>G57+1</f>
        <v>2024</v>
      </c>
      <c r="I57" s="2">
        <f>H57+1</f>
        <v>2025</v>
      </c>
      <c r="J57" s="3" t="s">
        <v>5</v>
      </c>
      <c r="K57" s="3" t="s">
        <v>6</v>
      </c>
      <c r="L57" s="3" t="s">
        <v>7</v>
      </c>
      <c r="M57" s="3" t="s">
        <v>8</v>
      </c>
      <c r="N57" s="3" t="s">
        <v>9</v>
      </c>
    </row>
    <row r="58" spans="2:16" s="21" customFormat="1" ht="1.95" customHeight="1" x14ac:dyDescent="0.3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3"/>
      <c r="N58" s="23"/>
      <c r="O58" s="23"/>
      <c r="P58" s="23"/>
    </row>
    <row r="59" spans="2:16" ht="14.4" customHeight="1" x14ac:dyDescent="0.3">
      <c r="B59" s="1" t="s">
        <v>17</v>
      </c>
      <c r="E59" s="11">
        <v>7966</v>
      </c>
      <c r="F59" s="11">
        <v>8686</v>
      </c>
      <c r="G59" s="11">
        <v>11177</v>
      </c>
      <c r="H59" s="11">
        <v>15498</v>
      </c>
      <c r="I59" s="11">
        <v>18618</v>
      </c>
      <c r="J59" s="7">
        <f>J63*0.237</f>
        <v>29625</v>
      </c>
      <c r="K59" s="7">
        <f>K63*0.315</f>
        <v>43312.5</v>
      </c>
      <c r="L59" s="7">
        <f>L63*0.36</f>
        <v>52965</v>
      </c>
      <c r="M59" s="7">
        <f>M63*0.41</f>
        <v>63940.524999999994</v>
      </c>
      <c r="N59" s="7">
        <f>N63*0.48</f>
        <v>73360.055999999997</v>
      </c>
    </row>
    <row r="60" spans="2:16" ht="14.4" customHeight="1" x14ac:dyDescent="0.3">
      <c r="B60" s="1" t="s">
        <v>33</v>
      </c>
      <c r="E60" s="10">
        <f>E59/E63</f>
        <v>0.42904077126083912</v>
      </c>
      <c r="F60" s="10">
        <f t="shared" ref="F60:M60" si="22">F59/F63</f>
        <v>0.27635137284846173</v>
      </c>
      <c r="G60" s="10">
        <f t="shared" si="22"/>
        <v>0.4099244480305142</v>
      </c>
      <c r="H60" s="10">
        <f t="shared" si="22"/>
        <v>0.41598668670818123</v>
      </c>
      <c r="I60" s="10">
        <f t="shared" si="22"/>
        <v>0.2578134736550578</v>
      </c>
      <c r="J60" s="10">
        <f t="shared" si="22"/>
        <v>0.23699999999999999</v>
      </c>
      <c r="K60" s="10">
        <f t="shared" si="22"/>
        <v>0.315</v>
      </c>
      <c r="L60" s="10">
        <f t="shared" si="22"/>
        <v>0.36</v>
      </c>
      <c r="M60" s="10">
        <f t="shared" si="22"/>
        <v>0.41</v>
      </c>
      <c r="N60" s="10">
        <f t="shared" ref="N60" si="23">N59/N63</f>
        <v>0.47999999999999993</v>
      </c>
    </row>
    <row r="61" spans="2:16" ht="14.4" customHeight="1" x14ac:dyDescent="0.3">
      <c r="B61" s="1" t="s">
        <v>15</v>
      </c>
      <c r="E61" s="10">
        <f>E59/E36</f>
        <v>6.7549118537425054E-2</v>
      </c>
      <c r="F61" s="10">
        <f t="shared" ref="F61:N61" si="24">F59/F36</f>
        <v>7.44882470478265E-2</v>
      </c>
      <c r="G61" s="10">
        <f t="shared" si="24"/>
        <v>8.2852737542808849E-2</v>
      </c>
      <c r="H61" s="10">
        <f t="shared" si="24"/>
        <v>9.4212193238946876E-2</v>
      </c>
      <c r="I61" s="10">
        <f t="shared" si="24"/>
        <v>9.2642536548470891E-2</v>
      </c>
      <c r="J61" s="10">
        <f t="shared" si="24"/>
        <v>0.11900318855570285</v>
      </c>
      <c r="K61" s="10">
        <f t="shared" si="24"/>
        <v>0.14847094287441942</v>
      </c>
      <c r="L61" s="10">
        <f t="shared" si="24"/>
        <v>0.15644603539854429</v>
      </c>
      <c r="M61" s="10">
        <f t="shared" si="24"/>
        <v>0.16523633465589421</v>
      </c>
      <c r="N61" s="10">
        <f t="shared" si="24"/>
        <v>0.1691954874819139</v>
      </c>
    </row>
    <row r="63" spans="2:16" ht="14.4" customHeight="1" x14ac:dyDescent="0.3">
      <c r="B63" s="1" t="s">
        <v>18</v>
      </c>
      <c r="E63" s="11">
        <v>18567</v>
      </c>
      <c r="F63" s="11">
        <v>31431</v>
      </c>
      <c r="G63" s="11">
        <v>27266</v>
      </c>
      <c r="H63" s="11">
        <v>37256</v>
      </c>
      <c r="I63" s="11">
        <v>72215</v>
      </c>
      <c r="J63" s="11">
        <v>125000</v>
      </c>
      <c r="K63" s="7">
        <f>J63*1.1</f>
        <v>137500</v>
      </c>
      <c r="L63" s="7">
        <f>K63*1.07</f>
        <v>147125</v>
      </c>
      <c r="M63" s="7">
        <f>L63*1.06</f>
        <v>155952.5</v>
      </c>
      <c r="N63" s="7">
        <f>M63*0.98</f>
        <v>152833.45000000001</v>
      </c>
    </row>
    <row r="64" spans="2:16" ht="14.4" customHeight="1" x14ac:dyDescent="0.3">
      <c r="B64" s="1" t="s">
        <v>67</v>
      </c>
      <c r="E64" s="11"/>
      <c r="F64" s="11"/>
      <c r="G64" s="11"/>
      <c r="H64" s="11"/>
      <c r="I64" s="11"/>
      <c r="J64" s="11"/>
      <c r="K64" s="11"/>
      <c r="L64" s="7"/>
      <c r="M64" s="7"/>
      <c r="N64" s="7"/>
    </row>
    <row r="66" spans="2:14" ht="14.4" customHeight="1" x14ac:dyDescent="0.3">
      <c r="B66" s="1" t="s">
        <v>19</v>
      </c>
      <c r="E66" s="12">
        <f>0.7*1000</f>
        <v>700</v>
      </c>
      <c r="F66" s="12">
        <f>5.68*1000</f>
        <v>5680</v>
      </c>
      <c r="G66" s="12">
        <f>3.84*1000</f>
        <v>3840</v>
      </c>
      <c r="H66" s="12">
        <f>1.05*1000</f>
        <v>1050</v>
      </c>
      <c r="I66" s="12">
        <v>-890</v>
      </c>
      <c r="J66" s="12">
        <f>I66*0.5</f>
        <v>-445</v>
      </c>
      <c r="K66" s="12">
        <f>J66*0.33</f>
        <v>-146.85</v>
      </c>
      <c r="L66" s="12">
        <f>K66*-1</f>
        <v>146.85</v>
      </c>
      <c r="M66" s="12">
        <f>L66*2.4</f>
        <v>352.44</v>
      </c>
      <c r="N66" s="12">
        <f>M66*1.25</f>
        <v>440.55</v>
      </c>
    </row>
    <row r="67" spans="2:14" ht="14.4" customHeight="1" x14ac:dyDescent="0.3">
      <c r="B67" s="1" t="s">
        <v>15</v>
      </c>
      <c r="E67" s="10">
        <f>E66/E36</f>
        <v>5.9357749154152076E-3</v>
      </c>
      <c r="F67" s="10">
        <f t="shared" ref="F67:N67" si="25">F66/F36</f>
        <v>4.8709790839472085E-2</v>
      </c>
      <c r="G67" s="10">
        <f t="shared" si="25"/>
        <v>2.8465108004329068E-2</v>
      </c>
      <c r="H67" s="10">
        <f t="shared" si="25"/>
        <v>6.3829399213378643E-3</v>
      </c>
      <c r="I67" s="10">
        <f t="shared" si="25"/>
        <v>-4.4286098145955039E-3</v>
      </c>
      <c r="J67" s="10">
        <f t="shared" si="25"/>
        <v>-1.7875584441278574E-3</v>
      </c>
      <c r="K67" s="10">
        <f t="shared" si="25"/>
        <v>-5.0338719679326961E-4</v>
      </c>
      <c r="L67" s="10">
        <f t="shared" si="25"/>
        <v>4.337600358402007E-4</v>
      </c>
      <c r="M67" s="10">
        <f t="shared" si="25"/>
        <v>9.1078222748598573E-4</v>
      </c>
      <c r="N67" s="10">
        <f t="shared" si="25"/>
        <v>1.01607163454397E-3</v>
      </c>
    </row>
    <row r="68" spans="2:14" ht="14.4" customHeight="1" x14ac:dyDescent="0.3">
      <c r="B68" s="1" t="s">
        <v>20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70" spans="2:14" ht="14.4" customHeight="1" x14ac:dyDescent="0.3">
      <c r="B70" s="2" t="s">
        <v>21</v>
      </c>
      <c r="C70" s="2"/>
      <c r="D70" s="2"/>
      <c r="E70" s="2">
        <v>2021</v>
      </c>
      <c r="F70" s="2">
        <f>E70+1</f>
        <v>2022</v>
      </c>
      <c r="G70" s="2">
        <f>F70+1</f>
        <v>2023</v>
      </c>
      <c r="H70" s="2">
        <f>G70+1</f>
        <v>2024</v>
      </c>
      <c r="I70" s="2">
        <f>H70+1</f>
        <v>2025</v>
      </c>
      <c r="J70" s="3" t="s">
        <v>5</v>
      </c>
      <c r="K70" s="3" t="s">
        <v>6</v>
      </c>
      <c r="L70" s="3" t="s">
        <v>7</v>
      </c>
      <c r="M70" s="3" t="s">
        <v>8</v>
      </c>
      <c r="N70" s="3" t="s">
        <v>9</v>
      </c>
    </row>
    <row r="71" spans="2:14" ht="14.4" customHeight="1" x14ac:dyDescent="0.3">
      <c r="B71" s="1" t="s">
        <v>10</v>
      </c>
      <c r="E71" s="7">
        <f>E36</f>
        <v>117929</v>
      </c>
      <c r="F71" s="7">
        <f t="shared" ref="F71:N71" si="26">F36</f>
        <v>116609</v>
      </c>
      <c r="G71" s="7">
        <f t="shared" si="26"/>
        <v>134902</v>
      </c>
      <c r="H71" s="7">
        <f t="shared" si="26"/>
        <v>164501</v>
      </c>
      <c r="I71" s="7">
        <f t="shared" si="26"/>
        <v>200966</v>
      </c>
      <c r="J71" s="7">
        <f t="shared" si="26"/>
        <v>248942.90950979997</v>
      </c>
      <c r="K71" s="7">
        <f t="shared" si="26"/>
        <v>291723.74850905902</v>
      </c>
      <c r="L71" s="7">
        <f t="shared" si="26"/>
        <v>338551.24461973313</v>
      </c>
      <c r="M71" s="7">
        <f t="shared" si="26"/>
        <v>386964.07260035496</v>
      </c>
      <c r="N71" s="7">
        <f t="shared" si="26"/>
        <v>433581.63442651974</v>
      </c>
    </row>
    <row r="72" spans="2:14" ht="14.4" customHeight="1" x14ac:dyDescent="0.3">
      <c r="B72" s="4" t="s">
        <v>11</v>
      </c>
      <c r="C72" s="4"/>
      <c r="D72" s="4"/>
      <c r="E72" s="10">
        <f>E37</f>
        <v>0.37182574303495608</v>
      </c>
      <c r="F72" s="10">
        <f t="shared" ref="F72:N72" si="27">F37</f>
        <v>-1.1193175554782962E-2</v>
      </c>
      <c r="G72" s="10">
        <f t="shared" si="27"/>
        <v>0.15687468377226457</v>
      </c>
      <c r="H72" s="10">
        <f t="shared" si="27"/>
        <v>0.21941112807816043</v>
      </c>
      <c r="I72" s="10">
        <f t="shared" si="27"/>
        <v>0.22167038498246211</v>
      </c>
      <c r="J72" s="10">
        <f t="shared" si="27"/>
        <v>0.23873147452703425</v>
      </c>
      <c r="K72" s="10">
        <f t="shared" si="27"/>
        <v>0.17184999999999973</v>
      </c>
      <c r="L72" s="10">
        <f t="shared" si="27"/>
        <v>0.16051999999999986</v>
      </c>
      <c r="M72" s="10">
        <f t="shared" si="27"/>
        <v>0.14299999999999999</v>
      </c>
      <c r="N72" s="10">
        <f t="shared" si="27"/>
        <v>0.12047000000000004</v>
      </c>
    </row>
    <row r="73" spans="2:14" ht="14.4" customHeight="1" x14ac:dyDescent="0.3"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2:14" ht="14.4" customHeight="1" x14ac:dyDescent="0.3">
      <c r="B74" s="1" t="s">
        <v>12</v>
      </c>
      <c r="E74" s="7" cm="1">
        <f t="array" ref="E74:N74">E51:N51</f>
        <v>46753</v>
      </c>
      <c r="F74" s="7">
        <v>28945</v>
      </c>
      <c r="G74" s="7">
        <v>46751</v>
      </c>
      <c r="H74" s="7">
        <v>69381</v>
      </c>
      <c r="I74" s="7">
        <v>83277</v>
      </c>
      <c r="J74" s="7">
        <v>89868.390333037794</v>
      </c>
      <c r="K74" s="7">
        <v>104437.10196624314</v>
      </c>
      <c r="L74" s="7">
        <v>115107.42317070924</v>
      </c>
      <c r="M74" s="7">
        <v>131954.74875672106</v>
      </c>
      <c r="N74" s="7">
        <v>147417.75570501672</v>
      </c>
    </row>
    <row r="75" spans="2:14" ht="14.4" customHeight="1" x14ac:dyDescent="0.3">
      <c r="B75" s="4" t="s">
        <v>15</v>
      </c>
      <c r="C75" s="4"/>
      <c r="D75" s="4"/>
      <c r="E75" s="10">
        <f>E74/E71</f>
        <v>0.39645040660058173</v>
      </c>
      <c r="F75" s="10">
        <f t="shared" ref="F75:N75" si="28">F74/F71</f>
        <v>0.24822269293107735</v>
      </c>
      <c r="G75" s="10">
        <f t="shared" si="28"/>
        <v>0.34655527716416362</v>
      </c>
      <c r="H75" s="10">
        <f t="shared" si="28"/>
        <v>0.42176643303080225</v>
      </c>
      <c r="I75" s="10">
        <f t="shared" si="28"/>
        <v>0.41438352756187613</v>
      </c>
      <c r="J75" s="10">
        <f t="shared" si="28"/>
        <v>0.36100000000000004</v>
      </c>
      <c r="K75" s="10">
        <f t="shared" si="28"/>
        <v>0.35800000000000004</v>
      </c>
      <c r="L75" s="10">
        <f t="shared" si="28"/>
        <v>0.33999999999999991</v>
      </c>
      <c r="M75" s="10">
        <f t="shared" si="28"/>
        <v>0.34100000000000003</v>
      </c>
      <c r="N75" s="10">
        <f t="shared" si="28"/>
        <v>0.34</v>
      </c>
    </row>
    <row r="76" spans="2:14" ht="14.4" customHeight="1" x14ac:dyDescent="0.3">
      <c r="J76" s="7"/>
      <c r="K76" s="7"/>
      <c r="L76" s="7"/>
      <c r="M76" s="7"/>
      <c r="N76" s="7"/>
    </row>
    <row r="77" spans="2:14" ht="14.4" customHeight="1" x14ac:dyDescent="0.3">
      <c r="B77" s="1" t="s">
        <v>13</v>
      </c>
      <c r="E77" s="7">
        <f t="shared" ref="E77:M77" si="29">E54</f>
        <v>7913</v>
      </c>
      <c r="F77" s="7">
        <f t="shared" si="29"/>
        <v>5620</v>
      </c>
      <c r="G77" s="7">
        <f t="shared" si="29"/>
        <v>8331</v>
      </c>
      <c r="H77" s="7">
        <f t="shared" si="29"/>
        <v>8304</v>
      </c>
      <c r="I77" s="7">
        <f t="shared" si="29"/>
        <v>25805</v>
      </c>
      <c r="J77" s="7">
        <f t="shared" si="29"/>
        <v>12581.574646625293</v>
      </c>
      <c r="K77" s="7">
        <f t="shared" si="29"/>
        <v>15143.379785105253</v>
      </c>
      <c r="L77" s="7">
        <f t="shared" si="29"/>
        <v>17266.113475606384</v>
      </c>
      <c r="M77" s="7">
        <f t="shared" si="29"/>
        <v>22432.307288642583</v>
      </c>
      <c r="N77" s="7">
        <f>N54</f>
        <v>25798.107248377924</v>
      </c>
    </row>
    <row r="78" spans="2:14" ht="14.4" customHeight="1" x14ac:dyDescent="0.3">
      <c r="B78" s="4" t="s">
        <v>14</v>
      </c>
      <c r="C78" s="4"/>
      <c r="D78" s="4"/>
      <c r="E78" s="10">
        <f>E55</f>
        <v>0.1692511710478472</v>
      </c>
      <c r="F78" s="10">
        <f t="shared" ref="F78:N78" si="30">F55</f>
        <v>0.19416134047331146</v>
      </c>
      <c r="G78" s="10">
        <f t="shared" si="30"/>
        <v>0.17819939680434643</v>
      </c>
      <c r="H78" s="10">
        <f t="shared" si="30"/>
        <v>0.11968694599386</v>
      </c>
      <c r="I78" s="10">
        <f t="shared" si="30"/>
        <v>0.30986947176291174</v>
      </c>
      <c r="J78" s="10">
        <f t="shared" si="30"/>
        <v>0.14000000000000001</v>
      </c>
      <c r="K78" s="10">
        <f t="shared" si="30"/>
        <v>0.14499999999999999</v>
      </c>
      <c r="L78" s="10">
        <f t="shared" si="30"/>
        <v>0.15</v>
      </c>
      <c r="M78" s="10">
        <f t="shared" si="30"/>
        <v>0.17</v>
      </c>
      <c r="N78" s="10">
        <f t="shared" si="30"/>
        <v>0.17499999999999999</v>
      </c>
    </row>
    <row r="80" spans="2:14" ht="14.4" customHeight="1" x14ac:dyDescent="0.3">
      <c r="B80" s="27" t="s">
        <v>22</v>
      </c>
      <c r="C80" s="28"/>
      <c r="D80" s="28"/>
      <c r="E80" s="29">
        <f>E74-E77</f>
        <v>38840</v>
      </c>
      <c r="F80" s="29">
        <f t="shared" ref="F80:N80" si="31">F74-F77</f>
        <v>23325</v>
      </c>
      <c r="G80" s="29">
        <f t="shared" si="31"/>
        <v>38420</v>
      </c>
      <c r="H80" s="29">
        <f t="shared" si="31"/>
        <v>61077</v>
      </c>
      <c r="I80" s="29">
        <f t="shared" si="31"/>
        <v>57472</v>
      </c>
      <c r="J80" s="29">
        <f t="shared" si="31"/>
        <v>77286.815686412505</v>
      </c>
      <c r="K80" s="29">
        <f t="shared" si="31"/>
        <v>89293.722181137884</v>
      </c>
      <c r="L80" s="29">
        <f t="shared" si="31"/>
        <v>97841.309695102856</v>
      </c>
      <c r="M80" s="29">
        <f t="shared" si="31"/>
        <v>109522.44146807848</v>
      </c>
      <c r="N80" s="30">
        <f t="shared" si="31"/>
        <v>121619.6484566388</v>
      </c>
    </row>
    <row r="82" spans="2:24" ht="14.4" customHeight="1" x14ac:dyDescent="0.3">
      <c r="B82" s="1" t="s">
        <v>17</v>
      </c>
      <c r="E82" s="7">
        <f>E59</f>
        <v>7966</v>
      </c>
      <c r="F82" s="7">
        <f t="shared" ref="F82:N82" si="32">F59</f>
        <v>8686</v>
      </c>
      <c r="G82" s="7">
        <f t="shared" si="32"/>
        <v>11177</v>
      </c>
      <c r="H82" s="7">
        <f t="shared" si="32"/>
        <v>15498</v>
      </c>
      <c r="I82" s="7">
        <f t="shared" si="32"/>
        <v>18618</v>
      </c>
      <c r="J82" s="7">
        <f t="shared" si="32"/>
        <v>29625</v>
      </c>
      <c r="K82" s="7">
        <f t="shared" si="32"/>
        <v>43312.5</v>
      </c>
      <c r="L82" s="7">
        <f t="shared" si="32"/>
        <v>52965</v>
      </c>
      <c r="M82" s="7">
        <f t="shared" si="32"/>
        <v>63940.524999999994</v>
      </c>
      <c r="N82" s="7">
        <f t="shared" si="32"/>
        <v>73360.055999999997</v>
      </c>
      <c r="P82" s="7"/>
    </row>
    <row r="83" spans="2:24" ht="14.4" customHeight="1" x14ac:dyDescent="0.3">
      <c r="B83" s="4" t="s">
        <v>15</v>
      </c>
      <c r="C83" s="4"/>
      <c r="D83" s="4"/>
      <c r="E83" s="10">
        <f>E82/E71</f>
        <v>6.7549118537425054E-2</v>
      </c>
      <c r="F83" s="10">
        <f t="shared" ref="F83:N83" si="33">F82/F71</f>
        <v>7.44882470478265E-2</v>
      </c>
      <c r="G83" s="10">
        <f t="shared" si="33"/>
        <v>8.2852737542808849E-2</v>
      </c>
      <c r="H83" s="10">
        <f t="shared" si="33"/>
        <v>9.4212193238946876E-2</v>
      </c>
      <c r="I83" s="10">
        <f t="shared" si="33"/>
        <v>9.2642536548470891E-2</v>
      </c>
      <c r="J83" s="10">
        <f t="shared" si="33"/>
        <v>0.11900318855570285</v>
      </c>
      <c r="K83" s="10">
        <f t="shared" si="33"/>
        <v>0.14847094287441942</v>
      </c>
      <c r="L83" s="10">
        <f t="shared" si="33"/>
        <v>0.15644603539854429</v>
      </c>
      <c r="M83" s="10">
        <f t="shared" si="33"/>
        <v>0.16523633465589421</v>
      </c>
      <c r="N83" s="10">
        <f t="shared" si="33"/>
        <v>0.1691954874819139</v>
      </c>
    </row>
    <row r="85" spans="2:24" ht="14.4" customHeight="1" x14ac:dyDescent="0.3">
      <c r="B85" s="1" t="s">
        <v>18</v>
      </c>
      <c r="E85" s="7">
        <f>E63</f>
        <v>18567</v>
      </c>
      <c r="F85" s="7">
        <f t="shared" ref="F85:N85" si="34">F63</f>
        <v>31431</v>
      </c>
      <c r="G85" s="7">
        <f t="shared" si="34"/>
        <v>27266</v>
      </c>
      <c r="H85" s="7">
        <f t="shared" si="34"/>
        <v>37256</v>
      </c>
      <c r="I85" s="7">
        <f t="shared" si="34"/>
        <v>72215</v>
      </c>
      <c r="J85" s="7">
        <f t="shared" si="34"/>
        <v>125000</v>
      </c>
      <c r="K85" s="7">
        <f t="shared" si="34"/>
        <v>137500</v>
      </c>
      <c r="L85" s="7">
        <f t="shared" si="34"/>
        <v>147125</v>
      </c>
      <c r="M85" s="7">
        <f t="shared" si="34"/>
        <v>155952.5</v>
      </c>
      <c r="N85" s="7">
        <f t="shared" si="34"/>
        <v>152833.45000000001</v>
      </c>
      <c r="Q85" s="7"/>
    </row>
    <row r="86" spans="2:24" ht="14.4" customHeight="1" x14ac:dyDescent="0.3">
      <c r="B86" s="4" t="s">
        <v>15</v>
      </c>
      <c r="C86" s="4"/>
      <c r="D86" s="4"/>
      <c r="E86" s="10">
        <f>E85/E71</f>
        <v>0.15744218979216307</v>
      </c>
      <c r="F86" s="10">
        <f t="shared" ref="F86:N86" si="35">F85/F71</f>
        <v>0.26954180209074774</v>
      </c>
      <c r="G86" s="10">
        <f t="shared" si="35"/>
        <v>0.20211709240782197</v>
      </c>
      <c r="H86" s="10">
        <f t="shared" si="35"/>
        <v>0.22647886638986997</v>
      </c>
      <c r="I86" s="10">
        <f t="shared" si="35"/>
        <v>0.35933939074271271</v>
      </c>
      <c r="J86" s="10">
        <f t="shared" si="35"/>
        <v>0.50212315846288125</v>
      </c>
      <c r="K86" s="10">
        <f t="shared" si="35"/>
        <v>0.47133632658545849</v>
      </c>
      <c r="L86" s="10">
        <f t="shared" si="35"/>
        <v>0.43457232055151196</v>
      </c>
      <c r="M86" s="10">
        <f t="shared" si="35"/>
        <v>0.40301545038022979</v>
      </c>
      <c r="N86" s="10">
        <f t="shared" si="35"/>
        <v>0.35249059892065404</v>
      </c>
    </row>
    <row r="88" spans="2:24" ht="14.4" customHeight="1" x14ac:dyDescent="0.3">
      <c r="B88" s="1" t="s">
        <v>19</v>
      </c>
      <c r="E88" s="12">
        <f>0.7*1000</f>
        <v>700</v>
      </c>
      <c r="F88" s="12">
        <f>5.68*1000</f>
        <v>5680</v>
      </c>
      <c r="G88" s="12">
        <f>3.84*1000</f>
        <v>3840</v>
      </c>
      <c r="H88" s="12">
        <f>1.05*1000</f>
        <v>1050</v>
      </c>
      <c r="I88" s="12">
        <f>-3.05*1000</f>
        <v>-3050</v>
      </c>
      <c r="J88" s="12">
        <f>I88*0.5</f>
        <v>-1525</v>
      </c>
      <c r="K88" s="12">
        <f>J88*0.33</f>
        <v>-503.25</v>
      </c>
      <c r="L88" s="12">
        <f>K88*-1</f>
        <v>503.25</v>
      </c>
      <c r="M88" s="12">
        <f>L88*2.4</f>
        <v>1207.8</v>
      </c>
      <c r="N88" s="12">
        <f>M88*1.25</f>
        <v>1509.75</v>
      </c>
    </row>
    <row r="89" spans="2:24" ht="14.4" customHeight="1" x14ac:dyDescent="0.3">
      <c r="B89" s="4" t="s">
        <v>15</v>
      </c>
      <c r="C89" s="4"/>
      <c r="D89" s="4"/>
      <c r="E89" s="10">
        <f>E88/E71</f>
        <v>5.9357749154152076E-3</v>
      </c>
      <c r="F89" s="10">
        <f t="shared" ref="F89:N89" si="36">F88/F71</f>
        <v>4.8709790839472085E-2</v>
      </c>
      <c r="G89" s="10">
        <f t="shared" si="36"/>
        <v>2.8465108004329068E-2</v>
      </c>
      <c r="H89" s="10">
        <f t="shared" si="36"/>
        <v>6.3829399213378643E-3</v>
      </c>
      <c r="I89" s="10">
        <f t="shared" si="36"/>
        <v>-1.5176696555636277E-2</v>
      </c>
      <c r="J89" s="10">
        <f t="shared" si="36"/>
        <v>-6.1259025332471512E-3</v>
      </c>
      <c r="K89" s="10">
        <f t="shared" si="36"/>
        <v>-1.7250909553027782E-3</v>
      </c>
      <c r="L89" s="10">
        <f t="shared" si="36"/>
        <v>1.4864810216995642E-3</v>
      </c>
      <c r="M89" s="10">
        <f t="shared" si="36"/>
        <v>3.1212199930699511E-3</v>
      </c>
      <c r="N89" s="10">
        <f t="shared" si="36"/>
        <v>3.4820432419765267E-3</v>
      </c>
    </row>
    <row r="90" spans="2:24" ht="14.4" customHeight="1" x14ac:dyDescent="0.3">
      <c r="B90" s="4"/>
      <c r="C90" s="4"/>
      <c r="D90" s="4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2:24" ht="14.4" customHeight="1" x14ac:dyDescent="0.3">
      <c r="B91" s="1" t="s">
        <v>72</v>
      </c>
      <c r="E91" s="12">
        <v>9160</v>
      </c>
      <c r="F91" s="12">
        <v>11992</v>
      </c>
      <c r="G91" s="12">
        <v>14030</v>
      </c>
      <c r="H91" s="12">
        <v>15140</v>
      </c>
      <c r="I91" s="12">
        <v>20000</v>
      </c>
      <c r="J91" s="12">
        <f>J71*0.11</f>
        <v>27383.720046077997</v>
      </c>
      <c r="K91" s="12">
        <f>K71*0.11</f>
        <v>32089.612335996491</v>
      </c>
      <c r="L91" s="12">
        <f>L71*0.105</f>
        <v>35547.880685071977</v>
      </c>
      <c r="M91" s="12">
        <f t="shared" ref="M91:N91" si="37">M71*0.105</f>
        <v>40631.227623037266</v>
      </c>
      <c r="N91" s="12">
        <f t="shared" si="37"/>
        <v>45526.071614784574</v>
      </c>
    </row>
    <row r="92" spans="2:24" ht="14.4" customHeight="1" x14ac:dyDescent="0.3">
      <c r="B92" s="4" t="s">
        <v>15</v>
      </c>
      <c r="C92" s="4"/>
      <c r="D92" s="4"/>
      <c r="E92" s="10">
        <f>E91/E71</f>
        <v>7.7673854607433285E-2</v>
      </c>
      <c r="F92" s="10">
        <f t="shared" ref="F92:J92" si="38">F91/F71</f>
        <v>0.10283940347657557</v>
      </c>
      <c r="G92" s="10">
        <f t="shared" si="38"/>
        <v>0.10400142325540021</v>
      </c>
      <c r="H92" s="10">
        <f t="shared" si="38"/>
        <v>9.2035914675290723E-2</v>
      </c>
      <c r="I92" s="10">
        <f t="shared" si="38"/>
        <v>9.9519321676303452E-2</v>
      </c>
      <c r="J92" s="10">
        <f t="shared" si="38"/>
        <v>0.11</v>
      </c>
      <c r="K92" s="10">
        <f t="shared" ref="K92" si="39">K91/K71</f>
        <v>0.11</v>
      </c>
      <c r="L92" s="10">
        <f t="shared" ref="L92" si="40">L91/L71</f>
        <v>0.105</v>
      </c>
      <c r="M92" s="10">
        <f t="shared" ref="M92" si="41">M91/M71</f>
        <v>0.10499999999999998</v>
      </c>
      <c r="N92" s="10">
        <f t="shared" ref="N92" si="42">N91/N71</f>
        <v>0.10500000000000001</v>
      </c>
    </row>
    <row r="94" spans="2:24" ht="14.4" customHeight="1" x14ac:dyDescent="0.3">
      <c r="B94" s="7" t="s">
        <v>23</v>
      </c>
      <c r="C94" s="7"/>
      <c r="D94" s="7"/>
      <c r="E94" s="7">
        <v>39116</v>
      </c>
      <c r="F94" s="7">
        <v>18439</v>
      </c>
      <c r="G94" s="7">
        <v>43010</v>
      </c>
      <c r="H94" s="7">
        <v>52103</v>
      </c>
      <c r="I94" s="7">
        <f>I80+I82-I85+I88+I91</f>
        <v>20825</v>
      </c>
      <c r="J94" s="7">
        <f t="shared" ref="J94:N94" si="43">J80+J82-J85+J88+J91</f>
        <v>7770.5357324905017</v>
      </c>
      <c r="K94" s="7">
        <f t="shared" si="43"/>
        <v>26692.584517134375</v>
      </c>
      <c r="L94" s="7">
        <f t="shared" si="43"/>
        <v>39732.440380174834</v>
      </c>
      <c r="M94" s="7">
        <f t="shared" si="43"/>
        <v>59349.494091115761</v>
      </c>
      <c r="N94" s="7">
        <f t="shared" si="43"/>
        <v>89182.076071423333</v>
      </c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ht="14.4" customHeight="1" x14ac:dyDescent="0.3">
      <c r="B95" s="4" t="s">
        <v>15</v>
      </c>
      <c r="C95" s="4"/>
      <c r="D95" s="4"/>
      <c r="E95" s="10">
        <f>E94/E71</f>
        <v>0.33169110227340182</v>
      </c>
      <c r="F95" s="10">
        <f t="shared" ref="F95:N95" si="44">F94/F71</f>
        <v>0.15812673121285664</v>
      </c>
      <c r="G95" s="10">
        <f t="shared" si="44"/>
        <v>0.31882403522557118</v>
      </c>
      <c r="H95" s="10">
        <f t="shared" si="44"/>
        <v>0.31673363687758738</v>
      </c>
      <c r="I95" s="10">
        <f t="shared" si="44"/>
        <v>0.10362449369545097</v>
      </c>
      <c r="J95" s="10">
        <f t="shared" si="44"/>
        <v>3.1214127559574475E-2</v>
      </c>
      <c r="K95" s="10">
        <f t="shared" si="44"/>
        <v>9.1499525333658183E-2</v>
      </c>
      <c r="L95" s="10">
        <f t="shared" si="44"/>
        <v>0.11736019586873186</v>
      </c>
      <c r="M95" s="10">
        <f t="shared" si="44"/>
        <v>0.15337210426873443</v>
      </c>
      <c r="N95" s="10">
        <f t="shared" si="44"/>
        <v>0.20568693180323638</v>
      </c>
    </row>
    <row r="96" spans="2:24" ht="14.4" customHeight="1" x14ac:dyDescent="0.3">
      <c r="V96" s="26"/>
    </row>
    <row r="97" spans="2:22" ht="14.4" customHeight="1" x14ac:dyDescent="0.3">
      <c r="B97" s="1" t="s">
        <v>24</v>
      </c>
      <c r="I97" s="7"/>
      <c r="J97" s="7">
        <f>J94/(1+$U$7)^0.5</f>
        <v>7421.4070901648556</v>
      </c>
      <c r="K97" s="7">
        <f>K94/(1+$U$7)^1.5</f>
        <v>23253.937739742749</v>
      </c>
      <c r="L97" s="7">
        <f>L94/(1+$U$7)^2.5</f>
        <v>31573.425696323538</v>
      </c>
      <c r="M97" s="7">
        <f>M94/(1+$U$7)^3.5</f>
        <v>43019.372561132615</v>
      </c>
      <c r="N97" s="7">
        <f>N94/(1+$U$7)^4.5</f>
        <v>58965.123785753523</v>
      </c>
      <c r="V97" s="7"/>
    </row>
    <row r="99" spans="2:22" ht="14.4" customHeight="1" x14ac:dyDescent="0.3">
      <c r="H99" s="25"/>
      <c r="J99" s="7"/>
      <c r="K99" s="7"/>
    </row>
    <row r="105" spans="2:22" ht="14.4" customHeight="1" x14ac:dyDescent="0.3">
      <c r="J105" s="12"/>
    </row>
  </sheetData>
  <mergeCells count="8">
    <mergeCell ref="I7:K7"/>
    <mergeCell ref="I12:K12"/>
    <mergeCell ref="T11:U11"/>
    <mergeCell ref="T22:U22"/>
    <mergeCell ref="I11:K11"/>
    <mergeCell ref="I10:K10"/>
    <mergeCell ref="I9:K9"/>
    <mergeCell ref="I8:K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5C1-F80B-4C2F-AFEE-9D4756B0A66A}">
  <dimension ref="A5:A47"/>
  <sheetViews>
    <sheetView showGridLines="0" zoomScale="130" zoomScaleNormal="130" workbookViewId="0">
      <selection activeCell="C13" sqref="C13"/>
    </sheetView>
  </sheetViews>
  <sheetFormatPr defaultColWidth="8.69921875" defaultRowHeight="14.4" customHeight="1" x14ac:dyDescent="0.3"/>
  <cols>
    <col min="1" max="4" width="8.69921875" style="1"/>
    <col min="5" max="5" width="8.69921875" style="1" customWidth="1"/>
    <col min="6" max="11" width="8.69921875" style="1"/>
    <col min="12" max="12" width="9.69921875" style="1" bestFit="1" customWidth="1"/>
    <col min="13" max="14" width="8.796875" style="1" bestFit="1" customWidth="1"/>
    <col min="15" max="16384" width="8.69921875" style="1"/>
  </cols>
  <sheetData>
    <row r="5" ht="1.95" customHeight="1" x14ac:dyDescent="0.3"/>
    <row r="27" ht="1.95" customHeight="1" x14ac:dyDescent="0.3"/>
    <row r="40" ht="1.95" customHeight="1" x14ac:dyDescent="0.3"/>
    <row r="47" ht="1.9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438-1AC1-43DF-96FD-76E4B45DFDBC}">
  <dimension ref="A12:A69"/>
  <sheetViews>
    <sheetView showGridLines="0" zoomScale="115" zoomScaleNormal="115" workbookViewId="0">
      <selection activeCell="D21" sqref="D21"/>
    </sheetView>
  </sheetViews>
  <sheetFormatPr defaultColWidth="8.69921875" defaultRowHeight="14.4" x14ac:dyDescent="0.3"/>
  <cols>
    <col min="1" max="5" width="8.69921875" style="1"/>
    <col min="6" max="6" width="9.796875" style="1" bestFit="1" customWidth="1"/>
    <col min="7" max="16384" width="8.69921875" style="1"/>
  </cols>
  <sheetData>
    <row r="12" ht="15.6" customHeight="1" x14ac:dyDescent="0.3"/>
    <row r="13" ht="15.6" customHeight="1" x14ac:dyDescent="0.3"/>
    <row r="14" ht="15.6" customHeight="1" x14ac:dyDescent="0.3"/>
    <row r="16" ht="15.6" customHeight="1" x14ac:dyDescent="0.3"/>
    <row r="18" ht="15.6" customHeight="1" x14ac:dyDescent="0.3"/>
    <row r="19" ht="15.6" customHeight="1" x14ac:dyDescent="0.3"/>
    <row r="20" ht="15.6" customHeight="1" x14ac:dyDescent="0.3"/>
    <row r="21" ht="15.6" customHeight="1" x14ac:dyDescent="0.3"/>
    <row r="22" ht="15.6" customHeight="1" x14ac:dyDescent="0.3"/>
    <row r="23" ht="15.6" customHeight="1" x14ac:dyDescent="0.3"/>
    <row r="24" ht="15.6" customHeight="1" x14ac:dyDescent="0.3"/>
    <row r="25" ht="15.6" customHeight="1" x14ac:dyDescent="0.3"/>
    <row r="26" ht="15.6" customHeight="1" x14ac:dyDescent="0.3"/>
    <row r="27" ht="15.6" customHeight="1" x14ac:dyDescent="0.3"/>
    <row r="29" ht="15.6" customHeight="1" x14ac:dyDescent="0.3"/>
    <row r="30" ht="15.6" customHeight="1" x14ac:dyDescent="0.3"/>
    <row r="31" ht="15.6" customHeight="1" x14ac:dyDescent="0.3"/>
    <row r="32" ht="15.6" customHeight="1" x14ac:dyDescent="0.3"/>
    <row r="37" ht="15.6" customHeight="1" x14ac:dyDescent="0.3"/>
    <row r="38" ht="15.6" customHeight="1" x14ac:dyDescent="0.3"/>
    <row r="39" ht="15.6" customHeight="1" x14ac:dyDescent="0.3"/>
    <row r="40" ht="15.6" customHeight="1" x14ac:dyDescent="0.3"/>
    <row r="41" ht="15.6" customHeight="1" x14ac:dyDescent="0.3"/>
    <row r="42" ht="15.6" customHeight="1" x14ac:dyDescent="0.3"/>
    <row r="43" ht="15.6" customHeight="1" x14ac:dyDescent="0.3"/>
    <row r="46" ht="15.6" customHeight="1" x14ac:dyDescent="0.3"/>
    <row r="47" ht="15.6" customHeight="1" x14ac:dyDescent="0.3"/>
    <row r="48" ht="15.6" customHeight="1" x14ac:dyDescent="0.3"/>
    <row r="54" ht="15.6" customHeight="1" x14ac:dyDescent="0.3"/>
    <row r="55" ht="15.6" customHeight="1" x14ac:dyDescent="0.3"/>
    <row r="57" ht="15.6" customHeight="1" x14ac:dyDescent="0.3"/>
    <row r="58" ht="15.6" customHeight="1" x14ac:dyDescent="0.3"/>
    <row r="59" ht="15.6" customHeight="1" x14ac:dyDescent="0.3"/>
    <row r="63" ht="15.6" customHeight="1" x14ac:dyDescent="0.3"/>
    <row r="67" ht="15.6" customHeight="1" x14ac:dyDescent="0.3"/>
    <row r="69" ht="15.6" customHeight="1" x14ac:dyDescent="0.3"/>
  </sheetData>
  <sortState xmlns:xlrd2="http://schemas.microsoft.com/office/spreadsheetml/2017/richdata2" ref="B72:F80">
    <sortCondition descending="1" ref="F72:F80"/>
  </sortState>
  <conditionalFormatting sqref="R5:AJ5">
    <cfRule type="colorScale" priority="3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R8:AJ8">
    <cfRule type="colorScale" priority="2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S10:S15">
    <cfRule type="colorScale" priority="6">
      <colorScale>
        <cfvo type="min"/>
        <cfvo type="num" val="0"/>
        <cfvo type="max"/>
        <color rgb="FFFF0000"/>
        <color theme="2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Segments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2026-01-02T23:21:27Z</dcterms:created>
  <dcterms:modified xsi:type="dcterms:W3CDTF">2026-09-07T01:27:08Z</dcterms:modified>
</cp:coreProperties>
</file>