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8A9A9E24-F609-417E-933D-EAF755F29C68}" xr6:coauthVersionLast="47" xr6:coauthVersionMax="47" xr10:uidLastSave="{00000000-0000-0000-0000-000000000000}"/>
  <bookViews>
    <workbookView xWindow="33324" yWindow="780" windowWidth="22800" windowHeight="15120" xr2:uid="{64BEE0EA-45A1-4490-9445-11F5F6D37C44}"/>
  </bookViews>
  <sheets>
    <sheet name="Main" sheetId="1" r:id="rId1"/>
    <sheet name="Segments" sheetId="3" r:id="rId2"/>
    <sheet name="Extra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6" i="1" l="1"/>
  <c r="M86" i="1"/>
  <c r="L86" i="1"/>
  <c r="K86" i="1"/>
  <c r="J86" i="1"/>
  <c r="I86" i="1"/>
  <c r="H86" i="1"/>
  <c r="G86" i="1"/>
  <c r="F86" i="1"/>
  <c r="E86" i="1"/>
  <c r="P7" i="1"/>
  <c r="N97" i="1"/>
  <c r="M97" i="1"/>
  <c r="L97" i="1"/>
  <c r="K97" i="1"/>
  <c r="J97" i="1"/>
  <c r="I97" i="1" l="1"/>
  <c r="N67" i="1"/>
  <c r="M67" i="1"/>
  <c r="L67" i="1"/>
  <c r="K67" i="1"/>
  <c r="J67" i="1"/>
  <c r="I67" i="1"/>
  <c r="H67" i="1"/>
  <c r="G67" i="1"/>
  <c r="F67" i="1"/>
  <c r="E67" i="1"/>
  <c r="I66" i="1"/>
  <c r="H66" i="1"/>
  <c r="G66" i="1"/>
  <c r="F66" i="1"/>
  <c r="E66" i="1"/>
  <c r="I94" i="1"/>
  <c r="N94" i="1"/>
  <c r="M94" i="1"/>
  <c r="L94" i="1"/>
  <c r="K94" i="1"/>
  <c r="J94" i="1"/>
  <c r="N92" i="1"/>
  <c r="M92" i="1"/>
  <c r="L92" i="1"/>
  <c r="K92" i="1"/>
  <c r="N91" i="1"/>
  <c r="M91" i="1"/>
  <c r="L91" i="1"/>
  <c r="H89" i="1"/>
  <c r="G89" i="1"/>
  <c r="E89" i="1"/>
  <c r="F92" i="1"/>
  <c r="E92" i="1"/>
  <c r="I88" i="1"/>
  <c r="J88" i="1" s="1"/>
  <c r="H88" i="1"/>
  <c r="G88" i="1"/>
  <c r="F88" i="1"/>
  <c r="F89" i="1" s="1"/>
  <c r="E88" i="1"/>
  <c r="H83" i="1"/>
  <c r="G83" i="1"/>
  <c r="F83" i="1"/>
  <c r="E83" i="1"/>
  <c r="H61" i="1"/>
  <c r="G61" i="1"/>
  <c r="F61" i="1"/>
  <c r="E61" i="1"/>
  <c r="J60" i="1"/>
  <c r="I60" i="1"/>
  <c r="H60" i="1"/>
  <c r="G60" i="1"/>
  <c r="F60" i="1"/>
  <c r="E60" i="1"/>
  <c r="J85" i="1"/>
  <c r="I85" i="1"/>
  <c r="H85" i="1"/>
  <c r="G85" i="1"/>
  <c r="F85" i="1"/>
  <c r="E85" i="1"/>
  <c r="J63" i="1"/>
  <c r="K63" i="1" s="1"/>
  <c r="M82" i="1"/>
  <c r="L82" i="1"/>
  <c r="K82" i="1"/>
  <c r="J82" i="1"/>
  <c r="I82" i="1"/>
  <c r="H82" i="1"/>
  <c r="G82" i="1"/>
  <c r="F82" i="1"/>
  <c r="E82" i="1"/>
  <c r="M78" i="1"/>
  <c r="L78" i="1"/>
  <c r="K78" i="1"/>
  <c r="J78" i="1"/>
  <c r="I78" i="1"/>
  <c r="G78" i="1"/>
  <c r="F78" i="1"/>
  <c r="E78" i="1"/>
  <c r="M55" i="1"/>
  <c r="L55" i="1"/>
  <c r="K55" i="1"/>
  <c r="J55" i="1"/>
  <c r="I55" i="1"/>
  <c r="G55" i="1"/>
  <c r="F55" i="1"/>
  <c r="E55" i="1"/>
  <c r="E77" i="1" a="1"/>
  <c r="E77" i="1" s="1"/>
  <c r="P10" i="1"/>
  <c r="H71" i="1"/>
  <c r="H95" i="1" s="1"/>
  <c r="G71" i="1"/>
  <c r="F71" i="1"/>
  <c r="F95" i="1" s="1"/>
  <c r="E71" i="1"/>
  <c r="E95" i="1" s="1"/>
  <c r="G52" i="1"/>
  <c r="F52" i="1"/>
  <c r="H49" i="1"/>
  <c r="G49" i="1"/>
  <c r="F49" i="1"/>
  <c r="E52" i="1"/>
  <c r="E49" i="1"/>
  <c r="H46" i="1"/>
  <c r="G46" i="1"/>
  <c r="F46" i="1"/>
  <c r="E46" i="1"/>
  <c r="E37" i="1"/>
  <c r="E72" i="1" s="1"/>
  <c r="H37" i="1"/>
  <c r="H72" i="1" s="1"/>
  <c r="G37" i="1"/>
  <c r="G72" i="1" s="1"/>
  <c r="F37" i="1"/>
  <c r="F72" i="1" s="1"/>
  <c r="H42" i="1"/>
  <c r="H51" i="1" s="1"/>
  <c r="H52" i="1" s="1"/>
  <c r="G42" i="1"/>
  <c r="G43" i="1" s="1"/>
  <c r="F42" i="1"/>
  <c r="F43" i="1" s="1"/>
  <c r="E42" i="1"/>
  <c r="E43" i="1" s="1"/>
  <c r="H40" i="1"/>
  <c r="G40" i="1"/>
  <c r="F40" i="1"/>
  <c r="E40" i="1"/>
  <c r="J30" i="1"/>
  <c r="K30" i="1" s="1"/>
  <c r="J31" i="1"/>
  <c r="E31" i="1"/>
  <c r="I31" i="1"/>
  <c r="H31" i="1"/>
  <c r="G31" i="1"/>
  <c r="F31" i="1"/>
  <c r="I27" i="1"/>
  <c r="H28" i="1"/>
  <c r="G28" i="1"/>
  <c r="F28" i="1"/>
  <c r="E28" i="1"/>
  <c r="N56" i="3"/>
  <c r="M56" i="3"/>
  <c r="L56" i="3"/>
  <c r="J66" i="1" l="1"/>
  <c r="G95" i="1"/>
  <c r="L63" i="1"/>
  <c r="K60" i="1"/>
  <c r="K85" i="1"/>
  <c r="K88" i="1"/>
  <c r="H55" i="1"/>
  <c r="H78" i="1" s="1"/>
  <c r="G92" i="1"/>
  <c r="H92" i="1"/>
  <c r="H43" i="1"/>
  <c r="J27" i="1"/>
  <c r="K31" i="1"/>
  <c r="I28" i="1"/>
  <c r="J28" i="1"/>
  <c r="J13" i="3"/>
  <c r="G20" i="3"/>
  <c r="H20" i="3"/>
  <c r="G8" i="3"/>
  <c r="G9" i="3"/>
  <c r="H9" i="3"/>
  <c r="H8" i="3"/>
  <c r="P16" i="1"/>
  <c r="K66" i="1" l="1"/>
  <c r="L88" i="1"/>
  <c r="M63" i="1"/>
  <c r="L60" i="1"/>
  <c r="L85" i="1"/>
  <c r="K27" i="1"/>
  <c r="L27" i="1" s="1"/>
  <c r="N31" i="3"/>
  <c r="N34" i="3"/>
  <c r="M31" i="3"/>
  <c r="M34" i="3"/>
  <c r="M28" i="3"/>
  <c r="L34" i="3"/>
  <c r="L31" i="3"/>
  <c r="K37" i="3"/>
  <c r="J37" i="3"/>
  <c r="I37" i="3"/>
  <c r="H37" i="3"/>
  <c r="G37" i="3"/>
  <c r="N13" i="3"/>
  <c r="N14" i="3" s="1"/>
  <c r="I24" i="3"/>
  <c r="H24" i="3"/>
  <c r="G24" i="3"/>
  <c r="L13" i="3"/>
  <c r="M14" i="3" s="1"/>
  <c r="L6" i="3"/>
  <c r="L7" i="3" s="1"/>
  <c r="L52" i="3"/>
  <c r="M52" i="3" s="1"/>
  <c r="N52" i="3" s="1"/>
  <c r="H46" i="3"/>
  <c r="I46" i="3" s="1"/>
  <c r="J46" i="3" s="1"/>
  <c r="K46" i="3" s="1"/>
  <c r="G44" i="3"/>
  <c r="K44" i="3"/>
  <c r="J44" i="3"/>
  <c r="I44" i="3"/>
  <c r="H44" i="3"/>
  <c r="K42" i="3"/>
  <c r="J42" i="3"/>
  <c r="I42" i="3"/>
  <c r="H42" i="3"/>
  <c r="G42" i="3"/>
  <c r="H39" i="3"/>
  <c r="I39" i="3" s="1"/>
  <c r="J39" i="3" s="1"/>
  <c r="K39" i="3" s="1"/>
  <c r="G19" i="3"/>
  <c r="H19" i="3"/>
  <c r="I19" i="3"/>
  <c r="J18" i="3"/>
  <c r="J19" i="3" s="1"/>
  <c r="K18" i="3"/>
  <c r="K19" i="3" s="1"/>
  <c r="J32" i="3"/>
  <c r="K13" i="3"/>
  <c r="I35" i="3"/>
  <c r="H35" i="3"/>
  <c r="G35" i="3"/>
  <c r="I32" i="3"/>
  <c r="H32" i="3"/>
  <c r="G32" i="3"/>
  <c r="K29" i="3"/>
  <c r="J29" i="3"/>
  <c r="I29" i="3"/>
  <c r="H29" i="3"/>
  <c r="G29" i="3"/>
  <c r="H4" i="3"/>
  <c r="I4" i="3" s="1"/>
  <c r="J4" i="3" s="1"/>
  <c r="K4" i="3" s="1"/>
  <c r="L22" i="3"/>
  <c r="M22" i="3" s="1"/>
  <c r="L20" i="3"/>
  <c r="L21" i="3"/>
  <c r="M21" i="3" s="1"/>
  <c r="L8" i="3"/>
  <c r="M8" i="3" s="1"/>
  <c r="M6" i="3" s="1"/>
  <c r="N6" i="3" s="1"/>
  <c r="N11" i="3"/>
  <c r="G7" i="3"/>
  <c r="K7" i="3"/>
  <c r="J7" i="3"/>
  <c r="I7" i="3"/>
  <c r="H7" i="3"/>
  <c r="I14" i="3"/>
  <c r="H14" i="3"/>
  <c r="G14" i="3"/>
  <c r="L66" i="1" l="1"/>
  <c r="M60" i="1"/>
  <c r="N63" i="1"/>
  <c r="M85" i="1"/>
  <c r="M88" i="1"/>
  <c r="M27" i="1"/>
  <c r="L28" i="1"/>
  <c r="K28" i="1"/>
  <c r="N37" i="3"/>
  <c r="M37" i="3"/>
  <c r="M32" i="3"/>
  <c r="L37" i="3"/>
  <c r="J24" i="3"/>
  <c r="K24" i="3"/>
  <c r="L32" i="3"/>
  <c r="L14" i="3"/>
  <c r="J35" i="3"/>
  <c r="K35" i="3"/>
  <c r="L28" i="3"/>
  <c r="L29" i="3" s="1"/>
  <c r="J14" i="3"/>
  <c r="K14" i="3"/>
  <c r="K32" i="3"/>
  <c r="L18" i="3"/>
  <c r="M20" i="3"/>
  <c r="M18" i="3" s="1"/>
  <c r="N32" i="3"/>
  <c r="N8" i="3"/>
  <c r="M66" i="1" l="1"/>
  <c r="N85" i="1"/>
  <c r="N59" i="1"/>
  <c r="N88" i="1"/>
  <c r="M28" i="1"/>
  <c r="N27" i="1"/>
  <c r="N28" i="1" s="1"/>
  <c r="L35" i="3"/>
  <c r="L24" i="3"/>
  <c r="M19" i="3"/>
  <c r="M24" i="3"/>
  <c r="L19" i="3"/>
  <c r="M35" i="3"/>
  <c r="N18" i="3"/>
  <c r="M29" i="3"/>
  <c r="M7" i="3"/>
  <c r="N66" i="1" l="1"/>
  <c r="N82" i="1"/>
  <c r="N60" i="1"/>
  <c r="N24" i="3"/>
  <c r="N19" i="3"/>
  <c r="N35" i="3"/>
  <c r="N28" i="3"/>
  <c r="N29" i="3" s="1"/>
  <c r="N7" i="3"/>
  <c r="H26" i="3" l="1"/>
  <c r="I26" i="3" s="1"/>
  <c r="J26" i="3" s="1"/>
  <c r="K26" i="3" s="1"/>
  <c r="F15" i="1" l="1"/>
  <c r="G15" i="1" s="1"/>
  <c r="H15" i="1" s="1"/>
  <c r="I15" i="1" s="1"/>
  <c r="F70" i="1" l="1"/>
  <c r="G70" i="1" s="1"/>
  <c r="H70" i="1" s="1"/>
  <c r="I70" i="1" s="1"/>
  <c r="F57" i="1"/>
  <c r="G57" i="1" s="1"/>
  <c r="H57" i="1" s="1"/>
  <c r="I57" i="1" s="1"/>
  <c r="F25" i="1"/>
  <c r="G25" i="1" s="1"/>
  <c r="H25" i="1" s="1"/>
  <c r="I25" i="1" s="1"/>
  <c r="E33" i="1"/>
  <c r="E34" i="1" s="1"/>
  <c r="F33" i="1"/>
  <c r="G33" i="1"/>
  <c r="G34" i="1" s="1"/>
  <c r="H33" i="1"/>
  <c r="H34" i="1" s="1"/>
  <c r="F34" i="1" l="1"/>
  <c r="I33" i="1"/>
  <c r="I34" i="1"/>
  <c r="J33" i="1" s="1"/>
  <c r="I36" i="1"/>
  <c r="I45" i="1" l="1"/>
  <c r="I61" i="1"/>
  <c r="I52" i="1"/>
  <c r="I40" i="1"/>
  <c r="I42" i="1"/>
  <c r="I43" i="1" s="1"/>
  <c r="I37" i="1"/>
  <c r="I72" i="1" s="1"/>
  <c r="I46" i="1"/>
  <c r="I71" i="1"/>
  <c r="I49" i="1"/>
  <c r="J36" i="1"/>
  <c r="J34" i="1"/>
  <c r="K33" i="1" s="1"/>
  <c r="J61" i="1" l="1"/>
  <c r="J45" i="1"/>
  <c r="I95" i="1"/>
  <c r="I92" i="1"/>
  <c r="I83" i="1"/>
  <c r="I89" i="1"/>
  <c r="J39" i="1"/>
  <c r="J40" i="1" s="1"/>
  <c r="J42" i="1"/>
  <c r="J43" i="1" s="1"/>
  <c r="J46" i="1"/>
  <c r="J48" i="1"/>
  <c r="J49" i="1" s="1"/>
  <c r="J37" i="1"/>
  <c r="J72" i="1" s="1"/>
  <c r="J71" i="1"/>
  <c r="J52" i="1"/>
  <c r="K34" i="1"/>
  <c r="L33" i="1"/>
  <c r="K36" i="1"/>
  <c r="L53" i="3"/>
  <c r="L54" i="3" s="1"/>
  <c r="K45" i="1" l="1"/>
  <c r="K61" i="1"/>
  <c r="J95" i="1"/>
  <c r="J91" i="1"/>
  <c r="J92" i="1" s="1"/>
  <c r="J83" i="1"/>
  <c r="J89" i="1"/>
  <c r="K39" i="1"/>
  <c r="K40" i="1" s="1"/>
  <c r="K42" i="1"/>
  <c r="K43" i="1" s="1"/>
  <c r="K48" i="1"/>
  <c r="K49" i="1" s="1"/>
  <c r="K46" i="1"/>
  <c r="K52" i="1"/>
  <c r="K37" i="1"/>
  <c r="K72" i="1" s="1"/>
  <c r="K71" i="1"/>
  <c r="M53" i="3"/>
  <c r="M54" i="3" s="1"/>
  <c r="L36" i="1"/>
  <c r="L34" i="1"/>
  <c r="M33" i="1"/>
  <c r="L61" i="1" l="1"/>
  <c r="L45" i="1"/>
  <c r="K91" i="1"/>
  <c r="K83" i="1"/>
  <c r="K89" i="1"/>
  <c r="L39" i="1"/>
  <c r="L40" i="1" s="1"/>
  <c r="L48" i="1"/>
  <c r="L49" i="1" s="1"/>
  <c r="L42" i="1"/>
  <c r="L43" i="1" s="1"/>
  <c r="L37" i="1"/>
  <c r="L72" i="1" s="1"/>
  <c r="L52" i="1"/>
  <c r="L46" i="1"/>
  <c r="L71" i="1"/>
  <c r="K95" i="1"/>
  <c r="M36" i="1"/>
  <c r="M34" i="1"/>
  <c r="N33" i="1" s="1"/>
  <c r="N53" i="3"/>
  <c r="N54" i="3" s="1"/>
  <c r="M45" i="1" l="1"/>
  <c r="M61" i="1"/>
  <c r="L95" i="1"/>
  <c r="L83" i="1"/>
  <c r="L89" i="1"/>
  <c r="M48" i="1"/>
  <c r="M49" i="1" s="1"/>
  <c r="M52" i="1"/>
  <c r="M37" i="1"/>
  <c r="M72" i="1" s="1"/>
  <c r="M46" i="1"/>
  <c r="M39" i="1"/>
  <c r="M40" i="1" s="1"/>
  <c r="M71" i="1"/>
  <c r="N36" i="1"/>
  <c r="N34" i="1"/>
  <c r="M83" i="1" l="1"/>
  <c r="M89" i="1"/>
  <c r="N45" i="1"/>
  <c r="N61" i="1"/>
  <c r="N51" i="1"/>
  <c r="N48" i="1"/>
  <c r="N49" i="1" s="1"/>
  <c r="N37" i="1"/>
  <c r="N72" i="1" s="1"/>
  <c r="N46" i="1"/>
  <c r="N39" i="1"/>
  <c r="N40" i="1" s="1"/>
  <c r="N71" i="1"/>
  <c r="M95" i="1"/>
  <c r="M42" i="1"/>
  <c r="M43" i="1" s="1"/>
  <c r="N89" i="1" l="1"/>
  <c r="N83" i="1"/>
  <c r="N54" i="1"/>
  <c r="E74" i="1" a="1"/>
  <c r="N42" i="1"/>
  <c r="N43" i="1" s="1"/>
  <c r="N52" i="1"/>
  <c r="P8" i="1"/>
  <c r="P9" i="1" s="1"/>
  <c r="E74" i="1" l="1"/>
  <c r="J75" i="1"/>
  <c r="I75" i="1"/>
  <c r="H75" i="1"/>
  <c r="L80" i="1"/>
  <c r="G75" i="1"/>
  <c r="M75" i="1"/>
  <c r="F75" i="1"/>
  <c r="N75" i="1"/>
  <c r="J80" i="1"/>
  <c r="M80" i="1"/>
  <c r="K80" i="1"/>
  <c r="I80" i="1"/>
  <c r="G80" i="1"/>
  <c r="F80" i="1"/>
  <c r="H80" i="1"/>
  <c r="L75" i="1"/>
  <c r="K75" i="1"/>
  <c r="N77" i="1"/>
  <c r="N80" i="1" s="1"/>
  <c r="N55" i="1"/>
  <c r="N78" i="1" s="1"/>
  <c r="N95" i="1"/>
  <c r="P12" i="1"/>
  <c r="E8" i="1" s="1"/>
  <c r="E10" i="1" s="1"/>
  <c r="E75" i="1" l="1"/>
  <c r="E8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tc={0AEE88EF-F5A5-4222-8D90-AB39EF908C53}</author>
    <author>tc={6E9EEE48-010B-419D-88AA-8E2878DCB24F}</author>
  </authors>
  <commentList>
    <comment ref="L49" authorId="0" shapeId="0" xr:uid="{0AEE88EF-F5A5-4222-8D90-AB39EF908C53}">
      <text>
        <t>[Threaded comment]
Your version of Excel allows you to read this threaded comment; however, any edits to it will get removed if the file is opened in a newer version of Excel. Learn more: https://go.microsoft.com/fwlink/?linkid=870924
Comment:
    Q1 2026
Expected to recognize 40% over NTM</t>
      </text>
    </comment>
    <comment ref="L50" authorId="1" shapeId="0" xr:uid="{6E9EEE48-010B-419D-88AA-8E2878DCB24F}">
      <text>
        <t>[Threaded comment]
Your version of Excel allows you to read this threaded comment; however, any edits to it will get removed if the file is opened in a newer version of Excel. Learn more: https://go.microsoft.com/fwlink/?linkid=870924
Comment:
    SemiAnalysis expects growth over 40%. Up to 53% in December 2026
Q1 2026 Growth: %40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<sst xmlns="http://schemas.openxmlformats.org/spreadsheetml/2006/main" count="190" uniqueCount="115">
  <si>
    <t>Ticker</t>
  </si>
  <si>
    <t>Implied Share Price</t>
  </si>
  <si>
    <t>Current Share Price</t>
  </si>
  <si>
    <t>Implied Upside / (Downside)</t>
  </si>
  <si>
    <t>Income Statement</t>
  </si>
  <si>
    <t>2026E</t>
  </si>
  <si>
    <t>2027E</t>
  </si>
  <si>
    <t>2028E</t>
  </si>
  <si>
    <t>2029E</t>
  </si>
  <si>
    <t>2030E</t>
  </si>
  <si>
    <t>Revenue</t>
  </si>
  <si>
    <t>% growth</t>
  </si>
  <si>
    <t>EBIT</t>
  </si>
  <si>
    <t>Taxes</t>
  </si>
  <si>
    <t>Tax rate</t>
  </si>
  <si>
    <t>% of sales</t>
  </si>
  <si>
    <t>Cash Flow Items</t>
  </si>
  <si>
    <t>D&amp;A</t>
  </si>
  <si>
    <t>CapEx</t>
  </si>
  <si>
    <t>Changes in NWC</t>
  </si>
  <si>
    <t>% of changes in sales</t>
  </si>
  <si>
    <t>DCF</t>
  </si>
  <si>
    <t>EBIAT</t>
  </si>
  <si>
    <t>Free Cash Flow</t>
  </si>
  <si>
    <t>Present Value of FCF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</si>
  <si>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</si>
  <si>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</si>
  <si>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</si>
  <si>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</si>
  <si>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</si>
  <si>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</si>
  <si>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</si>
  <si>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</si>
  <si>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% of capex</t>
  </si>
  <si>
    <t>WACC</t>
  </si>
  <si>
    <t>% of Equity</t>
  </si>
  <si>
    <t>Cost of Equity</t>
  </si>
  <si>
    <t>Risk Free Rate</t>
  </si>
  <si>
    <t>Beta</t>
  </si>
  <si>
    <t>Market Risk Premium</t>
  </si>
  <si>
    <t>% of Debt</t>
  </si>
  <si>
    <t>Cost of Debt</t>
  </si>
  <si>
    <t>Tax Rate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</si>
  <si>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</si>
  <si>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</si>
  <si>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</si>
  <si>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</si>
  <si>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</si>
  <si>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</si>
  <si>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</si>
  <si>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</si>
  <si>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</si>
  <si>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</si>
  <si>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</si>
  <si>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</si>
  <si>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</si>
  <si>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</si>
  <si>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</si>
  <si>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</si>
  <si>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</si>
  <si>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</si>
  <si>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Fiscal Year End</t>
  </si>
  <si>
    <t>COGS</t>
  </si>
  <si>
    <t>Gross Income</t>
  </si>
  <si>
    <t>SG&amp;A</t>
  </si>
  <si>
    <t>R&amp;D</t>
  </si>
  <si>
    <t>Last Updated</t>
  </si>
  <si>
    <t>Industry Metrics</t>
  </si>
  <si>
    <t>Intelligent Cloud</t>
  </si>
  <si>
    <t>Productivity and Business Processes</t>
  </si>
  <si>
    <t>Product Segments</t>
  </si>
  <si>
    <t>x</t>
  </si>
  <si>
    <t>- Microsoft 365 Commercial Products and Cloud Services</t>
  </si>
  <si>
    <t>-</t>
  </si>
  <si>
    <t>- Microsoft 365 Consumer Products and Cloud Services</t>
  </si>
  <si>
    <t>- Dynamics Products and Cloud Services</t>
  </si>
  <si>
    <t>- LinkedIn</t>
  </si>
  <si>
    <t>- Server Products and Cloud Services</t>
  </si>
  <si>
    <t>- Enterprise and partner services</t>
  </si>
  <si>
    <t>More Personal Computing</t>
  </si>
  <si>
    <t>- Windows and Devices</t>
  </si>
  <si>
    <t>- Search and News Advertising</t>
  </si>
  <si>
    <t>- Gaming</t>
  </si>
  <si>
    <t>Operating Income by Segment</t>
  </si>
  <si>
    <t>% of Sales</t>
  </si>
  <si>
    <t>Notes:</t>
  </si>
  <si>
    <t>Segments were reorganized in FY25, Metrics before 2023 may be unreliable</t>
  </si>
  <si>
    <t>United States</t>
  </si>
  <si>
    <t>Other Countries</t>
  </si>
  <si>
    <t>Revenue Segments by Country</t>
  </si>
  <si>
    <t>Billings</t>
  </si>
  <si>
    <t>Azure Revenue YoY Growth %</t>
  </si>
  <si>
    <t>Azure Constant Currency Revenue Yoy Growth %</t>
  </si>
  <si>
    <t>Capex Including Finance Leases</t>
  </si>
  <si>
    <t>Total Commercial RPO</t>
  </si>
  <si>
    <t>Total Sales</t>
  </si>
  <si>
    <t>Total Operating Income</t>
  </si>
  <si>
    <t>% of fcf</t>
  </si>
  <si>
    <t>P/E (LTM)</t>
  </si>
  <si>
    <t>EV/EBITDA (LTM)</t>
  </si>
  <si>
    <t>P/S (LTM)</t>
  </si>
  <si>
    <t>Financial Ratios</t>
  </si>
  <si>
    <t>P/E (NTM)</t>
  </si>
  <si>
    <t>Stock Based Compensation</t>
  </si>
  <si>
    <t>Recurring Revenue</t>
  </si>
  <si>
    <t>Non Recurring Revenue</t>
  </si>
  <si>
    <t>Recurring % of Revenue</t>
  </si>
  <si>
    <t>OpenAI Profit Share (Loss)</t>
  </si>
  <si>
    <t>META</t>
  </si>
  <si>
    <t>Monthly Active Users</t>
  </si>
  <si>
    <t>Daily Active Users</t>
  </si>
  <si>
    <t>ARPU</t>
  </si>
  <si>
    <t>Mark Zuckerberg</t>
  </si>
  <si>
    <t>Internet Content &amp; Information</t>
  </si>
  <si>
    <t>Menlo Park, California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</si>
</sst>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1" formatCode="_(* #,##0_);_(* \(#,##0\);_(* &quot;-&quot;_);_(@_)"/>
    <numFmt numFmtId="43" formatCode="_(* #,##0.00_);_(* \(#,##0.00\);_(* &quot;-&quot;??_);_(@_)"/>
    <numFmt numFmtId="164" formatCode="&quot;$&quot;#,##0.00"/>
    <numFmt numFmtId="165" formatCode="&quot;$&quot;#,##0"/>
  </numFmts>
  <fonts count="9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color theme="5" tint="-0.249977111117893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4" fillId="0" borderId="0" xfId="0" applyFont="1"/>
    <xf numFmtId="0" fontId="5" fillId="0" borderId="0" xfId="0" applyFont="1"/>
    <xf numFmtId="0" fontId="2" fillId="0" borderId="1" xfId="0" applyFont="1" applyBorder="1"/>
    <xf numFmtId="164" fontId="6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1" xfId="0" applyNumberFormat="1" applyFont="1" applyBorder="1"/>
    <xf numFmtId="10" fontId="2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41" fontId="2" fillId="0" borderId="0" xfId="0" applyNumberFormat="1" applyFont="1"/>
    <xf numFmtId="9" fontId="5" fillId="0" borderId="0" xfId="1" applyFont="1"/>
    <xf numFmtId="10" fontId="2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1" xfId="0" applyFont="1" applyBorder="1"/>
    <xf numFmtId="165" fontId="2" fillId="0" borderId="0" xfId="0" applyNumberFormat="1" applyFont="1" applyAlignment="1">
      <alignment horizontal="center" vertical="center"/>
    </xf>
    <xf numFmtId="43" fontId="2" fillId="0" borderId="0" xfId="0" applyNumberFormat="1" applyFont="1"/>
    <xf numFmtId="0" fontId="2" fillId="0" borderId="0" xfId="0" quotePrefix="1" applyFont="1"/>
    <xf numFmtId="0" fontId="2" fillId="3" borderId="0" xfId="0" applyFont="1" applyFill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3" fontId="8" fillId="0" borderId="0" xfId="0" applyNumberFormat="1" applyFont="1"/>
    <xf numFmtId="3" fontId="4" fillId="0" borderId="0" xfId="0" applyNumberFormat="1" applyFont="1"/>
    <xf numFmtId="4" fontId="2" fillId="0" borderId="0" xfId="0" applyNumberFormat="1" applyFont="1"/>
    <xf numFmtId="8" fontId="2" fillId="0" borderId="0" xfId="0" applyNumberFormat="1" applyFont="1"/>
    <xf numFmtId="3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3" fontId="2" fillId="0" borderId="2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44336"/>
      <color rgb="FF00A1F1"/>
      <color rgb="FFFFC107"/>
      <color rgb="FF4CAF50"/>
      <color rgb="FF2196F3"/>
      <color rgb="FFF65314"/>
      <color rgb="FFF25022"/>
      <color rgb="FF7CBB00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2</xdr:col>
      <xdr:colOff>304800</xdr:colOff>
      <xdr:row>2</xdr:row>
      <xdr:rowOff>103990</xdr:rowOff>
    </xdr:to>
    <xdr:sp macro="" textlink="">
      <xdr:nvSpPr>
        <xdr:cNvPr id="1025" name="AutoShape 1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5FC3D2D1-38EB-BCCB-8044-D022D4FC59F3}"/>
            </a:ext>
          </a:extLst>
        </xdr:cNvPr>
        <xdr:cNvSpPr>
          <a:spLocks noChangeAspect="1" noChangeArrowheads="1"/>
        </xdr:cNvSpPr>
      </xdr:nvSpPr>
      <xdr:spPr bwMode="auto">
        <a:xfrm>
          <a:off x="132588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36</xdr:row>
      <xdr:rowOff>0</xdr:rowOff>
    </xdr:from>
    <xdr:to>
      <xdr:col>19</xdr:col>
      <xdr:colOff>304800</xdr:colOff>
      <xdr:row>37</xdr:row>
      <xdr:rowOff>121919</xdr:rowOff>
    </xdr:to>
    <xdr:sp macro="" textlink="">
      <xdr:nvSpPr>
        <xdr:cNvPr id="1028" name="AutoShape 4" descr="Microsoft Logo PNG Vector (EPS) Free Download">
          <a:extLst>
            <a:ext uri="{FF2B5EF4-FFF2-40B4-BE49-F238E27FC236}">
              <a16:creationId xmlns:a16="http://schemas.microsoft.com/office/drawing/2014/main" id="{ABBD38CA-2D10-A584-BCE7-0C6FD0BE426D}"/>
            </a:ext>
          </a:extLst>
        </xdr:cNvPr>
        <xdr:cNvSpPr>
          <a:spLocks noChangeAspect="1" noChangeArrowheads="1"/>
        </xdr:cNvSpPr>
      </xdr:nvSpPr>
      <xdr:spPr bwMode="auto">
        <a:xfrm>
          <a:off x="1290066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12964</xdr:colOff>
      <xdr:row>0</xdr:row>
      <xdr:rowOff>32018</xdr:rowOff>
    </xdr:from>
    <xdr:to>
      <xdr:col>3</xdr:col>
      <xdr:colOff>435684</xdr:colOff>
      <xdr:row>3</xdr:row>
      <xdr:rowOff>16585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BBDF12A-BBF6-C882-EFAE-275F34C34F4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22667" b="22667"/>
        <a:stretch>
          <a:fillRect/>
        </a:stretch>
      </xdr:blipFill>
      <xdr:spPr>
        <a:xfrm>
          <a:off x="675904" y="32018"/>
          <a:ext cx="1748600" cy="548447"/>
        </a:xfrm>
        <a:prstGeom prst="rect">
          <a:avLst/>
        </a:prstGeom>
      </xdr:spPr>
    </xdr:pic>
    <xdr:clientData/>
  </xdr:twoCellAnchor>
  <xdr:oneCellAnchor>
    <xdr:from>
      <xdr:col>19</xdr:col>
      <xdr:colOff>0</xdr:colOff>
      <xdr:row>30</xdr:row>
      <xdr:rowOff>0</xdr:rowOff>
    </xdr:from>
    <xdr:ext cx="304800" cy="307450"/>
    <xdr:sp macro="" textlink="">
      <xdr:nvSpPr>
        <xdr:cNvPr id="8" name="AutoShape 4" descr="Microsoft Logo PNG Vector (EPS) Free Download">
          <a:extLst>
            <a:ext uri="{FF2B5EF4-FFF2-40B4-BE49-F238E27FC236}">
              <a16:creationId xmlns:a16="http://schemas.microsoft.com/office/drawing/2014/main" id="{6FA6B343-2ACA-4CD3-B35E-0E401E86DAD8}"/>
            </a:ext>
          </a:extLst>
        </xdr:cNvPr>
        <xdr:cNvSpPr>
          <a:spLocks noChangeAspect="1" noChangeArrowheads="1"/>
        </xdr:cNvSpPr>
      </xdr:nvSpPr>
      <xdr:spPr bwMode="auto">
        <a:xfrm>
          <a:off x="12934122" y="6195391"/>
          <a:ext cx="304800" cy="307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19</xdr:col>
      <xdr:colOff>0</xdr:colOff>
      <xdr:row>33</xdr:row>
      <xdr:rowOff>0</xdr:rowOff>
    </xdr:from>
    <xdr:ext cx="304800" cy="307450"/>
    <xdr:sp macro="" textlink="">
      <xdr:nvSpPr>
        <xdr:cNvPr id="9" name="AutoShape 4" descr="Microsoft Logo PNG Vector (EPS) Free Download">
          <a:extLst>
            <a:ext uri="{FF2B5EF4-FFF2-40B4-BE49-F238E27FC236}">
              <a16:creationId xmlns:a16="http://schemas.microsoft.com/office/drawing/2014/main" id="{60FAE949-BC8C-4680-841F-42993A3BEC53}"/>
            </a:ext>
          </a:extLst>
        </xdr:cNvPr>
        <xdr:cNvSpPr>
          <a:spLocks noChangeAspect="1" noChangeArrowheads="1"/>
        </xdr:cNvSpPr>
      </xdr:nvSpPr>
      <xdr:spPr bwMode="auto">
        <a:xfrm>
          <a:off x="12934122" y="6195391"/>
          <a:ext cx="304800" cy="307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Kerem Odabasi" id="{F4B24668-1B18-43C7-A98C-6E4C7C705157}" userId="fe4885f5b5840770" providerId="Windows Live"/>
</personList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49" dT="2026-01-03T08:36:22.51" personId="{F4B24668-1B18-43C7-A98C-6E4C7C705157}" id="{0AEE88EF-F5A5-4222-8D90-AB39EF908C53}">
    <text>Q1 2026
Expected to recognize 40% over NTM</text>
  </threadedComment>
  <threadedComment ref="L50" dT="2026-01-03T08:44:52.88" personId="{F4B24668-1B18-43C7-A98C-6E4C7C705157}" id="{6E9EEE48-010B-419D-88AA-8E2878DCB24F}">
    <text>SemiAnalysis expects growth over 40%. Up to 53% in December 2026
Q1 2026 Growth: %40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B2:X105"/>
  <sheetViews>
    <sheetView showGridLines="0" tabSelected="1" topLeftCell="E1" zoomScale="115" zoomScaleNormal="115" workbookViewId="0">
      <selection activeCell="P17" sqref="P17"/>
    </sheetView>
  </sheetViews>
  <sheetFormatPr defaultColWidth="8.69921875" defaultRowHeight="14.4" customHeight="1" x14ac:dyDescent="0.3"/>
  <cols>
    <col min="1" max="3" width="8.69921875" style="1"/>
    <col min="4" max="4" width="11.5" style="1" bestFit="1" customWidth="1"/>
    <col min="5" max="5" width="9.8984375" style="1" bestFit="1" customWidth="1"/>
    <col min="6" max="7" width="8.69921875" style="1"/>
    <col min="8" max="8" width="9" style="1" bestFit="1" customWidth="1"/>
    <col min="9" max="15" width="8.69921875" style="1"/>
    <col min="16" max="16" width="8.8984375" style="1" bestFit="1" customWidth="1"/>
    <col min="17" max="17" width="10.3984375" style="1" bestFit="1" customWidth="1"/>
    <col min="18" max="21" width="8.69921875" style="1"/>
    <col min="22" max="22" width="10.796875" style="1" bestFit="1" customWidth="1"/>
    <col min="23" max="23" width="8.69921875" style="1"/>
    <col min="24" max="24" width="11.796875" style="1" bestFit="1" customWidth="1"/>
    <col min="25" max="16384" width="8.69921875" style="1"/>
  </cols>
  <sheetData>
    <row r="2" spans="2:24" ht="15.6" x14ac:dyDescent="0.3">
      <c r="B2"/>
      <c r="C2"/>
      <c r="R2" s="5" t="s">
        <v>50</v>
      </c>
    </row>
    <row r="3" spans="2:24" x14ac:dyDescent="0.3">
      <c r="B3" s="5"/>
    </row>
    <row r="4" spans="2:24" ht="14.4" customHeight="1" x14ac:dyDescent="0.3">
      <c r="B4" s="2" t="s">
        <v>53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2:24" s="23" customFormat="1" ht="1.95" customHeight="1" x14ac:dyDescent="0.3"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  <c r="M5" s="25"/>
      <c r="N5" s="25"/>
      <c r="O5" s="25"/>
      <c r="P5" s="25"/>
    </row>
    <row r="6" spans="2:24" ht="14.4" customHeight="1" x14ac:dyDescent="0.3">
      <c r="B6" s="16" t="s">
        <v>54</v>
      </c>
      <c r="C6" s="6"/>
      <c r="D6" s="6"/>
      <c r="E6" s="6"/>
      <c r="G6" s="16" t="s">
        <v>55</v>
      </c>
      <c r="H6" s="6"/>
      <c r="I6" s="6"/>
      <c r="J6" s="6"/>
      <c r="K6" s="6"/>
      <c r="M6" s="19" t="s">
        <v>45</v>
      </c>
      <c r="N6" s="19"/>
      <c r="O6" s="19"/>
      <c r="P6" s="6"/>
      <c r="R6" s="19" t="s">
        <v>44</v>
      </c>
      <c r="S6" s="19"/>
      <c r="T6" s="19"/>
      <c r="U6" s="6"/>
    </row>
    <row r="7" spans="2:24" ht="14.4" customHeight="1" x14ac:dyDescent="0.3">
      <c r="B7" s="1" t="s">
        <v>0</v>
      </c>
      <c r="E7" s="17" t="s">
        <v>108</v>
      </c>
      <c r="G7" s="1" t="s">
        <v>56</v>
      </c>
      <c r="I7" s="30">
        <v>78450</v>
      </c>
      <c r="J7" s="30"/>
      <c r="K7" s="30"/>
      <c r="M7" s="1" t="s">
        <v>46</v>
      </c>
      <c r="P7" s="8">
        <f>SUM(I97:N97)</f>
        <v>202961.30489800117</v>
      </c>
      <c r="R7" s="1" t="s">
        <v>34</v>
      </c>
      <c r="U7" s="10">
        <v>9.8799999999999999E-2</v>
      </c>
    </row>
    <row r="8" spans="2:24" ht="14.4" customHeight="1" x14ac:dyDescent="0.3">
      <c r="B8" s="1" t="s">
        <v>1</v>
      </c>
      <c r="E8" s="20">
        <f>P12/P11</f>
        <v>765.86325797510392</v>
      </c>
      <c r="G8" s="1" t="s">
        <v>57</v>
      </c>
      <c r="I8" s="34">
        <v>2004</v>
      </c>
      <c r="J8" s="34"/>
      <c r="K8" s="34"/>
      <c r="M8" s="1" t="s">
        <v>47</v>
      </c>
      <c r="P8" s="8">
        <f>N51*U8</f>
        <v>2837230.9711144376</v>
      </c>
      <c r="R8" s="1" t="s">
        <v>51</v>
      </c>
      <c r="U8" s="8">
        <v>20</v>
      </c>
      <c r="X8" s="21"/>
    </row>
    <row r="9" spans="2:24" ht="14.4" customHeight="1" x14ac:dyDescent="0.3">
      <c r="B9" s="1" t="s">
        <v>2</v>
      </c>
      <c r="E9" s="20">
        <v>660.62</v>
      </c>
      <c r="G9" s="1" t="s">
        <v>58</v>
      </c>
      <c r="I9" s="34" t="s">
        <v>112</v>
      </c>
      <c r="J9" s="34"/>
      <c r="K9" s="34"/>
      <c r="M9" s="1" t="s">
        <v>52</v>
      </c>
      <c r="P9" s="8">
        <f>P8/(1+U7)^5</f>
        <v>1771337.994613966</v>
      </c>
      <c r="U9" s="8"/>
    </row>
    <row r="10" spans="2:24" ht="14.4" customHeight="1" x14ac:dyDescent="0.3">
      <c r="B10" s="1" t="s">
        <v>3</v>
      </c>
      <c r="E10" s="15">
        <f>E8/E9-1</f>
        <v>0.159309827094402</v>
      </c>
      <c r="G10" s="1" t="s">
        <v>59</v>
      </c>
      <c r="I10" s="34" t="s">
        <v>114</v>
      </c>
      <c r="J10" s="34"/>
      <c r="K10" s="34"/>
      <c r="M10" s="1" t="s">
        <v>32</v>
      </c>
      <c r="P10" s="8">
        <f>-44448+28834+20113</f>
        <v>4499</v>
      </c>
      <c r="R10" s="19" t="s">
        <v>34</v>
      </c>
      <c r="S10" s="19"/>
      <c r="T10" s="19"/>
      <c r="U10" s="8"/>
      <c r="V10" s="8"/>
    </row>
    <row r="11" spans="2:24" ht="14.4" customHeight="1" x14ac:dyDescent="0.3">
      <c r="G11" s="1" t="s">
        <v>60</v>
      </c>
      <c r="I11" s="34" t="s">
        <v>113</v>
      </c>
      <c r="J11" s="34"/>
      <c r="K11" s="34"/>
      <c r="M11" s="1" t="s">
        <v>48</v>
      </c>
      <c r="P11" s="8">
        <v>2572</v>
      </c>
      <c r="R11" s="1" t="s">
        <v>27</v>
      </c>
      <c r="T11" s="32"/>
      <c r="U11" s="32"/>
    </row>
    <row r="12" spans="2:24" ht="14.4" customHeight="1" x14ac:dyDescent="0.3">
      <c r="B12" s="1" t="s">
        <v>66</v>
      </c>
      <c r="E12" s="18">
        <v>46028</v>
      </c>
      <c r="G12" s="1" t="s">
        <v>61</v>
      </c>
      <c r="I12" s="31">
        <v>46022</v>
      </c>
      <c r="J12" s="31"/>
      <c r="K12" s="31"/>
      <c r="M12" s="1" t="s">
        <v>49</v>
      </c>
      <c r="P12" s="8">
        <f>P9+P7-P10</f>
        <v>1969800.2995119672</v>
      </c>
      <c r="R12" s="1" t="s">
        <v>35</v>
      </c>
      <c r="U12" s="10"/>
    </row>
    <row r="13" spans="2:24" ht="14.4" customHeight="1" x14ac:dyDescent="0.3">
      <c r="I13" s="10"/>
      <c r="P13" s="8"/>
      <c r="R13" s="1" t="s">
        <v>36</v>
      </c>
      <c r="U13" s="10"/>
    </row>
    <row r="14" spans="2:24" ht="14.4" customHeight="1" x14ac:dyDescent="0.3">
      <c r="R14" s="1" t="s">
        <v>37</v>
      </c>
      <c r="U14" s="10"/>
    </row>
    <row r="15" spans="2:24" ht="14.4" customHeight="1" x14ac:dyDescent="0.3">
      <c r="B15" s="2" t="s">
        <v>25</v>
      </c>
      <c r="C15" s="2"/>
      <c r="D15" s="2"/>
      <c r="E15" s="2">
        <v>2021</v>
      </c>
      <c r="F15" s="2">
        <f>E15+1</f>
        <v>2022</v>
      </c>
      <c r="G15" s="2">
        <f>F15+1</f>
        <v>2023</v>
      </c>
      <c r="H15" s="2">
        <f>G15+1</f>
        <v>2024</v>
      </c>
      <c r="I15" s="2">
        <f>H15+1</f>
        <v>2025</v>
      </c>
      <c r="J15" s="3" t="s">
        <v>5</v>
      </c>
      <c r="K15" s="3" t="s">
        <v>6</v>
      </c>
      <c r="M15" s="19" t="s">
        <v>101</v>
      </c>
      <c r="N15" s="19"/>
      <c r="O15" s="19"/>
      <c r="P15" s="6"/>
      <c r="R15" s="1" t="s">
        <v>38</v>
      </c>
    </row>
    <row r="16" spans="2:24" s="23" customFormat="1" ht="1.95" customHeight="1" x14ac:dyDescent="0.3"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1"/>
      <c r="M16" s="1" t="s">
        <v>46</v>
      </c>
      <c r="N16" s="1"/>
      <c r="O16" s="1"/>
      <c r="P16" s="8">
        <f>SUM(J106:N106)</f>
        <v>0</v>
      </c>
    </row>
    <row r="17" spans="2:21" ht="14.4" customHeight="1" x14ac:dyDescent="0.3">
      <c r="B17" s="1" t="s">
        <v>26</v>
      </c>
      <c r="E17" s="7"/>
      <c r="F17" s="7"/>
      <c r="G17" s="7"/>
      <c r="H17" s="7"/>
      <c r="I17" s="7"/>
      <c r="J17" s="7"/>
      <c r="K17" s="7"/>
      <c r="M17" s="1" t="s">
        <v>27</v>
      </c>
      <c r="P17" s="8"/>
      <c r="R17" s="1" t="s">
        <v>39</v>
      </c>
      <c r="U17" s="10"/>
    </row>
    <row r="18" spans="2:21" ht="14.4" customHeight="1" x14ac:dyDescent="0.3">
      <c r="B18" s="1" t="s">
        <v>31</v>
      </c>
      <c r="E18" s="12"/>
      <c r="F18" s="12"/>
      <c r="G18" s="12"/>
      <c r="H18" s="12"/>
      <c r="I18" s="12"/>
      <c r="J18" s="12"/>
      <c r="K18" s="12"/>
      <c r="M18" s="1" t="s">
        <v>30</v>
      </c>
      <c r="P18" s="8"/>
      <c r="R18" s="1" t="s">
        <v>29</v>
      </c>
      <c r="U18" s="8"/>
    </row>
    <row r="19" spans="2:21" ht="14.4" customHeight="1" x14ac:dyDescent="0.3">
      <c r="M19" s="1" t="s">
        <v>98</v>
      </c>
      <c r="P19" s="28"/>
      <c r="R19" s="1" t="s">
        <v>40</v>
      </c>
      <c r="U19" s="10"/>
    </row>
    <row r="20" spans="2:21" ht="14.4" customHeight="1" x14ac:dyDescent="0.3">
      <c r="B20" s="1" t="s">
        <v>27</v>
      </c>
      <c r="E20" s="8"/>
      <c r="F20" s="8"/>
      <c r="G20" s="8"/>
      <c r="H20" s="8"/>
      <c r="I20" s="8"/>
      <c r="J20" s="8"/>
      <c r="K20" s="8"/>
      <c r="M20" s="1" t="s">
        <v>102</v>
      </c>
      <c r="P20" s="28"/>
      <c r="R20" s="1" t="s">
        <v>41</v>
      </c>
      <c r="U20" s="10"/>
    </row>
    <row r="21" spans="2:21" ht="14.4" customHeight="1" x14ac:dyDescent="0.3">
      <c r="B21" s="1" t="s">
        <v>28</v>
      </c>
      <c r="E21" s="12"/>
      <c r="F21" s="12"/>
      <c r="G21" s="12"/>
      <c r="H21" s="12"/>
      <c r="I21" s="12"/>
      <c r="J21" s="12"/>
      <c r="K21" s="12"/>
      <c r="M21" s="1" t="s">
        <v>100</v>
      </c>
      <c r="P21" s="28"/>
      <c r="R21" s="1" t="s">
        <v>42</v>
      </c>
      <c r="U21" s="10"/>
    </row>
    <row r="22" spans="2:21" ht="14.4" customHeight="1" x14ac:dyDescent="0.3">
      <c r="B22" s="6" t="s">
        <v>29</v>
      </c>
      <c r="C22" s="6"/>
      <c r="D22" s="6"/>
      <c r="E22" s="9"/>
      <c r="F22" s="9"/>
      <c r="G22" s="9"/>
      <c r="H22" s="9"/>
      <c r="I22" s="9"/>
      <c r="J22" s="9"/>
      <c r="K22" s="9"/>
      <c r="M22" s="1" t="s">
        <v>99</v>
      </c>
      <c r="P22" s="28"/>
      <c r="R22" s="6" t="s">
        <v>43</v>
      </c>
      <c r="S22" s="6"/>
      <c r="T22" s="33"/>
      <c r="U22" s="33"/>
    </row>
    <row r="23" spans="2:21" ht="14.4" customHeight="1" x14ac:dyDescent="0.3">
      <c r="B23" s="1" t="s">
        <v>30</v>
      </c>
      <c r="E23" s="8"/>
      <c r="F23" s="8"/>
      <c r="G23" s="8"/>
      <c r="H23" s="8"/>
      <c r="I23" s="8"/>
      <c r="J23" s="8"/>
      <c r="K23" s="8"/>
      <c r="R23" s="1" t="s">
        <v>34</v>
      </c>
      <c r="U23" s="10"/>
    </row>
    <row r="25" spans="2:21" ht="14.4" customHeight="1" x14ac:dyDescent="0.3">
      <c r="B25" s="2" t="s">
        <v>4</v>
      </c>
      <c r="C25" s="2"/>
      <c r="D25" s="2"/>
      <c r="E25" s="2">
        <v>2021</v>
      </c>
      <c r="F25" s="2">
        <f>E25+1</f>
        <v>2022</v>
      </c>
      <c r="G25" s="2">
        <f>F25+1</f>
        <v>2023</v>
      </c>
      <c r="H25" s="2">
        <f>G25+1</f>
        <v>2024</v>
      </c>
      <c r="I25" s="2">
        <f>H25+1</f>
        <v>2025</v>
      </c>
      <c r="J25" s="3" t="s">
        <v>5</v>
      </c>
      <c r="K25" s="3" t="s">
        <v>6</v>
      </c>
      <c r="L25" s="3" t="s">
        <v>7</v>
      </c>
      <c r="M25" s="3" t="s">
        <v>8</v>
      </c>
      <c r="N25" s="3" t="s">
        <v>9</v>
      </c>
    </row>
    <row r="26" spans="2:21" s="23" customFormat="1" ht="1.95" customHeight="1" x14ac:dyDescent="0.3"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5"/>
      <c r="M26" s="25"/>
      <c r="N26" s="25"/>
      <c r="O26" s="25"/>
      <c r="P26" s="25"/>
    </row>
    <row r="27" spans="2:21" ht="14.4" customHeight="1" x14ac:dyDescent="0.3">
      <c r="B27" s="1" t="s">
        <v>109</v>
      </c>
      <c r="E27" s="12">
        <v>2912</v>
      </c>
      <c r="F27" s="12">
        <v>2963</v>
      </c>
      <c r="G27" s="12">
        <v>3065</v>
      </c>
      <c r="H27" s="12">
        <v>3139</v>
      </c>
      <c r="I27" s="8">
        <f>H27*1.0268</f>
        <v>3223.1251999999999</v>
      </c>
      <c r="J27" s="8">
        <f>I27*1.023</f>
        <v>3297.2570795999995</v>
      </c>
      <c r="K27" s="8">
        <f>J27*1.019</f>
        <v>3359.9049641123993</v>
      </c>
      <c r="L27" s="8">
        <f>K27*1.018</f>
        <v>3420.3832534664225</v>
      </c>
      <c r="M27" s="8">
        <f>L27*1.016</f>
        <v>3475.1093855218851</v>
      </c>
      <c r="N27" s="8">
        <f>M27*1.014</f>
        <v>3523.7609169191915</v>
      </c>
    </row>
    <row r="28" spans="2:21" ht="14.4" customHeight="1" x14ac:dyDescent="0.3">
      <c r="B28" s="5" t="s">
        <v>11</v>
      </c>
      <c r="C28" s="5"/>
      <c r="D28" s="5"/>
      <c r="E28" s="11">
        <f>(E27-2797)/2797</f>
        <v>4.1115480872363247E-2</v>
      </c>
      <c r="F28" s="11">
        <f>(F27-E27)/E27</f>
        <v>1.7513736263736264E-2</v>
      </c>
      <c r="G28" s="11">
        <f t="shared" ref="G28:K28" si="0">(G27-F27)/F27</f>
        <v>3.442456969287884E-2</v>
      </c>
      <c r="H28" s="11">
        <f t="shared" si="0"/>
        <v>2.4143556280587276E-2</v>
      </c>
      <c r="I28" s="11">
        <f t="shared" si="0"/>
        <v>2.6799999999999984E-2</v>
      </c>
      <c r="J28" s="11">
        <f t="shared" si="0"/>
        <v>2.2999999999999875E-2</v>
      </c>
      <c r="K28" s="11">
        <f t="shared" si="0"/>
        <v>1.8999999999999923E-2</v>
      </c>
      <c r="L28" s="11">
        <f t="shared" ref="L28" si="1">(L27-K27)/K27</f>
        <v>1.8000000000000009E-2</v>
      </c>
      <c r="M28" s="11">
        <f t="shared" ref="M28" si="2">(M27-L27)/L27</f>
        <v>1.5999999999999948E-2</v>
      </c>
      <c r="N28" s="11">
        <f t="shared" ref="N28" si="3">(N27-M27)/M27</f>
        <v>1.3999999999999995E-2</v>
      </c>
      <c r="T28"/>
    </row>
    <row r="29" spans="2:21" ht="14.4" customHeight="1" x14ac:dyDescent="0.3">
      <c r="E29" s="12"/>
      <c r="F29" s="12"/>
      <c r="G29" s="12"/>
      <c r="H29" s="12"/>
      <c r="I29" s="12"/>
      <c r="J29" s="26"/>
      <c r="K29" s="26"/>
      <c r="L29" s="26"/>
      <c r="M29" s="8"/>
      <c r="N29" s="8"/>
    </row>
    <row r="30" spans="2:21" ht="14.4" customHeight="1" x14ac:dyDescent="0.3">
      <c r="B30" s="1" t="s">
        <v>110</v>
      </c>
      <c r="E30" s="12">
        <v>1929</v>
      </c>
      <c r="F30" s="12">
        <v>2000</v>
      </c>
      <c r="G30" s="12">
        <v>2110</v>
      </c>
      <c r="H30" s="12">
        <v>2156</v>
      </c>
      <c r="I30" s="8">
        <v>2192.5500000000002</v>
      </c>
      <c r="J30" s="8">
        <f>I30*1.03</f>
        <v>2258.3265000000001</v>
      </c>
      <c r="K30" s="8">
        <f>J30*1.02</f>
        <v>2303.4930300000001</v>
      </c>
      <c r="L30" s="26"/>
      <c r="M30" s="8"/>
      <c r="N30" s="8"/>
    </row>
    <row r="31" spans="2:21" ht="14.4" customHeight="1" x14ac:dyDescent="0.3">
      <c r="B31" s="5" t="s">
        <v>11</v>
      </c>
      <c r="C31" s="5"/>
      <c r="D31" s="5"/>
      <c r="E31" s="11">
        <f>(E30-1845)/1845</f>
        <v>4.5528455284552849E-2</v>
      </c>
      <c r="F31" s="11">
        <f>(F30-E30)/E30</f>
        <v>3.6806635562467598E-2</v>
      </c>
      <c r="G31" s="11">
        <f>(G30-F30)/F30</f>
        <v>5.5E-2</v>
      </c>
      <c r="H31" s="11">
        <f>(H30-G30)/G30</f>
        <v>2.1800947867298578E-2</v>
      </c>
      <c r="I31" s="11">
        <f>(I30-H30)/H30</f>
        <v>1.6952690166975967E-2</v>
      </c>
      <c r="J31" s="11">
        <f>(J30-I30)/I30</f>
        <v>2.9999999999999971E-2</v>
      </c>
      <c r="K31" s="11">
        <f t="shared" ref="K31" si="4">(K30-J30)/J30</f>
        <v>1.9999999999999983E-2</v>
      </c>
      <c r="L31" s="11"/>
      <c r="M31" s="11"/>
      <c r="N31" s="11"/>
      <c r="T31"/>
    </row>
    <row r="32" spans="2:21" ht="14.4" customHeight="1" x14ac:dyDescent="0.3">
      <c r="E32" s="12"/>
      <c r="F32" s="12"/>
      <c r="G32" s="12"/>
      <c r="H32" s="12"/>
      <c r="I32" s="12"/>
      <c r="J32" s="26"/>
      <c r="K32" s="26"/>
      <c r="L32" s="26"/>
      <c r="M32" s="8"/>
      <c r="N32" s="8"/>
    </row>
    <row r="33" spans="2:20" ht="14.4" customHeight="1" x14ac:dyDescent="0.3">
      <c r="B33" s="1" t="s">
        <v>111</v>
      </c>
      <c r="E33" s="12">
        <f t="shared" ref="E33:H33" si="5">E36/E27</f>
        <v>40.497596153846153</v>
      </c>
      <c r="F33" s="12">
        <f t="shared" si="5"/>
        <v>39.355045561930474</v>
      </c>
      <c r="G33" s="12">
        <f t="shared" si="5"/>
        <v>44.0137030995106</v>
      </c>
      <c r="H33" s="12">
        <f t="shared" si="5"/>
        <v>52.405543166613569</v>
      </c>
      <c r="I33" s="8">
        <f>H33*1.18</f>
        <v>61.838540936604005</v>
      </c>
      <c r="J33" s="8">
        <f>I33*(1+I34-0.02)</f>
        <v>71.73270748646064</v>
      </c>
      <c r="K33" s="8">
        <f t="shared" ref="K33:N33" si="6">J33*(1+J34-0.02)</f>
        <v>81.775286534565126</v>
      </c>
      <c r="L33" s="8">
        <f t="shared" si="6"/>
        <v>91.588320918712938</v>
      </c>
      <c r="M33" s="8">
        <f t="shared" si="6"/>
        <v>100.74715301058421</v>
      </c>
      <c r="N33" s="8">
        <f t="shared" si="6"/>
        <v>108.80692525143094</v>
      </c>
    </row>
    <row r="34" spans="2:20" ht="14.4" customHeight="1" x14ac:dyDescent="0.3">
      <c r="B34" s="5" t="s">
        <v>11</v>
      </c>
      <c r="C34" s="5"/>
      <c r="D34" s="5"/>
      <c r="E34" s="11">
        <f>(E33-32.14)/32.14</f>
        <v>0.26003721698338994</v>
      </c>
      <c r="F34" s="11">
        <f>(F33-E33)/E33</f>
        <v>-2.8212800275237284E-2</v>
      </c>
      <c r="G34" s="11">
        <f>(G33-F33)/F33</f>
        <v>0.11837510212633599</v>
      </c>
      <c r="H34" s="11">
        <f>(H33-G33)/G33</f>
        <v>0.19066425854079702</v>
      </c>
      <c r="I34" s="11">
        <f>(I33-H33)/H33</f>
        <v>0.17999999999999988</v>
      </c>
      <c r="J34" s="11">
        <f>(J33-I33)/I33</f>
        <v>0.15999999999999992</v>
      </c>
      <c r="K34" s="11">
        <f t="shared" ref="K34:N34" si="7">(K33-J33)/J33</f>
        <v>0.13999999999999996</v>
      </c>
      <c r="L34" s="11">
        <f t="shared" si="7"/>
        <v>0.11999999999999997</v>
      </c>
      <c r="M34" s="11">
        <f t="shared" si="7"/>
        <v>9.9999999999999797E-2</v>
      </c>
      <c r="N34" s="11">
        <f t="shared" si="7"/>
        <v>7.9999999999999891E-2</v>
      </c>
      <c r="T34"/>
    </row>
    <row r="35" spans="2:20" ht="14.4" customHeight="1" x14ac:dyDescent="0.3">
      <c r="E35" s="12"/>
      <c r="F35" s="12"/>
      <c r="G35" s="12"/>
      <c r="H35" s="12"/>
      <c r="I35" s="12"/>
      <c r="J35" s="26"/>
      <c r="K35" s="26"/>
      <c r="L35" s="26"/>
      <c r="M35" s="8"/>
      <c r="N35" s="8"/>
    </row>
    <row r="36" spans="2:20" ht="14.4" customHeight="1" x14ac:dyDescent="0.3">
      <c r="B36" s="1" t="s">
        <v>10</v>
      </c>
      <c r="E36" s="12">
        <v>117929</v>
      </c>
      <c r="F36" s="12">
        <v>116609</v>
      </c>
      <c r="G36" s="12">
        <v>134902</v>
      </c>
      <c r="H36" s="12">
        <v>164501</v>
      </c>
      <c r="I36" s="8">
        <f>I27*I33</f>
        <v>199313.35962399998</v>
      </c>
      <c r="J36" s="8">
        <f t="shared" ref="J36:N36" si="8">J27*J33</f>
        <v>236521.17759860822</v>
      </c>
      <c r="K36" s="8">
        <f t="shared" si="8"/>
        <v>274757.19116919918</v>
      </c>
      <c r="L36" s="8">
        <f t="shared" si="8"/>
        <v>313267.15908347414</v>
      </c>
      <c r="M36" s="8">
        <f t="shared" si="8"/>
        <v>350107.37699169066</v>
      </c>
      <c r="N36" s="8">
        <f t="shared" si="8"/>
        <v>383409.59069114021</v>
      </c>
    </row>
    <row r="37" spans="2:20" ht="14.4" customHeight="1" x14ac:dyDescent="0.3">
      <c r="B37" s="5" t="s">
        <v>11</v>
      </c>
      <c r="C37" s="5"/>
      <c r="D37" s="5"/>
      <c r="E37" s="11">
        <f>(E36-85965)/85965</f>
        <v>0.37182574303495608</v>
      </c>
      <c r="F37" s="11">
        <f>(F36-E36)/E36</f>
        <v>-1.1193175554782962E-2</v>
      </c>
      <c r="G37" s="11">
        <f>(G36-F36)/F36</f>
        <v>0.15687468377226457</v>
      </c>
      <c r="H37" s="11">
        <f>(H36-G36)/G36</f>
        <v>0.21941112807816043</v>
      </c>
      <c r="I37" s="11">
        <f>(I36-H36)/H36</f>
        <v>0.21162399999999984</v>
      </c>
      <c r="J37" s="11">
        <f>(J36-I36)/I36</f>
        <v>0.18667999999999965</v>
      </c>
      <c r="K37" s="11">
        <f t="shared" ref="K37" si="9">(K36-J36)/J36</f>
        <v>0.16165999999999983</v>
      </c>
      <c r="L37" s="11">
        <f t="shared" ref="L37" si="10">(L36-K36)/K36</f>
        <v>0.14015999999999998</v>
      </c>
      <c r="M37" s="11">
        <f t="shared" ref="M37" si="11">(M36-L36)/L36</f>
        <v>0.11759999999999989</v>
      </c>
      <c r="N37" s="11">
        <f t="shared" ref="N37" si="12">(N36-M36)/M36</f>
        <v>9.5119999999999816E-2</v>
      </c>
      <c r="T37"/>
    </row>
    <row r="38" spans="2:20" ht="14.4" customHeight="1" x14ac:dyDescent="0.3">
      <c r="B38" s="5"/>
      <c r="C38" s="5"/>
      <c r="D38" s="5"/>
      <c r="E38" s="11"/>
      <c r="F38" s="11"/>
      <c r="G38" s="11"/>
      <c r="H38" s="11"/>
      <c r="I38" s="11"/>
      <c r="J38" s="11"/>
      <c r="K38" s="11"/>
      <c r="L38" s="11"/>
      <c r="M38" s="11"/>
      <c r="N38" s="11"/>
      <c r="T38"/>
    </row>
    <row r="39" spans="2:20" ht="14.4" customHeight="1" x14ac:dyDescent="0.3">
      <c r="B39" s="1" t="s">
        <v>62</v>
      </c>
      <c r="E39" s="12">
        <v>22649</v>
      </c>
      <c r="F39" s="12">
        <v>25249</v>
      </c>
      <c r="G39" s="12">
        <v>25958</v>
      </c>
      <c r="H39" s="12">
        <v>30162</v>
      </c>
      <c r="I39" s="12">
        <v>36095.300000000003</v>
      </c>
      <c r="J39" s="8">
        <f>J36*0.198</f>
        <v>46831.193164524433</v>
      </c>
      <c r="K39" s="8">
        <f>K36*0.21</f>
        <v>57699.010145531829</v>
      </c>
      <c r="L39" s="8">
        <f>L36*0.225</f>
        <v>70485.110793781685</v>
      </c>
      <c r="M39" s="8">
        <f>M36*0.244</f>
        <v>85426.199985972518</v>
      </c>
      <c r="N39" s="8">
        <f>N36*0.25</f>
        <v>95852.397672785053</v>
      </c>
    </row>
    <row r="40" spans="2:20" ht="14.4" customHeight="1" x14ac:dyDescent="0.3">
      <c r="B40" s="5" t="s">
        <v>15</v>
      </c>
      <c r="E40" s="11">
        <f>E39/E36</f>
        <v>0.19205623722748433</v>
      </c>
      <c r="F40" s="11">
        <f t="shared" ref="F40:N40" si="13">F39/F36</f>
        <v>0.21652702621581524</v>
      </c>
      <c r="G40" s="11">
        <f t="shared" si="13"/>
        <v>0.1924211649938474</v>
      </c>
      <c r="H40" s="11">
        <f t="shared" si="13"/>
        <v>0.18335450848323109</v>
      </c>
      <c r="I40" s="11">
        <f t="shared" si="13"/>
        <v>0.18109824684152104</v>
      </c>
      <c r="J40" s="11">
        <f t="shared" si="13"/>
        <v>0.19800000000000001</v>
      </c>
      <c r="K40" s="11">
        <f t="shared" si="13"/>
        <v>0.21</v>
      </c>
      <c r="L40" s="11">
        <f t="shared" si="13"/>
        <v>0.22500000000000001</v>
      </c>
      <c r="M40" s="11">
        <f t="shared" si="13"/>
        <v>0.24399999999999999</v>
      </c>
      <c r="N40" s="11">
        <f t="shared" si="13"/>
        <v>0.25</v>
      </c>
    </row>
    <row r="42" spans="2:20" ht="14.4" customHeight="1" x14ac:dyDescent="0.3">
      <c r="B42" s="1" t="s">
        <v>63</v>
      </c>
      <c r="E42" s="8">
        <f>E36-E39</f>
        <v>95280</v>
      </c>
      <c r="F42" s="8">
        <f t="shared" ref="F42:N42" si="14">F36-F39</f>
        <v>91360</v>
      </c>
      <c r="G42" s="8">
        <f t="shared" si="14"/>
        <v>108944</v>
      </c>
      <c r="H42" s="8">
        <f t="shared" si="14"/>
        <v>134339</v>
      </c>
      <c r="I42" s="8">
        <f t="shared" si="14"/>
        <v>163218.05962399999</v>
      </c>
      <c r="J42" s="8">
        <f t="shared" si="14"/>
        <v>189689.9844340838</v>
      </c>
      <c r="K42" s="8">
        <f t="shared" si="14"/>
        <v>217058.18102366736</v>
      </c>
      <c r="L42" s="8">
        <f t="shared" si="14"/>
        <v>242782.04828969244</v>
      </c>
      <c r="M42" s="8">
        <f t="shared" si="14"/>
        <v>264681.17700571811</v>
      </c>
      <c r="N42" s="8">
        <f t="shared" si="14"/>
        <v>287557.19301835517</v>
      </c>
    </row>
    <row r="43" spans="2:20" ht="14.4" customHeight="1" x14ac:dyDescent="0.3">
      <c r="B43" s="5" t="s">
        <v>15</v>
      </c>
      <c r="E43" s="11">
        <f>E42/E36</f>
        <v>0.80794376277251567</v>
      </c>
      <c r="F43" s="11">
        <f t="shared" ref="F43:N43" si="15">F42/F36</f>
        <v>0.78347297378418479</v>
      </c>
      <c r="G43" s="11">
        <f t="shared" si="15"/>
        <v>0.80757883500615257</v>
      </c>
      <c r="H43" s="11">
        <f t="shared" si="15"/>
        <v>0.81664549151676891</v>
      </c>
      <c r="I43" s="11">
        <f t="shared" si="15"/>
        <v>0.81890175315847902</v>
      </c>
      <c r="J43" s="11">
        <f t="shared" si="15"/>
        <v>0.80200000000000005</v>
      </c>
      <c r="K43" s="11">
        <f t="shared" si="15"/>
        <v>0.79</v>
      </c>
      <c r="L43" s="11">
        <f t="shared" si="15"/>
        <v>0.77499999999999991</v>
      </c>
      <c r="M43" s="11">
        <f t="shared" si="15"/>
        <v>0.75599999999999989</v>
      </c>
      <c r="N43" s="11">
        <f t="shared" si="15"/>
        <v>0.75</v>
      </c>
    </row>
    <row r="45" spans="2:20" ht="14.4" customHeight="1" x14ac:dyDescent="0.3">
      <c r="B45" s="1" t="s">
        <v>64</v>
      </c>
      <c r="E45" s="12">
        <v>35459.5</v>
      </c>
      <c r="F45" s="12">
        <v>27078</v>
      </c>
      <c r="G45" s="12">
        <v>23709</v>
      </c>
      <c r="H45" s="12">
        <v>21086</v>
      </c>
      <c r="I45" s="12">
        <f>I36*0.12</f>
        <v>23917.603154879995</v>
      </c>
      <c r="J45" s="12">
        <f>J36*0.12</f>
        <v>28382.541311832985</v>
      </c>
      <c r="K45" s="12">
        <f>K36*0.115</f>
        <v>31597.076984457908</v>
      </c>
      <c r="L45" s="12">
        <f>L36*0.113</f>
        <v>35399.188976432575</v>
      </c>
      <c r="M45" s="8">
        <f>M36*0.112</f>
        <v>39212.026223069355</v>
      </c>
      <c r="N45" s="8">
        <f>N36*0.11</f>
        <v>42175.054976025422</v>
      </c>
    </row>
    <row r="46" spans="2:20" ht="14.4" customHeight="1" x14ac:dyDescent="0.3">
      <c r="B46" s="5" t="s">
        <v>15</v>
      </c>
      <c r="E46" s="11">
        <f>E45/E36</f>
        <v>0.30068515801880791</v>
      </c>
      <c r="F46" s="11">
        <f t="shared" ref="F46:N46" si="16">F45/F36</f>
        <v>0.2322119218928213</v>
      </c>
      <c r="G46" s="11">
        <f t="shared" si="16"/>
        <v>0.17574980356110362</v>
      </c>
      <c r="H46" s="11">
        <f t="shared" si="16"/>
        <v>0.12818159160126685</v>
      </c>
      <c r="I46" s="11">
        <f t="shared" si="16"/>
        <v>0.11999999999999998</v>
      </c>
      <c r="J46" s="11">
        <f t="shared" si="16"/>
        <v>0.12</v>
      </c>
      <c r="K46" s="11">
        <f t="shared" si="16"/>
        <v>0.115</v>
      </c>
      <c r="L46" s="11">
        <f t="shared" si="16"/>
        <v>0.11299999999999999</v>
      </c>
      <c r="M46" s="11">
        <f t="shared" si="16"/>
        <v>0.112</v>
      </c>
      <c r="N46" s="11">
        <f t="shared" si="16"/>
        <v>0.11</v>
      </c>
    </row>
    <row r="48" spans="2:20" ht="14.4" customHeight="1" x14ac:dyDescent="0.3">
      <c r="B48" s="1" t="s">
        <v>65</v>
      </c>
      <c r="E48" s="12">
        <v>24655</v>
      </c>
      <c r="F48" s="12">
        <v>35338</v>
      </c>
      <c r="G48" s="12">
        <v>38483</v>
      </c>
      <c r="H48" s="12">
        <v>43872</v>
      </c>
      <c r="I48" s="12">
        <v>56529.9</v>
      </c>
      <c r="J48" s="8">
        <f>J36*0.298</f>
        <v>70483.310924385252</v>
      </c>
      <c r="K48" s="8">
        <f>K36*0.296</f>
        <v>81328.128586082952</v>
      </c>
      <c r="L48" s="8">
        <f>L36*0.313</f>
        <v>98052.620793127411</v>
      </c>
      <c r="M48" s="8">
        <f>M36*0.305</f>
        <v>106782.74998246566</v>
      </c>
      <c r="N48" s="8">
        <f>N36*0.3</f>
        <v>115022.87720734206</v>
      </c>
      <c r="P48" s="8"/>
    </row>
    <row r="49" spans="2:16" ht="14.4" customHeight="1" x14ac:dyDescent="0.3">
      <c r="B49" s="5" t="s">
        <v>15</v>
      </c>
      <c r="E49" s="11">
        <f>E48/E36</f>
        <v>0.20906647219937419</v>
      </c>
      <c r="F49" s="11">
        <f t="shared" ref="F49:N49" si="17">F48/F36</f>
        <v>0.30304693462768739</v>
      </c>
      <c r="G49" s="11">
        <f t="shared" si="17"/>
        <v>0.28526634149234259</v>
      </c>
      <c r="H49" s="11">
        <f t="shared" si="17"/>
        <v>0.26669746688469981</v>
      </c>
      <c r="I49" s="11">
        <f t="shared" si="17"/>
        <v>0.2836232358264511</v>
      </c>
      <c r="J49" s="11">
        <f t="shared" si="17"/>
        <v>0.29799999999999999</v>
      </c>
      <c r="K49" s="11">
        <f t="shared" si="17"/>
        <v>0.29599999999999999</v>
      </c>
      <c r="L49" s="11">
        <f t="shared" si="17"/>
        <v>0.313</v>
      </c>
      <c r="M49" s="11">
        <f t="shared" si="17"/>
        <v>0.30499999999999999</v>
      </c>
      <c r="N49" s="11">
        <f t="shared" si="17"/>
        <v>0.3</v>
      </c>
    </row>
    <row r="51" spans="2:16" ht="14.4" customHeight="1" x14ac:dyDescent="0.3">
      <c r="B51" s="1" t="s">
        <v>12</v>
      </c>
      <c r="E51" s="12">
        <v>46753</v>
      </c>
      <c r="F51" s="12">
        <v>28945</v>
      </c>
      <c r="G51" s="12">
        <v>46751</v>
      </c>
      <c r="H51" s="12">
        <f>H42-H45-H48</f>
        <v>69381</v>
      </c>
      <c r="I51" s="12">
        <v>82408</v>
      </c>
      <c r="J51" s="8">
        <v>86385.2</v>
      </c>
      <c r="K51" s="8">
        <v>98057</v>
      </c>
      <c r="L51" s="8">
        <v>107730</v>
      </c>
      <c r="M51" s="8">
        <v>127075</v>
      </c>
      <c r="N51" s="8">
        <f>N36*0.37</f>
        <v>141861.54855572188</v>
      </c>
    </row>
    <row r="52" spans="2:16" ht="14.4" customHeight="1" x14ac:dyDescent="0.3">
      <c r="B52" s="5" t="s">
        <v>15</v>
      </c>
      <c r="E52" s="11">
        <f>E51/E36</f>
        <v>0.39645040660058173</v>
      </c>
      <c r="F52" s="11">
        <f t="shared" ref="F52:N52" si="18">F51/F36</f>
        <v>0.24822269293107735</v>
      </c>
      <c r="G52" s="11">
        <f t="shared" si="18"/>
        <v>0.34655527716416362</v>
      </c>
      <c r="H52" s="11">
        <f t="shared" si="18"/>
        <v>0.42176643303080225</v>
      </c>
      <c r="I52" s="11">
        <f t="shared" si="18"/>
        <v>0.41345948989802178</v>
      </c>
      <c r="J52" s="11">
        <f t="shared" si="18"/>
        <v>0.36523241122450895</v>
      </c>
      <c r="K52" s="11">
        <f t="shared" si="18"/>
        <v>0.35688601846135187</v>
      </c>
      <c r="L52" s="11">
        <f t="shared" si="18"/>
        <v>0.34389177695863721</v>
      </c>
      <c r="M52" s="11">
        <f t="shared" si="18"/>
        <v>0.3629600755399563</v>
      </c>
      <c r="N52" s="11">
        <f t="shared" si="18"/>
        <v>0.37</v>
      </c>
    </row>
    <row r="54" spans="2:16" ht="14.4" customHeight="1" x14ac:dyDescent="0.3">
      <c r="B54" s="1" t="s">
        <v>13</v>
      </c>
      <c r="E54" s="12">
        <v>7913</v>
      </c>
      <c r="F54" s="12">
        <v>5620</v>
      </c>
      <c r="G54" s="12">
        <v>8331</v>
      </c>
      <c r="H54" s="12">
        <v>8304</v>
      </c>
      <c r="I54" s="12">
        <v>25617.9</v>
      </c>
      <c r="J54" s="8">
        <v>11625.9</v>
      </c>
      <c r="K54" s="8">
        <v>13516.5</v>
      </c>
      <c r="L54" s="8">
        <v>16348.6</v>
      </c>
      <c r="M54" s="8">
        <v>20821.7</v>
      </c>
      <c r="N54" s="8">
        <f>N51*0.17</f>
        <v>24116.463254472721</v>
      </c>
    </row>
    <row r="55" spans="2:16" ht="14.4" customHeight="1" x14ac:dyDescent="0.3">
      <c r="B55" s="5" t="s">
        <v>14</v>
      </c>
      <c r="E55" s="11">
        <f>E54/E51</f>
        <v>0.1692511710478472</v>
      </c>
      <c r="F55" s="11">
        <f t="shared" ref="F55:N55" si="19">F54/F51</f>
        <v>0.19416134047331146</v>
      </c>
      <c r="G55" s="11">
        <f t="shared" si="19"/>
        <v>0.17819939680434643</v>
      </c>
      <c r="H55" s="11">
        <f t="shared" si="19"/>
        <v>0.11968694599386</v>
      </c>
      <c r="I55" s="11">
        <f t="shared" si="19"/>
        <v>0.31086666343073488</v>
      </c>
      <c r="J55" s="11">
        <f t="shared" si="19"/>
        <v>0.13458208118983345</v>
      </c>
      <c r="K55" s="11">
        <f t="shared" si="19"/>
        <v>0.13784329522624597</v>
      </c>
      <c r="L55" s="11">
        <f t="shared" si="19"/>
        <v>0.15175531421145458</v>
      </c>
      <c r="M55" s="11">
        <f t="shared" si="19"/>
        <v>0.16385362974621287</v>
      </c>
      <c r="N55" s="11">
        <f t="shared" si="19"/>
        <v>0.17</v>
      </c>
    </row>
    <row r="57" spans="2:16" ht="14.4" customHeight="1" x14ac:dyDescent="0.3">
      <c r="B57" s="2" t="s">
        <v>16</v>
      </c>
      <c r="C57" s="2"/>
      <c r="D57" s="2"/>
      <c r="E57" s="2">
        <v>2021</v>
      </c>
      <c r="F57" s="2">
        <f>E57+1</f>
        <v>2022</v>
      </c>
      <c r="G57" s="2">
        <f>F57+1</f>
        <v>2023</v>
      </c>
      <c r="H57" s="2">
        <f>G57+1</f>
        <v>2024</v>
      </c>
      <c r="I57" s="2">
        <f>H57+1</f>
        <v>2025</v>
      </c>
      <c r="J57" s="3" t="s">
        <v>5</v>
      </c>
      <c r="K57" s="3" t="s">
        <v>6</v>
      </c>
      <c r="L57" s="3" t="s">
        <v>7</v>
      </c>
      <c r="M57" s="3" t="s">
        <v>8</v>
      </c>
      <c r="N57" s="3" t="s">
        <v>9</v>
      </c>
    </row>
    <row r="58" spans="2:16" s="23" customFormat="1" ht="1.95" customHeight="1" x14ac:dyDescent="0.3"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5"/>
      <c r="M58" s="25"/>
      <c r="N58" s="25"/>
      <c r="O58" s="25"/>
      <c r="P58" s="25"/>
    </row>
    <row r="59" spans="2:16" ht="14.4" customHeight="1" x14ac:dyDescent="0.3">
      <c r="B59" s="1" t="s">
        <v>17</v>
      </c>
      <c r="E59" s="12">
        <v>7966</v>
      </c>
      <c r="F59" s="12">
        <v>8686</v>
      </c>
      <c r="G59" s="12">
        <v>11177</v>
      </c>
      <c r="H59" s="12">
        <v>15498</v>
      </c>
      <c r="I59" s="12">
        <v>18902.8</v>
      </c>
      <c r="J59" s="8">
        <v>28883.8</v>
      </c>
      <c r="K59" s="8">
        <v>41757.199999999997</v>
      </c>
      <c r="L59" s="8">
        <v>54019.5</v>
      </c>
      <c r="M59" s="8">
        <v>62011.8</v>
      </c>
      <c r="N59" s="8">
        <f>N63*0.45</f>
        <v>60937.707211698253</v>
      </c>
    </row>
    <row r="60" spans="2:16" ht="14.4" customHeight="1" x14ac:dyDescent="0.3">
      <c r="B60" s="1" t="s">
        <v>15</v>
      </c>
      <c r="E60" s="11">
        <f>E59/E63</f>
        <v>0.42904077126083912</v>
      </c>
      <c r="F60" s="11">
        <f t="shared" ref="F60:M60" si="20">F59/F63</f>
        <v>0.27635137284846173</v>
      </c>
      <c r="G60" s="11">
        <f t="shared" si="20"/>
        <v>0.4099244480305142</v>
      </c>
      <c r="H60" s="11">
        <f t="shared" si="20"/>
        <v>0.41598668670818123</v>
      </c>
      <c r="I60" s="11">
        <f t="shared" si="20"/>
        <v>0.26966093377309613</v>
      </c>
      <c r="J60" s="11">
        <f t="shared" si="20"/>
        <v>0.26078892065937836</v>
      </c>
      <c r="K60" s="11">
        <f t="shared" si="20"/>
        <v>0.34274686589833597</v>
      </c>
      <c r="L60" s="11">
        <f t="shared" si="20"/>
        <v>0.4143896550336959</v>
      </c>
      <c r="M60" s="11">
        <f t="shared" si="20"/>
        <v>0.44877310045478941</v>
      </c>
      <c r="N60" s="11">
        <f t="shared" ref="N60" si="21">N59/N63</f>
        <v>0.45</v>
      </c>
    </row>
    <row r="61" spans="2:16" ht="14.4" customHeight="1" x14ac:dyDescent="0.3">
      <c r="B61" s="1" t="s">
        <v>33</v>
      </c>
      <c r="E61" s="11">
        <f>E59/E36</f>
        <v>6.7549118537425054E-2</v>
      </c>
      <c r="F61" s="11">
        <f t="shared" ref="F61:N61" si="22">F59/F36</f>
        <v>7.44882470478265E-2</v>
      </c>
      <c r="G61" s="11">
        <f t="shared" si="22"/>
        <v>8.2852737542808849E-2</v>
      </c>
      <c r="H61" s="11">
        <f t="shared" si="22"/>
        <v>9.4212193238946876E-2</v>
      </c>
      <c r="I61" s="11">
        <f t="shared" si="22"/>
        <v>9.4839603505052009E-2</v>
      </c>
      <c r="J61" s="11">
        <f t="shared" si="22"/>
        <v>0.12211929727923848</v>
      </c>
      <c r="K61" s="11">
        <f t="shared" si="22"/>
        <v>0.15197855176167291</v>
      </c>
      <c r="L61" s="11">
        <f t="shared" si="22"/>
        <v>0.17243907774451964</v>
      </c>
      <c r="M61" s="11">
        <f t="shared" si="22"/>
        <v>0.1771222318502354</v>
      </c>
      <c r="N61" s="11">
        <f t="shared" si="22"/>
        <v>0.1589363142999396</v>
      </c>
    </row>
    <row r="63" spans="2:16" ht="14.4" customHeight="1" x14ac:dyDescent="0.3">
      <c r="B63" s="1" t="s">
        <v>18</v>
      </c>
      <c r="E63" s="12">
        <v>18567</v>
      </c>
      <c r="F63" s="12">
        <v>31431</v>
      </c>
      <c r="G63" s="12">
        <v>27266</v>
      </c>
      <c r="H63" s="12">
        <v>37256</v>
      </c>
      <c r="I63" s="12">
        <v>70098.399999999994</v>
      </c>
      <c r="J63" s="12">
        <f>I63*1.58</f>
        <v>110755.47199999999</v>
      </c>
      <c r="K63" s="12">
        <f>J63*1.1</f>
        <v>121831.01920000001</v>
      </c>
      <c r="L63" s="8">
        <f>K63*1.07</f>
        <v>130359.19054400001</v>
      </c>
      <c r="M63" s="8">
        <f>L63*1.06</f>
        <v>138180.74197664001</v>
      </c>
      <c r="N63" s="8">
        <f>M63*0.98</f>
        <v>135417.12713710722</v>
      </c>
    </row>
    <row r="64" spans="2:16" ht="14.4" customHeight="1" x14ac:dyDescent="0.3">
      <c r="B64" s="1" t="s">
        <v>97</v>
      </c>
      <c r="E64" s="12"/>
      <c r="F64" s="12"/>
      <c r="G64" s="12"/>
      <c r="H64" s="12"/>
      <c r="I64" s="12"/>
      <c r="J64" s="12"/>
      <c r="K64" s="12"/>
      <c r="L64" s="8"/>
      <c r="M64" s="8"/>
      <c r="N64" s="8"/>
    </row>
    <row r="66" spans="2:14" ht="14.4" customHeight="1" x14ac:dyDescent="0.3">
      <c r="B66" s="1" t="s">
        <v>19</v>
      </c>
      <c r="E66" s="13">
        <f>0.7*1000</f>
        <v>700</v>
      </c>
      <c r="F66" s="13">
        <f>5.68*1000</f>
        <v>5680</v>
      </c>
      <c r="G66" s="13">
        <f>3.84*1000</f>
        <v>3840</v>
      </c>
      <c r="H66" s="13">
        <f>1.05*1000</f>
        <v>1050</v>
      </c>
      <c r="I66" s="13">
        <f>-3.05*1000</f>
        <v>-3050</v>
      </c>
      <c r="J66" s="13">
        <f>I66*0.5</f>
        <v>-1525</v>
      </c>
      <c r="K66" s="13">
        <f>J66*0.33</f>
        <v>-503.25</v>
      </c>
      <c r="L66" s="13">
        <f>K66*-1</f>
        <v>503.25</v>
      </c>
      <c r="M66" s="13">
        <f>L66*2.4</f>
        <v>1207.8</v>
      </c>
      <c r="N66" s="13">
        <f>M66*1.25</f>
        <v>1509.75</v>
      </c>
    </row>
    <row r="67" spans="2:14" ht="14.4" customHeight="1" x14ac:dyDescent="0.3">
      <c r="B67" s="1" t="s">
        <v>15</v>
      </c>
      <c r="E67" s="11">
        <f>E66/E59</f>
        <v>8.7873462214411252E-2</v>
      </c>
      <c r="F67" s="11">
        <f t="shared" ref="F67:N67" si="23">F66/F59</f>
        <v>0.65392585770204925</v>
      </c>
      <c r="G67" s="11">
        <f t="shared" si="23"/>
        <v>0.34356267334705198</v>
      </c>
      <c r="H67" s="11">
        <f t="shared" si="23"/>
        <v>6.7750677506775062E-2</v>
      </c>
      <c r="I67" s="11">
        <f t="shared" si="23"/>
        <v>-0.1613517574116004</v>
      </c>
      <c r="J67" s="11">
        <f t="shared" si="23"/>
        <v>-5.279776206731801E-2</v>
      </c>
      <c r="K67" s="11">
        <f t="shared" si="23"/>
        <v>-1.2051813818934221E-2</v>
      </c>
      <c r="L67" s="11">
        <f t="shared" si="23"/>
        <v>9.3160803043345463E-3</v>
      </c>
      <c r="M67" s="11">
        <f t="shared" si="23"/>
        <v>1.9476938260137584E-2</v>
      </c>
      <c r="N67" s="11">
        <f t="shared" si="23"/>
        <v>2.4775300369525098E-2</v>
      </c>
    </row>
    <row r="68" spans="2:14" ht="14.4" customHeight="1" x14ac:dyDescent="0.3">
      <c r="B68" s="1" t="s">
        <v>20</v>
      </c>
      <c r="E68" s="14"/>
      <c r="F68" s="14"/>
      <c r="G68" s="14"/>
      <c r="H68" s="14"/>
      <c r="I68" s="14"/>
      <c r="J68" s="14"/>
      <c r="K68" s="14"/>
      <c r="L68" s="14"/>
      <c r="M68" s="14"/>
      <c r="N68" s="14"/>
    </row>
    <row r="70" spans="2:14" ht="14.4" customHeight="1" x14ac:dyDescent="0.3">
      <c r="B70" s="2" t="s">
        <v>21</v>
      </c>
      <c r="C70" s="2"/>
      <c r="D70" s="2"/>
      <c r="E70" s="2">
        <v>2021</v>
      </c>
      <c r="F70" s="2">
        <f>E70+1</f>
        <v>2022</v>
      </c>
      <c r="G70" s="2">
        <f>F70+1</f>
        <v>2023</v>
      </c>
      <c r="H70" s="2">
        <f>G70+1</f>
        <v>2024</v>
      </c>
      <c r="I70" s="2">
        <f>H70+1</f>
        <v>2025</v>
      </c>
      <c r="J70" s="3" t="s">
        <v>5</v>
      </c>
      <c r="K70" s="3" t="s">
        <v>6</v>
      </c>
      <c r="L70" s="3" t="s">
        <v>7</v>
      </c>
      <c r="M70" s="3" t="s">
        <v>8</v>
      </c>
      <c r="N70" s="3" t="s">
        <v>9</v>
      </c>
    </row>
    <row r="71" spans="2:14" ht="14.4" customHeight="1" x14ac:dyDescent="0.3">
      <c r="B71" s="1" t="s">
        <v>10</v>
      </c>
      <c r="E71" s="8">
        <f>E36</f>
        <v>117929</v>
      </c>
      <c r="F71" s="8">
        <f t="shared" ref="F71:N71" si="24">F36</f>
        <v>116609</v>
      </c>
      <c r="G71" s="8">
        <f t="shared" si="24"/>
        <v>134902</v>
      </c>
      <c r="H71" s="8">
        <f t="shared" si="24"/>
        <v>164501</v>
      </c>
      <c r="I71" s="8">
        <f t="shared" si="24"/>
        <v>199313.35962399998</v>
      </c>
      <c r="J71" s="8">
        <f t="shared" si="24"/>
        <v>236521.17759860822</v>
      </c>
      <c r="K71" s="8">
        <f t="shared" si="24"/>
        <v>274757.19116919918</v>
      </c>
      <c r="L71" s="8">
        <f t="shared" si="24"/>
        <v>313267.15908347414</v>
      </c>
      <c r="M71" s="8">
        <f t="shared" si="24"/>
        <v>350107.37699169066</v>
      </c>
      <c r="N71" s="8">
        <f t="shared" si="24"/>
        <v>383409.59069114021</v>
      </c>
    </row>
    <row r="72" spans="2:14" ht="14.4" customHeight="1" x14ac:dyDescent="0.3">
      <c r="B72" s="5" t="s">
        <v>11</v>
      </c>
      <c r="C72" s="5"/>
      <c r="D72" s="5"/>
      <c r="E72" s="11">
        <f>E37</f>
        <v>0.37182574303495608</v>
      </c>
      <c r="F72" s="11">
        <f t="shared" ref="F72:N72" si="25">F37</f>
        <v>-1.1193175554782962E-2</v>
      </c>
      <c r="G72" s="11">
        <f t="shared" si="25"/>
        <v>0.15687468377226457</v>
      </c>
      <c r="H72" s="11">
        <f t="shared" si="25"/>
        <v>0.21941112807816043</v>
      </c>
      <c r="I72" s="11">
        <f t="shared" si="25"/>
        <v>0.21162399999999984</v>
      </c>
      <c r="J72" s="11">
        <f t="shared" si="25"/>
        <v>0.18667999999999965</v>
      </c>
      <c r="K72" s="11">
        <f t="shared" si="25"/>
        <v>0.16165999999999983</v>
      </c>
      <c r="L72" s="11">
        <f t="shared" si="25"/>
        <v>0.14015999999999998</v>
      </c>
      <c r="M72" s="11">
        <f t="shared" si="25"/>
        <v>0.11759999999999989</v>
      </c>
      <c r="N72" s="11">
        <f t="shared" si="25"/>
        <v>9.5119999999999816E-2</v>
      </c>
    </row>
    <row r="73" spans="2:14" ht="14.4" customHeight="1" x14ac:dyDescent="0.3">
      <c r="E73" s="8"/>
      <c r="F73" s="8"/>
      <c r="G73" s="8"/>
      <c r="H73" s="8"/>
      <c r="I73" s="8"/>
      <c r="J73" s="8"/>
      <c r="K73" s="8"/>
      <c r="L73" s="8"/>
      <c r="M73" s="8"/>
      <c r="N73" s="8"/>
    </row>
    <row r="74" spans="2:14" ht="14.4" customHeight="1" x14ac:dyDescent="0.3">
      <c r="B74" s="1" t="s">
        <v>12</v>
      </c>
      <c r="E74" s="8" cm="1">
        <f t="array" ref="E74:N74">E51:N51</f>
        <v>46753</v>
      </c>
      <c r="F74" s="8">
        <v>28945</v>
      </c>
      <c r="G74" s="8">
        <v>46751</v>
      </c>
      <c r="H74" s="8">
        <v>69381</v>
      </c>
      <c r="I74" s="8">
        <v>82408</v>
      </c>
      <c r="J74" s="8">
        <v>86385.2</v>
      </c>
      <c r="K74" s="8">
        <v>98057</v>
      </c>
      <c r="L74" s="8">
        <v>107730</v>
      </c>
      <c r="M74" s="8">
        <v>127075</v>
      </c>
      <c r="N74" s="8">
        <v>141861.54855572188</v>
      </c>
    </row>
    <row r="75" spans="2:14" ht="14.4" customHeight="1" x14ac:dyDescent="0.3">
      <c r="B75" s="5" t="s">
        <v>15</v>
      </c>
      <c r="C75" s="5"/>
      <c r="D75" s="5"/>
      <c r="E75" s="11">
        <f>E74/E71</f>
        <v>0.39645040660058173</v>
      </c>
      <c r="F75" s="11">
        <f t="shared" ref="F75:N75" si="26">F74/F71</f>
        <v>0.24822269293107735</v>
      </c>
      <c r="G75" s="11">
        <f t="shared" si="26"/>
        <v>0.34655527716416362</v>
      </c>
      <c r="H75" s="11">
        <f t="shared" si="26"/>
        <v>0.42176643303080225</v>
      </c>
      <c r="I75" s="11">
        <f t="shared" si="26"/>
        <v>0.41345948989802178</v>
      </c>
      <c r="J75" s="11">
        <f t="shared" si="26"/>
        <v>0.36523241122450895</v>
      </c>
      <c r="K75" s="11">
        <f t="shared" si="26"/>
        <v>0.35688601846135187</v>
      </c>
      <c r="L75" s="11">
        <f t="shared" si="26"/>
        <v>0.34389177695863721</v>
      </c>
      <c r="M75" s="11">
        <f t="shared" si="26"/>
        <v>0.3629600755399563</v>
      </c>
      <c r="N75" s="11">
        <f t="shared" si="26"/>
        <v>0.37</v>
      </c>
    </row>
    <row r="76" spans="2:14" ht="14.4" customHeight="1" x14ac:dyDescent="0.3">
      <c r="J76" s="8"/>
      <c r="K76" s="8"/>
      <c r="L76" s="8"/>
      <c r="M76" s="8"/>
      <c r="N76" s="8"/>
    </row>
    <row r="77" spans="2:14" ht="14.4" customHeight="1" x14ac:dyDescent="0.3">
      <c r="B77" s="1" t="s">
        <v>13</v>
      </c>
      <c r="E77" s="8" cm="1">
        <f t="array" ref="E77:M77">E54:M54</f>
        <v>7913</v>
      </c>
      <c r="F77" s="8">
        <v>5620</v>
      </c>
      <c r="G77" s="8">
        <v>8331</v>
      </c>
      <c r="H77" s="8">
        <v>8304</v>
      </c>
      <c r="I77" s="8">
        <v>25617.9</v>
      </c>
      <c r="J77" s="8">
        <v>11625.9</v>
      </c>
      <c r="K77" s="8">
        <v>13516.5</v>
      </c>
      <c r="L77" s="8">
        <v>16348.6</v>
      </c>
      <c r="M77" s="8">
        <v>20821.7</v>
      </c>
      <c r="N77" s="8">
        <f>N54</f>
        <v>24116.463254472721</v>
      </c>
    </row>
    <row r="78" spans="2:14" ht="14.4" customHeight="1" x14ac:dyDescent="0.3">
      <c r="B78" s="5" t="s">
        <v>14</v>
      </c>
      <c r="C78" s="5"/>
      <c r="D78" s="5"/>
      <c r="E78" s="11">
        <f>E55</f>
        <v>0.1692511710478472</v>
      </c>
      <c r="F78" s="11">
        <f t="shared" ref="F78:N78" si="27">F55</f>
        <v>0.19416134047331146</v>
      </c>
      <c r="G78" s="11">
        <f t="shared" si="27"/>
        <v>0.17819939680434643</v>
      </c>
      <c r="H78" s="11">
        <f t="shared" si="27"/>
        <v>0.11968694599386</v>
      </c>
      <c r="I78" s="11">
        <f t="shared" si="27"/>
        <v>0.31086666343073488</v>
      </c>
      <c r="J78" s="11">
        <f t="shared" si="27"/>
        <v>0.13458208118983345</v>
      </c>
      <c r="K78" s="11">
        <f t="shared" si="27"/>
        <v>0.13784329522624597</v>
      </c>
      <c r="L78" s="11">
        <f t="shared" si="27"/>
        <v>0.15175531421145458</v>
      </c>
      <c r="M78" s="11">
        <f t="shared" si="27"/>
        <v>0.16385362974621287</v>
      </c>
      <c r="N78" s="11">
        <f t="shared" si="27"/>
        <v>0.17</v>
      </c>
    </row>
    <row r="80" spans="2:14" ht="14.4" customHeight="1" x14ac:dyDescent="0.3">
      <c r="B80" s="1" t="s">
        <v>22</v>
      </c>
      <c r="E80" s="8">
        <f>E74-E77</f>
        <v>38840</v>
      </c>
      <c r="F80" s="8">
        <f t="shared" ref="F80:N80" si="28">F74-F77</f>
        <v>23325</v>
      </c>
      <c r="G80" s="8">
        <f t="shared" si="28"/>
        <v>38420</v>
      </c>
      <c r="H80" s="8">
        <f t="shared" si="28"/>
        <v>61077</v>
      </c>
      <c r="I80" s="8">
        <f t="shared" si="28"/>
        <v>56790.1</v>
      </c>
      <c r="J80" s="8">
        <f t="shared" si="28"/>
        <v>74759.3</v>
      </c>
      <c r="K80" s="8">
        <f t="shared" si="28"/>
        <v>84540.5</v>
      </c>
      <c r="L80" s="8">
        <f t="shared" si="28"/>
        <v>91381.4</v>
      </c>
      <c r="M80" s="8">
        <f t="shared" si="28"/>
        <v>106253.3</v>
      </c>
      <c r="N80" s="8">
        <f t="shared" si="28"/>
        <v>117745.08530124916</v>
      </c>
    </row>
    <row r="82" spans="2:24" ht="14.4" customHeight="1" x14ac:dyDescent="0.3">
      <c r="B82" s="1" t="s">
        <v>17</v>
      </c>
      <c r="E82" s="8">
        <f>E59</f>
        <v>7966</v>
      </c>
      <c r="F82" s="8">
        <f t="shared" ref="F82:N82" si="29">F59</f>
        <v>8686</v>
      </c>
      <c r="G82" s="8">
        <f t="shared" si="29"/>
        <v>11177</v>
      </c>
      <c r="H82" s="8">
        <f t="shared" si="29"/>
        <v>15498</v>
      </c>
      <c r="I82" s="8">
        <f t="shared" si="29"/>
        <v>18902.8</v>
      </c>
      <c r="J82" s="8">
        <f t="shared" si="29"/>
        <v>28883.8</v>
      </c>
      <c r="K82" s="8">
        <f t="shared" si="29"/>
        <v>41757.199999999997</v>
      </c>
      <c r="L82" s="8">
        <f t="shared" si="29"/>
        <v>54019.5</v>
      </c>
      <c r="M82" s="8">
        <f t="shared" si="29"/>
        <v>62011.8</v>
      </c>
      <c r="N82" s="8">
        <f t="shared" si="29"/>
        <v>60937.707211698253</v>
      </c>
    </row>
    <row r="83" spans="2:24" ht="14.4" customHeight="1" x14ac:dyDescent="0.3">
      <c r="B83" s="5" t="s">
        <v>15</v>
      </c>
      <c r="C83" s="5"/>
      <c r="D83" s="5"/>
      <c r="E83" s="11">
        <f>E82/E71</f>
        <v>6.7549118537425054E-2</v>
      </c>
      <c r="F83" s="11">
        <f t="shared" ref="F83:N83" si="30">F82/F71</f>
        <v>7.44882470478265E-2</v>
      </c>
      <c r="G83" s="11">
        <f t="shared" si="30"/>
        <v>8.2852737542808849E-2</v>
      </c>
      <c r="H83" s="11">
        <f t="shared" si="30"/>
        <v>9.4212193238946876E-2</v>
      </c>
      <c r="I83" s="11">
        <f t="shared" si="30"/>
        <v>9.4839603505052009E-2</v>
      </c>
      <c r="J83" s="11">
        <f t="shared" si="30"/>
        <v>0.12211929727923848</v>
      </c>
      <c r="K83" s="11">
        <f t="shared" si="30"/>
        <v>0.15197855176167291</v>
      </c>
      <c r="L83" s="11">
        <f t="shared" si="30"/>
        <v>0.17243907774451964</v>
      </c>
      <c r="M83" s="11">
        <f t="shared" si="30"/>
        <v>0.1771222318502354</v>
      </c>
      <c r="N83" s="11">
        <f t="shared" si="30"/>
        <v>0.1589363142999396</v>
      </c>
    </row>
    <row r="85" spans="2:24" ht="14.4" customHeight="1" x14ac:dyDescent="0.3">
      <c r="B85" s="1" t="s">
        <v>18</v>
      </c>
      <c r="E85" s="8">
        <f>E63</f>
        <v>18567</v>
      </c>
      <c r="F85" s="8">
        <f t="shared" ref="F85:N85" si="31">F63</f>
        <v>31431</v>
      </c>
      <c r="G85" s="8">
        <f t="shared" si="31"/>
        <v>27266</v>
      </c>
      <c r="H85" s="8">
        <f t="shared" si="31"/>
        <v>37256</v>
      </c>
      <c r="I85" s="8">
        <f t="shared" si="31"/>
        <v>70098.399999999994</v>
      </c>
      <c r="J85" s="8">
        <f t="shared" si="31"/>
        <v>110755.47199999999</v>
      </c>
      <c r="K85" s="8">
        <f t="shared" si="31"/>
        <v>121831.01920000001</v>
      </c>
      <c r="L85" s="8">
        <f t="shared" si="31"/>
        <v>130359.19054400001</v>
      </c>
      <c r="M85" s="8">
        <f t="shared" si="31"/>
        <v>138180.74197664001</v>
      </c>
      <c r="N85" s="8">
        <f t="shared" si="31"/>
        <v>135417.12713710722</v>
      </c>
      <c r="Q85" s="8"/>
    </row>
    <row r="86" spans="2:24" ht="14.4" customHeight="1" x14ac:dyDescent="0.3">
      <c r="B86" s="5" t="s">
        <v>15</v>
      </c>
      <c r="C86" s="5"/>
      <c r="D86" s="5"/>
      <c r="E86" s="11">
        <f>E85/E71</f>
        <v>0.15744218979216307</v>
      </c>
      <c r="F86" s="11">
        <f t="shared" ref="F86:N86" si="32">F85/F71</f>
        <v>0.26954180209074774</v>
      </c>
      <c r="G86" s="11">
        <f t="shared" si="32"/>
        <v>0.20211709240782197</v>
      </c>
      <c r="H86" s="11">
        <f t="shared" si="32"/>
        <v>0.22647886638986997</v>
      </c>
      <c r="I86" s="11">
        <f t="shared" si="32"/>
        <v>0.35169945523089369</v>
      </c>
      <c r="J86" s="11">
        <f t="shared" si="32"/>
        <v>0.46826873231605171</v>
      </c>
      <c r="K86" s="11">
        <f t="shared" si="32"/>
        <v>0.4434133959572138</v>
      </c>
      <c r="L86" s="11">
        <f t="shared" si="32"/>
        <v>0.4161278536996727</v>
      </c>
      <c r="M86" s="11">
        <f t="shared" si="32"/>
        <v>0.39468103518401315</v>
      </c>
      <c r="N86" s="11">
        <f t="shared" si="32"/>
        <v>0.35319180955542129</v>
      </c>
    </row>
    <row r="88" spans="2:24" ht="14.4" customHeight="1" x14ac:dyDescent="0.3">
      <c r="B88" s="1" t="s">
        <v>19</v>
      </c>
      <c r="E88" s="13">
        <f>0.7*1000</f>
        <v>700</v>
      </c>
      <c r="F88" s="13">
        <f>5.68*1000</f>
        <v>5680</v>
      </c>
      <c r="G88" s="13">
        <f>3.84*1000</f>
        <v>3840</v>
      </c>
      <c r="H88" s="13">
        <f>1.05*1000</f>
        <v>1050</v>
      </c>
      <c r="I88" s="13">
        <f>-3.05*1000</f>
        <v>-3050</v>
      </c>
      <c r="J88" s="13">
        <f>I88*0.5</f>
        <v>-1525</v>
      </c>
      <c r="K88" s="13">
        <f>J88*0.33</f>
        <v>-503.25</v>
      </c>
      <c r="L88" s="13">
        <f>K88*-1</f>
        <v>503.25</v>
      </c>
      <c r="M88" s="13">
        <f>L88*2.4</f>
        <v>1207.8</v>
      </c>
      <c r="N88" s="13">
        <f>M88*1.25</f>
        <v>1509.75</v>
      </c>
    </row>
    <row r="89" spans="2:24" ht="14.4" customHeight="1" x14ac:dyDescent="0.3">
      <c r="B89" s="5" t="s">
        <v>15</v>
      </c>
      <c r="C89" s="5"/>
      <c r="D89" s="5"/>
      <c r="E89" s="11">
        <f>E88/E71</f>
        <v>5.9357749154152076E-3</v>
      </c>
      <c r="F89" s="11">
        <f t="shared" ref="F89:N89" si="33">F88/F71</f>
        <v>4.8709790839472085E-2</v>
      </c>
      <c r="G89" s="11">
        <f t="shared" si="33"/>
        <v>2.8465108004329068E-2</v>
      </c>
      <c r="H89" s="11">
        <f t="shared" si="33"/>
        <v>6.3829399213378643E-3</v>
      </c>
      <c r="I89" s="11">
        <f t="shared" si="33"/>
        <v>-1.5302536697759519E-2</v>
      </c>
      <c r="J89" s="11">
        <f t="shared" si="33"/>
        <v>-6.4476256015773099E-3</v>
      </c>
      <c r="K89" s="11">
        <f t="shared" si="33"/>
        <v>-1.8316172103029394E-3</v>
      </c>
      <c r="L89" s="11">
        <f t="shared" si="33"/>
        <v>1.606456295873333E-3</v>
      </c>
      <c r="M89" s="11">
        <f t="shared" si="33"/>
        <v>3.4497987742448098E-3</v>
      </c>
      <c r="N89" s="11">
        <f t="shared" si="33"/>
        <v>3.9376949264062506E-3</v>
      </c>
    </row>
    <row r="90" spans="2:24" ht="14.4" customHeight="1" x14ac:dyDescent="0.3">
      <c r="B90" s="5"/>
      <c r="C90" s="5"/>
      <c r="D90" s="5"/>
      <c r="E90" s="11"/>
      <c r="F90" s="11"/>
      <c r="G90" s="11"/>
      <c r="H90" s="11"/>
      <c r="I90" s="11"/>
      <c r="J90" s="11"/>
      <c r="K90" s="11"/>
      <c r="L90" s="11"/>
      <c r="M90" s="11"/>
      <c r="N90" s="11"/>
    </row>
    <row r="91" spans="2:24" ht="14.4" customHeight="1" x14ac:dyDescent="0.3">
      <c r="B91" s="1" t="s">
        <v>103</v>
      </c>
      <c r="E91" s="13">
        <v>9160</v>
      </c>
      <c r="F91" s="13">
        <v>11992</v>
      </c>
      <c r="G91" s="13">
        <v>14030</v>
      </c>
      <c r="H91" s="13">
        <v>15140</v>
      </c>
      <c r="I91" s="13">
        <v>20000</v>
      </c>
      <c r="J91" s="13">
        <f>J71*0.11</f>
        <v>26017.329535846904</v>
      </c>
      <c r="K91" s="13">
        <f>K71*0.11</f>
        <v>30223.291028611911</v>
      </c>
      <c r="L91" s="13">
        <f>L71*0.105</f>
        <v>32893.051703764781</v>
      </c>
      <c r="M91" s="13">
        <f t="shared" ref="M91:N91" si="34">M71*0.105</f>
        <v>36761.274584127517</v>
      </c>
      <c r="N91" s="13">
        <f t="shared" si="34"/>
        <v>40258.00702256972</v>
      </c>
    </row>
    <row r="92" spans="2:24" ht="14.4" customHeight="1" x14ac:dyDescent="0.3">
      <c r="B92" s="5" t="s">
        <v>15</v>
      </c>
      <c r="C92" s="5"/>
      <c r="D92" s="5"/>
      <c r="E92" s="11">
        <f>E91/E71</f>
        <v>7.7673854607433285E-2</v>
      </c>
      <c r="F92" s="11">
        <f t="shared" ref="F92:J92" si="35">F91/F71</f>
        <v>0.10283940347657557</v>
      </c>
      <c r="G92" s="11">
        <f t="shared" si="35"/>
        <v>0.10400142325540021</v>
      </c>
      <c r="H92" s="11">
        <f t="shared" si="35"/>
        <v>9.2035914675290723E-2</v>
      </c>
      <c r="I92" s="11">
        <f t="shared" si="35"/>
        <v>0.100344502936128</v>
      </c>
      <c r="J92" s="11">
        <f t="shared" si="35"/>
        <v>0.11</v>
      </c>
      <c r="K92" s="11">
        <f t="shared" ref="K92" si="36">K91/K71</f>
        <v>0.11</v>
      </c>
      <c r="L92" s="11">
        <f t="shared" ref="L92" si="37">L91/L71</f>
        <v>0.10499999999999998</v>
      </c>
      <c r="M92" s="11">
        <f t="shared" ref="M92" si="38">M91/M71</f>
        <v>0.105</v>
      </c>
      <c r="N92" s="11">
        <f t="shared" ref="N92" si="39">N91/N71</f>
        <v>0.105</v>
      </c>
    </row>
    <row r="94" spans="2:24" ht="14.4" customHeight="1" x14ac:dyDescent="0.3">
      <c r="B94" s="1" t="s">
        <v>23</v>
      </c>
      <c r="E94" s="12">
        <v>39116</v>
      </c>
      <c r="F94" s="12">
        <v>18439</v>
      </c>
      <c r="G94" s="12">
        <v>43010</v>
      </c>
      <c r="H94" s="12">
        <v>52103</v>
      </c>
      <c r="I94" s="8">
        <f>I80+I82-I85+I88+I91</f>
        <v>22544.5</v>
      </c>
      <c r="J94" s="8">
        <f t="shared" ref="J94:N94" si="40">J80+J82-J85+J88+J91</f>
        <v>17379.957535846916</v>
      </c>
      <c r="K94" s="8">
        <f t="shared" si="40"/>
        <v>34186.721828611902</v>
      </c>
      <c r="L94" s="8">
        <f t="shared" si="40"/>
        <v>48438.011159764763</v>
      </c>
      <c r="M94" s="8">
        <f t="shared" si="40"/>
        <v>68053.432607487513</v>
      </c>
      <c r="N94" s="8">
        <f t="shared" si="40"/>
        <v>85033.422398409894</v>
      </c>
      <c r="O94" s="8"/>
      <c r="P94" s="8"/>
      <c r="Q94" s="8"/>
      <c r="R94" s="8"/>
      <c r="S94" s="8"/>
      <c r="T94" s="8"/>
      <c r="U94" s="8"/>
      <c r="V94" s="8"/>
      <c r="W94" s="8"/>
      <c r="X94" s="8"/>
    </row>
    <row r="95" spans="2:24" ht="14.4" customHeight="1" x14ac:dyDescent="0.3">
      <c r="B95" s="5" t="s">
        <v>15</v>
      </c>
      <c r="C95" s="5"/>
      <c r="D95" s="5"/>
      <c r="E95" s="11">
        <f>E94/E71</f>
        <v>0.33169110227340182</v>
      </c>
      <c r="F95" s="11">
        <f t="shared" ref="F95:N95" si="41">F94/F71</f>
        <v>0.15812673121285664</v>
      </c>
      <c r="G95" s="11">
        <f t="shared" si="41"/>
        <v>0.31882403522557118</v>
      </c>
      <c r="H95" s="11">
        <f t="shared" si="41"/>
        <v>0.31673363687758738</v>
      </c>
      <c r="I95" s="11">
        <f t="shared" si="41"/>
        <v>0.11311083232217688</v>
      </c>
      <c r="J95" s="11">
        <f t="shared" si="41"/>
        <v>7.3481612565542989E-2</v>
      </c>
      <c r="K95" s="11">
        <f t="shared" si="41"/>
        <v>0.12442521225062043</v>
      </c>
      <c r="L95" s="11">
        <f t="shared" si="41"/>
        <v>0.15462205263226403</v>
      </c>
      <c r="M95" s="11">
        <f t="shared" si="41"/>
        <v>0.19437874515024192</v>
      </c>
      <c r="N95" s="11">
        <f t="shared" si="41"/>
        <v>0.2217821996709245</v>
      </c>
    </row>
    <row r="96" spans="2:24" ht="14.4" customHeight="1" x14ac:dyDescent="0.3">
      <c r="V96" s="29"/>
    </row>
    <row r="97" spans="2:22" ht="14.4" customHeight="1" x14ac:dyDescent="0.3">
      <c r="B97" s="1" t="s">
        <v>24</v>
      </c>
      <c r="I97" s="8">
        <f>I94</f>
        <v>22544.5</v>
      </c>
      <c r="J97" s="8">
        <f>J94/(1+$U$7)^1</f>
        <v>15817.216541542515</v>
      </c>
      <c r="K97" s="8">
        <f>K94/(1+$U$7)^2</f>
        <v>28315.234109689562</v>
      </c>
      <c r="L97" s="8">
        <f>L94/(1+$U$7)^3</f>
        <v>36511.556770270668</v>
      </c>
      <c r="M97" s="8">
        <f>M94/(1+$U$7)^4</f>
        <v>46684.792502691751</v>
      </c>
      <c r="N97" s="8">
        <f>N94/(1+$U$7)^5</f>
        <v>53088.004973806703</v>
      </c>
      <c r="V97" s="8"/>
    </row>
    <row r="99" spans="2:22" ht="14.4" customHeight="1" x14ac:dyDescent="0.3">
      <c r="H99" s="28"/>
      <c r="J99" s="8"/>
      <c r="K99" s="8"/>
    </row>
    <row r="105" spans="2:22" ht="14.4" customHeight="1" x14ac:dyDescent="0.3">
      <c r="J105" s="13"/>
    </row>
  </sheetData>
  <mergeCells count="8">
    <mergeCell ref="I7:K7"/>
    <mergeCell ref="I12:K12"/>
    <mergeCell ref="T11:U11"/>
    <mergeCell ref="T22:U22"/>
    <mergeCell ref="I11:K11"/>
    <mergeCell ref="I10:K10"/>
    <mergeCell ref="I9:K9"/>
    <mergeCell ref="I8:K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A2:T56"/>
  <sheetViews>
    <sheetView showGridLines="0" zoomScale="130" zoomScaleNormal="130" workbookViewId="0">
      <selection activeCell="K6" sqref="K6"/>
    </sheetView>
  </sheetViews>
  <sheetFormatPr defaultColWidth="8.69921875" defaultRowHeight="14.4" customHeight="1" x14ac:dyDescent="0.3"/>
  <cols>
    <col min="1" max="4" width="8.69921875" style="1"/>
    <col min="5" max="5" width="8.69921875" style="1" customWidth="1"/>
    <col min="6" max="11" width="8.69921875" style="1"/>
    <col min="12" max="12" width="9.69921875" style="1" bestFit="1" customWidth="1"/>
    <col min="13" max="14" width="8.796875" style="1" bestFit="1" customWidth="1"/>
    <col min="15" max="16384" width="8.69921875" style="1"/>
  </cols>
  <sheetData>
    <row r="2" spans="1:20" ht="14.4" customHeight="1" x14ac:dyDescent="0.3">
      <c r="B2" s="1" t="s">
        <v>85</v>
      </c>
      <c r="C2" s="1" t="s">
        <v>86</v>
      </c>
    </row>
    <row r="4" spans="1:20" ht="14.4" customHeight="1" x14ac:dyDescent="0.3">
      <c r="B4" s="2" t="s">
        <v>70</v>
      </c>
      <c r="C4" s="2"/>
      <c r="D4" s="2"/>
      <c r="E4" s="2"/>
      <c r="F4" s="2"/>
      <c r="G4" s="2">
        <v>2021</v>
      </c>
      <c r="H4" s="2">
        <f>G4+1</f>
        <v>2022</v>
      </c>
      <c r="I4" s="2">
        <f>H4+1</f>
        <v>2023</v>
      </c>
      <c r="J4" s="2">
        <f>I4+1</f>
        <v>2024</v>
      </c>
      <c r="K4" s="2">
        <f>J4+1</f>
        <v>2025</v>
      </c>
      <c r="L4" s="3" t="s">
        <v>5</v>
      </c>
      <c r="M4" s="3" t="s">
        <v>6</v>
      </c>
      <c r="N4" s="3" t="s">
        <v>7</v>
      </c>
      <c r="O4" s="3" t="s">
        <v>8</v>
      </c>
      <c r="P4" s="3" t="s">
        <v>9</v>
      </c>
      <c r="S4" s="12"/>
    </row>
    <row r="5" spans="1:20" s="23" customFormat="1" ht="1.95" customHeight="1" x14ac:dyDescent="0.3">
      <c r="B5" s="24"/>
      <c r="C5" s="24"/>
      <c r="D5" s="24"/>
      <c r="E5" s="24"/>
      <c r="F5" s="24"/>
      <c r="G5" s="24"/>
      <c r="H5" s="24"/>
      <c r="I5" s="24"/>
      <c r="J5" s="24"/>
      <c r="K5" s="24"/>
      <c r="L5" s="25"/>
      <c r="M5" s="25"/>
      <c r="N5" s="25"/>
      <c r="O5" s="25"/>
      <c r="P5" s="25"/>
    </row>
    <row r="6" spans="1:20" ht="14.4" customHeight="1" x14ac:dyDescent="0.3">
      <c r="A6" s="1" t="s">
        <v>71</v>
      </c>
      <c r="B6" s="4" t="s">
        <v>69</v>
      </c>
      <c r="G6" s="12">
        <v>53915</v>
      </c>
      <c r="H6" s="12">
        <v>63364</v>
      </c>
      <c r="I6" s="12">
        <v>94151</v>
      </c>
      <c r="J6" s="12">
        <v>106820</v>
      </c>
      <c r="K6" s="12">
        <v>120810</v>
      </c>
      <c r="L6" s="8">
        <f>K6*1.132</f>
        <v>136756.91999999998</v>
      </c>
      <c r="M6" s="8">
        <f>M8+M9+M10+M11</f>
        <v>153673.59200000003</v>
      </c>
      <c r="N6" s="8">
        <f>M6*1.11</f>
        <v>170577.68712000005</v>
      </c>
      <c r="O6" s="8"/>
      <c r="S6" s="8"/>
      <c r="T6" s="8"/>
    </row>
    <row r="7" spans="1:20" ht="14.4" customHeight="1" x14ac:dyDescent="0.3">
      <c r="B7" s="5" t="s">
        <v>11</v>
      </c>
      <c r="G7" s="11">
        <f>(G6-46398)/46398</f>
        <v>0.16201129359024097</v>
      </c>
      <c r="H7" s="11">
        <f>(H6-G6)/G6</f>
        <v>0.17525734953167021</v>
      </c>
      <c r="I7" s="11">
        <f>(I6-H6)/H6</f>
        <v>0.48587526040022727</v>
      </c>
      <c r="J7" s="11">
        <f>(J6-I6)/I6</f>
        <v>0.13456044014402396</v>
      </c>
      <c r="K7" s="11">
        <f>(K6-J6)/J6</f>
        <v>0.13096798352368472</v>
      </c>
      <c r="L7" s="11">
        <f t="shared" ref="L7:N7" si="0">(L6-K6)/K6</f>
        <v>0.13199999999999987</v>
      </c>
      <c r="M7" s="11">
        <f t="shared" si="0"/>
        <v>0.12369883732391788</v>
      </c>
      <c r="N7" s="11">
        <f t="shared" si="0"/>
        <v>0.11000000000000006</v>
      </c>
      <c r="O7" s="11"/>
      <c r="S7" s="8"/>
    </row>
    <row r="8" spans="1:20" ht="14.4" customHeight="1" x14ac:dyDescent="0.3">
      <c r="B8" s="22" t="s">
        <v>72</v>
      </c>
      <c r="G8" s="12">
        <f>(39872)*0.91</f>
        <v>36283.520000000004</v>
      </c>
      <c r="H8" s="12">
        <f>(44862)*0.91</f>
        <v>40824.42</v>
      </c>
      <c r="I8" s="12">
        <v>66949</v>
      </c>
      <c r="J8" s="12">
        <v>79969</v>
      </c>
      <c r="K8" s="12">
        <v>87767</v>
      </c>
      <c r="L8" s="8">
        <f>K8*1.1</f>
        <v>96543.700000000012</v>
      </c>
      <c r="M8" s="8">
        <f>L8*1.16</f>
        <v>111990.69200000001</v>
      </c>
      <c r="N8" s="8">
        <f>M8*1.125</f>
        <v>125989.52850000001</v>
      </c>
      <c r="P8" s="10"/>
      <c r="Q8" s="10"/>
      <c r="R8" s="10"/>
      <c r="S8" s="10"/>
    </row>
    <row r="9" spans="1:20" ht="14.4" customHeight="1" x14ac:dyDescent="0.3">
      <c r="B9" s="22" t="s">
        <v>74</v>
      </c>
      <c r="G9" s="12">
        <f>(39872)*0.09</f>
        <v>3588.48</v>
      </c>
      <c r="H9" s="12">
        <f>(44862)*0.09</f>
        <v>4037.58</v>
      </c>
      <c r="I9" s="12">
        <v>6417</v>
      </c>
      <c r="J9" s="12">
        <v>6648</v>
      </c>
      <c r="K9" s="12">
        <v>7404</v>
      </c>
      <c r="L9" s="8">
        <v>8284.33</v>
      </c>
      <c r="M9" s="8">
        <v>10179</v>
      </c>
      <c r="N9" s="8"/>
    </row>
    <row r="10" spans="1:20" ht="14.4" customHeight="1" x14ac:dyDescent="0.3">
      <c r="B10" s="22" t="s">
        <v>75</v>
      </c>
      <c r="G10" s="12">
        <v>3754</v>
      </c>
      <c r="H10" s="12">
        <v>4687</v>
      </c>
      <c r="I10" s="12">
        <v>5796</v>
      </c>
      <c r="J10" s="12">
        <v>6831</v>
      </c>
      <c r="K10" s="12">
        <v>7827</v>
      </c>
      <c r="L10" s="8">
        <v>8992.5</v>
      </c>
      <c r="M10" s="8">
        <v>10489.7</v>
      </c>
      <c r="N10" s="8"/>
    </row>
    <row r="11" spans="1:20" ht="14.4" customHeight="1" x14ac:dyDescent="0.3">
      <c r="B11" s="22" t="s">
        <v>76</v>
      </c>
      <c r="G11" s="12">
        <v>10289</v>
      </c>
      <c r="H11" s="12">
        <v>13816</v>
      </c>
      <c r="I11" s="12">
        <v>14989</v>
      </c>
      <c r="J11" s="12">
        <v>16372</v>
      </c>
      <c r="K11" s="12">
        <v>17812</v>
      </c>
      <c r="L11" s="8">
        <v>19492.400000000001</v>
      </c>
      <c r="M11" s="8">
        <v>21014.2</v>
      </c>
      <c r="N11" s="8">
        <f>M11*1.01</f>
        <v>21224.342000000001</v>
      </c>
    </row>
    <row r="12" spans="1:20" ht="14.4" customHeight="1" x14ac:dyDescent="0.3">
      <c r="L12" s="8"/>
      <c r="M12" s="8"/>
      <c r="N12" s="8"/>
      <c r="P12" s="8"/>
    </row>
    <row r="13" spans="1:20" ht="14.4" customHeight="1" x14ac:dyDescent="0.3">
      <c r="A13" s="1" t="s">
        <v>71</v>
      </c>
      <c r="B13" s="4" t="s">
        <v>68</v>
      </c>
      <c r="G13" s="12">
        <v>60080</v>
      </c>
      <c r="H13" s="12">
        <v>74965</v>
      </c>
      <c r="I13" s="12">
        <v>72944</v>
      </c>
      <c r="J13" s="8">
        <f>J15+J16+42</f>
        <v>87464</v>
      </c>
      <c r="K13" s="8">
        <f>K15+K16+70</f>
        <v>106265</v>
      </c>
      <c r="L13" s="8">
        <f>134294+495</f>
        <v>134789</v>
      </c>
      <c r="M13" s="8">
        <v>168062</v>
      </c>
      <c r="N13" s="8">
        <f>M13*1.25</f>
        <v>210077.5</v>
      </c>
    </row>
    <row r="14" spans="1:20" ht="14.4" customHeight="1" x14ac:dyDescent="0.3">
      <c r="B14" s="5" t="s">
        <v>11</v>
      </c>
      <c r="G14" s="11">
        <f>(G13-51700)/51700</f>
        <v>0.16208897485493229</v>
      </c>
      <c r="H14" s="11">
        <f>(H13-G13)/G13</f>
        <v>0.24775299600532624</v>
      </c>
      <c r="I14" s="11">
        <f>(I13-H13)/H13</f>
        <v>-2.6959247648902823E-2</v>
      </c>
      <c r="J14" s="11">
        <f>(J13-I13)/I13</f>
        <v>0.19905681070410178</v>
      </c>
      <c r="K14" s="11">
        <f>(K13-J13)/J13</f>
        <v>0.21495701088447819</v>
      </c>
      <c r="L14" s="11">
        <f t="shared" ref="L14:N14" si="1">(L13-K13)/K13</f>
        <v>0.26842328141909377</v>
      </c>
      <c r="M14" s="11">
        <f t="shared" si="1"/>
        <v>0.24685248796266757</v>
      </c>
      <c r="N14" s="11">
        <f t="shared" si="1"/>
        <v>0.25</v>
      </c>
    </row>
    <row r="15" spans="1:20" ht="14.4" customHeight="1" x14ac:dyDescent="0.3">
      <c r="B15" s="22" t="s">
        <v>77</v>
      </c>
      <c r="G15" s="12">
        <v>52589</v>
      </c>
      <c r="H15" s="12">
        <v>67350</v>
      </c>
      <c r="I15" s="12">
        <v>65007</v>
      </c>
      <c r="J15" s="12">
        <v>79828</v>
      </c>
      <c r="K15" s="12">
        <v>98435</v>
      </c>
      <c r="L15" s="8">
        <v>126629</v>
      </c>
      <c r="M15" s="8">
        <v>162267</v>
      </c>
      <c r="N15" s="8">
        <v>208714</v>
      </c>
    </row>
    <row r="16" spans="1:20" ht="14.4" customHeight="1" x14ac:dyDescent="0.3">
      <c r="B16" s="22" t="s">
        <v>78</v>
      </c>
      <c r="G16" s="12">
        <v>6943</v>
      </c>
      <c r="H16" s="12">
        <v>7407</v>
      </c>
      <c r="I16" s="12">
        <v>7722</v>
      </c>
      <c r="J16" s="12">
        <v>7594</v>
      </c>
      <c r="K16" s="12">
        <v>7760</v>
      </c>
      <c r="L16" s="8">
        <v>8096</v>
      </c>
      <c r="M16" s="8">
        <v>8358.33</v>
      </c>
    </row>
    <row r="17" spans="1:16" ht="14.4" customHeight="1" x14ac:dyDescent="0.3">
      <c r="J17" s="8"/>
    </row>
    <row r="18" spans="1:16" ht="14.4" customHeight="1" x14ac:dyDescent="0.3">
      <c r="B18" s="4" t="s">
        <v>79</v>
      </c>
      <c r="G18" s="12">
        <v>54093</v>
      </c>
      <c r="H18" s="12">
        <v>59941</v>
      </c>
      <c r="I18" s="12">
        <v>44820</v>
      </c>
      <c r="J18" s="8">
        <f>J20+J21+J22+3</f>
        <v>50838</v>
      </c>
      <c r="K18" s="8">
        <f>K20+K21+K22+2</f>
        <v>54649</v>
      </c>
      <c r="L18" s="8">
        <f>SUM(L20:L22)</f>
        <v>54804.42</v>
      </c>
      <c r="M18" s="8">
        <f>SUM(M20:M22)</f>
        <v>55742.869200000001</v>
      </c>
      <c r="N18" s="8">
        <f>M18*1.026</f>
        <v>57192.1837992</v>
      </c>
    </row>
    <row r="19" spans="1:16" ht="14.4" customHeight="1" x14ac:dyDescent="0.3">
      <c r="A19" s="1" t="s">
        <v>71</v>
      </c>
      <c r="B19" s="5" t="s">
        <v>11</v>
      </c>
      <c r="G19" s="11">
        <f>(G18-48251)/48251</f>
        <v>0.12107521087645852</v>
      </c>
      <c r="H19" s="11">
        <f>(H18-G18)/G18</f>
        <v>0.10811010666814561</v>
      </c>
      <c r="I19" s="11">
        <f>(I18-H18)/H18</f>
        <v>-0.25226472698153185</v>
      </c>
      <c r="J19" s="11">
        <f>(J18-I18)/I18</f>
        <v>0.13427041499330655</v>
      </c>
      <c r="K19" s="11">
        <f>(K18-J18)/J18</f>
        <v>7.4963609898107714E-2</v>
      </c>
      <c r="L19" s="11">
        <f t="shared" ref="L19" si="2">(L18-K18)/K18</f>
        <v>2.8439678676645181E-3</v>
      </c>
      <c r="M19" s="11">
        <f t="shared" ref="M19:N19" si="3">(M18-L18)/L18</f>
        <v>1.712360426403569E-2</v>
      </c>
      <c r="N19" s="11">
        <f t="shared" si="3"/>
        <v>2.5999999999999981E-2</v>
      </c>
    </row>
    <row r="20" spans="1:16" ht="14.4" customHeight="1" x14ac:dyDescent="0.3">
      <c r="B20" s="22" t="s">
        <v>80</v>
      </c>
      <c r="G20" s="12">
        <f>22488+7143</f>
        <v>29631</v>
      </c>
      <c r="H20" s="12">
        <f>24732+4687</f>
        <v>29419</v>
      </c>
      <c r="I20" s="12">
        <v>17147</v>
      </c>
      <c r="J20" s="12">
        <v>17026</v>
      </c>
      <c r="K20" s="12">
        <v>17314</v>
      </c>
      <c r="L20" s="8">
        <f>K20*0.94</f>
        <v>16275.16</v>
      </c>
      <c r="M20" s="8">
        <f>L20*0.99</f>
        <v>16112.4084</v>
      </c>
    </row>
    <row r="21" spans="1:16" ht="14.4" customHeight="1" x14ac:dyDescent="0.3">
      <c r="B21" s="22" t="s">
        <v>81</v>
      </c>
      <c r="G21" s="12">
        <v>7407</v>
      </c>
      <c r="H21" s="12">
        <v>7722</v>
      </c>
      <c r="I21" s="12">
        <v>12125</v>
      </c>
      <c r="J21" s="12">
        <v>12306</v>
      </c>
      <c r="K21" s="12">
        <v>13878</v>
      </c>
      <c r="L21" s="8">
        <f>K21*1.12</f>
        <v>15543.36</v>
      </c>
      <c r="M21" s="8">
        <f>L21*1.13</f>
        <v>17563.996800000001</v>
      </c>
    </row>
    <row r="22" spans="1:16" ht="14.4" customHeight="1" x14ac:dyDescent="0.3">
      <c r="B22" s="22" t="s">
        <v>82</v>
      </c>
      <c r="G22" s="12">
        <v>15370</v>
      </c>
      <c r="H22" s="12">
        <v>16230</v>
      </c>
      <c r="I22" s="12">
        <v>15466</v>
      </c>
      <c r="J22" s="12">
        <v>21503</v>
      </c>
      <c r="K22" s="12">
        <v>23455</v>
      </c>
      <c r="L22" s="8">
        <f>K22*0.98</f>
        <v>22985.899999999998</v>
      </c>
      <c r="M22" s="8">
        <f>L22*0.96</f>
        <v>22066.463999999996</v>
      </c>
    </row>
    <row r="23" spans="1:16" ht="14.4" customHeight="1" x14ac:dyDescent="0.3">
      <c r="B23" s="22"/>
      <c r="G23" s="12"/>
      <c r="H23" s="12"/>
      <c r="I23" s="12"/>
      <c r="J23" s="12"/>
      <c r="K23" s="12"/>
      <c r="L23" s="8"/>
      <c r="M23" s="8"/>
    </row>
    <row r="24" spans="1:16" ht="14.4" customHeight="1" x14ac:dyDescent="0.3">
      <c r="B24" s="4" t="s">
        <v>95</v>
      </c>
      <c r="C24" s="4"/>
      <c r="D24" s="4"/>
      <c r="E24" s="4"/>
      <c r="F24" s="4"/>
      <c r="G24" s="27">
        <f>G18+G13+G6</f>
        <v>168088</v>
      </c>
      <c r="H24" s="27">
        <f t="shared" ref="H24:N24" si="4">H18+H13+H6</f>
        <v>198270</v>
      </c>
      <c r="I24" s="27">
        <f t="shared" si="4"/>
        <v>211915</v>
      </c>
      <c r="J24" s="27">
        <f t="shared" si="4"/>
        <v>245122</v>
      </c>
      <c r="K24" s="27">
        <f t="shared" si="4"/>
        <v>281724</v>
      </c>
      <c r="L24" s="27">
        <f t="shared" si="4"/>
        <v>326350.33999999997</v>
      </c>
      <c r="M24" s="27">
        <f t="shared" si="4"/>
        <v>377478.46120000002</v>
      </c>
      <c r="N24" s="27">
        <f t="shared" si="4"/>
        <v>437847.37091920001</v>
      </c>
      <c r="O24" s="4"/>
      <c r="P24" s="4"/>
    </row>
    <row r="25" spans="1:16" ht="14.4" customHeight="1" x14ac:dyDescent="0.3">
      <c r="L25" s="8"/>
    </row>
    <row r="26" spans="1:16" ht="14.4" customHeight="1" x14ac:dyDescent="0.3">
      <c r="B26" s="2" t="s">
        <v>83</v>
      </c>
      <c r="C26" s="2"/>
      <c r="D26" s="2"/>
      <c r="E26" s="2"/>
      <c r="F26" s="2"/>
      <c r="G26" s="2">
        <v>2021</v>
      </c>
      <c r="H26" s="2">
        <f>G26+1</f>
        <v>2022</v>
      </c>
      <c r="I26" s="2">
        <f>H26+1</f>
        <v>2023</v>
      </c>
      <c r="J26" s="2">
        <f>I26+1</f>
        <v>2024</v>
      </c>
      <c r="K26" s="2">
        <f>J26+1</f>
        <v>2025</v>
      </c>
      <c r="L26" s="3" t="s">
        <v>5</v>
      </c>
      <c r="M26" s="3" t="s">
        <v>6</v>
      </c>
      <c r="N26" s="3" t="s">
        <v>7</v>
      </c>
      <c r="O26" s="3" t="s">
        <v>8</v>
      </c>
      <c r="P26" s="3" t="s">
        <v>9</v>
      </c>
    </row>
    <row r="27" spans="1:16" s="23" customFormat="1" ht="1.95" customHeight="1" x14ac:dyDescent="0.3"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5"/>
      <c r="M27" s="25"/>
      <c r="N27" s="25"/>
      <c r="O27" s="25"/>
      <c r="P27" s="25"/>
    </row>
    <row r="28" spans="1:16" ht="14.4" customHeight="1" x14ac:dyDescent="0.3">
      <c r="B28" s="1" t="s">
        <v>69</v>
      </c>
      <c r="G28" s="12">
        <v>24351</v>
      </c>
      <c r="H28" s="12">
        <v>29690</v>
      </c>
      <c r="I28" s="12">
        <v>50074</v>
      </c>
      <c r="J28" s="12">
        <v>59661</v>
      </c>
      <c r="K28" s="12">
        <v>69773</v>
      </c>
      <c r="L28" s="8">
        <f>L6*0.5758</f>
        <v>78744.634535999983</v>
      </c>
      <c r="M28" s="8">
        <f>M6*0.5555</f>
        <v>85365.680356000012</v>
      </c>
      <c r="N28" s="8">
        <f>N6*0.58</f>
        <v>98935.058529600021</v>
      </c>
    </row>
    <row r="29" spans="1:16" ht="14.4" customHeight="1" x14ac:dyDescent="0.3">
      <c r="B29" s="5" t="s">
        <v>84</v>
      </c>
      <c r="G29" s="11">
        <f t="shared" ref="G29:N29" si="5">G28/G6</f>
        <v>0.45165538347398682</v>
      </c>
      <c r="H29" s="11">
        <f t="shared" si="5"/>
        <v>0.46856259074553375</v>
      </c>
      <c r="I29" s="11">
        <f t="shared" si="5"/>
        <v>0.53184777644422254</v>
      </c>
      <c r="J29" s="11">
        <f t="shared" si="5"/>
        <v>0.55851900393184795</v>
      </c>
      <c r="K29" s="11">
        <f t="shared" si="5"/>
        <v>0.57754324973098259</v>
      </c>
      <c r="L29" s="11">
        <f t="shared" si="5"/>
        <v>0.57579999999999998</v>
      </c>
      <c r="M29" s="11">
        <f t="shared" si="5"/>
        <v>0.55549999999999999</v>
      </c>
      <c r="N29" s="11">
        <f t="shared" si="5"/>
        <v>0.57999999999999996</v>
      </c>
    </row>
    <row r="31" spans="1:16" ht="14.4" customHeight="1" x14ac:dyDescent="0.3">
      <c r="B31" s="1" t="s">
        <v>68</v>
      </c>
      <c r="G31" s="12">
        <v>26126</v>
      </c>
      <c r="H31" s="12">
        <v>33203</v>
      </c>
      <c r="I31" s="12">
        <v>28411</v>
      </c>
      <c r="J31" s="12">
        <v>37813</v>
      </c>
      <c r="K31" s="12">
        <v>44589</v>
      </c>
      <c r="L31" s="8">
        <f>L13*0.435</f>
        <v>58633.214999999997</v>
      </c>
      <c r="M31" s="8">
        <f>M13*0.44925</f>
        <v>75501.853499999997</v>
      </c>
      <c r="N31" s="8">
        <f>N13*0.447</f>
        <v>93904.642500000002</v>
      </c>
    </row>
    <row r="32" spans="1:16" ht="14.4" customHeight="1" x14ac:dyDescent="0.3">
      <c r="B32" s="5" t="s">
        <v>84</v>
      </c>
      <c r="G32" s="11">
        <f t="shared" ref="G32:N32" si="6">G31/G13</f>
        <v>0.43485352862849536</v>
      </c>
      <c r="H32" s="11">
        <f t="shared" si="6"/>
        <v>0.44291335956779831</v>
      </c>
      <c r="I32" s="11">
        <f t="shared" si="6"/>
        <v>0.38949056810704102</v>
      </c>
      <c r="J32" s="11">
        <f t="shared" si="6"/>
        <v>0.43232644287935607</v>
      </c>
      <c r="K32" s="11">
        <f t="shared" si="6"/>
        <v>0.41960193854985178</v>
      </c>
      <c r="L32" s="11">
        <f t="shared" si="6"/>
        <v>0.435</v>
      </c>
      <c r="M32" s="11">
        <f t="shared" si="6"/>
        <v>0.44924999999999998</v>
      </c>
      <c r="N32" s="11">
        <f t="shared" si="6"/>
        <v>0.44700000000000001</v>
      </c>
    </row>
    <row r="34" spans="2:16" ht="14.4" customHeight="1" x14ac:dyDescent="0.3">
      <c r="B34" s="1" t="s">
        <v>79</v>
      </c>
      <c r="G34" s="12">
        <v>19439</v>
      </c>
      <c r="H34" s="12">
        <v>20490</v>
      </c>
      <c r="I34" s="12">
        <v>10038</v>
      </c>
      <c r="J34" s="12">
        <v>11959</v>
      </c>
      <c r="K34" s="12">
        <v>14166</v>
      </c>
      <c r="L34" s="8">
        <f>L18*0.2623</f>
        <v>14375.199365999999</v>
      </c>
      <c r="M34" s="8">
        <f>M18*0.263</f>
        <v>14660.374599600002</v>
      </c>
      <c r="N34" s="8">
        <f>N18*0.265</f>
        <v>15155.928706788001</v>
      </c>
    </row>
    <row r="35" spans="2:16" ht="14.4" customHeight="1" x14ac:dyDescent="0.3">
      <c r="B35" s="5" t="s">
        <v>84</v>
      </c>
      <c r="G35" s="11">
        <f>G34/G18</f>
        <v>0.359362579261642</v>
      </c>
      <c r="H35" s="11">
        <f t="shared" ref="H35:N35" si="7">H34/H18</f>
        <v>0.34183613886988873</v>
      </c>
      <c r="I35" s="11">
        <f t="shared" si="7"/>
        <v>0.22396251673360107</v>
      </c>
      <c r="J35" s="11">
        <f t="shared" si="7"/>
        <v>0.23523742082694049</v>
      </c>
      <c r="K35" s="11">
        <f t="shared" si="7"/>
        <v>0.25921791798569049</v>
      </c>
      <c r="L35" s="11">
        <f t="shared" si="7"/>
        <v>0.26229999999999998</v>
      </c>
      <c r="M35" s="11">
        <f t="shared" si="7"/>
        <v>0.26300000000000001</v>
      </c>
      <c r="N35" s="11">
        <f t="shared" si="7"/>
        <v>0.26500000000000001</v>
      </c>
    </row>
    <row r="36" spans="2:16" ht="14.4" customHeight="1" x14ac:dyDescent="0.3">
      <c r="B36" s="5"/>
      <c r="G36" s="11"/>
      <c r="H36" s="11"/>
      <c r="I36" s="11"/>
      <c r="J36" s="11"/>
      <c r="K36" s="11"/>
      <c r="L36" s="11"/>
      <c r="M36" s="11"/>
      <c r="N36" s="11"/>
    </row>
    <row r="37" spans="2:16" ht="14.4" customHeight="1" x14ac:dyDescent="0.3">
      <c r="B37" s="4" t="s">
        <v>96</v>
      </c>
      <c r="C37" s="4"/>
      <c r="D37" s="4"/>
      <c r="E37" s="4"/>
      <c r="F37" s="4"/>
      <c r="G37" s="27">
        <f>G28+G31+G34</f>
        <v>69916</v>
      </c>
      <c r="H37" s="27">
        <f t="shared" ref="H37:N37" si="8">H28+H31+H34</f>
        <v>83383</v>
      </c>
      <c r="I37" s="27">
        <f t="shared" si="8"/>
        <v>88523</v>
      </c>
      <c r="J37" s="27">
        <f t="shared" si="8"/>
        <v>109433</v>
      </c>
      <c r="K37" s="27">
        <f t="shared" si="8"/>
        <v>128528</v>
      </c>
      <c r="L37" s="27">
        <f t="shared" si="8"/>
        <v>151753.04890199998</v>
      </c>
      <c r="M37" s="27">
        <f t="shared" si="8"/>
        <v>175527.9084556</v>
      </c>
      <c r="N37" s="27">
        <f t="shared" si="8"/>
        <v>207995.62973638801</v>
      </c>
      <c r="O37" s="4"/>
      <c r="P37" s="4"/>
    </row>
    <row r="39" spans="2:16" ht="14.4" customHeight="1" x14ac:dyDescent="0.3">
      <c r="B39" s="2" t="s">
        <v>89</v>
      </c>
      <c r="C39" s="2"/>
      <c r="D39" s="2"/>
      <c r="E39" s="2"/>
      <c r="F39" s="2"/>
      <c r="G39" s="2">
        <v>2021</v>
      </c>
      <c r="H39" s="2">
        <f>G39+1</f>
        <v>2022</v>
      </c>
      <c r="I39" s="2">
        <f>H39+1</f>
        <v>2023</v>
      </c>
      <c r="J39" s="2">
        <f>I39+1</f>
        <v>2024</v>
      </c>
      <c r="K39" s="2">
        <f>J39+1</f>
        <v>2025</v>
      </c>
      <c r="L39" s="3" t="s">
        <v>5</v>
      </c>
      <c r="M39" s="3" t="s">
        <v>6</v>
      </c>
      <c r="N39" s="3" t="s">
        <v>7</v>
      </c>
      <c r="O39" s="3" t="s">
        <v>8</v>
      </c>
      <c r="P39" s="3" t="s">
        <v>9</v>
      </c>
    </row>
    <row r="40" spans="2:16" s="23" customFormat="1" ht="1.95" customHeight="1" x14ac:dyDescent="0.3"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5"/>
      <c r="M40" s="25"/>
      <c r="N40" s="25"/>
      <c r="O40" s="25"/>
      <c r="P40" s="25"/>
    </row>
    <row r="41" spans="2:16" ht="14.4" customHeight="1" x14ac:dyDescent="0.3">
      <c r="B41" s="1" t="s">
        <v>87</v>
      </c>
      <c r="G41" s="12">
        <v>83953</v>
      </c>
      <c r="H41" s="12">
        <v>100218</v>
      </c>
      <c r="I41" s="12">
        <v>106744</v>
      </c>
      <c r="J41" s="12">
        <v>124704</v>
      </c>
      <c r="K41" s="12">
        <v>144546</v>
      </c>
    </row>
    <row r="42" spans="2:16" ht="14.4" customHeight="1" x14ac:dyDescent="0.3">
      <c r="B42" s="5" t="s">
        <v>11</v>
      </c>
      <c r="G42" s="11">
        <f>(G41-73160)/73160</f>
        <v>0.14752597047566976</v>
      </c>
      <c r="H42" s="11">
        <f>(H41-G41)/G41</f>
        <v>0.19373935416244803</v>
      </c>
      <c r="I42" s="11">
        <f t="shared" ref="I42:K42" si="9">(I41-H41)/H41</f>
        <v>6.5118042666985967E-2</v>
      </c>
      <c r="J42" s="11">
        <f t="shared" si="9"/>
        <v>0.16825301656299183</v>
      </c>
      <c r="K42" s="11">
        <f t="shared" si="9"/>
        <v>0.159112779060816</v>
      </c>
      <c r="L42" s="11"/>
      <c r="M42" s="11"/>
    </row>
    <row r="43" spans="2:16" ht="14.4" customHeight="1" x14ac:dyDescent="0.3">
      <c r="B43" s="1" t="s">
        <v>88</v>
      </c>
      <c r="G43" s="12">
        <v>84135</v>
      </c>
      <c r="H43" s="12">
        <v>98052</v>
      </c>
      <c r="I43" s="12">
        <v>105171</v>
      </c>
      <c r="J43" s="12">
        <v>120518</v>
      </c>
      <c r="K43" s="12">
        <v>137178</v>
      </c>
    </row>
    <row r="44" spans="2:16" ht="14.4" customHeight="1" x14ac:dyDescent="0.3">
      <c r="B44" s="5" t="s">
        <v>11</v>
      </c>
      <c r="G44" s="11">
        <f>(G43-69855)/69855</f>
        <v>0.20442344857204209</v>
      </c>
      <c r="H44" s="11">
        <f t="shared" ref="H44:K44" si="10">(H43-G43)/G43</f>
        <v>0.1654127295418078</v>
      </c>
      <c r="I44" s="11">
        <f t="shared" si="10"/>
        <v>7.260433239505569E-2</v>
      </c>
      <c r="J44" s="11">
        <f t="shared" si="10"/>
        <v>0.14592425668672923</v>
      </c>
      <c r="K44" s="11">
        <f t="shared" si="10"/>
        <v>0.13823661195837966</v>
      </c>
      <c r="L44" s="11"/>
      <c r="M44" s="11"/>
    </row>
    <row r="46" spans="2:16" ht="14.4" customHeight="1" x14ac:dyDescent="0.3">
      <c r="B46" s="2" t="s">
        <v>67</v>
      </c>
      <c r="C46" s="2"/>
      <c r="D46" s="2"/>
      <c r="E46" s="2"/>
      <c r="F46" s="2"/>
      <c r="G46" s="2">
        <v>2021</v>
      </c>
      <c r="H46" s="2">
        <f>G46+1</f>
        <v>2022</v>
      </c>
      <c r="I46" s="2">
        <f>H46+1</f>
        <v>2023</v>
      </c>
      <c r="J46" s="2">
        <f>I46+1</f>
        <v>2024</v>
      </c>
      <c r="K46" s="2">
        <f>J46+1</f>
        <v>2025</v>
      </c>
      <c r="L46" s="3" t="s">
        <v>5</v>
      </c>
      <c r="M46" s="3" t="s">
        <v>6</v>
      </c>
      <c r="N46" s="3" t="s">
        <v>7</v>
      </c>
      <c r="O46" s="3" t="s">
        <v>8</v>
      </c>
      <c r="P46" s="3" t="s">
        <v>9</v>
      </c>
    </row>
    <row r="47" spans="2:16" s="23" customFormat="1" ht="1.95" customHeight="1" x14ac:dyDescent="0.3"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5"/>
      <c r="M47" s="25"/>
      <c r="N47" s="25"/>
      <c r="O47" s="25"/>
      <c r="P47" s="25"/>
    </row>
    <row r="48" spans="2:16" ht="14.4" customHeight="1" x14ac:dyDescent="0.3">
      <c r="B48" s="1" t="s">
        <v>90</v>
      </c>
      <c r="C48" s="24"/>
      <c r="D48" s="24"/>
      <c r="E48" s="24"/>
      <c r="F48" s="24"/>
      <c r="G48" s="12">
        <v>173049</v>
      </c>
      <c r="H48" s="12">
        <v>202537</v>
      </c>
      <c r="I48" s="12">
        <v>217320</v>
      </c>
      <c r="J48" s="12">
        <v>268695</v>
      </c>
      <c r="K48" s="12">
        <v>288805</v>
      </c>
      <c r="L48" s="25">
        <v>333705</v>
      </c>
      <c r="M48" s="25" t="s">
        <v>73</v>
      </c>
      <c r="N48" s="25" t="s">
        <v>73</v>
      </c>
      <c r="O48" s="25"/>
      <c r="P48" s="25"/>
    </row>
    <row r="49" spans="2:16" ht="14.4" customHeight="1" x14ac:dyDescent="0.3">
      <c r="B49" s="1" t="s">
        <v>94</v>
      </c>
      <c r="G49" s="12">
        <v>141000</v>
      </c>
      <c r="H49" s="12">
        <v>189000</v>
      </c>
      <c r="I49" s="12">
        <v>224000</v>
      </c>
      <c r="J49" s="12">
        <v>269000</v>
      </c>
      <c r="K49" s="12">
        <v>368000</v>
      </c>
      <c r="L49" s="12">
        <v>392000</v>
      </c>
    </row>
    <row r="50" spans="2:16" ht="14.4" customHeight="1" x14ac:dyDescent="0.3">
      <c r="B50" s="5" t="s">
        <v>91</v>
      </c>
      <c r="G50" s="11">
        <v>0.498</v>
      </c>
      <c r="H50" s="11">
        <v>0.45</v>
      </c>
      <c r="I50" s="11">
        <v>0.28999999999999998</v>
      </c>
      <c r="J50" s="11">
        <v>0.3</v>
      </c>
      <c r="K50" s="11">
        <v>0.34200000000000003</v>
      </c>
      <c r="L50" s="11">
        <v>0.38</v>
      </c>
      <c r="M50" s="11">
        <v>0.34300000000000003</v>
      </c>
      <c r="N50" s="11">
        <v>0.28100000000000003</v>
      </c>
    </row>
    <row r="51" spans="2:16" ht="14.4" customHeight="1" x14ac:dyDescent="0.3">
      <c r="B51" s="5" t="s">
        <v>92</v>
      </c>
      <c r="G51" s="11"/>
      <c r="H51" s="11">
        <v>0.47</v>
      </c>
      <c r="I51" s="11">
        <v>0.34</v>
      </c>
      <c r="J51" s="11">
        <v>0.28999999999999998</v>
      </c>
      <c r="K51" s="11">
        <v>0.34699999999999998</v>
      </c>
      <c r="L51" s="11">
        <v>0.375</v>
      </c>
      <c r="M51" s="11">
        <v>0.34499999999999997</v>
      </c>
      <c r="N51" s="11">
        <v>0.29699999999999999</v>
      </c>
    </row>
    <row r="52" spans="2:16" ht="14.4" customHeight="1" x14ac:dyDescent="0.3">
      <c r="B52" s="1" t="s">
        <v>93</v>
      </c>
      <c r="G52" s="12"/>
      <c r="H52" s="12"/>
      <c r="I52" s="12">
        <v>31900</v>
      </c>
      <c r="J52" s="12">
        <v>55700</v>
      </c>
      <c r="K52" s="12">
        <v>88200</v>
      </c>
      <c r="L52" s="8">
        <f>K52*1.62</f>
        <v>142884</v>
      </c>
      <c r="M52" s="8">
        <f>L52*1.116</f>
        <v>159458.54400000002</v>
      </c>
      <c r="N52" s="8">
        <f>M52*1.045</f>
        <v>166634.17848</v>
      </c>
    </row>
    <row r="53" spans="2:16" ht="14.4" customHeight="1" x14ac:dyDescent="0.3">
      <c r="B53" s="1" t="s">
        <v>104</v>
      </c>
      <c r="L53" s="8">
        <f>Main!J36*L55</f>
        <v>178951.92297110698</v>
      </c>
      <c r="M53" s="8">
        <f>Main!K36*M55</f>
        <v>209859.54261503436</v>
      </c>
      <c r="N53" s="8">
        <f>Main!L36*N55</f>
        <v>240714.48503974153</v>
      </c>
    </row>
    <row r="54" spans="2:16" ht="14.4" customHeight="1" x14ac:dyDescent="0.3">
      <c r="B54" s="1" t="s">
        <v>105</v>
      </c>
      <c r="L54" s="8">
        <f>Main!J36-L53</f>
        <v>57569.254627501243</v>
      </c>
      <c r="M54" s="8">
        <f>Main!K36-M53</f>
        <v>64897.648554164829</v>
      </c>
      <c r="N54" s="8">
        <f>Main!L36-N53</f>
        <v>72552.674043732608</v>
      </c>
    </row>
    <row r="55" spans="2:16" ht="14.4" customHeight="1" x14ac:dyDescent="0.3">
      <c r="B55" s="5" t="s">
        <v>106</v>
      </c>
      <c r="C55" s="5"/>
      <c r="D55" s="5"/>
      <c r="E55" s="5"/>
      <c r="F55" s="5"/>
      <c r="G55" s="5"/>
      <c r="H55" s="5"/>
      <c r="I55" s="5"/>
      <c r="J55" s="5"/>
      <c r="K55" s="5"/>
      <c r="L55" s="11">
        <v>0.75660000000000005</v>
      </c>
      <c r="M55" s="11">
        <v>0.76380000000000003</v>
      </c>
      <c r="N55" s="11">
        <v>0.76839999999999997</v>
      </c>
    </row>
    <row r="56" spans="2:16" ht="14.4" customHeight="1" x14ac:dyDescent="0.3">
      <c r="B56" s="1" t="s">
        <v>107</v>
      </c>
      <c r="L56" s="13">
        <f>-40000*0.27</f>
        <v>-10800</v>
      </c>
      <c r="M56" s="13">
        <f>-27500*0.27</f>
        <v>-7425.0000000000009</v>
      </c>
      <c r="N56" s="13">
        <f>-12500*0.27</f>
        <v>-3375</v>
      </c>
      <c r="O56" s="13"/>
      <c r="P56" s="13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A12:A69"/>
  <sheetViews>
    <sheetView showGridLines="0" topLeftCell="A66" zoomScale="115" zoomScaleNormal="115" workbookViewId="0">
      <selection activeCell="A81" sqref="A1:AK81"/>
    </sheetView>
  </sheetViews>
  <sheetFormatPr defaultColWidth="8.69921875" defaultRowHeight="14.4" x14ac:dyDescent="0.3"/>
  <cols>
    <col min="1" max="5" width="8.69921875" style="1"/>
    <col min="6" max="6" width="9.796875" style="1" bestFit="1" customWidth="1"/>
    <col min="7" max="16384" width="8.69921875" style="1"/>
  </cols>
  <sheetData>
    <row r="12" ht="15.6" customHeight="1" x14ac:dyDescent="0.3"/>
    <row r="13" ht="15.6" customHeight="1" x14ac:dyDescent="0.3"/>
    <row r="14" ht="15.6" customHeight="1" x14ac:dyDescent="0.3"/>
    <row r="16" ht="15.6" customHeight="1" x14ac:dyDescent="0.3"/>
    <row r="18" ht="15.6" customHeight="1" x14ac:dyDescent="0.3"/>
    <row r="19" ht="15.6" customHeight="1" x14ac:dyDescent="0.3"/>
    <row r="20" ht="15.6" customHeight="1" x14ac:dyDescent="0.3"/>
    <row r="21" ht="15.6" customHeight="1" x14ac:dyDescent="0.3"/>
    <row r="22" ht="15.6" customHeight="1" x14ac:dyDescent="0.3"/>
    <row r="23" ht="15.6" customHeight="1" x14ac:dyDescent="0.3"/>
    <row r="24" ht="15.6" customHeight="1" x14ac:dyDescent="0.3"/>
    <row r="25" ht="15.6" customHeight="1" x14ac:dyDescent="0.3"/>
    <row r="26" ht="15.6" customHeight="1" x14ac:dyDescent="0.3"/>
    <row r="27" ht="15.6" customHeight="1" x14ac:dyDescent="0.3"/>
    <row r="29" ht="15.6" customHeight="1" x14ac:dyDescent="0.3"/>
    <row r="30" ht="15.6" customHeight="1" x14ac:dyDescent="0.3"/>
    <row r="31" ht="15.6" customHeight="1" x14ac:dyDescent="0.3"/>
    <row r="32" ht="15.6" customHeight="1" x14ac:dyDescent="0.3"/>
    <row r="37" ht="15.6" customHeight="1" x14ac:dyDescent="0.3"/>
    <row r="38" ht="15.6" customHeight="1" x14ac:dyDescent="0.3"/>
    <row r="39" ht="15.6" customHeight="1" x14ac:dyDescent="0.3"/>
    <row r="40" ht="15.6" customHeight="1" x14ac:dyDescent="0.3"/>
    <row r="41" ht="15.6" customHeight="1" x14ac:dyDescent="0.3"/>
    <row r="42" ht="15.6" customHeight="1" x14ac:dyDescent="0.3"/>
    <row r="43" ht="15.6" customHeight="1" x14ac:dyDescent="0.3"/>
    <row r="46" ht="15.6" customHeight="1" x14ac:dyDescent="0.3"/>
    <row r="47" ht="15.6" customHeight="1" x14ac:dyDescent="0.3"/>
    <row r="48" ht="15.6" customHeight="1" x14ac:dyDescent="0.3"/>
    <row r="54" ht="15.6" customHeight="1" x14ac:dyDescent="0.3"/>
    <row r="55" ht="15.6" customHeight="1" x14ac:dyDescent="0.3"/>
    <row r="57" ht="15.6" customHeight="1" x14ac:dyDescent="0.3"/>
    <row r="58" ht="15.6" customHeight="1" x14ac:dyDescent="0.3"/>
    <row r="59" ht="15.6" customHeight="1" x14ac:dyDescent="0.3"/>
    <row r="63" ht="15.6" customHeight="1" x14ac:dyDescent="0.3"/>
    <row r="67" ht="15.6" customHeight="1" x14ac:dyDescent="0.3"/>
    <row r="69" ht="15.6" customHeight="1" x14ac:dyDescent="0.3"/>
  </sheetData>
  <sortState xmlns:xlrd2="http://schemas.microsoft.com/office/spreadsheetml/2017/richdata2" ref="B72:F80">
    <sortCondition descending="1" ref="F72:F80"/>
  </sortState>
  <conditionalFormatting sqref="R5:AJ5">
    <cfRule type="colorScale" priority="3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R8:AJ8">
    <cfRule type="colorScale" priority="2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S10:S15">
    <cfRule type="colorScale" priority="6">
      <colorScale>
        <cfvo type="min"/>
        <cfvo type="num" val="0"/>
        <cfvo type="max"/>
        <color rgb="FFFF0000"/>
        <color theme="2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Segments</vt:lpstr>
      <vt:lpstr>Extras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2026-01-11T10:52:56Z</dcterms:modified>
</cp:coreProperties>
</file>