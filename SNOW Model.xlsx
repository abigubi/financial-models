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erem\OneDrive\Masaüstü\Financial Models\"/>
    </mc:Choice>
  </mc:AlternateContent>
  <xr:revisionPtr revIDLastSave="0" documentId="13_ncr:1_{03F6A84C-341A-4AA6-BBB2-56C47AE14B88}" xr6:coauthVersionLast="47" xr6:coauthVersionMax="47" xr10:uidLastSave="{00000000-0000-0000-0000-000000000000}"/>
  <bookViews>
    <workbookView xWindow="31920" yWindow="2184" windowWidth="26172" windowHeight="14028" xr2:uid="{64BEE0EA-45A1-4490-9445-11F5F6D37C44}"/>
  </bookViews>
  <sheets>
    <sheet name="Main" sheetId="1" r:id="rId1"/>
    <sheet name="Segments" sheetId="3" r:id="rId2"/>
    <sheet name="Extra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7" i="1" l="1"/>
  <c r="M27" i="1"/>
  <c r="L27" i="1"/>
  <c r="K27" i="1"/>
  <c r="K115" i="1"/>
  <c r="J48" i="1"/>
  <c r="I48" i="1"/>
  <c r="H48" i="1"/>
  <c r="L2" i="3"/>
  <c r="L15" i="3"/>
  <c r="L4" i="3"/>
  <c r="K4" i="3"/>
  <c r="J4" i="3"/>
  <c r="I4" i="3"/>
  <c r="H4" i="3"/>
  <c r="G4" i="3"/>
  <c r="L12" i="3"/>
  <c r="K12" i="3"/>
  <c r="J12" i="3"/>
  <c r="I12" i="3"/>
  <c r="H12" i="3"/>
  <c r="L8" i="3"/>
  <c r="K8" i="3"/>
  <c r="J8" i="3"/>
  <c r="I8" i="3"/>
  <c r="H8" i="3"/>
  <c r="C2" i="4" a="1"/>
  <c r="P10" i="1"/>
  <c r="P96" i="1"/>
  <c r="O96" i="1"/>
  <c r="N96" i="1"/>
  <c r="M96" i="1"/>
  <c r="L96" i="1"/>
  <c r="K96" i="1"/>
  <c r="K66" i="1"/>
  <c r="J110" i="1"/>
  <c r="I110" i="1"/>
  <c r="H110" i="1"/>
  <c r="I95" i="1"/>
  <c r="H95" i="1"/>
  <c r="G95" i="1"/>
  <c r="F95" i="1"/>
  <c r="E95" i="1"/>
  <c r="J95" i="1"/>
  <c r="G89" i="1"/>
  <c r="F89" i="1"/>
  <c r="E89" i="1"/>
  <c r="I89" i="1"/>
  <c r="H89" i="1"/>
  <c r="J89" i="1"/>
  <c r="J83" i="1"/>
  <c r="I83" i="1"/>
  <c r="H83" i="1"/>
  <c r="H80" i="1"/>
  <c r="I80" i="1"/>
  <c r="J80" i="1"/>
  <c r="J77" i="1"/>
  <c r="I77" i="1"/>
  <c r="H77" i="1"/>
  <c r="J73" i="1"/>
  <c r="I73" i="1"/>
  <c r="H73" i="1"/>
  <c r="J67" i="1"/>
  <c r="I67" i="1"/>
  <c r="H67" i="1"/>
  <c r="G67" i="1"/>
  <c r="E67" i="1"/>
  <c r="F67" i="1"/>
  <c r="I51" i="1"/>
  <c r="J51" i="1"/>
  <c r="J55" i="1"/>
  <c r="I55" i="1"/>
  <c r="H55" i="1"/>
  <c r="G55" i="1"/>
  <c r="F55" i="1"/>
  <c r="E55" i="1"/>
  <c r="J43" i="1"/>
  <c r="I43" i="1"/>
  <c r="H43" i="1"/>
  <c r="G43" i="1"/>
  <c r="F43" i="1"/>
  <c r="E43" i="1"/>
  <c r="J40" i="1"/>
  <c r="I40" i="1"/>
  <c r="H40" i="1"/>
  <c r="G40" i="1"/>
  <c r="F40" i="1"/>
  <c r="E40" i="1"/>
  <c r="J37" i="1"/>
  <c r="I37" i="1"/>
  <c r="H37" i="1"/>
  <c r="G37" i="1"/>
  <c r="F37" i="1"/>
  <c r="E37" i="1"/>
  <c r="J31" i="1"/>
  <c r="I31" i="1"/>
  <c r="H31" i="1"/>
  <c r="G31" i="1"/>
  <c r="F31" i="1"/>
  <c r="E31" i="1"/>
  <c r="J33" i="1"/>
  <c r="I33" i="1"/>
  <c r="H33" i="1"/>
  <c r="G33" i="1"/>
  <c r="F33" i="1"/>
  <c r="E33" i="1"/>
  <c r="J28" i="1"/>
  <c r="I28" i="1"/>
  <c r="H28" i="1"/>
  <c r="G28" i="1"/>
  <c r="F28" i="1"/>
  <c r="E28" i="1"/>
  <c r="H15" i="3"/>
  <c r="I15" i="3" s="1"/>
  <c r="J15" i="3" s="1"/>
  <c r="K15" i="3" s="1"/>
  <c r="H2" i="3"/>
  <c r="I2" i="3" s="1"/>
  <c r="J2" i="3" s="1"/>
  <c r="K2" i="3" s="1"/>
  <c r="J49" i="1" l="1"/>
  <c r="I49" i="1"/>
  <c r="H49" i="1"/>
  <c r="G49" i="1"/>
  <c r="F49" i="1"/>
  <c r="E49" i="1"/>
  <c r="J85" i="1"/>
  <c r="I85" i="1"/>
  <c r="H84" i="1"/>
  <c r="I106" i="1"/>
  <c r="I84" i="1"/>
  <c r="H85" i="1"/>
  <c r="H106" i="1"/>
  <c r="J106" i="1"/>
  <c r="J84" i="1"/>
  <c r="L115" i="1"/>
  <c r="M115" i="1" s="1"/>
  <c r="N115" i="1" s="1"/>
  <c r="O115" i="1" s="1"/>
  <c r="P115" i="1" s="1"/>
  <c r="G90" i="1"/>
  <c r="K67" i="1"/>
  <c r="K54" i="1"/>
  <c r="K110" i="1"/>
  <c r="K36" i="1"/>
  <c r="H103" i="1"/>
  <c r="H104" i="1" s="1"/>
  <c r="F90" i="1"/>
  <c r="K89" i="1"/>
  <c r="K83" i="1"/>
  <c r="K106" i="1" s="1"/>
  <c r="K107" i="1" s="1"/>
  <c r="L66" i="1"/>
  <c r="L67" i="1" s="1"/>
  <c r="K42" i="1"/>
  <c r="K43" i="1" s="1"/>
  <c r="K30" i="1"/>
  <c r="I103" i="1"/>
  <c r="I104" i="1" s="1"/>
  <c r="H90" i="1"/>
  <c r="K39" i="1"/>
  <c r="K40" i="1" s="1"/>
  <c r="J103" i="1"/>
  <c r="J104" i="1" s="1"/>
  <c r="J90" i="1"/>
  <c r="I90" i="1"/>
  <c r="E90" i="1"/>
  <c r="J81" i="1"/>
  <c r="I81" i="1"/>
  <c r="H81" i="1"/>
  <c r="L13" i="3"/>
  <c r="K9" i="3"/>
  <c r="H9" i="3"/>
  <c r="L5" i="3"/>
  <c r="I5" i="3"/>
  <c r="K13" i="3"/>
  <c r="J5" i="3"/>
  <c r="J13" i="3"/>
  <c r="I13" i="3"/>
  <c r="I9" i="3"/>
  <c r="G13" i="3"/>
  <c r="J9" i="3"/>
  <c r="K5" i="3"/>
  <c r="H13" i="3"/>
  <c r="G9" i="3"/>
  <c r="H5" i="3"/>
  <c r="L9" i="3"/>
  <c r="E9" i="1"/>
  <c r="K28" i="1"/>
  <c r="K90" i="1" s="1"/>
  <c r="H78" i="1"/>
  <c r="H100" i="1"/>
  <c r="J74" i="1"/>
  <c r="I74" i="1"/>
  <c r="H74" i="1"/>
  <c r="I100" i="1"/>
  <c r="I78" i="1"/>
  <c r="J100" i="1"/>
  <c r="J101" i="1" s="1"/>
  <c r="J78" i="1"/>
  <c r="E45" i="1"/>
  <c r="E92" i="1" s="1"/>
  <c r="E98" i="1" s="1"/>
  <c r="I45" i="1"/>
  <c r="I92" i="1" s="1"/>
  <c r="I98" i="1" s="1"/>
  <c r="H45" i="1"/>
  <c r="H92" i="1" s="1"/>
  <c r="H98" i="1" s="1"/>
  <c r="J45" i="1"/>
  <c r="J92" i="1" s="1"/>
  <c r="J98" i="1" s="1"/>
  <c r="F45" i="1"/>
  <c r="F92" i="1" s="1"/>
  <c r="F98" i="1" s="1"/>
  <c r="G45" i="1"/>
  <c r="G92" i="1" s="1"/>
  <c r="G98" i="1" s="1"/>
  <c r="J34" i="1"/>
  <c r="H34" i="1"/>
  <c r="F34" i="1"/>
  <c r="I34" i="1"/>
  <c r="G34" i="1"/>
  <c r="E34" i="1"/>
  <c r="P16" i="1"/>
  <c r="J107" i="1" l="1"/>
  <c r="I107" i="1"/>
  <c r="H107" i="1"/>
  <c r="K31" i="1"/>
  <c r="H112" i="1"/>
  <c r="H113" i="1" s="1"/>
  <c r="K55" i="1"/>
  <c r="K85" i="1"/>
  <c r="M66" i="1"/>
  <c r="K84" i="1"/>
  <c r="K37" i="1"/>
  <c r="J112" i="1"/>
  <c r="J113" i="1" s="1"/>
  <c r="I112" i="1"/>
  <c r="I113" i="1" s="1"/>
  <c r="K73" i="1"/>
  <c r="K33" i="1"/>
  <c r="K77" i="1"/>
  <c r="K78" i="1" s="1"/>
  <c r="K80" i="1"/>
  <c r="L28" i="1"/>
  <c r="L90" i="1" s="1"/>
  <c r="L77" i="1"/>
  <c r="L78" i="1" s="1"/>
  <c r="L110" i="1"/>
  <c r="L39" i="1"/>
  <c r="L40" i="1" s="1"/>
  <c r="L89" i="1"/>
  <c r="L83" i="1"/>
  <c r="L73" i="1"/>
  <c r="L42" i="1"/>
  <c r="L43" i="1" s="1"/>
  <c r="L36" i="1"/>
  <c r="L37" i="1" s="1"/>
  <c r="L80" i="1"/>
  <c r="L30" i="1"/>
  <c r="L31" i="1" s="1"/>
  <c r="L33" i="1"/>
  <c r="L74" i="1"/>
  <c r="H101" i="1"/>
  <c r="I101" i="1"/>
  <c r="E52" i="1"/>
  <c r="E57" i="1"/>
  <c r="I52" i="1"/>
  <c r="I57" i="1"/>
  <c r="H52" i="1"/>
  <c r="H57" i="1"/>
  <c r="J52" i="1"/>
  <c r="J57" i="1"/>
  <c r="F52" i="1"/>
  <c r="F57" i="1"/>
  <c r="G52" i="1"/>
  <c r="G57" i="1"/>
  <c r="E46" i="1"/>
  <c r="E93" i="1" s="1"/>
  <c r="I46" i="1"/>
  <c r="I93" i="1" s="1"/>
  <c r="H46" i="1"/>
  <c r="H93" i="1" s="1"/>
  <c r="J46" i="1"/>
  <c r="J93" i="1" s="1"/>
  <c r="F46" i="1"/>
  <c r="F93" i="1" s="1"/>
  <c r="G46" i="1"/>
  <c r="G93" i="1" s="1"/>
  <c r="F15" i="1"/>
  <c r="G15" i="1" s="1"/>
  <c r="H15" i="1" s="1"/>
  <c r="I15" i="1" s="1"/>
  <c r="M28" i="1" l="1"/>
  <c r="M90" i="1" s="1"/>
  <c r="N66" i="1"/>
  <c r="M67" i="1"/>
  <c r="L54" i="1"/>
  <c r="L55" i="1" s="1"/>
  <c r="K51" i="1"/>
  <c r="K52" i="1" s="1"/>
  <c r="L51" i="1" s="1"/>
  <c r="L100" i="1"/>
  <c r="L101" i="1" s="1"/>
  <c r="K74" i="1"/>
  <c r="K100" i="1"/>
  <c r="K101" i="1" s="1"/>
  <c r="K34" i="1"/>
  <c r="K45" i="1"/>
  <c r="K48" i="1" s="1"/>
  <c r="K49" i="1" s="1"/>
  <c r="K81" i="1"/>
  <c r="K103" i="1"/>
  <c r="K104" i="1" s="1"/>
  <c r="M30" i="1"/>
  <c r="M42" i="1"/>
  <c r="M43" i="1" s="1"/>
  <c r="M39" i="1"/>
  <c r="M40" i="1" s="1"/>
  <c r="M77" i="1"/>
  <c r="M78" i="1" s="1"/>
  <c r="M80" i="1"/>
  <c r="M83" i="1"/>
  <c r="M89" i="1"/>
  <c r="M73" i="1"/>
  <c r="M36" i="1"/>
  <c r="M37" i="1" s="1"/>
  <c r="M110" i="1"/>
  <c r="L85" i="1"/>
  <c r="L84" i="1"/>
  <c r="L106" i="1"/>
  <c r="L107" i="1" s="1"/>
  <c r="L81" i="1"/>
  <c r="L103" i="1"/>
  <c r="L104" i="1" s="1"/>
  <c r="L34" i="1"/>
  <c r="L45" i="1"/>
  <c r="L48" i="1" s="1"/>
  <c r="L49" i="1" s="1"/>
  <c r="E63" i="1"/>
  <c r="E61" i="1"/>
  <c r="E96" i="1" s="1"/>
  <c r="E58" i="1"/>
  <c r="I63" i="1"/>
  <c r="I58" i="1"/>
  <c r="I61" i="1"/>
  <c r="I96" i="1" s="1"/>
  <c r="H63" i="1"/>
  <c r="H61" i="1"/>
  <c r="H96" i="1" s="1"/>
  <c r="H58" i="1"/>
  <c r="J63" i="1"/>
  <c r="J61" i="1"/>
  <c r="J96" i="1" s="1"/>
  <c r="J58" i="1"/>
  <c r="F58" i="1"/>
  <c r="F63" i="1"/>
  <c r="F61" i="1"/>
  <c r="F96" i="1" s="1"/>
  <c r="G61" i="1"/>
  <c r="G96" i="1" s="1"/>
  <c r="G63" i="1"/>
  <c r="G58" i="1"/>
  <c r="F87" i="1"/>
  <c r="G87" i="1" s="1"/>
  <c r="H87" i="1" s="1"/>
  <c r="I87" i="1" s="1"/>
  <c r="J87" i="1" s="1"/>
  <c r="F71" i="1"/>
  <c r="G71" i="1" s="1"/>
  <c r="H71" i="1" s="1"/>
  <c r="I71" i="1" s="1"/>
  <c r="J71" i="1" s="1"/>
  <c r="F25" i="1"/>
  <c r="G25" i="1" s="1"/>
  <c r="H25" i="1" s="1"/>
  <c r="I25" i="1" s="1"/>
  <c r="J25" i="1" s="1"/>
  <c r="M100" i="1" l="1"/>
  <c r="M101" i="1" s="1"/>
  <c r="M31" i="1"/>
  <c r="M33" i="1"/>
  <c r="M74" i="1"/>
  <c r="N67" i="1"/>
  <c r="O66" i="1"/>
  <c r="L57" i="1"/>
  <c r="L52" i="1"/>
  <c r="M54" i="1"/>
  <c r="M55" i="1" s="1"/>
  <c r="K57" i="1"/>
  <c r="K46" i="1"/>
  <c r="K93" i="1" s="1"/>
  <c r="K92" i="1"/>
  <c r="N36" i="1"/>
  <c r="N37" i="1" s="1"/>
  <c r="N73" i="1"/>
  <c r="N28" i="1"/>
  <c r="N90" i="1" s="1"/>
  <c r="N30" i="1"/>
  <c r="N31" i="1" s="1"/>
  <c r="O27" i="1"/>
  <c r="N77" i="1"/>
  <c r="N78" i="1" s="1"/>
  <c r="N80" i="1"/>
  <c r="N83" i="1"/>
  <c r="N89" i="1"/>
  <c r="N39" i="1"/>
  <c r="N40" i="1" s="1"/>
  <c r="N42" i="1"/>
  <c r="N43" i="1" s="1"/>
  <c r="N110" i="1"/>
  <c r="M81" i="1"/>
  <c r="M103" i="1"/>
  <c r="M104" i="1" s="1"/>
  <c r="M84" i="1"/>
  <c r="M85" i="1"/>
  <c r="M106" i="1"/>
  <c r="M107" i="1" s="1"/>
  <c r="L46" i="1"/>
  <c r="L93" i="1" s="1"/>
  <c r="L92" i="1"/>
  <c r="E64" i="1"/>
  <c r="E69" i="1"/>
  <c r="I64" i="1"/>
  <c r="I69" i="1"/>
  <c r="H64" i="1"/>
  <c r="H69" i="1"/>
  <c r="J64" i="1"/>
  <c r="J69" i="1"/>
  <c r="F64" i="1"/>
  <c r="F69" i="1"/>
  <c r="G64" i="1"/>
  <c r="G69" i="1"/>
  <c r="M34" i="1" l="1"/>
  <c r="M45" i="1"/>
  <c r="L58" i="1"/>
  <c r="L60" i="1"/>
  <c r="L95" i="1" s="1"/>
  <c r="N54" i="1"/>
  <c r="N55" i="1" s="1"/>
  <c r="O54" i="1" s="1"/>
  <c r="O55" i="1" s="1"/>
  <c r="M51" i="1"/>
  <c r="O67" i="1"/>
  <c r="P66" i="1"/>
  <c r="P67" i="1" s="1"/>
  <c r="N33" i="1"/>
  <c r="K58" i="1"/>
  <c r="K60" i="1"/>
  <c r="K95" i="1" s="1"/>
  <c r="K98" i="1" s="1"/>
  <c r="N74" i="1"/>
  <c r="N100" i="1"/>
  <c r="N101" i="1" s="1"/>
  <c r="O36" i="1"/>
  <c r="O37" i="1" s="1"/>
  <c r="O42" i="1"/>
  <c r="O43" i="1" s="1"/>
  <c r="O73" i="1"/>
  <c r="O77" i="1"/>
  <c r="O78" i="1" s="1"/>
  <c r="O80" i="1"/>
  <c r="O83" i="1"/>
  <c r="O89" i="1"/>
  <c r="O30" i="1"/>
  <c r="O31" i="1" s="1"/>
  <c r="O110" i="1"/>
  <c r="O28" i="1"/>
  <c r="O90" i="1" s="1"/>
  <c r="O39" i="1"/>
  <c r="O40" i="1" s="1"/>
  <c r="P27" i="1"/>
  <c r="N81" i="1"/>
  <c r="N103" i="1"/>
  <c r="N104" i="1" s="1"/>
  <c r="N85" i="1"/>
  <c r="N84" i="1"/>
  <c r="N106" i="1"/>
  <c r="N107" i="1" s="1"/>
  <c r="M48" i="1" l="1"/>
  <c r="M49" i="1" s="1"/>
  <c r="M46" i="1"/>
  <c r="M93" i="1" s="1"/>
  <c r="M92" i="1"/>
  <c r="M52" i="1"/>
  <c r="N51" i="1" s="1"/>
  <c r="M57" i="1"/>
  <c r="L98" i="1"/>
  <c r="L63" i="1"/>
  <c r="N34" i="1"/>
  <c r="N45" i="1"/>
  <c r="N48" i="1" s="1"/>
  <c r="N49" i="1" s="1"/>
  <c r="O74" i="1"/>
  <c r="O100" i="1"/>
  <c r="O101" i="1" s="1"/>
  <c r="O81" i="1"/>
  <c r="O103" i="1"/>
  <c r="O104" i="1" s="1"/>
  <c r="O85" i="1"/>
  <c r="O84" i="1"/>
  <c r="O106" i="1"/>
  <c r="O107" i="1" s="1"/>
  <c r="P28" i="1"/>
  <c r="P90" i="1" s="1"/>
  <c r="P39" i="1"/>
  <c r="P40" i="1" s="1"/>
  <c r="P42" i="1"/>
  <c r="P43" i="1" s="1"/>
  <c r="P73" i="1"/>
  <c r="P77" i="1"/>
  <c r="P78" i="1" s="1"/>
  <c r="P83" i="1"/>
  <c r="P89" i="1"/>
  <c r="P36" i="1"/>
  <c r="P37" i="1" s="1"/>
  <c r="P110" i="1"/>
  <c r="P8" i="1"/>
  <c r="P9" i="1" s="1"/>
  <c r="P30" i="1"/>
  <c r="P31" i="1" s="1"/>
  <c r="P80" i="1"/>
  <c r="O33" i="1"/>
  <c r="P54" i="1"/>
  <c r="P55" i="1" s="1"/>
  <c r="K63" i="1"/>
  <c r="K112" i="1"/>
  <c r="M60" i="1" l="1"/>
  <c r="M58" i="1"/>
  <c r="L112" i="1"/>
  <c r="L116" i="1" s="1"/>
  <c r="L69" i="1"/>
  <c r="L64" i="1"/>
  <c r="N46" i="1"/>
  <c r="N93" i="1" s="1"/>
  <c r="N92" i="1"/>
  <c r="P74" i="1"/>
  <c r="P100" i="1"/>
  <c r="P101" i="1" s="1"/>
  <c r="P85" i="1"/>
  <c r="P84" i="1"/>
  <c r="P106" i="1"/>
  <c r="P107" i="1" s="1"/>
  <c r="P81" i="1"/>
  <c r="P103" i="1"/>
  <c r="P104" i="1" s="1"/>
  <c r="O45" i="1"/>
  <c r="O48" i="1" s="1"/>
  <c r="O49" i="1" s="1"/>
  <c r="O34" i="1"/>
  <c r="K69" i="1"/>
  <c r="K64" i="1"/>
  <c r="K113" i="1"/>
  <c r="K116" i="1"/>
  <c r="P33" i="1"/>
  <c r="N57" i="1"/>
  <c r="N52" i="1"/>
  <c r="M95" i="1" l="1"/>
  <c r="M98" i="1" s="1"/>
  <c r="M112" i="1" s="1"/>
  <c r="M63" i="1"/>
  <c r="L113" i="1"/>
  <c r="O46" i="1"/>
  <c r="O93" i="1" s="1"/>
  <c r="O92" i="1"/>
  <c r="P34" i="1"/>
  <c r="P45" i="1"/>
  <c r="P48" i="1" s="1"/>
  <c r="P49" i="1" s="1"/>
  <c r="N58" i="1"/>
  <c r="N60" i="1"/>
  <c r="N95" i="1" s="1"/>
  <c r="N98" i="1" s="1"/>
  <c r="O51" i="1"/>
  <c r="M116" i="1" l="1"/>
  <c r="M113" i="1"/>
  <c r="M69" i="1"/>
  <c r="M64" i="1"/>
  <c r="P46" i="1"/>
  <c r="P93" i="1" s="1"/>
  <c r="P92" i="1"/>
  <c r="N112" i="1"/>
  <c r="N116" i="1" s="1"/>
  <c r="N63" i="1"/>
  <c r="O52" i="1"/>
  <c r="P51" i="1" s="1"/>
  <c r="O57" i="1"/>
  <c r="N69" i="1" l="1"/>
  <c r="N64" i="1"/>
  <c r="N113" i="1"/>
  <c r="O58" i="1"/>
  <c r="O60" i="1"/>
  <c r="O95" i="1" s="1"/>
  <c r="O98" i="1" s="1"/>
  <c r="P57" i="1"/>
  <c r="P52" i="1"/>
  <c r="O112" i="1" l="1"/>
  <c r="O116" i="1" s="1"/>
  <c r="O63" i="1"/>
  <c r="P58" i="1"/>
  <c r="P60" i="1"/>
  <c r="P95" i="1" s="1"/>
  <c r="P98" i="1" s="1"/>
  <c r="O69" i="1" l="1"/>
  <c r="O64" i="1"/>
  <c r="P112" i="1"/>
  <c r="P116" i="1" s="1"/>
  <c r="P7" i="1" s="1"/>
  <c r="P12" i="1" s="1"/>
  <c r="U12" i="1" s="1"/>
  <c r="E8" i="1" s="1"/>
  <c r="E10" i="1" s="1"/>
  <c r="P63" i="1"/>
  <c r="O113" i="1"/>
  <c r="P69" i="1" l="1"/>
  <c r="P64" i="1"/>
  <c r="P1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tc={10C21D63-18E8-4EB0-97E0-1DE5942EB961}</author>
  </authors>
  <commentList>
    <comment ref="J80" authorId="0" shapeId="0" xr:uid="{10C21D63-18E8-4EB0-97E0-1DE5942EB961}">
      <text>
        <t>[Threaded comment]
Your version of Excel allows you to read this threaded comment; however, any edits to it will get removed if the file is opened in a newer version of Excel. Learn more: https://go.microsoft.com/fwlink/?linkid=870924
Comment:
    Combined Capitalized software development cost into PP&amp;E?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<sst xmlns="http://schemas.openxmlformats.org/spreadsheetml/2006/main" count="154" uniqueCount="91">
  <si>
    <t>Ticker</t>
  </si>
  <si>
    <t>Implied Share Price</t>
  </si>
  <si>
    <t>Current Share Price</t>
  </si>
  <si>
    <t>Implied Upside / (Downside)</t>
  </si>
  <si>
    <t>Income Statement</t>
  </si>
  <si>
    <t>2026E</t>
  </si>
  <si>
    <t>2027E</t>
  </si>
  <si>
    <t>2028E</t>
  </si>
  <si>
    <t>2029E</t>
  </si>
  <si>
    <t>2030E</t>
  </si>
  <si>
    <t>Revenue</t>
  </si>
  <si>
    <t>% growth</t>
  </si>
  <si>
    <t>EBIT</t>
  </si>
  <si>
    <t>Taxes</t>
  </si>
  <si>
    <t>Tax rate</t>
  </si>
  <si>
    <t>% of sales</t>
  </si>
  <si>
    <t>Cash Flow Items</t>
  </si>
  <si>
    <t>D&amp;A</t>
  </si>
  <si>
    <t>CapEx</t>
  </si>
  <si>
    <t>Changes in NWC</t>
  </si>
  <si>
    <t>% of changes in sales</t>
  </si>
  <si>
    <t>DCF</t>
  </si>
  <si>
    <t>EBIAT</t>
  </si>
  <si>
    <t>Present Value of FCF</t>
  </si>
  <si>
    <t>Key Statistics</t>
  </si>
  <si>
    <t>Stock Price</t>
  </si>
  <si>
    <t>Market Cap</t>
  </si>
  <si>
    <t>Cash</t>
  </si>
  <si>
    <t>Debt</t>
  </si>
  <si>
    <t>Enterprise Value</t>
  </si>
  <si>
    <t xml:space="preserve">shares outstanding diluted </t>
  </si>
  <si>
    <t>Net Debt</t>
  </si>
  <si>
    <t>% of capex</t>
  </si>
  <si>
    <t>WACC</t>
  </si>
  <si>
    <t>Total</t>
  </si>
  <si>
    <t>Notes</t>
  </si>
  <si>
    <t>Valuation</t>
  </si>
  <si>
    <t>PV of FCF</t>
  </si>
  <si>
    <t>Terminal Value</t>
  </si>
  <si>
    <t>Shares Outstanding</t>
  </si>
  <si>
    <t>Implied Market Cap</t>
  </si>
  <si>
    <t>all values in millions except per share numbers</t>
  </si>
  <si>
    <t>PV of Terminal Value</t>
  </si>
  <si>
    <t>Company Overview</t>
  </si>
  <si>
    <t>Price</t>
  </si>
  <si>
    <t>Key Stats</t>
  </si>
  <si>
    <t>Employees</t>
  </si>
  <si>
    <t>Founded</t>
  </si>
  <si>
    <t>CEO</t>
  </si>
  <si>
    <t>Headquarters</t>
  </si>
  <si>
    <t>Primary Industry</t>
  </si>
  <si>
    <t>Fiscal Year End</t>
  </si>
  <si>
    <t>COGS</t>
  </si>
  <si>
    <t>Gross Income</t>
  </si>
  <si>
    <t>R&amp;D</t>
  </si>
  <si>
    <t>Last Updated</t>
  </si>
  <si>
    <t>% of fcf</t>
  </si>
  <si>
    <t>Financial Ratios</t>
  </si>
  <si>
    <t>P/E (NTM)</t>
  </si>
  <si>
    <t>Stock Based Compensation</t>
  </si>
  <si>
    <t>Product Segments</t>
  </si>
  <si>
    <t>Operating Income by Segment</t>
  </si>
  <si>
    <t>SNOW</t>
  </si>
  <si>
    <t>x</t>
  </si>
  <si>
    <t>Gordon Growth Method</t>
  </si>
  <si>
    <t>FCF Value</t>
  </si>
  <si>
    <t>Strategic Investments</t>
  </si>
  <si>
    <t>Share Price</t>
  </si>
  <si>
    <t>EV/EBIT</t>
  </si>
  <si>
    <t xml:space="preserve">EV/EBITDA </t>
  </si>
  <si>
    <t>P/S</t>
  </si>
  <si>
    <t>P/E</t>
  </si>
  <si>
    <t>Sales and Marketing</t>
  </si>
  <si>
    <t>General and Administrative</t>
  </si>
  <si>
    <t>Other Income</t>
  </si>
  <si>
    <t>EBT</t>
  </si>
  <si>
    <t>Interest Income</t>
  </si>
  <si>
    <t>Net Income</t>
  </si>
  <si>
    <t>EPS</t>
  </si>
  <si>
    <t>Product</t>
  </si>
  <si>
    <t>Professional Services and other</t>
  </si>
  <si>
    <t>Other Amortization</t>
  </si>
  <si>
    <t>2031E</t>
  </si>
  <si>
    <t>2032E</t>
  </si>
  <si>
    <t>Unlevered Free Cash Flow</t>
  </si>
  <si>
    <t>Discount Period</t>
  </si>
  <si>
    <t>P/S Multiple</t>
  </si>
  <si>
    <t>Software</t>
  </si>
  <si>
    <t>Sridhar Ramaswamy</t>
  </si>
  <si>
    <t>% of total</t>
  </si>
  <si>
    <t>EBITDA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</si>
</sst>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1" formatCode="_(* #,##0_);_(* \(#,##0\);_(* &quot;-&quot;_);_(@_)"/>
    <numFmt numFmtId="43" formatCode="_(* #,##0.00_);_(* \(#,##0.00\);_(* &quot;-&quot;??_);_(@_)"/>
    <numFmt numFmtId="164" formatCode="&quot;$&quot;#,##0.00"/>
    <numFmt numFmtId="165" formatCode="&quot;$&quot;#,##0"/>
    <numFmt numFmtId="166" formatCode="#,##0;\(#,##0\)"/>
    <numFmt numFmtId="167" formatCode="0.00%;\(0.00%\)"/>
    <numFmt numFmtId="168" formatCode="#.##;\(0.##\)"/>
    <numFmt numFmtId="169" formatCode="0;\(0.\)"/>
    <numFmt numFmtId="170" formatCode="_([$$-409]* #,##0.00_);_([$$-409]* \(#,##0.00\);_([$$-409]* &quot;-&quot;??_);_(@_)"/>
  </numFmts>
  <fonts count="10" x14ac:knownFonts="1">
    <font>
      <sz val="12"/>
      <color theme="1"/>
      <name val="calibri"/>
      <family val="2"/>
    </font>
    <font>
      <sz val="12"/>
      <color theme="1"/>
      <name val="calibri"/>
      <family val="2"/>
    </font>
    <font>
      <sz val="11"/>
      <color theme="1"/>
      <name val="calibri"/>
      <family val="2"/>
    </font>
    <font>
      <b/>
      <sz val="11"/>
      <color theme="0"/>
      <name val="calibri"/>
      <family val="2"/>
    </font>
    <font>
      <b/>
      <sz val="11"/>
      <color theme="1"/>
      <name val="calibri"/>
      <family val="2"/>
    </font>
    <font>
      <i/>
      <sz val="11"/>
      <color theme="1"/>
      <name val="calibri"/>
      <family val="2"/>
    </font>
    <font>
      <sz val="11"/>
      <color theme="7" tint="-0.249977111117893"/>
      <name val="Calibri"/>
      <family val="2"/>
    </font>
    <font>
      <b/>
      <sz val="11"/>
      <name val="calibri"/>
      <family val="2"/>
    </font>
    <font>
      <sz val="11"/>
      <name val="Calibri"/>
      <family val="2"/>
    </font>
    <font>
      <b/>
      <u/>
      <sz val="11"/>
      <color theme="4"/>
      <name val="calibri"/>
      <family val="2"/>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0" fontId="2" fillId="0" borderId="0" xfId="0" applyFont="1"/>
    <xf numFmtId="0" fontId="3" fillId="2" borderId="0" xfId="0" applyFont="1" applyFill="1"/>
    <xf numFmtId="0" fontId="3" fillId="2" borderId="0" xfId="0" applyFont="1" applyFill="1" applyAlignment="1">
      <alignment horizontal="right"/>
    </xf>
    <xf numFmtId="0" fontId="5" fillId="0" borderId="0" xfId="0" applyFont="1"/>
    <xf numFmtId="0" fontId="2" fillId="0" borderId="1" xfId="0" applyFont="1" applyBorder="1"/>
    <xf numFmtId="164" fontId="6" fillId="0" borderId="0" xfId="0" applyNumberFormat="1" applyFont="1" applyAlignment="1">
      <alignment horizontal="right"/>
    </xf>
    <xf numFmtId="3" fontId="2" fillId="0" borderId="0" xfId="0" applyNumberFormat="1" applyFont="1"/>
    <xf numFmtId="3" fontId="2" fillId="0" borderId="1" xfId="0" applyNumberFormat="1" applyFont="1" applyBorder="1"/>
    <xf numFmtId="10" fontId="2" fillId="0" borderId="0" xfId="0" applyNumberFormat="1" applyFont="1"/>
    <xf numFmtId="10" fontId="5" fillId="0" borderId="0" xfId="0" applyNumberFormat="1" applyFont="1"/>
    <xf numFmtId="3" fontId="6" fillId="0" borderId="0" xfId="0" applyNumberFormat="1" applyFont="1"/>
    <xf numFmtId="41" fontId="2" fillId="0" borderId="0" xfId="0" applyNumberFormat="1" applyFont="1"/>
    <xf numFmtId="9" fontId="5" fillId="0" borderId="0" xfId="1" applyFont="1"/>
    <xf numFmtId="0" fontId="4" fillId="0" borderId="1" xfId="0" applyFont="1" applyBorder="1"/>
    <xf numFmtId="0" fontId="2" fillId="0" borderId="0" xfId="0" applyFont="1" applyAlignment="1">
      <alignment horizontal="center"/>
    </xf>
    <xf numFmtId="14" fontId="2" fillId="0" borderId="0" xfId="0" applyNumberFormat="1" applyFont="1" applyAlignment="1">
      <alignment horizontal="center"/>
    </xf>
    <xf numFmtId="0" fontId="7" fillId="0" borderId="1" xfId="0" applyFont="1" applyBorder="1"/>
    <xf numFmtId="165" fontId="2" fillId="0" borderId="0" xfId="0" applyNumberFormat="1" applyFont="1" applyAlignment="1">
      <alignment horizontal="center" vertical="center"/>
    </xf>
    <xf numFmtId="43" fontId="2" fillId="0" borderId="0" xfId="0" applyNumberFormat="1" applyFont="1"/>
    <xf numFmtId="0" fontId="2" fillId="3" borderId="0" xfId="0" applyFont="1" applyFill="1"/>
    <xf numFmtId="0" fontId="3" fillId="3" borderId="0" xfId="0" applyFont="1" applyFill="1"/>
    <xf numFmtId="0" fontId="3" fillId="3" borderId="0" xfId="0" applyFont="1" applyFill="1" applyAlignment="1">
      <alignment horizontal="right"/>
    </xf>
    <xf numFmtId="4" fontId="2" fillId="0" borderId="0" xfId="0" applyNumberFormat="1" applyFont="1"/>
    <xf numFmtId="8" fontId="2" fillId="0" borderId="0" xfId="0" applyNumberFormat="1" applyFont="1"/>
    <xf numFmtId="166" fontId="2" fillId="3" borderId="0" xfId="0" applyNumberFormat="1" applyFont="1" applyFill="1"/>
    <xf numFmtId="166" fontId="2" fillId="3" borderId="1" xfId="0" applyNumberFormat="1" applyFont="1" applyFill="1" applyBorder="1"/>
    <xf numFmtId="166" fontId="6" fillId="0" borderId="0" xfId="0" applyNumberFormat="1" applyFont="1"/>
    <xf numFmtId="166" fontId="8" fillId="0" borderId="0" xfId="0" applyNumberFormat="1" applyFont="1"/>
    <xf numFmtId="167" fontId="5" fillId="0" borderId="0" xfId="0" applyNumberFormat="1" applyFont="1"/>
    <xf numFmtId="3" fontId="5" fillId="0" borderId="0" xfId="0" applyNumberFormat="1" applyFont="1"/>
    <xf numFmtId="168" fontId="8" fillId="0" borderId="0" xfId="0" applyNumberFormat="1" applyFont="1"/>
    <xf numFmtId="169" fontId="8" fillId="0" borderId="0" xfId="0" applyNumberFormat="1" applyFont="1"/>
    <xf numFmtId="2" fontId="2" fillId="0" borderId="0" xfId="0" applyNumberFormat="1" applyFont="1"/>
    <xf numFmtId="166" fontId="2" fillId="0" borderId="0" xfId="0" applyNumberFormat="1" applyFont="1"/>
    <xf numFmtId="165" fontId="2" fillId="0" borderId="0" xfId="0" applyNumberFormat="1" applyFont="1"/>
    <xf numFmtId="170" fontId="2" fillId="0" borderId="0" xfId="0" applyNumberFormat="1" applyFont="1"/>
    <xf numFmtId="0" fontId="9" fillId="0" borderId="0" xfId="0" applyFont="1"/>
    <xf numFmtId="3" fontId="2" fillId="0" borderId="0" xfId="0" applyNumberFormat="1" applyFont="1" applyAlignment="1">
      <alignment horizontal="center"/>
    </xf>
    <xf numFmtId="14" fontId="2" fillId="0" borderId="0" xfId="0" applyNumberFormat="1" applyFont="1" applyAlignment="1">
      <alignment horizontal="center"/>
    </xf>
    <xf numFmtId="0" fontId="2" fillId="0" borderId="0" xfId="0" applyFont="1" applyAlignment="1">
      <alignment horizontal="center"/>
    </xf>
    <xf numFmtId="17" fontId="2" fillId="0" borderId="0" xfId="0" applyNumberFormat="1" applyFont="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00A1D9"/>
      <color rgb="FF00A119"/>
      <color rgb="FFF44336"/>
      <color rgb="FF00A1F1"/>
      <color rgb="FFFFC107"/>
      <color rgb="FF4CAF50"/>
      <color rgb="FF2196F3"/>
      <color rgb="FFF65314"/>
      <color rgb="FFF25022"/>
      <color rgb="FF7CB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304800</xdr:colOff>
      <xdr:row>2</xdr:row>
      <xdr:rowOff>103990</xdr:rowOff>
    </xdr:to>
    <xdr:sp macro="" textlink="">
      <xdr:nvSpPr>
        <xdr:cNvPr id="1025" name="AutoShape 1" descr="Microsoft Logo Icon Vector, Microsoft, Azure, Word PNG and Vector with  Transparent Background for Free Download">
          <a:extLst>
            <a:ext uri="{FF2B5EF4-FFF2-40B4-BE49-F238E27FC236}">
              <a16:creationId xmlns:a16="http://schemas.microsoft.com/office/drawing/2014/main" id="{5FC3D2D1-38EB-BCCB-8044-D022D4FC59F3}"/>
            </a:ext>
          </a:extLst>
        </xdr:cNvPr>
        <xdr:cNvSpPr>
          <a:spLocks noChangeAspect="1" noChangeArrowheads="1"/>
        </xdr:cNvSpPr>
      </xdr:nvSpPr>
      <xdr:spPr bwMode="auto">
        <a:xfrm>
          <a:off x="132588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36</xdr:row>
      <xdr:rowOff>0</xdr:rowOff>
    </xdr:from>
    <xdr:to>
      <xdr:col>19</xdr:col>
      <xdr:colOff>304800</xdr:colOff>
      <xdr:row>37</xdr:row>
      <xdr:rowOff>121919</xdr:rowOff>
    </xdr:to>
    <xdr:sp macro="" textlink="">
      <xdr:nvSpPr>
        <xdr:cNvPr id="1028" name="AutoShape 4" descr="Microsoft Logo PNG Vector (EPS) Free Download">
          <a:extLst>
            <a:ext uri="{FF2B5EF4-FFF2-40B4-BE49-F238E27FC236}">
              <a16:creationId xmlns:a16="http://schemas.microsoft.com/office/drawing/2014/main" id="{ABBD38CA-2D10-A584-BCE7-0C6FD0BE426D}"/>
            </a:ext>
          </a:extLst>
        </xdr:cNvPr>
        <xdr:cNvSpPr>
          <a:spLocks noChangeAspect="1" noChangeArrowheads="1"/>
        </xdr:cNvSpPr>
      </xdr:nvSpPr>
      <xdr:spPr bwMode="auto">
        <a:xfrm>
          <a:off x="12900660" y="438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19</xdr:col>
      <xdr:colOff>0</xdr:colOff>
      <xdr:row>30</xdr:row>
      <xdr:rowOff>0</xdr:rowOff>
    </xdr:from>
    <xdr:ext cx="304800" cy="307450"/>
    <xdr:sp macro="" textlink="">
      <xdr:nvSpPr>
        <xdr:cNvPr id="8" name="AutoShape 4" descr="Microsoft Logo PNG Vector (EPS) Free Download">
          <a:extLst>
            <a:ext uri="{FF2B5EF4-FFF2-40B4-BE49-F238E27FC236}">
              <a16:creationId xmlns:a16="http://schemas.microsoft.com/office/drawing/2014/main" id="{6FA6B343-2ACA-4CD3-B35E-0E401E86DAD8}"/>
            </a:ext>
          </a:extLst>
        </xdr:cNvPr>
        <xdr:cNvSpPr>
          <a:spLocks noChangeAspect="1" noChangeArrowheads="1"/>
        </xdr:cNvSpPr>
      </xdr:nvSpPr>
      <xdr:spPr bwMode="auto">
        <a:xfrm>
          <a:off x="12934122" y="6195391"/>
          <a:ext cx="304800" cy="307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33</xdr:row>
      <xdr:rowOff>0</xdr:rowOff>
    </xdr:from>
    <xdr:ext cx="304800" cy="307450"/>
    <xdr:sp macro="" textlink="">
      <xdr:nvSpPr>
        <xdr:cNvPr id="9" name="AutoShape 4" descr="Microsoft Logo PNG Vector (EPS) Free Download">
          <a:extLst>
            <a:ext uri="{FF2B5EF4-FFF2-40B4-BE49-F238E27FC236}">
              <a16:creationId xmlns:a16="http://schemas.microsoft.com/office/drawing/2014/main" id="{60FAE949-BC8C-4680-841F-42993A3BEC53}"/>
            </a:ext>
          </a:extLst>
        </xdr:cNvPr>
        <xdr:cNvSpPr>
          <a:spLocks noChangeAspect="1" noChangeArrowheads="1"/>
        </xdr:cNvSpPr>
      </xdr:nvSpPr>
      <xdr:spPr bwMode="auto">
        <a:xfrm>
          <a:off x="12934122" y="6195391"/>
          <a:ext cx="304800" cy="3074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126441</xdr:colOff>
      <xdr:row>0</xdr:row>
      <xdr:rowOff>79550</xdr:rowOff>
    </xdr:from>
    <xdr:to>
      <xdr:col>3</xdr:col>
      <xdr:colOff>419172</xdr:colOff>
      <xdr:row>2</xdr:row>
      <xdr:rowOff>90525</xdr:rowOff>
    </xdr:to>
    <xdr:pic>
      <xdr:nvPicPr>
        <xdr:cNvPr id="2" name="Picture 1">
          <a:extLst>
            <a:ext uri="{FF2B5EF4-FFF2-40B4-BE49-F238E27FC236}">
              <a16:creationId xmlns:a16="http://schemas.microsoft.com/office/drawing/2014/main" id="{6C3F5081-EE22-A015-B3E9-50617C455B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795" y="79550"/>
          <a:ext cx="1617439" cy="39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Kerem Odabasi" id="{2ACF652C-0177-489B-A5EA-4332959CC59F}" userId="fe4885f5b5840770"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https://www.bing.com/financeapi/forcetrigger?t=bvlqa2&amp;q=XNYS%3aSNOW&amp;form=skydnc</v>
    <v>Learn more on Bing</v>
  </rv>
  <rv s="1">
    <v>en-US</v>
    <v>bvlqa2</v>
    <v>268435456</v>
    <v>1</v>
    <v>Powered by Refinitiv</v>
    <v>0</v>
    <v>SNOWFLAKE INC. (XNYS:SNOW)</v>
    <v>2</v>
    <v>3</v>
    <v>Finance</v>
    <v>4</v>
    <v>384.56</v>
    <v>118.3</v>
    <v>1.3163</v>
    <v>11.47</v>
    <v>1.5359999999999999E-4</v>
    <v>3.6533000000000003E-2</v>
    <v>0.05</v>
    <v>USD</v>
    <v>Snowflake Inc. is an artificial intelligence (AI) data cloud company. The Company provides a platform which powers the AI data cloud, enabling customers to consolidate data into a single source of truth to drive insights, apply AI to solve business problems, build data applications, and share data and data products. Its cloud-native architecture includes three independently scalable but logically integrated layers across storage, compute, and cloud services. The storage layer ingests massive amounts and varieties of structured, semi-structured, and unstructured data. The compute layer provides dedicated resources to enable users to simultaneously access common data sets for many use cases with minimal latency. The cloud services layer enables users to securely use AI within applications, tools, and processes. Its platform supports a wide range of product categories for customers’ business objectives, including analytics, data engineering, AI, applications and collaboration.</v>
    <v>9060</v>
    <v>New York Stock Exchange</v>
    <v>XNYS</v>
    <v>XNYS</v>
    <v>135 Constitution Drive, MENLO PARK, CA, 94025 US</v>
    <v>325.62</v>
    <v>Software &amp; IT Services</v>
    <v>Stock</v>
    <v>46318.999725277346</v>
    <v>0</v>
    <v>310.31</v>
    <v>114811704000</v>
    <v>SNOWFLAKE INC.</v>
    <v>SNOWFLAKE INC.</v>
    <v>310.31</v>
    <v>313.95999999999998</v>
    <v>325.43</v>
    <v>325.48</v>
    <v>352800000</v>
    <v>SNOW</v>
    <v>SNOWFLAKE INC. (XNYS:SNOW)</v>
    <v>3136249</v>
    <v>4407836</v>
    <v>2012</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Finance">
      <a:dk1>
        <a:sysClr val="windowText" lastClr="000000"/>
      </a:dk1>
      <a:lt1>
        <a:sysClr val="window" lastClr="FFFFFF"/>
      </a:lt1>
      <a:dk2>
        <a:srgbClr val="1F497D"/>
      </a:dk2>
      <a:lt2>
        <a:srgbClr val="D9D9D9"/>
      </a:lt2>
      <a:accent1>
        <a:srgbClr val="0066CC"/>
      </a:accent1>
      <a:accent2>
        <a:srgbClr val="00B050"/>
      </a:accent2>
      <a:accent3>
        <a:srgbClr val="E6E6E6"/>
      </a:accent3>
      <a:accent4>
        <a:srgbClr val="0000FF"/>
      </a:accent4>
      <a:accent5>
        <a:srgbClr val="4472C4"/>
      </a:accent5>
      <a:accent6>
        <a:srgbClr val="FF6600"/>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80" dT="2026-05-31T08:01:06.82" personId="{2ACF652C-0177-489B-A5EA-4332959CC59F}" id="{10C21D63-18E8-4EB0-97E0-1DE5942EB961}">
    <text>Combined Capitalized software development cost into PP&amp;E?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3DE49E-4F07-470F-855B-11099EB33F1B}">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06BA9-FD26-46A5-A630-9D65D6C233D8}">
  <dimension ref="A2:X123"/>
  <sheetViews>
    <sheetView showGridLines="0" tabSelected="1" topLeftCell="A91" zoomScaleNormal="100" workbookViewId="0">
      <selection activeCell="P112" sqref="P112"/>
    </sheetView>
  </sheetViews>
  <sheetFormatPr defaultColWidth="8.69921875" defaultRowHeight="14.4" customHeight="1" x14ac:dyDescent="0.3"/>
  <cols>
    <col min="1" max="3" width="8.69921875" style="1"/>
    <col min="4" max="5" width="8.69921875" style="1" customWidth="1"/>
    <col min="6" max="7" width="8.69921875" style="1"/>
    <col min="8" max="8" width="8.69921875" style="1" customWidth="1"/>
    <col min="9" max="15" width="8.69921875" style="1"/>
    <col min="16" max="17" width="8.69921875" style="1" customWidth="1"/>
    <col min="18" max="21" width="8.69921875" style="1"/>
    <col min="22" max="22" width="8.69921875" style="1" customWidth="1"/>
    <col min="23" max="23" width="8.69921875" style="1"/>
    <col min="24" max="24" width="8.69921875" style="1" customWidth="1"/>
    <col min="25" max="16384" width="8.69921875" style="1"/>
  </cols>
  <sheetData>
    <row r="2" spans="1:24" ht="15.6" x14ac:dyDescent="0.3">
      <c r="B2"/>
      <c r="C2"/>
      <c r="R2" s="4" t="s">
        <v>41</v>
      </c>
    </row>
    <row r="3" spans="1:24" x14ac:dyDescent="0.3">
      <c r="B3" s="4"/>
    </row>
    <row r="4" spans="1:24" ht="14.4" customHeight="1" x14ac:dyDescent="0.3">
      <c r="A4" s="15" t="s">
        <v>63</v>
      </c>
      <c r="B4" s="2" t="s">
        <v>43</v>
      </c>
      <c r="C4" s="2"/>
      <c r="D4" s="2"/>
      <c r="E4" s="2"/>
      <c r="F4" s="2"/>
      <c r="G4" s="2"/>
      <c r="H4" s="2"/>
      <c r="I4" s="2"/>
      <c r="J4" s="2"/>
      <c r="K4" s="2"/>
      <c r="L4" s="2"/>
      <c r="M4" s="2"/>
      <c r="N4" s="2"/>
      <c r="O4" s="2"/>
      <c r="P4" s="2"/>
      <c r="Q4" s="2"/>
      <c r="R4" s="2"/>
      <c r="S4" s="2"/>
      <c r="T4" s="2"/>
      <c r="U4" s="2"/>
    </row>
    <row r="5" spans="1:24" s="20" customFormat="1" ht="1.95" customHeight="1" x14ac:dyDescent="0.3">
      <c r="B5" s="21"/>
      <c r="C5" s="21"/>
      <c r="D5" s="21"/>
      <c r="E5" s="21"/>
      <c r="F5" s="21"/>
      <c r="G5" s="21"/>
      <c r="H5" s="21"/>
      <c r="I5" s="21"/>
      <c r="J5" s="21"/>
      <c r="K5" s="21"/>
      <c r="L5" s="22"/>
      <c r="M5" s="22"/>
      <c r="N5" s="22"/>
      <c r="O5" s="22"/>
      <c r="P5" s="22"/>
    </row>
    <row r="6" spans="1:24" ht="14.4" customHeight="1" x14ac:dyDescent="0.3">
      <c r="B6" s="14" t="s">
        <v>44</v>
      </c>
      <c r="C6" s="5"/>
      <c r="D6" s="5"/>
      <c r="E6" s="5"/>
      <c r="G6" s="14" t="s">
        <v>45</v>
      </c>
      <c r="H6" s="5"/>
      <c r="I6" s="5"/>
      <c r="J6" s="5"/>
      <c r="K6" s="5"/>
      <c r="M6" s="17" t="s">
        <v>36</v>
      </c>
      <c r="N6" s="17"/>
      <c r="O6" s="17"/>
      <c r="P6" s="5"/>
      <c r="R6" s="17" t="s">
        <v>35</v>
      </c>
      <c r="S6" s="17"/>
      <c r="T6" s="17"/>
      <c r="U6" s="5"/>
    </row>
    <row r="7" spans="1:24" ht="14.4" customHeight="1" x14ac:dyDescent="0.3">
      <c r="B7" s="1" t="s">
        <v>0</v>
      </c>
      <c r="E7" s="15" t="s">
        <v>62</v>
      </c>
      <c r="G7" s="1" t="s">
        <v>46</v>
      </c>
      <c r="I7" s="38">
        <v>9060</v>
      </c>
      <c r="J7" s="38"/>
      <c r="K7" s="38"/>
      <c r="M7" s="1" t="s">
        <v>37</v>
      </c>
      <c r="P7" s="7">
        <f>SUM(K116:P116)</f>
        <v>3971.9821487566414</v>
      </c>
      <c r="R7" s="1" t="s">
        <v>33</v>
      </c>
      <c r="U7" s="9">
        <v>0.1033</v>
      </c>
    </row>
    <row r="8" spans="1:24" ht="14.4" customHeight="1" x14ac:dyDescent="0.3">
      <c r="B8" s="1" t="s">
        <v>1</v>
      </c>
      <c r="E8" s="18">
        <f>U12</f>
        <v>209.92834036841444</v>
      </c>
      <c r="G8" s="1" t="s">
        <v>47</v>
      </c>
      <c r="I8" s="41">
        <v>41091</v>
      </c>
      <c r="J8" s="40"/>
      <c r="K8" s="40"/>
      <c r="M8" s="1" t="s">
        <v>38</v>
      </c>
      <c r="P8" s="7">
        <f>P27*U8</f>
        <v>132868.22214868799</v>
      </c>
      <c r="R8" s="1" t="s">
        <v>86</v>
      </c>
      <c r="U8" s="7">
        <v>8</v>
      </c>
      <c r="X8" s="19"/>
    </row>
    <row r="9" spans="1:24" ht="14.4" customHeight="1" x14ac:dyDescent="0.3">
      <c r="B9" s="1" t="s">
        <v>2</v>
      </c>
      <c r="E9" s="18">
        <f ca="1">Extras!C2</f>
        <v>325.43</v>
      </c>
      <c r="G9" s="1" t="s">
        <v>48</v>
      </c>
      <c r="I9" s="40" t="s">
        <v>88</v>
      </c>
      <c r="J9" s="40"/>
      <c r="K9" s="40"/>
      <c r="M9" s="1" t="s">
        <v>42</v>
      </c>
      <c r="P9" s="7">
        <f>P8/(1+$U$7)^(P115+0.5)</f>
        <v>76118.570017584425</v>
      </c>
      <c r="U9" s="7"/>
    </row>
    <row r="10" spans="1:24" ht="14.4" customHeight="1" x14ac:dyDescent="0.3">
      <c r="B10" s="1" t="s">
        <v>3</v>
      </c>
      <c r="E10" s="29">
        <f ca="1">E8/E9-1</f>
        <v>-0.35492013530278577</v>
      </c>
      <c r="G10" s="1" t="s">
        <v>49</v>
      </c>
      <c r="I10" s="40"/>
      <c r="J10" s="40"/>
      <c r="K10" s="40"/>
      <c r="M10" s="1" t="s">
        <v>31</v>
      </c>
      <c r="P10" s="28">
        <f>-2955</f>
        <v>-2955</v>
      </c>
      <c r="V10" s="7"/>
    </row>
    <row r="11" spans="1:24" ht="14.4" customHeight="1" x14ac:dyDescent="0.3">
      <c r="G11" s="1" t="s">
        <v>50</v>
      </c>
      <c r="I11" s="40" t="s">
        <v>87</v>
      </c>
      <c r="J11" s="40"/>
      <c r="K11" s="40"/>
      <c r="M11" s="1" t="s">
        <v>39</v>
      </c>
      <c r="P11" s="7">
        <v>395.59</v>
      </c>
    </row>
    <row r="12" spans="1:24" ht="14.4" customHeight="1" x14ac:dyDescent="0.3">
      <c r="B12" s="1" t="s">
        <v>55</v>
      </c>
      <c r="E12" s="16">
        <v>46173</v>
      </c>
      <c r="G12" s="1" t="s">
        <v>51</v>
      </c>
      <c r="I12" s="39">
        <v>46418</v>
      </c>
      <c r="J12" s="39"/>
      <c r="K12" s="39"/>
      <c r="M12" s="1" t="s">
        <v>40</v>
      </c>
      <c r="P12" s="7">
        <f>(P9+P7-P10)</f>
        <v>83045.552166341062</v>
      </c>
      <c r="R12" s="1" t="s">
        <v>67</v>
      </c>
      <c r="U12" s="35">
        <f>P12/P11</f>
        <v>209.92834036841444</v>
      </c>
    </row>
    <row r="13" spans="1:24" ht="14.4" customHeight="1" x14ac:dyDescent="0.3">
      <c r="I13" s="9"/>
      <c r="P13" s="7"/>
    </row>
    <row r="15" spans="1:24" ht="14.4" customHeight="1" x14ac:dyDescent="0.3">
      <c r="A15" s="15" t="s">
        <v>63</v>
      </c>
      <c r="B15" s="2" t="s">
        <v>24</v>
      </c>
      <c r="C15" s="2"/>
      <c r="D15" s="2"/>
      <c r="E15" s="2">
        <v>2021</v>
      </c>
      <c r="F15" s="2">
        <f>E15+1</f>
        <v>2022</v>
      </c>
      <c r="G15" s="2">
        <f>F15+1</f>
        <v>2023</v>
      </c>
      <c r="H15" s="2">
        <f>G15+1</f>
        <v>2024</v>
      </c>
      <c r="I15" s="2">
        <f>H15+1</f>
        <v>2025</v>
      </c>
      <c r="J15" s="3" t="s">
        <v>5</v>
      </c>
      <c r="K15" s="3" t="s">
        <v>6</v>
      </c>
      <c r="M15" s="17" t="s">
        <v>57</v>
      </c>
      <c r="N15" s="17"/>
      <c r="O15" s="17"/>
      <c r="P15" s="5"/>
      <c r="R15" s="14" t="s">
        <v>64</v>
      </c>
      <c r="S15" s="5"/>
      <c r="T15" s="5"/>
    </row>
    <row r="16" spans="1:24" s="20" customFormat="1" ht="1.95" customHeight="1" x14ac:dyDescent="0.3">
      <c r="B16" s="21"/>
      <c r="C16" s="21"/>
      <c r="D16" s="21"/>
      <c r="E16" s="21"/>
      <c r="F16" s="21"/>
      <c r="G16" s="21"/>
      <c r="H16" s="21"/>
      <c r="I16" s="21"/>
      <c r="J16" s="21"/>
      <c r="K16" s="21"/>
      <c r="L16" s="1"/>
      <c r="M16" s="1" t="s">
        <v>37</v>
      </c>
      <c r="N16" s="1"/>
      <c r="O16" s="1"/>
      <c r="P16" s="7">
        <f>SUM(J124:N124)</f>
        <v>0</v>
      </c>
      <c r="U16" s="1"/>
    </row>
    <row r="17" spans="1:20" ht="14.4" customHeight="1" x14ac:dyDescent="0.3">
      <c r="B17" s="1" t="s">
        <v>25</v>
      </c>
      <c r="E17" s="6"/>
      <c r="F17" s="6"/>
      <c r="G17" s="6"/>
      <c r="H17" s="6"/>
      <c r="I17" s="6"/>
      <c r="J17" s="6"/>
      <c r="K17" s="6"/>
      <c r="M17" s="1" t="s">
        <v>26</v>
      </c>
      <c r="P17" s="7"/>
      <c r="R17" s="1" t="s">
        <v>65</v>
      </c>
      <c r="T17" s="7"/>
    </row>
    <row r="18" spans="1:20" ht="14.4" customHeight="1" x14ac:dyDescent="0.3">
      <c r="B18" s="1" t="s">
        <v>30</v>
      </c>
      <c r="E18" s="11"/>
      <c r="F18" s="11"/>
      <c r="G18" s="11"/>
      <c r="H18" s="11"/>
      <c r="I18" s="11"/>
      <c r="J18" s="11"/>
      <c r="K18" s="11"/>
      <c r="M18" s="1" t="s">
        <v>29</v>
      </c>
      <c r="P18" s="7"/>
      <c r="R18" s="1" t="s">
        <v>38</v>
      </c>
      <c r="T18" s="7"/>
    </row>
    <row r="19" spans="1:20" ht="14.4" customHeight="1" x14ac:dyDescent="0.3">
      <c r="M19" s="1" t="s">
        <v>71</v>
      </c>
      <c r="P19" s="23"/>
      <c r="R19" s="1" t="s">
        <v>31</v>
      </c>
      <c r="S19" s="20"/>
      <c r="T19" s="25"/>
    </row>
    <row r="20" spans="1:20" ht="14.4" customHeight="1" x14ac:dyDescent="0.3">
      <c r="B20" s="1" t="s">
        <v>26</v>
      </c>
      <c r="E20" s="7"/>
      <c r="F20" s="7"/>
      <c r="G20" s="7"/>
      <c r="H20" s="7"/>
      <c r="I20" s="7"/>
      <c r="J20" s="7"/>
      <c r="K20" s="7"/>
      <c r="M20" s="1" t="s">
        <v>58</v>
      </c>
      <c r="P20" s="23"/>
      <c r="R20" s="5" t="s">
        <v>66</v>
      </c>
      <c r="S20" s="5"/>
      <c r="T20" s="26"/>
    </row>
    <row r="21" spans="1:20" ht="14.4" customHeight="1" x14ac:dyDescent="0.3">
      <c r="B21" s="1" t="s">
        <v>27</v>
      </c>
      <c r="E21" s="11"/>
      <c r="F21" s="11"/>
      <c r="G21" s="11"/>
      <c r="H21" s="11"/>
      <c r="I21" s="11"/>
      <c r="J21" s="11"/>
      <c r="K21" s="11"/>
      <c r="M21" s="1" t="s">
        <v>70</v>
      </c>
      <c r="P21" s="23"/>
      <c r="R21" s="1" t="s">
        <v>34</v>
      </c>
      <c r="T21" s="7"/>
    </row>
    <row r="22" spans="1:20" ht="14.4" customHeight="1" x14ac:dyDescent="0.3">
      <c r="B22" s="5" t="s">
        <v>28</v>
      </c>
      <c r="C22" s="5"/>
      <c r="D22" s="5"/>
      <c r="E22" s="8"/>
      <c r="F22" s="8"/>
      <c r="G22" s="8"/>
      <c r="H22" s="8"/>
      <c r="I22" s="8"/>
      <c r="J22" s="8"/>
      <c r="K22" s="8"/>
      <c r="M22" s="1" t="s">
        <v>69</v>
      </c>
      <c r="P22" s="23"/>
    </row>
    <row r="23" spans="1:20" ht="14.4" customHeight="1" x14ac:dyDescent="0.3">
      <c r="B23" s="1" t="s">
        <v>29</v>
      </c>
      <c r="E23" s="7"/>
      <c r="F23" s="7"/>
      <c r="G23" s="7"/>
      <c r="H23" s="7"/>
      <c r="I23" s="7"/>
      <c r="J23" s="7"/>
      <c r="K23" s="7"/>
      <c r="M23" s="1" t="s">
        <v>68</v>
      </c>
      <c r="R23" s="1" t="s">
        <v>67</v>
      </c>
      <c r="T23" s="18"/>
    </row>
    <row r="25" spans="1:20" ht="14.4" customHeight="1" x14ac:dyDescent="0.3">
      <c r="A25" s="15" t="s">
        <v>63</v>
      </c>
      <c r="B25" s="2" t="s">
        <v>4</v>
      </c>
      <c r="C25" s="2"/>
      <c r="D25" s="2"/>
      <c r="E25" s="2">
        <v>2021</v>
      </c>
      <c r="F25" s="2">
        <f>E25+1</f>
        <v>2022</v>
      </c>
      <c r="G25" s="2">
        <f>F25+1</f>
        <v>2023</v>
      </c>
      <c r="H25" s="2">
        <f>G25+1</f>
        <v>2024</v>
      </c>
      <c r="I25" s="2">
        <f>H25+1</f>
        <v>2025</v>
      </c>
      <c r="J25" s="2">
        <f>I25+1</f>
        <v>2026</v>
      </c>
      <c r="K25" s="3" t="s">
        <v>6</v>
      </c>
      <c r="L25" s="3" t="s">
        <v>7</v>
      </c>
      <c r="M25" s="3" t="s">
        <v>8</v>
      </c>
      <c r="N25" s="3" t="s">
        <v>9</v>
      </c>
      <c r="O25" s="3" t="s">
        <v>82</v>
      </c>
      <c r="P25" s="3" t="s">
        <v>83</v>
      </c>
    </row>
    <row r="26" spans="1:20" s="20" customFormat="1" ht="1.95" customHeight="1" x14ac:dyDescent="0.3">
      <c r="B26" s="21"/>
      <c r="C26" s="21"/>
      <c r="D26" s="21"/>
      <c r="E26" s="21"/>
      <c r="F26" s="21"/>
      <c r="G26" s="21"/>
      <c r="H26" s="21"/>
      <c r="I26" s="21"/>
      <c r="J26" s="21"/>
      <c r="K26" s="21"/>
      <c r="L26" s="22"/>
      <c r="M26" s="22"/>
      <c r="N26" s="22"/>
      <c r="O26" s="22"/>
      <c r="P26" s="22"/>
    </row>
    <row r="27" spans="1:20" ht="14.4" customHeight="1" x14ac:dyDescent="0.3">
      <c r="B27" s="1" t="s">
        <v>10</v>
      </c>
      <c r="E27" s="11">
        <v>592.04899999999998</v>
      </c>
      <c r="F27" s="11">
        <v>1219.327</v>
      </c>
      <c r="G27" s="11">
        <v>2065.6590000000001</v>
      </c>
      <c r="H27" s="11">
        <v>2806.489</v>
      </c>
      <c r="I27" s="11">
        <v>3626.3960000000002</v>
      </c>
      <c r="J27" s="11">
        <v>4683.9459999999999</v>
      </c>
      <c r="K27" s="7">
        <f>J27*1.34</f>
        <v>6276.4876400000003</v>
      </c>
      <c r="L27" s="7">
        <f>K27*1.3</f>
        <v>8159.4339320000008</v>
      </c>
      <c r="M27" s="7">
        <f>L27*1.25</f>
        <v>10199.292415000002</v>
      </c>
      <c r="N27" s="7">
        <f>M27*1.2</f>
        <v>12239.150898000002</v>
      </c>
      <c r="O27" s="7">
        <f>N27*1.18</f>
        <v>14442.198059640001</v>
      </c>
      <c r="P27" s="7">
        <f>O27*1.15</f>
        <v>16608.527768585998</v>
      </c>
    </row>
    <row r="28" spans="1:20" ht="14.4" customHeight="1" x14ac:dyDescent="0.3">
      <c r="B28" s="4" t="s">
        <v>11</v>
      </c>
      <c r="C28" s="4"/>
      <c r="D28" s="4"/>
      <c r="E28" s="10">
        <f>(E27-264.7)/264.7</f>
        <v>1.236679259539101</v>
      </c>
      <c r="F28" s="10">
        <f>(F27-E27)/E27</f>
        <v>1.0595035208234453</v>
      </c>
      <c r="G28" s="10">
        <f t="shared" ref="G28:K28" si="0">(G27-F27)/F27</f>
        <v>0.69409764566847132</v>
      </c>
      <c r="H28" s="10">
        <f t="shared" si="0"/>
        <v>0.35864099544019601</v>
      </c>
      <c r="I28" s="10">
        <f t="shared" si="0"/>
        <v>0.29214687818124357</v>
      </c>
      <c r="J28" s="10">
        <f t="shared" si="0"/>
        <v>0.29162562500068928</v>
      </c>
      <c r="K28" s="10">
        <f t="shared" si="0"/>
        <v>0.34000000000000008</v>
      </c>
      <c r="L28" s="10">
        <f t="shared" ref="L28" si="1">(L27-K27)/K27</f>
        <v>0.3000000000000001</v>
      </c>
      <c r="M28" s="10">
        <f t="shared" ref="M28:N28" si="2">(M27-L27)/L27</f>
        <v>0.25000000000000011</v>
      </c>
      <c r="N28" s="10">
        <f t="shared" si="2"/>
        <v>0.19999999999999996</v>
      </c>
      <c r="O28" s="10">
        <f t="shared" ref="O28" si="3">(O27-N27)/N27</f>
        <v>0.17999999999999991</v>
      </c>
      <c r="P28" s="10">
        <f t="shared" ref="P28" si="4">(P27-O27)/O27</f>
        <v>0.14999999999999983</v>
      </c>
    </row>
    <row r="29" spans="1:20" ht="14.4" customHeight="1" x14ac:dyDescent="0.3">
      <c r="B29" s="4"/>
      <c r="C29" s="4"/>
      <c r="D29" s="4"/>
      <c r="E29" s="10"/>
      <c r="F29" s="10"/>
      <c r="G29" s="10"/>
      <c r="H29" s="11"/>
      <c r="I29" s="10"/>
      <c r="J29" s="10"/>
      <c r="K29" s="10"/>
      <c r="L29" s="10"/>
      <c r="M29" s="10"/>
      <c r="N29" s="10"/>
    </row>
    <row r="30" spans="1:20" ht="14.4" customHeight="1" x14ac:dyDescent="0.3">
      <c r="B30" s="1" t="s">
        <v>52</v>
      </c>
      <c r="E30" s="27">
        <v>242.58799999999999</v>
      </c>
      <c r="F30" s="27">
        <v>458.43299999999999</v>
      </c>
      <c r="G30" s="27">
        <v>717.54</v>
      </c>
      <c r="H30" s="27">
        <v>898.55799999999999</v>
      </c>
      <c r="I30" s="27">
        <v>1214.673</v>
      </c>
      <c r="J30" s="27">
        <v>1537.8050000000001</v>
      </c>
      <c r="K30" s="7">
        <f>K27*0.32</f>
        <v>2008.4760448000002</v>
      </c>
      <c r="L30" s="7">
        <f>L27*0.31</f>
        <v>2529.4245189200001</v>
      </c>
      <c r="M30" s="7">
        <f>M27*0.3</f>
        <v>3059.7877245000004</v>
      </c>
      <c r="N30" s="7">
        <f>N27*0.29</f>
        <v>3549.3537604200001</v>
      </c>
      <c r="O30" s="7">
        <f>O27*0.28</f>
        <v>4043.8154566992007</v>
      </c>
      <c r="P30" s="7">
        <f>P27*0.27</f>
        <v>4484.3024975182198</v>
      </c>
    </row>
    <row r="31" spans="1:20" ht="14.4" customHeight="1" x14ac:dyDescent="0.3">
      <c r="B31" s="4" t="s">
        <v>15</v>
      </c>
      <c r="E31" s="10">
        <f>E30/E$27</f>
        <v>0.4097431124788658</v>
      </c>
      <c r="F31" s="10">
        <f t="shared" ref="F31:J31" si="5">F30/F$27</f>
        <v>0.37597215513147825</v>
      </c>
      <c r="G31" s="10">
        <f t="shared" si="5"/>
        <v>0.34736614320175785</v>
      </c>
      <c r="H31" s="10">
        <f t="shared" si="5"/>
        <v>0.32017157380627537</v>
      </c>
      <c r="I31" s="10">
        <f t="shared" si="5"/>
        <v>0.33495321525834465</v>
      </c>
      <c r="J31" s="10">
        <f t="shared" si="5"/>
        <v>0.32831398995633171</v>
      </c>
      <c r="K31" s="10">
        <f t="shared" ref="K31" si="6">K30/K$27</f>
        <v>0.32</v>
      </c>
      <c r="L31" s="10">
        <f t="shared" ref="L31" si="7">L30/L$27</f>
        <v>0.31</v>
      </c>
      <c r="M31" s="10">
        <f t="shared" ref="M31" si="8">M30/M$27</f>
        <v>0.3</v>
      </c>
      <c r="N31" s="10">
        <f t="shared" ref="N31" si="9">N30/N$27</f>
        <v>0.28999999999999998</v>
      </c>
      <c r="O31" s="10">
        <f t="shared" ref="O31" si="10">O30/O$27</f>
        <v>0.28000000000000003</v>
      </c>
      <c r="P31" s="10">
        <f t="shared" ref="P31" si="11">P30/P$27</f>
        <v>0.27</v>
      </c>
      <c r="T31"/>
    </row>
    <row r="33" spans="2:20" ht="14.4" customHeight="1" x14ac:dyDescent="0.3">
      <c r="B33" s="1" t="s">
        <v>53</v>
      </c>
      <c r="E33" s="7">
        <f>E27-E30</f>
        <v>349.46100000000001</v>
      </c>
      <c r="F33" s="7">
        <f t="shared" ref="F33:P33" si="12">F27-F30</f>
        <v>760.89400000000001</v>
      </c>
      <c r="G33" s="7">
        <f t="shared" si="12"/>
        <v>1348.1190000000001</v>
      </c>
      <c r="H33" s="7">
        <f t="shared" si="12"/>
        <v>1907.931</v>
      </c>
      <c r="I33" s="7">
        <f t="shared" si="12"/>
        <v>2411.723</v>
      </c>
      <c r="J33" s="7">
        <f t="shared" si="12"/>
        <v>3146.1409999999996</v>
      </c>
      <c r="K33" s="7">
        <f t="shared" si="12"/>
        <v>4268.0115951999996</v>
      </c>
      <c r="L33" s="7">
        <f t="shared" si="12"/>
        <v>5630.0094130800007</v>
      </c>
      <c r="M33" s="7">
        <f t="shared" si="12"/>
        <v>7139.5046905000017</v>
      </c>
      <c r="N33" s="7">
        <f t="shared" si="12"/>
        <v>8689.7971375800007</v>
      </c>
      <c r="O33" s="7">
        <f t="shared" si="12"/>
        <v>10398.382602940801</v>
      </c>
      <c r="P33" s="7">
        <f t="shared" si="12"/>
        <v>12124.225271067779</v>
      </c>
    </row>
    <row r="34" spans="2:20" ht="14.4" customHeight="1" x14ac:dyDescent="0.3">
      <c r="B34" s="4" t="s">
        <v>15</v>
      </c>
      <c r="E34" s="10">
        <f>E33/E$27</f>
        <v>0.59025688752113425</v>
      </c>
      <c r="F34" s="10">
        <f t="shared" ref="F34" si="13">F33/F$27</f>
        <v>0.6240278448685217</v>
      </c>
      <c r="G34" s="10">
        <f t="shared" ref="G34" si="14">G33/G$27</f>
        <v>0.65263385679824215</v>
      </c>
      <c r="H34" s="10">
        <f t="shared" ref="H34" si="15">H33/H$27</f>
        <v>0.67982842619372463</v>
      </c>
      <c r="I34" s="10">
        <f t="shared" ref="I34" si="16">I33/I$27</f>
        <v>0.66504678474165535</v>
      </c>
      <c r="J34" s="10">
        <f t="shared" ref="J34" si="17">J33/J$27</f>
        <v>0.67168601004366824</v>
      </c>
      <c r="K34" s="10">
        <f t="shared" ref="K34" si="18">K33/K$27</f>
        <v>0.67999999999999994</v>
      </c>
      <c r="L34" s="10">
        <f t="shared" ref="L34" si="19">L33/L$27</f>
        <v>0.69000000000000006</v>
      </c>
      <c r="M34" s="10">
        <f t="shared" ref="M34" si="20">M33/M$27</f>
        <v>0.70000000000000007</v>
      </c>
      <c r="N34" s="10">
        <f t="shared" ref="N34" si="21">N33/N$27</f>
        <v>0.71</v>
      </c>
      <c r="O34" s="10">
        <f t="shared" ref="O34" si="22">O33/O$27</f>
        <v>0.72000000000000008</v>
      </c>
      <c r="P34" s="10">
        <f t="shared" ref="P34" si="23">P33/P$27</f>
        <v>0.73</v>
      </c>
      <c r="T34"/>
    </row>
    <row r="36" spans="2:20" ht="14.4" customHeight="1" x14ac:dyDescent="0.3">
      <c r="B36" s="1" t="s">
        <v>72</v>
      </c>
      <c r="E36" s="27">
        <v>479.31700000000001</v>
      </c>
      <c r="F36" s="27">
        <v>743.96500000000003</v>
      </c>
      <c r="G36" s="27">
        <v>1106.5070000000001</v>
      </c>
      <c r="H36" s="27">
        <v>1391.7470000000001</v>
      </c>
      <c r="I36" s="27">
        <v>1672.0920000000001</v>
      </c>
      <c r="J36" s="27">
        <v>2062.1370000000002</v>
      </c>
      <c r="K36" s="7">
        <f>K27*0.41</f>
        <v>2573.3599324000002</v>
      </c>
      <c r="L36" s="7">
        <f>L27*0.38</f>
        <v>3100.5848941600002</v>
      </c>
      <c r="M36" s="7">
        <f>M27*0.35</f>
        <v>3569.7523452500004</v>
      </c>
      <c r="N36" s="7">
        <f>N27*0.32</f>
        <v>3916.5282873600008</v>
      </c>
      <c r="O36" s="7">
        <f>O27*0.29</f>
        <v>4188.2374372956001</v>
      </c>
      <c r="P36" s="7">
        <f>P27*0.26</f>
        <v>4318.2172198323597</v>
      </c>
    </row>
    <row r="37" spans="2:20" ht="14.4" customHeight="1" x14ac:dyDescent="0.3">
      <c r="B37" s="4" t="s">
        <v>15</v>
      </c>
      <c r="E37" s="10">
        <f>E36/E$27</f>
        <v>0.80959008460448378</v>
      </c>
      <c r="F37" s="10">
        <f t="shared" ref="F37" si="24">F36/F$27</f>
        <v>0.61014395646122821</v>
      </c>
      <c r="G37" s="10">
        <f t="shared" ref="G37" si="25">G36/G$27</f>
        <v>0.53566779415189048</v>
      </c>
      <c r="H37" s="10">
        <f t="shared" ref="H37" si="26">H36/H$27</f>
        <v>0.49590324423149351</v>
      </c>
      <c r="I37" s="10">
        <f t="shared" ref="I37" si="27">I36/I$27</f>
        <v>0.46108919158304829</v>
      </c>
      <c r="J37" s="10">
        <f t="shared" ref="J37" si="28">J36/J$27</f>
        <v>0.44025635649941314</v>
      </c>
      <c r="K37" s="10">
        <f t="shared" ref="K37" si="29">K36/K$27</f>
        <v>0.41000000000000003</v>
      </c>
      <c r="L37" s="10">
        <f t="shared" ref="L37" si="30">L36/L$27</f>
        <v>0.38</v>
      </c>
      <c r="M37" s="10">
        <f t="shared" ref="M37" si="31">M36/M$27</f>
        <v>0.35</v>
      </c>
      <c r="N37" s="10">
        <f t="shared" ref="N37" si="32">N36/N$27</f>
        <v>0.32</v>
      </c>
      <c r="O37" s="10">
        <f t="shared" ref="O37" si="33">O36/O$27</f>
        <v>0.28999999999999998</v>
      </c>
      <c r="P37" s="10">
        <f t="shared" ref="P37" si="34">P36/P$27</f>
        <v>0.26</v>
      </c>
      <c r="T37"/>
    </row>
    <row r="38" spans="2:20" ht="14.4" customHeight="1" x14ac:dyDescent="0.3">
      <c r="C38"/>
      <c r="T38"/>
    </row>
    <row r="39" spans="2:20" ht="14.4" customHeight="1" x14ac:dyDescent="0.3">
      <c r="B39" s="1" t="s">
        <v>54</v>
      </c>
      <c r="E39" s="27">
        <v>237.946</v>
      </c>
      <c r="F39" s="27">
        <v>466.93200000000002</v>
      </c>
      <c r="G39" s="27">
        <v>788.05799999999999</v>
      </c>
      <c r="H39" s="27">
        <v>1287.9490000000001</v>
      </c>
      <c r="I39" s="27">
        <v>1783.3789999999999</v>
      </c>
      <c r="J39" s="27">
        <v>1969.472</v>
      </c>
      <c r="K39" s="7">
        <f>K27*0.39</f>
        <v>2447.8301796000001</v>
      </c>
      <c r="L39" s="7">
        <f>L27*0.36</f>
        <v>2937.3962155200002</v>
      </c>
      <c r="M39" s="7">
        <f>M27*0.33</f>
        <v>3365.7664969500006</v>
      </c>
      <c r="N39" s="7">
        <f>N27*0.3</f>
        <v>3671.7452694000003</v>
      </c>
      <c r="O39" s="7">
        <f>O27*0.27</f>
        <v>3899.3934761028004</v>
      </c>
      <c r="P39" s="7">
        <f>P27*0.25</f>
        <v>4152.1319421464996</v>
      </c>
    </row>
    <row r="40" spans="2:20" ht="14.4" customHeight="1" x14ac:dyDescent="0.3">
      <c r="B40" s="4" t="s">
        <v>15</v>
      </c>
      <c r="E40" s="10">
        <f>E39/E$27</f>
        <v>0.40190254522851993</v>
      </c>
      <c r="F40" s="10">
        <f t="shared" ref="F40" si="35">F39/F$27</f>
        <v>0.38294239363189697</v>
      </c>
      <c r="G40" s="10">
        <f t="shared" ref="G40" si="36">G39/G$27</f>
        <v>0.38150440125887186</v>
      </c>
      <c r="H40" s="10">
        <f t="shared" ref="H40" si="37">H39/H$27</f>
        <v>0.45891824268685893</v>
      </c>
      <c r="I40" s="10">
        <f t="shared" ref="I40" si="38">I39/I$27</f>
        <v>0.4917772355804495</v>
      </c>
      <c r="J40" s="10">
        <f t="shared" ref="J40" si="39">J39/J$27</f>
        <v>0.4204728235551819</v>
      </c>
      <c r="K40" s="10">
        <f t="shared" ref="K40" si="40">K39/K$27</f>
        <v>0.39</v>
      </c>
      <c r="L40" s="10">
        <f t="shared" ref="L40" si="41">L39/L$27</f>
        <v>0.36</v>
      </c>
      <c r="M40" s="10">
        <f t="shared" ref="M40" si="42">M39/M$27</f>
        <v>0.33</v>
      </c>
      <c r="N40" s="10">
        <f t="shared" ref="N40" si="43">N39/N$27</f>
        <v>0.3</v>
      </c>
      <c r="O40" s="10">
        <f t="shared" ref="O40" si="44">O39/O$27</f>
        <v>0.27</v>
      </c>
      <c r="P40" s="10">
        <f t="shared" ref="P40" si="45">P39/P$27</f>
        <v>0.25</v>
      </c>
    </row>
    <row r="41" spans="2:20" ht="14.4" customHeight="1" x14ac:dyDescent="0.3">
      <c r="B41" s="4"/>
      <c r="E41" s="10"/>
      <c r="F41" s="10"/>
      <c r="G41" s="10"/>
      <c r="H41" s="10"/>
      <c r="I41" s="10"/>
      <c r="J41" s="10"/>
      <c r="K41" s="10"/>
      <c r="L41" s="10"/>
      <c r="M41" s="10"/>
      <c r="N41" s="10"/>
    </row>
    <row r="42" spans="2:20" ht="14.4" customHeight="1" x14ac:dyDescent="0.3">
      <c r="B42" s="1" t="s">
        <v>73</v>
      </c>
      <c r="E42" s="27">
        <v>176.13499999999999</v>
      </c>
      <c r="F42" s="27">
        <v>265.03300000000002</v>
      </c>
      <c r="G42" s="27">
        <v>295.82100000000003</v>
      </c>
      <c r="H42" s="27">
        <v>323.00799999999998</v>
      </c>
      <c r="I42" s="27">
        <v>412.262</v>
      </c>
      <c r="J42" s="27">
        <v>549.697</v>
      </c>
      <c r="K42" s="7">
        <f>K27*0.11</f>
        <v>690.41364040000008</v>
      </c>
      <c r="L42" s="7">
        <f>L27*0.1</f>
        <v>815.94339320000017</v>
      </c>
      <c r="M42" s="7">
        <f>M27*0.09</f>
        <v>917.93631735000008</v>
      </c>
      <c r="N42" s="7">
        <f>N27*0.08</f>
        <v>979.13207184000021</v>
      </c>
      <c r="O42" s="7">
        <f>O27*0.075</f>
        <v>1083.1648544730001</v>
      </c>
      <c r="P42" s="7">
        <f>P27*0.07</f>
        <v>1162.59694380102</v>
      </c>
    </row>
    <row r="43" spans="2:20" ht="14.4" customHeight="1" x14ac:dyDescent="0.3">
      <c r="B43" s="4" t="s">
        <v>15</v>
      </c>
      <c r="E43" s="10">
        <f>E42/E$27</f>
        <v>0.29750071362336561</v>
      </c>
      <c r="F43" s="10">
        <f t="shared" ref="F43" si="46">F42/F$27</f>
        <v>0.21736006829997204</v>
      </c>
      <c r="G43" s="10">
        <f t="shared" ref="G43" si="47">G42/G$27</f>
        <v>0.14320901949450515</v>
      </c>
      <c r="H43" s="10">
        <f t="shared" ref="H43" si="48">H42/H$27</f>
        <v>0.11509327134366105</v>
      </c>
      <c r="I43" s="10">
        <f t="shared" ref="I43" si="49">I42/I$27</f>
        <v>0.11368366830318585</v>
      </c>
      <c r="J43" s="10">
        <f t="shared" ref="J43" si="50">J42/J$27</f>
        <v>0.1173576723557445</v>
      </c>
      <c r="K43" s="10">
        <f t="shared" ref="K43" si="51">K42/K$27</f>
        <v>0.11</v>
      </c>
      <c r="L43" s="10">
        <f t="shared" ref="L43" si="52">L42/L$27</f>
        <v>0.1</v>
      </c>
      <c r="M43" s="10">
        <f t="shared" ref="M43" si="53">M42/M$27</f>
        <v>0.09</v>
      </c>
      <c r="N43" s="10">
        <f t="shared" ref="N43" si="54">N42/N$27</f>
        <v>0.08</v>
      </c>
      <c r="O43" s="10">
        <f t="shared" ref="O43" si="55">O42/O$27</f>
        <v>7.4999999999999997E-2</v>
      </c>
      <c r="P43" s="10">
        <f t="shared" ref="P43" si="56">P42/P$27</f>
        <v>7.0000000000000007E-2</v>
      </c>
    </row>
    <row r="45" spans="2:20" ht="14.4" customHeight="1" x14ac:dyDescent="0.3">
      <c r="B45" s="1" t="s">
        <v>12</v>
      </c>
      <c r="E45" s="28">
        <f>E33-E36-E39-E42</f>
        <v>-543.93700000000001</v>
      </c>
      <c r="F45" s="28">
        <f t="shared" ref="F45:J45" si="57">F33-F36-F39-F42</f>
        <v>-715.03600000000006</v>
      </c>
      <c r="G45" s="28">
        <f t="shared" si="57"/>
        <v>-842.26699999999994</v>
      </c>
      <c r="H45" s="28">
        <f t="shared" si="57"/>
        <v>-1094.7730000000001</v>
      </c>
      <c r="I45" s="28">
        <f t="shared" si="57"/>
        <v>-1456.01</v>
      </c>
      <c r="J45" s="28">
        <f t="shared" si="57"/>
        <v>-1435.1650000000004</v>
      </c>
      <c r="K45" s="28">
        <f t="shared" ref="K45:P45" si="58">K33-K36-K39-K42</f>
        <v>-1443.5921572000007</v>
      </c>
      <c r="L45" s="28">
        <f t="shared" si="58"/>
        <v>-1223.9150897999998</v>
      </c>
      <c r="M45" s="28">
        <f t="shared" si="58"/>
        <v>-713.95046904999936</v>
      </c>
      <c r="N45" s="28">
        <f t="shared" si="58"/>
        <v>122.39150897999934</v>
      </c>
      <c r="O45" s="28">
        <f t="shared" si="58"/>
        <v>1227.5868350694004</v>
      </c>
      <c r="P45" s="28">
        <f t="shared" si="58"/>
        <v>2491.2791652878996</v>
      </c>
    </row>
    <row r="46" spans="2:20" ht="14.4" customHeight="1" x14ac:dyDescent="0.3">
      <c r="B46" s="4" t="s">
        <v>15</v>
      </c>
      <c r="E46" s="29">
        <f>E45/E$27</f>
        <v>-0.91873645593523512</v>
      </c>
      <c r="F46" s="29">
        <f t="shared" ref="F46" si="59">F45/F$27</f>
        <v>-0.58641857352457549</v>
      </c>
      <c r="G46" s="29">
        <f t="shared" ref="G46" si="60">G45/G$27</f>
        <v>-0.40774735810702534</v>
      </c>
      <c r="H46" s="29">
        <f t="shared" ref="H46" si="61">H45/H$27</f>
        <v>-0.39008633206828891</v>
      </c>
      <c r="I46" s="29">
        <f t="shared" ref="I46" si="62">I45/I$27</f>
        <v>-0.40150331072502837</v>
      </c>
      <c r="J46" s="29">
        <f t="shared" ref="J46" si="63">J45/J$27</f>
        <v>-0.30640084236667126</v>
      </c>
      <c r="K46" s="29">
        <f t="shared" ref="K46" si="64">K45/K$27</f>
        <v>-0.23000000000000009</v>
      </c>
      <c r="L46" s="29">
        <f t="shared" ref="L46" si="65">L45/L$27</f>
        <v>-0.14999999999999997</v>
      </c>
      <c r="M46" s="29">
        <f t="shared" ref="M46" si="66">M45/M$27</f>
        <v>-6.9999999999999923E-2</v>
      </c>
      <c r="N46" s="29">
        <f t="shared" ref="N46" si="67">N45/N$27</f>
        <v>9.9999999999999447E-3</v>
      </c>
      <c r="O46" s="29">
        <f t="shared" ref="O46" si="68">O45/O$27</f>
        <v>8.500000000000002E-2</v>
      </c>
      <c r="P46" s="29">
        <f t="shared" ref="P46" si="69">P45/P$27</f>
        <v>0.15</v>
      </c>
    </row>
    <row r="47" spans="2:20" ht="14.4" customHeight="1" x14ac:dyDescent="0.3">
      <c r="B47" s="4"/>
      <c r="E47" s="29"/>
      <c r="F47" s="29"/>
      <c r="G47" s="29"/>
      <c r="H47" s="29"/>
      <c r="I47" s="29"/>
      <c r="J47" s="29"/>
      <c r="K47" s="29"/>
      <c r="L47" s="29"/>
      <c r="M47" s="29"/>
      <c r="N47" s="29"/>
      <c r="O47" s="29"/>
      <c r="P47" s="29"/>
    </row>
    <row r="48" spans="2:20" ht="14.4" customHeight="1" x14ac:dyDescent="0.3">
      <c r="B48" s="1" t="s">
        <v>90</v>
      </c>
      <c r="E48" s="28"/>
      <c r="F48" s="28"/>
      <c r="G48" s="28"/>
      <c r="H48" s="28">
        <f>H45+H100</f>
        <v>-847.19100000000014</v>
      </c>
      <c r="I48" s="28">
        <f t="shared" ref="I48:P48" si="70">I45+I100</f>
        <v>-1120.431</v>
      </c>
      <c r="J48" s="28">
        <f t="shared" si="70"/>
        <v>-1007.8440000000004</v>
      </c>
      <c r="K48" s="28">
        <f t="shared" si="70"/>
        <v>-874.55205820391893</v>
      </c>
      <c r="L48" s="28">
        <f t="shared" si="70"/>
        <v>-484.16296110509347</v>
      </c>
      <c r="M48" s="28">
        <f t="shared" si="70"/>
        <v>210.73969181863367</v>
      </c>
      <c r="N48" s="28">
        <f t="shared" si="70"/>
        <v>1232.0197020223588</v>
      </c>
      <c r="O48" s="28">
        <f t="shared" si="70"/>
        <v>2536.9481028593846</v>
      </c>
      <c r="P48" s="28">
        <f t="shared" si="70"/>
        <v>3997.044623246381</v>
      </c>
    </row>
    <row r="49" spans="2:16" ht="14.4" customHeight="1" x14ac:dyDescent="0.3">
      <c r="B49" s="4" t="s">
        <v>15</v>
      </c>
      <c r="E49" s="29">
        <f>E48/E$27</f>
        <v>0</v>
      </c>
      <c r="F49" s="29">
        <f t="shared" ref="F49:P49" si="71">F48/F$27</f>
        <v>0</v>
      </c>
      <c r="G49" s="29">
        <f t="shared" si="71"/>
        <v>0</v>
      </c>
      <c r="H49" s="29">
        <f t="shared" si="71"/>
        <v>-0.30186863372705192</v>
      </c>
      <c r="I49" s="29">
        <f t="shared" si="71"/>
        <v>-0.30896543014055827</v>
      </c>
      <c r="J49" s="29">
        <f t="shared" si="71"/>
        <v>-0.21516985891810034</v>
      </c>
      <c r="K49" s="29">
        <f t="shared" si="71"/>
        <v>-0.13933781254190741</v>
      </c>
      <c r="L49" s="29">
        <f t="shared" si="71"/>
        <v>-5.933781254190728E-2</v>
      </c>
      <c r="M49" s="29">
        <f t="shared" si="71"/>
        <v>2.0662187458092764E-2</v>
      </c>
      <c r="N49" s="29">
        <f t="shared" si="71"/>
        <v>0.10066218745809262</v>
      </c>
      <c r="O49" s="29">
        <f t="shared" si="71"/>
        <v>0.1756621874580927</v>
      </c>
      <c r="P49" s="29">
        <f t="shared" si="71"/>
        <v>0.24066218745809267</v>
      </c>
    </row>
    <row r="50" spans="2:16" ht="14.4" customHeight="1" x14ac:dyDescent="0.3">
      <c r="B50" s="4"/>
      <c r="E50" s="29"/>
      <c r="F50" s="29"/>
      <c r="G50" s="29"/>
      <c r="H50" s="29"/>
      <c r="I50" s="29"/>
      <c r="J50" s="29"/>
      <c r="K50" s="10"/>
      <c r="L50" s="10"/>
      <c r="M50" s="10"/>
      <c r="N50" s="10"/>
    </row>
    <row r="51" spans="2:16" ht="14.4" customHeight="1" x14ac:dyDescent="0.3">
      <c r="B51" s="1" t="s">
        <v>76</v>
      </c>
      <c r="E51" s="27">
        <v>7.5069999999999997</v>
      </c>
      <c r="F51" s="27">
        <v>9.1289999999999996</v>
      </c>
      <c r="G51" s="27">
        <v>73.838999999999999</v>
      </c>
      <c r="H51" s="27">
        <v>200.66300000000001</v>
      </c>
      <c r="I51" s="28">
        <f>209.009-2.759</f>
        <v>206.25</v>
      </c>
      <c r="J51" s="28">
        <f>190.556-8.298</f>
        <v>182.25800000000001</v>
      </c>
      <c r="K51" s="28">
        <f>K27*(AVERAGE(E52:J52))</f>
        <v>233.48335532524459</v>
      </c>
      <c r="L51" s="28">
        <f t="shared" ref="L51:P51" si="72">L27*(AVERAGE(F52:K52))</f>
        <v>336.87323501623831</v>
      </c>
      <c r="M51" s="28">
        <f t="shared" si="72"/>
        <v>478.5465918329138</v>
      </c>
      <c r="N51" s="28">
        <f t="shared" si="72"/>
        <v>597.04849326454246</v>
      </c>
      <c r="O51" s="28">
        <f t="shared" si="72"/>
        <v>649.83472521230112</v>
      </c>
      <c r="P51" s="28">
        <f t="shared" si="72"/>
        <v>714.42755817371585</v>
      </c>
    </row>
    <row r="52" spans="2:16" ht="14.4" customHeight="1" x14ac:dyDescent="0.3">
      <c r="B52" s="4" t="s">
        <v>15</v>
      </c>
      <c r="E52" s="29">
        <f>E51/E$27</f>
        <v>1.267969374156531E-2</v>
      </c>
      <c r="F52" s="29">
        <f t="shared" ref="F52" si="73">F51/F$27</f>
        <v>7.4869169632100331E-3</v>
      </c>
      <c r="G52" s="29">
        <f t="shared" ref="G52" si="74">G51/G$27</f>
        <v>3.5745977433835882E-2</v>
      </c>
      <c r="H52" s="29">
        <f t="shared" ref="H52" si="75">H51/H$27</f>
        <v>7.1499656688481586E-2</v>
      </c>
      <c r="I52" s="29">
        <f t="shared" ref="I52" si="76">I51/I$27</f>
        <v>5.6874649100649786E-2</v>
      </c>
      <c r="J52" s="29">
        <f t="shared" ref="J52" si="77">J51/J$27</f>
        <v>3.8911208626230966E-2</v>
      </c>
      <c r="K52" s="29">
        <f t="shared" ref="K52" si="78">K51/K$27</f>
        <v>3.7199683758995593E-2</v>
      </c>
      <c r="L52" s="29">
        <f t="shared" ref="L52" si="79">L51/L$27</f>
        <v>4.128634876190064E-2</v>
      </c>
      <c r="M52" s="29">
        <f t="shared" ref="M52" si="80">M51/M$27</f>
        <v>4.6919587395015748E-2</v>
      </c>
      <c r="N52" s="29">
        <f t="shared" ref="N52" si="81">N51/N$27</f>
        <v>4.8781855721879049E-2</v>
      </c>
      <c r="O52" s="29">
        <f t="shared" ref="O52" si="82">O51/O$27</f>
        <v>4.4995555560778638E-2</v>
      </c>
      <c r="P52" s="29">
        <f t="shared" ref="P52" si="83">P51/P$27</f>
        <v>4.3015706637466768E-2</v>
      </c>
    </row>
    <row r="53" spans="2:16" ht="14.4" customHeight="1" x14ac:dyDescent="0.3">
      <c r="B53" s="4"/>
      <c r="E53" s="29"/>
      <c r="F53" s="29"/>
      <c r="G53" s="29"/>
      <c r="H53" s="29"/>
      <c r="I53" s="29"/>
      <c r="J53" s="29"/>
      <c r="K53" s="10"/>
      <c r="L53" s="10"/>
      <c r="M53" s="10"/>
      <c r="N53" s="10"/>
    </row>
    <row r="54" spans="2:16" ht="14.4" customHeight="1" x14ac:dyDescent="0.3">
      <c r="B54" s="1" t="s">
        <v>74</v>
      </c>
      <c r="E54" s="27">
        <v>-0.61</v>
      </c>
      <c r="F54" s="27">
        <v>28.946999999999999</v>
      </c>
      <c r="G54" s="27">
        <v>-47.564999999999998</v>
      </c>
      <c r="H54" s="27">
        <v>44.887</v>
      </c>
      <c r="I54" s="27">
        <v>-35.338999999999999</v>
      </c>
      <c r="J54" s="27">
        <v>-59.003</v>
      </c>
      <c r="K54" s="28">
        <f>K27*(AVERAGE(E55:J55))</f>
        <v>-6.9716230704839139</v>
      </c>
      <c r="L54" s="28">
        <f t="shared" ref="L54:P54" si="84">L27*(AVERAGE(F55:K55))</f>
        <v>-9.1724901580550693</v>
      </c>
      <c r="M54" s="28">
        <f t="shared" si="84"/>
        <v>-53.731995255418859</v>
      </c>
      <c r="N54" s="28">
        <f t="shared" si="84"/>
        <v>-28.253890249234537</v>
      </c>
      <c r="O54" s="28">
        <f t="shared" si="84"/>
        <v>-77.394287679158936</v>
      </c>
      <c r="P54" s="28">
        <f t="shared" si="84"/>
        <v>-76.86249360014169</v>
      </c>
    </row>
    <row r="55" spans="2:16" ht="14.4" customHeight="1" x14ac:dyDescent="0.3">
      <c r="B55" s="4" t="s">
        <v>15</v>
      </c>
      <c r="E55" s="29">
        <f>E54/E$27</f>
        <v>-1.0303201255301504E-3</v>
      </c>
      <c r="F55" s="29">
        <f t="shared" ref="F55" si="85">F54/F$27</f>
        <v>2.37401451784468E-2</v>
      </c>
      <c r="G55" s="29">
        <f t="shared" ref="G55" si="86">G54/G$27</f>
        <v>-2.3026549880691825E-2</v>
      </c>
      <c r="H55" s="29">
        <f t="shared" ref="H55" si="87">H54/H$27</f>
        <v>1.5994005321239457E-2</v>
      </c>
      <c r="I55" s="29">
        <f t="shared" ref="I55" si="88">I54/I$27</f>
        <v>-9.7449368463896381E-3</v>
      </c>
      <c r="J55" s="29">
        <f t="shared" ref="J55" si="89">J54/J$27</f>
        <v>-1.2596857436016556E-2</v>
      </c>
      <c r="K55" s="29">
        <f t="shared" ref="K55" si="90">K54/K$27</f>
        <v>-1.1107522981569854E-3</v>
      </c>
      <c r="L55" s="29">
        <f t="shared" ref="L55" si="91">L54/L$27</f>
        <v>-1.1241576602614579E-3</v>
      </c>
      <c r="M55" s="29">
        <f t="shared" ref="M55" si="92">M54/M$27</f>
        <v>-5.2682081333795009E-3</v>
      </c>
      <c r="N55" s="29">
        <f t="shared" ref="N55" si="93">N54/N$27</f>
        <v>-2.3084845088274467E-3</v>
      </c>
      <c r="O55" s="29">
        <f t="shared" ref="O55" si="94">O54/O$27</f>
        <v>-5.3588994805052644E-3</v>
      </c>
      <c r="P55" s="29">
        <f t="shared" ref="P55" si="95">P54/P$27</f>
        <v>-4.6278932528578684E-3</v>
      </c>
    </row>
    <row r="56" spans="2:16" ht="14.4" customHeight="1" x14ac:dyDescent="0.3">
      <c r="B56" s="4"/>
      <c r="E56" s="29"/>
      <c r="F56" s="29"/>
      <c r="G56" s="29"/>
      <c r="H56" s="29"/>
      <c r="I56" s="29"/>
      <c r="J56" s="29"/>
      <c r="K56" s="10"/>
      <c r="L56" s="10"/>
      <c r="M56" s="10"/>
      <c r="N56" s="10"/>
    </row>
    <row r="57" spans="2:16" ht="14.4" customHeight="1" x14ac:dyDescent="0.3">
      <c r="B57" s="1" t="s">
        <v>75</v>
      </c>
      <c r="E57" s="28">
        <f t="shared" ref="E57:I57" si="96">E45+E51+E54</f>
        <v>-537.04000000000008</v>
      </c>
      <c r="F57" s="28">
        <f t="shared" si="96"/>
        <v>-676.96</v>
      </c>
      <c r="G57" s="28">
        <f t="shared" si="96"/>
        <v>-815.99299999999994</v>
      </c>
      <c r="H57" s="28">
        <f t="shared" si="96"/>
        <v>-849.22300000000018</v>
      </c>
      <c r="I57" s="28">
        <f t="shared" si="96"/>
        <v>-1285.0989999999999</v>
      </c>
      <c r="J57" s="28">
        <f>J45+J51+J54</f>
        <v>-1311.9100000000003</v>
      </c>
      <c r="K57" s="28">
        <f t="shared" ref="K57:P57" si="97">K45+K51+K54</f>
        <v>-1217.0804249452399</v>
      </c>
      <c r="L57" s="28">
        <f t="shared" si="97"/>
        <v>-896.21434494181653</v>
      </c>
      <c r="M57" s="28">
        <f t="shared" si="97"/>
        <v>-289.13587247250439</v>
      </c>
      <c r="N57" s="28">
        <f t="shared" si="97"/>
        <v>691.18611199530721</v>
      </c>
      <c r="O57" s="28">
        <f t="shared" si="97"/>
        <v>1800.0272726025428</v>
      </c>
      <c r="P57" s="28">
        <f t="shared" si="97"/>
        <v>3128.8442298614737</v>
      </c>
    </row>
    <row r="58" spans="2:16" ht="14.4" customHeight="1" x14ac:dyDescent="0.3">
      <c r="B58" s="4" t="s">
        <v>15</v>
      </c>
      <c r="E58" s="29">
        <f>E57/E$27</f>
        <v>-0.9070870823192001</v>
      </c>
      <c r="F58" s="29">
        <f t="shared" ref="F58" si="98">F57/F$27</f>
        <v>-0.55519151138291867</v>
      </c>
      <c r="G58" s="29">
        <f t="shared" ref="G58" si="99">G57/G$27</f>
        <v>-0.3950279305538813</v>
      </c>
      <c r="H58" s="29">
        <f t="shared" ref="H58" si="100">H57/H$27</f>
        <v>-0.30259267005856788</v>
      </c>
      <c r="I58" s="29">
        <f t="shared" ref="I58" si="101">I57/I$27</f>
        <v>-0.35437359847076816</v>
      </c>
      <c r="J58" s="29">
        <f t="shared" ref="J58" si="102">J57/J$27</f>
        <v>-0.28008649117645684</v>
      </c>
      <c r="K58" s="29">
        <f t="shared" ref="K58" si="103">K57/K$27</f>
        <v>-0.19391106853916146</v>
      </c>
      <c r="L58" s="29">
        <f t="shared" ref="L58" si="104">L57/L$27</f>
        <v>-0.10983780889836077</v>
      </c>
      <c r="M58" s="29">
        <f t="shared" ref="M58" si="105">M57/M$27</f>
        <v>-2.8348620738363677E-2</v>
      </c>
      <c r="N58" s="29">
        <f t="shared" ref="N58" si="106">N57/N$27</f>
        <v>5.6473371213051543E-2</v>
      </c>
      <c r="O58" s="29">
        <f t="shared" ref="O58" si="107">O57/O$27</f>
        <v>0.12463665608027341</v>
      </c>
      <c r="P58" s="29">
        <f t="shared" ref="P58" si="108">P57/P$27</f>
        <v>0.18838781338460889</v>
      </c>
    </row>
    <row r="60" spans="2:16" ht="14.4" customHeight="1" x14ac:dyDescent="0.3">
      <c r="B60" s="1" t="s">
        <v>13</v>
      </c>
      <c r="E60" s="27">
        <v>-2.0619999999999998</v>
      </c>
      <c r="F60" s="27">
        <v>-2.988</v>
      </c>
      <c r="G60" s="27">
        <v>18.466999999999999</v>
      </c>
      <c r="H60" s="27">
        <v>11.233000000000001</v>
      </c>
      <c r="I60" s="27">
        <v>-4.1130000000000004</v>
      </c>
      <c r="J60" s="27">
        <v>-17.125</v>
      </c>
      <c r="K60" s="7">
        <f>MAX(0,K57*0.15)</f>
        <v>0</v>
      </c>
      <c r="L60" s="7">
        <f t="shared" ref="L60:P60" si="109">MAX(0,L57*0.15)</f>
        <v>0</v>
      </c>
      <c r="M60" s="7">
        <f t="shared" si="109"/>
        <v>0</v>
      </c>
      <c r="N60" s="7">
        <f>MAX(0,N57*0.05)</f>
        <v>34.559305599765359</v>
      </c>
      <c r="O60" s="7">
        <f>MAX(0,O57*0.1)</f>
        <v>180.00272726025429</v>
      </c>
      <c r="P60" s="7">
        <f t="shared" si="109"/>
        <v>469.32663447922101</v>
      </c>
    </row>
    <row r="61" spans="2:16" ht="14.4" customHeight="1" x14ac:dyDescent="0.3">
      <c r="B61" s="4" t="s">
        <v>14</v>
      </c>
      <c r="E61" s="29">
        <f>E60/(E57*-1)</f>
        <v>-3.8395650230895269E-3</v>
      </c>
      <c r="F61" s="29">
        <f t="shared" ref="F61:J61" si="110">F60/(F57*-1)</f>
        <v>-4.413850153627984E-3</v>
      </c>
      <c r="G61" s="29">
        <f t="shared" si="110"/>
        <v>2.263132159221954E-2</v>
      </c>
      <c r="H61" s="29">
        <f t="shared" si="110"/>
        <v>1.322738550416086E-2</v>
      </c>
      <c r="I61" s="29">
        <f t="shared" si="110"/>
        <v>-3.200531632193318E-3</v>
      </c>
      <c r="J61" s="29">
        <f t="shared" si="110"/>
        <v>-1.3053486900778252E-2</v>
      </c>
      <c r="K61" s="10"/>
      <c r="L61" s="10"/>
      <c r="M61" s="10"/>
      <c r="N61" s="10"/>
    </row>
    <row r="62" spans="2:16" ht="14.4" customHeight="1" x14ac:dyDescent="0.3">
      <c r="B62" s="4"/>
      <c r="E62" s="10"/>
      <c r="F62" s="10"/>
      <c r="G62" s="10"/>
      <c r="H62" s="10"/>
      <c r="I62" s="10"/>
      <c r="J62" s="10"/>
      <c r="K62" s="10"/>
      <c r="L62" s="10"/>
      <c r="M62" s="10"/>
      <c r="N62" s="10"/>
    </row>
    <row r="63" spans="2:16" ht="14.4" customHeight="1" x14ac:dyDescent="0.3">
      <c r="B63" s="1" t="s">
        <v>77</v>
      </c>
      <c r="E63" s="28">
        <f>E57+E60</f>
        <v>-539.10200000000009</v>
      </c>
      <c r="F63" s="28">
        <f t="shared" ref="F63:J63" si="111">F57+F60</f>
        <v>-679.94800000000009</v>
      </c>
      <c r="G63" s="28">
        <f t="shared" si="111"/>
        <v>-797.52599999999995</v>
      </c>
      <c r="H63" s="28">
        <f t="shared" si="111"/>
        <v>-837.99000000000024</v>
      </c>
      <c r="I63" s="28">
        <f t="shared" si="111"/>
        <v>-1289.212</v>
      </c>
      <c r="J63" s="28">
        <f t="shared" si="111"/>
        <v>-1329.0350000000003</v>
      </c>
      <c r="K63" s="28">
        <f t="shared" ref="K63:P63" si="112">K57+K60</f>
        <v>-1217.0804249452399</v>
      </c>
      <c r="L63" s="28">
        <f t="shared" si="112"/>
        <v>-896.21434494181653</v>
      </c>
      <c r="M63" s="28">
        <f t="shared" si="112"/>
        <v>-289.13587247250439</v>
      </c>
      <c r="N63" s="28">
        <f t="shared" si="112"/>
        <v>725.74541759507258</v>
      </c>
      <c r="O63" s="28">
        <f t="shared" si="112"/>
        <v>1980.029999862797</v>
      </c>
      <c r="P63" s="28">
        <f t="shared" si="112"/>
        <v>3598.1708643406946</v>
      </c>
    </row>
    <row r="64" spans="2:16" ht="14.4" customHeight="1" x14ac:dyDescent="0.3">
      <c r="B64" s="4" t="s">
        <v>15</v>
      </c>
      <c r="E64" s="29">
        <f>E63/E$27</f>
        <v>-0.91056990215336919</v>
      </c>
      <c r="F64" s="29">
        <f t="shared" ref="F64" si="113">F63/F$27</f>
        <v>-0.5576420435207291</v>
      </c>
      <c r="G64" s="29">
        <f t="shared" ref="G64" si="114">G63/G$27</f>
        <v>-0.38608792641960743</v>
      </c>
      <c r="H64" s="29">
        <f t="shared" ref="H64" si="115">H63/H$27</f>
        <v>-0.2985901601609699</v>
      </c>
      <c r="I64" s="29">
        <f t="shared" ref="I64" si="116">I63/I$27</f>
        <v>-0.35550778238228808</v>
      </c>
      <c r="J64" s="29">
        <f t="shared" ref="J64" si="117">J63/J$27</f>
        <v>-0.28374259652011369</v>
      </c>
      <c r="K64" s="29">
        <f t="shared" ref="K64" si="118">K63/K$27</f>
        <v>-0.19391106853916146</v>
      </c>
      <c r="L64" s="29">
        <f t="shared" ref="L64" si="119">L63/L$27</f>
        <v>-0.10983780889836077</v>
      </c>
      <c r="M64" s="29">
        <f t="shared" ref="M64" si="120">M63/M$27</f>
        <v>-2.8348620738363677E-2</v>
      </c>
      <c r="N64" s="29">
        <f t="shared" ref="N64" si="121">N63/N$27</f>
        <v>5.9297039773704117E-2</v>
      </c>
      <c r="O64" s="29">
        <f t="shared" ref="O64" si="122">O63/O$27</f>
        <v>0.13710032168830075</v>
      </c>
      <c r="P64" s="29">
        <f t="shared" ref="P64" si="123">P63/P$27</f>
        <v>0.21664598539230021</v>
      </c>
    </row>
    <row r="65" spans="2:16" ht="14.4" customHeight="1" x14ac:dyDescent="0.3">
      <c r="B65" s="4"/>
      <c r="E65" s="29"/>
      <c r="F65" s="29"/>
      <c r="G65" s="29"/>
      <c r="H65" s="29"/>
      <c r="I65" s="29"/>
      <c r="J65" s="29"/>
      <c r="K65" s="10"/>
      <c r="L65" s="10"/>
      <c r="M65" s="10"/>
      <c r="N65" s="10"/>
    </row>
    <row r="66" spans="2:16" ht="14.4" customHeight="1" x14ac:dyDescent="0.3">
      <c r="B66" s="1" t="s">
        <v>39</v>
      </c>
      <c r="E66" s="28">
        <v>141.61319599999999</v>
      </c>
      <c r="F66" s="28">
        <v>300.27300000000002</v>
      </c>
      <c r="G66" s="28">
        <v>318.73</v>
      </c>
      <c r="H66" s="28">
        <v>328.00099999999998</v>
      </c>
      <c r="I66" s="28">
        <v>332.70699999999999</v>
      </c>
      <c r="J66" s="28">
        <v>337.49299999999999</v>
      </c>
      <c r="K66" s="28">
        <f>J66*1.015</f>
        <v>342.55539499999998</v>
      </c>
      <c r="L66" s="28">
        <f t="shared" ref="L66:P66" si="124">K66*1.015</f>
        <v>347.69372592499997</v>
      </c>
      <c r="M66" s="28">
        <f t="shared" si="124"/>
        <v>352.90913181387492</v>
      </c>
      <c r="N66" s="28">
        <f t="shared" si="124"/>
        <v>358.20276879108303</v>
      </c>
      <c r="O66" s="28">
        <f t="shared" si="124"/>
        <v>363.57581032294922</v>
      </c>
      <c r="P66" s="28">
        <f t="shared" si="124"/>
        <v>369.02944747779344</v>
      </c>
    </row>
    <row r="67" spans="2:16" ht="14.4" customHeight="1" x14ac:dyDescent="0.3">
      <c r="B67" s="4" t="s">
        <v>11</v>
      </c>
      <c r="E67" s="29">
        <f>(E66-44.8)/44.8</f>
        <v>2.1610088392857141</v>
      </c>
      <c r="F67" s="29">
        <f>(F66-E66)/E66</f>
        <v>1.1203744317725874</v>
      </c>
      <c r="G67" s="29">
        <f t="shared" ref="G67:J67" si="125">(G66-F66)/F66</f>
        <v>6.1467398001152258E-2</v>
      </c>
      <c r="H67" s="29">
        <f t="shared" si="125"/>
        <v>2.90873152825274E-2</v>
      </c>
      <c r="I67" s="29">
        <f t="shared" si="125"/>
        <v>1.4347517233179221E-2</v>
      </c>
      <c r="J67" s="29">
        <f t="shared" si="125"/>
        <v>1.4385029470374839E-2</v>
      </c>
      <c r="K67" s="29">
        <f t="shared" ref="K67" si="126">(K66-J66)/J66</f>
        <v>1.4999999999999944E-2</v>
      </c>
      <c r="L67" s="29">
        <f t="shared" ref="L67" si="127">(L66-K66)/K66</f>
        <v>1.4999999999999975E-2</v>
      </c>
      <c r="M67" s="29">
        <f t="shared" ref="M67" si="128">(M66-L66)/L66</f>
        <v>1.4999999999999871E-2</v>
      </c>
      <c r="N67" s="29">
        <f t="shared" ref="N67" si="129">(N66-M66)/M66</f>
        <v>1.499999999999996E-2</v>
      </c>
      <c r="O67" s="29">
        <f t="shared" ref="O67" si="130">(O66-N66)/N66</f>
        <v>1.4999999999999852E-2</v>
      </c>
      <c r="P67" s="29">
        <f t="shared" ref="P67" si="131">(P66-O66)/O66</f>
        <v>1.4999999999999939E-2</v>
      </c>
    </row>
    <row r="68" spans="2:16" ht="14.4" customHeight="1" x14ac:dyDescent="0.3">
      <c r="B68" s="4"/>
      <c r="E68" s="29"/>
      <c r="F68" s="29"/>
      <c r="G68" s="29"/>
      <c r="H68" s="29"/>
      <c r="I68" s="29"/>
      <c r="J68" s="29"/>
      <c r="K68" s="10"/>
      <c r="L68" s="10"/>
      <c r="M68" s="10"/>
      <c r="N68" s="10"/>
    </row>
    <row r="69" spans="2:16" ht="14.4" customHeight="1" x14ac:dyDescent="0.3">
      <c r="B69" s="1" t="s">
        <v>78</v>
      </c>
      <c r="E69" s="31">
        <f>E63/E66</f>
        <v>-3.8068627446272743</v>
      </c>
      <c r="F69" s="31">
        <f t="shared" ref="F69:J69" si="132">F63/F66</f>
        <v>-2.2644326995767186</v>
      </c>
      <c r="G69" s="31">
        <f t="shared" si="132"/>
        <v>-2.502199353684937</v>
      </c>
      <c r="H69" s="31">
        <f t="shared" si="132"/>
        <v>-2.5548397718299647</v>
      </c>
      <c r="I69" s="31">
        <f t="shared" si="132"/>
        <v>-3.8749169689847225</v>
      </c>
      <c r="J69" s="31">
        <f t="shared" si="132"/>
        <v>-3.9379631577543841</v>
      </c>
      <c r="K69" s="31">
        <f>K63/K66</f>
        <v>-3.5529448454467927</v>
      </c>
      <c r="L69" s="31">
        <f t="shared" ref="L69:P69" si="133">L63/L66</f>
        <v>-2.5775971152701684</v>
      </c>
      <c r="M69" s="31">
        <f t="shared" si="133"/>
        <v>-0.81929269153906537</v>
      </c>
      <c r="N69" s="32">
        <f t="shared" si="133"/>
        <v>2.026074282017496</v>
      </c>
      <c r="O69" s="31">
        <f t="shared" si="133"/>
        <v>5.4459893745516759</v>
      </c>
      <c r="P69" s="31">
        <f t="shared" si="133"/>
        <v>9.7503624410819327</v>
      </c>
    </row>
    <row r="71" spans="2:16" ht="14.4" customHeight="1" x14ac:dyDescent="0.3">
      <c r="B71" s="2" t="s">
        <v>16</v>
      </c>
      <c r="C71" s="2"/>
      <c r="D71" s="2"/>
      <c r="E71" s="2">
        <v>2021</v>
      </c>
      <c r="F71" s="2">
        <f>E71+1</f>
        <v>2022</v>
      </c>
      <c r="G71" s="2">
        <f>F71+1</f>
        <v>2023</v>
      </c>
      <c r="H71" s="2">
        <f>G71+1</f>
        <v>2024</v>
      </c>
      <c r="I71" s="2">
        <f>H71+1</f>
        <v>2025</v>
      </c>
      <c r="J71" s="2">
        <f>I71+1</f>
        <v>2026</v>
      </c>
      <c r="K71" s="3" t="s">
        <v>6</v>
      </c>
      <c r="L71" s="3" t="s">
        <v>7</v>
      </c>
      <c r="M71" s="3" t="s">
        <v>8</v>
      </c>
      <c r="N71" s="3" t="s">
        <v>9</v>
      </c>
      <c r="O71" s="3" t="s">
        <v>82</v>
      </c>
      <c r="P71" s="3" t="s">
        <v>83</v>
      </c>
    </row>
    <row r="72" spans="2:16" s="20" customFormat="1" ht="1.95" customHeight="1" x14ac:dyDescent="0.3">
      <c r="B72" s="21"/>
      <c r="C72" s="21"/>
      <c r="D72" s="21"/>
      <c r="E72" s="21"/>
      <c r="F72" s="21"/>
      <c r="G72" s="21"/>
      <c r="H72" s="21"/>
      <c r="I72" s="21"/>
      <c r="J72" s="21"/>
      <c r="K72" s="21"/>
      <c r="L72" s="22"/>
      <c r="M72" s="22"/>
      <c r="N72" s="22"/>
      <c r="O72" s="22"/>
      <c r="P72" s="22"/>
    </row>
    <row r="73" spans="2:16" ht="14.4" customHeight="1" x14ac:dyDescent="0.3">
      <c r="B73" s="1" t="s">
        <v>17</v>
      </c>
      <c r="E73" s="11"/>
      <c r="F73" s="11"/>
      <c r="G73" s="11"/>
      <c r="H73" s="11">
        <f>(119903)/1000</f>
        <v>119.90300000000001</v>
      </c>
      <c r="I73" s="11">
        <f>(182508)/1000</f>
        <v>182.50800000000001</v>
      </c>
      <c r="J73" s="11">
        <f>(220443)/1000</f>
        <v>220.44300000000001</v>
      </c>
      <c r="K73" s="7">
        <f>K27*(AVERAGE($H$74:$J$74))</f>
        <v>293.14265305753264</v>
      </c>
      <c r="L73" s="7">
        <f t="shared" ref="L73:P73" si="134">L27*(AVERAGE($H$74:$J$74))</f>
        <v>381.08544897479243</v>
      </c>
      <c r="M73" s="7">
        <f t="shared" si="134"/>
        <v>476.35681121849058</v>
      </c>
      <c r="N73" s="7">
        <f t="shared" si="134"/>
        <v>571.62817346218867</v>
      </c>
      <c r="O73" s="7">
        <f t="shared" si="134"/>
        <v>674.52124468538261</v>
      </c>
      <c r="P73" s="7">
        <f t="shared" si="134"/>
        <v>775.69943138818985</v>
      </c>
    </row>
    <row r="74" spans="2:16" ht="14.4" customHeight="1" x14ac:dyDescent="0.3">
      <c r="B74" s="1" t="s">
        <v>15</v>
      </c>
      <c r="E74" s="10"/>
      <c r="F74" s="10"/>
      <c r="G74" s="10"/>
      <c r="H74" s="10">
        <f>H73/H$27</f>
        <v>4.2723488315828069E-2</v>
      </c>
      <c r="I74" s="10">
        <f>I73/I$27</f>
        <v>5.0327653129994626E-2</v>
      </c>
      <c r="J74" s="10">
        <f>J73/J$27</f>
        <v>4.706352293557612E-2</v>
      </c>
      <c r="K74" s="10">
        <f t="shared" ref="K74:P74" si="135">K73/K$27</f>
        <v>4.6704888127132936E-2</v>
      </c>
      <c r="L74" s="10">
        <f t="shared" si="135"/>
        <v>4.6704888127132936E-2</v>
      </c>
      <c r="M74" s="10">
        <f t="shared" si="135"/>
        <v>4.6704888127132936E-2</v>
      </c>
      <c r="N74" s="10">
        <f t="shared" si="135"/>
        <v>4.6704888127132936E-2</v>
      </c>
      <c r="O74" s="10">
        <f t="shared" si="135"/>
        <v>4.6704888127132936E-2</v>
      </c>
      <c r="P74" s="10">
        <f t="shared" si="135"/>
        <v>4.6704888127132936E-2</v>
      </c>
    </row>
    <row r="75" spans="2:16" ht="14.4" customHeight="1" x14ac:dyDescent="0.3">
      <c r="B75" s="1" t="s">
        <v>32</v>
      </c>
      <c r="E75" s="10"/>
      <c r="F75" s="10"/>
      <c r="G75" s="10"/>
      <c r="H75" s="10"/>
      <c r="I75" s="10"/>
      <c r="J75" s="10"/>
      <c r="K75" s="10"/>
      <c r="L75" s="10"/>
      <c r="M75" s="10"/>
      <c r="N75" s="10"/>
    </row>
    <row r="76" spans="2:16" ht="14.4" customHeight="1" x14ac:dyDescent="0.3">
      <c r="E76" s="10"/>
      <c r="F76" s="10"/>
      <c r="G76" s="10"/>
      <c r="H76" s="10"/>
      <c r="I76" s="10"/>
      <c r="J76" s="10"/>
      <c r="K76" s="10"/>
      <c r="L76" s="10"/>
      <c r="M76" s="10"/>
      <c r="N76" s="10"/>
    </row>
    <row r="77" spans="2:16" ht="14.4" customHeight="1" x14ac:dyDescent="0.3">
      <c r="B77" s="1" t="s">
        <v>81</v>
      </c>
      <c r="E77" s="10"/>
      <c r="F77" s="10"/>
      <c r="G77" s="10"/>
      <c r="H77" s="30">
        <f>((52892+74787))/1000</f>
        <v>127.679</v>
      </c>
      <c r="I77" s="30">
        <f>((59943+93128))/1000</f>
        <v>153.071</v>
      </c>
      <c r="J77" s="30">
        <f>((66463+140415))/1000</f>
        <v>206.87799999999999</v>
      </c>
      <c r="K77" s="7">
        <f>K$27*(AVERAGE($H78:$J$78))</f>
        <v>275.89744593854914</v>
      </c>
      <c r="L77" s="7">
        <f>L$27*(AVERAGE($H78:$J$78))</f>
        <v>358.66667972011385</v>
      </c>
      <c r="M77" s="7">
        <f>M$27*(AVERAGE($H78:$J$78))</f>
        <v>448.3333496501424</v>
      </c>
      <c r="N77" s="7">
        <f>N$27*(AVERAGE($H78:$J$78))</f>
        <v>538.00001958017083</v>
      </c>
      <c r="O77" s="7">
        <f>O$27*(AVERAGE($H78:$J$78))</f>
        <v>634.84002310460153</v>
      </c>
      <c r="P77" s="7">
        <f>P$27*(AVERAGE($H78:$J$78))</f>
        <v>730.06602657029168</v>
      </c>
    </row>
    <row r="78" spans="2:16" ht="14.4" customHeight="1" x14ac:dyDescent="0.3">
      <c r="B78" s="1" t="s">
        <v>15</v>
      </c>
      <c r="E78" s="10"/>
      <c r="F78" s="10"/>
      <c r="G78" s="10"/>
      <c r="H78" s="10">
        <f>H77/H$27</f>
        <v>4.5494210025408974E-2</v>
      </c>
      <c r="I78" s="10">
        <f>I77/I$27</f>
        <v>4.221022745447546E-2</v>
      </c>
      <c r="J78" s="10">
        <f>J77/J$27</f>
        <v>4.4167460512994812E-2</v>
      </c>
      <c r="K78" s="10">
        <f t="shared" ref="K78:P78" si="136">K77/K$27</f>
        <v>4.3957299330959751E-2</v>
      </c>
      <c r="L78" s="10">
        <f t="shared" si="136"/>
        <v>4.3957299330959744E-2</v>
      </c>
      <c r="M78" s="10">
        <f t="shared" si="136"/>
        <v>4.3957299330959744E-2</v>
      </c>
      <c r="N78" s="10">
        <f t="shared" si="136"/>
        <v>4.3957299330959744E-2</v>
      </c>
      <c r="O78" s="10">
        <f t="shared" si="136"/>
        <v>4.3957299330959744E-2</v>
      </c>
      <c r="P78" s="10">
        <f t="shared" si="136"/>
        <v>4.3957299330959744E-2</v>
      </c>
    </row>
    <row r="80" spans="2:16" ht="14.4" customHeight="1" x14ac:dyDescent="0.3">
      <c r="B80" s="1" t="s">
        <v>18</v>
      </c>
      <c r="E80" s="11"/>
      <c r="F80" s="11"/>
      <c r="G80" s="11"/>
      <c r="H80" s="7">
        <f>35.086+34.133</f>
        <v>69.218999999999994</v>
      </c>
      <c r="I80" s="7">
        <f>46.279+29.433</f>
        <v>75.712000000000003</v>
      </c>
      <c r="J80" s="7">
        <f>101.628</f>
        <v>101.628</v>
      </c>
      <c r="K80" s="7">
        <f>K$27*(AVERAGE($H81:$J$81))</f>
        <v>140.67498446628144</v>
      </c>
      <c r="L80" s="7">
        <f>L$27*(AVERAGE($H81:$J$81))</f>
        <v>182.87747980616589</v>
      </c>
      <c r="M80" s="7">
        <f>M$27*(AVERAGE($H81:$J$81))</f>
        <v>228.59684975770736</v>
      </c>
      <c r="N80" s="7">
        <f>N$27*(AVERAGE($H81:$J$81))</f>
        <v>274.31621970924886</v>
      </c>
      <c r="O80" s="7">
        <f>O$27*(AVERAGE($H81:$J$81))</f>
        <v>323.69313925691358</v>
      </c>
      <c r="P80" s="7">
        <f>P$27*(AVERAGE($H81:$J$81))</f>
        <v>372.24711014545056</v>
      </c>
    </row>
    <row r="81" spans="2:16" ht="14.4" customHeight="1" x14ac:dyDescent="0.3">
      <c r="B81" s="1" t="s">
        <v>56</v>
      </c>
      <c r="E81" s="11"/>
      <c r="F81" s="11"/>
      <c r="G81" s="11"/>
      <c r="H81" s="10">
        <f>H80/H$27</f>
        <v>2.4663912810632786E-2</v>
      </c>
      <c r="I81" s="10">
        <f>I80/I$27</f>
        <v>2.0878028764646773E-2</v>
      </c>
      <c r="J81" s="10">
        <f>J80/J$27</f>
        <v>2.1697090444680617E-2</v>
      </c>
      <c r="K81" s="10">
        <f t="shared" ref="K81:P81" si="137">K80/K$27</f>
        <v>2.241301067332006E-2</v>
      </c>
      <c r="L81" s="10">
        <f t="shared" si="137"/>
        <v>2.241301067332006E-2</v>
      </c>
      <c r="M81" s="10">
        <f t="shared" si="137"/>
        <v>2.241301067332006E-2</v>
      </c>
      <c r="N81" s="10">
        <f t="shared" si="137"/>
        <v>2.241301067332006E-2</v>
      </c>
      <c r="O81" s="10">
        <f t="shared" si="137"/>
        <v>2.241301067332006E-2</v>
      </c>
      <c r="P81" s="10">
        <f t="shared" si="137"/>
        <v>2.241301067332006E-2</v>
      </c>
    </row>
    <row r="83" spans="2:16" ht="14.4" customHeight="1" x14ac:dyDescent="0.3">
      <c r="B83" s="1" t="s">
        <v>19</v>
      </c>
      <c r="E83" s="12"/>
      <c r="F83" s="12"/>
      <c r="G83" s="12"/>
      <c r="H83" s="12">
        <f>(-212083-134787+59795+19212+171048-40498+528029)/1000</f>
        <v>390.71600000000001</v>
      </c>
      <c r="I83" s="12">
        <f>(536-101569+29850+108852+70876-47711+382755)/1000</f>
        <v>443.589</v>
      </c>
      <c r="J83" s="12">
        <f>(-379969-305063-44516-8299+393337-26949+755219)/1000</f>
        <v>383.76</v>
      </c>
      <c r="K83" s="12">
        <f>(K27-J27)*0.3</f>
        <v>477.76249200000007</v>
      </c>
      <c r="L83" s="12">
        <f>(L27-K27)*0.25</f>
        <v>470.73657300000013</v>
      </c>
      <c r="M83" s="12">
        <f>(M27-L27)*0.2</f>
        <v>407.9716966000002</v>
      </c>
      <c r="N83" s="12">
        <f>(N27-M27)*0.15</f>
        <v>305.97877245000001</v>
      </c>
      <c r="O83" s="12">
        <f>(O27-N27)*0.1</f>
        <v>220.30471616399993</v>
      </c>
      <c r="P83" s="12">
        <f>(P27-O27)*0.05</f>
        <v>108.31648544729988</v>
      </c>
    </row>
    <row r="84" spans="2:16" ht="14.4" customHeight="1" x14ac:dyDescent="0.3">
      <c r="B84" s="1" t="s">
        <v>15</v>
      </c>
      <c r="E84" s="10"/>
      <c r="F84" s="10"/>
      <c r="G84" s="10"/>
      <c r="H84" s="10">
        <f>H83/H$27</f>
        <v>0.1392187890278565</v>
      </c>
      <c r="I84" s="10">
        <f>I83/I$27</f>
        <v>0.12232227258137279</v>
      </c>
      <c r="J84" s="10">
        <f>J83/J$27</f>
        <v>8.1930918930320715E-2</v>
      </c>
      <c r="K84" s="10">
        <f t="shared" ref="K84:P84" si="138">K83/K$27</f>
        <v>7.6119402985074636E-2</v>
      </c>
      <c r="L84" s="10">
        <f t="shared" si="138"/>
        <v>5.7692307692307702E-2</v>
      </c>
      <c r="M84" s="10">
        <f t="shared" si="138"/>
        <v>4.0000000000000015E-2</v>
      </c>
      <c r="N84" s="10">
        <f t="shared" si="138"/>
        <v>2.4999999999999998E-2</v>
      </c>
      <c r="O84" s="10">
        <f t="shared" si="138"/>
        <v>1.5254237288135587E-2</v>
      </c>
      <c r="P84" s="10">
        <f t="shared" si="138"/>
        <v>6.5217391304347762E-3</v>
      </c>
    </row>
    <row r="85" spans="2:16" ht="14.4" customHeight="1" x14ac:dyDescent="0.3">
      <c r="B85" s="1" t="s">
        <v>20</v>
      </c>
      <c r="E85" s="13"/>
      <c r="F85" s="13"/>
      <c r="G85" s="13"/>
      <c r="H85" s="13">
        <f>H83/(H27-G27)</f>
        <v>0.52740304793272419</v>
      </c>
      <c r="I85" s="13">
        <f>I83/(I27-H27)</f>
        <v>0.54102355511051858</v>
      </c>
      <c r="J85" s="13">
        <f>J83/(J27-I27)</f>
        <v>0.36287645974185628</v>
      </c>
      <c r="K85" s="13">
        <f t="shared" ref="K85:P85" si="139">K83/(K27-J27)</f>
        <v>0.3</v>
      </c>
      <c r="L85" s="13">
        <f t="shared" si="139"/>
        <v>0.25</v>
      </c>
      <c r="M85" s="13">
        <f t="shared" si="139"/>
        <v>0.2</v>
      </c>
      <c r="N85" s="13">
        <f t="shared" si="139"/>
        <v>0.15</v>
      </c>
      <c r="O85" s="13">
        <f t="shared" si="139"/>
        <v>0.1</v>
      </c>
      <c r="P85" s="13">
        <f t="shared" si="139"/>
        <v>0.05</v>
      </c>
    </row>
    <row r="87" spans="2:16" ht="14.4" customHeight="1" x14ac:dyDescent="0.3">
      <c r="B87" s="2" t="s">
        <v>21</v>
      </c>
      <c r="C87" s="2"/>
      <c r="D87" s="2"/>
      <c r="E87" s="2">
        <v>2021</v>
      </c>
      <c r="F87" s="2">
        <f>E87+1</f>
        <v>2022</v>
      </c>
      <c r="G87" s="2">
        <f>F87+1</f>
        <v>2023</v>
      </c>
      <c r="H87" s="2">
        <f>G87+1</f>
        <v>2024</v>
      </c>
      <c r="I87" s="2">
        <f>H87+1</f>
        <v>2025</v>
      </c>
      <c r="J87" s="2">
        <f>I87+1</f>
        <v>2026</v>
      </c>
      <c r="K87" s="3" t="s">
        <v>6</v>
      </c>
      <c r="L87" s="3" t="s">
        <v>7</v>
      </c>
      <c r="M87" s="3" t="s">
        <v>8</v>
      </c>
      <c r="N87" s="3" t="s">
        <v>9</v>
      </c>
      <c r="O87" s="3" t="s">
        <v>82</v>
      </c>
      <c r="P87" s="3" t="s">
        <v>83</v>
      </c>
    </row>
    <row r="88" spans="2:16" s="20" customFormat="1" ht="1.95" customHeight="1" x14ac:dyDescent="0.3">
      <c r="B88" s="21"/>
      <c r="C88" s="21"/>
      <c r="D88" s="21"/>
      <c r="E88" s="21"/>
      <c r="F88" s="21"/>
      <c r="G88" s="21"/>
      <c r="H88" s="21"/>
      <c r="I88" s="21"/>
      <c r="J88" s="21"/>
      <c r="K88" s="21"/>
      <c r="L88" s="22"/>
      <c r="M88" s="22"/>
      <c r="N88" s="22"/>
      <c r="O88" s="22"/>
      <c r="P88" s="22"/>
    </row>
    <row r="89" spans="2:16" ht="14.4" customHeight="1" x14ac:dyDescent="0.3">
      <c r="B89" s="1" t="s">
        <v>10</v>
      </c>
      <c r="E89" s="28">
        <f t="shared" ref="E89:G89" si="140">E27</f>
        <v>592.04899999999998</v>
      </c>
      <c r="F89" s="28">
        <f t="shared" si="140"/>
        <v>1219.327</v>
      </c>
      <c r="G89" s="28">
        <f t="shared" si="140"/>
        <v>2065.6590000000001</v>
      </c>
      <c r="H89" s="28">
        <f t="shared" ref="H89:I89" si="141">H27</f>
        <v>2806.489</v>
      </c>
      <c r="I89" s="28">
        <f t="shared" si="141"/>
        <v>3626.3960000000002</v>
      </c>
      <c r="J89" s="28">
        <f>J27</f>
        <v>4683.9459999999999</v>
      </c>
      <c r="K89" s="28">
        <f t="shared" ref="K89:P89" si="142">K27</f>
        <v>6276.4876400000003</v>
      </c>
      <c r="L89" s="28">
        <f t="shared" si="142"/>
        <v>8159.4339320000008</v>
      </c>
      <c r="M89" s="28">
        <f t="shared" si="142"/>
        <v>10199.292415000002</v>
      </c>
      <c r="N89" s="28">
        <f t="shared" si="142"/>
        <v>12239.150898000002</v>
      </c>
      <c r="O89" s="28">
        <f t="shared" si="142"/>
        <v>14442.198059640001</v>
      </c>
      <c r="P89" s="28">
        <f t="shared" si="142"/>
        <v>16608.527768585998</v>
      </c>
    </row>
    <row r="90" spans="2:16" ht="14.4" customHeight="1" x14ac:dyDescent="0.3">
      <c r="B90" s="4" t="s">
        <v>11</v>
      </c>
      <c r="C90" s="4"/>
      <c r="D90" s="4"/>
      <c r="E90" s="10">
        <f>E28</f>
        <v>1.236679259539101</v>
      </c>
      <c r="F90" s="10">
        <f t="shared" ref="F90:J90" si="143">F28</f>
        <v>1.0595035208234453</v>
      </c>
      <c r="G90" s="10">
        <f t="shared" si="143"/>
        <v>0.69409764566847132</v>
      </c>
      <c r="H90" s="10">
        <f t="shared" si="143"/>
        <v>0.35864099544019601</v>
      </c>
      <c r="I90" s="10">
        <f t="shared" si="143"/>
        <v>0.29214687818124357</v>
      </c>
      <c r="J90" s="10">
        <f t="shared" si="143"/>
        <v>0.29162562500068928</v>
      </c>
      <c r="K90" s="10">
        <f t="shared" ref="K90:P90" si="144">K28</f>
        <v>0.34000000000000008</v>
      </c>
      <c r="L90" s="10">
        <f t="shared" si="144"/>
        <v>0.3000000000000001</v>
      </c>
      <c r="M90" s="10">
        <f t="shared" si="144"/>
        <v>0.25000000000000011</v>
      </c>
      <c r="N90" s="10">
        <f t="shared" si="144"/>
        <v>0.19999999999999996</v>
      </c>
      <c r="O90" s="10">
        <f t="shared" si="144"/>
        <v>0.17999999999999991</v>
      </c>
      <c r="P90" s="10">
        <f t="shared" si="144"/>
        <v>0.14999999999999983</v>
      </c>
    </row>
    <row r="91" spans="2:16" ht="14.4" customHeight="1" x14ac:dyDescent="0.3">
      <c r="E91" s="7"/>
      <c r="F91" s="7"/>
      <c r="G91" s="7"/>
      <c r="H91" s="7"/>
      <c r="I91" s="7"/>
      <c r="J91" s="7"/>
      <c r="K91" s="7"/>
      <c r="L91" s="7"/>
      <c r="M91" s="7"/>
      <c r="N91" s="7"/>
      <c r="O91" s="7"/>
      <c r="P91" s="7"/>
    </row>
    <row r="92" spans="2:16" ht="14.4" customHeight="1" x14ac:dyDescent="0.3">
      <c r="B92" s="1" t="s">
        <v>12</v>
      </c>
      <c r="E92" s="28">
        <f>E45</f>
        <v>-543.93700000000001</v>
      </c>
      <c r="F92" s="28">
        <f t="shared" ref="F92:J92" si="145">F45</f>
        <v>-715.03600000000006</v>
      </c>
      <c r="G92" s="28">
        <f t="shared" si="145"/>
        <v>-842.26699999999994</v>
      </c>
      <c r="H92" s="28">
        <f t="shared" si="145"/>
        <v>-1094.7730000000001</v>
      </c>
      <c r="I92" s="28">
        <f t="shared" si="145"/>
        <v>-1456.01</v>
      </c>
      <c r="J92" s="28">
        <f t="shared" si="145"/>
        <v>-1435.1650000000004</v>
      </c>
      <c r="K92" s="28">
        <f t="shared" ref="K92:P92" si="146">K45</f>
        <v>-1443.5921572000007</v>
      </c>
      <c r="L92" s="28">
        <f t="shared" si="146"/>
        <v>-1223.9150897999998</v>
      </c>
      <c r="M92" s="28">
        <f t="shared" si="146"/>
        <v>-713.95046904999936</v>
      </c>
      <c r="N92" s="28">
        <f t="shared" si="146"/>
        <v>122.39150897999934</v>
      </c>
      <c r="O92" s="28">
        <f t="shared" si="146"/>
        <v>1227.5868350694004</v>
      </c>
      <c r="P92" s="28">
        <f t="shared" si="146"/>
        <v>2491.2791652878996</v>
      </c>
    </row>
    <row r="93" spans="2:16" ht="14.4" customHeight="1" x14ac:dyDescent="0.3">
      <c r="B93" s="4" t="s">
        <v>15</v>
      </c>
      <c r="C93" s="4"/>
      <c r="D93" s="4"/>
      <c r="E93" s="29">
        <f t="shared" ref="E93:I93" si="147">E46</f>
        <v>-0.91873645593523512</v>
      </c>
      <c r="F93" s="29">
        <f t="shared" si="147"/>
        <v>-0.58641857352457549</v>
      </c>
      <c r="G93" s="29">
        <f t="shared" si="147"/>
        <v>-0.40774735810702534</v>
      </c>
      <c r="H93" s="29">
        <f t="shared" si="147"/>
        <v>-0.39008633206828891</v>
      </c>
      <c r="I93" s="29">
        <f t="shared" si="147"/>
        <v>-0.40150331072502837</v>
      </c>
      <c r="J93" s="29">
        <f>J46</f>
        <v>-0.30640084236667126</v>
      </c>
      <c r="K93" s="29">
        <f t="shared" ref="K93:P93" si="148">K46</f>
        <v>-0.23000000000000009</v>
      </c>
      <c r="L93" s="29">
        <f t="shared" si="148"/>
        <v>-0.14999999999999997</v>
      </c>
      <c r="M93" s="29">
        <f t="shared" si="148"/>
        <v>-6.9999999999999923E-2</v>
      </c>
      <c r="N93" s="29">
        <f t="shared" si="148"/>
        <v>9.9999999999999447E-3</v>
      </c>
      <c r="O93" s="29">
        <f t="shared" si="148"/>
        <v>8.500000000000002E-2</v>
      </c>
      <c r="P93" s="29">
        <f t="shared" si="148"/>
        <v>0.15</v>
      </c>
    </row>
    <row r="94" spans="2:16" ht="14.4" customHeight="1" x14ac:dyDescent="0.3">
      <c r="J94" s="7"/>
      <c r="K94" s="7"/>
      <c r="L94" s="7"/>
      <c r="M94" s="7"/>
      <c r="N94" s="7"/>
      <c r="O94" s="7"/>
      <c r="P94" s="7"/>
    </row>
    <row r="95" spans="2:16" ht="14.4" customHeight="1" x14ac:dyDescent="0.3">
      <c r="B95" s="1" t="s">
        <v>13</v>
      </c>
      <c r="E95" s="28">
        <f t="shared" ref="E95:I95" si="149">E60</f>
        <v>-2.0619999999999998</v>
      </c>
      <c r="F95" s="28">
        <f t="shared" si="149"/>
        <v>-2.988</v>
      </c>
      <c r="G95" s="28">
        <f t="shared" si="149"/>
        <v>18.466999999999999</v>
      </c>
      <c r="H95" s="28">
        <f t="shared" si="149"/>
        <v>11.233000000000001</v>
      </c>
      <c r="I95" s="28">
        <f t="shared" si="149"/>
        <v>-4.1130000000000004</v>
      </c>
      <c r="J95" s="28">
        <f>J60</f>
        <v>-17.125</v>
      </c>
      <c r="K95" s="28">
        <f t="shared" ref="K95:P95" si="150">K60</f>
        <v>0</v>
      </c>
      <c r="L95" s="28">
        <f t="shared" si="150"/>
        <v>0</v>
      </c>
      <c r="M95" s="28">
        <f t="shared" si="150"/>
        <v>0</v>
      </c>
      <c r="N95" s="28">
        <f t="shared" si="150"/>
        <v>34.559305599765359</v>
      </c>
      <c r="O95" s="28">
        <f t="shared" si="150"/>
        <v>180.00272726025429</v>
      </c>
      <c r="P95" s="28">
        <f t="shared" si="150"/>
        <v>469.32663447922101</v>
      </c>
    </row>
    <row r="96" spans="2:16" ht="14.4" customHeight="1" x14ac:dyDescent="0.3">
      <c r="B96" s="4" t="s">
        <v>14</v>
      </c>
      <c r="C96" s="4"/>
      <c r="D96" s="4"/>
      <c r="E96" s="29">
        <f t="shared" ref="E96:I96" si="151">E61</f>
        <v>-3.8395650230895269E-3</v>
      </c>
      <c r="F96" s="29">
        <f t="shared" si="151"/>
        <v>-4.413850153627984E-3</v>
      </c>
      <c r="G96" s="29">
        <f t="shared" si="151"/>
        <v>2.263132159221954E-2</v>
      </c>
      <c r="H96" s="29">
        <f t="shared" si="151"/>
        <v>1.322738550416086E-2</v>
      </c>
      <c r="I96" s="29">
        <f t="shared" si="151"/>
        <v>-3.200531632193318E-3</v>
      </c>
      <c r="J96" s="29">
        <f>J61</f>
        <v>-1.3053486900778252E-2</v>
      </c>
      <c r="K96" s="29">
        <f t="shared" ref="K96:P96" si="152">K61</f>
        <v>0</v>
      </c>
      <c r="L96" s="29">
        <f t="shared" si="152"/>
        <v>0</v>
      </c>
      <c r="M96" s="29">
        <f t="shared" si="152"/>
        <v>0</v>
      </c>
      <c r="N96" s="29">
        <f t="shared" si="152"/>
        <v>0</v>
      </c>
      <c r="O96" s="29">
        <f t="shared" si="152"/>
        <v>0</v>
      </c>
      <c r="P96" s="29">
        <f t="shared" si="152"/>
        <v>0</v>
      </c>
    </row>
    <row r="98" spans="2:24" ht="14.4" customHeight="1" x14ac:dyDescent="0.3">
      <c r="B98" s="1" t="s">
        <v>22</v>
      </c>
      <c r="E98" s="28">
        <f t="shared" ref="E98:I98" si="153">E92-E95</f>
        <v>-541.875</v>
      </c>
      <c r="F98" s="28">
        <f t="shared" si="153"/>
        <v>-712.048</v>
      </c>
      <c r="G98" s="28">
        <f t="shared" si="153"/>
        <v>-860.73399999999992</v>
      </c>
      <c r="H98" s="28">
        <f t="shared" si="153"/>
        <v>-1106.0060000000001</v>
      </c>
      <c r="I98" s="28">
        <f t="shared" si="153"/>
        <v>-1451.8969999999999</v>
      </c>
      <c r="J98" s="28">
        <f>J92-J95</f>
        <v>-1418.0400000000004</v>
      </c>
      <c r="K98" s="28">
        <f t="shared" ref="K98:P98" si="154">K92-K95</f>
        <v>-1443.5921572000007</v>
      </c>
      <c r="L98" s="28">
        <f t="shared" si="154"/>
        <v>-1223.9150897999998</v>
      </c>
      <c r="M98" s="28">
        <f t="shared" si="154"/>
        <v>-713.95046904999936</v>
      </c>
      <c r="N98" s="28">
        <f t="shared" si="154"/>
        <v>87.832203380233977</v>
      </c>
      <c r="O98" s="28">
        <f t="shared" si="154"/>
        <v>1047.5841078091462</v>
      </c>
      <c r="P98" s="28">
        <f t="shared" si="154"/>
        <v>2021.9525308086786</v>
      </c>
    </row>
    <row r="100" spans="2:24" ht="14.4" customHeight="1" x14ac:dyDescent="0.3">
      <c r="B100" s="1" t="s">
        <v>17</v>
      </c>
      <c r="E100" s="7"/>
      <c r="F100" s="7"/>
      <c r="G100" s="7"/>
      <c r="H100" s="7">
        <f>H73+H77</f>
        <v>247.58199999999999</v>
      </c>
      <c r="I100" s="7">
        <f>I73+I77</f>
        <v>335.57900000000001</v>
      </c>
      <c r="J100" s="7">
        <f>J73+J77</f>
        <v>427.32100000000003</v>
      </c>
      <c r="K100" s="7">
        <f t="shared" ref="K100:P100" si="155">K73+K77</f>
        <v>569.04009899608172</v>
      </c>
      <c r="L100" s="7">
        <f t="shared" si="155"/>
        <v>739.75212869490633</v>
      </c>
      <c r="M100" s="7">
        <f t="shared" si="155"/>
        <v>924.69016086863303</v>
      </c>
      <c r="N100" s="7">
        <f t="shared" si="155"/>
        <v>1109.6281930423595</v>
      </c>
      <c r="O100" s="7">
        <f t="shared" si="155"/>
        <v>1309.3612677899841</v>
      </c>
      <c r="P100" s="7">
        <f t="shared" si="155"/>
        <v>1505.7654579584814</v>
      </c>
    </row>
    <row r="101" spans="2:24" ht="14.4" customHeight="1" x14ac:dyDescent="0.3">
      <c r="B101" s="4" t="s">
        <v>15</v>
      </c>
      <c r="C101" s="4"/>
      <c r="D101" s="4"/>
      <c r="E101" s="10"/>
      <c r="F101" s="10"/>
      <c r="G101" s="10"/>
      <c r="H101" s="10">
        <f>H100/H$27</f>
        <v>8.8217698341237036E-2</v>
      </c>
      <c r="I101" s="10">
        <f>I100/I$27</f>
        <v>9.2537880584470086E-2</v>
      </c>
      <c r="J101" s="10">
        <f>J100/J$27</f>
        <v>9.1230983448570932E-2</v>
      </c>
      <c r="K101" s="10">
        <f t="shared" ref="K101:P101" si="156">K100/K$27</f>
        <v>9.066218745809268E-2</v>
      </c>
      <c r="L101" s="10">
        <f t="shared" si="156"/>
        <v>9.066218745809268E-2</v>
      </c>
      <c r="M101" s="10">
        <f t="shared" si="156"/>
        <v>9.0662187458092694E-2</v>
      </c>
      <c r="N101" s="10">
        <f t="shared" si="156"/>
        <v>9.066218745809268E-2</v>
      </c>
      <c r="O101" s="10">
        <f t="shared" si="156"/>
        <v>9.066218745809268E-2</v>
      </c>
      <c r="P101" s="10">
        <f t="shared" si="156"/>
        <v>9.066218745809268E-2</v>
      </c>
    </row>
    <row r="103" spans="2:24" ht="14.4" customHeight="1" x14ac:dyDescent="0.3">
      <c r="B103" s="1" t="s">
        <v>18</v>
      </c>
      <c r="E103" s="7"/>
      <c r="F103" s="7"/>
      <c r="G103" s="7"/>
      <c r="H103" s="7">
        <f t="shared" ref="H103:I103" si="157">H80</f>
        <v>69.218999999999994</v>
      </c>
      <c r="I103" s="7">
        <f t="shared" si="157"/>
        <v>75.712000000000003</v>
      </c>
      <c r="J103" s="7">
        <f>J80</f>
        <v>101.628</v>
      </c>
      <c r="K103" s="7">
        <f t="shared" ref="K103:P103" si="158">K80</f>
        <v>140.67498446628144</v>
      </c>
      <c r="L103" s="7">
        <f t="shared" si="158"/>
        <v>182.87747980616589</v>
      </c>
      <c r="M103" s="7">
        <f t="shared" si="158"/>
        <v>228.59684975770736</v>
      </c>
      <c r="N103" s="7">
        <f t="shared" si="158"/>
        <v>274.31621970924886</v>
      </c>
      <c r="O103" s="7">
        <f t="shared" si="158"/>
        <v>323.69313925691358</v>
      </c>
      <c r="P103" s="7">
        <f t="shared" si="158"/>
        <v>372.24711014545056</v>
      </c>
      <c r="Q103" s="7"/>
    </row>
    <row r="104" spans="2:24" ht="14.4" customHeight="1" x14ac:dyDescent="0.3">
      <c r="B104" s="4" t="s">
        <v>15</v>
      </c>
      <c r="C104" s="4"/>
      <c r="D104" s="4"/>
      <c r="E104" s="10"/>
      <c r="F104" s="10"/>
      <c r="G104" s="10"/>
      <c r="H104" s="10">
        <f>H103/H$27</f>
        <v>2.4663912810632786E-2</v>
      </c>
      <c r="I104" s="10">
        <f>I103/I$27</f>
        <v>2.0878028764646773E-2</v>
      </c>
      <c r="J104" s="10">
        <f>J103/J$27</f>
        <v>2.1697090444680617E-2</v>
      </c>
      <c r="K104" s="10">
        <f t="shared" ref="K104:P104" si="159">K103/K$27</f>
        <v>2.241301067332006E-2</v>
      </c>
      <c r="L104" s="10">
        <f t="shared" si="159"/>
        <v>2.241301067332006E-2</v>
      </c>
      <c r="M104" s="10">
        <f t="shared" si="159"/>
        <v>2.241301067332006E-2</v>
      </c>
      <c r="N104" s="10">
        <f t="shared" si="159"/>
        <v>2.241301067332006E-2</v>
      </c>
      <c r="O104" s="10">
        <f t="shared" si="159"/>
        <v>2.241301067332006E-2</v>
      </c>
      <c r="P104" s="10">
        <f t="shared" si="159"/>
        <v>2.241301067332006E-2</v>
      </c>
    </row>
    <row r="106" spans="2:24" ht="14.4" customHeight="1" x14ac:dyDescent="0.3">
      <c r="B106" s="1" t="s">
        <v>19</v>
      </c>
      <c r="E106" s="12"/>
      <c r="F106" s="12"/>
      <c r="G106" s="12"/>
      <c r="H106" s="12">
        <f>H83</f>
        <v>390.71600000000001</v>
      </c>
      <c r="I106" s="12">
        <f>I83</f>
        <v>443.589</v>
      </c>
      <c r="J106" s="12">
        <f>J83</f>
        <v>383.76</v>
      </c>
      <c r="K106" s="12">
        <f t="shared" ref="K106:P106" si="160">K83</f>
        <v>477.76249200000007</v>
      </c>
      <c r="L106" s="12">
        <f t="shared" si="160"/>
        <v>470.73657300000013</v>
      </c>
      <c r="M106" s="12">
        <f t="shared" si="160"/>
        <v>407.9716966000002</v>
      </c>
      <c r="N106" s="12">
        <f t="shared" si="160"/>
        <v>305.97877245000001</v>
      </c>
      <c r="O106" s="12">
        <f t="shared" si="160"/>
        <v>220.30471616399993</v>
      </c>
      <c r="P106" s="12">
        <f t="shared" si="160"/>
        <v>108.31648544729988</v>
      </c>
    </row>
    <row r="107" spans="2:24" ht="14.4" customHeight="1" x14ac:dyDescent="0.3">
      <c r="B107" s="4" t="s">
        <v>15</v>
      </c>
      <c r="C107" s="4"/>
      <c r="D107" s="4"/>
      <c r="E107" s="10"/>
      <c r="F107" s="10"/>
      <c r="G107" s="10"/>
      <c r="H107" s="10">
        <f>H106/H$27</f>
        <v>0.1392187890278565</v>
      </c>
      <c r="I107" s="10">
        <f>I106/I$27</f>
        <v>0.12232227258137279</v>
      </c>
      <c r="J107" s="10">
        <f>J106/J$27</f>
        <v>8.1930918930320715E-2</v>
      </c>
      <c r="K107" s="10">
        <f t="shared" ref="K107:P107" si="161">K106/K$27</f>
        <v>7.6119402985074636E-2</v>
      </c>
      <c r="L107" s="10">
        <f t="shared" si="161"/>
        <v>5.7692307692307702E-2</v>
      </c>
      <c r="M107" s="10">
        <f t="shared" si="161"/>
        <v>4.0000000000000015E-2</v>
      </c>
      <c r="N107" s="10">
        <f t="shared" si="161"/>
        <v>2.4999999999999998E-2</v>
      </c>
      <c r="O107" s="10">
        <f t="shared" si="161"/>
        <v>1.5254237288135587E-2</v>
      </c>
      <c r="P107" s="10">
        <f t="shared" si="161"/>
        <v>6.5217391304347762E-3</v>
      </c>
    </row>
    <row r="108" spans="2:24" ht="14.4" customHeight="1" x14ac:dyDescent="0.3">
      <c r="B108" s="4"/>
      <c r="C108" s="4"/>
      <c r="D108" s="4"/>
      <c r="E108" s="10"/>
      <c r="F108" s="10"/>
      <c r="G108" s="10"/>
      <c r="H108" s="10"/>
      <c r="I108" s="10"/>
      <c r="J108" s="10"/>
      <c r="K108" s="10"/>
      <c r="L108" s="10"/>
      <c r="M108" s="10"/>
      <c r="N108" s="10"/>
      <c r="O108" s="10"/>
      <c r="P108" s="10"/>
    </row>
    <row r="109" spans="2:24" ht="14.4" customHeight="1" x14ac:dyDescent="0.3">
      <c r="B109" s="1" t="s">
        <v>59</v>
      </c>
      <c r="E109" s="12"/>
      <c r="F109" s="12"/>
      <c r="G109" s="12"/>
      <c r="H109" s="12">
        <v>1168.0115000000001</v>
      </c>
      <c r="I109" s="12">
        <v>1479.3140000000001</v>
      </c>
      <c r="J109" s="12">
        <v>1599.547</v>
      </c>
      <c r="K109" s="12">
        <v>1599.547</v>
      </c>
      <c r="L109" s="12">
        <v>1599.547</v>
      </c>
      <c r="M109" s="12">
        <v>1599.547</v>
      </c>
      <c r="N109" s="12">
        <v>1599.547</v>
      </c>
      <c r="O109" s="12">
        <v>1599.547</v>
      </c>
      <c r="P109" s="12">
        <v>1599.547</v>
      </c>
    </row>
    <row r="110" spans="2:24" ht="14.4" customHeight="1" x14ac:dyDescent="0.3">
      <c r="B110" s="4" t="s">
        <v>15</v>
      </c>
      <c r="C110" s="4"/>
      <c r="D110" s="4"/>
      <c r="E110" s="10"/>
      <c r="F110" s="10"/>
      <c r="G110" s="10"/>
      <c r="H110" s="10">
        <f>H109/H$27</f>
        <v>0.41618246143134718</v>
      </c>
      <c r="I110" s="10">
        <f>I109/I$27</f>
        <v>0.40792952562268436</v>
      </c>
      <c r="J110" s="10">
        <f>J109/J$27</f>
        <v>0.34149561075213081</v>
      </c>
      <c r="K110" s="10">
        <f t="shared" ref="K110:P110" si="162">K109/K$27</f>
        <v>0.25484747071054537</v>
      </c>
      <c r="L110" s="10">
        <f t="shared" si="162"/>
        <v>0.19603651593118873</v>
      </c>
      <c r="M110" s="10">
        <f t="shared" si="162"/>
        <v>0.15682921274495096</v>
      </c>
      <c r="N110" s="10">
        <f t="shared" si="162"/>
        <v>0.13069101062079247</v>
      </c>
      <c r="O110" s="10">
        <f t="shared" si="162"/>
        <v>0.11075509374643432</v>
      </c>
      <c r="P110" s="10">
        <f t="shared" si="162"/>
        <v>9.630877717081246E-2</v>
      </c>
    </row>
    <row r="112" spans="2:24" ht="14.4" customHeight="1" x14ac:dyDescent="0.3">
      <c r="B112" s="1" t="s">
        <v>84</v>
      </c>
      <c r="E112" s="28"/>
      <c r="F112" s="28"/>
      <c r="G112" s="28"/>
      <c r="H112" s="28">
        <f t="shared" ref="H112:O112" si="163">H98+H100-H103+H106</f>
        <v>-536.92700000000002</v>
      </c>
      <c r="I112" s="28">
        <f t="shared" si="163"/>
        <v>-748.44100000000003</v>
      </c>
      <c r="J112" s="28">
        <f t="shared" si="163"/>
        <v>-708.58700000000044</v>
      </c>
      <c r="K112" s="28">
        <f t="shared" si="163"/>
        <v>-537.46455067020031</v>
      </c>
      <c r="L112" s="28">
        <f t="shared" si="163"/>
        <v>-196.3038679112592</v>
      </c>
      <c r="M112" s="28">
        <f t="shared" si="163"/>
        <v>390.11453866092654</v>
      </c>
      <c r="N112" s="28">
        <f t="shared" si="163"/>
        <v>1229.1229491633446</v>
      </c>
      <c r="O112" s="28">
        <f t="shared" si="163"/>
        <v>2253.5569525062165</v>
      </c>
      <c r="P112" s="28">
        <f>P98+P100-P103+P106</f>
        <v>3263.7873640690091</v>
      </c>
      <c r="Q112" s="7"/>
      <c r="R112" s="7"/>
      <c r="S112" s="7"/>
      <c r="T112" s="7"/>
      <c r="U112" s="7"/>
      <c r="V112" s="7"/>
      <c r="W112" s="7"/>
      <c r="X112" s="7"/>
    </row>
    <row r="113" spans="2:22" ht="14.4" customHeight="1" x14ac:dyDescent="0.3">
      <c r="B113" s="4" t="s">
        <v>15</v>
      </c>
      <c r="C113" s="4"/>
      <c r="D113" s="4"/>
      <c r="E113" s="29"/>
      <c r="F113" s="29"/>
      <c r="G113" s="29"/>
      <c r="H113" s="29">
        <f>H112/H$27</f>
        <v>-0.19131626740742616</v>
      </c>
      <c r="I113" s="29">
        <f>I112/I$27</f>
        <v>-0.20638700241231239</v>
      </c>
      <c r="J113" s="29">
        <f>J112/J$27</f>
        <v>-0.15127992508880342</v>
      </c>
      <c r="K113" s="29">
        <f t="shared" ref="K113:P113" si="164">K112/K$27</f>
        <v>-8.5631420230152841E-2</v>
      </c>
      <c r="L113" s="29">
        <f t="shared" si="164"/>
        <v>-2.4058515522919634E-2</v>
      </c>
      <c r="M113" s="29">
        <f t="shared" si="164"/>
        <v>3.8249176784772722E-2</v>
      </c>
      <c r="N113" s="29">
        <f t="shared" si="164"/>
        <v>0.10042550822411998</v>
      </c>
      <c r="O113" s="29">
        <f t="shared" si="164"/>
        <v>0.15603974846488089</v>
      </c>
      <c r="P113" s="29">
        <f t="shared" si="164"/>
        <v>0.19651274390751605</v>
      </c>
    </row>
    <row r="114" spans="2:22" ht="14.4" customHeight="1" x14ac:dyDescent="0.3">
      <c r="V114" s="24"/>
    </row>
    <row r="115" spans="2:22" ht="14.4" customHeight="1" x14ac:dyDescent="0.3">
      <c r="B115" s="1" t="s">
        <v>85</v>
      </c>
      <c r="K115" s="33">
        <f>YEARFRAC($E$12,EDATE($I$12,-6))</f>
        <v>0.16666666666666666</v>
      </c>
      <c r="L115" s="33">
        <f>K115+1</f>
        <v>1.1666666666666667</v>
      </c>
      <c r="M115" s="33">
        <f>L115+1</f>
        <v>2.166666666666667</v>
      </c>
      <c r="N115" s="33">
        <f>M115+1</f>
        <v>3.166666666666667</v>
      </c>
      <c r="O115" s="33">
        <f>N115+1</f>
        <v>4.166666666666667</v>
      </c>
      <c r="P115" s="33">
        <f>O115+1</f>
        <v>5.166666666666667</v>
      </c>
      <c r="V115" s="7"/>
    </row>
    <row r="116" spans="2:22" ht="14.4" customHeight="1" x14ac:dyDescent="0.3">
      <c r="B116" s="1" t="s">
        <v>23</v>
      </c>
      <c r="I116" s="7"/>
      <c r="J116" s="7"/>
      <c r="K116" s="34">
        <f t="shared" ref="K116:P116" si="165">K112/(1+$U$7)^K115</f>
        <v>-528.73032756703458</v>
      </c>
      <c r="L116" s="34">
        <f t="shared" si="165"/>
        <v>-175.03287876294962</v>
      </c>
      <c r="M116" s="34">
        <f t="shared" si="165"/>
        <v>315.2748272310883</v>
      </c>
      <c r="N116" s="34">
        <f t="shared" si="165"/>
        <v>900.32408841977986</v>
      </c>
      <c r="O116" s="34">
        <f t="shared" si="165"/>
        <v>1496.1614564156148</v>
      </c>
      <c r="P116" s="34">
        <f t="shared" si="165"/>
        <v>1963.9849830201426</v>
      </c>
    </row>
    <row r="117" spans="2:22" ht="14.4" customHeight="1" x14ac:dyDescent="0.3">
      <c r="H117" s="23"/>
      <c r="J117" s="7"/>
      <c r="K117" s="7"/>
    </row>
    <row r="123" spans="2:22" ht="14.4" customHeight="1" x14ac:dyDescent="0.3">
      <c r="J123" s="12"/>
    </row>
  </sheetData>
  <mergeCells count="6">
    <mergeCell ref="I7:K7"/>
    <mergeCell ref="I12:K12"/>
    <mergeCell ref="I11:K11"/>
    <mergeCell ref="I10:K10"/>
    <mergeCell ref="I9:K9"/>
    <mergeCell ref="I8:K8"/>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55C1-F80B-4C2F-AFEE-9D4756B0A66A}">
  <dimension ref="B2:R47"/>
  <sheetViews>
    <sheetView showGridLines="0" zoomScale="115" zoomScaleNormal="115" workbookViewId="0">
      <selection activeCell="B18" sqref="B18"/>
    </sheetView>
  </sheetViews>
  <sheetFormatPr defaultColWidth="8.69921875" defaultRowHeight="14.4" customHeight="1" x14ac:dyDescent="0.3"/>
  <cols>
    <col min="1" max="4" width="8.69921875" style="1"/>
    <col min="5" max="5" width="8.69921875" style="1" customWidth="1"/>
    <col min="6" max="11" width="8.69921875" style="1"/>
    <col min="12" max="12" width="9.69921875" style="1" bestFit="1" customWidth="1"/>
    <col min="13" max="14" width="8.796875" style="1" bestFit="1" customWidth="1"/>
    <col min="15" max="16384" width="8.69921875" style="1"/>
  </cols>
  <sheetData>
    <row r="2" spans="2:18" ht="14.4" customHeight="1" x14ac:dyDescent="0.3">
      <c r="B2" s="2" t="s">
        <v>60</v>
      </c>
      <c r="C2" s="2"/>
      <c r="D2" s="2"/>
      <c r="E2" s="2"/>
      <c r="F2" s="2"/>
      <c r="G2" s="2">
        <v>2021</v>
      </c>
      <c r="H2" s="2">
        <f>G2+1</f>
        <v>2022</v>
      </c>
      <c r="I2" s="2">
        <f>H2+1</f>
        <v>2023</v>
      </c>
      <c r="J2" s="2">
        <f>I2+1</f>
        <v>2024</v>
      </c>
      <c r="K2" s="2">
        <f>J2+1</f>
        <v>2025</v>
      </c>
      <c r="L2" s="2">
        <f>K2+1</f>
        <v>2026</v>
      </c>
      <c r="M2" s="3" t="s">
        <v>6</v>
      </c>
      <c r="N2" s="3" t="s">
        <v>7</v>
      </c>
      <c r="O2" s="3" t="s">
        <v>8</v>
      </c>
      <c r="P2" s="3" t="s">
        <v>9</v>
      </c>
    </row>
    <row r="3" spans="2:18" s="20" customFormat="1" ht="1.95" customHeight="1" x14ac:dyDescent="0.3">
      <c r="B3" s="21"/>
      <c r="C3" s="21"/>
      <c r="D3" s="21"/>
      <c r="E3" s="21"/>
      <c r="F3" s="21"/>
      <c r="G3" s="21"/>
      <c r="H3" s="21"/>
      <c r="I3" s="21"/>
      <c r="J3" s="21"/>
      <c r="K3" s="21"/>
      <c r="L3" s="22"/>
      <c r="M3" s="22"/>
      <c r="N3" s="22"/>
      <c r="O3" s="22"/>
      <c r="P3" s="22"/>
    </row>
    <row r="4" spans="2:18" ht="14.4" customHeight="1" x14ac:dyDescent="0.3">
      <c r="B4" s="1" t="s">
        <v>10</v>
      </c>
      <c r="G4" s="7">
        <f>G7+G11</f>
        <v>592.04899999999998</v>
      </c>
      <c r="H4" s="7">
        <f t="shared" ref="H4:L4" si="0">H7+H11</f>
        <v>1219.328</v>
      </c>
      <c r="I4" s="7">
        <f t="shared" si="0"/>
        <v>2065.6559999999999</v>
      </c>
      <c r="J4" s="7">
        <f t="shared" si="0"/>
        <v>2806.49</v>
      </c>
      <c r="K4" s="7">
        <f t="shared" si="0"/>
        <v>3626.3940000000002</v>
      </c>
      <c r="L4" s="7">
        <f t="shared" si="0"/>
        <v>4683.9489999999996</v>
      </c>
    </row>
    <row r="5" spans="2:18" ht="14.4" customHeight="1" x14ac:dyDescent="0.3">
      <c r="B5" s="4" t="s">
        <v>11</v>
      </c>
      <c r="H5" s="10">
        <f>(H4-G4)/G4</f>
        <v>1.0595052098728315</v>
      </c>
      <c r="I5" s="10">
        <f t="shared" ref="I5" si="1">(I4-H4)/H4</f>
        <v>0.69409379592693676</v>
      </c>
      <c r="J5" s="10">
        <f t="shared" ref="J5" si="2">(J4-I4)/I4</f>
        <v>0.35864345273365933</v>
      </c>
      <c r="K5" s="10">
        <f t="shared" ref="K5" si="3">(K4-J4)/J4</f>
        <v>0.29214570513345872</v>
      </c>
      <c r="L5" s="10">
        <f t="shared" ref="L5" si="4">(L4-K4)/K4</f>
        <v>0.29162716461586891</v>
      </c>
    </row>
    <row r="7" spans="2:18" ht="14.4" customHeight="1" x14ac:dyDescent="0.3">
      <c r="B7" s="1" t="s">
        <v>79</v>
      </c>
      <c r="G7" s="11">
        <v>553.79399999999998</v>
      </c>
      <c r="H7" s="11">
        <v>1140.47</v>
      </c>
      <c r="I7" s="11">
        <v>1938.78</v>
      </c>
      <c r="J7" s="11">
        <v>2666.85</v>
      </c>
      <c r="K7" s="11">
        <v>3462.42</v>
      </c>
      <c r="L7" s="11">
        <v>4472.32</v>
      </c>
      <c r="M7" s="7"/>
      <c r="N7" s="7"/>
      <c r="O7" s="7"/>
      <c r="P7" s="7"/>
      <c r="Q7" s="7"/>
      <c r="R7" s="7"/>
    </row>
    <row r="8" spans="2:18" ht="14.4" customHeight="1" x14ac:dyDescent="0.3">
      <c r="B8" s="4" t="s">
        <v>11</v>
      </c>
      <c r="G8" s="10"/>
      <c r="H8" s="10">
        <f>(H7-G7)/G7</f>
        <v>1.0593758690054427</v>
      </c>
      <c r="I8" s="10">
        <f t="shared" ref="I8:L8" si="5">(I7-H7)/H7</f>
        <v>0.69998334020184649</v>
      </c>
      <c r="J8" s="10">
        <f t="shared" si="5"/>
        <v>0.37552997245690584</v>
      </c>
      <c r="K8" s="10">
        <f t="shared" si="5"/>
        <v>0.29831824062095735</v>
      </c>
      <c r="L8" s="10">
        <f t="shared" si="5"/>
        <v>0.29167460908844089</v>
      </c>
      <c r="M8" s="10"/>
      <c r="N8" s="10"/>
      <c r="O8" s="10"/>
      <c r="P8" s="10"/>
      <c r="Q8" s="10"/>
      <c r="R8" s="10"/>
    </row>
    <row r="9" spans="2:18" ht="14.4" customHeight="1" x14ac:dyDescent="0.3">
      <c r="B9" s="4" t="s">
        <v>89</v>
      </c>
      <c r="G9" s="10">
        <f>G7/G4</f>
        <v>0.93538541573417067</v>
      </c>
      <c r="H9" s="10">
        <f t="shared" ref="H9:L9" si="6">H7/H4</f>
        <v>0.93532667174049977</v>
      </c>
      <c r="I9" s="10">
        <f t="shared" si="6"/>
        <v>0.93857834992854572</v>
      </c>
      <c r="J9" s="10">
        <f t="shared" si="6"/>
        <v>0.9502438989627614</v>
      </c>
      <c r="K9" s="10">
        <f t="shared" si="6"/>
        <v>0.95478318130903583</v>
      </c>
      <c r="L9" s="10">
        <f t="shared" si="6"/>
        <v>0.95481825271795229</v>
      </c>
    </row>
    <row r="11" spans="2:18" ht="14.4" customHeight="1" x14ac:dyDescent="0.3">
      <c r="B11" s="1" t="s">
        <v>80</v>
      </c>
      <c r="G11" s="11">
        <v>38.255000000000003</v>
      </c>
      <c r="H11" s="11">
        <v>78.858000000000004</v>
      </c>
      <c r="I11" s="11">
        <v>126.876</v>
      </c>
      <c r="J11" s="11">
        <v>139.63999999999999</v>
      </c>
      <c r="K11" s="11">
        <v>163.97399999999999</v>
      </c>
      <c r="L11" s="11">
        <v>211.62899999999999</v>
      </c>
    </row>
    <row r="12" spans="2:18" ht="14.4" customHeight="1" x14ac:dyDescent="0.3">
      <c r="B12" s="4" t="s">
        <v>11</v>
      </c>
      <c r="H12" s="10">
        <f>(H11-G11)/G11</f>
        <v>1.0613775976996471</v>
      </c>
      <c r="I12" s="10">
        <f t="shared" ref="I12" si="7">(I11-H11)/H11</f>
        <v>0.60891729437723496</v>
      </c>
      <c r="J12" s="10">
        <f t="shared" ref="J12" si="8">(J11-I11)/I11</f>
        <v>0.1006021627415743</v>
      </c>
      <c r="K12" s="10">
        <f t="shared" ref="K12" si="9">(K11-J11)/J11</f>
        <v>0.17426238900028648</v>
      </c>
      <c r="L12" s="10">
        <f t="shared" ref="L12" si="10">(L11-K11)/K11</f>
        <v>0.29062534304218962</v>
      </c>
    </row>
    <row r="13" spans="2:18" ht="14.4" customHeight="1" x14ac:dyDescent="0.3">
      <c r="B13" s="4" t="s">
        <v>89</v>
      </c>
      <c r="G13" s="1">
        <f>G11/G4</f>
        <v>6.4614584265829361E-2</v>
      </c>
      <c r="H13" s="10">
        <f t="shared" ref="H13:L13" si="11">H11/H4</f>
        <v>6.4673328259500326E-2</v>
      </c>
      <c r="I13" s="10">
        <f t="shared" si="11"/>
        <v>6.1421650071454302E-2</v>
      </c>
      <c r="J13" s="10">
        <f t="shared" si="11"/>
        <v>4.9756101037238688E-2</v>
      </c>
      <c r="K13" s="10">
        <f t="shared" si="11"/>
        <v>4.5216818690964077E-2</v>
      </c>
      <c r="L13" s="10">
        <f t="shared" si="11"/>
        <v>4.5181747282047692E-2</v>
      </c>
    </row>
    <row r="15" spans="2:18" ht="14.4" customHeight="1" x14ac:dyDescent="0.3">
      <c r="B15" s="2" t="s">
        <v>61</v>
      </c>
      <c r="C15" s="2"/>
      <c r="D15" s="2"/>
      <c r="E15" s="2"/>
      <c r="F15" s="2"/>
      <c r="G15" s="2">
        <v>2021</v>
      </c>
      <c r="H15" s="2">
        <f>G15+1</f>
        <v>2022</v>
      </c>
      <c r="I15" s="2">
        <f>H15+1</f>
        <v>2023</v>
      </c>
      <c r="J15" s="2">
        <f>I15+1</f>
        <v>2024</v>
      </c>
      <c r="K15" s="2">
        <f>J15+1</f>
        <v>2025</v>
      </c>
      <c r="L15" s="2">
        <f>K15+1</f>
        <v>2026</v>
      </c>
      <c r="M15" s="3" t="s">
        <v>6</v>
      </c>
      <c r="N15" s="3" t="s">
        <v>7</v>
      </c>
      <c r="O15" s="3" t="s">
        <v>8</v>
      </c>
      <c r="P15" s="3" t="s">
        <v>9</v>
      </c>
    </row>
    <row r="16" spans="2:18" s="20" customFormat="1" ht="1.95" customHeight="1" x14ac:dyDescent="0.3">
      <c r="B16" s="21"/>
      <c r="C16" s="21"/>
      <c r="D16" s="21"/>
      <c r="E16" s="21"/>
      <c r="F16" s="21"/>
      <c r="G16" s="21"/>
      <c r="H16" s="21"/>
      <c r="I16" s="21"/>
      <c r="J16" s="21"/>
      <c r="K16" s="21"/>
      <c r="L16" s="22"/>
      <c r="M16" s="22"/>
      <c r="N16" s="22"/>
      <c r="O16" s="22"/>
      <c r="P16" s="22"/>
    </row>
    <row r="17" spans="2:2" ht="14.4" customHeight="1" x14ac:dyDescent="0.3">
      <c r="B17" s="37"/>
    </row>
    <row r="19" spans="2:2" ht="14.4" customHeight="1" x14ac:dyDescent="0.3">
      <c r="B19" s="4"/>
    </row>
    <row r="22" spans="2:2" ht="14.4" customHeight="1" x14ac:dyDescent="0.3">
      <c r="B22" s="4"/>
    </row>
    <row r="27" spans="2:2" ht="1.95" customHeight="1" x14ac:dyDescent="0.3"/>
    <row r="40" ht="1.95" customHeight="1" x14ac:dyDescent="0.3"/>
    <row r="47" ht="1.95" customHeigh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82438-1AC1-43DF-96FD-76E4B45DFDBC}">
  <dimension ref="B2:C69"/>
  <sheetViews>
    <sheetView showGridLines="0" zoomScale="115" zoomScaleNormal="115" workbookViewId="0">
      <selection activeCell="C2" sqref="C2"/>
    </sheetView>
  </sheetViews>
  <sheetFormatPr defaultColWidth="8.69921875" defaultRowHeight="14.4" x14ac:dyDescent="0.3"/>
  <cols>
    <col min="1" max="5" width="8.69921875" style="1"/>
    <col min="6" max="6" width="9.796875" style="1" bestFit="1" customWidth="1"/>
    <col min="7" max="16384" width="8.69921875" style="1"/>
  </cols>
  <sheetData>
    <row r="2" spans="2:3" x14ac:dyDescent="0.3">
      <c r="B2" s="1" t="e" vm="1">
        <v>#VALUE!</v>
      </c>
      <c r="C2" s="36" cm="1">
        <f t="array" aca="1" ref="C2" ca="1">_FV(B2,"Price")</f>
        <v>325.43</v>
      </c>
    </row>
    <row r="12" spans="2:3" ht="15.6" customHeight="1" x14ac:dyDescent="0.3"/>
    <row r="13" spans="2:3" ht="15.6" customHeight="1" x14ac:dyDescent="0.3"/>
    <row r="14" spans="2:3" ht="15.6" customHeight="1" x14ac:dyDescent="0.3"/>
    <row r="16" spans="2:3" ht="15.6" customHeight="1" x14ac:dyDescent="0.3"/>
    <row r="18" ht="15.6" customHeight="1" x14ac:dyDescent="0.3"/>
    <row r="19" ht="15.6" customHeight="1" x14ac:dyDescent="0.3"/>
    <row r="20" ht="15.6" customHeight="1" x14ac:dyDescent="0.3"/>
    <row r="21" ht="15.6" customHeight="1" x14ac:dyDescent="0.3"/>
    <row r="22" ht="15.6" customHeight="1" x14ac:dyDescent="0.3"/>
    <row r="23" ht="15.6" customHeight="1" x14ac:dyDescent="0.3"/>
    <row r="24" ht="15.6" customHeight="1" x14ac:dyDescent="0.3"/>
    <row r="25" ht="15.6" customHeight="1" x14ac:dyDescent="0.3"/>
    <row r="26" ht="15.6" customHeight="1" x14ac:dyDescent="0.3"/>
    <row r="27" ht="15.6" customHeight="1" x14ac:dyDescent="0.3"/>
    <row r="29" ht="15.6" customHeight="1" x14ac:dyDescent="0.3"/>
    <row r="30" ht="15.6" customHeight="1" x14ac:dyDescent="0.3"/>
    <row r="31" ht="15.6" customHeight="1" x14ac:dyDescent="0.3"/>
    <row r="32" ht="15.6" customHeight="1" x14ac:dyDescent="0.3"/>
    <row r="37" ht="15.6" customHeight="1" x14ac:dyDescent="0.3"/>
    <row r="38" ht="15.6" customHeight="1" x14ac:dyDescent="0.3"/>
    <row r="39" ht="15.6" customHeight="1" x14ac:dyDescent="0.3"/>
    <row r="40" ht="15.6" customHeight="1" x14ac:dyDescent="0.3"/>
    <row r="41" ht="15.6" customHeight="1" x14ac:dyDescent="0.3"/>
    <row r="42" ht="15.6" customHeight="1" x14ac:dyDescent="0.3"/>
    <row r="43" ht="15.6" customHeight="1" x14ac:dyDescent="0.3"/>
    <row r="46" ht="15.6" customHeight="1" x14ac:dyDescent="0.3"/>
    <row r="47" ht="15.6" customHeight="1" x14ac:dyDescent="0.3"/>
    <row r="48" ht="15.6" customHeight="1" x14ac:dyDescent="0.3"/>
    <row r="54" ht="15.6" customHeight="1" x14ac:dyDescent="0.3"/>
    <row r="55" ht="15.6" customHeight="1" x14ac:dyDescent="0.3"/>
    <row r="57" ht="15.6" customHeight="1" x14ac:dyDescent="0.3"/>
    <row r="58" ht="15.6" customHeight="1" x14ac:dyDescent="0.3"/>
    <row r="59" ht="15.6" customHeight="1" x14ac:dyDescent="0.3"/>
    <row r="63" ht="15.6" customHeight="1" x14ac:dyDescent="0.3"/>
    <row r="67" ht="15.6" customHeight="1" x14ac:dyDescent="0.3"/>
    <row r="69" ht="15.6" customHeight="1" x14ac:dyDescent="0.3"/>
  </sheetData>
  <sortState xmlns:xlrd2="http://schemas.microsoft.com/office/spreadsheetml/2017/richdata2" ref="B72:F80">
    <sortCondition descending="1" ref="F72:F80"/>
  </sortState>
  <conditionalFormatting sqref="R5:AJ5">
    <cfRule type="colorScale" priority="3">
      <colorScale>
        <cfvo type="min"/>
        <cfvo type="num" val="0"/>
        <cfvo type="max"/>
        <color rgb="FFFF0000"/>
        <color theme="2"/>
        <color rgb="FF00B050"/>
      </colorScale>
    </cfRule>
  </conditionalFormatting>
  <conditionalFormatting sqref="R8:AJ8">
    <cfRule type="colorScale" priority="2">
      <colorScale>
        <cfvo type="min"/>
        <cfvo type="num" val="0"/>
        <cfvo type="max"/>
        <color rgb="FFFF0000"/>
        <color theme="2"/>
        <color rgb="FF00B050"/>
      </colorScale>
    </cfRule>
  </conditionalFormatting>
  <conditionalFormatting sqref="S10:S15">
    <cfRule type="colorScale" priority="6">
      <colorScale>
        <cfvo type="min"/>
        <cfvo type="num" val="0"/>
        <cfvo type="max"/>
        <color rgb="FFFF0000"/>
        <color theme="2"/>
        <color rgb="FF00B050"/>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Segments</vt:lpstr>
      <vt:lpstr>Extras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Kerem Odabasi</dc:creator>
  <cp:lastModifiedBy>Kerem Odabasi</cp:lastModifiedBy>
  <dcterms:created xsi:type="dcterms:W3CDTF">2026-01-02T23:21:27Z</dcterms:created>
  <dcterms:modified xsi:type="dcterms:W3CDTF">2026-10-25T19:14:21Z</dcterms:modified>
</cp:coreProperties>
</file>