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erem\OneDrive\Masaüstü\Financial Models\"/>
    </mc:Choice>
  </mc:AlternateContent>
  <xr:revisionPtr revIDLastSave="0" documentId="13_ncr:1_{FDD4105E-EB32-48DD-97DC-73ADE7D70FF6}" xr6:coauthVersionLast="47" xr6:coauthVersionMax="47" xr10:uidLastSave="{00000000-0000-0000-0000-000000000000}"/>
  <bookViews>
    <workbookView xWindow="30828" yWindow="492" windowWidth="29364" windowHeight="15768" xr2:uid="{64BEE0EA-45A1-4490-9445-11F5F6D37C44}"/>
  </bookViews>
  <sheets>
    <sheet name="Main" sheetId="7" r:id="rId1"/>
    <sheet name="Segments" sheetId="8" r:id="rId2"/>
    <sheet name="Quarterly Segments" sheetId="11" r:id="rId3"/>
    <sheet name="Extras"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7" l="1"/>
  <c r="H76" i="8"/>
  <c r="G76" i="8"/>
  <c r="F76" i="8"/>
  <c r="E76" i="8"/>
  <c r="I76" i="8"/>
  <c r="L66" i="8"/>
  <c r="L70" i="8"/>
  <c r="L69" i="8"/>
  <c r="K69" i="8"/>
  <c r="L76" i="8"/>
  <c r="L75" i="8"/>
  <c r="K75" i="8"/>
  <c r="L72" i="8"/>
  <c r="K72" i="8"/>
  <c r="J72" i="8"/>
  <c r="L9" i="8"/>
  <c r="L17" i="8"/>
  <c r="K17" i="8"/>
  <c r="J17" i="8"/>
  <c r="J13" i="8"/>
  <c r="J9" i="8"/>
  <c r="K13" i="8"/>
  <c r="I27" i="7"/>
  <c r="H27" i="7"/>
  <c r="G27" i="7"/>
  <c r="F27" i="7"/>
  <c r="E27" i="7"/>
  <c r="H3" i="12" a="1"/>
  <c r="H82" i="8"/>
  <c r="I79" i="8"/>
  <c r="H79" i="8"/>
  <c r="G79" i="8"/>
  <c r="F79" i="8"/>
  <c r="E79" i="8"/>
  <c r="K79" i="8"/>
  <c r="J79" i="8"/>
  <c r="I67" i="8"/>
  <c r="H67" i="8"/>
  <c r="H70" i="8"/>
  <c r="G70" i="8"/>
  <c r="F70" i="8"/>
  <c r="E70" i="8"/>
  <c r="I73" i="8"/>
  <c r="H73" i="8"/>
  <c r="G73" i="8"/>
  <c r="F73" i="8"/>
  <c r="E73" i="8"/>
  <c r="H66" i="8"/>
  <c r="E82" i="8"/>
  <c r="F82" i="8"/>
  <c r="G82" i="8"/>
  <c r="I82" i="8"/>
  <c r="J82" i="8"/>
  <c r="K82" i="8"/>
  <c r="I62" i="8"/>
  <c r="F59" i="8"/>
  <c r="G59" i="8"/>
  <c r="H59" i="8"/>
  <c r="I59" i="8"/>
  <c r="J59" i="8"/>
  <c r="K59" i="8"/>
  <c r="H58" i="8"/>
  <c r="I58" i="8"/>
  <c r="F55" i="8"/>
  <c r="G55" i="8"/>
  <c r="H55" i="8"/>
  <c r="I55" i="8"/>
  <c r="J55" i="8"/>
  <c r="K55" i="8"/>
  <c r="F54" i="8"/>
  <c r="G54" i="8"/>
  <c r="H54" i="8"/>
  <c r="I54" i="8"/>
  <c r="F51" i="8"/>
  <c r="G51" i="8"/>
  <c r="H51" i="8"/>
  <c r="I51" i="8"/>
  <c r="J51" i="8"/>
  <c r="K51" i="8"/>
  <c r="G50" i="8"/>
  <c r="H50" i="8"/>
  <c r="I50" i="8"/>
  <c r="F47" i="8"/>
  <c r="H47" i="8"/>
  <c r="I47" i="8"/>
  <c r="E42" i="8"/>
  <c r="F42" i="8"/>
  <c r="G42" i="8"/>
  <c r="F39" i="8"/>
  <c r="G39" i="8"/>
  <c r="H39" i="8"/>
  <c r="I39" i="8"/>
  <c r="J39" i="8"/>
  <c r="K39" i="8"/>
  <c r="E38" i="8"/>
  <c r="F38" i="8"/>
  <c r="G38" i="8"/>
  <c r="H38" i="8"/>
  <c r="I38" i="8"/>
  <c r="F35" i="8"/>
  <c r="G35" i="8"/>
  <c r="H35" i="8"/>
  <c r="I35" i="8"/>
  <c r="J35" i="8"/>
  <c r="K35" i="8"/>
  <c r="G34" i="8"/>
  <c r="H34" i="8"/>
  <c r="I34" i="8"/>
  <c r="F31" i="8"/>
  <c r="G31" i="8"/>
  <c r="H31" i="8"/>
  <c r="I31" i="8"/>
  <c r="J31" i="8"/>
  <c r="K31" i="8"/>
  <c r="E30" i="8"/>
  <c r="G27" i="8"/>
  <c r="H27" i="8"/>
  <c r="I27" i="8"/>
  <c r="F22" i="8"/>
  <c r="G22" i="8"/>
  <c r="H22" i="8"/>
  <c r="I22" i="8"/>
  <c r="F19" i="8"/>
  <c r="G19" i="8"/>
  <c r="H19" i="8"/>
  <c r="I19" i="8"/>
  <c r="E18" i="8"/>
  <c r="F18" i="8"/>
  <c r="G18" i="8"/>
  <c r="H18" i="8"/>
  <c r="I18" i="8"/>
  <c r="F15" i="8"/>
  <c r="G15" i="8"/>
  <c r="H15" i="8"/>
  <c r="I15" i="8"/>
  <c r="E14" i="8"/>
  <c r="F14" i="8"/>
  <c r="G14" i="8"/>
  <c r="H14" i="8"/>
  <c r="I14" i="8"/>
  <c r="F11" i="8"/>
  <c r="G11" i="8"/>
  <c r="H11" i="8"/>
  <c r="I11" i="8"/>
  <c r="E10" i="8"/>
  <c r="F10" i="8"/>
  <c r="G10" i="8"/>
  <c r="H10" i="8"/>
  <c r="I10" i="8"/>
  <c r="F7" i="8"/>
  <c r="G7" i="8"/>
  <c r="H7" i="8"/>
  <c r="I7" i="8"/>
  <c r="F64" i="8"/>
  <c r="G64" i="8" s="1"/>
  <c r="H64" i="8" s="1"/>
  <c r="I64" i="8" s="1"/>
  <c r="I46" i="8"/>
  <c r="H46" i="8"/>
  <c r="H62" i="8" s="1"/>
  <c r="G46" i="8"/>
  <c r="G62" i="8" s="1"/>
  <c r="F46" i="8"/>
  <c r="F62" i="8" s="1"/>
  <c r="E46" i="8"/>
  <c r="E62" i="8" s="1"/>
  <c r="F44" i="8"/>
  <c r="G44" i="8" s="1"/>
  <c r="H44" i="8" s="1"/>
  <c r="I44" i="8" s="1"/>
  <c r="I26" i="8"/>
  <c r="I30" i="8" s="1"/>
  <c r="H26" i="8"/>
  <c r="H42" i="8" s="1"/>
  <c r="G26" i="8"/>
  <c r="G30" i="8" s="1"/>
  <c r="F26" i="8"/>
  <c r="F30" i="8" s="1"/>
  <c r="E26" i="8"/>
  <c r="E34" i="8" s="1"/>
  <c r="F24" i="8"/>
  <c r="G24" i="8" s="1"/>
  <c r="H24" i="8" s="1"/>
  <c r="I24" i="8" s="1"/>
  <c r="E6" i="8"/>
  <c r="E67" i="8" l="1"/>
  <c r="F67" i="8"/>
  <c r="G67" i="8"/>
  <c r="I70" i="8"/>
  <c r="L67" i="8"/>
  <c r="L73" i="8"/>
  <c r="J75" i="8"/>
  <c r="J19" i="8"/>
  <c r="L13" i="8"/>
  <c r="J69" i="8"/>
  <c r="K9" i="8"/>
  <c r="L11" i="8"/>
  <c r="J15" i="8"/>
  <c r="J73" i="8"/>
  <c r="H3" i="12"/>
  <c r="E9" i="7" s="1"/>
  <c r="E54" i="8"/>
  <c r="G58" i="8"/>
  <c r="F58" i="8"/>
  <c r="E58" i="8"/>
  <c r="G47" i="8"/>
  <c r="F50" i="8"/>
  <c r="E50" i="8"/>
  <c r="F27" i="8"/>
  <c r="I42" i="8"/>
  <c r="F34" i="8"/>
  <c r="H30" i="8"/>
  <c r="J11" i="8"/>
  <c r="J6" i="8"/>
  <c r="J26" i="8"/>
  <c r="J46" i="8"/>
  <c r="J66" i="8" l="1"/>
  <c r="J76" i="8"/>
  <c r="K19" i="8"/>
  <c r="J70" i="8"/>
  <c r="K70" i="8"/>
  <c r="K11" i="8"/>
  <c r="L19" i="8"/>
  <c r="K15" i="8"/>
  <c r="L15" i="8"/>
  <c r="K6" i="8"/>
  <c r="J10" i="8"/>
  <c r="J58" i="8"/>
  <c r="J62" i="8"/>
  <c r="J47" i="8"/>
  <c r="J50" i="8"/>
  <c r="J54" i="8"/>
  <c r="J30" i="8"/>
  <c r="J27" i="8"/>
  <c r="J38" i="8"/>
  <c r="J42" i="8"/>
  <c r="J34" i="8"/>
  <c r="J18" i="8"/>
  <c r="J14" i="8"/>
  <c r="J7" i="8"/>
  <c r="J22" i="8"/>
  <c r="K46" i="8"/>
  <c r="K26" i="8"/>
  <c r="J67" i="8" l="1"/>
  <c r="L6" i="8"/>
  <c r="K73" i="8"/>
  <c r="K66" i="8"/>
  <c r="K76" i="8"/>
  <c r="K18" i="8"/>
  <c r="K10" i="8"/>
  <c r="K22" i="8"/>
  <c r="K14" i="8"/>
  <c r="K7" i="8"/>
  <c r="K58" i="8"/>
  <c r="K50" i="8"/>
  <c r="K62" i="8"/>
  <c r="K54" i="8"/>
  <c r="K47" i="8"/>
  <c r="K30" i="8"/>
  <c r="K27" i="8"/>
  <c r="K38" i="8"/>
  <c r="K42" i="8"/>
  <c r="K34" i="8"/>
  <c r="P91" i="7"/>
  <c r="L22" i="8" l="1"/>
  <c r="L10" i="8"/>
  <c r="L18" i="8"/>
  <c r="L14" i="8"/>
  <c r="L7" i="8"/>
  <c r="K67" i="8"/>
  <c r="K118" i="7"/>
  <c r="L118" i="7" s="1"/>
  <c r="J119" i="7"/>
  <c r="I119" i="7"/>
  <c r="H119" i="7"/>
  <c r="G119" i="7"/>
  <c r="F119" i="7"/>
  <c r="K121" i="7"/>
  <c r="L121" i="7" s="1"/>
  <c r="J121" i="7"/>
  <c r="I121" i="7"/>
  <c r="I128" i="7" s="1"/>
  <c r="H121" i="7"/>
  <c r="H128" i="7" s="1"/>
  <c r="G121" i="7"/>
  <c r="G128" i="7" s="1"/>
  <c r="F121" i="7"/>
  <c r="F127" i="7" s="1"/>
  <c r="E121" i="7"/>
  <c r="E128" i="7" s="1"/>
  <c r="F4" i="8"/>
  <c r="P11" i="7"/>
  <c r="AD11" i="7"/>
  <c r="AI11" i="7"/>
  <c r="U23" i="7"/>
  <c r="Z13" i="7"/>
  <c r="AA13" i="7" s="1"/>
  <c r="AB13" i="7" s="1"/>
  <c r="AC13" i="7" s="1"/>
  <c r="AD13" i="7" s="1"/>
  <c r="F15" i="7"/>
  <c r="G15" i="7" s="1"/>
  <c r="H15" i="7" s="1"/>
  <c r="I15" i="7" s="1"/>
  <c r="P16" i="7"/>
  <c r="P10" i="7"/>
  <c r="F25" i="7"/>
  <c r="G25" i="7" s="1"/>
  <c r="H25" i="7" s="1"/>
  <c r="I25" i="7" s="1"/>
  <c r="F54" i="7"/>
  <c r="G54" i="7" s="1"/>
  <c r="H54" i="7" s="1"/>
  <c r="I54" i="7" s="1"/>
  <c r="F80" i="7"/>
  <c r="G80" i="7" s="1"/>
  <c r="H80" i="7" s="1"/>
  <c r="I80" i="7" s="1"/>
  <c r="F110" i="7"/>
  <c r="G110" i="7" s="1"/>
  <c r="H110" i="7" s="1"/>
  <c r="I110" i="7" s="1"/>
  <c r="G4" i="8" l="1"/>
  <c r="H4" i="8" s="1"/>
  <c r="I4" i="8" s="1"/>
  <c r="H125" i="7"/>
  <c r="F112" i="7"/>
  <c r="E112" i="7"/>
  <c r="E124" i="7" s="1"/>
  <c r="F128" i="7"/>
  <c r="G127" i="7"/>
  <c r="H126" i="7"/>
  <c r="H127" i="7"/>
  <c r="I127" i="7"/>
  <c r="F124" i="7"/>
  <c r="E125" i="7"/>
  <c r="E126" i="7"/>
  <c r="E127" i="7"/>
  <c r="F125" i="7"/>
  <c r="F126" i="7"/>
  <c r="P17" i="7"/>
  <c r="P18" i="7" s="1"/>
  <c r="P22" i="7" s="1"/>
  <c r="M118" i="7"/>
  <c r="M119" i="7" s="1"/>
  <c r="L119" i="7"/>
  <c r="K119" i="7"/>
  <c r="H122" i="7"/>
  <c r="G122" i="7"/>
  <c r="F115" i="7"/>
  <c r="I122" i="7"/>
  <c r="F122" i="7"/>
  <c r="E115" i="7"/>
  <c r="J122" i="7"/>
  <c r="M121" i="7"/>
  <c r="L122" i="7"/>
  <c r="K122" i="7"/>
  <c r="Y9" i="7"/>
  <c r="F113" i="7" l="1"/>
  <c r="H115" i="7"/>
  <c r="H112" i="7"/>
  <c r="I126" i="7"/>
  <c r="I125" i="7"/>
  <c r="G126" i="7"/>
  <c r="G125" i="7"/>
  <c r="F116" i="7"/>
  <c r="P19" i="7"/>
  <c r="P21" i="7"/>
  <c r="P20" i="7"/>
  <c r="N118" i="7"/>
  <c r="N121" i="7"/>
  <c r="M122" i="7"/>
  <c r="I115" i="7" l="1"/>
  <c r="I116" i="7" s="1"/>
  <c r="I112" i="7"/>
  <c r="G115" i="7"/>
  <c r="G116" i="7" s="1"/>
  <c r="G112" i="7"/>
  <c r="H124" i="7"/>
  <c r="H113" i="7"/>
  <c r="N119" i="7"/>
  <c r="N122" i="7"/>
  <c r="H116" i="7" l="1"/>
  <c r="I124" i="7"/>
  <c r="I113" i="7"/>
  <c r="G113" i="7"/>
  <c r="G124" i="7"/>
  <c r="AC11" i="7" l="1"/>
  <c r="AH11" i="7"/>
  <c r="J127" i="7"/>
  <c r="J125" i="7" l="1"/>
  <c r="J126" i="7"/>
  <c r="AI14" i="7"/>
  <c r="AI17" i="7" s="1"/>
  <c r="AG14" i="7"/>
  <c r="AG17" i="7" s="1"/>
  <c r="K127" i="7" l="1"/>
  <c r="L127" i="7"/>
  <c r="K126" i="7"/>
  <c r="K125" i="7"/>
  <c r="L125" i="7" l="1"/>
  <c r="L126" i="7"/>
  <c r="J112" i="7"/>
  <c r="J115" i="7"/>
  <c r="J116" i="7" s="1"/>
  <c r="M127" i="7"/>
  <c r="J124" i="7" l="1"/>
  <c r="M125" i="7"/>
  <c r="M126" i="7"/>
  <c r="N127" i="7"/>
  <c r="J113" i="7"/>
  <c r="K115" i="7"/>
  <c r="K112" i="7"/>
  <c r="L112" i="7" l="1"/>
  <c r="L115" i="7"/>
  <c r="J128" i="7"/>
  <c r="N126" i="7"/>
  <c r="N125" i="7"/>
  <c r="K124" i="7"/>
  <c r="K113" i="7"/>
  <c r="K116" i="7"/>
  <c r="K128" i="7"/>
  <c r="Y14" i="7"/>
  <c r="Y18" i="7" s="1"/>
  <c r="L113" i="7" l="1"/>
  <c r="L124" i="7"/>
  <c r="L116" i="7"/>
  <c r="Y15" i="7"/>
  <c r="Z14" i="7"/>
  <c r="Z18" i="7" s="1"/>
  <c r="P8" i="7"/>
  <c r="P9" i="7" s="1"/>
  <c r="M115" i="7"/>
  <c r="M116" i="7" s="1"/>
  <c r="M112" i="7"/>
  <c r="L128" i="7" l="1"/>
  <c r="AA14" i="7"/>
  <c r="AA18" i="7" s="1"/>
  <c r="N115" i="7"/>
  <c r="N116" i="7" s="1"/>
  <c r="N112" i="7"/>
  <c r="Z15" i="7"/>
  <c r="Y19" i="7"/>
  <c r="Y21" i="7"/>
  <c r="M113" i="7"/>
  <c r="M124" i="7"/>
  <c r="AA15" i="7" l="1"/>
  <c r="AB14" i="7"/>
  <c r="AB18" i="7" s="1"/>
  <c r="Z21" i="7"/>
  <c r="Z19" i="7"/>
  <c r="M128" i="7"/>
  <c r="N113" i="7"/>
  <c r="N124" i="7"/>
  <c r="P7" i="7" l="1"/>
  <c r="N128" i="7"/>
  <c r="AA21" i="7"/>
  <c r="AA19" i="7"/>
  <c r="AB15" i="7"/>
  <c r="AC14" i="7"/>
  <c r="AC18" i="7" s="1"/>
  <c r="AB19" i="7" l="1"/>
  <c r="AB21" i="7"/>
  <c r="P13" i="7"/>
  <c r="E11" i="7"/>
  <c r="AC15" i="7"/>
  <c r="AD14" i="7"/>
  <c r="AD18" i="7" s="1"/>
  <c r="AC21" i="7" l="1"/>
  <c r="AC19" i="7"/>
  <c r="AD15" i="7"/>
  <c r="AD19" i="7" l="1"/>
  <c r="AD21" i="7"/>
  <c r="Y7" i="7" s="1"/>
  <c r="Y8" i="7" l="1"/>
  <c r="Y10" i="7" l="1"/>
  <c r="Y11" i="7" s="1"/>
  <c r="AH14" i="7" l="1"/>
  <c r="AH17" i="7" s="1"/>
  <c r="AG19" i="7" s="1"/>
  <c r="AG20" i="7" s="1"/>
  <c r="E10"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<sst xmlns="http://schemas.openxmlformats.org/spreadsheetml/2006/main" count="294" uniqueCount="141">
  <si>
    <t>Ticker</t>
  </si>
  <si>
    <t>Implied Share Price</t>
  </si>
  <si>
    <t>Current Share Price</t>
  </si>
  <si>
    <t>Implied Upside / (Downside)</t>
  </si>
  <si>
    <t>Income Statement</t>
  </si>
  <si>
    <t>2026E</t>
  </si>
  <si>
    <t>2027E</t>
  </si>
  <si>
    <t>2028E</t>
  </si>
  <si>
    <t>2029E</t>
  </si>
  <si>
    <t>2030E</t>
  </si>
  <si>
    <t>Revenue</t>
  </si>
  <si>
    <t>% growth</t>
  </si>
  <si>
    <t>EBIT</t>
  </si>
  <si>
    <t>Taxes</t>
  </si>
  <si>
    <t>Tax rate</t>
  </si>
  <si>
    <t>% of sales</t>
  </si>
  <si>
    <t>Cash Flow Items</t>
  </si>
  <si>
    <t>D&amp;A</t>
  </si>
  <si>
    <t>CapEx</t>
  </si>
  <si>
    <t>Changes in NWC</t>
  </si>
  <si>
    <t>% of changes in sales</t>
  </si>
  <si>
    <t>DCF</t>
  </si>
  <si>
    <t>EBIAT</t>
  </si>
  <si>
    <t>Free Cash Flow</t>
  </si>
  <si>
    <t>Present Value of FCF</t>
  </si>
  <si>
    <t>Key Statistics</t>
  </si>
  <si>
    <t>Stock Price</t>
  </si>
  <si>
    <t>Market Cap</t>
  </si>
  <si>
    <t>Cash</t>
  </si>
  <si>
    <t>Debt</t>
  </si>
  <si>
    <t>Enterprise Value</t>
  </si>
  <si>
    <t xml:space="preserve">shares outstanding diluted </t>
  </si>
  <si>
    <t>Net Debt</t>
  </si>
  <si>
    <t>% of capex</t>
  </si>
  <si>
    <t>WACC</t>
  </si>
  <si>
    <t>% of Equity</t>
  </si>
  <si>
    <t>Cost of Equity</t>
  </si>
  <si>
    <t>Risk Free Rate</t>
  </si>
  <si>
    <t>Beta</t>
  </si>
  <si>
    <t>Market Risk Premium</t>
  </si>
  <si>
    <t>% of Debt</t>
  </si>
  <si>
    <t>Cost of Debt</t>
  </si>
  <si>
    <t>Tax Rate</t>
  </si>
  <si>
    <t>Total</t>
  </si>
  <si>
    <t>Notes</t>
  </si>
  <si>
    <t>Valuation</t>
  </si>
  <si>
    <t>PV of FCF</t>
  </si>
  <si>
    <t>Terminal Value</t>
  </si>
  <si>
    <t>Shares Outstanding</t>
  </si>
  <si>
    <t>Implied Market Cap</t>
  </si>
  <si>
    <t>all values in millions except per share numbers</t>
  </si>
  <si>
    <t>EV/EBIT Multiple</t>
  </si>
  <si>
    <t>PV of Terminal Value</t>
  </si>
  <si>
    <t>Company Overview</t>
  </si>
  <si>
    <t>Price</t>
  </si>
  <si>
    <t>Key Stats</t>
  </si>
  <si>
    <t>Employees</t>
  </si>
  <si>
    <t>Founded</t>
  </si>
  <si>
    <t>CEO</t>
  </si>
  <si>
    <t>Headquarters</t>
  </si>
  <si>
    <t>Primary Industry</t>
  </si>
  <si>
    <t>Fiscal Year End</t>
  </si>
  <si>
    <t>COGS</t>
  </si>
  <si>
    <t>Gross Income</t>
  </si>
  <si>
    <t>SG&amp;A</t>
  </si>
  <si>
    <t>R&amp;D</t>
  </si>
  <si>
    <t>Last Updated</t>
  </si>
  <si>
    <t>Product Segments</t>
  </si>
  <si>
    <t>x</t>
  </si>
  <si>
    <t>P/E (LTM)</t>
  </si>
  <si>
    <t>EV/EBITDA (LTM)</t>
  </si>
  <si>
    <t>P/S (LTM)</t>
  </si>
  <si>
    <t>Financial Ratios</t>
  </si>
  <si>
    <t>P/E (NTM)</t>
  </si>
  <si>
    <t>Strategic Investment (OpenAI)</t>
  </si>
  <si>
    <t>Stock Based Compensation</t>
  </si>
  <si>
    <t>FCF Value</t>
  </si>
  <si>
    <t>Share Price</t>
  </si>
  <si>
    <t>Gordon Growth Method</t>
  </si>
  <si>
    <t>10 Year DCF</t>
  </si>
  <si>
    <t>Adjusted Operating Cash Flow</t>
  </si>
  <si>
    <t>Unlevered Free Cash Flow</t>
  </si>
  <si>
    <t>Bear Case</t>
  </si>
  <si>
    <t>P/EBIT</t>
  </si>
  <si>
    <t>Value</t>
  </si>
  <si>
    <t>Bull Case</t>
  </si>
  <si>
    <t>Bear</t>
  </si>
  <si>
    <t>Base</t>
  </si>
  <si>
    <t>Bull</t>
  </si>
  <si>
    <t>Chance</t>
  </si>
  <si>
    <t>Weighted</t>
  </si>
  <si>
    <t>Upside</t>
  </si>
  <si>
    <t>Sep '24</t>
  </si>
  <si>
    <t>Dec '24</t>
  </si>
  <si>
    <t>Mar '25</t>
  </si>
  <si>
    <t>Jun '25</t>
  </si>
  <si>
    <t>Sep '25</t>
  </si>
  <si>
    <t>Dec '25</t>
  </si>
  <si>
    <t>Jun '26E</t>
  </si>
  <si>
    <t>Sep '26E</t>
  </si>
  <si>
    <t>Dec '26E</t>
  </si>
  <si>
    <t>Mar '27E</t>
  </si>
  <si>
    <t xml:space="preserve">Q1  </t>
  </si>
  <si>
    <t xml:space="preserve">Q2  </t>
  </si>
  <si>
    <t xml:space="preserve">Q3  </t>
  </si>
  <si>
    <t xml:space="preserve">Q4  </t>
  </si>
  <si>
    <t>Operating Income</t>
  </si>
  <si>
    <t>Quarterly Product Segments</t>
  </si>
  <si>
    <t>FY 25</t>
  </si>
  <si>
    <t>FY 26</t>
  </si>
  <si>
    <t>FY 27</t>
  </si>
  <si>
    <t>IRR</t>
  </si>
  <si>
    <t>Net Income</t>
  </si>
  <si>
    <t>Per Share</t>
  </si>
  <si>
    <t>EPS</t>
  </si>
  <si>
    <t>% of ocf</t>
  </si>
  <si>
    <t>Other Income</t>
  </si>
  <si>
    <t>EPS Diluted</t>
  </si>
  <si>
    <t>Shares Outstanding Diluted</t>
  </si>
  <si>
    <t>% change</t>
  </si>
  <si>
    <t>P/E</t>
  </si>
  <si>
    <t>P/EBITDA</t>
  </si>
  <si>
    <t>P/S</t>
  </si>
  <si>
    <t>P/FCF</t>
  </si>
  <si>
    <t>Investment and Derivative Losses</t>
  </si>
  <si>
    <t>Deferred Taxes</t>
  </si>
  <si>
    <t>Jun '27E</t>
  </si>
  <si>
    <t>Mar '26</t>
  </si>
  <si>
    <t>Q4</t>
  </si>
  <si>
    <t>FLR</t>
  </si>
  <si>
    <t>Energy Solutions</t>
  </si>
  <si>
    <t>% of total</t>
  </si>
  <si>
    <t>Mission Solutions</t>
  </si>
  <si>
    <t>Other</t>
  </si>
  <si>
    <t>Urban Solutions</t>
  </si>
  <si>
    <t>Order Received Value</t>
  </si>
  <si>
    <t>Sales</t>
  </si>
  <si>
    <t>Order Backlog Value</t>
  </si>
  <si>
    <t>Corporate</t>
  </si>
  <si>
    <t>Infrastructure Construction</t>
  </si>
  <si>
    <t>James R. Breuer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</si>
</sst>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164" formatCode="&quot;$&quot;#,##0.00"/>
    <numFmt numFmtId="165" formatCode="&quot;$&quot;#,##0"/>
    <numFmt numFmtId="166" formatCode="0.00%;\(0.00%\)"/>
    <numFmt numFmtId="167" formatCode="00\x"/>
    <numFmt numFmtId="168" formatCode="0.0%;\(0.0%\)"/>
    <numFmt numFmtId="169" formatCode="#,##0.00&quot;x&quot;"/>
    <numFmt numFmtId="170" formatCode="#,##0.0;\(#,##0.0\);\-"/>
    <numFmt numFmtId="171" formatCode="0.00%;\(0.00%\);\-"/>
    <numFmt numFmtId="172" formatCode="#,##0;\(#,###\);\-"/>
    <numFmt numFmtId="173" formatCode="_([$$-409]* #,##0.00_);_([$$-409]* \(#,##0.00\);_([$$-409]* &quot;-&quot;??_);_(@_)"/>
  </numFmts>
  <fonts count="17" x14ac:knownFonts="1">
    <font>
      <sz val="12"/>
      <color theme="1"/>
      <name val="calibri"/>
      <family val="2"/>
    </font>
    <font>
      <sz val="12"/>
      <color theme="1"/>
      <name val="calibri"/>
      <family val="2"/>
    </font>
    <font>
      <sz val="11"/>
      <color theme="1"/>
      <name val="calibri"/>
      <family val="2"/>
    </font>
    <font>
      <b/>
      <sz val="11"/>
      <color theme="0"/>
      <name val="calibri"/>
      <family val="2"/>
    </font>
    <font>
      <b/>
      <sz val="11"/>
      <color theme="1"/>
      <name val="calibri"/>
      <family val="2"/>
    </font>
    <font>
      <i/>
      <sz val="11"/>
      <color theme="1"/>
      <name val="calibri"/>
      <family val="2"/>
    </font>
    <font>
      <sz val="11"/>
      <color theme="7" tint="-0.249977111117893"/>
      <name val="Calibri"/>
      <family val="2"/>
    </font>
    <font>
      <b/>
      <sz val="11"/>
      <name val="calibri"/>
      <family val="2"/>
    </font>
    <font>
      <sz val="11"/>
      <name val="Calibri"/>
      <family val="2"/>
    </font>
    <font>
      <sz val="11"/>
      <color theme="5" tint="-0.249977111117893"/>
      <name val="calibri"/>
      <family val="2"/>
    </font>
    <font>
      <sz val="11"/>
      <color rgb="FF7030A0"/>
      <name val="calibri"/>
      <family val="2"/>
    </font>
    <font>
      <sz val="11"/>
      <color rgb="FF000000"/>
      <name val="calibri"/>
      <family val="2"/>
    </font>
    <font>
      <b/>
      <sz val="11"/>
      <color rgb="FFFFFFFF"/>
      <name val="Calibri"/>
      <family val="2"/>
    </font>
    <font>
      <sz val="11"/>
      <color rgb="FF0000BF"/>
      <name val="Calibri"/>
      <family val="2"/>
    </font>
    <font>
      <b/>
      <sz val="11"/>
      <color rgb="FF000000"/>
      <name val="calibri"/>
      <family val="2"/>
    </font>
    <font>
      <i/>
      <sz val="11"/>
      <color rgb="FF000000"/>
      <name val="calibri"/>
      <family val="2"/>
    </font>
    <font>
      <b/>
      <sz val="11"/>
      <color rgb="FF0000BF"/>
      <name val="Calibri"/>
      <family val="2"/>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6"/>
        <bgColor indexed="64"/>
      </patternFill>
    </fill>
    <fill>
      <patternFill patternType="solid">
        <fgColor rgb="FFFFFFFF"/>
        <bgColor indexed="64"/>
      </patternFill>
    </fill>
    <fill>
      <patternFill patternType="solid">
        <fgColor rgb="FF0066CC"/>
        <bgColor indexed="64"/>
      </patternFill>
    </fill>
  </fills>
  <borders count="8">
    <border>
      <left/>
      <right/>
      <top/>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75">
    <xf numFmtId="0" fontId="0" fillId="0" borderId="0" xfId="0"/>
    <xf numFmtId="0" fontId="2" fillId="0" borderId="0" xfId="0" applyFont="1"/>
    <xf numFmtId="0" fontId="3" fillId="2" borderId="0" xfId="0" applyFont="1" applyFill="1"/>
    <xf numFmtId="0" fontId="3" fillId="2" borderId="0" xfId="0" applyFont="1" applyFill="1" applyAlignment="1">
      <alignment horizontal="right"/>
    </xf>
    <xf numFmtId="0" fontId="4" fillId="0" borderId="0" xfId="0" applyFont="1"/>
    <xf numFmtId="0" fontId="5" fillId="0" borderId="0" xfId="0" applyFont="1"/>
    <xf numFmtId="0" fontId="2" fillId="0" borderId="1" xfId="0" applyFont="1" applyBorder="1"/>
    <xf numFmtId="164" fontId="6" fillId="0" borderId="0" xfId="0" applyNumberFormat="1" applyFont="1" applyAlignment="1">
      <alignment horizontal="right"/>
    </xf>
    <xf numFmtId="3" fontId="2" fillId="0" borderId="0" xfId="0" applyNumberFormat="1" applyFont="1"/>
    <xf numFmtId="3" fontId="2" fillId="0" borderId="1" xfId="0" applyNumberFormat="1" applyFont="1" applyBorder="1"/>
    <xf numFmtId="10" fontId="2" fillId="0" borderId="0" xfId="0" applyNumberFormat="1" applyFont="1"/>
    <xf numFmtId="10" fontId="5" fillId="0" borderId="0" xfId="0" applyNumberFormat="1" applyFont="1"/>
    <xf numFmtId="3" fontId="6" fillId="0" borderId="0" xfId="0" applyNumberFormat="1" applyFont="1"/>
    <xf numFmtId="41" fontId="2" fillId="0" borderId="0" xfId="0" applyNumberFormat="1" applyFont="1"/>
    <xf numFmtId="10" fontId="2" fillId="0" borderId="0" xfId="0" applyNumberFormat="1" applyFont="1" applyAlignment="1">
      <alignment horizontal="center" vertical="center"/>
    </xf>
    <xf numFmtId="0" fontId="4" fillId="0" borderId="1" xfId="0" applyFont="1" applyBorder="1"/>
    <xf numFmtId="0" fontId="2" fillId="0" borderId="0" xfId="0" applyFont="1" applyAlignment="1">
      <alignment horizontal="center"/>
    </xf>
    <xf numFmtId="14" fontId="2" fillId="0" borderId="0" xfId="0" applyNumberFormat="1" applyFont="1" applyAlignment="1">
      <alignment horizontal="center"/>
    </xf>
    <xf numFmtId="0" fontId="7" fillId="0" borderId="1" xfId="0" applyFont="1" applyBorder="1"/>
    <xf numFmtId="165" fontId="2" fillId="0" borderId="0" xfId="0" applyNumberFormat="1" applyFont="1" applyAlignment="1">
      <alignment horizontal="center" vertical="center"/>
    </xf>
    <xf numFmtId="0" fontId="8" fillId="0" borderId="0" xfId="0" applyFont="1"/>
    <xf numFmtId="0" fontId="2" fillId="3" borderId="0" xfId="0" applyFont="1" applyFill="1"/>
    <xf numFmtId="0" fontId="3" fillId="3" borderId="0" xfId="0" applyFont="1" applyFill="1"/>
    <xf numFmtId="0" fontId="3" fillId="3" borderId="0" xfId="0" applyFont="1" applyFill="1" applyAlignment="1">
      <alignment horizontal="right"/>
    </xf>
    <xf numFmtId="3" fontId="9" fillId="0" borderId="0" xfId="0" applyNumberFormat="1" applyFont="1"/>
    <xf numFmtId="4" fontId="2" fillId="0" borderId="0" xfId="0" applyNumberFormat="1" applyFont="1"/>
    <xf numFmtId="0" fontId="3" fillId="2" borderId="0" xfId="0" applyFont="1" applyFill="1" applyAlignment="1">
      <alignment horizontal="center"/>
    </xf>
    <xf numFmtId="0" fontId="2" fillId="0" borderId="0" xfId="0" applyFont="1" applyAlignment="1">
      <alignment horizontal="center" vertical="center"/>
    </xf>
    <xf numFmtId="3" fontId="10" fillId="0" borderId="0" xfId="0" applyNumberFormat="1" applyFont="1"/>
    <xf numFmtId="0" fontId="2" fillId="0" borderId="5" xfId="0" applyFont="1" applyBorder="1"/>
    <xf numFmtId="3" fontId="2" fillId="0" borderId="5" xfId="0" applyNumberFormat="1" applyFont="1" applyBorder="1"/>
    <xf numFmtId="3" fontId="2" fillId="0" borderId="7" xfId="0" applyNumberFormat="1" applyFont="1" applyBorder="1"/>
    <xf numFmtId="0" fontId="2" fillId="0" borderId="6" xfId="0" applyFont="1" applyBorder="1"/>
    <xf numFmtId="0" fontId="2" fillId="0" borderId="1" xfId="0" applyFont="1" applyBorder="1" applyAlignment="1">
      <alignment horizontal="center"/>
    </xf>
    <xf numFmtId="167" fontId="2" fillId="0" borderId="0" xfId="0" applyNumberFormat="1" applyFont="1"/>
    <xf numFmtId="165" fontId="2" fillId="0" borderId="0" xfId="0" applyNumberFormat="1" applyFont="1" applyAlignment="1">
      <alignment horizontal="center"/>
    </xf>
    <xf numFmtId="0" fontId="2" fillId="0" borderId="0" xfId="0" applyFont="1" applyAlignment="1">
      <alignment horizontal="left"/>
    </xf>
    <xf numFmtId="10" fontId="2" fillId="0" borderId="0" xfId="0" applyNumberFormat="1" applyFont="1" applyAlignment="1">
      <alignment horizontal="center"/>
    </xf>
    <xf numFmtId="0" fontId="2" fillId="3" borderId="0" xfId="0" applyFont="1" applyFill="1" applyAlignment="1">
      <alignment horizontal="center"/>
    </xf>
    <xf numFmtId="164" fontId="2" fillId="0" borderId="0" xfId="0" applyNumberFormat="1" applyFont="1" applyAlignment="1">
      <alignment horizontal="center"/>
    </xf>
    <xf numFmtId="0" fontId="2" fillId="0" borderId="3" xfId="0" applyFont="1" applyBorder="1" applyAlignment="1">
      <alignment horizontal="center"/>
    </xf>
    <xf numFmtId="165" fontId="2" fillId="0" borderId="4" xfId="0" applyNumberFormat="1" applyFont="1" applyBorder="1" applyAlignment="1">
      <alignment horizontal="center"/>
    </xf>
    <xf numFmtId="10" fontId="2" fillId="0" borderId="4" xfId="0" applyNumberFormat="1" applyFont="1" applyBorder="1" applyAlignment="1">
      <alignment horizontal="center"/>
    </xf>
    <xf numFmtId="0" fontId="2" fillId="3" borderId="4" xfId="0" applyFont="1" applyFill="1" applyBorder="1" applyAlignment="1">
      <alignment horizontal="center"/>
    </xf>
    <xf numFmtId="164" fontId="2" fillId="0" borderId="4" xfId="0" applyNumberFormat="1" applyFont="1" applyBorder="1" applyAlignment="1">
      <alignment horizontal="center"/>
    </xf>
    <xf numFmtId="166" fontId="5" fillId="0" borderId="0" xfId="1" applyNumberFormat="1" applyFont="1"/>
    <xf numFmtId="168" fontId="5" fillId="0" borderId="0" xfId="1" applyNumberFormat="1" applyFont="1"/>
    <xf numFmtId="2" fontId="2" fillId="0" borderId="0" xfId="0" applyNumberFormat="1" applyFont="1"/>
    <xf numFmtId="37" fontId="6" fillId="0" borderId="0" xfId="0" applyNumberFormat="1" applyFont="1"/>
    <xf numFmtId="37" fontId="2" fillId="0" borderId="0" xfId="0" applyNumberFormat="1" applyFont="1"/>
    <xf numFmtId="169" fontId="2" fillId="0" borderId="0" xfId="0" applyNumberFormat="1" applyFont="1"/>
    <xf numFmtId="169" fontId="11" fillId="5" borderId="0" xfId="0" applyNumberFormat="1" applyFont="1" applyFill="1"/>
    <xf numFmtId="169" fontId="2" fillId="4" borderId="0" xfId="0" applyNumberFormat="1" applyFont="1" applyFill="1"/>
    <xf numFmtId="169" fontId="11" fillId="4" borderId="0" xfId="0" applyNumberFormat="1" applyFont="1" applyFill="1"/>
    <xf numFmtId="0" fontId="12" fillId="6" borderId="0" xfId="0" applyFont="1" applyFill="1" applyAlignment="1">
      <alignment horizontal="right"/>
    </xf>
    <xf numFmtId="0" fontId="11" fillId="0" borderId="0" xfId="0" applyFont="1"/>
    <xf numFmtId="0" fontId="15" fillId="0" borderId="0" xfId="0" applyFont="1"/>
    <xf numFmtId="170" fontId="13" fillId="0" borderId="0" xfId="0" applyNumberFormat="1" applyFont="1" applyAlignment="1">
      <alignment horizontal="right"/>
    </xf>
    <xf numFmtId="171" fontId="2" fillId="0" borderId="0" xfId="0" applyNumberFormat="1" applyFont="1" applyAlignment="1">
      <alignment horizontal="right"/>
    </xf>
    <xf numFmtId="37" fontId="14" fillId="0" borderId="0" xfId="0" applyNumberFormat="1" applyFont="1" applyAlignment="1">
      <alignment horizontal="right"/>
    </xf>
    <xf numFmtId="37" fontId="13" fillId="0" borderId="0" xfId="0" applyNumberFormat="1" applyFont="1" applyAlignment="1">
      <alignment horizontal="right"/>
    </xf>
    <xf numFmtId="37" fontId="8" fillId="0" borderId="0" xfId="0" applyNumberFormat="1" applyFont="1" applyAlignment="1">
      <alignment horizontal="right"/>
    </xf>
    <xf numFmtId="172" fontId="16" fillId="0" borderId="0" xfId="0" applyNumberFormat="1" applyFont="1" applyAlignment="1">
      <alignment horizontal="right"/>
    </xf>
    <xf numFmtId="172" fontId="14" fillId="0" borderId="0" xfId="0" applyNumberFormat="1" applyFont="1" applyAlignment="1">
      <alignment horizontal="right"/>
    </xf>
    <xf numFmtId="172" fontId="13" fillId="0" borderId="0" xfId="0" applyNumberFormat="1" applyFont="1" applyAlignment="1">
      <alignment horizontal="right"/>
    </xf>
    <xf numFmtId="172" fontId="11" fillId="0" borderId="0" xfId="0" applyNumberFormat="1" applyFont="1" applyAlignment="1">
      <alignment horizontal="right"/>
    </xf>
    <xf numFmtId="173" fontId="0" fillId="0" borderId="0" xfId="0" applyNumberFormat="1"/>
    <xf numFmtId="171" fontId="5" fillId="0" borderId="0" xfId="0" applyNumberFormat="1" applyFont="1" applyAlignment="1">
      <alignment horizontal="right"/>
    </xf>
    <xf numFmtId="0" fontId="3" fillId="2" borderId="4" xfId="0" applyFont="1" applyFill="1" applyBorder="1" applyAlignment="1">
      <alignment horizontal="center"/>
    </xf>
    <xf numFmtId="0" fontId="3" fillId="2" borderId="0" xfId="0" applyFont="1" applyFill="1" applyAlignment="1">
      <alignment horizontal="center"/>
    </xf>
    <xf numFmtId="3" fontId="2" fillId="0" borderId="0" xfId="0" applyNumberFormat="1" applyFont="1" applyAlignment="1">
      <alignment horizontal="center"/>
    </xf>
    <xf numFmtId="14" fontId="2" fillId="0" borderId="0" xfId="0" applyNumberFormat="1" applyFont="1" applyAlignment="1">
      <alignment horizontal="center"/>
    </xf>
    <xf numFmtId="3" fontId="2" fillId="0" borderId="2" xfId="0" applyNumberFormat="1" applyFont="1" applyBorder="1" applyAlignment="1">
      <alignment horizontal="right"/>
    </xf>
    <xf numFmtId="3" fontId="2" fillId="0" borderId="1" xfId="0" applyNumberFormat="1" applyFont="1" applyBorder="1" applyAlignment="1">
      <alignment horizontal="right"/>
    </xf>
    <xf numFmtId="0" fontId="2"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25022"/>
      <color rgb="FFF44336"/>
      <color rgb="FF4CAF50"/>
      <color rgb="FF2196F3"/>
      <color rgb="FFFFC107"/>
      <color rgb="FF7CBB00"/>
      <color rgb="FF00A1F1"/>
      <color rgb="FFF65314"/>
      <color rgb="FFFFBB00"/>
      <color rgb="FF00A4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304800" cy="304800"/>
    <xdr:sp macro="" textlink="">
      <xdr:nvSpPr>
        <xdr:cNvPr id="2" name="AutoShape 1" descr="Microsoft Logo Icon Vector, Microsoft, Azure, Word PNG and Vector with  Transparent Background for Free Download">
          <a:extLst>
            <a:ext uri="{FF2B5EF4-FFF2-40B4-BE49-F238E27FC236}">
              <a16:creationId xmlns:a16="http://schemas.microsoft.com/office/drawing/2014/main" id="{AD40D20F-4454-45A1-97F5-3E922E75BD52}"/>
            </a:ext>
          </a:extLst>
        </xdr:cNvPr>
        <xdr:cNvSpPr>
          <a:spLocks noChangeAspect="1" noChangeArrowheads="1"/>
        </xdr:cNvSpPr>
      </xdr:nvSpPr>
      <xdr:spPr bwMode="auto">
        <a:xfrm>
          <a:off x="132588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xdr:row>
      <xdr:rowOff>0</xdr:rowOff>
    </xdr:from>
    <xdr:ext cx="304800" cy="304800"/>
    <xdr:sp macro="" textlink="">
      <xdr:nvSpPr>
        <xdr:cNvPr id="3" name="AutoShape 2" descr="Microsoft Logo Icon Vector, Microsoft, Azure, Word PNG and Vector with  Transparent Background for Free Download">
          <a:extLst>
            <a:ext uri="{FF2B5EF4-FFF2-40B4-BE49-F238E27FC236}">
              <a16:creationId xmlns:a16="http://schemas.microsoft.com/office/drawing/2014/main" id="{EFA7129D-1F3C-4CD4-8CD6-278EB01B31B5}"/>
            </a:ext>
          </a:extLst>
        </xdr:cNvPr>
        <xdr:cNvSpPr>
          <a:spLocks noChangeAspect="1" noChangeArrowheads="1"/>
        </xdr:cNvSpPr>
      </xdr:nvSpPr>
      <xdr:spPr bwMode="auto">
        <a:xfrm>
          <a:off x="6629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27</xdr:row>
      <xdr:rowOff>0</xdr:rowOff>
    </xdr:from>
    <xdr:ext cx="304800" cy="304800"/>
    <xdr:sp macro="" textlink="">
      <xdr:nvSpPr>
        <xdr:cNvPr id="4" name="AutoShape 4" descr="Microsoft Logo PNG Vector (EPS) Free Download">
          <a:extLst>
            <a:ext uri="{FF2B5EF4-FFF2-40B4-BE49-F238E27FC236}">
              <a16:creationId xmlns:a16="http://schemas.microsoft.com/office/drawing/2014/main" id="{4AADA16D-F999-46CC-BC83-14D8654AF206}"/>
            </a:ext>
          </a:extLst>
        </xdr:cNvPr>
        <xdr:cNvSpPr>
          <a:spLocks noChangeAspect="1" noChangeArrowheads="1"/>
        </xdr:cNvSpPr>
      </xdr:nvSpPr>
      <xdr:spPr bwMode="auto">
        <a:xfrm>
          <a:off x="12595860" y="4937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https://www.bing.com/financeapi/forcetrigger?t=a1t2ur&amp;q=XNYS%3aFLR&amp;form=skydnc</v>
    <v>Learn more on Bing</v>
  </rv>
  <rv s="1">
    <v>en-US</v>
    <v>a1t2ur</v>
    <v>268435456</v>
    <v>1</v>
    <v>Powered by Refinitiv</v>
    <v>0</v>
    <v>FLUOR CORPORATION. (XNYS:FLR)</v>
    <v>2</v>
    <v>3</v>
    <v>Finance</v>
    <v>4</v>
    <v>57.5</v>
    <v>34.284999999999997</v>
    <v>1.3269</v>
    <v>0.5</v>
    <v>-9.247E-3</v>
    <v>9.5259999999999997E-3</v>
    <v>-0.49</v>
    <v>USD</v>
    <v>Fluor Corporation is a holding company that provides engineering, procurement, construction (EPC), fabrication and modularization, and project management services. The Company's segments include Energy Solutions, Urban Solutions and Mission Solutions. The Energy Solutions segment provides EPC services for traditional oil and gas markets, including the production and fuels, chemicals, LNG and power markets. The segment serves these industries with comprehensive project life-cycle services. The Urban Solutions segment provides EPC and project management services to the advanced technologies and manufacturing, life sciences, mining and metals, infrastructure industries and professional staffing services. The Mission Solutions segment provides high-end technical solutions to the United States and other governments. These include, among others, the DOE, the Department of Defense, FEMA and intelligence agencies. The segment also provides services to commercial nuclear clients.</v>
    <v>22995</v>
    <v>New York Stock Exchange</v>
    <v>XNYS</v>
    <v>XNYS</v>
    <v>6700 Las Colinas Blvd, IRVING, TX, 75039 US</v>
    <v>53.715000000000003</v>
    <v>Construction &amp; Engineering</v>
    <v>Stock</v>
    <v>46147.997703043751</v>
    <v>0</v>
    <v>52.255000000000003</v>
    <v>7583202837</v>
    <v>FLUOR CORPORATION.</v>
    <v>FLUOR CORPORATION.</v>
    <v>53.35</v>
    <v>52.49</v>
    <v>52.99</v>
    <v>52.5</v>
    <v>143106300</v>
    <v>FLR</v>
    <v>FLUOR CORPORATION. (XNYS:FLR)</v>
    <v>2601103</v>
    <v>2054901</v>
    <v>2000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F2CC"/>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EF9E150-0837-48A7-9315-EFD32F36373C}">
  <we:reference id="wa200009404" version="1.0.0.5" store="en-US" storeType="OMEX"/>
  <we:alternateReferences>
    <we:reference id="wa200009404" version="1.0.0.5" store="" storeType="OMEX"/>
  </we:alternateReferences>
  <we:properties>
    <we:property name="claude.fileId" value="&quot;139e7d4e-4777-44e3-bcb5-68c28ece7beb&quot;"/>
  </we:properties>
  <we:bindings/>
  <we:snapshot xmlns:r="http://schemas.openxmlformats.org/officeDocument/2006/relationships"/>
</we:webextension>
</file>

<file path=xl/webextensions/webextension2.xml><?xml version="1.0" encoding="utf-8"?>
<we:webextension xmlns:we="http://schemas.microsoft.com/office/webextensions/webextension/2010/11" id="{4469EE86-32CD-4EC1-8F4B-4FD319E98C1C}">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A709A-8661-48EA-ABEA-2F393EBDC89E}">
  <dimension ref="A2:AN128"/>
  <sheetViews>
    <sheetView showGridLines="0" tabSelected="1" topLeftCell="A4" zoomScale="115" zoomScaleNormal="115" workbookViewId="0">
      <selection activeCell="AA9" sqref="AA7:AD9"/>
    </sheetView>
  </sheetViews>
  <sheetFormatPr defaultColWidth="8.69921875" defaultRowHeight="14.4" customHeight="1" x14ac:dyDescent="0.3"/>
  <cols>
    <col min="1" max="3" width="8.69921875" style="1"/>
    <col min="4" max="4" width="11.5" style="1" bestFit="1" customWidth="1"/>
    <col min="5" max="5" width="9.8984375" style="1" bestFit="1" customWidth="1"/>
    <col min="6" max="7" width="8.69921875" style="1"/>
    <col min="8" max="8" width="9" style="1" bestFit="1" customWidth="1"/>
    <col min="9" max="14" width="8.69921875" style="1"/>
    <col min="15" max="15" width="8.69921875" style="1" customWidth="1"/>
    <col min="16" max="16" width="8.8984375" style="1" bestFit="1" customWidth="1"/>
    <col min="17" max="23" width="8.69921875" style="1"/>
    <col min="24" max="24" width="11.69921875" style="1" bestFit="1" customWidth="1"/>
    <col min="25" max="16384" width="8.69921875" style="1"/>
  </cols>
  <sheetData>
    <row r="2" spans="1:40" ht="14.4" customHeight="1" x14ac:dyDescent="0.3">
      <c r="B2"/>
      <c r="C2"/>
      <c r="R2" s="5" t="s">
        <v>50</v>
      </c>
    </row>
    <row r="3" spans="1:40" ht="14.4" customHeight="1" x14ac:dyDescent="0.3">
      <c r="B3" s="5"/>
    </row>
    <row r="4" spans="1:40" ht="14.4" customHeight="1" x14ac:dyDescent="0.3">
      <c r="A4" s="16" t="s">
        <v>68</v>
      </c>
      <c r="B4" s="2" t="s">
        <v>53</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spans="1:40" s="21" customFormat="1" ht="1.95" customHeight="1" x14ac:dyDescent="0.3">
      <c r="B5" s="22"/>
      <c r="C5" s="22"/>
      <c r="D5" s="22"/>
      <c r="E5" s="22"/>
      <c r="F5" s="22"/>
      <c r="G5" s="22"/>
      <c r="H5" s="22"/>
      <c r="I5" s="22"/>
      <c r="J5" s="22"/>
      <c r="K5" s="22"/>
      <c r="L5" s="23"/>
      <c r="M5" s="23"/>
      <c r="N5" s="23"/>
      <c r="O5" s="23"/>
      <c r="P5" s="23"/>
    </row>
    <row r="6" spans="1:40" ht="14.4" customHeight="1" x14ac:dyDescent="0.3">
      <c r="B6" s="15" t="s">
        <v>54</v>
      </c>
      <c r="C6" s="6"/>
      <c r="D6" s="6"/>
      <c r="E6" s="6"/>
      <c r="G6" s="15" t="s">
        <v>55</v>
      </c>
      <c r="H6" s="6"/>
      <c r="I6" s="6"/>
      <c r="J6" s="6"/>
      <c r="K6" s="6"/>
      <c r="M6" s="18" t="s">
        <v>45</v>
      </c>
      <c r="N6" s="18"/>
      <c r="O6" s="18"/>
      <c r="P6" s="6"/>
      <c r="R6" s="18" t="s">
        <v>44</v>
      </c>
      <c r="S6" s="18"/>
      <c r="T6" s="18"/>
      <c r="U6" s="6"/>
      <c r="W6" s="15" t="s">
        <v>78</v>
      </c>
      <c r="X6" s="6"/>
      <c r="Y6" s="6"/>
      <c r="AA6" s="15" t="s">
        <v>82</v>
      </c>
      <c r="AB6" s="6"/>
      <c r="AC6" s="33" t="s">
        <v>84</v>
      </c>
      <c r="AD6" s="33" t="s">
        <v>83</v>
      </c>
      <c r="AF6" s="15" t="s">
        <v>85</v>
      </c>
      <c r="AG6" s="6"/>
      <c r="AH6" s="33" t="s">
        <v>84</v>
      </c>
      <c r="AI6" s="33" t="s">
        <v>83</v>
      </c>
    </row>
    <row r="7" spans="1:40" ht="14.4" customHeight="1" x14ac:dyDescent="0.3">
      <c r="B7" s="1" t="s">
        <v>0</v>
      </c>
      <c r="E7" s="16" t="s">
        <v>129</v>
      </c>
      <c r="G7" s="1" t="s">
        <v>56</v>
      </c>
      <c r="I7" s="70">
        <v>22995</v>
      </c>
      <c r="J7" s="70"/>
      <c r="K7" s="70"/>
      <c r="M7" s="1" t="s">
        <v>46</v>
      </c>
      <c r="P7" s="8">
        <f>SUM(J108:N108)</f>
        <v>0</v>
      </c>
      <c r="R7" s="1" t="s">
        <v>34</v>
      </c>
      <c r="U7" s="10">
        <v>8.7499999999999994E-2</v>
      </c>
      <c r="W7" s="1" t="s">
        <v>76</v>
      </c>
      <c r="Y7" s="8">
        <f>SUM(J108:N108)+SUM(Y21:AD21)</f>
        <v>0</v>
      </c>
      <c r="AC7" s="8"/>
      <c r="AD7" s="34"/>
      <c r="AH7" s="8"/>
      <c r="AI7" s="34"/>
    </row>
    <row r="8" spans="1:40" ht="14.4" customHeight="1" x14ac:dyDescent="0.3">
      <c r="B8" s="1" t="s">
        <v>1</v>
      </c>
      <c r="E8" s="19"/>
      <c r="G8" s="1" t="s">
        <v>57</v>
      </c>
      <c r="I8" s="71"/>
      <c r="J8" s="71"/>
      <c r="K8" s="71"/>
      <c r="M8" s="1" t="s">
        <v>47</v>
      </c>
      <c r="P8" s="8">
        <f>(N85*U8)</f>
        <v>0</v>
      </c>
      <c r="R8" s="1" t="s">
        <v>51</v>
      </c>
      <c r="U8" s="20">
        <v>20</v>
      </c>
      <c r="W8" s="1" t="s">
        <v>47</v>
      </c>
      <c r="Y8" s="8">
        <f>AD21*(1+0.035)/($U$7-0.035)</f>
        <v>0</v>
      </c>
      <c r="AC8" s="8"/>
      <c r="AD8" s="34"/>
      <c r="AH8" s="8"/>
      <c r="AI8" s="34"/>
    </row>
    <row r="9" spans="1:40" ht="14.4" customHeight="1" x14ac:dyDescent="0.3">
      <c r="B9" s="1" t="s">
        <v>2</v>
      </c>
      <c r="E9" s="19">
        <f ca="1">Extras!H3</f>
        <v>52.99</v>
      </c>
      <c r="G9" s="1" t="s">
        <v>58</v>
      </c>
      <c r="I9" s="74" t="s">
        <v>140</v>
      </c>
      <c r="J9" s="74"/>
      <c r="K9" s="74"/>
      <c r="M9" s="1" t="s">
        <v>52</v>
      </c>
      <c r="P9" s="8">
        <f>-(PV(U7,4.5,0,P8))</f>
        <v>0</v>
      </c>
      <c r="W9" s="1" t="s">
        <v>32</v>
      </c>
      <c r="Y9" s="8">
        <f>P10</f>
        <v>0</v>
      </c>
      <c r="AC9" s="8"/>
      <c r="AD9" s="34"/>
      <c r="AH9" s="8"/>
      <c r="AI9" s="34"/>
    </row>
    <row r="10" spans="1:40" ht="14.4" customHeight="1" x14ac:dyDescent="0.3">
      <c r="B10" s="1" t="s">
        <v>3</v>
      </c>
      <c r="E10" s="14">
        <f ca="1">E8/E9-1</f>
        <v>-1</v>
      </c>
      <c r="G10" s="1" t="s">
        <v>59</v>
      </c>
      <c r="I10" s="74">
        <v>1912</v>
      </c>
      <c r="J10" s="74"/>
      <c r="K10" s="74"/>
      <c r="M10" s="1" t="s">
        <v>32</v>
      </c>
      <c r="P10" s="8">
        <f>J22-J21</f>
        <v>0</v>
      </c>
      <c r="R10" s="18" t="s">
        <v>34</v>
      </c>
      <c r="S10" s="18"/>
      <c r="T10" s="18"/>
      <c r="U10" s="6"/>
      <c r="W10" s="6" t="s">
        <v>43</v>
      </c>
      <c r="X10" s="6"/>
      <c r="Y10" s="9">
        <f>Y7+Y8+Y9</f>
        <v>0</v>
      </c>
      <c r="AA10" s="6"/>
      <c r="AB10" s="6"/>
      <c r="AC10" s="9"/>
      <c r="AD10" s="9"/>
      <c r="AF10" s="6"/>
      <c r="AG10" s="6"/>
      <c r="AH10" s="9"/>
      <c r="AI10" s="9"/>
    </row>
    <row r="11" spans="1:40" ht="14.4" customHeight="1" x14ac:dyDescent="0.3">
      <c r="B11" s="1" t="s">
        <v>111</v>
      </c>
      <c r="E11" s="14">
        <f ca="1">(K17/E9)^(1/2)-1</f>
        <v>-1</v>
      </c>
      <c r="G11" s="1" t="s">
        <v>60</v>
      </c>
      <c r="I11" s="74" t="s">
        <v>139</v>
      </c>
      <c r="J11" s="74"/>
      <c r="K11" s="74"/>
      <c r="M11" s="1" t="s">
        <v>74</v>
      </c>
      <c r="P11" s="8">
        <f>500000*0.27</f>
        <v>135000</v>
      </c>
      <c r="R11" s="1" t="s">
        <v>27</v>
      </c>
      <c r="T11" s="72"/>
      <c r="U11" s="72"/>
      <c r="W11" s="1" t="s">
        <v>77</v>
      </c>
      <c r="Y11" s="19">
        <f>Y10/P12</f>
        <v>0</v>
      </c>
      <c r="AA11" s="1" t="s">
        <v>77</v>
      </c>
      <c r="AC11" s="19">
        <f>SUM(AC7:AC10)/$P$12</f>
        <v>0</v>
      </c>
      <c r="AD11" s="34" t="e">
        <f>AVERAGE(AD7:AD9)</f>
        <v>#DIV/0!</v>
      </c>
      <c r="AF11" s="1" t="s">
        <v>77</v>
      </c>
      <c r="AH11" s="19">
        <f>SUM(AH7:AH10)/$P$12</f>
        <v>0</v>
      </c>
      <c r="AI11" s="34" t="e">
        <f>AVERAGE(AI7:AI9)</f>
        <v>#DIV/0!</v>
      </c>
      <c r="AM11" s="19"/>
      <c r="AN11" s="34"/>
    </row>
    <row r="12" spans="1:40" ht="14.4" customHeight="1" x14ac:dyDescent="0.3">
      <c r="B12" s="1" t="s">
        <v>66</v>
      </c>
      <c r="E12" s="17">
        <v>46147</v>
      </c>
      <c r="G12" s="1" t="s">
        <v>61</v>
      </c>
      <c r="I12" s="71">
        <v>46387</v>
      </c>
      <c r="J12" s="71"/>
      <c r="K12" s="71"/>
      <c r="M12" s="1" t="s">
        <v>48</v>
      </c>
      <c r="P12" s="8">
        <v>160.26</v>
      </c>
      <c r="R12" s="1" t="s">
        <v>35</v>
      </c>
      <c r="U12" s="10"/>
      <c r="Y12" s="14"/>
      <c r="AC12" s="14"/>
    </row>
    <row r="13" spans="1:40" ht="14.4" customHeight="1" x14ac:dyDescent="0.3">
      <c r="I13" s="10"/>
      <c r="M13" s="1" t="s">
        <v>49</v>
      </c>
      <c r="P13" s="8">
        <f>P9+P7-P10+P11</f>
        <v>135000</v>
      </c>
      <c r="R13" s="1" t="s">
        <v>36</v>
      </c>
      <c r="U13" s="10">
        <f>U14+(U15*U17)</f>
        <v>0</v>
      </c>
      <c r="W13" s="68" t="s">
        <v>79</v>
      </c>
      <c r="X13" s="69"/>
      <c r="Y13" s="3">
        <v>2031</v>
      </c>
      <c r="Z13" s="3">
        <f>Y13+1</f>
        <v>2032</v>
      </c>
      <c r="AA13" s="3">
        <f>Z13+1</f>
        <v>2033</v>
      </c>
      <c r="AB13" s="3">
        <f>AA13+1</f>
        <v>2034</v>
      </c>
      <c r="AC13" s="3">
        <f>AB13+1</f>
        <v>2035</v>
      </c>
      <c r="AD13" s="3">
        <f>AC13+1</f>
        <v>2036</v>
      </c>
      <c r="AF13" s="6"/>
      <c r="AG13" s="40" t="s">
        <v>86</v>
      </c>
      <c r="AH13" s="33" t="s">
        <v>87</v>
      </c>
      <c r="AI13" s="33" t="s">
        <v>88</v>
      </c>
    </row>
    <row r="14" spans="1:40" ht="14.4" customHeight="1" x14ac:dyDescent="0.3">
      <c r="R14" s="1" t="s">
        <v>37</v>
      </c>
      <c r="U14" s="10"/>
      <c r="W14" s="1" t="s">
        <v>10</v>
      </c>
      <c r="Y14" s="8">
        <f>N82*1.12</f>
        <v>0</v>
      </c>
      <c r="Z14" s="8">
        <f>Y14*1.1</f>
        <v>0</v>
      </c>
      <c r="AA14" s="8">
        <f>Z14*1.08</f>
        <v>0</v>
      </c>
      <c r="AB14" s="8">
        <f>AA14*1.07</f>
        <v>0</v>
      </c>
      <c r="AC14" s="8">
        <f>AB14*1.06</f>
        <v>0</v>
      </c>
      <c r="AD14" s="8">
        <f>AC14*1.05</f>
        <v>0</v>
      </c>
      <c r="AF14" s="36" t="s">
        <v>54</v>
      </c>
      <c r="AG14" s="41">
        <f>AC11</f>
        <v>0</v>
      </c>
      <c r="AH14" s="35">
        <f>E8</f>
        <v>0</v>
      </c>
      <c r="AI14" s="35">
        <f>AH11</f>
        <v>0</v>
      </c>
    </row>
    <row r="15" spans="1:40" ht="14.4" customHeight="1" x14ac:dyDescent="0.3">
      <c r="A15" s="16" t="s">
        <v>68</v>
      </c>
      <c r="B15" s="2" t="s">
        <v>25</v>
      </c>
      <c r="C15" s="2"/>
      <c r="D15" s="2"/>
      <c r="E15" s="2">
        <v>2021</v>
      </c>
      <c r="F15" s="2">
        <f>E15+1</f>
        <v>2022</v>
      </c>
      <c r="G15" s="2">
        <f>F15+1</f>
        <v>2023</v>
      </c>
      <c r="H15" s="2">
        <f>G15+1</f>
        <v>2024</v>
      </c>
      <c r="I15" s="2">
        <f>H15+1</f>
        <v>2025</v>
      </c>
      <c r="J15" s="3" t="s">
        <v>5</v>
      </c>
      <c r="K15" s="3" t="s">
        <v>6</v>
      </c>
      <c r="M15" s="18" t="s">
        <v>72</v>
      </c>
      <c r="N15" s="18"/>
      <c r="O15" s="18"/>
      <c r="P15" s="6"/>
      <c r="R15" s="1" t="s">
        <v>38</v>
      </c>
      <c r="W15" s="1" t="s">
        <v>11</v>
      </c>
      <c r="Y15" s="11" t="e">
        <f>(Y14-N82)/N82</f>
        <v>#DIV/0!</v>
      </c>
      <c r="Z15" s="11" t="e">
        <f>(Z14-Y14)/Y14</f>
        <v>#DIV/0!</v>
      </c>
      <c r="AA15" s="11" t="e">
        <f>(AA14-Z14)/Z14</f>
        <v>#DIV/0!</v>
      </c>
      <c r="AB15" s="11" t="e">
        <f>(AB14-AA14)/AA14</f>
        <v>#DIV/0!</v>
      </c>
      <c r="AC15" s="11" t="e">
        <f>(AC14-AB14)/AB14</f>
        <v>#DIV/0!</v>
      </c>
      <c r="AD15" s="11" t="e">
        <f>(AD14-AC14)/AC14</f>
        <v>#DIV/0!</v>
      </c>
      <c r="AF15" s="1" t="s">
        <v>89</v>
      </c>
      <c r="AG15" s="42">
        <v>0.25</v>
      </c>
      <c r="AH15" s="37">
        <v>0.6</v>
      </c>
      <c r="AI15" s="37">
        <v>0.15</v>
      </c>
    </row>
    <row r="16" spans="1:40" s="21" customFormat="1" ht="1.95" customHeight="1" x14ac:dyDescent="0.3">
      <c r="B16" s="22"/>
      <c r="C16" s="22"/>
      <c r="D16" s="22"/>
      <c r="E16" s="22"/>
      <c r="F16" s="22"/>
      <c r="G16" s="22"/>
      <c r="H16" s="22"/>
      <c r="I16" s="22"/>
      <c r="J16" s="22"/>
      <c r="K16" s="22"/>
      <c r="L16" s="1"/>
      <c r="M16" s="1" t="s">
        <v>46</v>
      </c>
      <c r="N16" s="1"/>
      <c r="O16" s="1"/>
      <c r="P16" s="8">
        <f>SUM(J109:N109)</f>
        <v>0</v>
      </c>
      <c r="Y16" s="1"/>
      <c r="Z16" s="1"/>
      <c r="AA16" s="1"/>
      <c r="AB16" s="1"/>
      <c r="AC16" s="1"/>
      <c r="AD16" s="1"/>
      <c r="AG16" s="43"/>
      <c r="AH16" s="38"/>
      <c r="AI16" s="38"/>
    </row>
    <row r="17" spans="1:35" ht="14.4" customHeight="1" x14ac:dyDescent="0.3">
      <c r="B17" s="1" t="s">
        <v>26</v>
      </c>
      <c r="E17" s="7"/>
      <c r="F17" s="7"/>
      <c r="G17" s="7"/>
      <c r="H17" s="7"/>
      <c r="I17" s="7"/>
      <c r="J17" s="7"/>
      <c r="K17" s="7"/>
      <c r="M17" s="1" t="s">
        <v>27</v>
      </c>
      <c r="P17" s="8">
        <f ca="1">E9*P12</f>
        <v>8492.1774000000005</v>
      </c>
      <c r="R17" s="1" t="s">
        <v>39</v>
      </c>
      <c r="U17" s="10"/>
      <c r="AF17" s="1" t="s">
        <v>90</v>
      </c>
      <c r="AG17" s="44">
        <f>AG14*AG15</f>
        <v>0</v>
      </c>
      <c r="AH17" s="39">
        <f>AH14*AH15</f>
        <v>0</v>
      </c>
      <c r="AI17" s="39">
        <f>AI14*AI15</f>
        <v>0</v>
      </c>
    </row>
    <row r="18" spans="1:35" ht="14.4" customHeight="1" x14ac:dyDescent="0.3">
      <c r="B18" s="1" t="s">
        <v>31</v>
      </c>
      <c r="E18" s="12"/>
      <c r="F18" s="12"/>
      <c r="G18" s="12"/>
      <c r="H18" s="12"/>
      <c r="I18" s="12"/>
      <c r="J18" s="12"/>
      <c r="K18" s="12"/>
      <c r="M18" s="1" t="s">
        <v>30</v>
      </c>
      <c r="P18" s="8">
        <f ca="1">P17+P10</f>
        <v>8492.1774000000005</v>
      </c>
      <c r="R18" s="1" t="s">
        <v>29</v>
      </c>
      <c r="U18" s="8"/>
      <c r="W18" s="1" t="s">
        <v>23</v>
      </c>
      <c r="Y18" s="8">
        <f>Y14*0.28</f>
        <v>0</v>
      </c>
      <c r="Z18" s="8">
        <f t="shared" ref="Z18:AD18" si="0">Z14*0.28</f>
        <v>0</v>
      </c>
      <c r="AA18" s="8">
        <f t="shared" si="0"/>
        <v>0</v>
      </c>
      <c r="AB18" s="8">
        <f t="shared" si="0"/>
        <v>0</v>
      </c>
      <c r="AC18" s="8">
        <f t="shared" si="0"/>
        <v>0</v>
      </c>
      <c r="AD18" s="8">
        <f t="shared" si="0"/>
        <v>0</v>
      </c>
    </row>
    <row r="19" spans="1:35" ht="14.4" customHeight="1" x14ac:dyDescent="0.3">
      <c r="M19" s="1" t="s">
        <v>69</v>
      </c>
      <c r="P19" s="25">
        <f ca="1">$P$17/119262</f>
        <v>7.1206062283040703E-2</v>
      </c>
      <c r="R19" s="1" t="s">
        <v>40</v>
      </c>
      <c r="U19" s="10"/>
      <c r="W19" s="5" t="s">
        <v>15</v>
      </c>
      <c r="Y19" s="11" t="e">
        <f t="shared" ref="Y19:AD19" si="1">Y18/Y14</f>
        <v>#DIV/0!</v>
      </c>
      <c r="Z19" s="11" t="e">
        <f t="shared" si="1"/>
        <v>#DIV/0!</v>
      </c>
      <c r="AA19" s="11" t="e">
        <f t="shared" si="1"/>
        <v>#DIV/0!</v>
      </c>
      <c r="AB19" s="11" t="e">
        <f t="shared" si="1"/>
        <v>#DIV/0!</v>
      </c>
      <c r="AC19" s="11" t="e">
        <f t="shared" si="1"/>
        <v>#DIV/0!</v>
      </c>
      <c r="AD19" s="11" t="e">
        <f t="shared" si="1"/>
        <v>#DIV/0!</v>
      </c>
      <c r="AF19" s="1" t="s">
        <v>43</v>
      </c>
      <c r="AG19" s="39">
        <f>AG17+AH17+AI17</f>
        <v>0</v>
      </c>
    </row>
    <row r="20" spans="1:35" ht="14.4" customHeight="1" x14ac:dyDescent="0.3">
      <c r="B20" s="1" t="s">
        <v>27</v>
      </c>
      <c r="E20" s="8"/>
      <c r="F20" s="8"/>
      <c r="G20" s="8"/>
      <c r="H20" s="8"/>
      <c r="I20" s="8"/>
      <c r="J20" s="8"/>
      <c r="K20" s="8"/>
      <c r="M20" s="1" t="s">
        <v>73</v>
      </c>
      <c r="P20" s="25">
        <f ca="1">$P$17/129705</f>
        <v>6.5473014918468839E-2</v>
      </c>
      <c r="R20" s="1" t="s">
        <v>41</v>
      </c>
      <c r="U20" s="10"/>
      <c r="AF20" s="1" t="s">
        <v>91</v>
      </c>
      <c r="AG20" s="14">
        <f ca="1">AG19/$E$9-1</f>
        <v>-1</v>
      </c>
    </row>
    <row r="21" spans="1:35" ht="14.4" customHeight="1" x14ac:dyDescent="0.3">
      <c r="B21" s="1" t="s">
        <v>28</v>
      </c>
      <c r="E21" s="12"/>
      <c r="F21" s="12"/>
      <c r="G21" s="12"/>
      <c r="H21" s="12"/>
      <c r="I21" s="12"/>
      <c r="J21" s="12"/>
      <c r="K21" s="12"/>
      <c r="M21" s="1" t="s">
        <v>71</v>
      </c>
      <c r="P21" s="25">
        <f ca="1">$P$17/305453</f>
        <v>2.7801911914435283E-2</v>
      </c>
      <c r="R21" s="1" t="s">
        <v>42</v>
      </c>
      <c r="U21" s="10"/>
      <c r="W21" s="1" t="s">
        <v>24</v>
      </c>
      <c r="Y21" s="8">
        <f t="shared" ref="Y21:AD21" si="2">Y18/(1+$U$7)^4.25</f>
        <v>0</v>
      </c>
      <c r="Z21" s="8">
        <f t="shared" si="2"/>
        <v>0</v>
      </c>
      <c r="AA21" s="8">
        <f t="shared" si="2"/>
        <v>0</v>
      </c>
      <c r="AB21" s="8">
        <f t="shared" si="2"/>
        <v>0</v>
      </c>
      <c r="AC21" s="8">
        <f t="shared" si="2"/>
        <v>0</v>
      </c>
      <c r="AD21" s="8">
        <f t="shared" si="2"/>
        <v>0</v>
      </c>
    </row>
    <row r="22" spans="1:35" ht="14.4" customHeight="1" x14ac:dyDescent="0.3">
      <c r="B22" s="6" t="s">
        <v>29</v>
      </c>
      <c r="C22" s="6"/>
      <c r="D22" s="6"/>
      <c r="E22" s="9"/>
      <c r="F22" s="9"/>
      <c r="G22" s="9"/>
      <c r="H22" s="9"/>
      <c r="I22" s="9"/>
      <c r="J22" s="9"/>
      <c r="K22" s="9"/>
      <c r="M22" s="1" t="s">
        <v>70</v>
      </c>
      <c r="P22" s="25">
        <f ca="1">P18/175259</f>
        <v>4.8455014578423938E-2</v>
      </c>
      <c r="R22" s="6" t="s">
        <v>43</v>
      </c>
      <c r="S22" s="6"/>
      <c r="T22" s="73"/>
      <c r="U22" s="73"/>
    </row>
    <row r="23" spans="1:35" ht="14.4" customHeight="1" x14ac:dyDescent="0.3">
      <c r="B23" s="1" t="s">
        <v>30</v>
      </c>
      <c r="E23" s="8"/>
      <c r="F23" s="8"/>
      <c r="G23" s="8"/>
      <c r="H23" s="8"/>
      <c r="I23" s="8"/>
      <c r="J23" s="8"/>
      <c r="K23" s="8"/>
      <c r="P23" s="25"/>
      <c r="R23" s="1" t="s">
        <v>34</v>
      </c>
      <c r="U23" s="10">
        <f>(U12*U13)+(U19*U20*(1-U21))</f>
        <v>0</v>
      </c>
    </row>
    <row r="25" spans="1:35" ht="14.4" customHeight="1" x14ac:dyDescent="0.3">
      <c r="A25" s="16" t="s">
        <v>68</v>
      </c>
      <c r="B25" s="2" t="s">
        <v>4</v>
      </c>
      <c r="C25" s="2"/>
      <c r="D25" s="2"/>
      <c r="E25" s="2">
        <v>2021</v>
      </c>
      <c r="F25" s="2">
        <f>E25+1</f>
        <v>2022</v>
      </c>
      <c r="G25" s="2">
        <f>F25+1</f>
        <v>2023</v>
      </c>
      <c r="H25" s="2">
        <f>G25+1</f>
        <v>2024</v>
      </c>
      <c r="I25" s="2">
        <f>H25+1</f>
        <v>2025</v>
      </c>
      <c r="J25" s="3" t="s">
        <v>5</v>
      </c>
      <c r="K25" s="3" t="s">
        <v>6</v>
      </c>
      <c r="L25" s="3" t="s">
        <v>7</v>
      </c>
      <c r="M25" s="3" t="s">
        <v>8</v>
      </c>
      <c r="N25" s="3" t="s">
        <v>9</v>
      </c>
    </row>
    <row r="26" spans="1:35" s="21" customFormat="1" ht="1.95" customHeight="1" x14ac:dyDescent="0.3">
      <c r="B26" s="22"/>
      <c r="C26" s="22"/>
      <c r="D26" s="22"/>
      <c r="E26" s="22"/>
      <c r="F26" s="22"/>
      <c r="G26" s="22"/>
      <c r="H26" s="22"/>
      <c r="I26" s="22"/>
      <c r="J26" s="22"/>
      <c r="K26" s="22"/>
      <c r="L26" s="23"/>
      <c r="M26" s="23"/>
      <c r="N26" s="23"/>
      <c r="O26" s="23"/>
      <c r="P26" s="23"/>
      <c r="W26" s="1"/>
      <c r="X26" s="1"/>
      <c r="Y26" s="1"/>
      <c r="Z26" s="1"/>
      <c r="AA26" s="1"/>
      <c r="AB26" s="1"/>
    </row>
    <row r="27" spans="1:35" ht="14.4" customHeight="1" x14ac:dyDescent="0.3">
      <c r="B27" s="1" t="s">
        <v>10</v>
      </c>
      <c r="E27" s="12">
        <f>Segments!E6</f>
        <v>14156</v>
      </c>
      <c r="F27" s="12">
        <f>Segments!F6</f>
        <v>13744</v>
      </c>
      <c r="G27" s="12">
        <f>Segments!G6</f>
        <v>15474</v>
      </c>
      <c r="H27" s="12">
        <f>Segments!H6</f>
        <v>16315</v>
      </c>
      <c r="I27" s="12">
        <f>Segments!I6</f>
        <v>15503</v>
      </c>
      <c r="J27" s="24"/>
      <c r="K27" s="24"/>
      <c r="L27" s="24"/>
      <c r="M27" s="24"/>
      <c r="N27" s="24"/>
    </row>
    <row r="28" spans="1:35" ht="14.4" customHeight="1" x14ac:dyDescent="0.3">
      <c r="B28" s="5" t="s">
        <v>11</v>
      </c>
      <c r="C28" s="5"/>
      <c r="D28" s="5"/>
      <c r="E28" s="11"/>
      <c r="F28" s="11"/>
      <c r="G28" s="11"/>
      <c r="H28" s="11"/>
      <c r="I28" s="11"/>
      <c r="J28" s="11"/>
      <c r="K28" s="11"/>
      <c r="L28" s="11"/>
      <c r="M28" s="11"/>
      <c r="N28" s="11"/>
      <c r="T28"/>
    </row>
    <row r="29" spans="1:35" ht="14.4" customHeight="1" x14ac:dyDescent="0.3">
      <c r="B29" s="5"/>
      <c r="C29" s="5"/>
      <c r="D29" s="5"/>
      <c r="E29" s="11"/>
      <c r="F29" s="11"/>
      <c r="G29" s="11"/>
      <c r="H29" s="11"/>
      <c r="I29" s="11"/>
      <c r="J29" s="11"/>
      <c r="K29" s="11"/>
      <c r="L29" s="11"/>
      <c r="M29" s="11"/>
      <c r="N29" s="11"/>
      <c r="T29"/>
    </row>
    <row r="30" spans="1:35" ht="14.4" customHeight="1" x14ac:dyDescent="0.3">
      <c r="B30" s="1" t="s">
        <v>62</v>
      </c>
      <c r="E30" s="12"/>
      <c r="F30" s="12"/>
      <c r="G30" s="12"/>
      <c r="H30" s="12"/>
      <c r="I30" s="12"/>
      <c r="J30" s="8"/>
      <c r="K30" s="8"/>
      <c r="L30" s="8"/>
      <c r="M30" s="8"/>
      <c r="N30" s="8"/>
    </row>
    <row r="31" spans="1:35" ht="14.4" customHeight="1" x14ac:dyDescent="0.3">
      <c r="B31" s="5" t="s">
        <v>15</v>
      </c>
      <c r="E31" s="11"/>
      <c r="F31" s="11"/>
      <c r="G31" s="11"/>
      <c r="H31" s="11"/>
      <c r="I31" s="11"/>
      <c r="J31" s="11"/>
      <c r="K31" s="11"/>
      <c r="L31" s="11"/>
      <c r="M31" s="11"/>
      <c r="N31" s="11"/>
    </row>
    <row r="33" spans="1:16" ht="14.4" customHeight="1" x14ac:dyDescent="0.3">
      <c r="B33" s="1" t="s">
        <v>63</v>
      </c>
      <c r="E33" s="8"/>
      <c r="F33" s="8"/>
      <c r="G33" s="8"/>
      <c r="H33" s="8"/>
      <c r="I33" s="8"/>
      <c r="J33" s="8"/>
      <c r="K33" s="8"/>
      <c r="L33" s="8"/>
      <c r="M33" s="8"/>
      <c r="N33" s="8"/>
    </row>
    <row r="34" spans="1:16" ht="14.4" customHeight="1" x14ac:dyDescent="0.3">
      <c r="B34" s="5" t="s">
        <v>15</v>
      </c>
      <c r="E34" s="11"/>
      <c r="F34" s="11"/>
      <c r="G34" s="11"/>
      <c r="H34" s="11"/>
      <c r="I34" s="11"/>
      <c r="J34" s="11"/>
      <c r="K34" s="11"/>
      <c r="L34" s="11"/>
      <c r="M34" s="11"/>
      <c r="N34" s="11"/>
    </row>
    <row r="36" spans="1:16" ht="14.4" customHeight="1" x14ac:dyDescent="0.3">
      <c r="B36" s="1" t="s">
        <v>64</v>
      </c>
      <c r="E36" s="12"/>
      <c r="F36" s="12"/>
      <c r="G36" s="12"/>
      <c r="H36" s="12"/>
      <c r="I36" s="12"/>
      <c r="J36" s="8"/>
      <c r="K36" s="8"/>
      <c r="L36" s="8"/>
      <c r="M36" s="8"/>
      <c r="N36" s="8"/>
    </row>
    <row r="37" spans="1:16" ht="14.4" customHeight="1" x14ac:dyDescent="0.3">
      <c r="B37" s="5" t="s">
        <v>15</v>
      </c>
      <c r="E37" s="11"/>
      <c r="F37" s="11"/>
      <c r="G37" s="11"/>
      <c r="H37" s="11"/>
      <c r="I37" s="11"/>
      <c r="J37" s="11"/>
      <c r="K37" s="11"/>
      <c r="L37" s="11"/>
      <c r="M37" s="11"/>
      <c r="N37" s="11"/>
    </row>
    <row r="39" spans="1:16" ht="14.4" customHeight="1" x14ac:dyDescent="0.3">
      <c r="B39" s="1" t="s">
        <v>65</v>
      </c>
      <c r="E39" s="12"/>
      <c r="F39" s="12"/>
      <c r="G39" s="12"/>
      <c r="H39" s="12"/>
      <c r="I39" s="12"/>
      <c r="J39" s="8"/>
      <c r="K39" s="8"/>
      <c r="L39" s="8"/>
      <c r="M39" s="8"/>
      <c r="N39" s="8"/>
      <c r="P39" s="8"/>
    </row>
    <row r="40" spans="1:16" ht="14.4" customHeight="1" x14ac:dyDescent="0.3">
      <c r="B40" s="5" t="s">
        <v>15</v>
      </c>
      <c r="E40" s="11"/>
      <c r="F40" s="11"/>
      <c r="G40" s="11"/>
      <c r="H40" s="11"/>
      <c r="I40" s="11"/>
      <c r="J40" s="11"/>
      <c r="K40" s="11"/>
      <c r="L40" s="11"/>
      <c r="M40" s="11"/>
      <c r="N40" s="11"/>
    </row>
    <row r="42" spans="1:16" ht="14.4" customHeight="1" x14ac:dyDescent="0.3">
      <c r="B42" s="1" t="s">
        <v>12</v>
      </c>
      <c r="E42" s="8"/>
      <c r="F42" s="8"/>
      <c r="G42" s="8"/>
      <c r="H42" s="8"/>
      <c r="I42" s="8"/>
      <c r="J42" s="24"/>
      <c r="K42" s="24"/>
      <c r="L42" s="24"/>
      <c r="M42" s="24"/>
      <c r="N42" s="24"/>
    </row>
    <row r="43" spans="1:16" ht="14.4" customHeight="1" x14ac:dyDescent="0.3">
      <c r="A43" s="10"/>
      <c r="B43" s="5" t="s">
        <v>15</v>
      </c>
      <c r="E43" s="11"/>
      <c r="F43" s="11"/>
      <c r="G43" s="11"/>
      <c r="H43" s="11"/>
      <c r="I43" s="11"/>
      <c r="J43" s="11"/>
      <c r="K43" s="11"/>
      <c r="L43" s="11"/>
      <c r="M43" s="11"/>
      <c r="N43" s="11"/>
    </row>
    <row r="45" spans="1:16" ht="14.4" customHeight="1" x14ac:dyDescent="0.3">
      <c r="A45" s="10"/>
      <c r="B45" s="1" t="s">
        <v>13</v>
      </c>
      <c r="E45" s="12"/>
      <c r="F45" s="12"/>
      <c r="G45" s="12"/>
      <c r="H45" s="12"/>
      <c r="I45" s="12"/>
      <c r="J45" s="8"/>
      <c r="K45" s="8"/>
      <c r="L45" s="8"/>
      <c r="M45" s="8"/>
      <c r="N45" s="8"/>
    </row>
    <row r="46" spans="1:16" ht="14.4" customHeight="1" x14ac:dyDescent="0.3">
      <c r="A46" s="8"/>
      <c r="B46" s="5" t="s">
        <v>14</v>
      </c>
      <c r="E46" s="11"/>
      <c r="F46" s="11"/>
      <c r="G46" s="11"/>
      <c r="H46" s="11"/>
      <c r="I46" s="11"/>
      <c r="J46" s="11"/>
      <c r="K46" s="11"/>
      <c r="L46" s="11"/>
      <c r="M46" s="11"/>
      <c r="N46" s="11"/>
    </row>
    <row r="47" spans="1:16" ht="14.4" customHeight="1" x14ac:dyDescent="0.3">
      <c r="A47" s="8"/>
    </row>
    <row r="48" spans="1:16" ht="14.4" customHeight="1" x14ac:dyDescent="0.3">
      <c r="B48" s="1" t="s">
        <v>116</v>
      </c>
      <c r="E48" s="48"/>
      <c r="F48" s="48"/>
      <c r="G48" s="48"/>
      <c r="H48" s="48"/>
      <c r="I48" s="48"/>
      <c r="J48" s="49"/>
      <c r="K48" s="49"/>
      <c r="L48" s="49"/>
      <c r="M48" s="49"/>
      <c r="N48" s="49"/>
    </row>
    <row r="49" spans="1:28" ht="14.4" customHeight="1" x14ac:dyDescent="0.3">
      <c r="B49" s="5" t="s">
        <v>15</v>
      </c>
      <c r="E49" s="45"/>
      <c r="F49" s="45"/>
      <c r="G49" s="45"/>
      <c r="H49" s="45"/>
      <c r="I49" s="45"/>
      <c r="J49" s="45"/>
      <c r="K49" s="45"/>
      <c r="L49" s="45"/>
      <c r="M49" s="45"/>
      <c r="N49" s="45"/>
    </row>
    <row r="50" spans="1:28" ht="14.4" customHeight="1" x14ac:dyDescent="0.3">
      <c r="G50" s="8"/>
    </row>
    <row r="51" spans="1:28" ht="14.4" customHeight="1" x14ac:dyDescent="0.3">
      <c r="B51" s="1" t="s">
        <v>112</v>
      </c>
      <c r="E51" s="8"/>
      <c r="F51" s="8"/>
      <c r="G51" s="8"/>
      <c r="H51" s="8"/>
      <c r="I51" s="8"/>
      <c r="J51" s="8"/>
      <c r="K51" s="8"/>
      <c r="L51" s="8"/>
      <c r="M51" s="8"/>
      <c r="N51" s="8"/>
    </row>
    <row r="52" spans="1:28" ht="14.4" customHeight="1" x14ac:dyDescent="0.3">
      <c r="B52" s="5" t="s">
        <v>15</v>
      </c>
      <c r="E52" s="45"/>
      <c r="F52" s="45"/>
      <c r="G52" s="45"/>
      <c r="H52" s="45"/>
      <c r="I52" s="45"/>
      <c r="J52" s="45"/>
      <c r="K52" s="45"/>
      <c r="L52" s="45"/>
      <c r="M52" s="45"/>
      <c r="N52" s="45"/>
    </row>
    <row r="54" spans="1:28" ht="14.4" customHeight="1" x14ac:dyDescent="0.3">
      <c r="A54" s="16" t="s">
        <v>68</v>
      </c>
      <c r="B54" s="2" t="s">
        <v>16</v>
      </c>
      <c r="C54" s="2"/>
      <c r="D54" s="2"/>
      <c r="E54" s="2">
        <v>2021</v>
      </c>
      <c r="F54" s="2">
        <f>E54+1</f>
        <v>2022</v>
      </c>
      <c r="G54" s="2">
        <f>F54+1</f>
        <v>2023</v>
      </c>
      <c r="H54" s="2">
        <f>G54+1</f>
        <v>2024</v>
      </c>
      <c r="I54" s="2">
        <f>H54+1</f>
        <v>2025</v>
      </c>
      <c r="J54" s="3" t="s">
        <v>5</v>
      </c>
      <c r="K54" s="3" t="s">
        <v>6</v>
      </c>
      <c r="L54" s="3" t="s">
        <v>7</v>
      </c>
      <c r="M54" s="3" t="s">
        <v>8</v>
      </c>
      <c r="N54" s="3" t="s">
        <v>9</v>
      </c>
    </row>
    <row r="55" spans="1:28" s="21" customFormat="1" ht="1.95" customHeight="1" x14ac:dyDescent="0.3">
      <c r="B55" s="22"/>
      <c r="C55" s="22"/>
      <c r="D55" s="22"/>
      <c r="E55" s="22"/>
      <c r="F55" s="22"/>
      <c r="G55" s="22"/>
      <c r="H55" s="22"/>
      <c r="I55" s="22"/>
      <c r="J55" s="22"/>
      <c r="K55" s="22"/>
      <c r="L55" s="23"/>
      <c r="M55" s="23"/>
      <c r="N55" s="23"/>
      <c r="O55" s="23"/>
      <c r="P55" s="23"/>
      <c r="W55" s="1"/>
      <c r="X55" s="1"/>
      <c r="Y55" s="1"/>
      <c r="Z55" s="1"/>
      <c r="AA55" s="1"/>
      <c r="AB55" s="1"/>
    </row>
    <row r="56" spans="1:28" ht="14.4" customHeight="1" x14ac:dyDescent="0.3">
      <c r="B56" s="1" t="s">
        <v>17</v>
      </c>
      <c r="E56" s="12"/>
      <c r="F56" s="12"/>
      <c r="G56" s="12"/>
      <c r="H56" s="12"/>
      <c r="I56" s="12"/>
      <c r="J56" s="8"/>
      <c r="K56" s="8"/>
      <c r="L56" s="8"/>
      <c r="M56" s="8"/>
      <c r="N56" s="8"/>
    </row>
    <row r="57" spans="1:28" ht="14.4" customHeight="1" x14ac:dyDescent="0.3">
      <c r="B57" s="1" t="s">
        <v>15</v>
      </c>
      <c r="E57" s="11"/>
      <c r="F57" s="11"/>
      <c r="G57" s="11"/>
      <c r="H57" s="11"/>
      <c r="I57" s="11"/>
      <c r="J57" s="11"/>
      <c r="K57" s="11"/>
      <c r="L57" s="11"/>
      <c r="M57" s="11"/>
      <c r="N57" s="11"/>
    </row>
    <row r="58" spans="1:28" ht="14.4" customHeight="1" x14ac:dyDescent="0.3">
      <c r="B58" s="1" t="s">
        <v>33</v>
      </c>
      <c r="E58" s="11"/>
      <c r="F58" s="11"/>
      <c r="G58" s="11"/>
      <c r="H58" s="11"/>
      <c r="I58" s="11"/>
      <c r="J58" s="11"/>
      <c r="K58" s="11"/>
      <c r="L58" s="11"/>
      <c r="M58" s="11"/>
      <c r="N58" s="11"/>
    </row>
    <row r="60" spans="1:28" ht="14.4" customHeight="1" x14ac:dyDescent="0.3">
      <c r="B60" s="1" t="s">
        <v>18</v>
      </c>
      <c r="E60" s="12"/>
      <c r="F60" s="12"/>
      <c r="G60" s="12"/>
      <c r="H60" s="12"/>
      <c r="I60" s="12"/>
      <c r="J60" s="8"/>
      <c r="K60" s="8"/>
      <c r="L60" s="8"/>
      <c r="M60" s="8"/>
      <c r="N60" s="8"/>
      <c r="X60" s="8"/>
      <c r="Y60" s="8"/>
      <c r="Z60" s="8"/>
      <c r="AA60" s="8"/>
      <c r="AB60" s="8"/>
    </row>
    <row r="61" spans="1:28" ht="14.4" customHeight="1" x14ac:dyDescent="0.3">
      <c r="B61" s="1" t="s">
        <v>15</v>
      </c>
      <c r="E61" s="11"/>
      <c r="F61" s="11"/>
      <c r="G61" s="11"/>
      <c r="H61" s="11"/>
      <c r="I61" s="11"/>
      <c r="J61" s="11"/>
      <c r="K61" s="11"/>
      <c r="L61" s="11"/>
      <c r="M61" s="11"/>
      <c r="N61" s="11"/>
      <c r="X61" s="11"/>
      <c r="Y61" s="11"/>
      <c r="Z61" s="11"/>
      <c r="AA61" s="11"/>
      <c r="AB61" s="11"/>
    </row>
    <row r="62" spans="1:28" ht="14.4" customHeight="1" x14ac:dyDescent="0.3">
      <c r="B62" s="1" t="s">
        <v>115</v>
      </c>
      <c r="E62" s="11"/>
      <c r="F62" s="11"/>
      <c r="G62" s="11"/>
      <c r="H62" s="11"/>
      <c r="I62" s="11"/>
      <c r="J62" s="11"/>
      <c r="K62" s="11"/>
      <c r="L62" s="11"/>
      <c r="M62" s="11"/>
      <c r="N62" s="11"/>
      <c r="X62" s="11"/>
      <c r="Y62" s="11"/>
      <c r="Z62" s="11"/>
      <c r="AA62" s="11"/>
      <c r="AB62" s="11"/>
    </row>
    <row r="64" spans="1:28" ht="14.4" customHeight="1" x14ac:dyDescent="0.3">
      <c r="B64" s="1" t="s">
        <v>19</v>
      </c>
      <c r="E64" s="48"/>
      <c r="F64" s="48"/>
      <c r="G64" s="48"/>
      <c r="H64" s="48"/>
      <c r="I64" s="48"/>
      <c r="J64" s="13"/>
      <c r="K64" s="13"/>
      <c r="L64" s="13"/>
      <c r="M64" s="13"/>
      <c r="N64" s="13"/>
    </row>
    <row r="65" spans="1:14" ht="14.4" customHeight="1" x14ac:dyDescent="0.3">
      <c r="B65" s="1" t="s">
        <v>15</v>
      </c>
      <c r="E65" s="46"/>
      <c r="F65" s="46"/>
      <c r="G65" s="46"/>
      <c r="H65" s="46"/>
      <c r="I65" s="46"/>
      <c r="J65" s="46"/>
      <c r="K65" s="46"/>
      <c r="L65" s="46"/>
      <c r="M65" s="46"/>
      <c r="N65" s="46"/>
    </row>
    <row r="66" spans="1:14" ht="14.4" customHeight="1" x14ac:dyDescent="0.3">
      <c r="B66" s="1" t="s">
        <v>20</v>
      </c>
      <c r="E66" s="46"/>
      <c r="F66" s="46"/>
      <c r="G66" s="46"/>
      <c r="H66" s="46"/>
      <c r="I66" s="46"/>
      <c r="J66" s="46"/>
      <c r="K66" s="46"/>
      <c r="L66" s="46"/>
      <c r="M66" s="46"/>
      <c r="N66" s="46"/>
    </row>
    <row r="67" spans="1:14" ht="14.4" customHeight="1" x14ac:dyDescent="0.3">
      <c r="E67" s="46"/>
      <c r="F67" s="46"/>
      <c r="G67" s="46"/>
      <c r="H67" s="46"/>
      <c r="I67" s="46"/>
      <c r="J67" s="46"/>
      <c r="K67" s="46"/>
      <c r="L67" s="46"/>
      <c r="M67" s="46"/>
      <c r="N67" s="46"/>
    </row>
    <row r="68" spans="1:14" ht="14.4" customHeight="1" x14ac:dyDescent="0.3">
      <c r="B68" s="1" t="s">
        <v>75</v>
      </c>
      <c r="E68" s="12"/>
      <c r="F68" s="12"/>
      <c r="G68" s="12"/>
      <c r="H68" s="12"/>
      <c r="I68" s="12"/>
      <c r="J68" s="8"/>
      <c r="K68" s="8"/>
      <c r="L68" s="8"/>
      <c r="M68" s="8"/>
      <c r="N68" s="8"/>
    </row>
    <row r="69" spans="1:14" ht="14.4" customHeight="1" x14ac:dyDescent="0.3">
      <c r="B69" s="5" t="s">
        <v>15</v>
      </c>
      <c r="C69" s="5"/>
      <c r="D69" s="5"/>
      <c r="E69" s="11"/>
      <c r="F69" s="11"/>
      <c r="G69" s="11"/>
      <c r="H69" s="11"/>
      <c r="I69" s="11"/>
      <c r="J69" s="11"/>
      <c r="K69" s="11"/>
      <c r="L69" s="11"/>
      <c r="M69" s="11"/>
      <c r="N69" s="11"/>
    </row>
    <row r="70" spans="1:14" ht="14.4" customHeight="1" x14ac:dyDescent="0.3">
      <c r="E70" s="46"/>
      <c r="F70" s="46"/>
      <c r="G70" s="46"/>
      <c r="H70" s="46"/>
      <c r="I70" s="46"/>
      <c r="J70" s="46"/>
      <c r="K70" s="46"/>
      <c r="L70" s="46"/>
      <c r="M70" s="46"/>
      <c r="N70" s="46"/>
    </row>
    <row r="71" spans="1:14" ht="14.4" customHeight="1" x14ac:dyDescent="0.3">
      <c r="B71" s="1" t="s">
        <v>124</v>
      </c>
      <c r="E71" s="48"/>
      <c r="F71" s="48"/>
      <c r="G71" s="48"/>
      <c r="H71" s="48"/>
      <c r="I71" s="48"/>
      <c r="J71" s="49"/>
      <c r="K71" s="49"/>
      <c r="L71" s="49"/>
      <c r="M71" s="49"/>
      <c r="N71" s="49"/>
    </row>
    <row r="72" spans="1:14" ht="14.4" customHeight="1" x14ac:dyDescent="0.3">
      <c r="B72" s="5" t="s">
        <v>15</v>
      </c>
      <c r="E72" s="11"/>
      <c r="F72" s="11"/>
      <c r="G72" s="11"/>
      <c r="H72" s="11"/>
      <c r="I72" s="11"/>
      <c r="J72" s="11"/>
      <c r="K72" s="11"/>
      <c r="L72" s="11"/>
      <c r="M72" s="11"/>
      <c r="N72" s="11"/>
    </row>
    <row r="73" spans="1:14" ht="14.4" customHeight="1" x14ac:dyDescent="0.3">
      <c r="E73" s="11"/>
      <c r="F73" s="11"/>
      <c r="G73" s="11"/>
      <c r="H73" s="11"/>
      <c r="I73" s="11"/>
      <c r="J73" s="11"/>
      <c r="K73" s="11"/>
      <c r="L73" s="11"/>
      <c r="M73" s="11"/>
      <c r="N73" s="11"/>
    </row>
    <row r="74" spans="1:14" ht="14.4" customHeight="1" x14ac:dyDescent="0.3">
      <c r="B74" s="1" t="s">
        <v>125</v>
      </c>
      <c r="E74" s="48"/>
      <c r="F74" s="48"/>
      <c r="G74" s="48"/>
      <c r="H74" s="48"/>
      <c r="I74" s="48"/>
      <c r="J74" s="49"/>
      <c r="K74" s="49"/>
      <c r="L74" s="49"/>
      <c r="M74" s="49"/>
      <c r="N74" s="49"/>
    </row>
    <row r="75" spans="1:14" ht="14.4" customHeight="1" x14ac:dyDescent="0.3">
      <c r="B75" s="5" t="s">
        <v>15</v>
      </c>
      <c r="E75" s="46"/>
      <c r="F75" s="46"/>
      <c r="G75" s="46"/>
      <c r="H75" s="46"/>
      <c r="I75" s="46"/>
      <c r="J75" s="46"/>
      <c r="K75" s="46"/>
      <c r="L75" s="46"/>
      <c r="M75" s="46"/>
      <c r="N75" s="46"/>
    </row>
    <row r="77" spans="1:14" ht="14.4" customHeight="1" x14ac:dyDescent="0.3">
      <c r="B77" s="1" t="s">
        <v>80</v>
      </c>
      <c r="E77" s="8"/>
      <c r="F77" s="8"/>
      <c r="G77" s="8"/>
      <c r="H77" s="8"/>
      <c r="I77" s="8"/>
      <c r="J77" s="8"/>
      <c r="K77" s="8"/>
      <c r="L77" s="8"/>
      <c r="M77" s="8"/>
      <c r="N77" s="8"/>
    </row>
    <row r="78" spans="1:14" ht="14.4" customHeight="1" x14ac:dyDescent="0.3">
      <c r="B78" s="1" t="s">
        <v>15</v>
      </c>
      <c r="E78" s="11"/>
      <c r="F78" s="11"/>
      <c r="G78" s="11"/>
      <c r="H78" s="11"/>
      <c r="I78" s="11"/>
      <c r="J78" s="11"/>
      <c r="K78" s="11"/>
      <c r="L78" s="11"/>
      <c r="M78" s="11"/>
      <c r="N78" s="11"/>
    </row>
    <row r="80" spans="1:14" ht="14.4" customHeight="1" x14ac:dyDescent="0.3">
      <c r="A80" s="16" t="s">
        <v>68</v>
      </c>
      <c r="B80" s="2" t="s">
        <v>21</v>
      </c>
      <c r="C80" s="2"/>
      <c r="D80" s="2"/>
      <c r="E80" s="2">
        <v>2021</v>
      </c>
      <c r="F80" s="2">
        <f>E80+1</f>
        <v>2022</v>
      </c>
      <c r="G80" s="2">
        <f>F80+1</f>
        <v>2023</v>
      </c>
      <c r="H80" s="2">
        <f>G80+1</f>
        <v>2024</v>
      </c>
      <c r="I80" s="2">
        <f>H80+1</f>
        <v>2025</v>
      </c>
      <c r="J80" s="3" t="s">
        <v>5</v>
      </c>
      <c r="K80" s="3" t="s">
        <v>6</v>
      </c>
      <c r="L80" s="3" t="s">
        <v>7</v>
      </c>
      <c r="M80" s="3" t="s">
        <v>8</v>
      </c>
      <c r="N80" s="3" t="s">
        <v>9</v>
      </c>
    </row>
    <row r="81" spans="2:28" s="21" customFormat="1" ht="1.95" customHeight="1" x14ac:dyDescent="0.3">
      <c r="O81" s="23"/>
      <c r="P81" s="23"/>
      <c r="W81" s="1"/>
      <c r="X81" s="1"/>
      <c r="Y81" s="1"/>
      <c r="Z81" s="1"/>
      <c r="AA81" s="1"/>
      <c r="AB81" s="1"/>
    </row>
    <row r="82" spans="2:28" ht="14.4" customHeight="1" x14ac:dyDescent="0.3">
      <c r="B82" s="1" t="s">
        <v>10</v>
      </c>
      <c r="E82" s="8"/>
      <c r="F82" s="8"/>
      <c r="G82" s="8"/>
      <c r="H82" s="8"/>
      <c r="I82" s="8"/>
      <c r="J82" s="8"/>
      <c r="K82" s="8"/>
      <c r="L82" s="8"/>
      <c r="M82" s="8"/>
      <c r="N82" s="8"/>
    </row>
    <row r="83" spans="2:28" ht="14.4" customHeight="1" x14ac:dyDescent="0.3">
      <c r="B83" s="5" t="s">
        <v>11</v>
      </c>
      <c r="C83" s="5"/>
      <c r="D83" s="5"/>
      <c r="E83" s="11"/>
      <c r="F83" s="11"/>
      <c r="G83" s="11"/>
      <c r="H83" s="11"/>
      <c r="I83" s="11"/>
      <c r="J83" s="11"/>
      <c r="K83" s="11"/>
      <c r="L83" s="11"/>
      <c r="M83" s="11"/>
      <c r="N83" s="11"/>
    </row>
    <row r="84" spans="2:28" ht="14.4" customHeight="1" x14ac:dyDescent="0.3">
      <c r="E84" s="8"/>
      <c r="F84" s="8"/>
      <c r="G84" s="8"/>
      <c r="H84" s="8"/>
      <c r="I84" s="8"/>
      <c r="J84" s="8"/>
      <c r="K84" s="8"/>
      <c r="L84" s="8"/>
      <c r="M84" s="8"/>
      <c r="N84" s="8"/>
    </row>
    <row r="85" spans="2:28" ht="14.4" customHeight="1" x14ac:dyDescent="0.3">
      <c r="B85" s="1" t="s">
        <v>12</v>
      </c>
      <c r="E85" s="8"/>
      <c r="F85" s="8"/>
      <c r="G85" s="8"/>
      <c r="H85" s="8"/>
      <c r="I85" s="8"/>
      <c r="J85" s="8"/>
      <c r="K85" s="8"/>
      <c r="L85" s="8"/>
      <c r="M85" s="8"/>
      <c r="N85" s="8"/>
    </row>
    <row r="86" spans="2:28" ht="14.4" customHeight="1" x14ac:dyDescent="0.3">
      <c r="B86" s="5" t="s">
        <v>15</v>
      </c>
      <c r="C86" s="5"/>
      <c r="D86" s="5"/>
      <c r="E86" s="11"/>
      <c r="F86" s="11"/>
      <c r="G86" s="11"/>
      <c r="H86" s="11"/>
      <c r="I86" s="11"/>
      <c r="J86" s="11"/>
      <c r="K86" s="11"/>
      <c r="L86" s="11"/>
      <c r="M86" s="11"/>
      <c r="N86" s="11"/>
    </row>
    <row r="87" spans="2:28" ht="14.4" customHeight="1" x14ac:dyDescent="0.3">
      <c r="J87" s="8"/>
      <c r="K87" s="8"/>
      <c r="L87" s="8"/>
      <c r="M87" s="8"/>
      <c r="N87" s="8"/>
    </row>
    <row r="88" spans="2:28" ht="14.4" customHeight="1" x14ac:dyDescent="0.3">
      <c r="B88" s="1" t="s">
        <v>13</v>
      </c>
      <c r="E88" s="8"/>
      <c r="F88" s="8"/>
      <c r="G88" s="8"/>
      <c r="H88" s="8"/>
      <c r="I88" s="8"/>
      <c r="J88" s="8"/>
      <c r="K88" s="8"/>
      <c r="L88" s="8"/>
      <c r="M88" s="8"/>
      <c r="N88" s="8"/>
    </row>
    <row r="89" spans="2:28" ht="14.4" customHeight="1" x14ac:dyDescent="0.3">
      <c r="B89" s="5" t="s">
        <v>14</v>
      </c>
      <c r="C89" s="5"/>
      <c r="D89" s="5"/>
      <c r="E89" s="11"/>
      <c r="F89" s="11"/>
      <c r="G89" s="11"/>
      <c r="H89" s="11"/>
      <c r="I89" s="11"/>
      <c r="J89" s="11"/>
      <c r="K89" s="11"/>
      <c r="L89" s="11"/>
      <c r="M89" s="11"/>
      <c r="N89" s="11"/>
    </row>
    <row r="91" spans="2:28" ht="14.4" customHeight="1" x14ac:dyDescent="0.3">
      <c r="B91" s="32" t="s">
        <v>22</v>
      </c>
      <c r="C91" s="29"/>
      <c r="D91" s="29"/>
      <c r="E91" s="30"/>
      <c r="F91" s="30"/>
      <c r="G91" s="30"/>
      <c r="H91" s="30"/>
      <c r="I91" s="30"/>
      <c r="J91" s="30"/>
      <c r="K91" s="30"/>
      <c r="L91" s="30"/>
      <c r="M91" s="30"/>
      <c r="N91" s="31"/>
      <c r="P91" s="1">
        <f>48+42+35+30</f>
        <v>155</v>
      </c>
    </row>
    <row r="93" spans="2:28" ht="14.4" customHeight="1" x14ac:dyDescent="0.3">
      <c r="B93" s="1" t="s">
        <v>17</v>
      </c>
      <c r="E93" s="8"/>
      <c r="F93" s="8"/>
      <c r="G93" s="8"/>
      <c r="H93" s="8"/>
      <c r="I93" s="8"/>
      <c r="J93" s="8"/>
      <c r="K93" s="8"/>
      <c r="L93" s="8"/>
      <c r="M93" s="8"/>
      <c r="N93" s="8"/>
    </row>
    <row r="94" spans="2:28" ht="14.4" customHeight="1" x14ac:dyDescent="0.3">
      <c r="B94" s="5" t="s">
        <v>15</v>
      </c>
      <c r="C94" s="5"/>
      <c r="D94" s="5"/>
      <c r="E94" s="11"/>
      <c r="F94" s="11"/>
      <c r="G94" s="11"/>
      <c r="H94" s="11"/>
      <c r="I94" s="11"/>
      <c r="J94" s="11"/>
      <c r="K94" s="11"/>
      <c r="L94" s="11"/>
      <c r="M94" s="11"/>
      <c r="N94" s="11"/>
    </row>
    <row r="96" spans="2:28" ht="14.4" customHeight="1" x14ac:dyDescent="0.3">
      <c r="B96" s="1" t="s">
        <v>18</v>
      </c>
      <c r="E96" s="8"/>
      <c r="F96" s="8"/>
      <c r="G96" s="8"/>
      <c r="H96" s="8"/>
      <c r="I96" s="8"/>
      <c r="J96" s="8"/>
      <c r="K96" s="8"/>
      <c r="L96" s="8"/>
      <c r="M96" s="8"/>
      <c r="N96" s="8"/>
    </row>
    <row r="97" spans="1:28" ht="14.4" customHeight="1" x14ac:dyDescent="0.3">
      <c r="B97" s="5" t="s">
        <v>15</v>
      </c>
      <c r="C97" s="5"/>
      <c r="D97" s="5"/>
      <c r="E97" s="11"/>
      <c r="F97" s="11"/>
      <c r="G97" s="11"/>
      <c r="H97" s="11"/>
      <c r="I97" s="11"/>
      <c r="J97" s="11"/>
      <c r="K97" s="11"/>
      <c r="L97" s="11"/>
      <c r="M97" s="11"/>
      <c r="N97" s="11"/>
    </row>
    <row r="99" spans="1:28" ht="14.4" customHeight="1" x14ac:dyDescent="0.3">
      <c r="B99" s="1" t="s">
        <v>19</v>
      </c>
      <c r="E99" s="13"/>
      <c r="F99" s="13"/>
      <c r="G99" s="13"/>
      <c r="H99" s="13"/>
      <c r="I99" s="13"/>
      <c r="J99" s="13"/>
      <c r="K99" s="13"/>
      <c r="L99" s="13"/>
      <c r="M99" s="13"/>
      <c r="N99" s="13"/>
    </row>
    <row r="100" spans="1:28" ht="14.4" customHeight="1" x14ac:dyDescent="0.3">
      <c r="B100" s="5" t="s">
        <v>15</v>
      </c>
      <c r="C100" s="5"/>
      <c r="D100" s="5"/>
      <c r="E100" s="45"/>
      <c r="F100" s="45"/>
      <c r="G100" s="45"/>
      <c r="H100" s="45"/>
      <c r="I100" s="45"/>
      <c r="J100" s="45"/>
      <c r="K100" s="45"/>
      <c r="L100" s="45"/>
      <c r="M100" s="45"/>
      <c r="N100" s="45"/>
    </row>
    <row r="101" spans="1:28" ht="14.4" customHeight="1" x14ac:dyDescent="0.3">
      <c r="B101" s="5"/>
      <c r="C101" s="5"/>
      <c r="D101" s="5"/>
      <c r="E101" s="11"/>
      <c r="F101" s="11"/>
      <c r="G101" s="11"/>
      <c r="H101" s="11"/>
      <c r="I101" s="11"/>
      <c r="J101" s="11"/>
      <c r="K101" s="11"/>
      <c r="L101" s="11"/>
      <c r="M101" s="11"/>
      <c r="N101" s="11"/>
    </row>
    <row r="102" spans="1:28" ht="14.4" customHeight="1" x14ac:dyDescent="0.3">
      <c r="B102" s="1" t="s">
        <v>75</v>
      </c>
      <c r="E102" s="13"/>
      <c r="F102" s="13"/>
      <c r="G102" s="13"/>
      <c r="H102" s="13"/>
      <c r="I102" s="13"/>
      <c r="J102" s="13"/>
      <c r="K102" s="13"/>
      <c r="L102" s="13"/>
      <c r="M102" s="13"/>
      <c r="N102" s="13"/>
    </row>
    <row r="103" spans="1:28" ht="14.4" customHeight="1" x14ac:dyDescent="0.3">
      <c r="B103" s="5" t="s">
        <v>15</v>
      </c>
      <c r="C103" s="5"/>
      <c r="D103" s="5"/>
      <c r="E103" s="11"/>
      <c r="F103" s="11"/>
      <c r="G103" s="11"/>
      <c r="H103" s="11"/>
      <c r="I103" s="11"/>
      <c r="J103" s="11"/>
      <c r="K103" s="11"/>
      <c r="L103" s="11"/>
      <c r="M103" s="11"/>
      <c r="N103" s="11"/>
    </row>
    <row r="105" spans="1:28" ht="14.4" customHeight="1" x14ac:dyDescent="0.3">
      <c r="B105" s="1" t="s">
        <v>81</v>
      </c>
      <c r="E105" s="12"/>
      <c r="F105" s="12"/>
      <c r="G105" s="12"/>
      <c r="H105" s="12"/>
      <c r="I105" s="12"/>
      <c r="J105" s="8"/>
      <c r="K105" s="8"/>
      <c r="L105" s="8"/>
      <c r="M105" s="8"/>
      <c r="N105" s="8"/>
    </row>
    <row r="106" spans="1:28" ht="14.4" customHeight="1" x14ac:dyDescent="0.3">
      <c r="B106" s="5" t="s">
        <v>15</v>
      </c>
      <c r="C106" s="5"/>
      <c r="D106" s="5"/>
      <c r="E106" s="11"/>
      <c r="F106" s="11"/>
      <c r="G106" s="11"/>
      <c r="H106" s="11"/>
      <c r="I106" s="11"/>
      <c r="J106" s="11"/>
      <c r="K106" s="11"/>
      <c r="L106" s="11"/>
      <c r="M106" s="11"/>
      <c r="N106" s="11"/>
    </row>
    <row r="108" spans="1:28" ht="14.4" customHeight="1" x14ac:dyDescent="0.3">
      <c r="B108" s="1" t="s">
        <v>24</v>
      </c>
      <c r="J108" s="8"/>
      <c r="K108" s="8"/>
      <c r="L108" s="8"/>
      <c r="M108" s="8"/>
      <c r="N108" s="8"/>
    </row>
    <row r="110" spans="1:28" ht="14.4" customHeight="1" x14ac:dyDescent="0.3">
      <c r="A110" s="16" t="s">
        <v>68</v>
      </c>
      <c r="B110" s="2" t="s">
        <v>113</v>
      </c>
      <c r="C110" s="2"/>
      <c r="D110" s="2"/>
      <c r="E110" s="2">
        <v>2021</v>
      </c>
      <c r="F110" s="2">
        <f>E110+1</f>
        <v>2022</v>
      </c>
      <c r="G110" s="2">
        <f>F110+1</f>
        <v>2023</v>
      </c>
      <c r="H110" s="2">
        <f>G110+1</f>
        <v>2024</v>
      </c>
      <c r="I110" s="2">
        <f>H110+1</f>
        <v>2025</v>
      </c>
      <c r="J110" s="3" t="s">
        <v>5</v>
      </c>
      <c r="K110" s="3" t="s">
        <v>6</v>
      </c>
      <c r="L110" s="3" t="s">
        <v>7</v>
      </c>
      <c r="M110" s="3" t="s">
        <v>8</v>
      </c>
      <c r="N110" s="3" t="s">
        <v>9</v>
      </c>
    </row>
    <row r="111" spans="1:28" s="21" customFormat="1" ht="1.95" customHeight="1" x14ac:dyDescent="0.3">
      <c r="O111" s="23"/>
      <c r="P111" s="23"/>
      <c r="W111" s="1"/>
      <c r="X111" s="1"/>
      <c r="Y111" s="1"/>
      <c r="Z111" s="1"/>
      <c r="AA111" s="1"/>
      <c r="AB111" s="1"/>
    </row>
    <row r="112" spans="1:28" ht="14.4" customHeight="1" x14ac:dyDescent="0.3">
      <c r="B112" s="1" t="s">
        <v>114</v>
      </c>
      <c r="E112" s="47">
        <f t="shared" ref="E112:N112" si="3">E51/E118</f>
        <v>0</v>
      </c>
      <c r="F112" s="47">
        <f t="shared" si="3"/>
        <v>0</v>
      </c>
      <c r="G112" s="47">
        <f t="shared" si="3"/>
        <v>0</v>
      </c>
      <c r="H112" s="47">
        <f t="shared" si="3"/>
        <v>0</v>
      </c>
      <c r="I112" s="47">
        <f t="shared" si="3"/>
        <v>0</v>
      </c>
      <c r="J112" s="47">
        <f t="shared" si="3"/>
        <v>0</v>
      </c>
      <c r="K112" s="47">
        <f t="shared" si="3"/>
        <v>0</v>
      </c>
      <c r="L112" s="47">
        <f t="shared" si="3"/>
        <v>0</v>
      </c>
      <c r="M112" s="47">
        <f t="shared" si="3"/>
        <v>0</v>
      </c>
      <c r="N112" s="47">
        <f t="shared" si="3"/>
        <v>0</v>
      </c>
    </row>
    <row r="113" spans="2:14" ht="14.4" customHeight="1" x14ac:dyDescent="0.3">
      <c r="B113" s="5" t="s">
        <v>119</v>
      </c>
      <c r="E113" s="45"/>
      <c r="F113" s="45" t="e">
        <f t="shared" ref="F113:N113" si="4">(F112-E112)/E112</f>
        <v>#DIV/0!</v>
      </c>
      <c r="G113" s="45" t="e">
        <f t="shared" si="4"/>
        <v>#DIV/0!</v>
      </c>
      <c r="H113" s="45" t="e">
        <f t="shared" si="4"/>
        <v>#DIV/0!</v>
      </c>
      <c r="I113" s="45" t="e">
        <f t="shared" si="4"/>
        <v>#DIV/0!</v>
      </c>
      <c r="J113" s="45" t="e">
        <f t="shared" si="4"/>
        <v>#DIV/0!</v>
      </c>
      <c r="K113" s="45" t="e">
        <f t="shared" si="4"/>
        <v>#DIV/0!</v>
      </c>
      <c r="L113" s="45" t="e">
        <f t="shared" si="4"/>
        <v>#DIV/0!</v>
      </c>
      <c r="M113" s="45" t="e">
        <f t="shared" si="4"/>
        <v>#DIV/0!</v>
      </c>
      <c r="N113" s="45" t="e">
        <f t="shared" si="4"/>
        <v>#DIV/0!</v>
      </c>
    </row>
    <row r="115" spans="2:14" ht="14.4" customHeight="1" x14ac:dyDescent="0.3">
      <c r="B115" s="1" t="s">
        <v>117</v>
      </c>
      <c r="E115" s="47" t="e">
        <f t="shared" ref="E115:N115" si="5">E51/E121</f>
        <v>#DIV/0!</v>
      </c>
      <c r="F115" s="47" t="e">
        <f t="shared" si="5"/>
        <v>#DIV/0!</v>
      </c>
      <c r="G115" s="47" t="e">
        <f t="shared" si="5"/>
        <v>#DIV/0!</v>
      </c>
      <c r="H115" s="47" t="e">
        <f t="shared" si="5"/>
        <v>#DIV/0!</v>
      </c>
      <c r="I115" s="47" t="e">
        <f t="shared" si="5"/>
        <v>#DIV/0!</v>
      </c>
      <c r="J115" s="47" t="e">
        <f t="shared" si="5"/>
        <v>#DIV/0!</v>
      </c>
      <c r="K115" s="47" t="e">
        <f t="shared" si="5"/>
        <v>#DIV/0!</v>
      </c>
      <c r="L115" s="47" t="e">
        <f t="shared" si="5"/>
        <v>#DIV/0!</v>
      </c>
      <c r="M115" s="47" t="e">
        <f t="shared" si="5"/>
        <v>#DIV/0!</v>
      </c>
      <c r="N115" s="47" t="e">
        <f t="shared" si="5"/>
        <v>#DIV/0!</v>
      </c>
    </row>
    <row r="116" spans="2:14" ht="14.4" customHeight="1" x14ac:dyDescent="0.3">
      <c r="B116" s="5" t="s">
        <v>119</v>
      </c>
      <c r="E116" s="45"/>
      <c r="F116" s="45" t="e">
        <f t="shared" ref="F116:N116" si="6">(F115-E115)/E115</f>
        <v>#DIV/0!</v>
      </c>
      <c r="G116" s="45" t="e">
        <f t="shared" si="6"/>
        <v>#DIV/0!</v>
      </c>
      <c r="H116" s="45" t="e">
        <f t="shared" si="6"/>
        <v>#DIV/0!</v>
      </c>
      <c r="I116" s="45" t="e">
        <f t="shared" si="6"/>
        <v>#DIV/0!</v>
      </c>
      <c r="J116" s="45" t="e">
        <f t="shared" si="6"/>
        <v>#DIV/0!</v>
      </c>
      <c r="K116" s="45" t="e">
        <f t="shared" si="6"/>
        <v>#DIV/0!</v>
      </c>
      <c r="L116" s="45" t="e">
        <f t="shared" si="6"/>
        <v>#DIV/0!</v>
      </c>
      <c r="M116" s="45" t="e">
        <f t="shared" si="6"/>
        <v>#DIV/0!</v>
      </c>
      <c r="N116" s="45" t="e">
        <f t="shared" si="6"/>
        <v>#DIV/0!</v>
      </c>
    </row>
    <row r="118" spans="2:14" ht="14.4" customHeight="1" x14ac:dyDescent="0.3">
      <c r="B118" s="1" t="s">
        <v>48</v>
      </c>
      <c r="E118" s="13">
        <v>7547</v>
      </c>
      <c r="F118" s="13">
        <v>7496</v>
      </c>
      <c r="G118" s="13">
        <v>7446</v>
      </c>
      <c r="H118" s="13">
        <v>7431</v>
      </c>
      <c r="I118" s="13">
        <v>7433</v>
      </c>
      <c r="J118" s="13">
        <v>7425</v>
      </c>
      <c r="K118" s="13">
        <f>J118-5</f>
        <v>7420</v>
      </c>
      <c r="L118" s="13">
        <f>K118*0.998</f>
        <v>7405.16</v>
      </c>
      <c r="M118" s="13">
        <f>L118*0.998</f>
        <v>7390.3496800000003</v>
      </c>
      <c r="N118" s="13">
        <f>M118*0.998</f>
        <v>7375.5689806400005</v>
      </c>
    </row>
    <row r="119" spans="2:14" ht="14.4" customHeight="1" x14ac:dyDescent="0.3">
      <c r="B119" s="5" t="s">
        <v>119</v>
      </c>
      <c r="E119" s="45"/>
      <c r="F119" s="45">
        <f t="shared" ref="F119:N119" si="7">(F118-E118)/E118</f>
        <v>-6.7576520471710616E-3</v>
      </c>
      <c r="G119" s="45">
        <f t="shared" si="7"/>
        <v>-6.6702241195304166E-3</v>
      </c>
      <c r="H119" s="45">
        <f t="shared" si="7"/>
        <v>-2.01450443190975E-3</v>
      </c>
      <c r="I119" s="45">
        <f t="shared" si="7"/>
        <v>2.6914278024491994E-4</v>
      </c>
      <c r="J119" s="45">
        <f t="shared" si="7"/>
        <v>-1.0762814475985471E-3</v>
      </c>
      <c r="K119" s="45">
        <f t="shared" si="7"/>
        <v>-6.7340067340067344E-4</v>
      </c>
      <c r="L119" s="45">
        <f t="shared" si="7"/>
        <v>-2.0000000000000196E-3</v>
      </c>
      <c r="M119" s="45">
        <f t="shared" si="7"/>
        <v>-1.999999999999945E-3</v>
      </c>
      <c r="N119" s="45">
        <f t="shared" si="7"/>
        <v>-1.9999999999999653E-3</v>
      </c>
    </row>
    <row r="120" spans="2:14" ht="14.4" customHeight="1" x14ac:dyDescent="0.3">
      <c r="B120" s="5"/>
      <c r="E120" s="45"/>
      <c r="F120" s="45"/>
      <c r="G120" s="45"/>
      <c r="H120" s="45"/>
      <c r="I120" s="45"/>
      <c r="J120" s="45"/>
      <c r="K120" s="45"/>
      <c r="L120" s="45"/>
      <c r="M120" s="45"/>
      <c r="N120" s="45"/>
    </row>
    <row r="121" spans="2:14" ht="14.4" customHeight="1" x14ac:dyDescent="0.3">
      <c r="B121" s="1" t="s">
        <v>118</v>
      </c>
      <c r="E121" s="28">
        <f t="shared" ref="E121:K121" si="8">E18</f>
        <v>0</v>
      </c>
      <c r="F121" s="28">
        <f t="shared" si="8"/>
        <v>0</v>
      </c>
      <c r="G121" s="28">
        <f t="shared" si="8"/>
        <v>0</v>
      </c>
      <c r="H121" s="28">
        <f t="shared" si="8"/>
        <v>0</v>
      </c>
      <c r="I121" s="28">
        <f t="shared" si="8"/>
        <v>0</v>
      </c>
      <c r="J121" s="28">
        <f t="shared" si="8"/>
        <v>0</v>
      </c>
      <c r="K121" s="28">
        <f t="shared" si="8"/>
        <v>0</v>
      </c>
      <c r="L121" s="8">
        <f>K121*0.998</f>
        <v>0</v>
      </c>
      <c r="M121" s="8">
        <f>L121*0.998</f>
        <v>0</v>
      </c>
      <c r="N121" s="8">
        <f>M121*0.998</f>
        <v>0</v>
      </c>
    </row>
    <row r="122" spans="2:14" ht="14.4" customHeight="1" x14ac:dyDescent="0.3">
      <c r="B122" s="5" t="s">
        <v>119</v>
      </c>
      <c r="E122" s="45"/>
      <c r="F122" s="45" t="e">
        <f t="shared" ref="F122:N122" si="9">(F121-E121)/E121</f>
        <v>#DIV/0!</v>
      </c>
      <c r="G122" s="45" t="e">
        <f t="shared" si="9"/>
        <v>#DIV/0!</v>
      </c>
      <c r="H122" s="45" t="e">
        <f t="shared" si="9"/>
        <v>#DIV/0!</v>
      </c>
      <c r="I122" s="45" t="e">
        <f t="shared" si="9"/>
        <v>#DIV/0!</v>
      </c>
      <c r="J122" s="45" t="e">
        <f t="shared" si="9"/>
        <v>#DIV/0!</v>
      </c>
      <c r="K122" s="45" t="e">
        <f t="shared" si="9"/>
        <v>#DIV/0!</v>
      </c>
      <c r="L122" s="45" t="e">
        <f t="shared" si="9"/>
        <v>#DIV/0!</v>
      </c>
      <c r="M122" s="45" t="e">
        <f t="shared" si="9"/>
        <v>#DIV/0!</v>
      </c>
      <c r="N122" s="45" t="e">
        <f t="shared" si="9"/>
        <v>#DIV/0!</v>
      </c>
    </row>
    <row r="124" spans="2:14" ht="14.4" customHeight="1" x14ac:dyDescent="0.3">
      <c r="B124" s="1" t="s">
        <v>120</v>
      </c>
      <c r="E124" s="50" t="e">
        <f>E17/E112</f>
        <v>#DIV/0!</v>
      </c>
      <c r="F124" s="50" t="e">
        <f>F17/F112</f>
        <v>#DIV/0!</v>
      </c>
      <c r="G124" s="50" t="e">
        <f>G17/G112</f>
        <v>#DIV/0!</v>
      </c>
      <c r="H124" s="50" t="e">
        <f>H17/H112</f>
        <v>#DIV/0!</v>
      </c>
      <c r="I124" s="50" t="e">
        <f>I17/I112</f>
        <v>#DIV/0!</v>
      </c>
      <c r="J124" s="52" t="e">
        <f ca="1">$E$9/J112</f>
        <v>#DIV/0!</v>
      </c>
      <c r="K124" s="52" t="e">
        <f t="shared" ref="K124:N124" ca="1" si="10">$E$9/K112</f>
        <v>#DIV/0!</v>
      </c>
      <c r="L124" s="52" t="e">
        <f t="shared" ca="1" si="10"/>
        <v>#DIV/0!</v>
      </c>
      <c r="M124" s="52" t="e">
        <f t="shared" ca="1" si="10"/>
        <v>#DIV/0!</v>
      </c>
      <c r="N124" s="52" t="e">
        <f t="shared" ca="1" si="10"/>
        <v>#DIV/0!</v>
      </c>
    </row>
    <row r="125" spans="2:14" ht="14.4" customHeight="1" x14ac:dyDescent="0.3">
      <c r="B125" s="1" t="s">
        <v>83</v>
      </c>
      <c r="E125" s="51" t="e">
        <f>E17/(E42/E121)</f>
        <v>#DIV/0!</v>
      </c>
      <c r="F125" s="51" t="e">
        <f>F17/(F42/F121)</f>
        <v>#DIV/0!</v>
      </c>
      <c r="G125" s="51" t="e">
        <f>G17/(G42/G121)</f>
        <v>#DIV/0!</v>
      </c>
      <c r="H125" s="51" t="e">
        <f>H17/(H42/H121)</f>
        <v>#DIV/0!</v>
      </c>
      <c r="I125" s="51" t="e">
        <f>I17/(I42/I121)</f>
        <v>#DIV/0!</v>
      </c>
      <c r="J125" s="53" t="e">
        <f ca="1">$E$9/(J42/J121)</f>
        <v>#DIV/0!</v>
      </c>
      <c r="K125" s="53" t="e">
        <f ca="1">$E$9/(K42/K121)</f>
        <v>#DIV/0!</v>
      </c>
      <c r="L125" s="53" t="e">
        <f ca="1">$E$9/(L42/L121)</f>
        <v>#DIV/0!</v>
      </c>
      <c r="M125" s="53" t="e">
        <f ca="1">$E$9/(M42/M121)</f>
        <v>#DIV/0!</v>
      </c>
      <c r="N125" s="53" t="e">
        <f ca="1">$E$9/(N42/N121)</f>
        <v>#DIV/0!</v>
      </c>
    </row>
    <row r="126" spans="2:14" ht="14.4" customHeight="1" x14ac:dyDescent="0.3">
      <c r="B126" s="1" t="s">
        <v>121</v>
      </c>
      <c r="E126" s="51" t="e">
        <f>E17/((E42+E56)/E121)</f>
        <v>#DIV/0!</v>
      </c>
      <c r="F126" s="51" t="e">
        <f>F17/((F42+F56)/F121)</f>
        <v>#DIV/0!</v>
      </c>
      <c r="G126" s="51" t="e">
        <f>G17/((G42+G56)/G121)</f>
        <v>#DIV/0!</v>
      </c>
      <c r="H126" s="51" t="e">
        <f>H17/((H42+H56)/H121)</f>
        <v>#DIV/0!</v>
      </c>
      <c r="I126" s="51" t="e">
        <f>I17/((I42+I56)/I121)</f>
        <v>#DIV/0!</v>
      </c>
      <c r="J126" s="53" t="e">
        <f ca="1">$E$9/((J42+J56)/J121)</f>
        <v>#DIV/0!</v>
      </c>
      <c r="K126" s="53" t="e">
        <f ca="1">$E$9/((K42+K56)/K121)</f>
        <v>#DIV/0!</v>
      </c>
      <c r="L126" s="53" t="e">
        <f ca="1">$E$9/((L42+L56)/L121)</f>
        <v>#DIV/0!</v>
      </c>
      <c r="M126" s="53" t="e">
        <f ca="1">$E$9/((M42+M56)/M121)</f>
        <v>#DIV/0!</v>
      </c>
      <c r="N126" s="53" t="e">
        <f ca="1">$E$9/((N42+N56)/N121)</f>
        <v>#DIV/0!</v>
      </c>
    </row>
    <row r="127" spans="2:14" ht="14.4" customHeight="1" x14ac:dyDescent="0.3">
      <c r="B127" s="1" t="s">
        <v>122</v>
      </c>
      <c r="E127" s="51" t="e">
        <f>E17/(E27/E121)</f>
        <v>#DIV/0!</v>
      </c>
      <c r="F127" s="51" t="e">
        <f>F17/(F27/F121)</f>
        <v>#DIV/0!</v>
      </c>
      <c r="G127" s="51" t="e">
        <f>G17/(G27/G121)</f>
        <v>#DIV/0!</v>
      </c>
      <c r="H127" s="51" t="e">
        <f>H17/(H27/H121)</f>
        <v>#DIV/0!</v>
      </c>
      <c r="I127" s="51" t="e">
        <f>I17/(I27/I121)</f>
        <v>#DIV/0!</v>
      </c>
      <c r="J127" s="53" t="e">
        <f ca="1">$E$9/(J27/J121)</f>
        <v>#DIV/0!</v>
      </c>
      <c r="K127" s="53" t="e">
        <f ca="1">$E$9/(K27/K121)</f>
        <v>#DIV/0!</v>
      </c>
      <c r="L127" s="53" t="e">
        <f ca="1">$E$9/(L27/L121)</f>
        <v>#DIV/0!</v>
      </c>
      <c r="M127" s="53" t="e">
        <f ca="1">$E$9/(M27/M121)</f>
        <v>#DIV/0!</v>
      </c>
      <c r="N127" s="53" t="e">
        <f ca="1">$E$9/(N27/N121)</f>
        <v>#DIV/0!</v>
      </c>
    </row>
    <row r="128" spans="2:14" ht="14.4" customHeight="1" x14ac:dyDescent="0.3">
      <c r="B128" s="1" t="s">
        <v>123</v>
      </c>
      <c r="E128" s="51" t="e">
        <f>E17/(E105/E121)</f>
        <v>#DIV/0!</v>
      </c>
      <c r="F128" s="51" t="e">
        <f>F17/(F105/F121)</f>
        <v>#DIV/0!</v>
      </c>
      <c r="G128" s="51" t="e">
        <f>G17/(G105/G121)</f>
        <v>#DIV/0!</v>
      </c>
      <c r="H128" s="51" t="e">
        <f>H17/(H105/H121)</f>
        <v>#DIV/0!</v>
      </c>
      <c r="I128" s="51" t="e">
        <f>I17/(I105/I121)</f>
        <v>#DIV/0!</v>
      </c>
      <c r="J128" s="53" t="e">
        <f ca="1">$E$9/(J105/J121)</f>
        <v>#DIV/0!</v>
      </c>
      <c r="K128" s="53" t="e">
        <f ca="1">$E$9/(K105/K121)</f>
        <v>#DIV/0!</v>
      </c>
      <c r="L128" s="53" t="e">
        <f ca="1">$E$9/(L105/L121)</f>
        <v>#DIV/0!</v>
      </c>
      <c r="M128" s="53" t="e">
        <f ca="1">$E$9/(M105/M121)</f>
        <v>#DIV/0!</v>
      </c>
      <c r="N128" s="53" t="e">
        <f ca="1">$E$9/(N105/N121)</f>
        <v>#DIV/0!</v>
      </c>
    </row>
  </sheetData>
  <mergeCells count="9">
    <mergeCell ref="W13:X13"/>
    <mergeCell ref="I7:K7"/>
    <mergeCell ref="I12:K12"/>
    <mergeCell ref="T11:U11"/>
    <mergeCell ref="T22:U22"/>
    <mergeCell ref="I11:K11"/>
    <mergeCell ref="I10:K10"/>
    <mergeCell ref="I9:K9"/>
    <mergeCell ref="I8:K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5404-CFD8-42AD-A5C0-D87AA0FAB861}">
  <dimension ref="A2:V82"/>
  <sheetViews>
    <sheetView showGridLines="0" topLeftCell="A60" zoomScale="115" zoomScaleNormal="115" zoomScaleSheetLayoutView="100" workbookViewId="0">
      <selection activeCell="K87" sqref="K87"/>
    </sheetView>
  </sheetViews>
  <sheetFormatPr defaultColWidth="8.69921875" defaultRowHeight="14.4" customHeight="1" x14ac:dyDescent="0.3"/>
  <cols>
    <col min="1" max="4" width="8.69921875" style="1"/>
    <col min="5" max="5" width="8.69921875" style="1" customWidth="1"/>
    <col min="6" max="11" width="8.69921875" style="1"/>
    <col min="12" max="12" width="8.69921875" style="1" customWidth="1"/>
    <col min="13" max="14" width="8.69921875" style="1" bestFit="1" customWidth="1"/>
    <col min="15" max="16384" width="8.69921875" style="1"/>
  </cols>
  <sheetData>
    <row r="2" spans="1:22" ht="14.4" customHeight="1" x14ac:dyDescent="0.3">
      <c r="B2" s="1" t="s">
        <v>67</v>
      </c>
      <c r="M2" s="5" t="s">
        <v>50</v>
      </c>
    </row>
    <row r="4" spans="1:22" ht="14.4" customHeight="1" x14ac:dyDescent="0.3">
      <c r="A4" s="27" t="s">
        <v>68</v>
      </c>
      <c r="B4" s="2" t="s">
        <v>136</v>
      </c>
      <c r="C4" s="2"/>
      <c r="D4" s="54"/>
      <c r="E4" s="2">
        <v>2021</v>
      </c>
      <c r="F4" s="2">
        <f>E4+1</f>
        <v>2022</v>
      </c>
      <c r="G4" s="2">
        <f>F4+1</f>
        <v>2023</v>
      </c>
      <c r="H4" s="2">
        <f>G4+1</f>
        <v>2024</v>
      </c>
      <c r="I4" s="2">
        <f>H4+1</f>
        <v>2025</v>
      </c>
      <c r="J4" s="3" t="s">
        <v>5</v>
      </c>
      <c r="K4" s="3" t="s">
        <v>6</v>
      </c>
      <c r="L4" s="3" t="s">
        <v>7</v>
      </c>
      <c r="M4" s="3" t="s">
        <v>8</v>
      </c>
      <c r="N4" s="3" t="s">
        <v>9</v>
      </c>
      <c r="Q4" s="8"/>
      <c r="S4" s="12"/>
    </row>
    <row r="5" spans="1:22" s="21" customFormat="1" ht="1.95" customHeight="1" x14ac:dyDescent="0.3">
      <c r="B5" s="22"/>
      <c r="C5" s="22"/>
      <c r="D5" s="22"/>
      <c r="E5" s="22"/>
      <c r="F5" s="22"/>
      <c r="G5" s="22"/>
      <c r="H5" s="22"/>
      <c r="I5" s="22"/>
      <c r="J5" s="22"/>
      <c r="K5" s="22"/>
      <c r="L5" s="23"/>
      <c r="M5" s="23"/>
      <c r="N5" s="23"/>
      <c r="O5" s="23"/>
      <c r="P5" s="23"/>
    </row>
    <row r="6" spans="1:22" ht="14.4" customHeight="1" x14ac:dyDescent="0.3">
      <c r="B6" s="4" t="s">
        <v>43</v>
      </c>
      <c r="D6" s="59"/>
      <c r="E6" s="59">
        <f t="shared" ref="E6" si="0">SUM(E9,E13,E17,E21)</f>
        <v>14156</v>
      </c>
      <c r="F6" s="59">
        <v>13744</v>
      </c>
      <c r="G6" s="59">
        <v>15474</v>
      </c>
      <c r="H6" s="59">
        <v>16315</v>
      </c>
      <c r="I6" s="59">
        <v>15503</v>
      </c>
      <c r="J6" s="59">
        <f>SUM(J9,J13,J17,J21)</f>
        <v>16000.64</v>
      </c>
      <c r="K6" s="59">
        <f>SUM(K9,K13,K17,K21)</f>
        <v>17479.271199999999</v>
      </c>
      <c r="L6" s="59">
        <f>SUM(L9,L13,L17,L21)</f>
        <v>18926.813440000002</v>
      </c>
      <c r="R6" s="8"/>
      <c r="T6" s="8"/>
    </row>
    <row r="7" spans="1:22" ht="14.4" customHeight="1" x14ac:dyDescent="0.3">
      <c r="B7" s="5" t="s">
        <v>11</v>
      </c>
      <c r="E7" s="58"/>
      <c r="F7" s="58">
        <f t="shared" ref="F7:L7" si="1">(F6-E6)/E6</f>
        <v>-2.9104266742017521E-2</v>
      </c>
      <c r="G7" s="58">
        <f t="shared" si="1"/>
        <v>0.12587310826542492</v>
      </c>
      <c r="H7" s="58">
        <f t="shared" si="1"/>
        <v>5.4349230968075479E-2</v>
      </c>
      <c r="I7" s="58">
        <f t="shared" si="1"/>
        <v>-4.9770150168556543E-2</v>
      </c>
      <c r="J7" s="58">
        <f t="shared" si="1"/>
        <v>3.2099593627039888E-2</v>
      </c>
      <c r="K7" s="58">
        <f t="shared" si="1"/>
        <v>9.2410753569857201E-2</v>
      </c>
      <c r="L7" s="58">
        <f t="shared" si="1"/>
        <v>8.2814793788427668E-2</v>
      </c>
      <c r="R7" s="8"/>
      <c r="T7" s="8"/>
    </row>
    <row r="8" spans="1:22" ht="14.4" customHeight="1" x14ac:dyDescent="0.3">
      <c r="R8" s="8"/>
      <c r="T8" s="8"/>
    </row>
    <row r="9" spans="1:22" ht="14.4" customHeight="1" x14ac:dyDescent="0.3">
      <c r="B9" s="1" t="s">
        <v>130</v>
      </c>
      <c r="D9" s="60"/>
      <c r="E9" s="60">
        <v>4956</v>
      </c>
      <c r="F9" s="60">
        <v>5872</v>
      </c>
      <c r="G9" s="60">
        <v>6307</v>
      </c>
      <c r="H9" s="60">
        <v>5976</v>
      </c>
      <c r="I9" s="60">
        <v>3554</v>
      </c>
      <c r="J9" s="61">
        <f>I9*0.96</f>
        <v>3411.8399999999997</v>
      </c>
      <c r="K9" s="61">
        <f>J9*1.18</f>
        <v>4025.9711999999995</v>
      </c>
      <c r="L9" s="61">
        <f>K9*1.2</f>
        <v>4831.1654399999989</v>
      </c>
      <c r="R9" s="8"/>
      <c r="T9" s="8"/>
    </row>
    <row r="10" spans="1:22" ht="14.4" customHeight="1" x14ac:dyDescent="0.3">
      <c r="B10" s="5" t="s">
        <v>131</v>
      </c>
      <c r="D10" s="58"/>
      <c r="E10" s="67">
        <f t="shared" ref="E10:L10" si="2">E9/E$6</f>
        <v>0.35009889799378358</v>
      </c>
      <c r="F10" s="67">
        <f t="shared" si="2"/>
        <v>0.42724097788125726</v>
      </c>
      <c r="G10" s="67">
        <f t="shared" si="2"/>
        <v>0.40758691999483004</v>
      </c>
      <c r="H10" s="67">
        <f t="shared" si="2"/>
        <v>0.36628869138829301</v>
      </c>
      <c r="I10" s="67">
        <f t="shared" si="2"/>
        <v>0.2292459523963104</v>
      </c>
      <c r="J10" s="67">
        <f t="shared" si="2"/>
        <v>0.21323147074117035</v>
      </c>
      <c r="K10" s="67">
        <f t="shared" si="2"/>
        <v>0.23032832169798931</v>
      </c>
      <c r="L10" s="67">
        <f t="shared" si="2"/>
        <v>0.25525508851848216</v>
      </c>
      <c r="T10" s="8"/>
    </row>
    <row r="11" spans="1:22" ht="14.4" customHeight="1" x14ac:dyDescent="0.3">
      <c r="B11" s="5" t="s">
        <v>11</v>
      </c>
      <c r="E11" s="67"/>
      <c r="F11" s="67">
        <f t="shared" ref="F11:K11" si="3">(F9-E9)/E9</f>
        <v>0.1848264729620662</v>
      </c>
      <c r="G11" s="67">
        <f t="shared" si="3"/>
        <v>7.408038147138965E-2</v>
      </c>
      <c r="H11" s="67">
        <f t="shared" si="3"/>
        <v>-5.2481369906453149E-2</v>
      </c>
      <c r="I11" s="67">
        <f t="shared" si="3"/>
        <v>-0.40528781793842034</v>
      </c>
      <c r="J11" s="67">
        <f t="shared" si="3"/>
        <v>-4.0000000000000084E-2</v>
      </c>
      <c r="K11" s="67">
        <f t="shared" si="3"/>
        <v>0.17999999999999997</v>
      </c>
      <c r="L11" s="67">
        <f t="shared" ref="L11" si="4">(L9-K9)/K9</f>
        <v>0.19999999999999987</v>
      </c>
      <c r="S11" s="8"/>
    </row>
    <row r="12" spans="1:22" ht="14.4" customHeight="1" x14ac:dyDescent="0.3">
      <c r="R12" s="8"/>
      <c r="S12" s="10"/>
    </row>
    <row r="13" spans="1:22" ht="14.4" customHeight="1" x14ac:dyDescent="0.3">
      <c r="B13" s="1" t="s">
        <v>134</v>
      </c>
      <c r="D13" s="60"/>
      <c r="E13" s="60">
        <v>4416</v>
      </c>
      <c r="F13" s="60">
        <v>3921</v>
      </c>
      <c r="G13" s="60">
        <v>5262</v>
      </c>
      <c r="H13" s="60">
        <v>7239</v>
      </c>
      <c r="I13" s="60">
        <v>9200</v>
      </c>
      <c r="J13" s="61">
        <f>I13*1.1</f>
        <v>10120</v>
      </c>
      <c r="K13" s="61">
        <f>J13*1.08</f>
        <v>10929.6</v>
      </c>
      <c r="L13" s="61">
        <f>K13*1.05</f>
        <v>11476.080000000002</v>
      </c>
      <c r="R13" s="8"/>
      <c r="S13" s="8"/>
      <c r="T13" s="8"/>
      <c r="U13" s="8"/>
      <c r="V13" s="8"/>
    </row>
    <row r="14" spans="1:22" ht="14.4" customHeight="1" x14ac:dyDescent="0.3">
      <c r="B14" s="5" t="s">
        <v>131</v>
      </c>
      <c r="E14" s="67">
        <f t="shared" ref="E14:L14" si="5">E13/E$6</f>
        <v>0.31195252896298387</v>
      </c>
      <c r="F14" s="67">
        <f t="shared" si="5"/>
        <v>0.28528812572759021</v>
      </c>
      <c r="G14" s="67">
        <f t="shared" si="5"/>
        <v>0.34005428460643661</v>
      </c>
      <c r="H14" s="67">
        <f t="shared" si="5"/>
        <v>0.44370211461844927</v>
      </c>
      <c r="I14" s="67">
        <f t="shared" si="5"/>
        <v>0.59343352899438817</v>
      </c>
      <c r="J14" s="67">
        <f t="shared" si="5"/>
        <v>0.63247470101195957</v>
      </c>
      <c r="K14" s="67">
        <f t="shared" si="5"/>
        <v>0.62528922830604061</v>
      </c>
      <c r="L14" s="67">
        <f t="shared" si="5"/>
        <v>0.60633978542560207</v>
      </c>
      <c r="R14" s="10"/>
      <c r="S14" s="10"/>
    </row>
    <row r="15" spans="1:22" ht="14.4" customHeight="1" x14ac:dyDescent="0.3">
      <c r="B15" s="5" t="s">
        <v>11</v>
      </c>
      <c r="E15" s="67"/>
      <c r="F15" s="67">
        <f t="shared" ref="F15:K15" si="6">(F13-E13)/E13</f>
        <v>-0.11209239130434782</v>
      </c>
      <c r="G15" s="67">
        <f t="shared" si="6"/>
        <v>0.34200459066564654</v>
      </c>
      <c r="H15" s="67">
        <f t="shared" si="6"/>
        <v>0.37571265678449262</v>
      </c>
      <c r="I15" s="67">
        <f t="shared" si="6"/>
        <v>0.27089376985771513</v>
      </c>
      <c r="J15" s="67">
        <f t="shared" si="6"/>
        <v>0.1</v>
      </c>
      <c r="K15" s="67">
        <f t="shared" si="6"/>
        <v>8.0000000000000029E-2</v>
      </c>
      <c r="L15" s="67">
        <f t="shared" ref="L15" si="7">(L13-K13)/K13</f>
        <v>5.0000000000000128E-2</v>
      </c>
      <c r="R15" s="8"/>
      <c r="S15" s="10"/>
    </row>
    <row r="16" spans="1:22" ht="14.4" customHeight="1" x14ac:dyDescent="0.3">
      <c r="R16" s="8"/>
      <c r="S16" s="10"/>
    </row>
    <row r="17" spans="1:19" ht="14.4" customHeight="1" x14ac:dyDescent="0.3">
      <c r="B17" s="1" t="s">
        <v>132</v>
      </c>
      <c r="D17" s="60"/>
      <c r="E17" s="60">
        <v>3063</v>
      </c>
      <c r="F17" s="60">
        <v>2289</v>
      </c>
      <c r="G17" s="60">
        <v>2655</v>
      </c>
      <c r="H17" s="60">
        <v>2594</v>
      </c>
      <c r="I17" s="60">
        <v>2720</v>
      </c>
      <c r="J17" s="61">
        <f>I17*0.9</f>
        <v>2448</v>
      </c>
      <c r="K17" s="61">
        <f>J17*1.025</f>
        <v>2509.1999999999998</v>
      </c>
      <c r="L17" s="61">
        <f>K17*1.04</f>
        <v>2609.5679999999998</v>
      </c>
      <c r="R17" s="8"/>
      <c r="S17" s="10"/>
    </row>
    <row r="18" spans="1:19" ht="14.4" customHeight="1" x14ac:dyDescent="0.3">
      <c r="B18" s="5" t="s">
        <v>131</v>
      </c>
      <c r="E18" s="67">
        <f t="shared" ref="E18:L18" si="8">E17/E$6</f>
        <v>0.2163746821135914</v>
      </c>
      <c r="F18" s="67">
        <f t="shared" si="8"/>
        <v>0.16654540162980211</v>
      </c>
      <c r="G18" s="67">
        <f t="shared" si="8"/>
        <v>0.17157813105854983</v>
      </c>
      <c r="H18" s="67">
        <f t="shared" si="8"/>
        <v>0.15899479007048728</v>
      </c>
      <c r="I18" s="67">
        <f t="shared" si="8"/>
        <v>0.17544991292008</v>
      </c>
      <c r="J18" s="67">
        <f t="shared" si="8"/>
        <v>0.15299388024479021</v>
      </c>
      <c r="K18" s="67">
        <f t="shared" si="8"/>
        <v>0.14355289595827084</v>
      </c>
      <c r="L18" s="67">
        <f t="shared" si="8"/>
        <v>0.13787677509859786</v>
      </c>
      <c r="R18" s="8"/>
      <c r="S18" s="10"/>
    </row>
    <row r="19" spans="1:19" ht="14.4" customHeight="1" x14ac:dyDescent="0.3">
      <c r="B19" s="5" t="s">
        <v>11</v>
      </c>
      <c r="E19" s="67"/>
      <c r="F19" s="67">
        <f t="shared" ref="F19:K19" si="9">(F17-E17)/E17</f>
        <v>-0.25269343780607245</v>
      </c>
      <c r="G19" s="67">
        <f t="shared" si="9"/>
        <v>0.15989515072083879</v>
      </c>
      <c r="H19" s="67">
        <f t="shared" si="9"/>
        <v>-2.2975517890772127E-2</v>
      </c>
      <c r="I19" s="67">
        <f t="shared" si="9"/>
        <v>4.8573631457208943E-2</v>
      </c>
      <c r="J19" s="67">
        <f t="shared" si="9"/>
        <v>-0.1</v>
      </c>
      <c r="K19" s="67">
        <f t="shared" si="9"/>
        <v>2.4999999999999925E-2</v>
      </c>
      <c r="L19" s="67">
        <f t="shared" ref="L19" si="10">(L17-K17)/K17</f>
        <v>3.999999999999998E-2</v>
      </c>
    </row>
    <row r="21" spans="1:19" ht="14.4" customHeight="1" x14ac:dyDescent="0.3">
      <c r="B21" s="1" t="s">
        <v>133</v>
      </c>
      <c r="D21" s="60"/>
      <c r="E21" s="60">
        <v>1721</v>
      </c>
      <c r="F21" s="60">
        <v>1662</v>
      </c>
      <c r="G21" s="60">
        <v>1250</v>
      </c>
      <c r="H21" s="60">
        <v>506</v>
      </c>
      <c r="I21" s="60">
        <v>29</v>
      </c>
      <c r="J21" s="60">
        <v>20.8</v>
      </c>
      <c r="K21" s="60">
        <v>14.5</v>
      </c>
      <c r="L21" s="60">
        <v>10</v>
      </c>
    </row>
    <row r="22" spans="1:19" ht="14.4" customHeight="1" x14ac:dyDescent="0.3">
      <c r="B22" s="56" t="s">
        <v>131</v>
      </c>
      <c r="E22" s="67"/>
      <c r="F22" s="67">
        <f t="shared" ref="F22:L22" si="11">F21/F$6</f>
        <v>0.12092549476135041</v>
      </c>
      <c r="G22" s="67">
        <f t="shared" si="11"/>
        <v>8.0780664340183536E-2</v>
      </c>
      <c r="H22" s="67">
        <f t="shared" si="11"/>
        <v>3.1014403922770457E-2</v>
      </c>
      <c r="I22" s="67">
        <f t="shared" si="11"/>
        <v>1.870605689221441E-3</v>
      </c>
      <c r="J22" s="67">
        <f t="shared" si="11"/>
        <v>1.299948002079917E-3</v>
      </c>
      <c r="K22" s="67">
        <f t="shared" si="11"/>
        <v>8.2955403769923775E-4</v>
      </c>
      <c r="L22" s="67">
        <f t="shared" si="11"/>
        <v>5.2835095731783147E-4</v>
      </c>
    </row>
    <row r="24" spans="1:19" ht="14.4" customHeight="1" x14ac:dyDescent="0.3">
      <c r="A24" s="27" t="s">
        <v>68</v>
      </c>
      <c r="B24" s="2" t="s">
        <v>135</v>
      </c>
      <c r="C24" s="2"/>
      <c r="D24" s="54"/>
      <c r="E24" s="2">
        <v>2021</v>
      </c>
      <c r="F24" s="2">
        <f>E24+1</f>
        <v>2022</v>
      </c>
      <c r="G24" s="2">
        <f>F24+1</f>
        <v>2023</v>
      </c>
      <c r="H24" s="2">
        <f>G24+1</f>
        <v>2024</v>
      </c>
      <c r="I24" s="2">
        <f>H24+1</f>
        <v>2025</v>
      </c>
      <c r="J24" s="3" t="s">
        <v>5</v>
      </c>
      <c r="K24" s="3" t="s">
        <v>6</v>
      </c>
      <c r="L24" s="3" t="s">
        <v>7</v>
      </c>
      <c r="M24" s="3" t="s">
        <v>8</v>
      </c>
      <c r="N24" s="3" t="s">
        <v>9</v>
      </c>
    </row>
    <row r="25" spans="1:19" s="21" customFormat="1" ht="1.95" customHeight="1" x14ac:dyDescent="0.3">
      <c r="B25" s="22"/>
      <c r="C25" s="22"/>
      <c r="D25" s="22"/>
      <c r="E25" s="22"/>
      <c r="F25" s="22"/>
      <c r="G25" s="22"/>
      <c r="H25" s="22"/>
      <c r="I25" s="22"/>
      <c r="J25" s="22"/>
      <c r="K25" s="22"/>
      <c r="L25" s="23"/>
      <c r="M25" s="23"/>
      <c r="N25" s="23"/>
      <c r="O25" s="23"/>
      <c r="P25" s="23"/>
    </row>
    <row r="26" spans="1:19" ht="14.4" customHeight="1" x14ac:dyDescent="0.3">
      <c r="B26" s="4" t="s">
        <v>43</v>
      </c>
      <c r="D26" s="59"/>
      <c r="E26" s="59">
        <f t="shared" ref="E26:I26" si="12">SUM(E29,E33,E37,E41)</f>
        <v>9970</v>
      </c>
      <c r="F26" s="59">
        <f t="shared" si="12"/>
        <v>19815</v>
      </c>
      <c r="G26" s="59">
        <f t="shared" si="12"/>
        <v>19528</v>
      </c>
      <c r="H26" s="59">
        <f t="shared" si="12"/>
        <v>15123</v>
      </c>
      <c r="I26" s="59">
        <f t="shared" si="12"/>
        <v>11956</v>
      </c>
      <c r="J26" s="59">
        <f>SUM(J29,J33,J37,J41)</f>
        <v>17258</v>
      </c>
      <c r="K26" s="59">
        <f>SUM(K29,K33,K37,K41)</f>
        <v>19165.7</v>
      </c>
    </row>
    <row r="27" spans="1:19" ht="14.4" customHeight="1" x14ac:dyDescent="0.3">
      <c r="B27" s="5" t="s">
        <v>11</v>
      </c>
      <c r="E27" s="58"/>
      <c r="F27" s="58">
        <f t="shared" ref="F27:K27" si="13">(F26-E26)/E26</f>
        <v>0.98746238716148449</v>
      </c>
      <c r="G27" s="58">
        <f t="shared" si="13"/>
        <v>-1.448397678526369E-2</v>
      </c>
      <c r="H27" s="58">
        <f t="shared" si="13"/>
        <v>-0.2255735354362966</v>
      </c>
      <c r="I27" s="58">
        <f t="shared" si="13"/>
        <v>-0.20941612113998545</v>
      </c>
      <c r="J27" s="58">
        <f t="shared" si="13"/>
        <v>0.44345935095349615</v>
      </c>
      <c r="K27" s="58">
        <f t="shared" si="13"/>
        <v>0.1105400394020165</v>
      </c>
    </row>
    <row r="29" spans="1:19" ht="14.4" customHeight="1" x14ac:dyDescent="0.3">
      <c r="B29" s="1" t="s">
        <v>130</v>
      </c>
      <c r="D29" s="60"/>
      <c r="E29" s="60">
        <v>3313</v>
      </c>
      <c r="F29" s="60">
        <v>6511</v>
      </c>
      <c r="G29" s="60">
        <v>6871</v>
      </c>
      <c r="H29" s="60">
        <v>3246</v>
      </c>
      <c r="I29" s="60">
        <v>1421</v>
      </c>
      <c r="J29" s="61">
        <v>6157.1</v>
      </c>
      <c r="K29" s="61">
        <v>5743.3</v>
      </c>
    </row>
    <row r="30" spans="1:19" ht="14.4" customHeight="1" x14ac:dyDescent="0.3">
      <c r="B30" s="5" t="s">
        <v>131</v>
      </c>
      <c r="D30" s="58"/>
      <c r="E30" s="58">
        <f t="shared" ref="E30:K30" si="14">E29/E$26</f>
        <v>0.33229689067201607</v>
      </c>
      <c r="F30" s="58">
        <f t="shared" si="14"/>
        <v>0.32858945243502397</v>
      </c>
      <c r="G30" s="58">
        <f t="shared" si="14"/>
        <v>0.35185374846374434</v>
      </c>
      <c r="H30" s="58">
        <f t="shared" si="14"/>
        <v>0.21463995239039874</v>
      </c>
      <c r="I30" s="58">
        <f t="shared" si="14"/>
        <v>0.11885245901639344</v>
      </c>
      <c r="J30" s="58">
        <f t="shared" si="14"/>
        <v>0.35676787576775992</v>
      </c>
      <c r="K30" s="58">
        <f t="shared" si="14"/>
        <v>0.29966554834939502</v>
      </c>
    </row>
    <row r="31" spans="1:19" ht="14.4" customHeight="1" x14ac:dyDescent="0.3">
      <c r="B31" s="5" t="s">
        <v>11</v>
      </c>
      <c r="E31" s="58"/>
      <c r="F31" s="58">
        <f t="shared" ref="F31:K31" si="15">(F29-E29)/E29</f>
        <v>0.96528825837609422</v>
      </c>
      <c r="G31" s="58">
        <f t="shared" si="15"/>
        <v>5.5291045922285363E-2</v>
      </c>
      <c r="H31" s="58">
        <f t="shared" si="15"/>
        <v>-0.52757968272449429</v>
      </c>
      <c r="I31" s="58">
        <f t="shared" si="15"/>
        <v>-0.56223043746149104</v>
      </c>
      <c r="J31" s="58">
        <f t="shared" si="15"/>
        <v>3.3329345531315977</v>
      </c>
      <c r="K31" s="58">
        <f t="shared" si="15"/>
        <v>-6.7206964317617079E-2</v>
      </c>
    </row>
    <row r="33" spans="1:16" ht="14.4" customHeight="1" x14ac:dyDescent="0.3">
      <c r="B33" s="1" t="s">
        <v>134</v>
      </c>
      <c r="D33" s="60"/>
      <c r="E33" s="60">
        <v>2721</v>
      </c>
      <c r="F33" s="60">
        <v>6799</v>
      </c>
      <c r="G33" s="60">
        <v>10141</v>
      </c>
      <c r="H33" s="60">
        <v>9493</v>
      </c>
      <c r="I33" s="60">
        <v>8688</v>
      </c>
      <c r="J33" s="61">
        <v>8613.9</v>
      </c>
      <c r="K33" s="61">
        <v>9948</v>
      </c>
    </row>
    <row r="34" spans="1:16" ht="14.4" customHeight="1" x14ac:dyDescent="0.3">
      <c r="B34" s="5" t="s">
        <v>131</v>
      </c>
      <c r="E34" s="58">
        <f t="shared" ref="E34:K34" si="16">E33/E$26</f>
        <v>0.27291875626880641</v>
      </c>
      <c r="F34" s="58">
        <f t="shared" si="16"/>
        <v>0.3431238960383548</v>
      </c>
      <c r="G34" s="58">
        <f t="shared" si="16"/>
        <v>0.51930561245391238</v>
      </c>
      <c r="H34" s="58">
        <f t="shared" si="16"/>
        <v>0.62771936785029425</v>
      </c>
      <c r="I34" s="58">
        <f t="shared" si="16"/>
        <v>0.72666443626630983</v>
      </c>
      <c r="J34" s="58">
        <f t="shared" si="16"/>
        <v>0.49912504345810638</v>
      </c>
      <c r="K34" s="58">
        <f t="shared" si="16"/>
        <v>0.51905226524468184</v>
      </c>
    </row>
    <row r="35" spans="1:16" ht="14.4" customHeight="1" x14ac:dyDescent="0.3">
      <c r="B35" s="5" t="s">
        <v>11</v>
      </c>
      <c r="E35" s="58"/>
      <c r="F35" s="58">
        <f t="shared" ref="F35:K35" si="17">(F33-E33)/E33</f>
        <v>1.4987137081955164</v>
      </c>
      <c r="G35" s="58">
        <f t="shared" si="17"/>
        <v>0.49154287395205176</v>
      </c>
      <c r="H35" s="58">
        <f t="shared" si="17"/>
        <v>-6.38990237649147E-2</v>
      </c>
      <c r="I35" s="58">
        <f t="shared" si="17"/>
        <v>-8.4799325819024537E-2</v>
      </c>
      <c r="J35" s="58">
        <f t="shared" si="17"/>
        <v>-8.5290055248619205E-3</v>
      </c>
      <c r="K35" s="58">
        <f t="shared" si="17"/>
        <v>0.15487758158325501</v>
      </c>
    </row>
    <row r="37" spans="1:16" ht="14.4" customHeight="1" x14ac:dyDescent="0.3">
      <c r="B37" s="1" t="s">
        <v>132</v>
      </c>
      <c r="D37" s="60"/>
      <c r="E37" s="60">
        <v>2718</v>
      </c>
      <c r="F37" s="60">
        <v>5347</v>
      </c>
      <c r="G37" s="60">
        <v>1055</v>
      </c>
      <c r="H37" s="60">
        <v>1910</v>
      </c>
      <c r="I37" s="60">
        <v>1847</v>
      </c>
      <c r="J37" s="61">
        <v>2487</v>
      </c>
      <c r="K37" s="61">
        <v>3474.4</v>
      </c>
    </row>
    <row r="38" spans="1:16" ht="14.4" customHeight="1" x14ac:dyDescent="0.3">
      <c r="B38" s="5" t="s">
        <v>131</v>
      </c>
      <c r="E38" s="58">
        <f t="shared" ref="E38:K38" si="18">E37/E$26</f>
        <v>0.27261785356068202</v>
      </c>
      <c r="F38" s="58">
        <f t="shared" si="18"/>
        <v>0.26984607620489526</v>
      </c>
      <c r="G38" s="58">
        <f t="shared" si="18"/>
        <v>5.4024989758295783E-2</v>
      </c>
      <c r="H38" s="58">
        <f t="shared" si="18"/>
        <v>0.12629769225682735</v>
      </c>
      <c r="I38" s="58">
        <f t="shared" si="18"/>
        <v>0.15448310471729676</v>
      </c>
      <c r="J38" s="58">
        <f t="shared" si="18"/>
        <v>0.14410708077413373</v>
      </c>
      <c r="K38" s="58">
        <f t="shared" si="18"/>
        <v>0.18128218640592308</v>
      </c>
    </row>
    <row r="39" spans="1:16" ht="14.4" customHeight="1" x14ac:dyDescent="0.3">
      <c r="B39" s="5" t="s">
        <v>11</v>
      </c>
      <c r="E39" s="58"/>
      <c r="F39" s="58">
        <f t="shared" ref="F39:K39" si="19">(F37-E37)/E37</f>
        <v>0.9672553348050037</v>
      </c>
      <c r="G39" s="58">
        <f t="shared" si="19"/>
        <v>-0.80269309893398166</v>
      </c>
      <c r="H39" s="58">
        <f t="shared" si="19"/>
        <v>0.81042654028436023</v>
      </c>
      <c r="I39" s="58">
        <f t="shared" si="19"/>
        <v>-3.2984293193717276E-2</v>
      </c>
      <c r="J39" s="58">
        <f t="shared" si="19"/>
        <v>0.34650785056848943</v>
      </c>
      <c r="K39" s="58">
        <f t="shared" si="19"/>
        <v>0.39702452754322481</v>
      </c>
    </row>
    <row r="41" spans="1:16" ht="14.4" customHeight="1" x14ac:dyDescent="0.3">
      <c r="B41" s="1" t="s">
        <v>133</v>
      </c>
      <c r="D41" s="60"/>
      <c r="E41" s="60">
        <v>1218</v>
      </c>
      <c r="F41" s="60">
        <v>1158</v>
      </c>
      <c r="G41" s="60">
        <v>1461</v>
      </c>
      <c r="H41" s="60">
        <v>474</v>
      </c>
      <c r="I41" s="60">
        <v>0</v>
      </c>
      <c r="J41" s="60">
        <v>0</v>
      </c>
      <c r="K41" s="60">
        <v>0</v>
      </c>
    </row>
    <row r="42" spans="1:16" ht="14.4" customHeight="1" x14ac:dyDescent="0.3">
      <c r="B42" s="56" t="s">
        <v>131</v>
      </c>
      <c r="E42" s="58">
        <f t="shared" ref="E42:K42" si="20">E41/E$26</f>
        <v>0.12216649949849549</v>
      </c>
      <c r="F42" s="58">
        <f t="shared" si="20"/>
        <v>5.8440575321725967E-2</v>
      </c>
      <c r="G42" s="58">
        <f t="shared" si="20"/>
        <v>7.4815649324047523E-2</v>
      </c>
      <c r="H42" s="58">
        <f t="shared" si="20"/>
        <v>3.1342987502479665E-2</v>
      </c>
      <c r="I42" s="58">
        <f t="shared" si="20"/>
        <v>0</v>
      </c>
      <c r="J42" s="58">
        <f t="shared" si="20"/>
        <v>0</v>
      </c>
      <c r="K42" s="58">
        <f t="shared" si="20"/>
        <v>0</v>
      </c>
    </row>
    <row r="44" spans="1:16" ht="14.4" customHeight="1" x14ac:dyDescent="0.3">
      <c r="A44" s="27" t="s">
        <v>68</v>
      </c>
      <c r="B44" s="2" t="s">
        <v>137</v>
      </c>
      <c r="C44" s="2"/>
      <c r="D44" s="54"/>
      <c r="E44" s="2">
        <v>2021</v>
      </c>
      <c r="F44" s="2">
        <f>E44+1</f>
        <v>2022</v>
      </c>
      <c r="G44" s="2">
        <f>F44+1</f>
        <v>2023</v>
      </c>
      <c r="H44" s="2">
        <f>G44+1</f>
        <v>2024</v>
      </c>
      <c r="I44" s="2">
        <f>H44+1</f>
        <v>2025</v>
      </c>
      <c r="J44" s="3" t="s">
        <v>5</v>
      </c>
      <c r="K44" s="3" t="s">
        <v>6</v>
      </c>
      <c r="L44" s="3" t="s">
        <v>7</v>
      </c>
      <c r="M44" s="3" t="s">
        <v>8</v>
      </c>
      <c r="N44" s="3" t="s">
        <v>9</v>
      </c>
    </row>
    <row r="45" spans="1:16" s="21" customFormat="1" ht="1.95" customHeight="1" x14ac:dyDescent="0.3">
      <c r="B45" s="22"/>
      <c r="C45" s="22"/>
      <c r="D45" s="22"/>
      <c r="E45" s="22"/>
      <c r="F45" s="22"/>
      <c r="G45" s="22"/>
      <c r="H45" s="22"/>
      <c r="I45" s="22"/>
      <c r="J45" s="22"/>
      <c r="K45" s="22"/>
      <c r="L45" s="23"/>
      <c r="M45" s="23"/>
      <c r="N45" s="23"/>
      <c r="O45" s="23"/>
      <c r="P45" s="23"/>
    </row>
    <row r="46" spans="1:16" ht="14.4" customHeight="1" x14ac:dyDescent="0.3">
      <c r="B46" s="4" t="s">
        <v>43</v>
      </c>
      <c r="D46" s="59"/>
      <c r="E46" s="59">
        <f t="shared" ref="E46:I46" si="21">SUM(E49,E53,E57,E61)</f>
        <v>20800</v>
      </c>
      <c r="F46" s="59">
        <f t="shared" si="21"/>
        <v>26049</v>
      </c>
      <c r="G46" s="59">
        <f t="shared" si="21"/>
        <v>29441</v>
      </c>
      <c r="H46" s="59">
        <f t="shared" si="21"/>
        <v>28484</v>
      </c>
      <c r="I46" s="59">
        <f t="shared" si="21"/>
        <v>25536</v>
      </c>
      <c r="J46" s="59">
        <f>SUM(J49,J53,J57,J61)</f>
        <v>26304.5</v>
      </c>
      <c r="K46" s="59">
        <f>SUM(K49,K53,K57,K61)</f>
        <v>28533.600000000002</v>
      </c>
    </row>
    <row r="47" spans="1:16" ht="14.4" customHeight="1" x14ac:dyDescent="0.3">
      <c r="B47" s="5" t="s">
        <v>11</v>
      </c>
      <c r="E47" s="58"/>
      <c r="F47" s="58">
        <f t="shared" ref="F47:K47" si="22">(F46-E46)/E46</f>
        <v>0.25235576923076924</v>
      </c>
      <c r="G47" s="58">
        <f t="shared" si="22"/>
        <v>0.13021613113747169</v>
      </c>
      <c r="H47" s="58">
        <f t="shared" si="22"/>
        <v>-3.2505689344791276E-2</v>
      </c>
      <c r="I47" s="58">
        <f t="shared" si="22"/>
        <v>-0.1034966999016992</v>
      </c>
      <c r="J47" s="58">
        <f t="shared" si="22"/>
        <v>3.0094768170426067E-2</v>
      </c>
      <c r="K47" s="58">
        <f t="shared" si="22"/>
        <v>8.4742154384230911E-2</v>
      </c>
    </row>
    <row r="49" spans="1:14" ht="14.4" customHeight="1" x14ac:dyDescent="0.3">
      <c r="B49" s="1" t="s">
        <v>130</v>
      </c>
      <c r="D49" s="60"/>
      <c r="E49" s="60">
        <v>9324</v>
      </c>
      <c r="F49" s="60">
        <v>9134</v>
      </c>
      <c r="G49" s="60">
        <v>9722</v>
      </c>
      <c r="H49" s="60">
        <v>7605</v>
      </c>
      <c r="I49" s="60">
        <v>4601</v>
      </c>
      <c r="J49" s="61">
        <v>6504.1</v>
      </c>
      <c r="K49" s="61">
        <v>7573.6</v>
      </c>
    </row>
    <row r="50" spans="1:14" ht="14.4" customHeight="1" x14ac:dyDescent="0.3">
      <c r="B50" s="5" t="s">
        <v>131</v>
      </c>
      <c r="D50" s="58"/>
      <c r="E50" s="58">
        <f t="shared" ref="E50:K50" si="23">E49/E$46</f>
        <v>0.44826923076923075</v>
      </c>
      <c r="F50" s="58">
        <f t="shared" si="23"/>
        <v>0.35064685784483091</v>
      </c>
      <c r="G50" s="58">
        <f t="shared" si="23"/>
        <v>0.33021976155701233</v>
      </c>
      <c r="H50" s="58">
        <f t="shared" si="23"/>
        <v>0.26699199550624914</v>
      </c>
      <c r="I50" s="58">
        <f t="shared" si="23"/>
        <v>0.18017700501253134</v>
      </c>
      <c r="J50" s="58">
        <f t="shared" si="23"/>
        <v>0.24726187534452282</v>
      </c>
      <c r="K50" s="58">
        <f t="shared" si="23"/>
        <v>0.26542742591190738</v>
      </c>
    </row>
    <row r="51" spans="1:14" ht="14.4" customHeight="1" x14ac:dyDescent="0.3">
      <c r="B51" s="5" t="s">
        <v>11</v>
      </c>
      <c r="E51" s="58"/>
      <c r="F51" s="58">
        <f t="shared" ref="F51:K51" si="24">(F49-E49)/E49</f>
        <v>-2.0377520377520379E-2</v>
      </c>
      <c r="G51" s="58">
        <f t="shared" si="24"/>
        <v>6.4374863148675285E-2</v>
      </c>
      <c r="H51" s="58">
        <f t="shared" si="24"/>
        <v>-0.21775354865254062</v>
      </c>
      <c r="I51" s="58">
        <f t="shared" si="24"/>
        <v>-0.39500328731097961</v>
      </c>
      <c r="J51" s="58">
        <f t="shared" si="24"/>
        <v>0.413627472288633</v>
      </c>
      <c r="K51" s="58">
        <f t="shared" si="24"/>
        <v>0.16443474116326623</v>
      </c>
    </row>
    <row r="53" spans="1:14" ht="14.4" customHeight="1" x14ac:dyDescent="0.3">
      <c r="B53" s="1" t="s">
        <v>134</v>
      </c>
      <c r="D53" s="60"/>
      <c r="E53" s="60">
        <v>7048</v>
      </c>
      <c r="F53" s="60">
        <v>9900</v>
      </c>
      <c r="G53" s="60">
        <v>14848</v>
      </c>
      <c r="H53" s="60">
        <v>17749</v>
      </c>
      <c r="I53" s="60">
        <v>18746</v>
      </c>
      <c r="J53" s="61">
        <v>17613.400000000001</v>
      </c>
      <c r="K53" s="61">
        <v>17894.3</v>
      </c>
    </row>
    <row r="54" spans="1:14" ht="14.4" customHeight="1" x14ac:dyDescent="0.3">
      <c r="B54" s="5" t="s">
        <v>131</v>
      </c>
      <c r="E54" s="58">
        <f t="shared" ref="E54:K54" si="25">E53/E$46</f>
        <v>0.33884615384615385</v>
      </c>
      <c r="F54" s="58">
        <f t="shared" si="25"/>
        <v>0.38005297708165381</v>
      </c>
      <c r="G54" s="58">
        <f t="shared" si="25"/>
        <v>0.50433069528888286</v>
      </c>
      <c r="H54" s="58">
        <f t="shared" si="25"/>
        <v>0.6231217525628423</v>
      </c>
      <c r="I54" s="58">
        <f t="shared" si="25"/>
        <v>0.73410087719298245</v>
      </c>
      <c r="J54" s="58">
        <f t="shared" si="25"/>
        <v>0.66959645688000158</v>
      </c>
      <c r="K54" s="58">
        <f t="shared" si="25"/>
        <v>0.62713082120727837</v>
      </c>
    </row>
    <row r="55" spans="1:14" ht="14.4" customHeight="1" x14ac:dyDescent="0.3">
      <c r="B55" s="5" t="s">
        <v>11</v>
      </c>
      <c r="E55" s="58"/>
      <c r="F55" s="58">
        <f t="shared" ref="F55:K55" si="26">(F53-E53)/E53</f>
        <v>0.40465380249716232</v>
      </c>
      <c r="G55" s="58">
        <f t="shared" si="26"/>
        <v>0.4997979797979798</v>
      </c>
      <c r="H55" s="58">
        <f t="shared" si="26"/>
        <v>0.19537984913793102</v>
      </c>
      <c r="I55" s="58">
        <f t="shared" si="26"/>
        <v>5.6172178714293766E-2</v>
      </c>
      <c r="J55" s="58">
        <f t="shared" si="26"/>
        <v>-6.0418222554144807E-2</v>
      </c>
      <c r="K55" s="58">
        <f t="shared" si="26"/>
        <v>1.5948084980753164E-2</v>
      </c>
    </row>
    <row r="57" spans="1:14" ht="14.4" customHeight="1" x14ac:dyDescent="0.3">
      <c r="B57" s="1" t="s">
        <v>132</v>
      </c>
      <c r="D57" s="60"/>
      <c r="E57" s="60">
        <v>2562</v>
      </c>
      <c r="F57" s="60">
        <v>5666</v>
      </c>
      <c r="G57" s="60">
        <v>3945</v>
      </c>
      <c r="H57" s="60">
        <v>2727</v>
      </c>
      <c r="I57" s="60">
        <v>2189</v>
      </c>
      <c r="J57" s="61">
        <v>2187</v>
      </c>
      <c r="K57" s="61">
        <v>3065.7</v>
      </c>
    </row>
    <row r="58" spans="1:14" ht="14.4" customHeight="1" x14ac:dyDescent="0.3">
      <c r="B58" s="5" t="s">
        <v>131</v>
      </c>
      <c r="E58" s="58">
        <f t="shared" ref="E58:K58" si="27">E57/E$46</f>
        <v>0.12317307692307693</v>
      </c>
      <c r="F58" s="58">
        <f t="shared" si="27"/>
        <v>0.21751314829743945</v>
      </c>
      <c r="G58" s="58">
        <f t="shared" si="27"/>
        <v>0.13399680717366938</v>
      </c>
      <c r="H58" s="58">
        <f t="shared" si="27"/>
        <v>9.5737958151944955E-2</v>
      </c>
      <c r="I58" s="58">
        <f t="shared" si="27"/>
        <v>8.5722117794486213E-2</v>
      </c>
      <c r="J58" s="58">
        <f t="shared" si="27"/>
        <v>8.3141667775475672E-2</v>
      </c>
      <c r="K58" s="58">
        <f t="shared" si="27"/>
        <v>0.10744175288081419</v>
      </c>
    </row>
    <row r="59" spans="1:14" ht="14.4" customHeight="1" x14ac:dyDescent="0.3">
      <c r="B59" s="5" t="s">
        <v>11</v>
      </c>
      <c r="E59" s="58"/>
      <c r="F59" s="58">
        <f t="shared" ref="F59:K59" si="28">(F57-E57)/E57</f>
        <v>1.2115534738485558</v>
      </c>
      <c r="G59" s="58">
        <f t="shared" si="28"/>
        <v>-0.30374161666078364</v>
      </c>
      <c r="H59" s="58">
        <f t="shared" si="28"/>
        <v>-0.30874524714828899</v>
      </c>
      <c r="I59" s="58">
        <f t="shared" si="28"/>
        <v>-0.19728639530619729</v>
      </c>
      <c r="J59" s="58">
        <f t="shared" si="28"/>
        <v>-9.1365920511649154E-4</v>
      </c>
      <c r="K59" s="58">
        <f t="shared" si="28"/>
        <v>0.40178326474622761</v>
      </c>
    </row>
    <row r="61" spans="1:14" ht="14.4" customHeight="1" x14ac:dyDescent="0.3">
      <c r="B61" s="1" t="s">
        <v>133</v>
      </c>
      <c r="D61" s="60"/>
      <c r="E61" s="60">
        <v>1866</v>
      </c>
      <c r="F61" s="60">
        <v>1349</v>
      </c>
      <c r="G61" s="60">
        <v>926</v>
      </c>
      <c r="H61" s="60">
        <v>403</v>
      </c>
      <c r="I61" s="60">
        <v>0</v>
      </c>
      <c r="J61" s="60">
        <v>0</v>
      </c>
      <c r="K61" s="60">
        <v>0</v>
      </c>
    </row>
    <row r="62" spans="1:14" ht="14.4" customHeight="1" x14ac:dyDescent="0.3">
      <c r="B62" s="56" t="s">
        <v>131</v>
      </c>
      <c r="E62" s="58">
        <f t="shared" ref="E62:K62" si="29">E61/E$46</f>
        <v>8.9711538461538468E-2</v>
      </c>
      <c r="F62" s="58">
        <f t="shared" si="29"/>
        <v>5.1787016776075855E-2</v>
      </c>
      <c r="G62" s="58">
        <f t="shared" si="29"/>
        <v>3.1452735980435451E-2</v>
      </c>
      <c r="H62" s="58">
        <f t="shared" si="29"/>
        <v>1.4148293778963629E-2</v>
      </c>
      <c r="I62" s="58">
        <f t="shared" si="29"/>
        <v>0</v>
      </c>
      <c r="J62" s="58">
        <f t="shared" si="29"/>
        <v>0</v>
      </c>
      <c r="K62" s="58">
        <f t="shared" si="29"/>
        <v>0</v>
      </c>
    </row>
    <row r="64" spans="1:14" ht="14.4" customHeight="1" x14ac:dyDescent="0.3">
      <c r="A64" s="27" t="s">
        <v>68</v>
      </c>
      <c r="B64" s="2" t="s">
        <v>106</v>
      </c>
      <c r="C64" s="2"/>
      <c r="D64" s="54"/>
      <c r="E64" s="2">
        <v>2021</v>
      </c>
      <c r="F64" s="2">
        <f>E64+1</f>
        <v>2022</v>
      </c>
      <c r="G64" s="2">
        <f>F64+1</f>
        <v>2023</v>
      </c>
      <c r="H64" s="2">
        <f>G64+1</f>
        <v>2024</v>
      </c>
      <c r="I64" s="2">
        <f>H64+1</f>
        <v>2025</v>
      </c>
      <c r="J64" s="3" t="s">
        <v>5</v>
      </c>
      <c r="K64" s="3" t="s">
        <v>6</v>
      </c>
      <c r="L64" s="3" t="s">
        <v>7</v>
      </c>
      <c r="M64" s="3" t="s">
        <v>8</v>
      </c>
      <c r="N64" s="3" t="s">
        <v>9</v>
      </c>
    </row>
    <row r="65" spans="2:16" s="21" customFormat="1" ht="1.95" customHeight="1" x14ac:dyDescent="0.3">
      <c r="B65" s="22"/>
      <c r="C65" s="22"/>
      <c r="D65" s="22"/>
      <c r="E65" s="22"/>
      <c r="F65" s="22"/>
      <c r="G65" s="22"/>
      <c r="H65" s="22"/>
      <c r="I65" s="22"/>
      <c r="J65" s="22"/>
      <c r="K65" s="22"/>
      <c r="L65" s="23"/>
      <c r="M65" s="23"/>
      <c r="N65" s="23"/>
      <c r="O65" s="23"/>
      <c r="P65" s="23"/>
    </row>
    <row r="66" spans="2:16" ht="14.4" customHeight="1" x14ac:dyDescent="0.3">
      <c r="B66" s="4" t="s">
        <v>43</v>
      </c>
      <c r="D66" s="62"/>
      <c r="E66" s="62">
        <v>-273</v>
      </c>
      <c r="F66" s="62">
        <v>209</v>
      </c>
      <c r="G66" s="62">
        <v>147</v>
      </c>
      <c r="H66" s="63">
        <f>SUM(H69,H72,H75,H78,H81)</f>
        <v>371</v>
      </c>
      <c r="I66" s="62">
        <v>-316</v>
      </c>
      <c r="J66" s="63">
        <f>SUM(J69,J72,J75,J78,J81)</f>
        <v>618.19219200000009</v>
      </c>
      <c r="K66" s="63">
        <f>SUM(K69,K72,K75,K78,K81)</f>
        <v>714.26421760000005</v>
      </c>
      <c r="L66" s="63">
        <f>SUM(L69,L72,L75,L78,L81)</f>
        <v>843.88572288</v>
      </c>
    </row>
    <row r="67" spans="2:16" ht="14.4" customHeight="1" x14ac:dyDescent="0.3">
      <c r="B67" s="5" t="s">
        <v>15</v>
      </c>
      <c r="D67" s="58"/>
      <c r="E67" s="58">
        <f t="shared" ref="E67:I67" si="30">E66/E6</f>
        <v>-1.9285108787793163E-2</v>
      </c>
      <c r="F67" s="58">
        <f t="shared" si="30"/>
        <v>1.520663562281723E-2</v>
      </c>
      <c r="G67" s="58">
        <f t="shared" si="30"/>
        <v>9.4998061264055834E-3</v>
      </c>
      <c r="H67" s="58">
        <f t="shared" si="30"/>
        <v>2.2739809990806006E-2</v>
      </c>
      <c r="I67" s="58">
        <f t="shared" si="30"/>
        <v>-2.0383151648068115E-2</v>
      </c>
      <c r="J67" s="58">
        <f>J66/J6</f>
        <v>3.8635466581336757E-2</v>
      </c>
      <c r="K67" s="58">
        <f>K66/K6</f>
        <v>4.0863501082356347E-2</v>
      </c>
      <c r="L67" s="58">
        <f>L66/L6</f>
        <v>4.4586782955049822E-2</v>
      </c>
    </row>
    <row r="69" spans="2:16" ht="14.4" customHeight="1" x14ac:dyDescent="0.3">
      <c r="B69" s="1" t="s">
        <v>130</v>
      </c>
      <c r="D69" s="64"/>
      <c r="E69" s="64">
        <v>250</v>
      </c>
      <c r="F69" s="64">
        <v>301</v>
      </c>
      <c r="G69" s="64">
        <v>381</v>
      </c>
      <c r="H69" s="64">
        <v>256</v>
      </c>
      <c r="I69" s="64">
        <v>-414</v>
      </c>
      <c r="J69" s="65">
        <f>J9*0.0463</f>
        <v>157.96819199999999</v>
      </c>
      <c r="K69" s="65">
        <f>K9*0.048</f>
        <v>193.24661759999998</v>
      </c>
      <c r="L69" s="65">
        <f>L9*0.052</f>
        <v>251.22060287999992</v>
      </c>
    </row>
    <row r="70" spans="2:16" ht="14.4" customHeight="1" x14ac:dyDescent="0.3">
      <c r="B70" s="5" t="s">
        <v>15</v>
      </c>
      <c r="D70" s="58"/>
      <c r="E70" s="58">
        <f t="shared" ref="E70:I70" si="31">E69/E9</f>
        <v>5.0443906376109765E-2</v>
      </c>
      <c r="F70" s="58">
        <f t="shared" si="31"/>
        <v>5.1260217983651227E-2</v>
      </c>
      <c r="G70" s="58">
        <f t="shared" si="31"/>
        <v>6.0409069288092594E-2</v>
      </c>
      <c r="H70" s="58">
        <f t="shared" si="31"/>
        <v>4.2838018741633198E-2</v>
      </c>
      <c r="I70" s="58">
        <f t="shared" si="31"/>
        <v>-0.11648846370287</v>
      </c>
      <c r="J70" s="58">
        <f>J69/J9</f>
        <v>4.6300000000000001E-2</v>
      </c>
      <c r="K70" s="58">
        <f>K69/K9</f>
        <v>4.8000000000000001E-2</v>
      </c>
      <c r="L70" s="58">
        <f>L69/L9</f>
        <v>5.1999999999999998E-2</v>
      </c>
    </row>
    <row r="71" spans="2:16" ht="14.4" customHeight="1" x14ac:dyDescent="0.3">
      <c r="B71" s="5"/>
      <c r="E71" s="58"/>
      <c r="F71" s="58"/>
      <c r="G71" s="58"/>
      <c r="H71" s="58"/>
      <c r="I71" s="58"/>
      <c r="J71" s="58"/>
      <c r="K71" s="58"/>
    </row>
    <row r="72" spans="2:16" ht="14.4" customHeight="1" x14ac:dyDescent="0.3">
      <c r="B72" s="1" t="s">
        <v>134</v>
      </c>
      <c r="D72" s="64"/>
      <c r="E72" s="64">
        <v>38</v>
      </c>
      <c r="F72" s="64">
        <v>3</v>
      </c>
      <c r="G72" s="64">
        <v>268</v>
      </c>
      <c r="H72" s="64">
        <v>304</v>
      </c>
      <c r="I72" s="64">
        <v>205</v>
      </c>
      <c r="J72" s="65">
        <f>J13*0.0345</f>
        <v>349.14000000000004</v>
      </c>
      <c r="K72" s="65">
        <f>K13*0.036</f>
        <v>393.46559999999999</v>
      </c>
      <c r="L72" s="65">
        <f>L13*0.038</f>
        <v>436.09104000000008</v>
      </c>
    </row>
    <row r="73" spans="2:16" ht="14.4" customHeight="1" x14ac:dyDescent="0.3">
      <c r="B73" s="5" t="s">
        <v>15</v>
      </c>
      <c r="D73" s="58"/>
      <c r="E73" s="58">
        <f t="shared" ref="E73:I73" si="32">E72/E13</f>
        <v>8.605072463768116E-3</v>
      </c>
      <c r="F73" s="58">
        <f t="shared" si="32"/>
        <v>7.6511094108645751E-4</v>
      </c>
      <c r="G73" s="58">
        <f t="shared" si="32"/>
        <v>5.0931204865070315E-2</v>
      </c>
      <c r="H73" s="58">
        <f t="shared" si="32"/>
        <v>4.1994750656167978E-2</v>
      </c>
      <c r="I73" s="58">
        <f t="shared" si="32"/>
        <v>2.2282608695652174E-2</v>
      </c>
      <c r="J73" s="58">
        <f>J72/J13</f>
        <v>3.4500000000000003E-2</v>
      </c>
      <c r="K73" s="58">
        <f>K72/K13</f>
        <v>3.5999999999999997E-2</v>
      </c>
      <c r="L73" s="58">
        <f>L72/L13</f>
        <v>3.7999999999999999E-2</v>
      </c>
      <c r="M73" s="58"/>
      <c r="N73" s="58"/>
    </row>
    <row r="74" spans="2:16" ht="14.4" customHeight="1" x14ac:dyDescent="0.3">
      <c r="B74" s="5"/>
      <c r="E74" s="58"/>
      <c r="F74" s="58"/>
      <c r="G74" s="58"/>
      <c r="H74" s="58"/>
      <c r="I74" s="58"/>
      <c r="J74" s="58"/>
      <c r="K74" s="58"/>
    </row>
    <row r="75" spans="2:16" ht="14.4" customHeight="1" x14ac:dyDescent="0.3">
      <c r="B75" s="1" t="s">
        <v>132</v>
      </c>
      <c r="D75" s="64"/>
      <c r="E75" s="64">
        <v>155</v>
      </c>
      <c r="F75" s="64">
        <v>136</v>
      </c>
      <c r="G75" s="64">
        <v>116</v>
      </c>
      <c r="H75" s="64">
        <v>153</v>
      </c>
      <c r="I75" s="64">
        <v>94</v>
      </c>
      <c r="J75" s="65">
        <f>J17*0.058</f>
        <v>141.98400000000001</v>
      </c>
      <c r="K75" s="65">
        <f>K17*0.06</f>
        <v>150.55199999999999</v>
      </c>
      <c r="L75" s="65">
        <f>L17*0.06</f>
        <v>156.57407999999998</v>
      </c>
    </row>
    <row r="76" spans="2:16" ht="14.4" customHeight="1" x14ac:dyDescent="0.3">
      <c r="B76" s="5" t="s">
        <v>15</v>
      </c>
      <c r="E76" s="58">
        <f t="shared" ref="E76:H76" si="33">E75/E17</f>
        <v>5.0603983023179887E-2</v>
      </c>
      <c r="F76" s="58">
        <f t="shared" si="33"/>
        <v>5.9414591524683265E-2</v>
      </c>
      <c r="G76" s="58">
        <f t="shared" si="33"/>
        <v>4.3691148775894535E-2</v>
      </c>
      <c r="H76" s="58">
        <f t="shared" si="33"/>
        <v>5.8982266769468002E-2</v>
      </c>
      <c r="I76" s="58">
        <f>I75/I17</f>
        <v>3.4558823529411767E-2</v>
      </c>
      <c r="J76" s="58">
        <f>J75/J17</f>
        <v>5.8000000000000003E-2</v>
      </c>
      <c r="K76" s="58">
        <f>IF(K75="","",K75/K17)</f>
        <v>6.0000000000000005E-2</v>
      </c>
      <c r="L76" s="58">
        <f>IF(L75="","",L75/L17)</f>
        <v>0.06</v>
      </c>
    </row>
    <row r="77" spans="2:16" ht="14.4" customHeight="1" x14ac:dyDescent="0.3">
      <c r="B77" s="5"/>
      <c r="E77" s="58"/>
      <c r="F77" s="58"/>
      <c r="G77" s="58"/>
      <c r="H77" s="58"/>
      <c r="I77" s="58"/>
      <c r="J77" s="58"/>
      <c r="K77" s="58"/>
    </row>
    <row r="78" spans="2:16" ht="14.4" customHeight="1" x14ac:dyDescent="0.3">
      <c r="B78" s="1" t="s">
        <v>133</v>
      </c>
      <c r="D78" s="64"/>
      <c r="E78" s="64">
        <v>-273</v>
      </c>
      <c r="F78" s="64">
        <v>209</v>
      </c>
      <c r="G78" s="64">
        <v>-228</v>
      </c>
      <c r="H78" s="64">
        <v>-78</v>
      </c>
      <c r="I78" s="64">
        <v>6</v>
      </c>
      <c r="J78" s="65">
        <v>-30.9</v>
      </c>
      <c r="K78" s="65">
        <v>-23</v>
      </c>
    </row>
    <row r="79" spans="2:16" ht="14.4" customHeight="1" x14ac:dyDescent="0.3">
      <c r="B79" s="5" t="s">
        <v>15</v>
      </c>
      <c r="D79" s="58"/>
      <c r="E79" s="58">
        <f t="shared" ref="E79:I79" si="34">E78/E21</f>
        <v>-0.15862870424171993</v>
      </c>
      <c r="F79" s="58">
        <f t="shared" si="34"/>
        <v>0.12575210589651023</v>
      </c>
      <c r="G79" s="58">
        <f t="shared" si="34"/>
        <v>-0.18240000000000001</v>
      </c>
      <c r="H79" s="58">
        <f t="shared" si="34"/>
        <v>-0.1541501976284585</v>
      </c>
      <c r="I79" s="58">
        <f t="shared" si="34"/>
        <v>0.20689655172413793</v>
      </c>
      <c r="J79" s="58">
        <f>J78/J21</f>
        <v>-1.4855769230769229</v>
      </c>
      <c r="K79" s="58">
        <f>K78/K21</f>
        <v>-1.5862068965517242</v>
      </c>
    </row>
    <row r="81" spans="2:11" ht="14.4" customHeight="1" x14ac:dyDescent="0.3">
      <c r="B81" s="55" t="s">
        <v>138</v>
      </c>
      <c r="D81" s="57"/>
      <c r="E81" s="57"/>
      <c r="F81" s="57"/>
      <c r="G81" s="57"/>
      <c r="H81" s="57">
        <v>-264</v>
      </c>
      <c r="I81" s="57"/>
      <c r="J81" s="57"/>
      <c r="K81" s="57"/>
    </row>
    <row r="82" spans="2:11" ht="14.4" customHeight="1" x14ac:dyDescent="0.3">
      <c r="B82" s="56" t="s">
        <v>15</v>
      </c>
      <c r="D82" s="58"/>
      <c r="E82" s="58" t="str">
        <f>IF(E81="","",E81/E6)</f>
        <v/>
      </c>
      <c r="F82" s="58" t="str">
        <f>IF(F81="","",F81/F6)</f>
        <v/>
      </c>
      <c r="G82" s="58" t="str">
        <f>IF(G81="","",G81/G6)</f>
        <v/>
      </c>
      <c r="H82" s="58">
        <f>H81/H6</f>
        <v>-1.618142813361937E-2</v>
      </c>
      <c r="I82" s="58" t="str">
        <f>IF(I81="","",I81/I6)</f>
        <v/>
      </c>
      <c r="J82" s="58" t="str">
        <f>IF(J81="","",J81/J6)</f>
        <v/>
      </c>
      <c r="K82" s="58" t="str">
        <f>IF(K81="","",K81/K6)</f>
        <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7BC6C-1767-4030-8BF6-1338ED0F350F}">
  <dimension ref="A2:U88"/>
  <sheetViews>
    <sheetView showGridLines="0" zoomScale="115" zoomScaleNormal="115" workbookViewId="0">
      <selection activeCell="B32" sqref="B32"/>
    </sheetView>
  </sheetViews>
  <sheetFormatPr defaultColWidth="8.69921875" defaultRowHeight="14.4" x14ac:dyDescent="0.3"/>
  <cols>
    <col min="1" max="16384" width="8.69921875" style="1"/>
  </cols>
  <sheetData>
    <row r="2" spans="1:19" x14ac:dyDescent="0.3">
      <c r="H2" s="1" t="s">
        <v>92</v>
      </c>
      <c r="I2" s="1" t="s">
        <v>93</v>
      </c>
      <c r="J2" s="1" t="s">
        <v>94</v>
      </c>
      <c r="K2" s="1" t="s">
        <v>95</v>
      </c>
      <c r="L2" s="1" t="s">
        <v>96</v>
      </c>
      <c r="M2" s="1" t="s">
        <v>97</v>
      </c>
      <c r="N2" s="1" t="s">
        <v>127</v>
      </c>
      <c r="O2" s="1" t="s">
        <v>98</v>
      </c>
      <c r="P2" s="1" t="s">
        <v>99</v>
      </c>
      <c r="Q2" s="1" t="s">
        <v>100</v>
      </c>
      <c r="R2" s="1" t="s">
        <v>101</v>
      </c>
      <c r="S2" s="1" t="s">
        <v>126</v>
      </c>
    </row>
    <row r="3" spans="1:19" x14ac:dyDescent="0.3">
      <c r="H3" s="74" t="s">
        <v>108</v>
      </c>
      <c r="I3" s="74"/>
      <c r="J3" s="74"/>
      <c r="K3" s="74"/>
      <c r="L3" s="74" t="s">
        <v>109</v>
      </c>
      <c r="M3" s="74"/>
      <c r="N3" s="74"/>
      <c r="O3" s="74"/>
      <c r="P3" s="74" t="s">
        <v>110</v>
      </c>
      <c r="Q3" s="74"/>
      <c r="R3" s="74"/>
      <c r="S3" s="74"/>
    </row>
    <row r="4" spans="1:19" x14ac:dyDescent="0.3">
      <c r="A4" s="16" t="s">
        <v>68</v>
      </c>
      <c r="B4" s="2" t="s">
        <v>107</v>
      </c>
      <c r="C4" s="2"/>
      <c r="D4" s="2"/>
      <c r="E4" s="2"/>
      <c r="F4" s="2"/>
      <c r="G4" s="2"/>
      <c r="H4" s="26" t="s">
        <v>102</v>
      </c>
      <c r="I4" s="26" t="s">
        <v>103</v>
      </c>
      <c r="J4" s="26" t="s">
        <v>104</v>
      </c>
      <c r="K4" s="26" t="s">
        <v>105</v>
      </c>
      <c r="L4" s="26" t="s">
        <v>102</v>
      </c>
      <c r="M4" s="26" t="s">
        <v>103</v>
      </c>
      <c r="N4" s="26" t="s">
        <v>104</v>
      </c>
      <c r="O4" s="26" t="s">
        <v>105</v>
      </c>
      <c r="P4" s="26" t="s">
        <v>102</v>
      </c>
      <c r="Q4" s="26" t="s">
        <v>103</v>
      </c>
      <c r="R4" s="26" t="s">
        <v>104</v>
      </c>
      <c r="S4" s="26" t="s">
        <v>128</v>
      </c>
    </row>
    <row r="5" spans="1:19" s="21" customFormat="1" ht="1.95" customHeight="1" x14ac:dyDescent="0.3">
      <c r="B5" s="22"/>
      <c r="C5" s="22"/>
      <c r="D5" s="22"/>
      <c r="E5" s="22"/>
      <c r="F5" s="22"/>
      <c r="G5" s="22"/>
      <c r="H5" s="22"/>
      <c r="I5" s="22"/>
      <c r="J5" s="22"/>
      <c r="K5" s="22"/>
      <c r="L5" s="23"/>
      <c r="M5" s="23"/>
      <c r="N5" s="23"/>
      <c r="O5" s="23"/>
      <c r="P5" s="23"/>
    </row>
    <row r="41" spans="1:21" s="21" customFormat="1" ht="1.95" customHeight="1" x14ac:dyDescent="0.3">
      <c r="A41" s="1"/>
      <c r="B41" s="1"/>
      <c r="C41" s="1"/>
      <c r="D41" s="1"/>
      <c r="E41" s="1"/>
      <c r="F41" s="1"/>
      <c r="G41" s="1"/>
      <c r="H41" s="1"/>
      <c r="I41" s="1"/>
      <c r="J41" s="1"/>
      <c r="K41" s="1"/>
      <c r="L41" s="1"/>
      <c r="M41" s="1"/>
      <c r="N41" s="1"/>
      <c r="O41" s="1"/>
      <c r="P41" s="1"/>
      <c r="Q41" s="1"/>
      <c r="R41" s="1"/>
      <c r="S41" s="1"/>
      <c r="T41" s="1"/>
      <c r="U41" s="1"/>
    </row>
    <row r="64" spans="1:21" s="21" customFormat="1" ht="1.95" customHeight="1" x14ac:dyDescent="0.3">
      <c r="A64" s="1"/>
      <c r="B64" s="1"/>
      <c r="C64" s="1"/>
      <c r="D64" s="1"/>
      <c r="E64" s="1"/>
      <c r="F64" s="1"/>
      <c r="G64" s="1"/>
      <c r="H64" s="1"/>
      <c r="I64" s="1"/>
      <c r="J64" s="1"/>
      <c r="K64" s="1"/>
      <c r="L64" s="1"/>
      <c r="M64" s="1"/>
      <c r="N64" s="1"/>
      <c r="O64" s="1"/>
      <c r="P64" s="1"/>
      <c r="Q64" s="1"/>
      <c r="R64" s="1"/>
      <c r="S64" s="1"/>
      <c r="T64" s="1"/>
      <c r="U64" s="1"/>
    </row>
    <row r="88" spans="1:21" s="21" customFormat="1" ht="1.95" customHeight="1" x14ac:dyDescent="0.3">
      <c r="A88" s="1"/>
      <c r="B88" s="1"/>
      <c r="C88" s="1"/>
      <c r="D88" s="1"/>
      <c r="E88" s="1"/>
      <c r="F88" s="1"/>
      <c r="G88" s="1"/>
      <c r="H88" s="1"/>
      <c r="I88" s="1"/>
      <c r="J88" s="1"/>
      <c r="K88" s="1"/>
      <c r="L88" s="1"/>
      <c r="M88" s="1"/>
      <c r="N88" s="1"/>
      <c r="O88" s="1"/>
      <c r="P88" s="1"/>
      <c r="Q88" s="1"/>
      <c r="R88" s="1"/>
      <c r="S88" s="1"/>
      <c r="T88" s="1"/>
      <c r="U88" s="1"/>
    </row>
  </sheetData>
  <mergeCells count="3">
    <mergeCell ref="H3:K3"/>
    <mergeCell ref="L3:O3"/>
    <mergeCell ref="P3:S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4745F-24E1-4659-A286-4BFD9FA678E7}">
  <dimension ref="G3:H3"/>
  <sheetViews>
    <sheetView showGridLines="0" workbookViewId="0">
      <selection activeCell="G3" sqref="G3"/>
    </sheetView>
  </sheetViews>
  <sheetFormatPr defaultRowHeight="15.6" x14ac:dyDescent="0.3"/>
  <sheetData>
    <row r="3" spans="7:8" x14ac:dyDescent="0.3">
      <c r="G3" t="e" vm="1">
        <v>#VALUE!</v>
      </c>
      <c r="H3" s="66" cm="1">
        <f t="array" aca="1" ref="H3" ca="1">_FV(G3,"Price")</f>
        <v>52.99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Segments</vt:lpstr>
      <vt:lpstr>Quarterly Segments</vt:lpstr>
      <vt:lpstr>Extras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 Odabasi</dc:creator>
  <cp:lastModifiedBy>Kerem Odabasi</cp:lastModifiedBy>
  <dcterms:created xsi:type="dcterms:W3CDTF">2026-01-02T23:21:27Z</dcterms:created>
  <dcterms:modified xsi:type="dcterms:W3CDTF">2026-05-20T18:42:48Z</dcterms:modified>
</cp:coreProperties>
</file>