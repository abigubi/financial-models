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BCEB0487-47A8-4E8E-8C32-474901C83BA4}" xr6:coauthVersionLast="47" xr6:coauthVersionMax="47" xr10:uidLastSave="{00000000-0000-0000-0000-000000000000}"/>
  <bookViews>
    <workbookView xWindow="384" yWindow="360" windowWidth="23016" windowHeight="12336" xr2:uid="{00000000-000D-0000-FFFF-FFFF00000000}"/>
  </bookViews>
  <sheets>
    <sheet name="Model" sheetId="1" r:id="rId1"/>
    <sheet name="Geographic Revenu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7" i="1"/>
  <c r="G21" i="1"/>
  <c r="F21" i="1"/>
  <c r="C65" i="1"/>
  <c r="L9" i="1"/>
  <c r="F17" i="1"/>
  <c r="F13" i="1"/>
  <c r="E11" i="2"/>
  <c r="G9" i="1"/>
  <c r="H9" i="1"/>
  <c r="I9" i="1"/>
  <c r="J9" i="1"/>
  <c r="K9" i="1"/>
  <c r="F49" i="1"/>
  <c r="G49" i="1"/>
  <c r="H49" i="1"/>
  <c r="I49" i="1"/>
  <c r="J49" i="1"/>
  <c r="K49" i="1"/>
  <c r="G50" i="1"/>
  <c r="H50" i="1"/>
  <c r="I50" i="1"/>
  <c r="J50" i="1"/>
  <c r="K50" i="1"/>
  <c r="C25" i="1"/>
  <c r="C10" i="1"/>
  <c r="D25" i="1"/>
  <c r="D10" i="1"/>
  <c r="E25" i="1"/>
  <c r="E10" i="1"/>
  <c r="E23" i="1"/>
  <c r="F23" i="1"/>
  <c r="H17" i="1"/>
  <c r="I17" i="1"/>
  <c r="J17" i="1"/>
  <c r="K17" i="1"/>
  <c r="L17" i="1"/>
  <c r="H21" i="1"/>
  <c r="I21" i="1"/>
  <c r="J21" i="1"/>
  <c r="K21" i="1"/>
  <c r="L21" i="1"/>
  <c r="F10" i="1"/>
  <c r="C47" i="1"/>
  <c r="G23" i="1"/>
  <c r="I23" i="1"/>
  <c r="J23" i="1"/>
  <c r="H23" i="1"/>
  <c r="H13" i="1"/>
  <c r="I13" i="1"/>
  <c r="G25" i="1"/>
  <c r="G10" i="1"/>
  <c r="K23" i="1"/>
  <c r="K56" i="1"/>
  <c r="G56" i="1"/>
  <c r="H56" i="1"/>
  <c r="J56" i="1"/>
  <c r="I56" i="1"/>
  <c r="D23" i="1"/>
  <c r="D26" i="1"/>
  <c r="E30" i="1"/>
  <c r="E22" i="1"/>
  <c r="E26" i="1"/>
  <c r="D30" i="1"/>
  <c r="D22" i="1"/>
  <c r="F30" i="1"/>
  <c r="F26" i="1"/>
  <c r="C53" i="1"/>
  <c r="F22" i="1"/>
  <c r="H25" i="1"/>
  <c r="H10" i="1"/>
  <c r="C30" i="1"/>
  <c r="C33" i="1"/>
  <c r="F15" i="1"/>
  <c r="F19" i="1"/>
  <c r="F18" i="1"/>
  <c r="I25" i="1"/>
  <c r="I10" i="1"/>
  <c r="J13" i="1"/>
  <c r="C42" i="1"/>
  <c r="C35" i="1"/>
  <c r="C36" i="1"/>
  <c r="C39" i="1"/>
  <c r="G26" i="1"/>
  <c r="G30" i="1"/>
  <c r="H30" i="1"/>
  <c r="H26" i="1"/>
  <c r="G15" i="1"/>
  <c r="E18" i="1"/>
  <c r="F14" i="1"/>
  <c r="G19" i="1"/>
  <c r="G18" i="1"/>
  <c r="E14" i="1"/>
  <c r="H22" i="1"/>
  <c r="H32" i="1"/>
  <c r="G22" i="1"/>
  <c r="G32" i="1"/>
  <c r="I30" i="1"/>
  <c r="J25" i="1"/>
  <c r="J10" i="1"/>
  <c r="K13" i="1"/>
  <c r="I26" i="1"/>
  <c r="G38" i="1"/>
  <c r="H38" i="1"/>
  <c r="H19" i="1"/>
  <c r="F33" i="1"/>
  <c r="F51" i="1"/>
  <c r="F39" i="1"/>
  <c r="F44" i="1"/>
  <c r="F45" i="1"/>
  <c r="H15" i="1"/>
  <c r="I19" i="1"/>
  <c r="E39" i="1"/>
  <c r="E44" i="1"/>
  <c r="E33" i="1"/>
  <c r="G14" i="1"/>
  <c r="I22" i="1"/>
  <c r="I32" i="1"/>
  <c r="K25" i="1"/>
  <c r="L13" i="1"/>
  <c r="I38" i="1"/>
  <c r="J30" i="1"/>
  <c r="J26" i="1"/>
  <c r="E35" i="1"/>
  <c r="I15" i="1"/>
  <c r="I14" i="1"/>
  <c r="G44" i="1"/>
  <c r="G39" i="1"/>
  <c r="G33" i="1"/>
  <c r="G35" i="1"/>
  <c r="G41" i="1"/>
  <c r="G45" i="1"/>
  <c r="G51" i="1"/>
  <c r="H14" i="1"/>
  <c r="F35" i="1"/>
  <c r="H18" i="1"/>
  <c r="J22" i="1"/>
  <c r="J32" i="1"/>
  <c r="K10" i="1"/>
  <c r="L10" i="1"/>
  <c r="L25" i="1"/>
  <c r="J38" i="1"/>
  <c r="K30" i="1"/>
  <c r="K32" i="1"/>
  <c r="K26" i="1"/>
  <c r="F36" i="1"/>
  <c r="J19" i="1"/>
  <c r="H39" i="1"/>
  <c r="H51" i="1"/>
  <c r="H33" i="1"/>
  <c r="H44" i="1"/>
  <c r="J15" i="1"/>
  <c r="I18" i="1"/>
  <c r="G36" i="1"/>
  <c r="E36" i="1"/>
  <c r="K22" i="1"/>
  <c r="L30" i="1"/>
  <c r="K38" i="1"/>
  <c r="K15" i="1"/>
  <c r="J18" i="1"/>
  <c r="I44" i="1"/>
  <c r="I33" i="1"/>
  <c r="I39" i="1"/>
  <c r="I51" i="1"/>
  <c r="J14" i="1"/>
  <c r="H35" i="1"/>
  <c r="H41" i="1"/>
  <c r="H45" i="1"/>
  <c r="G47" i="1"/>
  <c r="G53" i="1"/>
  <c r="G57" i="1"/>
  <c r="G42" i="1"/>
  <c r="F42" i="1"/>
  <c r="F47" i="1"/>
  <c r="F53" i="1"/>
  <c r="K18" i="1"/>
  <c r="K19" i="1"/>
  <c r="E47" i="1"/>
  <c r="E42" i="1"/>
  <c r="I35" i="1"/>
  <c r="I41" i="1"/>
  <c r="J44" i="1"/>
  <c r="J33" i="1"/>
  <c r="J51" i="1"/>
  <c r="J39" i="1"/>
  <c r="H36" i="1"/>
  <c r="K14" i="1"/>
  <c r="I36" i="1"/>
  <c r="J35" i="1"/>
  <c r="J41" i="1"/>
  <c r="J45" i="1"/>
  <c r="K33" i="1"/>
  <c r="K39" i="1"/>
  <c r="K51" i="1"/>
  <c r="K44" i="1"/>
  <c r="H42" i="1"/>
  <c r="H47" i="1"/>
  <c r="H53" i="1"/>
  <c r="H57" i="1"/>
  <c r="J36" i="1"/>
  <c r="I42" i="1"/>
  <c r="I45" i="1"/>
  <c r="I47" i="1"/>
  <c r="I53" i="1"/>
  <c r="I57" i="1"/>
  <c r="J42" i="1"/>
  <c r="J47" i="1"/>
  <c r="J53" i="1"/>
  <c r="J57" i="1"/>
  <c r="K35" i="1"/>
  <c r="K41" i="1"/>
  <c r="L35" i="1"/>
  <c r="K36" i="1"/>
  <c r="K45" i="1"/>
  <c r="L41" i="1"/>
  <c r="K42" i="1"/>
  <c r="K47" i="1"/>
  <c r="K53" i="1"/>
  <c r="K57" i="1"/>
  <c r="C76" i="1"/>
  <c r="L53" i="1"/>
  <c r="D39" i="1"/>
  <c r="E51" i="1"/>
  <c r="E53" i="1"/>
  <c r="E15" i="1"/>
  <c r="C69" i="1"/>
  <c r="C71" i="1"/>
  <c r="C72" i="1"/>
  <c r="C77" i="1"/>
  <c r="C80" i="1"/>
  <c r="C85" i="1"/>
  <c r="C88" i="1"/>
  <c r="D14" i="1"/>
  <c r="D51" i="1"/>
  <c r="E19" i="1"/>
  <c r="D35" i="1"/>
  <c r="D36" i="1"/>
  <c r="D33" i="1"/>
  <c r="D18" i="1"/>
  <c r="D15" i="1"/>
  <c r="D44" i="1"/>
  <c r="D19" i="1"/>
  <c r="D42" i="1"/>
  <c r="D47" i="1"/>
  <c r="D53" i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<sst xmlns="http://schemas.openxmlformats.org/spreadsheetml/2006/main" count="91" uniqueCount="71">
  <si>
    <t>OPERA LIMITED ($OPRA)</t>
  </si>
  <si>
    <t>Year</t>
  </si>
  <si>
    <t>FY2024A</t>
  </si>
  <si>
    <t>FY2025E</t>
  </si>
  <si>
    <t>FY2026E</t>
  </si>
  <si>
    <t>FY2027E</t>
  </si>
  <si>
    <t>FY2028E</t>
  </si>
  <si>
    <t>FY2029E</t>
  </si>
  <si>
    <t>FY2030E</t>
  </si>
  <si>
    <t>USER METRICS &amp; MONETIZATION</t>
  </si>
  <si>
    <t>Monthly Active Users (MAU, millions)</t>
  </si>
  <si>
    <t>Annualized ARPU ($)</t>
  </si>
  <si>
    <t>Advertising Revenue</t>
  </si>
  <si>
    <t xml:space="preserve">  % of Total Revenue</t>
  </si>
  <si>
    <t xml:space="preserve">  YoY Growth</t>
  </si>
  <si>
    <t>Search Revenue</t>
  </si>
  <si>
    <t>Total Revenue</t>
  </si>
  <si>
    <t>Revenue</t>
  </si>
  <si>
    <t>Cost of Revenue</t>
  </si>
  <si>
    <t xml:space="preserve">  % of Revenue</t>
  </si>
  <si>
    <t>Gross Profit</t>
  </si>
  <si>
    <t xml:space="preserve">  Gross Margin</t>
  </si>
  <si>
    <t>Operating Expenses</t>
  </si>
  <si>
    <t>EBITDA</t>
  </si>
  <si>
    <t xml:space="preserve">  EBITDA Margin</t>
  </si>
  <si>
    <t>Less: D&amp;A</t>
  </si>
  <si>
    <t>Less: Taxes</t>
  </si>
  <si>
    <t>NOPAT</t>
  </si>
  <si>
    <t>Add: D&amp;A</t>
  </si>
  <si>
    <t>Less: CapEx</t>
  </si>
  <si>
    <t>Less: Chg in NWC</t>
  </si>
  <si>
    <t>Unlevered Free Cash Flow</t>
  </si>
  <si>
    <t>Discount Period (midyear)</t>
  </si>
  <si>
    <t>Discount Factor</t>
  </si>
  <si>
    <t>PV of FCF</t>
  </si>
  <si>
    <t>WACC</t>
  </si>
  <si>
    <t xml:space="preserve">  Risk-Free Rate (10Y Treasury)</t>
  </si>
  <si>
    <t xml:space="preserve">  Beta</t>
  </si>
  <si>
    <t xml:space="preserve">  Market Risk Premium</t>
  </si>
  <si>
    <t>Terminal Year FCF</t>
  </si>
  <si>
    <t>Terminal Growth Rate</t>
  </si>
  <si>
    <t>Terminal Value</t>
  </si>
  <si>
    <t>PV of Terminal Value</t>
  </si>
  <si>
    <t>PV of Forecast Period FCF</t>
  </si>
  <si>
    <t>Enterprise Value</t>
  </si>
  <si>
    <t>Less: Net Debt</t>
  </si>
  <si>
    <t>Equity Value</t>
  </si>
  <si>
    <t>Diluted Shares Outstanding (mm)</t>
  </si>
  <si>
    <t>Implied Share Price</t>
  </si>
  <si>
    <t>Current Stock Price</t>
  </si>
  <si>
    <t>Upside/(Downside)</t>
  </si>
  <si>
    <t>FY2022A</t>
  </si>
  <si>
    <t>FY2023A</t>
  </si>
  <si>
    <t>Technology licensing and other revenue</t>
  </si>
  <si>
    <t>Income Statement &amp; Cash Flows ($mm)</t>
  </si>
  <si>
    <t>Valuation Summary</t>
  </si>
  <si>
    <t>Investment in Opay</t>
  </si>
  <si>
    <t>Geographic Revenue</t>
  </si>
  <si>
    <t>United States</t>
  </si>
  <si>
    <t>Singapore</t>
  </si>
  <si>
    <t>Nigeria</t>
  </si>
  <si>
    <t>Russia</t>
  </si>
  <si>
    <t>Mainland China</t>
  </si>
  <si>
    <t>Germany</t>
  </si>
  <si>
    <t>Japan</t>
  </si>
  <si>
    <t>India</t>
  </si>
  <si>
    <t>Y/Y Change</t>
  </si>
  <si>
    <t xml:space="preserve">% of Total </t>
  </si>
  <si>
    <t>Other</t>
  </si>
  <si>
    <t>REVENUE BY SEGMENT ($mm)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</si>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</sst>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&quot;$&quot;0.00"/>
    <numFmt numFmtId="167" formatCode="0.000"/>
    <numFmt numFmtId="168" formatCode="0.0%;\(0.00%\)"/>
    <numFmt numFmtId="169" formatCode="0.00%;\(0.00%\)"/>
  </numFmts>
  <fonts count="10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9"/>
      <color rgb="FF80808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F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166" fontId="0" fillId="0" borderId="0" xfId="0" applyNumberForma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0" fontId="4" fillId="0" borderId="0" xfId="0" applyFont="1"/>
    <xf numFmtId="3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3" fontId="4" fillId="0" borderId="0" xfId="0" applyNumberFormat="1" applyFont="1"/>
    <xf numFmtId="167" fontId="0" fillId="0" borderId="0" xfId="0" applyNumberFormat="1"/>
    <xf numFmtId="10" fontId="5" fillId="0" borderId="0" xfId="0" applyNumberFormat="1" applyFont="1"/>
    <xf numFmtId="2" fontId="1" fillId="0" borderId="0" xfId="0" applyNumberFormat="1" applyFont="1"/>
    <xf numFmtId="164" fontId="6" fillId="0" borderId="0" xfId="0" applyNumberFormat="1" applyFont="1"/>
    <xf numFmtId="164" fontId="4" fillId="0" borderId="0" xfId="0" applyNumberFormat="1" applyFont="1"/>
    <xf numFmtId="0" fontId="4" fillId="0" borderId="1" xfId="0" applyFont="1" applyBorder="1"/>
    <xf numFmtId="3" fontId="4" fillId="0" borderId="2" xfId="0" applyNumberFormat="1" applyFont="1" applyBorder="1"/>
    <xf numFmtId="3" fontId="4" fillId="0" borderId="3" xfId="0" applyNumberFormat="1" applyFont="1" applyBorder="1"/>
    <xf numFmtId="3" fontId="8" fillId="0" borderId="0" xfId="0" applyNumberFormat="1" applyFont="1"/>
    <xf numFmtId="0" fontId="4" fillId="3" borderId="0" xfId="0" applyFont="1" applyFill="1"/>
    <xf numFmtId="3" fontId="5" fillId="3" borderId="0" xfId="0" applyNumberFormat="1" applyFont="1" applyFill="1"/>
    <xf numFmtId="3" fontId="4" fillId="3" borderId="0" xfId="0" applyNumberFormat="1" applyFont="1" applyFill="1"/>
    <xf numFmtId="166" fontId="4" fillId="0" borderId="0" xfId="0" applyNumberFormat="1" applyFont="1"/>
    <xf numFmtId="0" fontId="4" fillId="4" borderId="0" xfId="0" applyFont="1" applyFill="1"/>
    <xf numFmtId="3" fontId="4" fillId="4" borderId="0" xfId="0" applyNumberFormat="1" applyFont="1" applyFill="1"/>
    <xf numFmtId="168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0" fontId="0" fillId="4" borderId="0" xfId="0" applyFill="1"/>
    <xf numFmtId="0" fontId="3" fillId="4" borderId="0" xfId="0" applyFont="1" applyFill="1"/>
    <xf numFmtId="167" fontId="9" fillId="0" borderId="0" xfId="0" applyNumberFormat="1" applyFont="1"/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499947</xdr:colOff>
      <xdr:row>1</xdr:row>
      <xdr:rowOff>178270</xdr:rowOff>
    </xdr:from>
    <xdr:to>
      <xdr:col>22</xdr:col>
      <xdr:colOff>151698</xdr:colOff>
      <xdr:row>12</xdr:row>
      <xdr:rowOff>113211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88EAF-67BF-4509-BE19-C904C1F1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5547" y="361150"/>
          <a:ext cx="6357351" cy="212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504457</xdr:colOff>
      <xdr:row>0</xdr:row>
      <xdr:rowOff>135241</xdr:rowOff>
    </xdr:from>
    <xdr:to>
      <xdr:col>11</xdr:col>
      <xdr:colOff>224179</xdr:colOff>
      <xdr:row>13</xdr:row>
      <xdr:rowOff>34834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CE2CF7-8705-443D-95BE-940C44845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057" y="135241"/>
          <a:ext cx="2767722" cy="2459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343682-8631-41E4-A83D-01AD131C62CA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showGridLines="0" tabSelected="1" zoomScaleNormal="100" workbookViewId="0">
      <selection activeCell="B60" sqref="B60:C89"/>
    </sheetView>
  </sheetViews>
  <sheetFormatPr defaultColWidth="15.21875" defaultRowHeight="14.4" customHeight="1" x14ac:dyDescent="0.3"/>
  <cols>
    <col min="1" max="1" width="3.77734375" customWidth="1"/>
    <col min="2" max="2" width="36.44140625" customWidth="1"/>
    <col min="3" max="12" width="10.77734375" customWidth="1"/>
  </cols>
  <sheetData>
    <row r="1" spans="2:12" ht="7.95" customHeight="1" x14ac:dyDescent="0.3"/>
    <row r="2" spans="2:12" ht="7.95" customHeight="1" x14ac:dyDescent="0.3"/>
    <row r="3" spans="2:12" ht="14.4" customHeight="1" x14ac:dyDescent="0.3">
      <c r="B3" s="37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ht="14.4" customHeight="1" x14ac:dyDescent="0.3">
      <c r="B4" s="37"/>
      <c r="C4" s="3"/>
      <c r="D4" s="3"/>
      <c r="E4" s="3"/>
      <c r="F4" s="3"/>
      <c r="G4" s="3"/>
      <c r="H4" s="3"/>
      <c r="I4" s="3"/>
      <c r="J4" s="3"/>
      <c r="K4" s="3"/>
      <c r="L4" s="3"/>
    </row>
    <row r="6" spans="2:12" ht="14.4" customHeight="1" x14ac:dyDescent="0.3">
      <c r="B6" s="5" t="s">
        <v>1</v>
      </c>
      <c r="C6" s="6" t="s">
        <v>51</v>
      </c>
      <c r="D6" s="6" t="s">
        <v>52</v>
      </c>
      <c r="E6" s="6" t="s">
        <v>2</v>
      </c>
      <c r="F6" s="6" t="s">
        <v>3</v>
      </c>
      <c r="G6" s="6" t="s">
        <v>4</v>
      </c>
      <c r="H6" s="6" t="s">
        <v>5</v>
      </c>
      <c r="I6" s="6" t="s">
        <v>6</v>
      </c>
      <c r="J6" s="6" t="s">
        <v>7</v>
      </c>
      <c r="K6" s="6" t="s">
        <v>8</v>
      </c>
      <c r="L6" s="6" t="s">
        <v>70</v>
      </c>
    </row>
    <row r="7" spans="2:12" ht="3" customHeight="1" x14ac:dyDescent="0.3"/>
    <row r="8" spans="2:12" ht="14.4" customHeight="1" x14ac:dyDescent="0.3">
      <c r="B8" s="24" t="s">
        <v>9</v>
      </c>
    </row>
    <row r="9" spans="2:12" ht="14.4" customHeight="1" x14ac:dyDescent="0.3">
      <c r="B9" t="s">
        <v>10</v>
      </c>
      <c r="C9" s="7">
        <v>323</v>
      </c>
      <c r="D9" s="7">
        <v>311</v>
      </c>
      <c r="E9" s="7">
        <v>311</v>
      </c>
      <c r="F9" s="7">
        <v>284</v>
      </c>
      <c r="G9" s="8">
        <f>F9*0.98</f>
        <v>278.32</v>
      </c>
      <c r="H9" s="8">
        <f>G9*0.98</f>
        <v>272.75360000000001</v>
      </c>
      <c r="I9" s="8">
        <f>H9*1</f>
        <v>272.75360000000001</v>
      </c>
      <c r="J9" s="8">
        <f>I9*1.05</f>
        <v>286.39127999999999</v>
      </c>
      <c r="K9" s="8">
        <f>J9*1.05</f>
        <v>300.71084400000001</v>
      </c>
      <c r="L9" s="31">
        <f>(K9/F9)^(1/5)-1</f>
        <v>1.1500612074110794E-2</v>
      </c>
    </row>
    <row r="10" spans="2:12" ht="14.4" customHeight="1" x14ac:dyDescent="0.3">
      <c r="B10" t="s">
        <v>11</v>
      </c>
      <c r="C10" s="4">
        <f t="shared" ref="C10:F10" si="0">C25/C9</f>
        <v>0.77733746130030967</v>
      </c>
      <c r="D10" s="4">
        <f t="shared" si="0"/>
        <v>1.2759710610932475</v>
      </c>
      <c r="E10" s="4">
        <f t="shared" si="0"/>
        <v>1.5454919614147908</v>
      </c>
      <c r="F10" s="4">
        <f t="shared" si="0"/>
        <v>2.1647887323943662</v>
      </c>
      <c r="G10" s="4">
        <f>G25/G9</f>
        <v>2.5971554793043978</v>
      </c>
      <c r="H10" s="4">
        <f t="shared" ref="H10:K10" si="1">H25/H9</f>
        <v>2.9979471282615515</v>
      </c>
      <c r="I10" s="4">
        <f t="shared" si="1"/>
        <v>3.2377044249199645</v>
      </c>
      <c r="J10" s="4">
        <f t="shared" si="1"/>
        <v>3.3243297016930513</v>
      </c>
      <c r="K10" s="4">
        <f t="shared" si="1"/>
        <v>3.3702367110557732</v>
      </c>
      <c r="L10" s="31">
        <f>(K10/F10)^(1/5)-1</f>
        <v>9.2569259949247806E-2</v>
      </c>
    </row>
    <row r="12" spans="2:12" ht="14.4" customHeight="1" x14ac:dyDescent="0.3">
      <c r="B12" s="24" t="s">
        <v>69</v>
      </c>
    </row>
    <row r="13" spans="2:12" ht="14.4" customHeight="1" x14ac:dyDescent="0.3">
      <c r="B13" s="10" t="s">
        <v>12</v>
      </c>
      <c r="C13" s="11">
        <v>123.91</v>
      </c>
      <c r="D13" s="11">
        <v>230.98</v>
      </c>
      <c r="E13" s="11">
        <v>293.44799999999998</v>
      </c>
      <c r="F13" s="12">
        <f>E13*1.34</f>
        <v>393.22032000000002</v>
      </c>
      <c r="G13" s="12">
        <f>F13*1.22</f>
        <v>479.72879039999998</v>
      </c>
      <c r="H13" s="12">
        <f>G13*1.17</f>
        <v>561.28268476799997</v>
      </c>
      <c r="I13" s="12">
        <f>H13*1.1</f>
        <v>617.4109532448</v>
      </c>
      <c r="J13" s="12">
        <f>I13*1.1</f>
        <v>679.15204856928005</v>
      </c>
      <c r="K13" s="12">
        <f>J13*1.08</f>
        <v>733.48421245482245</v>
      </c>
      <c r="L13" s="31">
        <f t="shared" ref="L13:L17" si="2">(K13/F13)^(1/5)-1</f>
        <v>0.13279406154107476</v>
      </c>
    </row>
    <row r="14" spans="2:12" ht="14.4" customHeight="1" x14ac:dyDescent="0.3">
      <c r="B14" t="s">
        <v>13</v>
      </c>
      <c r="C14" s="13">
        <v>0.626</v>
      </c>
      <c r="D14" s="13">
        <f t="shared" ref="D14:K14" si="3">D13/D25</f>
        <v>0.58206724844831625</v>
      </c>
      <c r="E14" s="13">
        <f t="shared" si="3"/>
        <v>0.61052579018325259</v>
      </c>
      <c r="F14" s="13">
        <f t="shared" si="3"/>
        <v>0.63959063109954462</v>
      </c>
      <c r="G14" s="13">
        <f t="shared" si="3"/>
        <v>0.6636718812886685</v>
      </c>
      <c r="H14" s="13">
        <f t="shared" si="3"/>
        <v>0.68641566139331112</v>
      </c>
      <c r="I14" s="13">
        <f t="shared" si="3"/>
        <v>0.69914400756658635</v>
      </c>
      <c r="J14" s="13">
        <f t="shared" si="3"/>
        <v>0.71335077045598505</v>
      </c>
      <c r="K14" s="13">
        <f t="shared" si="3"/>
        <v>0.72373783345616949</v>
      </c>
      <c r="L14" s="31"/>
    </row>
    <row r="15" spans="2:12" ht="14.4" customHeight="1" x14ac:dyDescent="0.3">
      <c r="B15" t="s">
        <v>14</v>
      </c>
      <c r="D15" s="13">
        <f t="shared" ref="D15:K15" si="4">D13/C13-1</f>
        <v>0.86409490759422147</v>
      </c>
      <c r="E15" s="13">
        <f t="shared" si="4"/>
        <v>0.27044765780587054</v>
      </c>
      <c r="F15" s="13">
        <f t="shared" si="4"/>
        <v>0.34000000000000008</v>
      </c>
      <c r="G15" s="13">
        <f t="shared" si="4"/>
        <v>0.21999999999999997</v>
      </c>
      <c r="H15" s="13">
        <f t="shared" si="4"/>
        <v>0.16999999999999993</v>
      </c>
      <c r="I15" s="13">
        <f t="shared" si="4"/>
        <v>0.10000000000000009</v>
      </c>
      <c r="J15" s="13">
        <f t="shared" si="4"/>
        <v>0.10000000000000009</v>
      </c>
      <c r="K15" s="13">
        <f t="shared" si="4"/>
        <v>8.0000000000000071E-2</v>
      </c>
      <c r="L15" s="31"/>
    </row>
    <row r="17" spans="2:12" ht="14.4" customHeight="1" x14ac:dyDescent="0.3">
      <c r="B17" s="10" t="s">
        <v>15</v>
      </c>
      <c r="C17" s="11">
        <v>121.96</v>
      </c>
      <c r="D17" s="11">
        <v>162.16800000000001</v>
      </c>
      <c r="E17" s="11">
        <v>186.273</v>
      </c>
      <c r="F17" s="12">
        <f>E17*1.14</f>
        <v>212.35121999999998</v>
      </c>
      <c r="G17" s="12">
        <f>F17*1.135</f>
        <v>241.01863469999998</v>
      </c>
      <c r="H17" s="12">
        <f>G17*1.05</f>
        <v>253.06956643499998</v>
      </c>
      <c r="I17" s="12">
        <f>H17*1.03</f>
        <v>260.66165342804999</v>
      </c>
      <c r="J17" s="12">
        <f>I17*1.02</f>
        <v>265.874886496611</v>
      </c>
      <c r="K17" s="12">
        <f>J17*1.02</f>
        <v>271.1923842265432</v>
      </c>
      <c r="L17" s="31">
        <f t="shared" si="2"/>
        <v>5.013357922494488E-2</v>
      </c>
    </row>
    <row r="18" spans="2:12" ht="14.4" customHeight="1" x14ac:dyDescent="0.3">
      <c r="B18" t="s">
        <v>13</v>
      </c>
      <c r="C18" s="13">
        <v>0.373</v>
      </c>
      <c r="D18" s="13">
        <f t="shared" ref="D18:K18" si="5">D17/D25</f>
        <v>0.40866170900669563</v>
      </c>
      <c r="E18" s="13">
        <f t="shared" si="5"/>
        <v>0.38754556348928948</v>
      </c>
      <c r="F18" s="13">
        <f t="shared" si="5"/>
        <v>0.34539886141834741</v>
      </c>
      <c r="G18" s="13">
        <f t="shared" si="5"/>
        <v>0.33343275183380644</v>
      </c>
      <c r="H18" s="13">
        <f t="shared" si="5"/>
        <v>0.30948917281280558</v>
      </c>
      <c r="I18" s="13">
        <f t="shared" si="5"/>
        <v>0.29516812430822287</v>
      </c>
      <c r="J18" s="13">
        <f t="shared" si="5"/>
        <v>0.27926302442406264</v>
      </c>
      <c r="K18" s="13">
        <f t="shared" si="5"/>
        <v>0.26758883869231259</v>
      </c>
    </row>
    <row r="19" spans="2:12" ht="14.4" customHeight="1" x14ac:dyDescent="0.3">
      <c r="B19" t="s">
        <v>14</v>
      </c>
      <c r="D19" s="13">
        <f t="shared" ref="D19:K19" si="6">D17/C17-1</f>
        <v>0.32968186290587087</v>
      </c>
      <c r="E19" s="13">
        <f t="shared" si="6"/>
        <v>0.14864214888264016</v>
      </c>
      <c r="F19" s="13">
        <f t="shared" si="6"/>
        <v>0.1399999999999999</v>
      </c>
      <c r="G19" s="13">
        <f t="shared" si="6"/>
        <v>0.13500000000000001</v>
      </c>
      <c r="H19" s="13">
        <f t="shared" si="6"/>
        <v>5.0000000000000044E-2</v>
      </c>
      <c r="I19" s="13">
        <f t="shared" si="6"/>
        <v>3.0000000000000027E-2</v>
      </c>
      <c r="J19" s="13">
        <f t="shared" si="6"/>
        <v>2.0000000000000018E-2</v>
      </c>
      <c r="K19" s="13">
        <f t="shared" si="6"/>
        <v>2.0000000000000018E-2</v>
      </c>
    </row>
    <row r="20" spans="2:12" ht="14.4" customHeight="1" x14ac:dyDescent="0.3">
      <c r="D20" s="13"/>
      <c r="E20" s="13"/>
      <c r="F20" s="13"/>
      <c r="G20" s="13"/>
      <c r="H20" s="13"/>
      <c r="I20" s="13"/>
      <c r="J20" s="13"/>
      <c r="K20" s="13"/>
    </row>
    <row r="21" spans="2:12" ht="14.4" customHeight="1" x14ac:dyDescent="0.3">
      <c r="B21" s="10" t="s">
        <v>53</v>
      </c>
      <c r="C21" s="11">
        <v>5.21</v>
      </c>
      <c r="D21" s="11">
        <v>3.6789999999999998</v>
      </c>
      <c r="E21" s="11">
        <v>0.92700000000000005</v>
      </c>
      <c r="F21" s="12">
        <f>E21*2.11</f>
        <v>1.95597</v>
      </c>
      <c r="G21" s="12">
        <f>F21*1.07</f>
        <v>2.0928879</v>
      </c>
      <c r="H21" s="12">
        <f>G21*1.6</f>
        <v>3.34862064</v>
      </c>
      <c r="I21" s="12">
        <f>H21*1.5</f>
        <v>5.0229309600000001</v>
      </c>
      <c r="J21" s="12">
        <f>I21*1.4</f>
        <v>7.0321033439999994</v>
      </c>
      <c r="K21" s="12">
        <f>J21*1.25</f>
        <v>8.7901291799999992</v>
      </c>
      <c r="L21" s="31">
        <f t="shared" ref="L21" si="7">(K21/F21)^(1/5)-1</f>
        <v>0.35059959021994969</v>
      </c>
    </row>
    <row r="22" spans="2:12" ht="14.4" customHeight="1" x14ac:dyDescent="0.3">
      <c r="B22" t="s">
        <v>13</v>
      </c>
      <c r="C22" s="13">
        <v>0.373</v>
      </c>
      <c r="D22" s="13">
        <f>D21/D30</f>
        <v>9.2710425449881173E-3</v>
      </c>
      <c r="E22" s="13">
        <f>E21/E30</f>
        <v>1.9286463274579321E-3</v>
      </c>
      <c r="F22" s="13">
        <f t="shared" ref="F22" si="8">F21/F30</f>
        <v>3.1814736499674694E-3</v>
      </c>
      <c r="G22" s="13">
        <f t="shared" ref="G22" si="9">G21/G30</f>
        <v>2.8953668775249949E-3</v>
      </c>
      <c r="H22" s="13">
        <f t="shared" ref="H22" si="10">H21/H30</f>
        <v>4.0951657938832937E-3</v>
      </c>
      <c r="I22" s="13">
        <f t="shared" ref="I22" si="11">I21/I30</f>
        <v>5.6878681251906638E-3</v>
      </c>
      <c r="J22" s="13">
        <f t="shared" ref="J22" si="12">J21/J30</f>
        <v>7.3862051199522988E-3</v>
      </c>
      <c r="K22" s="13">
        <f t="shared" ref="K22" si="13">K21/K30</f>
        <v>8.6733278515178595E-3</v>
      </c>
    </row>
    <row r="23" spans="2:12" ht="14.4" customHeight="1" x14ac:dyDescent="0.3">
      <c r="B23" t="s">
        <v>14</v>
      </c>
      <c r="D23" s="30">
        <f>D21/C21-1</f>
        <v>-0.29385796545105569</v>
      </c>
      <c r="E23" s="30">
        <f>E21/D21-1</f>
        <v>-0.7480293558032074</v>
      </c>
      <c r="F23" s="30">
        <f t="shared" ref="F23:K23" si="14">F21/E21-1</f>
        <v>1.1099999999999999</v>
      </c>
      <c r="G23" s="30">
        <f t="shared" si="14"/>
        <v>7.0000000000000062E-2</v>
      </c>
      <c r="H23" s="30">
        <f t="shared" si="14"/>
        <v>0.60000000000000009</v>
      </c>
      <c r="I23" s="30">
        <f t="shared" si="14"/>
        <v>0.5</v>
      </c>
      <c r="J23" s="30">
        <f t="shared" si="14"/>
        <v>0.39999999999999991</v>
      </c>
      <c r="K23" s="30">
        <f t="shared" si="14"/>
        <v>0.25</v>
      </c>
    </row>
    <row r="24" spans="2:12" ht="14.4" customHeight="1" x14ac:dyDescent="0.3">
      <c r="D24" s="13"/>
      <c r="E24" s="13"/>
      <c r="F24" s="23"/>
      <c r="G24" s="23"/>
      <c r="H24" s="23"/>
      <c r="I24" s="23"/>
      <c r="J24" s="23"/>
      <c r="K24" s="23"/>
    </row>
    <row r="25" spans="2:12" ht="14.4" customHeight="1" x14ac:dyDescent="0.3">
      <c r="B25" s="24" t="s">
        <v>16</v>
      </c>
      <c r="C25" s="25">
        <f>C13+C17+C21</f>
        <v>251.08</v>
      </c>
      <c r="D25" s="25">
        <f t="shared" ref="D25" si="15">D21+D17+D13</f>
        <v>396.827</v>
      </c>
      <c r="E25" s="25">
        <f>E21+E17+E13</f>
        <v>480.64799999999997</v>
      </c>
      <c r="F25" s="25">
        <v>614.79999999999995</v>
      </c>
      <c r="G25" s="25">
        <f>G13+G17+G21</f>
        <v>722.84031300000004</v>
      </c>
      <c r="H25" s="25">
        <f t="shared" ref="H25:K25" si="16">H13+H17+H21</f>
        <v>817.70087184299996</v>
      </c>
      <c r="I25" s="25">
        <f t="shared" si="16"/>
        <v>883.0955376328501</v>
      </c>
      <c r="J25" s="25">
        <f t="shared" si="16"/>
        <v>952.05903840989106</v>
      </c>
      <c r="K25" s="25">
        <f t="shared" si="16"/>
        <v>1013.4667258613657</v>
      </c>
      <c r="L25" s="31">
        <f t="shared" ref="L25" si="17">(K25/F25)^(1/5)-1</f>
        <v>0.10513447517202223</v>
      </c>
    </row>
    <row r="26" spans="2:12" ht="14.4" customHeight="1" x14ac:dyDescent="0.3">
      <c r="B26" s="2" t="s">
        <v>14</v>
      </c>
      <c r="C26" s="13">
        <v>0.252</v>
      </c>
      <c r="D26" s="13">
        <f t="shared" ref="D26:K26" si="18">D25/C25-1</f>
        <v>0.58048032499601709</v>
      </c>
      <c r="E26" s="13">
        <f t="shared" si="18"/>
        <v>0.2112280666386106</v>
      </c>
      <c r="F26" s="13">
        <f t="shared" si="18"/>
        <v>0.27910653950500164</v>
      </c>
      <c r="G26" s="13">
        <f t="shared" si="18"/>
        <v>0.17573245445673402</v>
      </c>
      <c r="H26" s="13">
        <f t="shared" si="18"/>
        <v>0.13123307753727875</v>
      </c>
      <c r="I26" s="13">
        <f t="shared" si="18"/>
        <v>7.997382422065713E-2</v>
      </c>
      <c r="J26" s="13">
        <f t="shared" si="18"/>
        <v>7.8092910492899348E-2</v>
      </c>
      <c r="K26" s="13">
        <f t="shared" si="18"/>
        <v>6.4499873404948227E-2</v>
      </c>
    </row>
    <row r="28" spans="2:12" ht="14.4" customHeight="1" x14ac:dyDescent="0.3">
      <c r="B28" s="3" t="s">
        <v>54</v>
      </c>
      <c r="C28" s="6" t="s">
        <v>51</v>
      </c>
      <c r="D28" s="6" t="s">
        <v>52</v>
      </c>
      <c r="E28" s="6" t="s">
        <v>2</v>
      </c>
      <c r="F28" s="6" t="s">
        <v>3</v>
      </c>
      <c r="G28" s="6" t="s">
        <v>4</v>
      </c>
      <c r="H28" s="6" t="s">
        <v>5</v>
      </c>
      <c r="I28" s="6" t="s">
        <v>6</v>
      </c>
      <c r="J28" s="6" t="s">
        <v>7</v>
      </c>
      <c r="K28" s="6" t="s">
        <v>8</v>
      </c>
      <c r="L28" s="6" t="s">
        <v>70</v>
      </c>
    </row>
    <row r="29" spans="2:12" ht="3" customHeight="1" x14ac:dyDescent="0.3"/>
    <row r="30" spans="2:12" ht="14.4" customHeight="1" x14ac:dyDescent="0.3">
      <c r="B30" s="10" t="s">
        <v>17</v>
      </c>
      <c r="C30" s="14">
        <f t="shared" ref="C30:K30" si="19">C25</f>
        <v>251.08</v>
      </c>
      <c r="D30" s="14">
        <f t="shared" si="19"/>
        <v>396.827</v>
      </c>
      <c r="E30" s="14">
        <f t="shared" si="19"/>
        <v>480.64799999999997</v>
      </c>
      <c r="F30" s="14">
        <f t="shared" si="19"/>
        <v>614.79999999999995</v>
      </c>
      <c r="G30" s="14">
        <f t="shared" si="19"/>
        <v>722.84031300000004</v>
      </c>
      <c r="H30" s="14">
        <f t="shared" si="19"/>
        <v>817.70087184299996</v>
      </c>
      <c r="I30" s="14">
        <f t="shared" si="19"/>
        <v>883.0955376328501</v>
      </c>
      <c r="J30" s="14">
        <f t="shared" si="19"/>
        <v>952.05903840989106</v>
      </c>
      <c r="K30" s="14">
        <f t="shared" si="19"/>
        <v>1013.4667258613657</v>
      </c>
      <c r="L30" s="31">
        <f t="shared" ref="L30" si="20">(K30/F30)^(1/5)-1</f>
        <v>0.10513447517202223</v>
      </c>
    </row>
    <row r="32" spans="2:12" ht="14.4" customHeight="1" x14ac:dyDescent="0.3">
      <c r="B32" t="s">
        <v>18</v>
      </c>
      <c r="C32" s="12">
        <v>54.6</v>
      </c>
      <c r="D32" s="12">
        <v>93.2</v>
      </c>
      <c r="E32" s="12">
        <v>132.6</v>
      </c>
      <c r="F32" s="12">
        <v>210.7</v>
      </c>
      <c r="G32" s="12">
        <f>G30*0.355</f>
        <v>256.60831111499999</v>
      </c>
      <c r="H32" s="12">
        <f>H30*0.36</f>
        <v>294.37231386347997</v>
      </c>
      <c r="I32" s="12">
        <f>I30*0.36</f>
        <v>317.91439354782602</v>
      </c>
      <c r="J32" s="12">
        <f>J30*0.35</f>
        <v>333.22066344346183</v>
      </c>
      <c r="K32" s="12">
        <f>K30*0.35</f>
        <v>354.71335405147801</v>
      </c>
      <c r="L32" s="31"/>
    </row>
    <row r="33" spans="2:12" ht="14.4" customHeight="1" x14ac:dyDescent="0.3">
      <c r="B33" t="s">
        <v>19</v>
      </c>
      <c r="C33" s="13">
        <f t="shared" ref="C33:K33" si="21">C32/C30</f>
        <v>0.21746057033614782</v>
      </c>
      <c r="D33" s="13">
        <f t="shared" si="21"/>
        <v>0.23486305115327336</v>
      </c>
      <c r="E33" s="13">
        <f t="shared" si="21"/>
        <v>0.27587756528686275</v>
      </c>
      <c r="F33" s="13">
        <f t="shared" si="21"/>
        <v>0.34271307742355239</v>
      </c>
      <c r="G33" s="13">
        <f t="shared" si="21"/>
        <v>0.35499999999999998</v>
      </c>
      <c r="H33" s="13">
        <f t="shared" si="21"/>
        <v>0.36</v>
      </c>
      <c r="I33" s="13">
        <f t="shared" si="21"/>
        <v>0.36</v>
      </c>
      <c r="J33" s="13">
        <f t="shared" si="21"/>
        <v>0.35</v>
      </c>
      <c r="K33" s="13">
        <f t="shared" si="21"/>
        <v>0.35000000000000003</v>
      </c>
    </row>
    <row r="35" spans="2:12" ht="14.4" customHeight="1" x14ac:dyDescent="0.3">
      <c r="B35" s="10" t="s">
        <v>20</v>
      </c>
      <c r="C35" s="14">
        <f t="shared" ref="C35:K35" si="22">C30-C32</f>
        <v>196.48000000000002</v>
      </c>
      <c r="D35" s="14">
        <f t="shared" si="22"/>
        <v>303.62700000000001</v>
      </c>
      <c r="E35" s="14">
        <f t="shared" si="22"/>
        <v>348.048</v>
      </c>
      <c r="F35" s="14">
        <f t="shared" si="22"/>
        <v>404.09999999999997</v>
      </c>
      <c r="G35" s="14">
        <f t="shared" si="22"/>
        <v>466.23200188500005</v>
      </c>
      <c r="H35" s="14">
        <f t="shared" si="22"/>
        <v>523.32855797951993</v>
      </c>
      <c r="I35" s="14">
        <f t="shared" si="22"/>
        <v>565.18114408502402</v>
      </c>
      <c r="J35" s="14">
        <f t="shared" si="22"/>
        <v>618.83837496642923</v>
      </c>
      <c r="K35" s="14">
        <f t="shared" si="22"/>
        <v>658.75337180988777</v>
      </c>
      <c r="L35" s="31">
        <f t="shared" ref="L35" si="23">(K35/F35)^(1/5)-1</f>
        <v>0.10267315120119158</v>
      </c>
    </row>
    <row r="36" spans="2:12" ht="14.4" customHeight="1" x14ac:dyDescent="0.3">
      <c r="B36" t="s">
        <v>21</v>
      </c>
      <c r="C36" s="13">
        <f t="shared" ref="C36:K36" si="24">C35/C30</f>
        <v>0.78253942966385215</v>
      </c>
      <c r="D36" s="13">
        <f t="shared" si="24"/>
        <v>0.76513694884672667</v>
      </c>
      <c r="E36" s="13">
        <f t="shared" si="24"/>
        <v>0.72412243471313731</v>
      </c>
      <c r="F36" s="13">
        <f t="shared" si="24"/>
        <v>0.65728692257644761</v>
      </c>
      <c r="G36" s="13">
        <f t="shared" si="24"/>
        <v>0.64500000000000002</v>
      </c>
      <c r="H36" s="13">
        <f t="shared" si="24"/>
        <v>0.6399999999999999</v>
      </c>
      <c r="I36" s="13">
        <f t="shared" si="24"/>
        <v>0.6399999999999999</v>
      </c>
      <c r="J36" s="13">
        <f t="shared" si="24"/>
        <v>0.65</v>
      </c>
      <c r="K36" s="13">
        <f t="shared" si="24"/>
        <v>0.65</v>
      </c>
    </row>
    <row r="38" spans="2:12" ht="14.4" customHeight="1" x14ac:dyDescent="0.3">
      <c r="B38" t="s">
        <v>22</v>
      </c>
      <c r="C38" s="12">
        <v>201.9</v>
      </c>
      <c r="D38" s="12">
        <v>209.1</v>
      </c>
      <c r="E38" s="12">
        <v>233.3</v>
      </c>
      <c r="F38" s="12">
        <v>256</v>
      </c>
      <c r="G38" s="12">
        <f>G30*0.41</f>
        <v>296.36452832999998</v>
      </c>
      <c r="H38" s="12">
        <f>H30*0.4</f>
        <v>327.08034873719998</v>
      </c>
      <c r="I38" s="12">
        <f>I30*0.39</f>
        <v>344.40725967681158</v>
      </c>
      <c r="J38" s="12">
        <f>J30*0.38</f>
        <v>361.78243459575862</v>
      </c>
      <c r="K38" s="12">
        <f>K30*0.37</f>
        <v>374.98268856870533</v>
      </c>
      <c r="L38" s="31"/>
    </row>
    <row r="39" spans="2:12" ht="14.4" customHeight="1" x14ac:dyDescent="0.3">
      <c r="B39" t="s">
        <v>19</v>
      </c>
      <c r="C39" s="13">
        <f t="shared" ref="C39:K39" si="25">C38/C30</f>
        <v>0.80412617492432692</v>
      </c>
      <c r="D39" s="13">
        <f t="shared" si="25"/>
        <v>0.52692987120332035</v>
      </c>
      <c r="E39" s="13">
        <f t="shared" si="25"/>
        <v>0.48538639503337166</v>
      </c>
      <c r="F39" s="13">
        <f t="shared" si="25"/>
        <v>0.4163955757970072</v>
      </c>
      <c r="G39" s="13">
        <f t="shared" si="25"/>
        <v>0.41</v>
      </c>
      <c r="H39" s="13">
        <f t="shared" si="25"/>
        <v>0.4</v>
      </c>
      <c r="I39" s="13">
        <f t="shared" si="25"/>
        <v>0.39000000000000007</v>
      </c>
      <c r="J39" s="13">
        <f t="shared" si="25"/>
        <v>0.38</v>
      </c>
      <c r="K39" s="13">
        <f t="shared" si="25"/>
        <v>0.37</v>
      </c>
    </row>
    <row r="41" spans="2:12" ht="14.4" customHeight="1" x14ac:dyDescent="0.3">
      <c r="B41" s="24" t="s">
        <v>23</v>
      </c>
      <c r="C41" s="26">
        <v>68.099999999999994</v>
      </c>
      <c r="D41" s="26">
        <v>93.7</v>
      </c>
      <c r="E41" s="26">
        <v>115.3</v>
      </c>
      <c r="F41" s="26">
        <v>135.4</v>
      </c>
      <c r="G41" s="26">
        <f>G35-G38</f>
        <v>169.86747355500006</v>
      </c>
      <c r="H41" s="26">
        <f>H35-H38</f>
        <v>196.24820924231994</v>
      </c>
      <c r="I41" s="26">
        <f>I35-I38</f>
        <v>220.77388440821244</v>
      </c>
      <c r="J41" s="26">
        <f>J35-J38</f>
        <v>257.05594037067061</v>
      </c>
      <c r="K41" s="26">
        <f>K35-K38</f>
        <v>283.77068324118244</v>
      </c>
      <c r="L41" s="31">
        <f t="shared" ref="L41" si="26">(K41/F41)^(1/5)-1</f>
        <v>0.15949738175307449</v>
      </c>
    </row>
    <row r="42" spans="2:12" ht="14.4" customHeight="1" x14ac:dyDescent="0.3">
      <c r="B42" t="s">
        <v>24</v>
      </c>
      <c r="C42" s="13">
        <f t="shared" ref="C42:K42" si="27">C41/C30</f>
        <v>0.27122829377090962</v>
      </c>
      <c r="D42" s="13">
        <f t="shared" si="27"/>
        <v>0.23612304606289392</v>
      </c>
      <c r="E42" s="13">
        <f t="shared" si="27"/>
        <v>0.23988448927281505</v>
      </c>
      <c r="F42" s="13">
        <f t="shared" si="27"/>
        <v>0.22023422251138583</v>
      </c>
      <c r="G42" s="13">
        <f t="shared" si="27"/>
        <v>0.23500000000000007</v>
      </c>
      <c r="H42" s="13">
        <f t="shared" si="27"/>
        <v>0.23999999999999994</v>
      </c>
      <c r="I42" s="13">
        <f t="shared" si="27"/>
        <v>0.24999999999999992</v>
      </c>
      <c r="J42" s="13">
        <f t="shared" si="27"/>
        <v>0.27</v>
      </c>
      <c r="K42" s="13">
        <f t="shared" si="27"/>
        <v>0.28000000000000003</v>
      </c>
    </row>
    <row r="44" spans="2:12" ht="14.4" customHeight="1" x14ac:dyDescent="0.3">
      <c r="B44" t="s">
        <v>25</v>
      </c>
      <c r="C44" s="12">
        <v>17.600000000000001</v>
      </c>
      <c r="D44" s="12">
        <f t="shared" ref="D44:K44" si="28">D30*0.032</f>
        <v>12.698464</v>
      </c>
      <c r="E44" s="12">
        <f t="shared" si="28"/>
        <v>15.380735999999999</v>
      </c>
      <c r="F44" s="12">
        <f t="shared" si="28"/>
        <v>19.6736</v>
      </c>
      <c r="G44" s="12">
        <f t="shared" si="28"/>
        <v>23.130890016000002</v>
      </c>
      <c r="H44" s="12">
        <f t="shared" si="28"/>
        <v>26.166427898976</v>
      </c>
      <c r="I44" s="12">
        <f t="shared" si="28"/>
        <v>28.259057204251203</v>
      </c>
      <c r="J44" s="12">
        <f t="shared" si="28"/>
        <v>30.465889229116513</v>
      </c>
      <c r="K44" s="12">
        <f t="shared" si="28"/>
        <v>32.430935227563701</v>
      </c>
      <c r="L44" s="31"/>
    </row>
    <row r="45" spans="2:12" ht="14.4" customHeight="1" x14ac:dyDescent="0.3">
      <c r="B45" t="s">
        <v>26</v>
      </c>
      <c r="C45" s="12">
        <v>9</v>
      </c>
      <c r="D45" s="12">
        <v>6.7</v>
      </c>
      <c r="E45" s="12">
        <v>17.600000000000001</v>
      </c>
      <c r="F45" s="12">
        <f>(F41-F44)*0.11</f>
        <v>12.729904000000001</v>
      </c>
      <c r="G45" s="12">
        <f>(G41-G44)*0.135</f>
        <v>19.80943877776501</v>
      </c>
      <c r="H45" s="12">
        <f>(H41-H44)*0.145</f>
        <v>24.661858294784871</v>
      </c>
      <c r="I45" s="12">
        <f>(I41-I44)*0.15</f>
        <v>28.877224080594182</v>
      </c>
      <c r="J45" s="12">
        <f>(J41-J44)*0.16</f>
        <v>36.25440818264866</v>
      </c>
      <c r="K45" s="12">
        <f>(K41-K44)*0.17</f>
        <v>42.727757162315186</v>
      </c>
      <c r="L45" s="31"/>
    </row>
    <row r="46" spans="2:12" ht="14.4" customHeight="1" x14ac:dyDescent="0.3">
      <c r="C46" s="12"/>
      <c r="D46" s="12"/>
      <c r="E46" s="12"/>
      <c r="F46" s="12"/>
      <c r="G46" s="12"/>
      <c r="H46" s="12"/>
      <c r="I46" s="12"/>
      <c r="J46" s="12"/>
      <c r="K46" s="12"/>
    </row>
    <row r="47" spans="2:12" ht="14.4" customHeight="1" x14ac:dyDescent="0.3">
      <c r="B47" s="20" t="s">
        <v>27</v>
      </c>
      <c r="C47" s="21">
        <f t="shared" ref="C47:K47" si="29">C41-C44-C45</f>
        <v>41.499999999999993</v>
      </c>
      <c r="D47" s="21">
        <f t="shared" si="29"/>
        <v>74.301535999999999</v>
      </c>
      <c r="E47" s="21">
        <f t="shared" si="29"/>
        <v>82.319264000000004</v>
      </c>
      <c r="F47" s="21">
        <f t="shared" si="29"/>
        <v>102.99649600000001</v>
      </c>
      <c r="G47" s="21">
        <f t="shared" si="29"/>
        <v>126.92714476123506</v>
      </c>
      <c r="H47" s="21">
        <f t="shared" si="29"/>
        <v>145.41992304855907</v>
      </c>
      <c r="I47" s="21">
        <f t="shared" si="29"/>
        <v>163.63760312336706</v>
      </c>
      <c r="J47" s="21">
        <f t="shared" si="29"/>
        <v>190.33564295890545</v>
      </c>
      <c r="K47" s="22">
        <f t="shared" si="29"/>
        <v>208.61199085130355</v>
      </c>
      <c r="L47" s="31"/>
    </row>
    <row r="48" spans="2:12" ht="14.4" customHeight="1" x14ac:dyDescent="0.3">
      <c r="D48" s="36"/>
      <c r="E48" s="36"/>
      <c r="F48" s="15"/>
    </row>
    <row r="49" spans="2:12" ht="14.4" customHeight="1" x14ac:dyDescent="0.3">
      <c r="B49" t="s">
        <v>28</v>
      </c>
      <c r="C49" s="12">
        <v>15.2</v>
      </c>
      <c r="D49" s="12">
        <v>13.2</v>
      </c>
      <c r="E49" s="12">
        <v>15.6</v>
      </c>
      <c r="F49" s="12">
        <f>E49*1.1</f>
        <v>17.16</v>
      </c>
      <c r="G49" s="12">
        <f t="shared" ref="G49:H49" si="30">F49*1.1</f>
        <v>18.876000000000001</v>
      </c>
      <c r="H49" s="12">
        <f t="shared" si="30"/>
        <v>20.763600000000004</v>
      </c>
      <c r="I49" s="12">
        <f>H49*1.08</f>
        <v>22.424688000000007</v>
      </c>
      <c r="J49" s="12">
        <f>I49*1.08</f>
        <v>24.21866304000001</v>
      </c>
      <c r="K49" s="12">
        <f>J49*1.07</f>
        <v>25.913969452800011</v>
      </c>
      <c r="L49" s="31"/>
    </row>
    <row r="50" spans="2:12" ht="14.4" customHeight="1" x14ac:dyDescent="0.3">
      <c r="B50" t="s">
        <v>29</v>
      </c>
      <c r="C50" s="12">
        <v>9.5</v>
      </c>
      <c r="D50" s="12">
        <v>6.4</v>
      </c>
      <c r="E50" s="12">
        <v>23.3</v>
      </c>
      <c r="F50" s="12">
        <v>13.2</v>
      </c>
      <c r="G50" s="12">
        <f>F50*1.08</f>
        <v>14.256</v>
      </c>
      <c r="H50" s="12">
        <f>G50*1.07</f>
        <v>15.253920000000001</v>
      </c>
      <c r="I50" s="12">
        <f>H50*1.06</f>
        <v>16.169155200000002</v>
      </c>
      <c r="J50" s="12">
        <f>I50*1.05</f>
        <v>16.977612960000002</v>
      </c>
      <c r="K50" s="12">
        <f>J50*1.04</f>
        <v>17.656717478400001</v>
      </c>
      <c r="L50" s="31"/>
    </row>
    <row r="51" spans="2:12" ht="14.4" customHeight="1" x14ac:dyDescent="0.3">
      <c r="B51" t="s">
        <v>30</v>
      </c>
      <c r="C51" s="12">
        <v>6.1</v>
      </c>
      <c r="D51" s="12">
        <f t="shared" ref="D51:K51" si="31">(D30-C30)*0.05</f>
        <v>7.28735</v>
      </c>
      <c r="E51" s="12">
        <f t="shared" si="31"/>
        <v>4.1910499999999988</v>
      </c>
      <c r="F51" s="12">
        <f t="shared" si="31"/>
        <v>6.7075999999999993</v>
      </c>
      <c r="G51" s="12">
        <f t="shared" si="31"/>
        <v>5.4020156500000045</v>
      </c>
      <c r="H51" s="12">
        <f t="shared" si="31"/>
        <v>4.7430279421499959</v>
      </c>
      <c r="I51" s="12">
        <f t="shared" si="31"/>
        <v>3.2697332894925069</v>
      </c>
      <c r="J51" s="12">
        <f t="shared" si="31"/>
        <v>3.4481750388520482</v>
      </c>
      <c r="K51" s="12">
        <f t="shared" si="31"/>
        <v>3.070384372573733</v>
      </c>
      <c r="L51" s="31"/>
    </row>
    <row r="53" spans="2:12" ht="14.4" customHeight="1" x14ac:dyDescent="0.3">
      <c r="B53" s="24" t="s">
        <v>31</v>
      </c>
      <c r="C53" s="26">
        <f t="shared" ref="C53:K53" si="32">C47+C49-C50-C51</f>
        <v>41.099999999999987</v>
      </c>
      <c r="D53" s="26">
        <f t="shared" si="32"/>
        <v>73.814185999999992</v>
      </c>
      <c r="E53" s="26">
        <f t="shared" si="32"/>
        <v>70.428213999999997</v>
      </c>
      <c r="F53" s="26">
        <f t="shared" si="32"/>
        <v>100.248896</v>
      </c>
      <c r="G53" s="26">
        <f t="shared" si="32"/>
        <v>126.14512911123504</v>
      </c>
      <c r="H53" s="26">
        <f t="shared" si="32"/>
        <v>146.18657510640907</v>
      </c>
      <c r="I53" s="26">
        <f t="shared" si="32"/>
        <v>166.62340263387455</v>
      </c>
      <c r="J53" s="26">
        <f t="shared" si="32"/>
        <v>194.12851800005345</v>
      </c>
      <c r="K53" s="26">
        <f t="shared" si="32"/>
        <v>213.79885845312984</v>
      </c>
      <c r="L53" s="31">
        <f t="shared" ref="L53" si="33">(K53/F53)^(1/5)-1</f>
        <v>0.16355028448429176</v>
      </c>
    </row>
    <row r="55" spans="2:12" ht="14.4" customHeight="1" x14ac:dyDescent="0.3">
      <c r="B55" t="s">
        <v>32</v>
      </c>
      <c r="D55" s="8"/>
      <c r="E55" s="8"/>
      <c r="G55" s="8">
        <v>0.5</v>
      </c>
      <c r="H55" s="8">
        <v>1.5</v>
      </c>
      <c r="I55" s="8">
        <v>2.5</v>
      </c>
      <c r="J55" s="8">
        <v>3.5</v>
      </c>
      <c r="K55" s="8">
        <v>4.5</v>
      </c>
      <c r="L55" s="8"/>
    </row>
    <row r="56" spans="2:12" ht="14.4" customHeight="1" x14ac:dyDescent="0.3">
      <c r="B56" t="s">
        <v>33</v>
      </c>
      <c r="D56" s="15"/>
      <c r="E56" s="15"/>
      <c r="G56" s="15">
        <f t="shared" ref="G56:K56" si="34">1/(1+$C$65)^G55</f>
        <v>0.95680857147555853</v>
      </c>
      <c r="H56" s="15">
        <f t="shared" si="34"/>
        <v>0.87594163933239222</v>
      </c>
      <c r="I56" s="15">
        <f t="shared" si="34"/>
        <v>0.80190936660721424</v>
      </c>
      <c r="J56" s="15">
        <f t="shared" si="34"/>
        <v>0.73413410594625594</v>
      </c>
      <c r="K56" s="15">
        <f t="shared" si="34"/>
        <v>0.67208703122368529</v>
      </c>
      <c r="L56" s="15"/>
    </row>
    <row r="57" spans="2:12" ht="14.4" customHeight="1" x14ac:dyDescent="0.3">
      <c r="B57" s="24" t="s">
        <v>34</v>
      </c>
      <c r="C57" s="24"/>
      <c r="D57" s="26"/>
      <c r="E57" s="26"/>
      <c r="F57" s="26"/>
      <c r="G57" s="26">
        <f>G53*G56</f>
        <v>120.69674078352068</v>
      </c>
      <c r="H57" s="26">
        <f t="shared" ref="H57:K57" si="35">H53*H56</f>
        <v>128.05090824709583</v>
      </c>
      <c r="I57" s="26">
        <f t="shared" si="35"/>
        <v>133.61686726806917</v>
      </c>
      <c r="J57" s="26">
        <f t="shared" si="35"/>
        <v>142.51636600064089</v>
      </c>
      <c r="K57" s="26">
        <f t="shared" si="35"/>
        <v>143.69144005677694</v>
      </c>
      <c r="L57" s="31"/>
    </row>
    <row r="60" spans="2:12" ht="14.4" customHeight="1" x14ac:dyDescent="0.3">
      <c r="B60" s="3" t="s">
        <v>35</v>
      </c>
      <c r="C60" s="3"/>
    </row>
    <row r="61" spans="2:12" ht="3" customHeight="1" x14ac:dyDescent="0.3"/>
    <row r="62" spans="2:12" ht="14.4" customHeight="1" x14ac:dyDescent="0.3">
      <c r="B62" t="s">
        <v>36</v>
      </c>
      <c r="C62" s="1">
        <v>4.24E-2</v>
      </c>
    </row>
    <row r="63" spans="2:12" ht="14.4" customHeight="1" x14ac:dyDescent="0.3">
      <c r="B63" t="s">
        <v>37</v>
      </c>
      <c r="C63" s="17">
        <v>1.2</v>
      </c>
    </row>
    <row r="64" spans="2:12" ht="14.4" customHeight="1" x14ac:dyDescent="0.3">
      <c r="B64" t="s">
        <v>38</v>
      </c>
      <c r="C64" s="1">
        <v>4.1599999999999998E-2</v>
      </c>
    </row>
    <row r="65" spans="2:6" ht="14.4" customHeight="1" x14ac:dyDescent="0.3">
      <c r="B65" s="10" t="s">
        <v>35</v>
      </c>
      <c r="C65" s="16">
        <f>C62+(C63*C64)</f>
        <v>9.2319999999999999E-2</v>
      </c>
    </row>
    <row r="67" spans="2:6" ht="14.4" customHeight="1" x14ac:dyDescent="0.3">
      <c r="B67" s="3" t="s">
        <v>41</v>
      </c>
      <c r="C67" s="3"/>
    </row>
    <row r="68" spans="2:6" ht="3" customHeight="1" x14ac:dyDescent="0.3"/>
    <row r="69" spans="2:6" ht="14.4" customHeight="1" x14ac:dyDescent="0.3">
      <c r="B69" t="s">
        <v>39</v>
      </c>
      <c r="C69" s="12">
        <f>K57</f>
        <v>143.69144005677694</v>
      </c>
      <c r="F69" s="31"/>
    </row>
    <row r="70" spans="2:6" ht="14.4" customHeight="1" x14ac:dyDescent="0.3">
      <c r="B70" t="s">
        <v>40</v>
      </c>
      <c r="C70" s="18">
        <v>2.5000000000000001E-2</v>
      </c>
    </row>
    <row r="71" spans="2:6" ht="14.4" customHeight="1" x14ac:dyDescent="0.3">
      <c r="B71" s="10" t="s">
        <v>41</v>
      </c>
      <c r="C71" s="12">
        <f>C69*(1+C70)/(C65-C70)</f>
        <v>2187.8153009238913</v>
      </c>
    </row>
    <row r="72" spans="2:6" ht="14.4" customHeight="1" x14ac:dyDescent="0.3">
      <c r="B72" s="10" t="s">
        <v>42</v>
      </c>
      <c r="C72" s="14">
        <f>C71*K56</f>
        <v>1470.4022904636918</v>
      </c>
    </row>
    <row r="74" spans="2:6" ht="14.4" customHeight="1" x14ac:dyDescent="0.3">
      <c r="B74" s="3" t="s">
        <v>55</v>
      </c>
      <c r="C74" s="3"/>
    </row>
    <row r="75" spans="2:6" ht="3" customHeight="1" x14ac:dyDescent="0.3"/>
    <row r="76" spans="2:6" ht="14.4" customHeight="1" x14ac:dyDescent="0.3">
      <c r="B76" t="s">
        <v>43</v>
      </c>
      <c r="C76" s="12">
        <f>SUM(G57:K57)</f>
        <v>668.57232235610354</v>
      </c>
    </row>
    <row r="77" spans="2:6" ht="14.4" customHeight="1" x14ac:dyDescent="0.3">
      <c r="B77" t="s">
        <v>42</v>
      </c>
      <c r="C77" s="12">
        <f>C72</f>
        <v>1470.4022904636918</v>
      </c>
    </row>
    <row r="78" spans="2:6" ht="14.4" customHeight="1" x14ac:dyDescent="0.3">
      <c r="B78" t="s">
        <v>45</v>
      </c>
      <c r="C78" s="11">
        <v>-119</v>
      </c>
    </row>
    <row r="79" spans="2:6" ht="14.4" customHeight="1" x14ac:dyDescent="0.3">
      <c r="B79" t="s">
        <v>56</v>
      </c>
      <c r="C79" s="11">
        <v>294</v>
      </c>
    </row>
    <row r="80" spans="2:6" ht="14.4" customHeight="1" x14ac:dyDescent="0.3">
      <c r="B80" s="28" t="s">
        <v>44</v>
      </c>
      <c r="C80" s="29">
        <f>C76+C77-C78+C79</f>
        <v>2551.9746128197953</v>
      </c>
    </row>
    <row r="81" spans="1:3" ht="14.4" customHeight="1" x14ac:dyDescent="0.3">
      <c r="B81" s="28"/>
      <c r="C81" s="29"/>
    </row>
    <row r="82" spans="1:3" ht="14.4" customHeight="1" x14ac:dyDescent="0.3">
      <c r="B82" s="3" t="s">
        <v>46</v>
      </c>
      <c r="C82" s="3"/>
    </row>
    <row r="83" spans="1:3" ht="3" customHeight="1" x14ac:dyDescent="0.3">
      <c r="A83" s="34"/>
      <c r="B83" s="35" t="s">
        <v>55</v>
      </c>
      <c r="C83" s="35"/>
    </row>
    <row r="84" spans="1:3" ht="14.4" customHeight="1" x14ac:dyDescent="0.3">
      <c r="B84" t="s">
        <v>47</v>
      </c>
      <c r="C84" s="12">
        <v>89.5</v>
      </c>
    </row>
    <row r="85" spans="1:3" ht="14.4" customHeight="1" x14ac:dyDescent="0.3">
      <c r="B85" s="10" t="s">
        <v>48</v>
      </c>
      <c r="C85" s="27">
        <f>C80/C84</f>
        <v>28.513682824802181</v>
      </c>
    </row>
    <row r="86" spans="1:3" ht="14.4" customHeight="1" x14ac:dyDescent="0.3">
      <c r="C86" s="7"/>
    </row>
    <row r="87" spans="1:3" ht="14.4" customHeight="1" x14ac:dyDescent="0.3">
      <c r="B87" t="s">
        <v>49</v>
      </c>
      <c r="C87" s="9">
        <v>12.5</v>
      </c>
    </row>
    <row r="88" spans="1:3" ht="14.4" customHeight="1" x14ac:dyDescent="0.3">
      <c r="B88" s="10" t="s">
        <v>50</v>
      </c>
      <c r="C88" s="19">
        <f>C85/C87-1</f>
        <v>1.2810946259841747</v>
      </c>
    </row>
    <row r="89" spans="1:3" ht="14.4" customHeight="1" x14ac:dyDescent="0.3">
      <c r="C89" s="9"/>
    </row>
    <row r="91" spans="1:3" ht="3" customHeight="1" x14ac:dyDescent="0.3"/>
  </sheetData>
  <mergeCells count="1"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93CD-B3DD-4B40-A451-14DC38D8A842}">
  <dimension ref="B1:H12"/>
  <sheetViews>
    <sheetView showGridLines="0" zoomScale="175" zoomScaleNormal="175" workbookViewId="0">
      <selection activeCell="F20" sqref="F20"/>
    </sheetView>
  </sheetViews>
  <sheetFormatPr defaultRowHeight="14.4" x14ac:dyDescent="0.3"/>
  <sheetData>
    <row r="1" spans="2:8" x14ac:dyDescent="0.3">
      <c r="G1" s="31"/>
      <c r="H1" s="31"/>
    </row>
    <row r="2" spans="2:8" ht="28.8" x14ac:dyDescent="0.3">
      <c r="B2" s="38" t="s">
        <v>57</v>
      </c>
      <c r="C2" s="38"/>
      <c r="D2" s="38"/>
      <c r="E2" s="32" t="s">
        <v>67</v>
      </c>
      <c r="F2" s="32" t="s">
        <v>66</v>
      </c>
      <c r="G2" s="31"/>
      <c r="H2" s="31"/>
    </row>
    <row r="3" spans="2:8" x14ac:dyDescent="0.3">
      <c r="B3" t="s">
        <v>58</v>
      </c>
      <c r="E3" s="31">
        <v>0.53300000000000003</v>
      </c>
      <c r="F3" s="33">
        <v>4.1000000000000002E-2</v>
      </c>
      <c r="G3" s="31"/>
      <c r="H3" s="31"/>
    </row>
    <row r="4" spans="2:8" x14ac:dyDescent="0.3">
      <c r="B4" t="s">
        <v>59</v>
      </c>
      <c r="E4" s="31">
        <v>9.7000000000000003E-2</v>
      </c>
      <c r="F4" s="33">
        <v>-6.5000000000000002E-2</v>
      </c>
      <c r="G4" s="31"/>
    </row>
    <row r="5" spans="2:8" x14ac:dyDescent="0.3">
      <c r="B5" t="s">
        <v>60</v>
      </c>
      <c r="E5" s="31">
        <v>4.1000000000000002E-2</v>
      </c>
      <c r="F5" s="33">
        <v>26.731999999999999</v>
      </c>
      <c r="G5" s="31"/>
    </row>
    <row r="6" spans="2:8" x14ac:dyDescent="0.3">
      <c r="B6" t="s">
        <v>61</v>
      </c>
      <c r="E6" s="31">
        <v>3.5000000000000003E-2</v>
      </c>
      <c r="F6" s="33">
        <v>-0.59899999999999998</v>
      </c>
      <c r="G6" s="31"/>
    </row>
    <row r="7" spans="2:8" x14ac:dyDescent="0.3">
      <c r="B7" t="s">
        <v>62</v>
      </c>
      <c r="E7" s="31">
        <v>3.1E-2</v>
      </c>
      <c r="F7" s="33">
        <v>-0.55000000000000004</v>
      </c>
      <c r="G7" s="31"/>
    </row>
    <row r="8" spans="2:8" x14ac:dyDescent="0.3">
      <c r="B8" t="s">
        <v>63</v>
      </c>
      <c r="E8" s="31">
        <v>0.02</v>
      </c>
      <c r="F8" s="33">
        <v>0.151</v>
      </c>
      <c r="G8" s="31"/>
    </row>
    <row r="9" spans="2:8" x14ac:dyDescent="0.3">
      <c r="B9" t="s">
        <v>64</v>
      </c>
      <c r="E9" s="31">
        <v>1.7999999999999999E-2</v>
      </c>
      <c r="F9" s="33">
        <v>9.0999999999999998E-2</v>
      </c>
      <c r="G9" s="31"/>
    </row>
    <row r="10" spans="2:8" x14ac:dyDescent="0.3">
      <c r="B10" t="s">
        <v>65</v>
      </c>
      <c r="E10" s="31">
        <v>1.7000000000000001E-2</v>
      </c>
      <c r="F10" s="33">
        <v>0.23200000000000001</v>
      </c>
      <c r="G10" s="31"/>
    </row>
    <row r="11" spans="2:8" x14ac:dyDescent="0.3">
      <c r="B11" t="s">
        <v>68</v>
      </c>
      <c r="E11" s="31">
        <f>1-(SUM(E3:E10))</f>
        <v>0.20799999999999985</v>
      </c>
      <c r="F11" s="33"/>
    </row>
    <row r="12" spans="2:8" x14ac:dyDescent="0.3">
      <c r="E12" s="31"/>
    </row>
  </sheetData>
  <mergeCells count="1">
    <mergeCell ref="B2: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Geographic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2026-02-28T07:20:00Z</dcterms:modified>
</cp:coreProperties>
</file>