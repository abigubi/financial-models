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theme/themeOverride1.xml" ContentType="application/vnd.openxmlformats-officedocument.themeOverride+xml"/>
  <Override PartName="/xl/charts/chart2.xml" ContentType="application/vnd.openxmlformats-officedocument.drawingml.chart+xml"/>
  <Override PartName="/xl/theme/themeOverride2.xml" ContentType="application/vnd.openxmlformats-officedocument.themeOverride+xml"/>
  <Override PartName="/xl/charts/chart3.xml" ContentType="application/vnd.openxmlformats-officedocument.drawingml.chart+xml"/>
  <Override PartName="/xl/theme/themeOverride3.xml" ContentType="application/vnd.openxmlformats-officedocument.themeOverride+xml"/>
  <Override PartName="/xl/charts/chart4.xml" ContentType="application/vnd.openxmlformats-officedocument.drawingml.chart+xml"/>
  <Override PartName="/xl/theme/themeOverride4.xml" ContentType="application/vnd.openxmlformats-officedocument.themeOverride+xml"/>
  <Override PartName="/xl/drawings/drawing2.xml" ContentType="application/vnd.openxmlformats-officedocument.drawing+xml"/>
  <Override PartName="/xl/charts/chart5.xml" ContentType="application/vnd.openxmlformats-officedocument.drawingml.chart+xml"/>
  <Override PartName="/xl/theme/themeOverride5.xml" ContentType="application/vnd.openxmlformats-officedocument.themeOverride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/>
  <mc:AlternateContent xmlns:mc="http://schemas.openxmlformats.org/markup-compatibility/2006">
    <mc:Choice Requires="x15">
      <x15ac:absPath xmlns:x15ac="http://schemas.microsoft.com/office/spreadsheetml/2010/11/ac" url="C:\Users\kerem\OneDrive\Masaüstü\Models\"/>
    </mc:Choice>
  </mc:AlternateContent>
  <xr:revisionPtr revIDLastSave="0" documentId="13_ncr:1_{D625FC4E-4EF3-4F59-B1B9-31143F49F9D6}" xr6:coauthVersionLast="47" xr6:coauthVersionMax="47" xr10:uidLastSave="{00000000-0000-0000-0000-000000000000}"/>
  <bookViews>
    <workbookView xWindow="0" yWindow="804" windowWidth="23040" windowHeight="11760" xr2:uid="{DD181D79-B43F-4101-885F-595C61B85884}"/>
  </bookViews>
  <sheets>
    <sheet name="Sheet1" sheetId="1" r:id="rId1"/>
    <sheet name="Pivot Data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7" i="1" l="1"/>
  <c r="K18" i="1"/>
  <c r="J18" i="1"/>
  <c r="I18" i="1"/>
  <c r="H18" i="1"/>
  <c r="G18" i="1"/>
  <c r="F18" i="1"/>
  <c r="E18" i="1"/>
  <c r="K17" i="1"/>
  <c r="J17" i="1"/>
  <c r="I17" i="1"/>
  <c r="H17" i="1"/>
  <c r="G17" i="1"/>
  <c r="F17" i="1"/>
  <c r="E17" i="1"/>
  <c r="K16" i="1"/>
  <c r="J16" i="1"/>
  <c r="I16" i="1"/>
  <c r="H16" i="1"/>
  <c r="G16" i="1"/>
  <c r="F16" i="1"/>
  <c r="E16" i="1"/>
  <c r="K15" i="1"/>
  <c r="J15" i="1"/>
  <c r="I15" i="1"/>
  <c r="H15" i="1"/>
  <c r="G15" i="1"/>
  <c r="F15" i="1"/>
  <c r="E15" i="1"/>
</calcChain>
</file>

<file path=xl/sharedStrings.xml><?xml version="1.0" encoding="utf-8"?>
<sst xmlns="http://schemas.openxmlformats.org/spreadsheetml/2006/main" count="69" uniqueCount="20">
  <si>
    <t>Capex</t>
  </si>
  <si>
    <t>2026E</t>
  </si>
  <si>
    <t>AMZN</t>
  </si>
  <si>
    <t>Operating Cash Flow</t>
  </si>
  <si>
    <t>MSFT</t>
  </si>
  <si>
    <t>GOOGL</t>
  </si>
  <si>
    <t>META</t>
  </si>
  <si>
    <t>CapEx % of OCF</t>
  </si>
  <si>
    <t>Company</t>
  </si>
  <si>
    <t>Metric</t>
  </si>
  <si>
    <t>CapEx</t>
  </si>
  <si>
    <t>Year</t>
  </si>
  <si>
    <t>AMZN CapEx</t>
  </si>
  <si>
    <t>AMZN OCF</t>
  </si>
  <si>
    <t>MSFT CapEx</t>
  </si>
  <si>
    <t>MSFT OCF</t>
  </si>
  <si>
    <t>GOOGL CapEx</t>
  </si>
  <si>
    <t>GOOGL OCF</t>
  </si>
  <si>
    <t>META CapEx</t>
  </si>
  <si>
    <t>META OCF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</si>
</sst>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$&quot;#,##0"/>
  </numFmts>
  <fonts count="3" x14ac:knownFonts="1">
    <font>
      <sz val="12"/>
      <color theme="1"/>
      <name val="calibri"/>
      <family val="2"/>
    </font>
    <font>
      <b/>
      <sz val="12"/>
      <color theme="0"/>
      <name val="calibri"/>
      <family val="2"/>
    </font>
    <font>
      <b/>
      <sz val="12"/>
      <color rgb="FFFFFFFF"/>
      <name val="calibri"/>
      <family val="2"/>
    </font>
  </fonts>
  <fills count="8">
    <fill>
      <patternFill patternType="none"/>
    </fill>
    <fill>
      <patternFill patternType="gray125"/>
    </fill>
    <fill>
      <patternFill patternType="solid">
        <fgColor rgb="FF4472C4"/>
        <bgColor indexed="64"/>
      </patternFill>
    </fill>
    <fill>
      <patternFill patternType="solid">
        <fgColor rgb="FFFF6B35"/>
        <bgColor indexed="64"/>
      </patternFill>
    </fill>
    <fill>
      <patternFill patternType="solid">
        <fgColor rgb="FFC41E3A"/>
        <bgColor indexed="64"/>
      </patternFill>
    </fill>
    <fill>
      <patternFill patternType="solid">
        <fgColor rgb="FF4285F4"/>
        <bgColor indexed="64"/>
      </patternFill>
    </fill>
    <fill>
      <patternFill patternType="solid">
        <fgColor rgb="FF0668E1"/>
        <bgColor indexed="64"/>
      </patternFill>
    </fill>
    <fill>
      <patternFill patternType="solid">
        <fgColor rgb="FFFDFDFD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xfId="0"/>
    <xf numFmtId="0" fontId="2" fillId="2" borderId="0" xfId="0" applyFont="1" applyFill="1"/>
    <xf numFmtId="164" fontId="0" fillId="0" borderId="0" xfId="0" applyNumberFormat="1"/>
    <xf numFmtId="0" fontId="2" fillId="3" borderId="0" xfId="0" applyFont="1" applyFill="1"/>
    <xf numFmtId="0" fontId="2" fillId="4" borderId="0" xfId="0" applyFont="1" applyFill="1"/>
    <xf numFmtId="0" fontId="2" fillId="5" borderId="0" xfId="0" applyFont="1" applyFill="1"/>
    <xf numFmtId="0" fontId="2" fillId="6" borderId="0" xfId="0" applyFont="1" applyFill="1"/>
    <xf numFmtId="0" fontId="1" fillId="7" borderId="0" xfId="0" applyFont="1" applyFill="1"/>
    <xf numFmtId="0" fontId="1" fillId="7" borderId="0" xfId="0" applyFont="1" applyFill="1" applyAlignment="1">
      <alignment horizontal="right"/>
    </xf>
    <xf numFmtId="0" fontId="0" fillId="7" borderId="0" xfId="0" applyFill="1"/>
    <xf numFmtId="3" fontId="0" fillId="7" borderId="0" xfId="0" applyNumberFormat="1" applyFill="1"/>
    <xf numFmtId="10" fontId="0" fillId="7" borderId="0" xfId="0" applyNumberFormat="1" applyFill="1"/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FDFDFD"/>
      <color rgb="FF1D262B"/>
      <color rgb="FF455A64"/>
      <color rgb="FF001935"/>
      <color rgb="FF0064E0"/>
      <color rgb="FF0D3D22"/>
      <color rgb="FF34A853"/>
      <color rgb="FF2B2B2B"/>
      <color rgb="FF00A4EF"/>
      <color rgb="FF737373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1" Type="http://schemas.openxmlformats.org/officeDocument/2006/relationships/themeOverride" Target="../theme/themeOverride1.xml"/></Relationships>
</file>

<file path=xl/charts/_rels/chart2.xml.rels><?xml version="1.0" encoding="UTF-8" standalone="yes"?>
<Relationships xmlns="http://schemas.openxmlformats.org/package/2006/relationships"><Relationship Id="rId1" Type="http://schemas.openxmlformats.org/officeDocument/2006/relationships/themeOverride" Target="../theme/themeOverride2.xml"/></Relationships>
</file>

<file path=xl/charts/_rels/chart3.xml.rels><?xml version="1.0" encoding="UTF-8" standalone="yes"?>
<Relationships xmlns="http://schemas.openxmlformats.org/package/2006/relationships"><Relationship Id="rId1" Type="http://schemas.openxmlformats.org/officeDocument/2006/relationships/themeOverride" Target="../theme/themeOverride3.xml"/></Relationships>
</file>

<file path=xl/charts/_rels/chart4.xml.rels><?xml version="1.0" encoding="UTF-8" standalone="yes"?>
<Relationships xmlns="http://schemas.openxmlformats.org/package/2006/relationships"><Relationship Id="rId1" Type="http://schemas.openxmlformats.org/officeDocument/2006/relationships/themeOverride" Target="../theme/themeOverride4.xml"/></Relationships>
</file>

<file path=xl/charts/_rels/chart5.xml.rels><?xml version="1.0" encoding="UTF-8" standalone="yes"?>
<Relationships xmlns="http://schemas.openxmlformats.org/package/2006/relationships"><Relationship Id="rId1" Type="http://schemas.openxmlformats.org/officeDocument/2006/relationships/themeOverride" Target="../theme/themeOverride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/>
          <a:lstStyle/>
          <a:p>
            <a:pPr>
              <a:defRPr/>
            </a:pPr>
            <a:r>
              <a:rPr lang="en-US"/>
              <a:t>Amazon</a:t>
            </a:r>
          </a:p>
        </c:rich>
      </c:tx>
      <c:overlay val="0"/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1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1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1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1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1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1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1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1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18"/>
        <c:spPr>
          <a:solidFill>
            <a:schemeClr val="accent1"/>
          </a:solidFill>
          <a:ln w="107950" cap="rnd">
            <a:solidFill>
              <a:schemeClr val="accent1"/>
            </a:solidFill>
          </a:ln>
          <a:effectLst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19"/>
        <c:spPr>
          <a:solidFill>
            <a:schemeClr val="accent1"/>
          </a:solidFill>
          <a:ln w="107950" cap="rnd">
            <a:solidFill>
              <a:schemeClr val="accent1"/>
            </a:solidFill>
          </a:ln>
          <a:effectLst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2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21"/>
        <c:spPr>
          <a:solidFill>
            <a:schemeClr val="accent4"/>
          </a:solidFill>
          <a:ln w="107950" cap="rnd">
            <a:solidFill>
              <a:schemeClr val="accent1"/>
            </a:solidFill>
          </a:ln>
          <a:effectLst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22"/>
        <c:spPr>
          <a:solidFill>
            <a:schemeClr val="accent1"/>
          </a:solidFill>
          <a:ln w="107950" cap="rnd">
            <a:solidFill>
              <a:schemeClr val="accent1"/>
            </a:solidFill>
          </a:ln>
          <a:effectLst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23"/>
        <c:spPr>
          <a:solidFill>
            <a:schemeClr val="accent1"/>
          </a:solidFill>
          <a:ln w="107950" cap="rnd">
            <a:solidFill>
              <a:schemeClr val="accent1"/>
            </a:solidFill>
          </a:ln>
          <a:effectLst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24"/>
        <c:spPr>
          <a:solidFill>
            <a:schemeClr val="accent1"/>
          </a:solidFill>
          <a:ln w="107950" cap="rnd">
            <a:solidFill>
              <a:schemeClr val="accent1"/>
            </a:solidFill>
          </a:ln>
          <a:effectLst/>
        </c:spPr>
      </c:pivotFmt>
      <c:pivotFmt>
        <c:idx val="25"/>
        <c:spPr>
          <a:solidFill>
            <a:schemeClr val="accent1"/>
          </a:solidFill>
          <a:ln w="107950" cap="rnd">
            <a:solidFill>
              <a:schemeClr val="accent1"/>
            </a:solidFill>
          </a:ln>
          <a:effectLst/>
        </c:spPr>
      </c:pivotFmt>
      <c:pivotFmt>
        <c:idx val="26"/>
        <c:spPr>
          <a:ln w="107950" cap="sq">
            <a:solidFill>
              <a:schemeClr val="accent1"/>
            </a:solidFill>
          </a:ln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27"/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28"/>
        <c:spPr>
          <a:ln w="107950" cap="sq">
            <a:solidFill>
              <a:schemeClr val="accent1"/>
            </a:solidFill>
          </a:ln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29"/>
        <c:spPr>
          <a:solidFill>
            <a:srgbClr val="002060"/>
          </a:solidFill>
          <a:ln w="107950" cap="sq">
            <a:solidFill>
              <a:srgbClr val="002060"/>
            </a:solidFill>
          </a:ln>
        </c:spPr>
        <c:marker>
          <c:symbol val="none"/>
        </c:marker>
        <c:dLbl>
          <c:idx val="0"/>
          <c:numFmt formatCode="#,##0" sourceLinked="0"/>
          <c:spPr>
            <a:noFill/>
            <a:ln>
              <a:noFill/>
            </a:ln>
            <a:effectLst/>
          </c:spPr>
          <c:txPr>
            <a:bodyPr wrap="square" lIns="38100" tIns="19050" rIns="38100" bIns="19050" anchor="ctr">
              <a:spAutoFit/>
            </a:bodyPr>
            <a:lstStyle/>
            <a:p>
              <a:pPr>
                <a:defRPr sz="1000">
                  <a:ln w="6350" cap="sq">
                    <a:noFill/>
                  </a:ln>
                  <a:solidFill>
                    <a:schemeClr val="tx1">
                      <a:lumMod val="95000"/>
                      <a:lumOff val="5000"/>
                    </a:schemeClr>
                  </a:solidFill>
                  <a:effectLst>
                    <a:outerShdw blurRad="50800" dist="50800" dir="5400000" sx="1000" sy="1000" algn="ctr" rotWithShape="0">
                      <a:srgbClr val="000000">
                        <a:alpha val="43137"/>
                      </a:srgbClr>
                    </a:outerShdw>
                  </a:effectLst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0"/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31"/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32"/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33"/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34"/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35"/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36"/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37"/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38"/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39"/>
        <c:spPr>
          <a:solidFill>
            <a:srgbClr val="002060"/>
          </a:solidFill>
          <a:ln w="107950" cap="rnd">
            <a:solidFill>
              <a:srgbClr val="002060"/>
            </a:solidFill>
          </a:ln>
        </c:spPr>
      </c:pivotFmt>
      <c:pivotFmt>
        <c:idx val="40"/>
        <c:spPr>
          <a:solidFill>
            <a:srgbClr val="002060"/>
          </a:solidFill>
          <a:ln w="107950" cap="rnd">
            <a:solidFill>
              <a:srgbClr val="002060"/>
            </a:solidFill>
          </a:ln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41"/>
        <c:spPr>
          <a:ln w="38100" cap="rnd">
            <a:solidFill>
              <a:srgbClr val="D4AF37"/>
            </a:solidFill>
            <a:prstDash val="sysDash"/>
            <a:round/>
          </a:ln>
        </c:spPr>
        <c:marker>
          <c:symbol val="none"/>
        </c:marker>
        <c:dLbl>
          <c:idx val="0"/>
          <c:spPr>
            <a:noFill/>
            <a:ln w="0">
              <a:noFill/>
            </a:ln>
            <a:effectLst/>
          </c:spPr>
          <c:txPr>
            <a:bodyPr wrap="square" lIns="38100" tIns="45720" rIns="38100" bIns="19050" anchor="ctr">
              <a:spAutoFit/>
            </a:bodyPr>
            <a:lstStyle/>
            <a:p>
              <a:pPr>
                <a:defRPr sz="1200">
                  <a:ln w="0" cap="sq">
                    <a:noFill/>
                  </a:ln>
                  <a:solidFill>
                    <a:srgbClr val="D1AA2D"/>
                  </a:solidFill>
                </a:defRPr>
              </a:pPr>
              <a:endParaRPr lang="en-US"/>
            </a:p>
          </c:txPr>
          <c:dLblPos val="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rect">
                  <a:avLst/>
                </a:prstGeom>
              </c15:spPr>
            </c:ext>
          </c:extLst>
        </c:dLbl>
      </c:pivotFmt>
      <c:pivotFmt>
        <c:idx val="42"/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Sheet1!$B$2</c:f>
              <c:strCache>
                <c:ptCount val="1"/>
                <c:pt idx="0">
                  <c:v>Capex</c:v>
                </c:pt>
              </c:strCache>
            </c:strRef>
          </c:tx>
          <c:spPr>
            <a:solidFill>
              <a:srgbClr val="FF9900"/>
            </a:solidFill>
            <a:ln w="107950" cap="rnd">
              <a:solidFill>
                <a:srgbClr val="FF9900"/>
              </a:solidFill>
            </a:ln>
          </c:spPr>
          <c:invertIfNegative val="0"/>
          <c:cat>
            <c:strRef>
              <c:f>Sheet1!$E$2:$K$2</c:f>
              <c:strCache>
                <c:ptCount val="7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  <c:pt idx="6">
                  <c:v>2026E</c:v>
                </c:pt>
              </c:strCache>
            </c:strRef>
          </c:cat>
          <c:val>
            <c:numRef>
              <c:f>Sheet1!$E$3:$K$3</c:f>
              <c:numCache>
                <c:formatCode>#,##0</c:formatCode>
                <c:ptCount val="7"/>
                <c:pt idx="0">
                  <c:v>35046</c:v>
                </c:pt>
                <c:pt idx="1">
                  <c:v>55396</c:v>
                </c:pt>
                <c:pt idx="2">
                  <c:v>58321</c:v>
                </c:pt>
                <c:pt idx="3">
                  <c:v>52729</c:v>
                </c:pt>
                <c:pt idx="4">
                  <c:v>82999</c:v>
                </c:pt>
                <c:pt idx="5">
                  <c:v>131819</c:v>
                </c:pt>
                <c:pt idx="6">
                  <c:v>200000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FB8-4E5B-9A2D-F2C57DD4971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45"/>
        <c:axId val="1031700671"/>
        <c:axId val="1031701151"/>
      </c:barChart>
      <c:lineChart>
        <c:grouping val="standard"/>
        <c:varyColors val="0"/>
        <c:ser>
          <c:idx val="1"/>
          <c:order val="1"/>
          <c:tx>
            <c:strRef>
              <c:f>Sheet1!$B$14</c:f>
              <c:strCache>
                <c:ptCount val="1"/>
                <c:pt idx="0">
                  <c:v>CapEx % of OCF</c:v>
                </c:pt>
              </c:strCache>
            </c:strRef>
          </c:tx>
          <c:spPr>
            <a:ln w="38100" cap="rnd">
              <a:solidFill>
                <a:srgbClr val="232F3E"/>
              </a:solidFill>
              <a:prstDash val="sysDash"/>
              <a:round/>
            </a:ln>
          </c:spPr>
          <c:marker>
            <c:symbol val="none"/>
          </c:marker>
          <c:dLbls>
            <c:spPr>
              <a:noFill/>
              <a:ln w="0">
                <a:noFill/>
              </a:ln>
              <a:effectLst/>
            </c:spPr>
            <c:txPr>
              <a:bodyPr wrap="square" lIns="38100" tIns="45720" rIns="38100" bIns="19050" anchor="ctr">
                <a:spAutoFit/>
              </a:bodyPr>
              <a:lstStyle/>
              <a:p>
                <a:pPr>
                  <a:defRPr sz="1200">
                    <a:ln w="0" cap="sq">
                      <a:noFill/>
                    </a:ln>
                    <a:solidFill>
                      <a:srgbClr val="232F3E"/>
                    </a:solidFill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rect">
                    <a:avLst/>
                  </a:prstGeom>
                </c15:spPr>
                <c15:showLeaderLines val="1"/>
              </c:ext>
            </c:extLst>
          </c:dLbls>
          <c:cat>
            <c:strRef>
              <c:f>Sheet1!$E$2:$K$2</c:f>
              <c:strCache>
                <c:ptCount val="7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  <c:pt idx="6">
                  <c:v>2026E</c:v>
                </c:pt>
              </c:strCache>
            </c:strRef>
          </c:cat>
          <c:val>
            <c:numRef>
              <c:f>Sheet1!$E$15:$K$15</c:f>
              <c:numCache>
                <c:formatCode>0.00%</c:formatCode>
                <c:ptCount val="7"/>
                <c:pt idx="0">
                  <c:v>0.53048558973116977</c:v>
                </c:pt>
                <c:pt idx="1">
                  <c:v>1.1957605715889221</c:v>
                </c:pt>
                <c:pt idx="2">
                  <c:v>1.2474546543463381</c:v>
                </c:pt>
                <c:pt idx="3">
                  <c:v>0.62073552609893345</c:v>
                </c:pt>
                <c:pt idx="4">
                  <c:v>0.71626811187724915</c:v>
                </c:pt>
                <c:pt idx="5">
                  <c:v>0.92404699482664354</c:v>
                </c:pt>
                <c:pt idx="6">
                  <c:v>1.0958423740329191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3FB8-4E5B-9A2D-F2C57DD4971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995206815"/>
        <c:axId val="1995204415"/>
      </c:lineChart>
      <c:catAx>
        <c:axId val="103170067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solidFill>
            <a:schemeClr val="bg1">
              <a:lumMod val="75000"/>
              <a:alpha val="0"/>
            </a:schemeClr>
          </a:solidFill>
          <a:ln w="31750" cap="flat" cmpd="sng" algn="ctr">
            <a:solidFill>
              <a:schemeClr val="bg1">
                <a:lumMod val="75000"/>
              </a:schemeClr>
            </a:solidFill>
            <a:round/>
          </a:ln>
          <a:effectLst/>
        </c:spPr>
        <c:txPr>
          <a:bodyPr rot="0" spcFirstLastPara="1" vertOverflow="ellipsis" vert="horz" wrap="square" anchor="t" anchorCtr="0"/>
          <a:lstStyle/>
          <a:p>
            <a:pPr>
              <a:defRPr sz="2000" b="0" i="0" u="none" strike="noStrike" kern="1200" baseline="0">
                <a:solidFill>
                  <a:schemeClr val="accent3">
                    <a:lumMod val="50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31701151"/>
        <c:crosses val="autoZero"/>
        <c:auto val="1"/>
        <c:lblAlgn val="ctr"/>
        <c:lblOffset val="100"/>
        <c:noMultiLvlLbl val="0"/>
      </c:catAx>
      <c:valAx>
        <c:axId val="1031701151"/>
        <c:scaling>
          <c:orientation val="minMax"/>
        </c:scaling>
        <c:delete val="0"/>
        <c:axPos val="l"/>
        <c:majorGridlines>
          <c:spPr>
            <a:ln w="6350" cap="flat" cmpd="sng" algn="ctr">
              <a:solidFill>
                <a:schemeClr val="accent3"/>
              </a:solidFill>
              <a:prstDash val="solid"/>
              <a:round/>
              <a:headEnd type="none"/>
            </a:ln>
            <a:effectLst/>
          </c:spPr>
        </c:majorGridlines>
        <c:numFmt formatCode="#,##0" sourceLinked="0"/>
        <c:majorTickMark val="in"/>
        <c:minorTickMark val="none"/>
        <c:tickLblPos val="nextTo"/>
        <c:spPr>
          <a:noFill/>
          <a:ln w="28575">
            <a:solidFill>
              <a:schemeClr val="bg1">
                <a:lumMod val="75000"/>
              </a:schemeClr>
            </a:solidFill>
          </a:ln>
          <a:effectLst/>
        </c:spPr>
        <c:txPr>
          <a:bodyPr rot="0" spcFirstLastPara="1" vertOverflow="ellipsis" vert="horz" wrap="square" anchor="ctr" anchorCtr="0"/>
          <a:lstStyle/>
          <a:p>
            <a:pPr>
              <a:defRPr sz="1400" b="0" i="0" u="none" strike="noStrike" kern="1200" baseline="0">
                <a:ln>
                  <a:noFill/>
                </a:ln>
                <a:solidFill>
                  <a:schemeClr val="accent3">
                    <a:lumMod val="50000"/>
                  </a:schemeClr>
                </a:solidFill>
                <a:effectLst>
                  <a:outerShdw blurRad="50800" dist="50800" dir="5400000" algn="ctr" rotWithShape="0">
                    <a:schemeClr val="bg1"/>
                  </a:outerShdw>
                </a:effectLst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31700671"/>
        <c:crosses val="autoZero"/>
        <c:crossBetween val="between"/>
      </c:valAx>
      <c:valAx>
        <c:axId val="1995204415"/>
        <c:scaling>
          <c:orientation val="minMax"/>
        </c:scaling>
        <c:delete val="0"/>
        <c:axPos val="r"/>
        <c:numFmt formatCode="0.00%" sourceLinked="1"/>
        <c:majorTickMark val="none"/>
        <c:minorTickMark val="none"/>
        <c:tickLblPos val="none"/>
        <c:spPr>
          <a:noFill/>
          <a:ln w="0">
            <a:noFill/>
          </a:ln>
        </c:spPr>
        <c:crossAx val="1995206815"/>
        <c:crosses val="max"/>
        <c:crossBetween val="between"/>
      </c:valAx>
      <c:catAx>
        <c:axId val="1995206815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1995204415"/>
        <c:crosses val="autoZero"/>
        <c:auto val="1"/>
        <c:lblAlgn val="ctr"/>
        <c:lblOffset val="100"/>
        <c:noMultiLvlLbl val="0"/>
      </c:catAx>
      <c:spPr>
        <a:solidFill>
          <a:srgbClr val="FDFDFD"/>
        </a:solidFill>
        <a:ln>
          <a:solidFill>
            <a:srgbClr val="FDFDFD"/>
          </a:solidFill>
        </a:ln>
      </c:spPr>
    </c:plotArea>
    <c:legend>
      <c:legendPos val="t"/>
      <c:overlay val="0"/>
      <c:txPr>
        <a:bodyPr/>
        <a:lstStyle/>
        <a:p>
          <a:pPr>
            <a:defRPr sz="1200"/>
          </a:pPr>
          <a:endParaRPr lang="en-US"/>
        </a:p>
      </c:txPr>
    </c:legend>
    <c:plotVisOnly val="1"/>
    <c:dispBlanksAs val="gap"/>
    <c:showDLblsOverMax val="0"/>
    <c:extLst/>
  </c:chart>
  <c:spPr>
    <a:solidFill>
      <a:srgbClr val="FDFDFD"/>
    </a:solidFill>
    <a:ln w="107950" cap="rnd">
      <a:noFill/>
    </a:ln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/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/>
          <a:lstStyle/>
          <a:p>
            <a:pPr>
              <a:defRPr/>
            </a:pPr>
            <a:r>
              <a:rPr lang="en-US"/>
              <a:t>Microsoft</a:t>
            </a:r>
          </a:p>
        </c:rich>
      </c:tx>
      <c:overlay val="0"/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1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1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1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1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1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1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1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1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18"/>
        <c:spPr>
          <a:solidFill>
            <a:schemeClr val="accent1"/>
          </a:solidFill>
          <a:ln w="107950" cap="rnd">
            <a:solidFill>
              <a:schemeClr val="accent1"/>
            </a:solidFill>
          </a:ln>
          <a:effectLst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19"/>
        <c:spPr>
          <a:solidFill>
            <a:schemeClr val="accent1"/>
          </a:solidFill>
          <a:ln w="107950" cap="rnd">
            <a:solidFill>
              <a:schemeClr val="accent1"/>
            </a:solidFill>
          </a:ln>
          <a:effectLst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2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21"/>
        <c:spPr>
          <a:solidFill>
            <a:schemeClr val="accent4"/>
          </a:solidFill>
          <a:ln w="107950" cap="rnd">
            <a:solidFill>
              <a:schemeClr val="accent1"/>
            </a:solidFill>
          </a:ln>
          <a:effectLst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22"/>
        <c:spPr>
          <a:solidFill>
            <a:schemeClr val="accent1"/>
          </a:solidFill>
          <a:ln w="107950" cap="rnd">
            <a:solidFill>
              <a:schemeClr val="accent1"/>
            </a:solidFill>
          </a:ln>
          <a:effectLst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23"/>
        <c:spPr>
          <a:solidFill>
            <a:schemeClr val="accent1"/>
          </a:solidFill>
          <a:ln w="107950" cap="rnd">
            <a:solidFill>
              <a:schemeClr val="accent1"/>
            </a:solidFill>
          </a:ln>
          <a:effectLst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24"/>
        <c:spPr>
          <a:solidFill>
            <a:schemeClr val="accent1"/>
          </a:solidFill>
          <a:ln w="107950" cap="rnd">
            <a:solidFill>
              <a:schemeClr val="accent1"/>
            </a:solidFill>
          </a:ln>
          <a:effectLst/>
        </c:spPr>
      </c:pivotFmt>
      <c:pivotFmt>
        <c:idx val="25"/>
        <c:spPr>
          <a:solidFill>
            <a:schemeClr val="accent1"/>
          </a:solidFill>
          <a:ln w="107950" cap="rnd">
            <a:solidFill>
              <a:schemeClr val="accent1"/>
            </a:solidFill>
          </a:ln>
          <a:effectLst/>
        </c:spPr>
      </c:pivotFmt>
      <c:pivotFmt>
        <c:idx val="26"/>
        <c:spPr>
          <a:ln w="107950" cap="sq">
            <a:solidFill>
              <a:schemeClr val="accent1"/>
            </a:solidFill>
          </a:ln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27"/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28"/>
        <c:spPr>
          <a:ln w="107950" cap="sq">
            <a:solidFill>
              <a:schemeClr val="accent1"/>
            </a:solidFill>
          </a:ln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29"/>
        <c:spPr>
          <a:solidFill>
            <a:srgbClr val="002060"/>
          </a:solidFill>
          <a:ln w="107950" cap="sq">
            <a:solidFill>
              <a:srgbClr val="002060"/>
            </a:solidFill>
          </a:ln>
        </c:spPr>
        <c:marker>
          <c:symbol val="none"/>
        </c:marker>
        <c:dLbl>
          <c:idx val="0"/>
          <c:numFmt formatCode="#,##0" sourceLinked="0"/>
          <c:spPr>
            <a:noFill/>
            <a:ln>
              <a:noFill/>
            </a:ln>
            <a:effectLst/>
          </c:spPr>
          <c:txPr>
            <a:bodyPr wrap="square" lIns="38100" tIns="19050" rIns="38100" bIns="19050" anchor="ctr">
              <a:spAutoFit/>
            </a:bodyPr>
            <a:lstStyle/>
            <a:p>
              <a:pPr>
                <a:defRPr sz="1000">
                  <a:ln w="6350" cap="sq">
                    <a:noFill/>
                  </a:ln>
                  <a:solidFill>
                    <a:schemeClr val="tx1">
                      <a:lumMod val="95000"/>
                      <a:lumOff val="5000"/>
                    </a:schemeClr>
                  </a:solidFill>
                  <a:effectLst>
                    <a:outerShdw blurRad="50800" dist="50800" dir="5400000" sx="1000" sy="1000" algn="ctr" rotWithShape="0">
                      <a:srgbClr val="000000">
                        <a:alpha val="43137"/>
                      </a:srgbClr>
                    </a:outerShdw>
                  </a:effectLst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0"/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31"/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32"/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33"/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34"/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35"/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36"/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37"/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38"/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39"/>
        <c:spPr>
          <a:solidFill>
            <a:srgbClr val="002060"/>
          </a:solidFill>
          <a:ln w="107950" cap="rnd">
            <a:solidFill>
              <a:srgbClr val="002060"/>
            </a:solidFill>
          </a:ln>
        </c:spPr>
      </c:pivotFmt>
      <c:pivotFmt>
        <c:idx val="40"/>
        <c:spPr>
          <a:solidFill>
            <a:srgbClr val="002060"/>
          </a:solidFill>
          <a:ln w="107950" cap="rnd">
            <a:solidFill>
              <a:srgbClr val="002060"/>
            </a:solidFill>
          </a:ln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41"/>
        <c:spPr>
          <a:ln w="38100" cap="rnd">
            <a:solidFill>
              <a:srgbClr val="D4AF37"/>
            </a:solidFill>
            <a:prstDash val="sysDash"/>
            <a:round/>
          </a:ln>
        </c:spPr>
        <c:marker>
          <c:symbol val="none"/>
        </c:marker>
        <c:dLbl>
          <c:idx val="0"/>
          <c:spPr>
            <a:noFill/>
            <a:ln w="0">
              <a:noFill/>
            </a:ln>
            <a:effectLst/>
          </c:spPr>
          <c:txPr>
            <a:bodyPr wrap="square" lIns="38100" tIns="45720" rIns="38100" bIns="19050" anchor="ctr">
              <a:spAutoFit/>
            </a:bodyPr>
            <a:lstStyle/>
            <a:p>
              <a:pPr>
                <a:defRPr sz="1200">
                  <a:ln w="0" cap="sq">
                    <a:noFill/>
                  </a:ln>
                  <a:solidFill>
                    <a:srgbClr val="D1AA2D"/>
                  </a:solidFill>
                </a:defRPr>
              </a:pPr>
              <a:endParaRPr lang="en-US"/>
            </a:p>
          </c:txPr>
          <c:dLblPos val="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rect">
                  <a:avLst/>
                </a:prstGeom>
              </c15:spPr>
            </c:ext>
          </c:extLst>
        </c:dLbl>
      </c:pivotFmt>
      <c:pivotFmt>
        <c:idx val="42"/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Sheet1!$B$2</c:f>
              <c:strCache>
                <c:ptCount val="1"/>
                <c:pt idx="0">
                  <c:v>Capex</c:v>
                </c:pt>
              </c:strCache>
            </c:strRef>
          </c:tx>
          <c:spPr>
            <a:solidFill>
              <a:srgbClr val="F25022"/>
            </a:solidFill>
            <a:ln w="107950" cap="rnd">
              <a:solidFill>
                <a:srgbClr val="F25022"/>
              </a:solidFill>
            </a:ln>
          </c:spPr>
          <c:invertIfNegative val="0"/>
          <c:cat>
            <c:strRef>
              <c:f>Sheet1!$E$2:$K$2</c:f>
              <c:strCache>
                <c:ptCount val="7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  <c:pt idx="6">
                  <c:v>2026E</c:v>
                </c:pt>
              </c:strCache>
            </c:strRef>
          </c:cat>
          <c:val>
            <c:numRef>
              <c:f>Sheet1!$E$4:$K$4</c:f>
              <c:numCache>
                <c:formatCode>#,##0</c:formatCode>
                <c:ptCount val="7"/>
                <c:pt idx="0">
                  <c:v>15441</c:v>
                </c:pt>
                <c:pt idx="1">
                  <c:v>20622</c:v>
                </c:pt>
                <c:pt idx="2">
                  <c:v>23886</c:v>
                </c:pt>
                <c:pt idx="3">
                  <c:v>28107</c:v>
                </c:pt>
                <c:pt idx="4">
                  <c:v>44477</c:v>
                </c:pt>
                <c:pt idx="5">
                  <c:v>64551</c:v>
                </c:pt>
                <c:pt idx="6">
                  <c:v>150000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FB8-4E5B-9A2D-F2C57DD4971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45"/>
        <c:axId val="1031700671"/>
        <c:axId val="1031701151"/>
      </c:barChart>
      <c:lineChart>
        <c:grouping val="standard"/>
        <c:varyColors val="0"/>
        <c:ser>
          <c:idx val="1"/>
          <c:order val="1"/>
          <c:tx>
            <c:strRef>
              <c:f>Sheet1!$B$14</c:f>
              <c:strCache>
                <c:ptCount val="1"/>
                <c:pt idx="0">
                  <c:v>CapEx % of OCF</c:v>
                </c:pt>
              </c:strCache>
            </c:strRef>
          </c:tx>
          <c:spPr>
            <a:ln w="38100" cap="rnd">
              <a:solidFill>
                <a:srgbClr val="2B2B2B"/>
              </a:solidFill>
              <a:prstDash val="sysDash"/>
              <a:round/>
            </a:ln>
          </c:spPr>
          <c:marker>
            <c:symbol val="none"/>
          </c:marker>
          <c:dLbls>
            <c:spPr>
              <a:noFill/>
              <a:ln w="0">
                <a:noFill/>
              </a:ln>
              <a:effectLst/>
            </c:spPr>
            <c:txPr>
              <a:bodyPr wrap="square" lIns="38100" tIns="45720" rIns="38100" bIns="19050" anchor="ctr">
                <a:spAutoFit/>
              </a:bodyPr>
              <a:lstStyle/>
              <a:p>
                <a:pPr>
                  <a:defRPr sz="1200">
                    <a:ln w="0" cap="sq">
                      <a:noFill/>
                    </a:ln>
                    <a:solidFill>
                      <a:srgbClr val="2B2B2B"/>
                    </a:solidFill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rect">
                    <a:avLst/>
                  </a:prstGeom>
                </c15:spPr>
                <c15:showLeaderLines val="1"/>
              </c:ext>
            </c:extLst>
          </c:dLbls>
          <c:cat>
            <c:strRef>
              <c:f>Sheet1!$E$2:$K$2</c:f>
              <c:strCache>
                <c:ptCount val="7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  <c:pt idx="6">
                  <c:v>2026E</c:v>
                </c:pt>
              </c:strCache>
            </c:strRef>
          </c:cat>
          <c:val>
            <c:numRef>
              <c:f>Sheet1!$E$16:$K$16</c:f>
              <c:numCache>
                <c:formatCode>0.00%</c:formatCode>
                <c:ptCount val="7"/>
                <c:pt idx="0">
                  <c:v>0.25448702101359705</c:v>
                </c:pt>
                <c:pt idx="1">
                  <c:v>0.26872556684910087</c:v>
                </c:pt>
                <c:pt idx="2">
                  <c:v>0.26827652046947831</c:v>
                </c:pt>
                <c:pt idx="3">
                  <c:v>0.32092210728231829</c:v>
                </c:pt>
                <c:pt idx="4">
                  <c:v>0.37518136113641731</c:v>
                </c:pt>
                <c:pt idx="5">
                  <c:v>0.47407499889837107</c:v>
                </c:pt>
                <c:pt idx="6">
                  <c:v>0.87724941370497522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3FB8-4E5B-9A2D-F2C57DD4971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995206815"/>
        <c:axId val="1995204415"/>
      </c:lineChart>
      <c:catAx>
        <c:axId val="103170067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solidFill>
            <a:schemeClr val="bg1">
              <a:lumMod val="75000"/>
              <a:alpha val="0"/>
            </a:schemeClr>
          </a:solidFill>
          <a:ln w="31750" cap="flat" cmpd="sng" algn="ctr">
            <a:solidFill>
              <a:schemeClr val="bg1">
                <a:lumMod val="75000"/>
              </a:schemeClr>
            </a:solidFill>
            <a:round/>
          </a:ln>
          <a:effectLst/>
        </c:spPr>
        <c:txPr>
          <a:bodyPr rot="0" spcFirstLastPara="1" vertOverflow="ellipsis" vert="horz" wrap="square" anchor="t" anchorCtr="0"/>
          <a:lstStyle/>
          <a:p>
            <a:pPr>
              <a:defRPr sz="2000" b="0" i="0" u="none" strike="noStrike" kern="1200" baseline="0">
                <a:solidFill>
                  <a:schemeClr val="accent3">
                    <a:lumMod val="50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31701151"/>
        <c:crosses val="autoZero"/>
        <c:auto val="1"/>
        <c:lblAlgn val="ctr"/>
        <c:lblOffset val="100"/>
        <c:noMultiLvlLbl val="0"/>
      </c:catAx>
      <c:valAx>
        <c:axId val="1031701151"/>
        <c:scaling>
          <c:orientation val="minMax"/>
        </c:scaling>
        <c:delete val="0"/>
        <c:axPos val="l"/>
        <c:majorGridlines>
          <c:spPr>
            <a:ln w="6350" cap="flat" cmpd="sng" algn="ctr">
              <a:solidFill>
                <a:schemeClr val="accent3"/>
              </a:solidFill>
              <a:prstDash val="solid"/>
              <a:round/>
              <a:headEnd type="none"/>
            </a:ln>
            <a:effectLst/>
          </c:spPr>
        </c:majorGridlines>
        <c:numFmt formatCode="#,##0" sourceLinked="0"/>
        <c:majorTickMark val="in"/>
        <c:minorTickMark val="none"/>
        <c:tickLblPos val="nextTo"/>
        <c:spPr>
          <a:noFill/>
          <a:ln w="28575">
            <a:solidFill>
              <a:schemeClr val="bg1">
                <a:lumMod val="75000"/>
              </a:schemeClr>
            </a:solidFill>
          </a:ln>
          <a:effectLst/>
        </c:spPr>
        <c:txPr>
          <a:bodyPr rot="0" spcFirstLastPara="1" vertOverflow="ellipsis" vert="horz" wrap="square" anchor="ctr" anchorCtr="0"/>
          <a:lstStyle/>
          <a:p>
            <a:pPr>
              <a:defRPr sz="1400" b="0" i="0" u="none" strike="noStrike" kern="1200" baseline="0">
                <a:ln>
                  <a:noFill/>
                </a:ln>
                <a:solidFill>
                  <a:schemeClr val="accent3">
                    <a:lumMod val="50000"/>
                  </a:schemeClr>
                </a:solidFill>
                <a:effectLst>
                  <a:outerShdw blurRad="50800" dist="50800" dir="5400000" algn="ctr" rotWithShape="0">
                    <a:schemeClr val="bg1"/>
                  </a:outerShdw>
                </a:effectLst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31700671"/>
        <c:crosses val="autoZero"/>
        <c:crossBetween val="between"/>
      </c:valAx>
      <c:valAx>
        <c:axId val="1995204415"/>
        <c:scaling>
          <c:orientation val="minMax"/>
        </c:scaling>
        <c:delete val="0"/>
        <c:axPos val="r"/>
        <c:numFmt formatCode="0.00%" sourceLinked="1"/>
        <c:majorTickMark val="none"/>
        <c:minorTickMark val="none"/>
        <c:tickLblPos val="none"/>
        <c:spPr>
          <a:noFill/>
          <a:ln w="0">
            <a:noFill/>
          </a:ln>
        </c:spPr>
        <c:crossAx val="1995206815"/>
        <c:crosses val="max"/>
        <c:crossBetween val="between"/>
      </c:valAx>
      <c:catAx>
        <c:axId val="1995206815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1995204415"/>
        <c:crosses val="autoZero"/>
        <c:auto val="1"/>
        <c:lblAlgn val="ctr"/>
        <c:lblOffset val="100"/>
        <c:noMultiLvlLbl val="0"/>
      </c:catAx>
      <c:spPr>
        <a:solidFill>
          <a:srgbClr val="FDFDFD"/>
        </a:solidFill>
        <a:ln>
          <a:solidFill>
            <a:srgbClr val="FDFDFD"/>
          </a:solidFill>
        </a:ln>
      </c:spPr>
    </c:plotArea>
    <c:legend>
      <c:legendPos val="t"/>
      <c:overlay val="0"/>
      <c:txPr>
        <a:bodyPr/>
        <a:lstStyle/>
        <a:p>
          <a:pPr>
            <a:defRPr sz="1200"/>
          </a:pPr>
          <a:endParaRPr lang="en-US"/>
        </a:p>
      </c:txPr>
    </c:legend>
    <c:plotVisOnly val="1"/>
    <c:dispBlanksAs val="gap"/>
    <c:showDLblsOverMax val="0"/>
    <c:extLst/>
  </c:chart>
  <c:spPr>
    <a:solidFill>
      <a:srgbClr val="FDFDFD"/>
    </a:solidFill>
    <a:ln w="107950" cap="rnd">
      <a:noFill/>
    </a:ln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/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/>
          <a:lstStyle/>
          <a:p>
            <a:pPr>
              <a:defRPr/>
            </a:pPr>
            <a:r>
              <a:rPr lang="en-US"/>
              <a:t>Google</a:t>
            </a:r>
          </a:p>
        </c:rich>
      </c:tx>
      <c:overlay val="0"/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1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1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1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1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1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1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1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1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18"/>
        <c:spPr>
          <a:solidFill>
            <a:schemeClr val="accent1"/>
          </a:solidFill>
          <a:ln w="107950" cap="rnd">
            <a:solidFill>
              <a:schemeClr val="accent1"/>
            </a:solidFill>
          </a:ln>
          <a:effectLst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19"/>
        <c:spPr>
          <a:solidFill>
            <a:schemeClr val="accent1"/>
          </a:solidFill>
          <a:ln w="107950" cap="rnd">
            <a:solidFill>
              <a:schemeClr val="accent1"/>
            </a:solidFill>
          </a:ln>
          <a:effectLst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2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21"/>
        <c:spPr>
          <a:solidFill>
            <a:schemeClr val="accent4"/>
          </a:solidFill>
          <a:ln w="107950" cap="rnd">
            <a:solidFill>
              <a:schemeClr val="accent1"/>
            </a:solidFill>
          </a:ln>
          <a:effectLst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22"/>
        <c:spPr>
          <a:solidFill>
            <a:schemeClr val="accent1"/>
          </a:solidFill>
          <a:ln w="107950" cap="rnd">
            <a:solidFill>
              <a:schemeClr val="accent1"/>
            </a:solidFill>
          </a:ln>
          <a:effectLst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23"/>
        <c:spPr>
          <a:solidFill>
            <a:schemeClr val="accent1"/>
          </a:solidFill>
          <a:ln w="107950" cap="rnd">
            <a:solidFill>
              <a:schemeClr val="accent1"/>
            </a:solidFill>
          </a:ln>
          <a:effectLst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24"/>
        <c:spPr>
          <a:solidFill>
            <a:schemeClr val="accent1"/>
          </a:solidFill>
          <a:ln w="107950" cap="rnd">
            <a:solidFill>
              <a:schemeClr val="accent1"/>
            </a:solidFill>
          </a:ln>
          <a:effectLst/>
        </c:spPr>
      </c:pivotFmt>
      <c:pivotFmt>
        <c:idx val="25"/>
        <c:spPr>
          <a:solidFill>
            <a:schemeClr val="accent1"/>
          </a:solidFill>
          <a:ln w="107950" cap="rnd">
            <a:solidFill>
              <a:schemeClr val="accent1"/>
            </a:solidFill>
          </a:ln>
          <a:effectLst/>
        </c:spPr>
      </c:pivotFmt>
      <c:pivotFmt>
        <c:idx val="26"/>
        <c:spPr>
          <a:ln w="107950" cap="sq">
            <a:solidFill>
              <a:schemeClr val="accent1"/>
            </a:solidFill>
          </a:ln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27"/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28"/>
        <c:spPr>
          <a:ln w="107950" cap="sq">
            <a:solidFill>
              <a:schemeClr val="accent1"/>
            </a:solidFill>
          </a:ln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29"/>
        <c:spPr>
          <a:solidFill>
            <a:srgbClr val="002060"/>
          </a:solidFill>
          <a:ln w="107950" cap="sq">
            <a:solidFill>
              <a:srgbClr val="002060"/>
            </a:solidFill>
          </a:ln>
        </c:spPr>
        <c:marker>
          <c:symbol val="none"/>
        </c:marker>
        <c:dLbl>
          <c:idx val="0"/>
          <c:numFmt formatCode="#,##0" sourceLinked="0"/>
          <c:spPr>
            <a:noFill/>
            <a:ln>
              <a:noFill/>
            </a:ln>
            <a:effectLst/>
          </c:spPr>
          <c:txPr>
            <a:bodyPr wrap="square" lIns="38100" tIns="19050" rIns="38100" bIns="19050" anchor="ctr">
              <a:spAutoFit/>
            </a:bodyPr>
            <a:lstStyle/>
            <a:p>
              <a:pPr>
                <a:defRPr sz="1000">
                  <a:ln w="6350" cap="sq">
                    <a:noFill/>
                  </a:ln>
                  <a:solidFill>
                    <a:schemeClr val="tx1">
                      <a:lumMod val="95000"/>
                      <a:lumOff val="5000"/>
                    </a:schemeClr>
                  </a:solidFill>
                  <a:effectLst>
                    <a:outerShdw blurRad="50800" dist="50800" dir="5400000" sx="1000" sy="1000" algn="ctr" rotWithShape="0">
                      <a:srgbClr val="000000">
                        <a:alpha val="43137"/>
                      </a:srgbClr>
                    </a:outerShdw>
                  </a:effectLst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0"/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31"/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32"/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33"/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34"/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35"/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36"/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37"/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38"/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39"/>
        <c:spPr>
          <a:solidFill>
            <a:srgbClr val="002060"/>
          </a:solidFill>
          <a:ln w="107950" cap="rnd">
            <a:solidFill>
              <a:srgbClr val="002060"/>
            </a:solidFill>
          </a:ln>
        </c:spPr>
      </c:pivotFmt>
      <c:pivotFmt>
        <c:idx val="40"/>
        <c:spPr>
          <a:solidFill>
            <a:srgbClr val="002060"/>
          </a:solidFill>
          <a:ln w="107950" cap="rnd">
            <a:solidFill>
              <a:srgbClr val="002060"/>
            </a:solidFill>
          </a:ln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41"/>
        <c:spPr>
          <a:ln w="38100" cap="rnd">
            <a:solidFill>
              <a:srgbClr val="D4AF37"/>
            </a:solidFill>
            <a:prstDash val="sysDash"/>
            <a:round/>
          </a:ln>
        </c:spPr>
        <c:marker>
          <c:symbol val="none"/>
        </c:marker>
        <c:dLbl>
          <c:idx val="0"/>
          <c:spPr>
            <a:noFill/>
            <a:ln w="0">
              <a:noFill/>
            </a:ln>
            <a:effectLst/>
          </c:spPr>
          <c:txPr>
            <a:bodyPr wrap="square" lIns="38100" tIns="45720" rIns="38100" bIns="19050" anchor="ctr">
              <a:spAutoFit/>
            </a:bodyPr>
            <a:lstStyle/>
            <a:p>
              <a:pPr>
                <a:defRPr sz="1200">
                  <a:ln w="0" cap="sq">
                    <a:noFill/>
                  </a:ln>
                  <a:solidFill>
                    <a:srgbClr val="D1AA2D"/>
                  </a:solidFill>
                </a:defRPr>
              </a:pPr>
              <a:endParaRPr lang="en-US"/>
            </a:p>
          </c:txPr>
          <c:dLblPos val="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rect">
                  <a:avLst/>
                </a:prstGeom>
              </c15:spPr>
            </c:ext>
          </c:extLst>
        </c:dLbl>
      </c:pivotFmt>
      <c:pivotFmt>
        <c:idx val="42"/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Sheet1!$B$2</c:f>
              <c:strCache>
                <c:ptCount val="1"/>
                <c:pt idx="0">
                  <c:v>Capex</c:v>
                </c:pt>
              </c:strCache>
            </c:strRef>
          </c:tx>
          <c:spPr>
            <a:solidFill>
              <a:srgbClr val="34A853"/>
            </a:solidFill>
            <a:ln w="107950" cap="rnd">
              <a:solidFill>
                <a:srgbClr val="34A853"/>
              </a:solidFill>
            </a:ln>
          </c:spPr>
          <c:invertIfNegative val="0"/>
          <c:cat>
            <c:strRef>
              <c:f>Sheet1!$E$2:$K$2</c:f>
              <c:strCache>
                <c:ptCount val="7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  <c:pt idx="6">
                  <c:v>2026E</c:v>
                </c:pt>
              </c:strCache>
            </c:strRef>
          </c:cat>
          <c:val>
            <c:numRef>
              <c:f>Sheet1!$E$5:$K$5</c:f>
              <c:numCache>
                <c:formatCode>#,##0</c:formatCode>
                <c:ptCount val="7"/>
                <c:pt idx="0">
                  <c:v>22281</c:v>
                </c:pt>
                <c:pt idx="1">
                  <c:v>24640</c:v>
                </c:pt>
                <c:pt idx="2">
                  <c:v>31485</c:v>
                </c:pt>
                <c:pt idx="3">
                  <c:v>32251</c:v>
                </c:pt>
                <c:pt idx="4">
                  <c:v>52535</c:v>
                </c:pt>
                <c:pt idx="5">
                  <c:v>91447</c:v>
                </c:pt>
                <c:pt idx="6">
                  <c:v>180000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FB8-4E5B-9A2D-F2C57DD4971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45"/>
        <c:axId val="1031700671"/>
        <c:axId val="1031701151"/>
      </c:barChart>
      <c:lineChart>
        <c:grouping val="standard"/>
        <c:varyColors val="0"/>
        <c:ser>
          <c:idx val="1"/>
          <c:order val="1"/>
          <c:tx>
            <c:strRef>
              <c:f>Sheet1!$B$14</c:f>
              <c:strCache>
                <c:ptCount val="1"/>
                <c:pt idx="0">
                  <c:v>CapEx % of OCF</c:v>
                </c:pt>
              </c:strCache>
            </c:strRef>
          </c:tx>
          <c:spPr>
            <a:ln w="38100" cap="rnd">
              <a:solidFill>
                <a:srgbClr val="0D3D22"/>
              </a:solidFill>
              <a:prstDash val="sysDash"/>
              <a:round/>
            </a:ln>
          </c:spPr>
          <c:marker>
            <c:symbol val="none"/>
          </c:marker>
          <c:dLbls>
            <c:spPr>
              <a:noFill/>
              <a:ln w="0">
                <a:noFill/>
              </a:ln>
              <a:effectLst/>
            </c:spPr>
            <c:txPr>
              <a:bodyPr wrap="square" lIns="38100" tIns="45720" rIns="38100" bIns="19050" anchor="ctr">
                <a:spAutoFit/>
              </a:bodyPr>
              <a:lstStyle/>
              <a:p>
                <a:pPr>
                  <a:defRPr sz="1200">
                    <a:ln w="0" cap="sq">
                      <a:noFill/>
                    </a:ln>
                    <a:solidFill>
                      <a:srgbClr val="0D3D22"/>
                    </a:solidFill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rect">
                    <a:avLst/>
                  </a:prstGeom>
                </c15:spPr>
                <c15:showLeaderLines val="1"/>
              </c:ext>
            </c:extLst>
          </c:dLbls>
          <c:cat>
            <c:strRef>
              <c:f>Sheet1!$E$2:$K$2</c:f>
              <c:strCache>
                <c:ptCount val="7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  <c:pt idx="6">
                  <c:v>2026E</c:v>
                </c:pt>
              </c:strCache>
            </c:strRef>
          </c:cat>
          <c:val>
            <c:numRef>
              <c:f>Sheet1!$E$17:$K$17</c:f>
              <c:numCache>
                <c:formatCode>0.00%</c:formatCode>
                <c:ptCount val="7"/>
                <c:pt idx="0">
                  <c:v>0.34213193292795285</c:v>
                </c:pt>
                <c:pt idx="1">
                  <c:v>0.26884301488238116</c:v>
                </c:pt>
                <c:pt idx="2">
                  <c:v>0.34411716487239741</c:v>
                </c:pt>
                <c:pt idx="3">
                  <c:v>0.31697560592062585</c:v>
                </c:pt>
                <c:pt idx="4">
                  <c:v>0.4192770892026273</c:v>
                </c:pt>
                <c:pt idx="5">
                  <c:v>0.55518993643488979</c:v>
                </c:pt>
                <c:pt idx="6">
                  <c:v>0.92413375295851152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3FB8-4E5B-9A2D-F2C57DD4971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995206815"/>
        <c:axId val="1995204415"/>
      </c:lineChart>
      <c:catAx>
        <c:axId val="103170067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solidFill>
            <a:schemeClr val="bg1">
              <a:lumMod val="75000"/>
              <a:alpha val="0"/>
            </a:schemeClr>
          </a:solidFill>
          <a:ln w="31750" cap="flat" cmpd="sng" algn="ctr">
            <a:solidFill>
              <a:schemeClr val="bg1">
                <a:lumMod val="75000"/>
              </a:schemeClr>
            </a:solidFill>
            <a:round/>
          </a:ln>
          <a:effectLst/>
        </c:spPr>
        <c:txPr>
          <a:bodyPr rot="0" spcFirstLastPara="1" vertOverflow="ellipsis" vert="horz" wrap="square" anchor="t" anchorCtr="0"/>
          <a:lstStyle/>
          <a:p>
            <a:pPr>
              <a:defRPr sz="2000" b="0" i="0" u="none" strike="noStrike" kern="1200" baseline="0">
                <a:solidFill>
                  <a:schemeClr val="accent3">
                    <a:lumMod val="50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31701151"/>
        <c:crosses val="autoZero"/>
        <c:auto val="1"/>
        <c:lblAlgn val="ctr"/>
        <c:lblOffset val="100"/>
        <c:noMultiLvlLbl val="0"/>
      </c:catAx>
      <c:valAx>
        <c:axId val="1031701151"/>
        <c:scaling>
          <c:orientation val="minMax"/>
        </c:scaling>
        <c:delete val="0"/>
        <c:axPos val="l"/>
        <c:majorGridlines>
          <c:spPr>
            <a:ln w="6350" cap="flat" cmpd="sng" algn="ctr">
              <a:solidFill>
                <a:schemeClr val="accent3"/>
              </a:solidFill>
              <a:prstDash val="solid"/>
              <a:round/>
              <a:headEnd type="none"/>
            </a:ln>
            <a:effectLst/>
          </c:spPr>
        </c:majorGridlines>
        <c:numFmt formatCode="#,##0" sourceLinked="0"/>
        <c:majorTickMark val="in"/>
        <c:minorTickMark val="none"/>
        <c:tickLblPos val="nextTo"/>
        <c:spPr>
          <a:noFill/>
          <a:ln w="28575">
            <a:solidFill>
              <a:schemeClr val="bg1">
                <a:lumMod val="75000"/>
              </a:schemeClr>
            </a:solidFill>
          </a:ln>
          <a:effectLst/>
        </c:spPr>
        <c:txPr>
          <a:bodyPr rot="0" spcFirstLastPara="1" vertOverflow="ellipsis" vert="horz" wrap="square" anchor="ctr" anchorCtr="0"/>
          <a:lstStyle/>
          <a:p>
            <a:pPr>
              <a:defRPr sz="1400" b="0" i="0" u="none" strike="noStrike" kern="1200" baseline="0">
                <a:ln>
                  <a:noFill/>
                </a:ln>
                <a:solidFill>
                  <a:schemeClr val="accent3">
                    <a:lumMod val="50000"/>
                  </a:schemeClr>
                </a:solidFill>
                <a:effectLst>
                  <a:outerShdw blurRad="50800" dist="50800" dir="5400000" algn="ctr" rotWithShape="0">
                    <a:schemeClr val="bg1"/>
                  </a:outerShdw>
                </a:effectLst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31700671"/>
        <c:crosses val="autoZero"/>
        <c:crossBetween val="between"/>
      </c:valAx>
      <c:valAx>
        <c:axId val="1995204415"/>
        <c:scaling>
          <c:orientation val="minMax"/>
        </c:scaling>
        <c:delete val="0"/>
        <c:axPos val="r"/>
        <c:numFmt formatCode="0.00%" sourceLinked="1"/>
        <c:majorTickMark val="none"/>
        <c:minorTickMark val="none"/>
        <c:tickLblPos val="none"/>
        <c:spPr>
          <a:noFill/>
          <a:ln w="0">
            <a:noFill/>
          </a:ln>
        </c:spPr>
        <c:crossAx val="1995206815"/>
        <c:crosses val="max"/>
        <c:crossBetween val="between"/>
      </c:valAx>
      <c:catAx>
        <c:axId val="1995206815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1995204415"/>
        <c:crosses val="autoZero"/>
        <c:auto val="1"/>
        <c:lblAlgn val="ctr"/>
        <c:lblOffset val="100"/>
        <c:noMultiLvlLbl val="0"/>
      </c:catAx>
      <c:spPr>
        <a:solidFill>
          <a:srgbClr val="FDFDFD"/>
        </a:solidFill>
        <a:ln>
          <a:solidFill>
            <a:srgbClr val="FDFDFD"/>
          </a:solidFill>
        </a:ln>
      </c:spPr>
    </c:plotArea>
    <c:legend>
      <c:legendPos val="t"/>
      <c:overlay val="0"/>
      <c:txPr>
        <a:bodyPr/>
        <a:lstStyle/>
        <a:p>
          <a:pPr>
            <a:defRPr sz="1200"/>
          </a:pPr>
          <a:endParaRPr lang="en-US"/>
        </a:p>
      </c:txPr>
    </c:legend>
    <c:plotVisOnly val="1"/>
    <c:dispBlanksAs val="gap"/>
    <c:showDLblsOverMax val="0"/>
    <c:extLst/>
  </c:chart>
  <c:spPr>
    <a:solidFill>
      <a:srgbClr val="FDFDFD"/>
    </a:solidFill>
    <a:ln w="107950" cap="rnd">
      <a:noFill/>
    </a:ln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/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/>
          <a:lstStyle/>
          <a:p>
            <a:pPr>
              <a:defRPr/>
            </a:pPr>
            <a:r>
              <a:rPr lang="en-US"/>
              <a:t>Meta</a:t>
            </a:r>
          </a:p>
        </c:rich>
      </c:tx>
      <c:overlay val="0"/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1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1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1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1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1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1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1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1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18"/>
        <c:spPr>
          <a:solidFill>
            <a:schemeClr val="accent1"/>
          </a:solidFill>
          <a:ln w="107950" cap="rnd">
            <a:solidFill>
              <a:schemeClr val="accent1"/>
            </a:solidFill>
          </a:ln>
          <a:effectLst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19"/>
        <c:spPr>
          <a:solidFill>
            <a:schemeClr val="accent1"/>
          </a:solidFill>
          <a:ln w="107950" cap="rnd">
            <a:solidFill>
              <a:schemeClr val="accent1"/>
            </a:solidFill>
          </a:ln>
          <a:effectLst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2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21"/>
        <c:spPr>
          <a:solidFill>
            <a:schemeClr val="accent4"/>
          </a:solidFill>
          <a:ln w="107950" cap="rnd">
            <a:solidFill>
              <a:schemeClr val="accent1"/>
            </a:solidFill>
          </a:ln>
          <a:effectLst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22"/>
        <c:spPr>
          <a:solidFill>
            <a:schemeClr val="accent1"/>
          </a:solidFill>
          <a:ln w="107950" cap="rnd">
            <a:solidFill>
              <a:schemeClr val="accent1"/>
            </a:solidFill>
          </a:ln>
          <a:effectLst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23"/>
        <c:spPr>
          <a:solidFill>
            <a:schemeClr val="accent1"/>
          </a:solidFill>
          <a:ln w="107950" cap="rnd">
            <a:solidFill>
              <a:schemeClr val="accent1"/>
            </a:solidFill>
          </a:ln>
          <a:effectLst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24"/>
        <c:spPr>
          <a:solidFill>
            <a:schemeClr val="accent1"/>
          </a:solidFill>
          <a:ln w="107950" cap="rnd">
            <a:solidFill>
              <a:schemeClr val="accent1"/>
            </a:solidFill>
          </a:ln>
          <a:effectLst/>
        </c:spPr>
      </c:pivotFmt>
      <c:pivotFmt>
        <c:idx val="25"/>
        <c:spPr>
          <a:solidFill>
            <a:schemeClr val="accent1"/>
          </a:solidFill>
          <a:ln w="107950" cap="rnd">
            <a:solidFill>
              <a:schemeClr val="accent1"/>
            </a:solidFill>
          </a:ln>
          <a:effectLst/>
        </c:spPr>
      </c:pivotFmt>
      <c:pivotFmt>
        <c:idx val="26"/>
        <c:spPr>
          <a:ln w="107950" cap="sq">
            <a:solidFill>
              <a:schemeClr val="accent1"/>
            </a:solidFill>
          </a:ln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27"/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28"/>
        <c:spPr>
          <a:ln w="107950" cap="sq">
            <a:solidFill>
              <a:schemeClr val="accent1"/>
            </a:solidFill>
          </a:ln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29"/>
        <c:spPr>
          <a:solidFill>
            <a:srgbClr val="002060"/>
          </a:solidFill>
          <a:ln w="107950" cap="sq">
            <a:solidFill>
              <a:srgbClr val="002060"/>
            </a:solidFill>
          </a:ln>
        </c:spPr>
        <c:marker>
          <c:symbol val="none"/>
        </c:marker>
        <c:dLbl>
          <c:idx val="0"/>
          <c:numFmt formatCode="#,##0" sourceLinked="0"/>
          <c:spPr>
            <a:noFill/>
            <a:ln>
              <a:noFill/>
            </a:ln>
            <a:effectLst/>
          </c:spPr>
          <c:txPr>
            <a:bodyPr wrap="square" lIns="38100" tIns="19050" rIns="38100" bIns="19050" anchor="ctr">
              <a:spAutoFit/>
            </a:bodyPr>
            <a:lstStyle/>
            <a:p>
              <a:pPr>
                <a:defRPr sz="1000">
                  <a:ln w="6350" cap="sq">
                    <a:noFill/>
                  </a:ln>
                  <a:solidFill>
                    <a:schemeClr val="tx1">
                      <a:lumMod val="95000"/>
                      <a:lumOff val="5000"/>
                    </a:schemeClr>
                  </a:solidFill>
                  <a:effectLst>
                    <a:outerShdw blurRad="50800" dist="50800" dir="5400000" sx="1000" sy="1000" algn="ctr" rotWithShape="0">
                      <a:srgbClr val="000000">
                        <a:alpha val="43137"/>
                      </a:srgbClr>
                    </a:outerShdw>
                  </a:effectLst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0"/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31"/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32"/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33"/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34"/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35"/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36"/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37"/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38"/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39"/>
        <c:spPr>
          <a:solidFill>
            <a:srgbClr val="002060"/>
          </a:solidFill>
          <a:ln w="107950" cap="rnd">
            <a:solidFill>
              <a:srgbClr val="002060"/>
            </a:solidFill>
          </a:ln>
        </c:spPr>
      </c:pivotFmt>
      <c:pivotFmt>
        <c:idx val="40"/>
        <c:spPr>
          <a:solidFill>
            <a:srgbClr val="002060"/>
          </a:solidFill>
          <a:ln w="107950" cap="rnd">
            <a:solidFill>
              <a:srgbClr val="002060"/>
            </a:solidFill>
          </a:ln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41"/>
        <c:spPr>
          <a:ln w="38100" cap="rnd">
            <a:solidFill>
              <a:srgbClr val="D4AF37"/>
            </a:solidFill>
            <a:prstDash val="sysDash"/>
            <a:round/>
          </a:ln>
        </c:spPr>
        <c:marker>
          <c:symbol val="none"/>
        </c:marker>
        <c:dLbl>
          <c:idx val="0"/>
          <c:spPr>
            <a:noFill/>
            <a:ln w="0">
              <a:noFill/>
            </a:ln>
            <a:effectLst/>
          </c:spPr>
          <c:txPr>
            <a:bodyPr wrap="square" lIns="38100" tIns="45720" rIns="38100" bIns="19050" anchor="ctr">
              <a:spAutoFit/>
            </a:bodyPr>
            <a:lstStyle/>
            <a:p>
              <a:pPr>
                <a:defRPr sz="1200">
                  <a:ln w="0" cap="sq">
                    <a:noFill/>
                  </a:ln>
                  <a:solidFill>
                    <a:srgbClr val="D1AA2D"/>
                  </a:solidFill>
                </a:defRPr>
              </a:pPr>
              <a:endParaRPr lang="en-US"/>
            </a:p>
          </c:txPr>
          <c:dLblPos val="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rect">
                  <a:avLst/>
                </a:prstGeom>
              </c15:spPr>
            </c:ext>
          </c:extLst>
        </c:dLbl>
      </c:pivotFmt>
      <c:pivotFmt>
        <c:idx val="42"/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Sheet1!$B$2</c:f>
              <c:strCache>
                <c:ptCount val="1"/>
                <c:pt idx="0">
                  <c:v>Capex</c:v>
                </c:pt>
              </c:strCache>
            </c:strRef>
          </c:tx>
          <c:spPr>
            <a:solidFill>
              <a:srgbClr val="0064E0"/>
            </a:solidFill>
            <a:ln w="107950" cap="rnd">
              <a:solidFill>
                <a:srgbClr val="0064E0"/>
              </a:solidFill>
            </a:ln>
          </c:spPr>
          <c:invertIfNegative val="0"/>
          <c:cat>
            <c:strRef>
              <c:f>Sheet1!$E$2:$K$2</c:f>
              <c:strCache>
                <c:ptCount val="7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  <c:pt idx="6">
                  <c:v>2026E</c:v>
                </c:pt>
              </c:strCache>
            </c:strRef>
          </c:cat>
          <c:val>
            <c:numRef>
              <c:f>Sheet1!$E$6:$K$6</c:f>
              <c:numCache>
                <c:formatCode>#,##0</c:formatCode>
                <c:ptCount val="7"/>
                <c:pt idx="0">
                  <c:v>15115</c:v>
                </c:pt>
                <c:pt idx="1">
                  <c:v>18567</c:v>
                </c:pt>
                <c:pt idx="2">
                  <c:v>31431</c:v>
                </c:pt>
                <c:pt idx="3">
                  <c:v>27266</c:v>
                </c:pt>
                <c:pt idx="4">
                  <c:v>37256</c:v>
                </c:pt>
                <c:pt idx="5">
                  <c:v>72220</c:v>
                </c:pt>
                <c:pt idx="6">
                  <c:v>125000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FB8-4E5B-9A2D-F2C57DD4971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45"/>
        <c:axId val="1031700671"/>
        <c:axId val="1031701151"/>
      </c:barChart>
      <c:lineChart>
        <c:grouping val="standard"/>
        <c:varyColors val="0"/>
        <c:ser>
          <c:idx val="1"/>
          <c:order val="1"/>
          <c:tx>
            <c:strRef>
              <c:f>Sheet1!$B$14</c:f>
              <c:strCache>
                <c:ptCount val="1"/>
                <c:pt idx="0">
                  <c:v>CapEx % of OCF</c:v>
                </c:pt>
              </c:strCache>
            </c:strRef>
          </c:tx>
          <c:spPr>
            <a:ln w="38100" cap="rnd">
              <a:solidFill>
                <a:srgbClr val="1D262B"/>
              </a:solidFill>
              <a:prstDash val="sysDash"/>
              <a:round/>
            </a:ln>
          </c:spPr>
          <c:marker>
            <c:symbol val="none"/>
          </c:marker>
          <c:dLbls>
            <c:spPr>
              <a:noFill/>
              <a:ln w="0">
                <a:noFill/>
              </a:ln>
              <a:effectLst/>
            </c:spPr>
            <c:txPr>
              <a:bodyPr wrap="square" lIns="38100" tIns="45720" rIns="38100" bIns="19050" anchor="ctr">
                <a:spAutoFit/>
              </a:bodyPr>
              <a:lstStyle/>
              <a:p>
                <a:pPr>
                  <a:defRPr sz="1400" b="0" i="0" u="none">
                    <a:ln w="0" cap="sq">
                      <a:noFill/>
                    </a:ln>
                    <a:solidFill>
                      <a:srgbClr val="1D262B"/>
                    </a:solidFill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rect">
                    <a:avLst/>
                  </a:prstGeom>
                </c15:spPr>
                <c15:showLeaderLines val="1"/>
              </c:ext>
            </c:extLst>
          </c:dLbls>
          <c:cat>
            <c:strRef>
              <c:f>Sheet1!$E$2:$K$2</c:f>
              <c:strCache>
                <c:ptCount val="7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  <c:pt idx="6">
                  <c:v>2026E</c:v>
                </c:pt>
              </c:strCache>
            </c:strRef>
          </c:cat>
          <c:val>
            <c:numRef>
              <c:f>Sheet1!$E$18:$K$18</c:f>
              <c:numCache>
                <c:formatCode>0.00%</c:formatCode>
                <c:ptCount val="7"/>
                <c:pt idx="0">
                  <c:v>0.3900947170103492</c:v>
                </c:pt>
                <c:pt idx="1">
                  <c:v>0.32187992996203385</c:v>
                </c:pt>
                <c:pt idx="2">
                  <c:v>0.62270430906389307</c:v>
                </c:pt>
                <c:pt idx="3">
                  <c:v>0.38341794046095651</c:v>
                </c:pt>
                <c:pt idx="4">
                  <c:v>0.40793622985283812</c:v>
                </c:pt>
                <c:pt idx="5">
                  <c:v>0.62366148531951637</c:v>
                </c:pt>
                <c:pt idx="6">
                  <c:v>0.95948663627012998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3FB8-4E5B-9A2D-F2C57DD4971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995206815"/>
        <c:axId val="1995204415"/>
      </c:lineChart>
      <c:catAx>
        <c:axId val="103170067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solidFill>
            <a:schemeClr val="bg1">
              <a:lumMod val="75000"/>
              <a:alpha val="0"/>
            </a:schemeClr>
          </a:solidFill>
          <a:ln w="31750" cap="flat" cmpd="sng" algn="ctr">
            <a:solidFill>
              <a:schemeClr val="bg1">
                <a:lumMod val="75000"/>
              </a:schemeClr>
            </a:solidFill>
            <a:round/>
          </a:ln>
          <a:effectLst/>
        </c:spPr>
        <c:txPr>
          <a:bodyPr rot="0" spcFirstLastPara="1" vertOverflow="ellipsis" vert="horz" wrap="square" anchor="t" anchorCtr="0"/>
          <a:lstStyle/>
          <a:p>
            <a:pPr>
              <a:defRPr sz="2000" b="0" i="0" u="none" strike="noStrike" kern="1200" baseline="0">
                <a:solidFill>
                  <a:schemeClr val="accent3">
                    <a:lumMod val="50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31701151"/>
        <c:crosses val="autoZero"/>
        <c:auto val="1"/>
        <c:lblAlgn val="ctr"/>
        <c:lblOffset val="100"/>
        <c:noMultiLvlLbl val="0"/>
      </c:catAx>
      <c:valAx>
        <c:axId val="1031701151"/>
        <c:scaling>
          <c:orientation val="minMax"/>
        </c:scaling>
        <c:delete val="0"/>
        <c:axPos val="l"/>
        <c:majorGridlines>
          <c:spPr>
            <a:ln w="6350" cap="flat" cmpd="sng" algn="ctr">
              <a:solidFill>
                <a:schemeClr val="accent3"/>
              </a:solidFill>
              <a:prstDash val="solid"/>
              <a:round/>
              <a:headEnd type="none"/>
            </a:ln>
            <a:effectLst/>
          </c:spPr>
        </c:majorGridlines>
        <c:numFmt formatCode="#,##0" sourceLinked="0"/>
        <c:majorTickMark val="in"/>
        <c:minorTickMark val="none"/>
        <c:tickLblPos val="nextTo"/>
        <c:spPr>
          <a:noFill/>
          <a:ln w="28575">
            <a:solidFill>
              <a:schemeClr val="bg1">
                <a:lumMod val="75000"/>
              </a:schemeClr>
            </a:solidFill>
          </a:ln>
          <a:effectLst/>
        </c:spPr>
        <c:txPr>
          <a:bodyPr rot="0" spcFirstLastPara="1" vertOverflow="ellipsis" vert="horz" wrap="square" anchor="ctr" anchorCtr="0"/>
          <a:lstStyle/>
          <a:p>
            <a:pPr>
              <a:defRPr sz="1400" b="0" i="0" u="none" strike="noStrike" kern="1200" baseline="0">
                <a:ln>
                  <a:noFill/>
                </a:ln>
                <a:solidFill>
                  <a:schemeClr val="accent3">
                    <a:lumMod val="50000"/>
                  </a:schemeClr>
                </a:solidFill>
                <a:effectLst>
                  <a:outerShdw blurRad="50800" dist="50800" dir="5400000" algn="ctr" rotWithShape="0">
                    <a:schemeClr val="bg1"/>
                  </a:outerShdw>
                </a:effectLst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31700671"/>
        <c:crosses val="autoZero"/>
        <c:crossBetween val="between"/>
      </c:valAx>
      <c:valAx>
        <c:axId val="1995204415"/>
        <c:scaling>
          <c:orientation val="minMax"/>
        </c:scaling>
        <c:delete val="0"/>
        <c:axPos val="r"/>
        <c:numFmt formatCode="0.00%" sourceLinked="1"/>
        <c:majorTickMark val="none"/>
        <c:minorTickMark val="none"/>
        <c:tickLblPos val="none"/>
        <c:spPr>
          <a:noFill/>
          <a:ln w="0">
            <a:noFill/>
          </a:ln>
        </c:spPr>
        <c:crossAx val="1995206815"/>
        <c:crosses val="max"/>
        <c:crossBetween val="between"/>
      </c:valAx>
      <c:catAx>
        <c:axId val="1995206815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1995204415"/>
        <c:crosses val="autoZero"/>
        <c:auto val="1"/>
        <c:lblAlgn val="ctr"/>
        <c:lblOffset val="100"/>
        <c:noMultiLvlLbl val="0"/>
      </c:catAx>
      <c:spPr>
        <a:solidFill>
          <a:srgbClr val="FDFDFD"/>
        </a:solidFill>
        <a:ln>
          <a:solidFill>
            <a:srgbClr val="FDFDFD"/>
          </a:solidFill>
        </a:ln>
      </c:spPr>
    </c:plotArea>
    <c:legend>
      <c:legendPos val="t"/>
      <c:overlay val="0"/>
      <c:txPr>
        <a:bodyPr/>
        <a:lstStyle/>
        <a:p>
          <a:pPr>
            <a:defRPr sz="1200"/>
          </a:pPr>
          <a:endParaRPr lang="en-US"/>
        </a:p>
      </c:txPr>
    </c:legend>
    <c:plotVisOnly val="1"/>
    <c:dispBlanksAs val="gap"/>
    <c:showDLblsOverMax val="0"/>
    <c:extLst/>
  </c:chart>
  <c:spPr>
    <a:solidFill>
      <a:srgbClr val="FDFDFD"/>
    </a:solidFill>
    <a:ln w="107950" cap="rnd">
      <a:noFill/>
    </a:ln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/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autoTitleDeleted val="1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1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1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1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1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1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1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1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1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18"/>
        <c:spPr>
          <a:solidFill>
            <a:schemeClr val="accent1"/>
          </a:solidFill>
          <a:ln w="107950" cap="rnd">
            <a:solidFill>
              <a:schemeClr val="accent1"/>
            </a:solidFill>
          </a:ln>
          <a:effectLst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19"/>
        <c:spPr>
          <a:solidFill>
            <a:schemeClr val="accent1"/>
          </a:solidFill>
          <a:ln w="107950" cap="rnd">
            <a:solidFill>
              <a:schemeClr val="accent1"/>
            </a:solidFill>
          </a:ln>
          <a:effectLst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2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21"/>
        <c:spPr>
          <a:solidFill>
            <a:schemeClr val="accent4"/>
          </a:solidFill>
          <a:ln w="107950" cap="rnd">
            <a:solidFill>
              <a:schemeClr val="accent1"/>
            </a:solidFill>
          </a:ln>
          <a:effectLst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22"/>
        <c:spPr>
          <a:solidFill>
            <a:schemeClr val="accent1"/>
          </a:solidFill>
          <a:ln w="107950" cap="rnd">
            <a:solidFill>
              <a:schemeClr val="accent1"/>
            </a:solidFill>
          </a:ln>
          <a:effectLst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23"/>
        <c:spPr>
          <a:solidFill>
            <a:schemeClr val="accent1"/>
          </a:solidFill>
          <a:ln w="107950" cap="rnd">
            <a:solidFill>
              <a:schemeClr val="accent1"/>
            </a:solidFill>
          </a:ln>
          <a:effectLst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24"/>
        <c:spPr>
          <a:solidFill>
            <a:schemeClr val="accent1"/>
          </a:solidFill>
          <a:ln w="107950" cap="rnd">
            <a:solidFill>
              <a:schemeClr val="accent1"/>
            </a:solidFill>
          </a:ln>
          <a:effectLst/>
        </c:spPr>
      </c:pivotFmt>
      <c:pivotFmt>
        <c:idx val="25"/>
        <c:spPr>
          <a:solidFill>
            <a:schemeClr val="accent1"/>
          </a:solidFill>
          <a:ln w="107950" cap="rnd">
            <a:solidFill>
              <a:schemeClr val="accent1"/>
            </a:solidFill>
          </a:ln>
          <a:effectLst/>
        </c:spPr>
      </c:pivotFmt>
      <c:pivotFmt>
        <c:idx val="26"/>
        <c:spPr>
          <a:ln w="107950" cap="sq">
            <a:solidFill>
              <a:schemeClr val="accent1"/>
            </a:solidFill>
          </a:ln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27"/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28"/>
        <c:spPr>
          <a:ln w="107950" cap="sq">
            <a:solidFill>
              <a:schemeClr val="accent1"/>
            </a:solidFill>
          </a:ln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29"/>
        <c:spPr>
          <a:solidFill>
            <a:srgbClr val="002060"/>
          </a:solidFill>
          <a:ln w="107950" cap="sq">
            <a:solidFill>
              <a:srgbClr val="002060"/>
            </a:solidFill>
          </a:ln>
        </c:spPr>
        <c:marker>
          <c:symbol val="none"/>
        </c:marker>
        <c:dLbl>
          <c:idx val="0"/>
          <c:numFmt formatCode="#,##0" sourceLinked="0"/>
          <c:spPr>
            <a:noFill/>
            <a:ln>
              <a:noFill/>
            </a:ln>
            <a:effectLst/>
          </c:spPr>
          <c:txPr>
            <a:bodyPr wrap="square" lIns="38100" tIns="19050" rIns="38100" bIns="19050" anchor="ctr">
              <a:spAutoFit/>
            </a:bodyPr>
            <a:lstStyle/>
            <a:p>
              <a:pPr>
                <a:defRPr sz="1000">
                  <a:ln w="6350" cap="sq">
                    <a:noFill/>
                  </a:ln>
                  <a:solidFill>
                    <a:schemeClr val="tx1">
                      <a:lumMod val="95000"/>
                      <a:lumOff val="5000"/>
                    </a:schemeClr>
                  </a:solidFill>
                  <a:effectLst>
                    <a:outerShdw blurRad="50800" dist="50800" dir="5400000" sx="1000" sy="1000" algn="ctr" rotWithShape="0">
                      <a:srgbClr val="000000">
                        <a:alpha val="43137"/>
                      </a:srgbClr>
                    </a:outerShdw>
                  </a:effectLst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0"/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31"/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32"/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33"/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34"/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35"/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36"/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37"/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38"/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39"/>
        <c:spPr>
          <a:solidFill>
            <a:srgbClr val="002060"/>
          </a:solidFill>
          <a:ln w="107950" cap="rnd">
            <a:solidFill>
              <a:srgbClr val="002060"/>
            </a:solidFill>
          </a:ln>
        </c:spPr>
      </c:pivotFmt>
      <c:pivotFmt>
        <c:idx val="40"/>
        <c:spPr>
          <a:solidFill>
            <a:srgbClr val="002060"/>
          </a:solidFill>
          <a:ln w="107950" cap="rnd">
            <a:solidFill>
              <a:srgbClr val="002060"/>
            </a:solidFill>
          </a:ln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41"/>
        <c:spPr>
          <a:ln w="38100" cap="rnd">
            <a:solidFill>
              <a:srgbClr val="D4AF37"/>
            </a:solidFill>
            <a:prstDash val="sysDash"/>
            <a:round/>
          </a:ln>
        </c:spPr>
        <c:marker>
          <c:symbol val="none"/>
        </c:marker>
        <c:dLbl>
          <c:idx val="0"/>
          <c:spPr>
            <a:noFill/>
            <a:ln w="0">
              <a:noFill/>
            </a:ln>
            <a:effectLst/>
          </c:spPr>
          <c:txPr>
            <a:bodyPr wrap="square" lIns="38100" tIns="45720" rIns="38100" bIns="19050" anchor="ctr">
              <a:spAutoFit/>
            </a:bodyPr>
            <a:lstStyle/>
            <a:p>
              <a:pPr>
                <a:defRPr sz="1200">
                  <a:ln w="0" cap="sq">
                    <a:noFill/>
                  </a:ln>
                  <a:solidFill>
                    <a:srgbClr val="D1AA2D"/>
                  </a:solidFill>
                </a:defRPr>
              </a:pPr>
              <a:endParaRPr lang="en-US"/>
            </a:p>
          </c:txPr>
          <c:dLblPos val="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rect">
                  <a:avLst/>
                </a:prstGeom>
              </c15:spPr>
            </c:ext>
          </c:extLst>
        </c:dLbl>
      </c:pivotFmt>
      <c:pivotFmt>
        <c:idx val="42"/>
      </c:pivotFmt>
    </c:pivotFmts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'Pivot Data'!$C$22</c:f>
              <c:strCache>
                <c:ptCount val="1"/>
                <c:pt idx="0">
                  <c:v>AMZN CapEx</c:v>
                </c:pt>
              </c:strCache>
            </c:strRef>
          </c:tx>
          <c:spPr>
            <a:solidFill>
              <a:srgbClr val="FFC000"/>
            </a:solidFill>
            <a:ln w="107950" cap="rnd">
              <a:solidFill>
                <a:srgbClr val="FFC000"/>
              </a:solidFill>
            </a:ln>
          </c:spPr>
          <c:invertIfNegative val="0"/>
          <c:cat>
            <c:strRef>
              <c:f>'Pivot Data'!$B$23:$B$29</c:f>
              <c:strCache>
                <c:ptCount val="7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  <c:pt idx="6">
                  <c:v>2026E</c:v>
                </c:pt>
              </c:strCache>
            </c:strRef>
          </c:cat>
          <c:val>
            <c:numRef>
              <c:f>'Pivot Data'!$C$23:$C$29</c:f>
              <c:numCache>
                <c:formatCode>"$"#,##0</c:formatCode>
                <c:ptCount val="7"/>
                <c:pt idx="0">
                  <c:v>35046</c:v>
                </c:pt>
                <c:pt idx="1">
                  <c:v>55396</c:v>
                </c:pt>
                <c:pt idx="2">
                  <c:v>58321</c:v>
                </c:pt>
                <c:pt idx="3">
                  <c:v>52729</c:v>
                </c:pt>
                <c:pt idx="4">
                  <c:v>82999</c:v>
                </c:pt>
                <c:pt idx="5">
                  <c:v>131819</c:v>
                </c:pt>
                <c:pt idx="6">
                  <c:v>200000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FB8-4E5B-9A2D-F2C57DD49711}"/>
            </c:ext>
          </c:extLst>
        </c:ser>
        <c:ser>
          <c:idx val="2"/>
          <c:order val="2"/>
          <c:tx>
            <c:strRef>
              <c:f>'Pivot Data'!$E$22</c:f>
              <c:strCache>
                <c:ptCount val="1"/>
                <c:pt idx="0">
                  <c:v>GOOGL CapEx</c:v>
                </c:pt>
              </c:strCache>
            </c:strRef>
          </c:tx>
          <c:spPr>
            <a:solidFill>
              <a:srgbClr val="00B050"/>
            </a:solidFill>
            <a:ln w="107950">
              <a:solidFill>
                <a:srgbClr val="00B050"/>
              </a:solidFill>
            </a:ln>
          </c:spPr>
          <c:invertIfNegative val="0"/>
          <c:cat>
            <c:strRef>
              <c:f>'Pivot Data'!$B$23:$B$29</c:f>
              <c:strCache>
                <c:ptCount val="7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  <c:pt idx="6">
                  <c:v>2026E</c:v>
                </c:pt>
              </c:strCache>
            </c:strRef>
          </c:cat>
          <c:val>
            <c:numRef>
              <c:f>'Pivot Data'!$E$23:$E$29</c:f>
              <c:numCache>
                <c:formatCode>"$"#,##0</c:formatCode>
                <c:ptCount val="7"/>
                <c:pt idx="0">
                  <c:v>22281</c:v>
                </c:pt>
                <c:pt idx="1">
                  <c:v>24640</c:v>
                </c:pt>
                <c:pt idx="2">
                  <c:v>31485</c:v>
                </c:pt>
                <c:pt idx="3">
                  <c:v>32251</c:v>
                </c:pt>
                <c:pt idx="4">
                  <c:v>52535</c:v>
                </c:pt>
                <c:pt idx="5">
                  <c:v>91447</c:v>
                </c:pt>
                <c:pt idx="6">
                  <c:v>180000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B-FBD1-4064-ADB9-7FE745D9F637}"/>
            </c:ext>
          </c:extLst>
        </c:ser>
        <c:ser>
          <c:idx val="3"/>
          <c:order val="3"/>
          <c:tx>
            <c:strRef>
              <c:f>'Pivot Data'!$F$22</c:f>
              <c:strCache>
                <c:ptCount val="1"/>
                <c:pt idx="0">
                  <c:v>META CapEx</c:v>
                </c:pt>
              </c:strCache>
            </c:strRef>
          </c:tx>
          <c:spPr>
            <a:solidFill>
              <a:srgbClr val="0070C0"/>
            </a:solidFill>
            <a:ln w="107950">
              <a:solidFill>
                <a:srgbClr val="0070C0"/>
              </a:solidFill>
            </a:ln>
          </c:spPr>
          <c:invertIfNegative val="0"/>
          <c:cat>
            <c:strRef>
              <c:f>'Pivot Data'!$B$23:$B$29</c:f>
              <c:strCache>
                <c:ptCount val="7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  <c:pt idx="6">
                  <c:v>2026E</c:v>
                </c:pt>
              </c:strCache>
            </c:strRef>
          </c:cat>
          <c:val>
            <c:numRef>
              <c:f>'Pivot Data'!$F$23:$F$29</c:f>
              <c:numCache>
                <c:formatCode>"$"#,##0</c:formatCode>
                <c:ptCount val="7"/>
                <c:pt idx="0">
                  <c:v>15115</c:v>
                </c:pt>
                <c:pt idx="1">
                  <c:v>18567</c:v>
                </c:pt>
                <c:pt idx="2">
                  <c:v>31431</c:v>
                </c:pt>
                <c:pt idx="3">
                  <c:v>27266</c:v>
                </c:pt>
                <c:pt idx="4">
                  <c:v>37256</c:v>
                </c:pt>
                <c:pt idx="5">
                  <c:v>69691</c:v>
                </c:pt>
                <c:pt idx="6">
                  <c:v>125000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C-FBD1-4064-ADB9-7FE745D9F63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45"/>
        <c:overlap val="100"/>
        <c:axId val="1031700671"/>
        <c:axId val="1031701151"/>
      </c:barChart>
      <c:barChart>
        <c:barDir val="col"/>
        <c:grouping val="stacked"/>
        <c:varyColors val="0"/>
        <c:ser>
          <c:idx val="1"/>
          <c:order val="1"/>
          <c:tx>
            <c:strRef>
              <c:f>'Pivot Data'!$D$22</c:f>
              <c:strCache>
                <c:ptCount val="1"/>
                <c:pt idx="0">
                  <c:v>MSFT CapEx</c:v>
                </c:pt>
              </c:strCache>
            </c:strRef>
          </c:tx>
          <c:spPr>
            <a:solidFill>
              <a:srgbClr val="FF0000"/>
            </a:solidFill>
            <a:ln w="107950" cap="rnd">
              <a:solidFill>
                <a:srgbClr val="FF0000"/>
              </a:solidFill>
              <a:prstDash val="solid"/>
              <a:round/>
            </a:ln>
          </c:spPr>
          <c:invertIfNegative val="0"/>
          <c:cat>
            <c:strRef>
              <c:f>'Pivot Data'!$B$23:$B$29</c:f>
              <c:strCache>
                <c:ptCount val="7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  <c:pt idx="6">
                  <c:v>2026E</c:v>
                </c:pt>
              </c:strCache>
            </c:strRef>
          </c:cat>
          <c:val>
            <c:numRef>
              <c:f>'Pivot Data'!$D$23:$D$29</c:f>
              <c:numCache>
                <c:formatCode>"$"#,##0</c:formatCode>
                <c:ptCount val="7"/>
                <c:pt idx="0">
                  <c:v>15441</c:v>
                </c:pt>
                <c:pt idx="1">
                  <c:v>20622</c:v>
                </c:pt>
                <c:pt idx="2">
                  <c:v>23886</c:v>
                </c:pt>
                <c:pt idx="3">
                  <c:v>28107</c:v>
                </c:pt>
                <c:pt idx="4">
                  <c:v>44477</c:v>
                </c:pt>
                <c:pt idx="5">
                  <c:v>64551</c:v>
                </c:pt>
                <c:pt idx="6">
                  <c:v>150000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3FB8-4E5B-9A2D-F2C57DD4971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45"/>
        <c:overlap val="100"/>
        <c:axId val="1995206815"/>
        <c:axId val="1995204415"/>
      </c:barChart>
      <c:lineChart>
        <c:grouping val="standard"/>
        <c:varyColors val="0"/>
        <c:ser>
          <c:idx val="4"/>
          <c:order val="4"/>
          <c:tx>
            <c:strRef>
              <c:f>'Pivot Data'!$H$32</c:f>
              <c:strCache>
                <c:ptCount val="1"/>
                <c:pt idx="0">
                  <c:v>AMZN OCF</c:v>
                </c:pt>
              </c:strCache>
            </c:strRef>
          </c:tx>
          <c:marker>
            <c:symbol val="none"/>
          </c:marker>
          <c:cat>
            <c:strRef>
              <c:f>'Pivot Data'!$B$33:$B$39</c:f>
              <c:strCache>
                <c:ptCount val="7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  <c:pt idx="6">
                  <c:v>2026E</c:v>
                </c:pt>
              </c:strCache>
            </c:strRef>
          </c:cat>
          <c:val>
            <c:numRef>
              <c:f>'Pivot Data'!$H$33:$H$39</c:f>
              <c:numCache>
                <c:formatCode>General</c:formatCode>
                <c:ptCount val="7"/>
                <c:pt idx="0">
                  <c:v>66064</c:v>
                </c:pt>
                <c:pt idx="1">
                  <c:v>46327</c:v>
                </c:pt>
                <c:pt idx="2">
                  <c:v>46752</c:v>
                </c:pt>
                <c:pt idx="3">
                  <c:v>84946</c:v>
                </c:pt>
                <c:pt idx="4">
                  <c:v>115877</c:v>
                </c:pt>
                <c:pt idx="5">
                  <c:v>142654</c:v>
                </c:pt>
                <c:pt idx="6">
                  <c:v>182508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D-FBD1-4064-ADB9-7FE745D9F637}"/>
            </c:ext>
          </c:extLst>
        </c:ser>
        <c:ser>
          <c:idx val="5"/>
          <c:order val="5"/>
          <c:tx>
            <c:strRef>
              <c:f>'Pivot Data'!$I$32</c:f>
              <c:strCache>
                <c:ptCount val="1"/>
                <c:pt idx="0">
                  <c:v>MSFT OCF</c:v>
                </c:pt>
              </c:strCache>
            </c:strRef>
          </c:tx>
          <c:marker>
            <c:symbol val="none"/>
          </c:marker>
          <c:cat>
            <c:strRef>
              <c:f>'Pivot Data'!$B$33:$B$39</c:f>
              <c:strCache>
                <c:ptCount val="7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  <c:pt idx="6">
                  <c:v>2026E</c:v>
                </c:pt>
              </c:strCache>
            </c:strRef>
          </c:cat>
          <c:val>
            <c:numRef>
              <c:f>'Pivot Data'!$I$33:$I$39</c:f>
              <c:numCache>
                <c:formatCode>General</c:formatCode>
                <c:ptCount val="7"/>
                <c:pt idx="0">
                  <c:v>60675</c:v>
                </c:pt>
                <c:pt idx="1">
                  <c:v>76740</c:v>
                </c:pt>
                <c:pt idx="2">
                  <c:v>89035</c:v>
                </c:pt>
                <c:pt idx="3">
                  <c:v>87582</c:v>
                </c:pt>
                <c:pt idx="4">
                  <c:v>118548</c:v>
                </c:pt>
                <c:pt idx="5">
                  <c:v>136162</c:v>
                </c:pt>
                <c:pt idx="6">
                  <c:v>170989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E-FBD1-4064-ADB9-7FE745D9F637}"/>
            </c:ext>
          </c:extLst>
        </c:ser>
        <c:ser>
          <c:idx val="6"/>
          <c:order val="6"/>
          <c:tx>
            <c:strRef>
              <c:f>'Pivot Data'!$J$32</c:f>
              <c:strCache>
                <c:ptCount val="1"/>
                <c:pt idx="0">
                  <c:v>GOOGL OCF</c:v>
                </c:pt>
              </c:strCache>
            </c:strRef>
          </c:tx>
          <c:marker>
            <c:symbol val="none"/>
          </c:marker>
          <c:cat>
            <c:strRef>
              <c:f>'Pivot Data'!$B$33:$B$39</c:f>
              <c:strCache>
                <c:ptCount val="7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  <c:pt idx="6">
                  <c:v>2026E</c:v>
                </c:pt>
              </c:strCache>
            </c:strRef>
          </c:cat>
          <c:val>
            <c:numRef>
              <c:f>'Pivot Data'!$J$33:$J$39</c:f>
              <c:numCache>
                <c:formatCode>General</c:formatCode>
                <c:ptCount val="7"/>
                <c:pt idx="0">
                  <c:v>65124</c:v>
                </c:pt>
                <c:pt idx="1">
                  <c:v>91652</c:v>
                </c:pt>
                <c:pt idx="2">
                  <c:v>91495</c:v>
                </c:pt>
                <c:pt idx="3">
                  <c:v>101746</c:v>
                </c:pt>
                <c:pt idx="4">
                  <c:v>125299</c:v>
                </c:pt>
                <c:pt idx="5">
                  <c:v>164713</c:v>
                </c:pt>
                <c:pt idx="6">
                  <c:v>194777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F-FBD1-4064-ADB9-7FE745D9F637}"/>
            </c:ext>
          </c:extLst>
        </c:ser>
        <c:ser>
          <c:idx val="7"/>
          <c:order val="7"/>
          <c:tx>
            <c:strRef>
              <c:f>'Pivot Data'!$K$32</c:f>
              <c:strCache>
                <c:ptCount val="1"/>
                <c:pt idx="0">
                  <c:v>META OCF</c:v>
                </c:pt>
              </c:strCache>
            </c:strRef>
          </c:tx>
          <c:marker>
            <c:symbol val="none"/>
          </c:marker>
          <c:cat>
            <c:strRef>
              <c:f>'Pivot Data'!$B$33:$B$39</c:f>
              <c:strCache>
                <c:ptCount val="7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  <c:pt idx="6">
                  <c:v>2026E</c:v>
                </c:pt>
              </c:strCache>
            </c:strRef>
          </c:cat>
          <c:val>
            <c:numRef>
              <c:f>'Pivot Data'!$K$33:$K$39</c:f>
              <c:numCache>
                <c:formatCode>General</c:formatCode>
                <c:ptCount val="7"/>
                <c:pt idx="0">
                  <c:v>38747</c:v>
                </c:pt>
                <c:pt idx="1">
                  <c:v>57683</c:v>
                </c:pt>
                <c:pt idx="2">
                  <c:v>50475</c:v>
                </c:pt>
                <c:pt idx="3">
                  <c:v>71113</c:v>
                </c:pt>
                <c:pt idx="4">
                  <c:v>91328</c:v>
                </c:pt>
                <c:pt idx="5">
                  <c:v>115800</c:v>
                </c:pt>
                <c:pt idx="6">
                  <c:v>130278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0-FBD1-4064-ADB9-7FE745D9F63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995206815"/>
        <c:axId val="1995204415"/>
      </c:lineChart>
      <c:catAx>
        <c:axId val="103170067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solidFill>
            <a:schemeClr val="bg1">
              <a:lumMod val="75000"/>
              <a:alpha val="0"/>
            </a:schemeClr>
          </a:solidFill>
          <a:ln w="31750" cap="flat" cmpd="sng" algn="ctr">
            <a:solidFill>
              <a:schemeClr val="bg1">
                <a:lumMod val="75000"/>
              </a:schemeClr>
            </a:solidFill>
            <a:round/>
          </a:ln>
          <a:effectLst/>
        </c:spPr>
        <c:txPr>
          <a:bodyPr rot="0" spcFirstLastPara="1" vertOverflow="ellipsis" vert="horz" wrap="square" anchor="t" anchorCtr="0"/>
          <a:lstStyle/>
          <a:p>
            <a:pPr>
              <a:defRPr sz="2000" b="0" i="0" u="none" strike="noStrike" kern="1200" baseline="0">
                <a:solidFill>
                  <a:schemeClr val="accent3">
                    <a:lumMod val="50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31701151"/>
        <c:crosses val="autoZero"/>
        <c:auto val="1"/>
        <c:lblAlgn val="ctr"/>
        <c:lblOffset val="100"/>
        <c:noMultiLvlLbl val="0"/>
      </c:catAx>
      <c:valAx>
        <c:axId val="1031701151"/>
        <c:scaling>
          <c:orientation val="minMax"/>
        </c:scaling>
        <c:delete val="0"/>
        <c:axPos val="l"/>
        <c:majorGridlines>
          <c:spPr>
            <a:ln w="6350" cap="flat" cmpd="sng" algn="ctr">
              <a:solidFill>
                <a:schemeClr val="accent3"/>
              </a:solidFill>
              <a:prstDash val="solid"/>
              <a:round/>
              <a:headEnd type="none"/>
            </a:ln>
            <a:effectLst/>
          </c:spPr>
        </c:majorGridlines>
        <c:numFmt formatCode="#,##0" sourceLinked="0"/>
        <c:majorTickMark val="in"/>
        <c:minorTickMark val="none"/>
        <c:tickLblPos val="nextTo"/>
        <c:spPr>
          <a:noFill/>
          <a:ln w="28575">
            <a:solidFill>
              <a:schemeClr val="bg1">
                <a:lumMod val="75000"/>
              </a:schemeClr>
            </a:solidFill>
          </a:ln>
          <a:effectLst/>
        </c:spPr>
        <c:txPr>
          <a:bodyPr rot="0" spcFirstLastPara="1" vertOverflow="ellipsis" vert="horz" wrap="square" anchor="ctr" anchorCtr="0"/>
          <a:lstStyle/>
          <a:p>
            <a:pPr>
              <a:defRPr sz="1400" b="0" i="0" u="none" strike="noStrike" kern="1200" baseline="0">
                <a:ln>
                  <a:noFill/>
                </a:ln>
                <a:solidFill>
                  <a:schemeClr val="accent3">
                    <a:lumMod val="50000"/>
                  </a:schemeClr>
                </a:solidFill>
                <a:effectLst>
                  <a:outerShdw blurRad="50800" dist="50800" dir="5400000" algn="ctr" rotWithShape="0">
                    <a:schemeClr val="bg1"/>
                  </a:outerShdw>
                </a:effectLst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31700671"/>
        <c:crosses val="autoZero"/>
        <c:crossBetween val="between"/>
      </c:valAx>
      <c:valAx>
        <c:axId val="1995204415"/>
        <c:scaling>
          <c:orientation val="minMax"/>
        </c:scaling>
        <c:delete val="0"/>
        <c:axPos val="r"/>
        <c:numFmt formatCode="&quot;$&quot;#,##0" sourceLinked="1"/>
        <c:majorTickMark val="none"/>
        <c:minorTickMark val="none"/>
        <c:tickLblPos val="none"/>
        <c:spPr>
          <a:noFill/>
          <a:ln w="0">
            <a:noFill/>
          </a:ln>
        </c:spPr>
        <c:crossAx val="1995206815"/>
        <c:crosses val="max"/>
        <c:crossBetween val="between"/>
      </c:valAx>
      <c:catAx>
        <c:axId val="1995206815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1995204415"/>
        <c:crosses val="autoZero"/>
        <c:auto val="1"/>
        <c:lblAlgn val="ctr"/>
        <c:lblOffset val="100"/>
        <c:noMultiLvlLbl val="0"/>
      </c:catAx>
      <c:spPr>
        <a:solidFill>
          <a:srgbClr val="FDFDFD"/>
        </a:solidFill>
        <a:ln>
          <a:solidFill>
            <a:srgbClr val="FDFDFD"/>
          </a:solidFill>
        </a:ln>
      </c:spPr>
    </c:plotArea>
    <c:legend>
      <c:legendPos val="t"/>
      <c:overlay val="0"/>
      <c:txPr>
        <a:bodyPr/>
        <a:lstStyle/>
        <a:p>
          <a:pPr>
            <a:defRPr sz="1200"/>
          </a:pPr>
          <a:endParaRPr lang="en-US"/>
        </a:p>
      </c:txPr>
    </c:legend>
    <c:plotVisOnly val="1"/>
    <c:dispBlanksAs val="gap"/>
    <c:showDLblsOverMax val="0"/>
    <c:extLst/>
  </c:chart>
  <c:spPr>
    <a:solidFill>
      <a:srgbClr val="FDFDFD"/>
    </a:solidFill>
    <a:ln w="107950" cap="rnd">
      <a:solidFill>
        <a:schemeClr val="bg1"/>
      </a:solidFill>
    </a:ln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/>
</c:chartSpac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4" Type="http://schemas.openxmlformats.org/officeDocument/2006/relationships/chart" Target="../charts/chart4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441960</xdr:colOff>
      <xdr:row>2</xdr:row>
      <xdr:rowOff>106680</xdr:rowOff>
    </xdr:from>
    <xdr:to>
      <xdr:col>32</xdr:col>
      <xdr:colOff>70866</xdr:colOff>
      <xdr:row>36</xdr:row>
      <xdr:rowOff>64008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5124E02A-9E3F-99D1-B171-331D095BC0B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32</xdr:col>
      <xdr:colOff>81395</xdr:colOff>
      <xdr:row>2</xdr:row>
      <xdr:rowOff>117861</xdr:rowOff>
    </xdr:from>
    <xdr:to>
      <xdr:col>52</xdr:col>
      <xdr:colOff>385215</xdr:colOff>
      <xdr:row>36</xdr:row>
      <xdr:rowOff>71727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BCEAA052-944F-4A7A-B8A9-92A451FED0C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11</xdr:col>
      <xdr:colOff>631768</xdr:colOff>
      <xdr:row>37</xdr:row>
      <xdr:rowOff>81396</xdr:rowOff>
    </xdr:from>
    <xdr:to>
      <xdr:col>32</xdr:col>
      <xdr:colOff>250778</xdr:colOff>
      <xdr:row>71</xdr:row>
      <xdr:rowOff>44364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2168FDC1-EB47-4F02-A86F-951FA74D5C3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32</xdr:col>
      <xdr:colOff>162591</xdr:colOff>
      <xdr:row>37</xdr:row>
      <xdr:rowOff>27411</xdr:rowOff>
    </xdr:from>
    <xdr:to>
      <xdr:col>52</xdr:col>
      <xdr:colOff>454437</xdr:colOff>
      <xdr:row>70</xdr:row>
      <xdr:rowOff>176526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F43D035C-FB81-495E-8A14-1721C351E10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251460</xdr:colOff>
      <xdr:row>5</xdr:row>
      <xdr:rowOff>160020</xdr:rowOff>
    </xdr:from>
    <xdr:to>
      <xdr:col>40</xdr:col>
      <xdr:colOff>434340</xdr:colOff>
      <xdr:row>53</xdr:row>
      <xdr:rowOff>77724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B12D95C5-F02F-3831-7739-4D1110C7E3A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Finance">
      <a:dk1>
        <a:sysClr val="windowText" lastClr="000000"/>
      </a:dk1>
      <a:lt1>
        <a:sysClr val="window" lastClr="FFFFFF"/>
      </a:lt1>
      <a:dk2>
        <a:srgbClr val="1F497D"/>
      </a:dk2>
      <a:lt2>
        <a:srgbClr val="D9D9D9"/>
      </a:lt2>
      <a:accent1>
        <a:srgbClr val="0066CC"/>
      </a:accent1>
      <a:accent2>
        <a:srgbClr val="00B050"/>
      </a:accent2>
      <a:accent3>
        <a:srgbClr val="E6E6E6"/>
      </a:accent3>
      <a:accent4>
        <a:srgbClr val="0000FF"/>
      </a:accent4>
      <a:accent5>
        <a:srgbClr val="4472C4"/>
      </a:accent5>
      <a:accent6>
        <a:srgbClr val="FF6600"/>
      </a:accent6>
      <a:hlink>
        <a:srgbClr val="0563C1"/>
      </a:hlink>
      <a:folHlink>
        <a:srgbClr val="954F72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eme/themeOverride1.xml><?xml version="1.0" encoding="utf-8"?>
<a:themeOverride xmlns:a="http://schemas.openxmlformats.org/drawingml/2006/main">
  <a:clrScheme name="Finance">
    <a:dk1>
      <a:sysClr val="windowText" lastClr="000000"/>
    </a:dk1>
    <a:lt1>
      <a:sysClr val="window" lastClr="FFFFFF"/>
    </a:lt1>
    <a:dk2>
      <a:srgbClr val="1F497D"/>
    </a:dk2>
    <a:lt2>
      <a:srgbClr val="D9D9D9"/>
    </a:lt2>
    <a:accent1>
      <a:srgbClr val="0066CC"/>
    </a:accent1>
    <a:accent2>
      <a:srgbClr val="00B050"/>
    </a:accent2>
    <a:accent3>
      <a:srgbClr val="E6E6E6"/>
    </a:accent3>
    <a:accent4>
      <a:srgbClr val="0000FF"/>
    </a:accent4>
    <a:accent5>
      <a:srgbClr val="4472C4"/>
    </a:accent5>
    <a:accent6>
      <a:srgbClr val="FF6600"/>
    </a:accent6>
    <a:hlink>
      <a:srgbClr val="0563C1"/>
    </a:hlink>
    <a:folHlink>
      <a:srgbClr val="954F72"/>
    </a:folHlink>
  </a:clrScheme>
  <a:fontScheme name="Office">
    <a:majorFont>
      <a:latin typeface="Aptos Display" panose="02110004020202020204"/>
      <a:ea typeface=""/>
      <a:cs typeface=""/>
      <a:font script="Jpan" typeface="游ゴシック Light"/>
      <a:font script="Hang" typeface="맑은 고딕"/>
      <a:font script="Hans" typeface="等线 Light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Aptos Narrow" panose="02110004020202020204"/>
      <a:ea typeface=""/>
      <a:cs typeface=""/>
      <a:font script="Jpan" typeface="游ゴシック"/>
      <a:font script="Hang" typeface="맑은 고딕"/>
      <a:font script="Hans" typeface="等线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  <a:ln w="2540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theme/themeOverride2.xml><?xml version="1.0" encoding="utf-8"?>
<a:themeOverride xmlns:a="http://schemas.openxmlformats.org/drawingml/2006/main">
  <a:clrScheme name="Finance">
    <a:dk1>
      <a:sysClr val="windowText" lastClr="000000"/>
    </a:dk1>
    <a:lt1>
      <a:sysClr val="window" lastClr="FFFFFF"/>
    </a:lt1>
    <a:dk2>
      <a:srgbClr val="1F497D"/>
    </a:dk2>
    <a:lt2>
      <a:srgbClr val="D9D9D9"/>
    </a:lt2>
    <a:accent1>
      <a:srgbClr val="0066CC"/>
    </a:accent1>
    <a:accent2>
      <a:srgbClr val="00B050"/>
    </a:accent2>
    <a:accent3>
      <a:srgbClr val="E6E6E6"/>
    </a:accent3>
    <a:accent4>
      <a:srgbClr val="0000FF"/>
    </a:accent4>
    <a:accent5>
      <a:srgbClr val="4472C4"/>
    </a:accent5>
    <a:accent6>
      <a:srgbClr val="FF6600"/>
    </a:accent6>
    <a:hlink>
      <a:srgbClr val="0563C1"/>
    </a:hlink>
    <a:folHlink>
      <a:srgbClr val="954F72"/>
    </a:folHlink>
  </a:clrScheme>
  <a:fontScheme name="Office">
    <a:majorFont>
      <a:latin typeface="Aptos Display" panose="02110004020202020204"/>
      <a:ea typeface=""/>
      <a:cs typeface=""/>
      <a:font script="Jpan" typeface="游ゴシック Light"/>
      <a:font script="Hang" typeface="맑은 고딕"/>
      <a:font script="Hans" typeface="等线 Light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Aptos Narrow" panose="02110004020202020204"/>
      <a:ea typeface=""/>
      <a:cs typeface=""/>
      <a:font script="Jpan" typeface="游ゴシック"/>
      <a:font script="Hang" typeface="맑은 고딕"/>
      <a:font script="Hans" typeface="等线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  <a:ln w="2540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theme/themeOverride3.xml><?xml version="1.0" encoding="utf-8"?>
<a:themeOverride xmlns:a="http://schemas.openxmlformats.org/drawingml/2006/main">
  <a:clrScheme name="Finance">
    <a:dk1>
      <a:sysClr val="windowText" lastClr="000000"/>
    </a:dk1>
    <a:lt1>
      <a:sysClr val="window" lastClr="FFFFFF"/>
    </a:lt1>
    <a:dk2>
      <a:srgbClr val="1F497D"/>
    </a:dk2>
    <a:lt2>
      <a:srgbClr val="D9D9D9"/>
    </a:lt2>
    <a:accent1>
      <a:srgbClr val="0066CC"/>
    </a:accent1>
    <a:accent2>
      <a:srgbClr val="00B050"/>
    </a:accent2>
    <a:accent3>
      <a:srgbClr val="E6E6E6"/>
    </a:accent3>
    <a:accent4>
      <a:srgbClr val="0000FF"/>
    </a:accent4>
    <a:accent5>
      <a:srgbClr val="4472C4"/>
    </a:accent5>
    <a:accent6>
      <a:srgbClr val="FF6600"/>
    </a:accent6>
    <a:hlink>
      <a:srgbClr val="0563C1"/>
    </a:hlink>
    <a:folHlink>
      <a:srgbClr val="954F72"/>
    </a:folHlink>
  </a:clrScheme>
  <a:fontScheme name="Office">
    <a:majorFont>
      <a:latin typeface="Aptos Display" panose="02110004020202020204"/>
      <a:ea typeface=""/>
      <a:cs typeface=""/>
      <a:font script="Jpan" typeface="游ゴシック Light"/>
      <a:font script="Hang" typeface="맑은 고딕"/>
      <a:font script="Hans" typeface="等线 Light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Aptos Narrow" panose="02110004020202020204"/>
      <a:ea typeface=""/>
      <a:cs typeface=""/>
      <a:font script="Jpan" typeface="游ゴシック"/>
      <a:font script="Hang" typeface="맑은 고딕"/>
      <a:font script="Hans" typeface="等线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  <a:ln w="2540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theme/themeOverride4.xml><?xml version="1.0" encoding="utf-8"?>
<a:themeOverride xmlns:a="http://schemas.openxmlformats.org/drawingml/2006/main">
  <a:clrScheme name="Finance">
    <a:dk1>
      <a:sysClr val="windowText" lastClr="000000"/>
    </a:dk1>
    <a:lt1>
      <a:sysClr val="window" lastClr="FFFFFF"/>
    </a:lt1>
    <a:dk2>
      <a:srgbClr val="1F497D"/>
    </a:dk2>
    <a:lt2>
      <a:srgbClr val="D9D9D9"/>
    </a:lt2>
    <a:accent1>
      <a:srgbClr val="0066CC"/>
    </a:accent1>
    <a:accent2>
      <a:srgbClr val="00B050"/>
    </a:accent2>
    <a:accent3>
      <a:srgbClr val="E6E6E6"/>
    </a:accent3>
    <a:accent4>
      <a:srgbClr val="0000FF"/>
    </a:accent4>
    <a:accent5>
      <a:srgbClr val="4472C4"/>
    </a:accent5>
    <a:accent6>
      <a:srgbClr val="FF6600"/>
    </a:accent6>
    <a:hlink>
      <a:srgbClr val="0563C1"/>
    </a:hlink>
    <a:folHlink>
      <a:srgbClr val="954F72"/>
    </a:folHlink>
  </a:clrScheme>
  <a:fontScheme name="Office">
    <a:majorFont>
      <a:latin typeface="Aptos Display" panose="02110004020202020204"/>
      <a:ea typeface=""/>
      <a:cs typeface=""/>
      <a:font script="Jpan" typeface="游ゴシック Light"/>
      <a:font script="Hang" typeface="맑은 고딕"/>
      <a:font script="Hans" typeface="等线 Light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Aptos Narrow" panose="02110004020202020204"/>
      <a:ea typeface=""/>
      <a:cs typeface=""/>
      <a:font script="Jpan" typeface="游ゴシック"/>
      <a:font script="Hang" typeface="맑은 고딕"/>
      <a:font script="Hans" typeface="等线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  <a:ln w="2540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theme/themeOverride5.xml><?xml version="1.0" encoding="utf-8"?>
<a:themeOverride xmlns:a="http://schemas.openxmlformats.org/drawingml/2006/main">
  <a:clrScheme name="Finance">
    <a:dk1>
      <a:sysClr val="windowText" lastClr="000000"/>
    </a:dk1>
    <a:lt1>
      <a:sysClr val="window" lastClr="FFFFFF"/>
    </a:lt1>
    <a:dk2>
      <a:srgbClr val="1F497D"/>
    </a:dk2>
    <a:lt2>
      <a:srgbClr val="D9D9D9"/>
    </a:lt2>
    <a:accent1>
      <a:srgbClr val="0066CC"/>
    </a:accent1>
    <a:accent2>
      <a:srgbClr val="00B050"/>
    </a:accent2>
    <a:accent3>
      <a:srgbClr val="E6E6E6"/>
    </a:accent3>
    <a:accent4>
      <a:srgbClr val="0000FF"/>
    </a:accent4>
    <a:accent5>
      <a:srgbClr val="4472C4"/>
    </a:accent5>
    <a:accent6>
      <a:srgbClr val="FF6600"/>
    </a:accent6>
    <a:hlink>
      <a:srgbClr val="0563C1"/>
    </a:hlink>
    <a:folHlink>
      <a:srgbClr val="954F72"/>
    </a:folHlink>
  </a:clrScheme>
  <a:fontScheme name="Office">
    <a:majorFont>
      <a:latin typeface="Aptos Display" panose="02110004020202020204"/>
      <a:ea typeface=""/>
      <a:cs typeface=""/>
      <a:font script="Jpan" typeface="游ゴシック Light"/>
      <a:font script="Hang" typeface="맑은 고딕"/>
      <a:font script="Hans" typeface="等线 Light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Aptos Narrow" panose="02110004020202020204"/>
      <a:ea typeface=""/>
      <a:cs typeface=""/>
      <a:font script="Jpan" typeface="游ゴシック"/>
      <a:font script="Hang" typeface="맑은 고딕"/>
      <a:font script="Hans" typeface="等线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  <a:ln w="2540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E39B6EB9-71EF-4D0D-9317-0FC7D71CBC58}">
  <we:reference id="wa200009404" version="1.0.0.5" store="en-US" storeType="OMEX"/>
  <we:alternateReferences>
    <we:reference id="wa200009404" version="1.0.0.5" store="" storeType="OMEX"/>
  </we:alternateReferences>
  <we:properties>
    <we:property name="Office.AutoShowTaskpaneWithDocument" value="true"/>
  </we:properties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9E57CA-F813-4C2D-9DF1-929EFA9E2257}">
  <dimension ref="B2:K18"/>
  <sheetViews>
    <sheetView showGridLines="0" tabSelected="1" topLeftCell="Y25" zoomScale="70" zoomScaleNormal="70" workbookViewId="0">
      <selection activeCell="BB36" sqref="BB36"/>
    </sheetView>
  </sheetViews>
  <sheetFormatPr defaultRowHeight="15.6" x14ac:dyDescent="0.3"/>
  <cols>
    <col min="1" max="16384" width="8.796875" style="9"/>
  </cols>
  <sheetData>
    <row r="2" spans="2:11" x14ac:dyDescent="0.3">
      <c r="B2" s="7" t="s">
        <v>0</v>
      </c>
      <c r="C2" s="7"/>
      <c r="D2" s="7"/>
      <c r="E2" s="7">
        <v>2020</v>
      </c>
      <c r="F2" s="7">
        <v>2021</v>
      </c>
      <c r="G2" s="7">
        <v>2022</v>
      </c>
      <c r="H2" s="7">
        <v>2023</v>
      </c>
      <c r="I2" s="7">
        <v>2024</v>
      </c>
      <c r="J2" s="7">
        <v>2025</v>
      </c>
      <c r="K2" s="8" t="s">
        <v>1</v>
      </c>
    </row>
    <row r="3" spans="2:11" x14ac:dyDescent="0.3">
      <c r="B3" s="9" t="s">
        <v>2</v>
      </c>
      <c r="E3" s="10">
        <v>35046</v>
      </c>
      <c r="F3" s="10">
        <v>55396</v>
      </c>
      <c r="G3" s="10">
        <v>58321</v>
      </c>
      <c r="H3" s="10">
        <v>52729</v>
      </c>
      <c r="I3" s="10">
        <v>82999</v>
      </c>
      <c r="J3" s="10">
        <v>131819</v>
      </c>
      <c r="K3" s="10">
        <v>200000</v>
      </c>
    </row>
    <row r="4" spans="2:11" x14ac:dyDescent="0.3">
      <c r="B4" s="9" t="s">
        <v>4</v>
      </c>
      <c r="E4" s="10">
        <v>15441</v>
      </c>
      <c r="F4" s="10">
        <v>20622</v>
      </c>
      <c r="G4" s="10">
        <v>23886</v>
      </c>
      <c r="H4" s="10">
        <v>28107</v>
      </c>
      <c r="I4" s="10">
        <v>44477</v>
      </c>
      <c r="J4" s="10">
        <v>64551</v>
      </c>
      <c r="K4" s="10">
        <v>150000</v>
      </c>
    </row>
    <row r="5" spans="2:11" x14ac:dyDescent="0.3">
      <c r="B5" s="9" t="s">
        <v>5</v>
      </c>
      <c r="E5" s="10">
        <v>22281</v>
      </c>
      <c r="F5" s="10">
        <v>24640</v>
      </c>
      <c r="G5" s="10">
        <v>31485</v>
      </c>
      <c r="H5" s="10">
        <v>32251</v>
      </c>
      <c r="I5" s="10">
        <v>52535</v>
      </c>
      <c r="J5" s="10">
        <v>91447</v>
      </c>
      <c r="K5" s="10">
        <v>180000</v>
      </c>
    </row>
    <row r="6" spans="2:11" x14ac:dyDescent="0.3">
      <c r="B6" s="9" t="s">
        <v>6</v>
      </c>
      <c r="E6" s="10">
        <v>15115</v>
      </c>
      <c r="F6" s="10">
        <v>18567</v>
      </c>
      <c r="G6" s="10">
        <v>31431</v>
      </c>
      <c r="H6" s="10">
        <v>27266</v>
      </c>
      <c r="I6" s="10">
        <v>37256</v>
      </c>
      <c r="J6" s="10">
        <v>72220</v>
      </c>
      <c r="K6" s="10">
        <v>125000</v>
      </c>
    </row>
    <row r="7" spans="2:11" x14ac:dyDescent="0.3">
      <c r="K7" s="10">
        <f>SUM(K3:K6)</f>
        <v>655000</v>
      </c>
    </row>
    <row r="8" spans="2:11" x14ac:dyDescent="0.3">
      <c r="B8" s="7" t="s">
        <v>3</v>
      </c>
      <c r="C8" s="7"/>
      <c r="D8" s="7"/>
      <c r="E8" s="7">
        <v>2020</v>
      </c>
      <c r="F8" s="7">
        <v>2021</v>
      </c>
      <c r="G8" s="7">
        <v>2022</v>
      </c>
      <c r="H8" s="7">
        <v>2023</v>
      </c>
      <c r="I8" s="7">
        <v>2024</v>
      </c>
      <c r="J8" s="7">
        <v>2025</v>
      </c>
      <c r="K8" s="8" t="s">
        <v>1</v>
      </c>
    </row>
    <row r="9" spans="2:11" x14ac:dyDescent="0.3">
      <c r="B9" s="9" t="s">
        <v>2</v>
      </c>
      <c r="E9" s="10">
        <v>66064</v>
      </c>
      <c r="F9" s="10">
        <v>46327</v>
      </c>
      <c r="G9" s="10">
        <v>46752</v>
      </c>
      <c r="H9" s="10">
        <v>84946</v>
      </c>
      <c r="I9" s="10">
        <v>115877</v>
      </c>
      <c r="J9" s="10">
        <v>142654</v>
      </c>
      <c r="K9" s="10">
        <v>182508</v>
      </c>
    </row>
    <row r="10" spans="2:11" x14ac:dyDescent="0.3">
      <c r="B10" s="9" t="s">
        <v>4</v>
      </c>
      <c r="E10" s="10">
        <v>60675</v>
      </c>
      <c r="F10" s="10">
        <v>76740</v>
      </c>
      <c r="G10" s="10">
        <v>89035</v>
      </c>
      <c r="H10" s="10">
        <v>87582</v>
      </c>
      <c r="I10" s="10">
        <v>118548</v>
      </c>
      <c r="J10" s="10">
        <v>136162</v>
      </c>
      <c r="K10" s="10">
        <v>170989</v>
      </c>
    </row>
    <row r="11" spans="2:11" x14ac:dyDescent="0.3">
      <c r="B11" s="9" t="s">
        <v>5</v>
      </c>
      <c r="E11" s="10">
        <v>65124</v>
      </c>
      <c r="F11" s="10">
        <v>91652</v>
      </c>
      <c r="G11" s="10">
        <v>91495</v>
      </c>
      <c r="H11" s="10">
        <v>101746</v>
      </c>
      <c r="I11" s="10">
        <v>125299</v>
      </c>
      <c r="J11" s="10">
        <v>164713</v>
      </c>
      <c r="K11" s="10">
        <v>194777</v>
      </c>
    </row>
    <row r="12" spans="2:11" x14ac:dyDescent="0.3">
      <c r="B12" s="9" t="s">
        <v>6</v>
      </c>
      <c r="E12" s="10">
        <v>38747</v>
      </c>
      <c r="F12" s="10">
        <v>57683</v>
      </c>
      <c r="G12" s="10">
        <v>50475</v>
      </c>
      <c r="H12" s="10">
        <v>71113</v>
      </c>
      <c r="I12" s="10">
        <v>91328</v>
      </c>
      <c r="J12" s="10">
        <v>115800</v>
      </c>
      <c r="K12" s="10">
        <v>130278</v>
      </c>
    </row>
    <row r="14" spans="2:11" x14ac:dyDescent="0.3">
      <c r="B14" s="7" t="s">
        <v>7</v>
      </c>
      <c r="C14" s="7"/>
      <c r="D14" s="7"/>
      <c r="E14" s="7">
        <v>2020</v>
      </c>
      <c r="F14" s="7">
        <v>2021</v>
      </c>
      <c r="G14" s="7">
        <v>2022</v>
      </c>
      <c r="H14" s="7">
        <v>2023</v>
      </c>
      <c r="I14" s="7">
        <v>2024</v>
      </c>
      <c r="J14" s="7">
        <v>2025</v>
      </c>
      <c r="K14" s="8" t="s">
        <v>1</v>
      </c>
    </row>
    <row r="15" spans="2:11" x14ac:dyDescent="0.3">
      <c r="B15" s="9" t="s">
        <v>2</v>
      </c>
      <c r="E15" s="11">
        <f>E3/E9</f>
        <v>0.53048558973116977</v>
      </c>
      <c r="F15" s="11">
        <f t="shared" ref="F15:K15" si="0">F3/F9</f>
        <v>1.1957605715889221</v>
      </c>
      <c r="G15" s="11">
        <f t="shared" si="0"/>
        <v>1.2474546543463381</v>
      </c>
      <c r="H15" s="11">
        <f t="shared" si="0"/>
        <v>0.62073552609893345</v>
      </c>
      <c r="I15" s="11">
        <f t="shared" si="0"/>
        <v>0.71626811187724915</v>
      </c>
      <c r="J15" s="11">
        <f t="shared" si="0"/>
        <v>0.92404699482664354</v>
      </c>
      <c r="K15" s="11">
        <f t="shared" si="0"/>
        <v>1.0958423740329191</v>
      </c>
    </row>
    <row r="16" spans="2:11" x14ac:dyDescent="0.3">
      <c r="B16" s="9" t="s">
        <v>4</v>
      </c>
      <c r="E16" s="11">
        <f t="shared" ref="E16:K16" si="1">E4/E10</f>
        <v>0.25448702101359705</v>
      </c>
      <c r="F16" s="11">
        <f t="shared" si="1"/>
        <v>0.26872556684910087</v>
      </c>
      <c r="G16" s="11">
        <f t="shared" si="1"/>
        <v>0.26827652046947831</v>
      </c>
      <c r="H16" s="11">
        <f t="shared" si="1"/>
        <v>0.32092210728231829</v>
      </c>
      <c r="I16" s="11">
        <f t="shared" si="1"/>
        <v>0.37518136113641731</v>
      </c>
      <c r="J16" s="11">
        <f t="shared" si="1"/>
        <v>0.47407499889837107</v>
      </c>
      <c r="K16" s="11">
        <f t="shared" si="1"/>
        <v>0.87724941370497522</v>
      </c>
    </row>
    <row r="17" spans="2:11" x14ac:dyDescent="0.3">
      <c r="B17" s="9" t="s">
        <v>5</v>
      </c>
      <c r="E17" s="11">
        <f t="shared" ref="E17:K17" si="2">E5/E11</f>
        <v>0.34213193292795285</v>
      </c>
      <c r="F17" s="11">
        <f t="shared" si="2"/>
        <v>0.26884301488238116</v>
      </c>
      <c r="G17" s="11">
        <f t="shared" si="2"/>
        <v>0.34411716487239741</v>
      </c>
      <c r="H17" s="11">
        <f t="shared" si="2"/>
        <v>0.31697560592062585</v>
      </c>
      <c r="I17" s="11">
        <f t="shared" si="2"/>
        <v>0.4192770892026273</v>
      </c>
      <c r="J17" s="11">
        <f t="shared" si="2"/>
        <v>0.55518993643488979</v>
      </c>
      <c r="K17" s="11">
        <f t="shared" si="2"/>
        <v>0.92413375295851152</v>
      </c>
    </row>
    <row r="18" spans="2:11" x14ac:dyDescent="0.3">
      <c r="B18" s="9" t="s">
        <v>6</v>
      </c>
      <c r="E18" s="11">
        <f t="shared" ref="E18:K18" si="3">E6/E12</f>
        <v>0.3900947170103492</v>
      </c>
      <c r="F18" s="11">
        <f t="shared" si="3"/>
        <v>0.32187992996203385</v>
      </c>
      <c r="G18" s="11">
        <f t="shared" si="3"/>
        <v>0.62270430906389307</v>
      </c>
      <c r="H18" s="11">
        <f t="shared" si="3"/>
        <v>0.38341794046095651</v>
      </c>
      <c r="I18" s="11">
        <f t="shared" si="3"/>
        <v>0.40793622985283812</v>
      </c>
      <c r="J18" s="11">
        <f t="shared" si="3"/>
        <v>0.62366148531951637</v>
      </c>
      <c r="K18" s="11">
        <f t="shared" si="3"/>
        <v>0.95948663627012998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C45497-B701-4C77-99A1-98AEB9CE2B56}">
  <dimension ref="B1:L39"/>
  <sheetViews>
    <sheetView topLeftCell="A10" zoomScale="70" zoomScaleNormal="70" workbookViewId="0">
      <selection activeCell="H51" sqref="H51"/>
    </sheetView>
  </sheetViews>
  <sheetFormatPr defaultRowHeight="15.6" x14ac:dyDescent="0.3"/>
  <sheetData>
    <row r="1" spans="2:10" x14ac:dyDescent="0.3">
      <c r="B1" s="1" t="s">
        <v>8</v>
      </c>
      <c r="C1" s="1" t="s">
        <v>9</v>
      </c>
      <c r="D1" s="1">
        <v>2020</v>
      </c>
      <c r="E1" s="1">
        <v>2021</v>
      </c>
      <c r="F1" s="1">
        <v>2022</v>
      </c>
      <c r="G1" s="1">
        <v>2023</v>
      </c>
      <c r="H1" s="1">
        <v>2024</v>
      </c>
      <c r="I1" s="1">
        <v>2025</v>
      </c>
      <c r="J1" s="1" t="s">
        <v>1</v>
      </c>
    </row>
    <row r="2" spans="2:10" x14ac:dyDescent="0.3">
      <c r="B2" t="s">
        <v>2</v>
      </c>
      <c r="C2" t="s">
        <v>10</v>
      </c>
      <c r="D2" s="2">
        <v>35046</v>
      </c>
      <c r="E2" s="2">
        <v>55396</v>
      </c>
      <c r="F2" s="2">
        <v>58321</v>
      </c>
      <c r="G2" s="2">
        <v>52729</v>
      </c>
      <c r="H2" s="2">
        <v>82999</v>
      </c>
      <c r="I2" s="2">
        <v>131819</v>
      </c>
      <c r="J2" s="2">
        <v>200000</v>
      </c>
    </row>
    <row r="3" spans="2:10" x14ac:dyDescent="0.3">
      <c r="B3" t="s">
        <v>2</v>
      </c>
      <c r="C3" t="s">
        <v>3</v>
      </c>
      <c r="D3" s="2">
        <v>66064</v>
      </c>
      <c r="E3" s="2">
        <v>46327</v>
      </c>
      <c r="F3" s="2">
        <v>46752</v>
      </c>
      <c r="G3" s="2">
        <v>84946</v>
      </c>
      <c r="H3" s="2">
        <v>115877</v>
      </c>
      <c r="I3" s="2">
        <v>142654</v>
      </c>
      <c r="J3" s="2">
        <v>182508</v>
      </c>
    </row>
    <row r="4" spans="2:10" x14ac:dyDescent="0.3">
      <c r="B4" t="s">
        <v>4</v>
      </c>
      <c r="C4" t="s">
        <v>10</v>
      </c>
      <c r="D4" s="2">
        <v>15441</v>
      </c>
      <c r="E4" s="2">
        <v>20622</v>
      </c>
      <c r="F4" s="2">
        <v>23886</v>
      </c>
      <c r="G4" s="2">
        <v>28107</v>
      </c>
      <c r="H4" s="2">
        <v>44477</v>
      </c>
      <c r="I4" s="2">
        <v>64551</v>
      </c>
      <c r="J4" s="2">
        <v>150000</v>
      </c>
    </row>
    <row r="5" spans="2:10" x14ac:dyDescent="0.3">
      <c r="B5" t="s">
        <v>4</v>
      </c>
      <c r="C5" t="s">
        <v>3</v>
      </c>
      <c r="D5" s="2">
        <v>60675</v>
      </c>
      <c r="E5" s="2">
        <v>76740</v>
      </c>
      <c r="F5" s="2">
        <v>89035</v>
      </c>
      <c r="G5" s="2">
        <v>87582</v>
      </c>
      <c r="H5" s="2">
        <v>118548</v>
      </c>
      <c r="I5" s="2">
        <v>136162</v>
      </c>
      <c r="J5" s="2">
        <v>170989</v>
      </c>
    </row>
    <row r="6" spans="2:10" x14ac:dyDescent="0.3">
      <c r="B6" t="s">
        <v>5</v>
      </c>
      <c r="C6" t="s">
        <v>10</v>
      </c>
      <c r="D6" s="2">
        <v>22281</v>
      </c>
      <c r="E6" s="2">
        <v>24640</v>
      </c>
      <c r="F6" s="2">
        <v>31485</v>
      </c>
      <c r="G6" s="2">
        <v>32251</v>
      </c>
      <c r="H6" s="2">
        <v>52535</v>
      </c>
      <c r="I6" s="2">
        <v>91447</v>
      </c>
      <c r="J6" s="2">
        <v>180000</v>
      </c>
    </row>
    <row r="7" spans="2:10" x14ac:dyDescent="0.3">
      <c r="B7" t="s">
        <v>5</v>
      </c>
      <c r="C7" t="s">
        <v>3</v>
      </c>
      <c r="D7" s="2">
        <v>65124</v>
      </c>
      <c r="E7" s="2">
        <v>91652</v>
      </c>
      <c r="F7" s="2">
        <v>91495</v>
      </c>
      <c r="G7" s="2">
        <v>101746</v>
      </c>
      <c r="H7" s="2">
        <v>125299</v>
      </c>
      <c r="I7" s="2">
        <v>164713</v>
      </c>
      <c r="J7" s="2">
        <v>194777</v>
      </c>
    </row>
    <row r="8" spans="2:10" x14ac:dyDescent="0.3">
      <c r="B8" t="s">
        <v>6</v>
      </c>
      <c r="C8" t="s">
        <v>10</v>
      </c>
      <c r="D8" s="2">
        <v>15115</v>
      </c>
      <c r="E8" s="2">
        <v>18567</v>
      </c>
      <c r="F8" s="2">
        <v>31431</v>
      </c>
      <c r="G8" s="2">
        <v>27266</v>
      </c>
      <c r="H8" s="2">
        <v>37256</v>
      </c>
      <c r="I8" s="2">
        <v>69691</v>
      </c>
      <c r="J8" s="2">
        <v>125000</v>
      </c>
    </row>
    <row r="9" spans="2:10" x14ac:dyDescent="0.3">
      <c r="B9" t="s">
        <v>6</v>
      </c>
      <c r="C9" t="s">
        <v>3</v>
      </c>
      <c r="D9" s="2">
        <v>38747</v>
      </c>
      <c r="E9" s="2">
        <v>57683</v>
      </c>
      <c r="F9" s="2">
        <v>50475</v>
      </c>
      <c r="G9" s="2">
        <v>71113</v>
      </c>
      <c r="H9" s="2">
        <v>91328</v>
      </c>
      <c r="I9" s="2">
        <v>115800</v>
      </c>
      <c r="J9" s="2">
        <v>130278</v>
      </c>
    </row>
    <row r="12" spans="2:10" x14ac:dyDescent="0.3">
      <c r="B12" s="1" t="s">
        <v>11</v>
      </c>
      <c r="C12" s="1" t="s">
        <v>12</v>
      </c>
      <c r="D12" s="1" t="s">
        <v>13</v>
      </c>
      <c r="E12" s="1" t="s">
        <v>14</v>
      </c>
      <c r="F12" s="1" t="s">
        <v>15</v>
      </c>
      <c r="G12" s="1" t="s">
        <v>16</v>
      </c>
      <c r="H12" s="1" t="s">
        <v>17</v>
      </c>
      <c r="I12" s="1" t="s">
        <v>18</v>
      </c>
      <c r="J12" s="1" t="s">
        <v>19</v>
      </c>
    </row>
    <row r="13" spans="2:10" x14ac:dyDescent="0.3">
      <c r="B13">
        <v>2020</v>
      </c>
      <c r="C13" s="2">
        <v>35046</v>
      </c>
      <c r="D13" s="2">
        <v>66064</v>
      </c>
      <c r="E13" s="2">
        <v>15441</v>
      </c>
      <c r="F13" s="2">
        <v>60675</v>
      </c>
      <c r="G13" s="2">
        <v>22281</v>
      </c>
      <c r="H13" s="2">
        <v>65124</v>
      </c>
      <c r="I13" s="2">
        <v>15115</v>
      </c>
      <c r="J13" s="2">
        <v>38747</v>
      </c>
    </row>
    <row r="14" spans="2:10" x14ac:dyDescent="0.3">
      <c r="B14">
        <v>2021</v>
      </c>
      <c r="C14" s="2">
        <v>55396</v>
      </c>
      <c r="D14" s="2">
        <v>46327</v>
      </c>
      <c r="E14" s="2">
        <v>20622</v>
      </c>
      <c r="F14" s="2">
        <v>76740</v>
      </c>
      <c r="G14" s="2">
        <v>24640</v>
      </c>
      <c r="H14" s="2">
        <v>91652</v>
      </c>
      <c r="I14" s="2">
        <v>18567</v>
      </c>
      <c r="J14" s="2">
        <v>57683</v>
      </c>
    </row>
    <row r="15" spans="2:10" x14ac:dyDescent="0.3">
      <c r="B15">
        <v>2022</v>
      </c>
      <c r="C15" s="2">
        <v>58321</v>
      </c>
      <c r="D15" s="2">
        <v>46752</v>
      </c>
      <c r="E15" s="2">
        <v>23886</v>
      </c>
      <c r="F15" s="2">
        <v>89035</v>
      </c>
      <c r="G15" s="2">
        <v>31485</v>
      </c>
      <c r="H15" s="2">
        <v>91495</v>
      </c>
      <c r="I15" s="2">
        <v>31431</v>
      </c>
      <c r="J15" s="2">
        <v>50475</v>
      </c>
    </row>
    <row r="16" spans="2:10" x14ac:dyDescent="0.3">
      <c r="B16">
        <v>2023</v>
      </c>
      <c r="C16" s="2">
        <v>52729</v>
      </c>
      <c r="D16" s="2">
        <v>84946</v>
      </c>
      <c r="E16" s="2">
        <v>28107</v>
      </c>
      <c r="F16" s="2">
        <v>87582</v>
      </c>
      <c r="G16" s="2">
        <v>32251</v>
      </c>
      <c r="H16" s="2">
        <v>101746</v>
      </c>
      <c r="I16" s="2">
        <v>27266</v>
      </c>
      <c r="J16" s="2">
        <v>71113</v>
      </c>
    </row>
    <row r="17" spans="2:12" x14ac:dyDescent="0.3">
      <c r="B17">
        <v>2024</v>
      </c>
      <c r="C17" s="2">
        <v>82999</v>
      </c>
      <c r="D17" s="2">
        <v>115877</v>
      </c>
      <c r="E17" s="2">
        <v>44477</v>
      </c>
      <c r="F17" s="2">
        <v>118548</v>
      </c>
      <c r="G17" s="2">
        <v>52535</v>
      </c>
      <c r="H17" s="2">
        <v>125299</v>
      </c>
      <c r="I17" s="2">
        <v>37256</v>
      </c>
      <c r="J17" s="2">
        <v>91328</v>
      </c>
    </row>
    <row r="18" spans="2:12" x14ac:dyDescent="0.3">
      <c r="B18">
        <v>2025</v>
      </c>
      <c r="C18" s="2">
        <v>131819</v>
      </c>
      <c r="D18" s="2">
        <v>142654</v>
      </c>
      <c r="E18" s="2">
        <v>64551</v>
      </c>
      <c r="F18" s="2">
        <v>136162</v>
      </c>
      <c r="G18" s="2">
        <v>91447</v>
      </c>
      <c r="H18" s="2">
        <v>164713</v>
      </c>
      <c r="I18" s="2">
        <v>69691</v>
      </c>
      <c r="J18" s="2">
        <v>115800</v>
      </c>
    </row>
    <row r="19" spans="2:12" x14ac:dyDescent="0.3">
      <c r="B19" t="s">
        <v>1</v>
      </c>
      <c r="C19" s="2">
        <v>200000</v>
      </c>
      <c r="D19" s="2">
        <v>182508</v>
      </c>
      <c r="E19" s="2">
        <v>150000</v>
      </c>
      <c r="F19" s="2">
        <v>170989</v>
      </c>
      <c r="G19" s="2">
        <v>180000</v>
      </c>
      <c r="H19" s="2">
        <v>194777</v>
      </c>
      <c r="I19" s="2">
        <v>125000</v>
      </c>
      <c r="J19" s="2">
        <v>130278</v>
      </c>
    </row>
    <row r="22" spans="2:12" x14ac:dyDescent="0.3">
      <c r="B22" s="1" t="s">
        <v>11</v>
      </c>
      <c r="C22" s="1" t="s">
        <v>12</v>
      </c>
      <c r="D22" s="1" t="s">
        <v>14</v>
      </c>
      <c r="E22" s="1" t="s">
        <v>16</v>
      </c>
      <c r="F22" s="1" t="s">
        <v>18</v>
      </c>
      <c r="H22" s="1" t="s">
        <v>11</v>
      </c>
      <c r="I22" s="1" t="s">
        <v>2</v>
      </c>
      <c r="J22" s="1" t="s">
        <v>4</v>
      </c>
      <c r="K22" s="1" t="s">
        <v>5</v>
      </c>
      <c r="L22" s="1" t="s">
        <v>6</v>
      </c>
    </row>
    <row r="23" spans="2:12" x14ac:dyDescent="0.3">
      <c r="B23">
        <v>2020</v>
      </c>
      <c r="C23" s="2">
        <v>35046</v>
      </c>
      <c r="D23" s="2">
        <v>15441</v>
      </c>
      <c r="E23" s="2">
        <v>22281</v>
      </c>
      <c r="F23" s="2">
        <v>15115</v>
      </c>
      <c r="H23">
        <v>2020</v>
      </c>
      <c r="I23" s="2">
        <v>66064</v>
      </c>
      <c r="J23" s="2">
        <v>60675</v>
      </c>
      <c r="K23" s="2">
        <v>65124</v>
      </c>
      <c r="L23" s="2">
        <v>38747</v>
      </c>
    </row>
    <row r="24" spans="2:12" x14ac:dyDescent="0.3">
      <c r="B24">
        <v>2021</v>
      </c>
      <c r="C24" s="2">
        <v>55396</v>
      </c>
      <c r="D24" s="2">
        <v>20622</v>
      </c>
      <c r="E24" s="2">
        <v>24640</v>
      </c>
      <c r="F24" s="2">
        <v>18567</v>
      </c>
      <c r="H24">
        <v>2021</v>
      </c>
      <c r="I24" s="2">
        <v>46327</v>
      </c>
      <c r="J24" s="2">
        <v>76740</v>
      </c>
      <c r="K24" s="2">
        <v>91652</v>
      </c>
      <c r="L24" s="2">
        <v>57683</v>
      </c>
    </row>
    <row r="25" spans="2:12" x14ac:dyDescent="0.3">
      <c r="B25">
        <v>2022</v>
      </c>
      <c r="C25" s="2">
        <v>58321</v>
      </c>
      <c r="D25" s="2">
        <v>23886</v>
      </c>
      <c r="E25" s="2">
        <v>31485</v>
      </c>
      <c r="F25" s="2">
        <v>31431</v>
      </c>
      <c r="H25">
        <v>2022</v>
      </c>
      <c r="I25" s="2">
        <v>46752</v>
      </c>
      <c r="J25" s="2">
        <v>89035</v>
      </c>
      <c r="K25" s="2">
        <v>91495</v>
      </c>
      <c r="L25" s="2">
        <v>50475</v>
      </c>
    </row>
    <row r="26" spans="2:12" x14ac:dyDescent="0.3">
      <c r="B26">
        <v>2023</v>
      </c>
      <c r="C26" s="2">
        <v>52729</v>
      </c>
      <c r="D26" s="2">
        <v>28107</v>
      </c>
      <c r="E26" s="2">
        <v>32251</v>
      </c>
      <c r="F26" s="2">
        <v>27266</v>
      </c>
      <c r="H26">
        <v>2023</v>
      </c>
      <c r="I26" s="2">
        <v>84946</v>
      </c>
      <c r="J26" s="2">
        <v>87582</v>
      </c>
      <c r="K26" s="2">
        <v>101746</v>
      </c>
      <c r="L26" s="2">
        <v>71113</v>
      </c>
    </row>
    <row r="27" spans="2:12" x14ac:dyDescent="0.3">
      <c r="B27">
        <v>2024</v>
      </c>
      <c r="C27" s="2">
        <v>82999</v>
      </c>
      <c r="D27" s="2">
        <v>44477</v>
      </c>
      <c r="E27" s="2">
        <v>52535</v>
      </c>
      <c r="F27" s="2">
        <v>37256</v>
      </c>
      <c r="H27">
        <v>2024</v>
      </c>
      <c r="I27" s="2">
        <v>115877</v>
      </c>
      <c r="J27" s="2">
        <v>118548</v>
      </c>
      <c r="K27" s="2">
        <v>125299</v>
      </c>
      <c r="L27" s="2">
        <v>91328</v>
      </c>
    </row>
    <row r="28" spans="2:12" x14ac:dyDescent="0.3">
      <c r="B28">
        <v>2025</v>
      </c>
      <c r="C28" s="2">
        <v>131819</v>
      </c>
      <c r="D28" s="2">
        <v>64551</v>
      </c>
      <c r="E28" s="2">
        <v>91447</v>
      </c>
      <c r="F28" s="2">
        <v>69691</v>
      </c>
      <c r="H28">
        <v>2025</v>
      </c>
      <c r="I28" s="2">
        <v>142654</v>
      </c>
      <c r="J28" s="2">
        <v>136162</v>
      </c>
      <c r="K28" s="2">
        <v>164713</v>
      </c>
      <c r="L28" s="2">
        <v>115800</v>
      </c>
    </row>
    <row r="29" spans="2:12" x14ac:dyDescent="0.3">
      <c r="B29" t="s">
        <v>1</v>
      </c>
      <c r="C29" s="2">
        <v>200000</v>
      </c>
      <c r="D29" s="2">
        <v>150000</v>
      </c>
      <c r="E29" s="2">
        <v>180000</v>
      </c>
      <c r="F29" s="2">
        <v>125000</v>
      </c>
      <c r="H29" t="s">
        <v>1</v>
      </c>
      <c r="I29" s="2">
        <v>182508</v>
      </c>
      <c r="J29" s="2">
        <v>170989</v>
      </c>
      <c r="K29" s="2">
        <v>194777</v>
      </c>
      <c r="L29" s="2">
        <v>130278</v>
      </c>
    </row>
    <row r="32" spans="2:12" x14ac:dyDescent="0.3">
      <c r="B32" s="1" t="s">
        <v>11</v>
      </c>
      <c r="C32" s="3" t="s">
        <v>2</v>
      </c>
      <c r="D32" s="4" t="s">
        <v>4</v>
      </c>
      <c r="E32" s="5" t="s">
        <v>5</v>
      </c>
      <c r="F32" s="6" t="s">
        <v>6</v>
      </c>
      <c r="H32" s="3" t="s">
        <v>13</v>
      </c>
      <c r="I32" s="4" t="s">
        <v>15</v>
      </c>
      <c r="J32" s="5" t="s">
        <v>17</v>
      </c>
      <c r="K32" s="6" t="s">
        <v>19</v>
      </c>
    </row>
    <row r="33" spans="2:11" x14ac:dyDescent="0.3">
      <c r="B33">
        <v>2020</v>
      </c>
      <c r="C33" s="2">
        <v>35046</v>
      </c>
      <c r="D33" s="2">
        <v>15441</v>
      </c>
      <c r="E33" s="2">
        <v>22281</v>
      </c>
      <c r="F33" s="2">
        <v>15115</v>
      </c>
      <c r="H33">
        <v>66064</v>
      </c>
      <c r="I33">
        <v>60675</v>
      </c>
      <c r="J33">
        <v>65124</v>
      </c>
      <c r="K33">
        <v>38747</v>
      </c>
    </row>
    <row r="34" spans="2:11" x14ac:dyDescent="0.3">
      <c r="B34">
        <v>2021</v>
      </c>
      <c r="C34" s="2">
        <v>55396</v>
      </c>
      <c r="D34" s="2">
        <v>20622</v>
      </c>
      <c r="E34" s="2">
        <v>24640</v>
      </c>
      <c r="F34" s="2">
        <v>18567</v>
      </c>
      <c r="H34">
        <v>46327</v>
      </c>
      <c r="I34">
        <v>76740</v>
      </c>
      <c r="J34">
        <v>91652</v>
      </c>
      <c r="K34">
        <v>57683</v>
      </c>
    </row>
    <row r="35" spans="2:11" x14ac:dyDescent="0.3">
      <c r="B35">
        <v>2022</v>
      </c>
      <c r="C35" s="2">
        <v>58321</v>
      </c>
      <c r="D35" s="2">
        <v>23886</v>
      </c>
      <c r="E35" s="2">
        <v>31485</v>
      </c>
      <c r="F35" s="2">
        <v>31431</v>
      </c>
      <c r="H35">
        <v>46752</v>
      </c>
      <c r="I35">
        <v>89035</v>
      </c>
      <c r="J35">
        <v>91495</v>
      </c>
      <c r="K35">
        <v>50475</v>
      </c>
    </row>
    <row r="36" spans="2:11" x14ac:dyDescent="0.3">
      <c r="B36">
        <v>2023</v>
      </c>
      <c r="C36" s="2">
        <v>52729</v>
      </c>
      <c r="D36" s="2">
        <v>28107</v>
      </c>
      <c r="E36" s="2">
        <v>32251</v>
      </c>
      <c r="F36" s="2">
        <v>27266</v>
      </c>
      <c r="H36">
        <v>84946</v>
      </c>
      <c r="I36">
        <v>87582</v>
      </c>
      <c r="J36">
        <v>101746</v>
      </c>
      <c r="K36">
        <v>71113</v>
      </c>
    </row>
    <row r="37" spans="2:11" x14ac:dyDescent="0.3">
      <c r="B37">
        <v>2024</v>
      </c>
      <c r="C37" s="2">
        <v>82999</v>
      </c>
      <c r="D37" s="2">
        <v>44477</v>
      </c>
      <c r="E37" s="2">
        <v>52535</v>
      </c>
      <c r="F37" s="2">
        <v>37256</v>
      </c>
      <c r="H37">
        <v>115877</v>
      </c>
      <c r="I37">
        <v>118548</v>
      </c>
      <c r="J37">
        <v>125299</v>
      </c>
      <c r="K37">
        <v>91328</v>
      </c>
    </row>
    <row r="38" spans="2:11" x14ac:dyDescent="0.3">
      <c r="B38">
        <v>2025</v>
      </c>
      <c r="C38" s="2">
        <v>131819</v>
      </c>
      <c r="D38" s="2">
        <v>64551</v>
      </c>
      <c r="E38" s="2">
        <v>91447</v>
      </c>
      <c r="F38" s="2">
        <v>69691</v>
      </c>
      <c r="H38">
        <v>142654</v>
      </c>
      <c r="I38">
        <v>136162</v>
      </c>
      <c r="J38">
        <v>164713</v>
      </c>
      <c r="K38">
        <v>115800</v>
      </c>
    </row>
    <row r="39" spans="2:11" x14ac:dyDescent="0.3">
      <c r="B39" t="s">
        <v>1</v>
      </c>
      <c r="C39" s="2">
        <v>200000</v>
      </c>
      <c r="D39" s="2">
        <v>150000</v>
      </c>
      <c r="E39" s="2">
        <v>180000</v>
      </c>
      <c r="F39" s="2">
        <v>125000</v>
      </c>
      <c r="H39">
        <v>182508</v>
      </c>
      <c r="I39">
        <v>170989</v>
      </c>
      <c r="J39">
        <v>194777</v>
      </c>
      <c r="K39">
        <v>130278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Pivot 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Kerem Odabasi</dc:creator>
  <cp:lastModifiedBy>Kerem Odabasi</cp:lastModifiedBy>
  <dcterms:created xsi:type="dcterms:W3CDTF">2026-02-06T03:23:17Z</dcterms:created>
  <dcterms:modified xsi:type="dcterms:W3CDTF">2026-02-06T08:29:04Z</dcterms:modified>
</cp:coreProperties>
</file>