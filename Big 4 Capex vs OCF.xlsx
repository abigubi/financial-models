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2E890913-5ED6-4048-BD36-ACF3EAB0B809}" xr6:coauthVersionLast="47" xr6:coauthVersionMax="47" xr10:uidLastSave="{00000000-0000-0000-0000-000000000000}"/>
  <bookViews>
    <workbookView xWindow="20604" yWindow="468" windowWidth="32220" windowHeight="15948" xr2:uid="{DD181D79-B43F-4101-885F-595C61B85884}"/>
  </bookViews>
  <sheets>
    <sheet name="Sheet1" sheetId="1" r:id="rId1"/>
    <sheet name="Pivo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18" i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K15" i="1"/>
  <c r="J15" i="1"/>
  <c r="I15" i="1"/>
  <c r="H15" i="1"/>
  <c r="G15" i="1"/>
  <c r="F15" i="1"/>
  <c r="E15" i="1"/>
</calcChain>
</file>

<file path=xl/sharedStrings.xml><?xml version="1.0" encoding="utf-8"?>
<sst xmlns="http://schemas.openxmlformats.org/spreadsheetml/2006/main" count="69" uniqueCount="20">
  <si>
    <t>Capex</t>
  </si>
  <si>
    <t>2026E</t>
  </si>
  <si>
    <t>AMZN</t>
  </si>
  <si>
    <t>Operating Cash Flow</t>
  </si>
  <si>
    <t>MSFT</t>
  </si>
  <si>
    <t>GOOGL</t>
  </si>
  <si>
    <t>META</t>
  </si>
  <si>
    <t>CapEx % of OCF</t>
  </si>
  <si>
    <t>Company</t>
  </si>
  <si>
    <t>Metric</t>
  </si>
  <si>
    <t>CapEx</t>
  </si>
  <si>
    <t>Year</t>
  </si>
  <si>
    <t>AMZN CapEx</t>
  </si>
  <si>
    <t>AMZN OCF</t>
  </si>
  <si>
    <t>MSFT CapEx</t>
  </si>
  <si>
    <t>MSFT OCF</t>
  </si>
  <si>
    <t>GOOGL CapEx</t>
  </si>
  <si>
    <t>GOOGL OCF</t>
  </si>
  <si>
    <t>META CapEx</t>
  </si>
  <si>
    <t>META OCF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</si>
</sst>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C41E3A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0668E1"/>
        <bgColor indexed="64"/>
      </patternFill>
    </fill>
    <fill>
      <patternFill patternType="solid">
        <fgColor rgb="FFFDFD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164" fontId="0" fillId="0" borderId="0" xfId="0" applyNumberForma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right"/>
    </xf>
    <xf numFmtId="0" fontId="0" fillId="7" borderId="0" xfId="0" applyFill="1"/>
    <xf numFmtId="3" fontId="0" fillId="7" borderId="0" xfId="0" applyNumberFormat="1" applyFill="1"/>
    <xf numFmtId="10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DFD"/>
      <color rgb="FF1D262B"/>
      <color rgb="FF455A64"/>
      <color rgb="FF001935"/>
      <color rgb="FF0064E0"/>
      <color rgb="FF0D3D22"/>
      <color rgb="FF34A853"/>
      <color rgb="FF2B2B2B"/>
      <color rgb="FF00A4EF"/>
      <color rgb="FF73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Amazon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FF9900"/>
            </a:solidFill>
            <a:ln w="107950" cap="rnd">
              <a:solidFill>
                <a:srgbClr val="FF9900"/>
              </a:solidFill>
            </a:ln>
          </c:spPr>
          <c:invertIfNegative val="0"/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Sheet1!$E$3:$K$3</c:f>
              <c:numCache>
                <c:formatCode>#,##0</c:formatCode>
                <c:ptCount val="7"/>
                <c:pt idx="0">
                  <c:v>35046</c:v>
                </c:pt>
                <c:pt idx="1">
                  <c:v>55396</c:v>
                </c:pt>
                <c:pt idx="2">
                  <c:v>58321</c:v>
                </c:pt>
                <c:pt idx="3">
                  <c:v>52729</c:v>
                </c:pt>
                <c:pt idx="4">
                  <c:v>82999</c:v>
                </c:pt>
                <c:pt idx="5">
                  <c:v>131819</c:v>
                </c:pt>
                <c:pt idx="6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31700671"/>
        <c:axId val="1031701151"/>
      </c:barChart>
      <c:lineChart>
        <c:grouping val="standard"/>
        <c:varyColors val="0"/>
        <c:ser>
          <c:idx val="1"/>
          <c:order val="1"/>
          <c:tx>
            <c:strRef>
              <c:f>Sheet1!$B$14</c:f>
              <c:strCache>
                <c:ptCount val="1"/>
                <c:pt idx="0">
                  <c:v>CapEx % of OCF</c:v>
                </c:pt>
              </c:strCache>
            </c:strRef>
          </c:tx>
          <c:spPr>
            <a:ln w="38100" cap="rnd">
              <a:solidFill>
                <a:srgbClr val="232F3E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 w="0">
                <a:noFill/>
              </a:ln>
              <a:effectLst/>
            </c:spPr>
            <c:txPr>
              <a:bodyPr wrap="square" lIns="38100" tIns="45720" rIns="38100" bIns="19050" anchor="ctr">
                <a:spAutoFit/>
              </a:bodyPr>
              <a:lstStyle/>
              <a:p>
                <a:pPr>
                  <a:defRPr sz="1200">
                    <a:ln w="0" cap="sq">
                      <a:noFill/>
                    </a:ln>
                    <a:solidFill>
                      <a:srgbClr val="232F3E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Sheet1!$E$15:$K$15</c:f>
              <c:numCache>
                <c:formatCode>0.00%</c:formatCode>
                <c:ptCount val="7"/>
                <c:pt idx="0">
                  <c:v>0.53048558973116977</c:v>
                </c:pt>
                <c:pt idx="1">
                  <c:v>1.1957605715889221</c:v>
                </c:pt>
                <c:pt idx="2">
                  <c:v>1.2474546543463381</c:v>
                </c:pt>
                <c:pt idx="3">
                  <c:v>0.62073552609893345</c:v>
                </c:pt>
                <c:pt idx="4">
                  <c:v>0.71626811187724915</c:v>
                </c:pt>
                <c:pt idx="5">
                  <c:v>0.92404699482664354</c:v>
                </c:pt>
                <c:pt idx="6">
                  <c:v>1.0958423740329191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Microsoft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F25022"/>
            </a:solidFill>
            <a:ln w="107950" cap="rnd">
              <a:solidFill>
                <a:srgbClr val="F25022"/>
              </a:solidFill>
            </a:ln>
          </c:spPr>
          <c:invertIfNegative val="0"/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Sheet1!$E$4:$K$4</c:f>
              <c:numCache>
                <c:formatCode>#,##0</c:formatCode>
                <c:ptCount val="7"/>
                <c:pt idx="0">
                  <c:v>15441</c:v>
                </c:pt>
                <c:pt idx="1">
                  <c:v>20622</c:v>
                </c:pt>
                <c:pt idx="2">
                  <c:v>23886</c:v>
                </c:pt>
                <c:pt idx="3">
                  <c:v>28107</c:v>
                </c:pt>
                <c:pt idx="4">
                  <c:v>44477</c:v>
                </c:pt>
                <c:pt idx="5">
                  <c:v>64551</c:v>
                </c:pt>
                <c:pt idx="6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31700671"/>
        <c:axId val="1031701151"/>
      </c:barChart>
      <c:lineChart>
        <c:grouping val="standard"/>
        <c:varyColors val="0"/>
        <c:ser>
          <c:idx val="1"/>
          <c:order val="1"/>
          <c:tx>
            <c:strRef>
              <c:f>Sheet1!$B$14</c:f>
              <c:strCache>
                <c:ptCount val="1"/>
                <c:pt idx="0">
                  <c:v>CapEx % of OCF</c:v>
                </c:pt>
              </c:strCache>
            </c:strRef>
          </c:tx>
          <c:spPr>
            <a:ln w="38100" cap="rnd">
              <a:solidFill>
                <a:srgbClr val="2B2B2B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 w="0">
                <a:noFill/>
              </a:ln>
              <a:effectLst/>
            </c:spPr>
            <c:txPr>
              <a:bodyPr wrap="square" lIns="38100" tIns="45720" rIns="38100" bIns="19050" anchor="ctr">
                <a:spAutoFit/>
              </a:bodyPr>
              <a:lstStyle/>
              <a:p>
                <a:pPr>
                  <a:defRPr sz="1200">
                    <a:ln w="0" cap="sq">
                      <a:noFill/>
                    </a:ln>
                    <a:solidFill>
                      <a:srgbClr val="2B2B2B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Sheet1!$E$16:$K$16</c:f>
              <c:numCache>
                <c:formatCode>0.00%</c:formatCode>
                <c:ptCount val="7"/>
                <c:pt idx="0">
                  <c:v>0.25448702101359705</c:v>
                </c:pt>
                <c:pt idx="1">
                  <c:v>0.26872556684910087</c:v>
                </c:pt>
                <c:pt idx="2">
                  <c:v>0.26827652046947831</c:v>
                </c:pt>
                <c:pt idx="3">
                  <c:v>0.32092210728231829</c:v>
                </c:pt>
                <c:pt idx="4">
                  <c:v>0.37518136113641731</c:v>
                </c:pt>
                <c:pt idx="5">
                  <c:v>0.47407499889837107</c:v>
                </c:pt>
                <c:pt idx="6">
                  <c:v>0.87724941370497522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Google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34A853"/>
            </a:solidFill>
            <a:ln w="107950" cap="rnd">
              <a:solidFill>
                <a:srgbClr val="34A853"/>
              </a:solidFill>
            </a:ln>
          </c:spPr>
          <c:invertIfNegative val="0"/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Sheet1!$E$5:$K$5</c:f>
              <c:numCache>
                <c:formatCode>#,##0</c:formatCode>
                <c:ptCount val="7"/>
                <c:pt idx="0">
                  <c:v>22281</c:v>
                </c:pt>
                <c:pt idx="1">
                  <c:v>24640</c:v>
                </c:pt>
                <c:pt idx="2">
                  <c:v>31485</c:v>
                </c:pt>
                <c:pt idx="3">
                  <c:v>32251</c:v>
                </c:pt>
                <c:pt idx="4">
                  <c:v>52535</c:v>
                </c:pt>
                <c:pt idx="5">
                  <c:v>91447</c:v>
                </c:pt>
                <c:pt idx="6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31700671"/>
        <c:axId val="1031701151"/>
      </c:barChart>
      <c:lineChart>
        <c:grouping val="standard"/>
        <c:varyColors val="0"/>
        <c:ser>
          <c:idx val="1"/>
          <c:order val="1"/>
          <c:tx>
            <c:strRef>
              <c:f>Sheet1!$B$14</c:f>
              <c:strCache>
                <c:ptCount val="1"/>
                <c:pt idx="0">
                  <c:v>CapEx % of OCF</c:v>
                </c:pt>
              </c:strCache>
            </c:strRef>
          </c:tx>
          <c:spPr>
            <a:ln w="38100" cap="rnd">
              <a:solidFill>
                <a:srgbClr val="0D3D22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 w="0">
                <a:noFill/>
              </a:ln>
              <a:effectLst/>
            </c:spPr>
            <c:txPr>
              <a:bodyPr wrap="square" lIns="38100" tIns="45720" rIns="38100" bIns="19050" anchor="ctr">
                <a:spAutoFit/>
              </a:bodyPr>
              <a:lstStyle/>
              <a:p>
                <a:pPr>
                  <a:defRPr sz="1200">
                    <a:ln w="0" cap="sq">
                      <a:noFill/>
                    </a:ln>
                    <a:solidFill>
                      <a:srgbClr val="0D3D22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Sheet1!$E$17:$K$17</c:f>
              <c:numCache>
                <c:formatCode>0.00%</c:formatCode>
                <c:ptCount val="7"/>
                <c:pt idx="0">
                  <c:v>0.34213193292795285</c:v>
                </c:pt>
                <c:pt idx="1">
                  <c:v>0.26884301488238116</c:v>
                </c:pt>
                <c:pt idx="2">
                  <c:v>0.34411716487239741</c:v>
                </c:pt>
                <c:pt idx="3">
                  <c:v>0.31697560592062585</c:v>
                </c:pt>
                <c:pt idx="4">
                  <c:v>0.4192770892026273</c:v>
                </c:pt>
                <c:pt idx="5">
                  <c:v>0.55518993643488979</c:v>
                </c:pt>
                <c:pt idx="6">
                  <c:v>0.92413375295851152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Meta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0064E0"/>
            </a:solidFill>
            <a:ln w="107950" cap="rnd">
              <a:solidFill>
                <a:srgbClr val="0064E0"/>
              </a:solidFill>
            </a:ln>
          </c:spPr>
          <c:invertIfNegative val="0"/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Sheet1!$E$6:$K$6</c:f>
              <c:numCache>
                <c:formatCode>#,##0</c:formatCode>
                <c:ptCount val="7"/>
                <c:pt idx="0">
                  <c:v>15115</c:v>
                </c:pt>
                <c:pt idx="1">
                  <c:v>18567</c:v>
                </c:pt>
                <c:pt idx="2">
                  <c:v>31431</c:v>
                </c:pt>
                <c:pt idx="3">
                  <c:v>27266</c:v>
                </c:pt>
                <c:pt idx="4">
                  <c:v>37256</c:v>
                </c:pt>
                <c:pt idx="5">
                  <c:v>72220</c:v>
                </c:pt>
                <c:pt idx="6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31700671"/>
        <c:axId val="1031701151"/>
      </c:barChart>
      <c:lineChart>
        <c:grouping val="standard"/>
        <c:varyColors val="0"/>
        <c:ser>
          <c:idx val="1"/>
          <c:order val="1"/>
          <c:tx>
            <c:strRef>
              <c:f>Sheet1!$B$14</c:f>
              <c:strCache>
                <c:ptCount val="1"/>
                <c:pt idx="0">
                  <c:v>CapEx % of OCF</c:v>
                </c:pt>
              </c:strCache>
            </c:strRef>
          </c:tx>
          <c:spPr>
            <a:ln w="38100" cap="rnd">
              <a:solidFill>
                <a:srgbClr val="1D262B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 w="0">
                <a:noFill/>
              </a:ln>
              <a:effectLst/>
            </c:spPr>
            <c:txPr>
              <a:bodyPr wrap="square" lIns="38100" tIns="45720" rIns="38100" bIns="19050" anchor="ctr">
                <a:spAutoFit/>
              </a:bodyPr>
              <a:lstStyle/>
              <a:p>
                <a:pPr>
                  <a:defRPr sz="1400" b="0" i="0" u="none">
                    <a:ln w="0" cap="sq">
                      <a:noFill/>
                    </a:ln>
                    <a:solidFill>
                      <a:srgbClr val="1D262B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Sheet1!$E$18:$K$18</c:f>
              <c:numCache>
                <c:formatCode>0.00%</c:formatCode>
                <c:ptCount val="7"/>
                <c:pt idx="0">
                  <c:v>0.3900947170103492</c:v>
                </c:pt>
                <c:pt idx="1">
                  <c:v>0.32187992996203385</c:v>
                </c:pt>
                <c:pt idx="2">
                  <c:v>0.62270430906389307</c:v>
                </c:pt>
                <c:pt idx="3">
                  <c:v>0.38341794046095651</c:v>
                </c:pt>
                <c:pt idx="4">
                  <c:v>0.40793622985283812</c:v>
                </c:pt>
                <c:pt idx="5">
                  <c:v>0.62366148531951637</c:v>
                </c:pt>
                <c:pt idx="6">
                  <c:v>0.95948663627012998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Data'!$C$22</c:f>
              <c:strCache>
                <c:ptCount val="1"/>
                <c:pt idx="0">
                  <c:v>AMZN CapEx</c:v>
                </c:pt>
              </c:strCache>
            </c:strRef>
          </c:tx>
          <c:spPr>
            <a:solidFill>
              <a:srgbClr val="FFC000"/>
            </a:solidFill>
            <a:ln w="107950" cap="rnd">
              <a:solidFill>
                <a:srgbClr val="FFC000"/>
              </a:solidFill>
            </a:ln>
          </c:spPr>
          <c:invertIfNegative val="0"/>
          <c:cat>
            <c:strRef>
              <c:f>'Pivot Data'!$B$23:$B$29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Data'!$C$23:$C$29</c:f>
              <c:numCache>
                <c:formatCode>"$"#,##0</c:formatCode>
                <c:ptCount val="7"/>
                <c:pt idx="0">
                  <c:v>35046</c:v>
                </c:pt>
                <c:pt idx="1">
                  <c:v>55396</c:v>
                </c:pt>
                <c:pt idx="2">
                  <c:v>58321</c:v>
                </c:pt>
                <c:pt idx="3">
                  <c:v>52729</c:v>
                </c:pt>
                <c:pt idx="4">
                  <c:v>82999</c:v>
                </c:pt>
                <c:pt idx="5">
                  <c:v>131819</c:v>
                </c:pt>
                <c:pt idx="6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ser>
          <c:idx val="2"/>
          <c:order val="2"/>
          <c:tx>
            <c:strRef>
              <c:f>'Pivot Data'!$E$22</c:f>
              <c:strCache>
                <c:ptCount val="1"/>
                <c:pt idx="0">
                  <c:v>GOOGL CapEx</c:v>
                </c:pt>
              </c:strCache>
            </c:strRef>
          </c:tx>
          <c:spPr>
            <a:solidFill>
              <a:srgbClr val="00B050"/>
            </a:solidFill>
            <a:ln w="107950">
              <a:solidFill>
                <a:srgbClr val="00B050"/>
              </a:solidFill>
            </a:ln>
          </c:spPr>
          <c:invertIfNegative val="0"/>
          <c:cat>
            <c:strRef>
              <c:f>'Pivot Data'!$B$23:$B$29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Data'!$E$23:$E$29</c:f>
              <c:numCache>
                <c:formatCode>"$"#,##0</c:formatCode>
                <c:ptCount val="7"/>
                <c:pt idx="0">
                  <c:v>22281</c:v>
                </c:pt>
                <c:pt idx="1">
                  <c:v>24640</c:v>
                </c:pt>
                <c:pt idx="2">
                  <c:v>31485</c:v>
                </c:pt>
                <c:pt idx="3">
                  <c:v>32251</c:v>
                </c:pt>
                <c:pt idx="4">
                  <c:v>52535</c:v>
                </c:pt>
                <c:pt idx="5">
                  <c:v>91447</c:v>
                </c:pt>
                <c:pt idx="6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BD1-4064-ADB9-7FE745D9F637}"/>
            </c:ext>
          </c:extLst>
        </c:ser>
        <c:ser>
          <c:idx val="3"/>
          <c:order val="3"/>
          <c:tx>
            <c:strRef>
              <c:f>'Pivot Data'!$F$22</c:f>
              <c:strCache>
                <c:ptCount val="1"/>
                <c:pt idx="0">
                  <c:v>META CapEx</c:v>
                </c:pt>
              </c:strCache>
            </c:strRef>
          </c:tx>
          <c:spPr>
            <a:solidFill>
              <a:srgbClr val="0070C0"/>
            </a:solidFill>
            <a:ln w="107950">
              <a:solidFill>
                <a:srgbClr val="0070C0"/>
              </a:solidFill>
            </a:ln>
          </c:spPr>
          <c:invertIfNegative val="0"/>
          <c:cat>
            <c:strRef>
              <c:f>'Pivot Data'!$B$23:$B$29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Data'!$F$23:$F$29</c:f>
              <c:numCache>
                <c:formatCode>"$"#,##0</c:formatCode>
                <c:ptCount val="7"/>
                <c:pt idx="0">
                  <c:v>15115</c:v>
                </c:pt>
                <c:pt idx="1">
                  <c:v>18567</c:v>
                </c:pt>
                <c:pt idx="2">
                  <c:v>31431</c:v>
                </c:pt>
                <c:pt idx="3">
                  <c:v>27266</c:v>
                </c:pt>
                <c:pt idx="4">
                  <c:v>37256</c:v>
                </c:pt>
                <c:pt idx="5">
                  <c:v>69691</c:v>
                </c:pt>
                <c:pt idx="6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D1-4064-ADB9-7FE745D9F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31700671"/>
        <c:axId val="1031701151"/>
      </c:barChart>
      <c:barChart>
        <c:barDir val="col"/>
        <c:grouping val="stacked"/>
        <c:varyColors val="0"/>
        <c:ser>
          <c:idx val="1"/>
          <c:order val="1"/>
          <c:tx>
            <c:strRef>
              <c:f>'Pivot Data'!$D$22</c:f>
              <c:strCache>
                <c:ptCount val="1"/>
                <c:pt idx="0">
                  <c:v>MSFT CapEx</c:v>
                </c:pt>
              </c:strCache>
            </c:strRef>
          </c:tx>
          <c:spPr>
            <a:solidFill>
              <a:srgbClr val="FF0000"/>
            </a:solidFill>
            <a:ln w="107950" cap="rnd">
              <a:solidFill>
                <a:srgbClr val="FF0000"/>
              </a:solidFill>
              <a:prstDash val="solid"/>
              <a:round/>
            </a:ln>
          </c:spPr>
          <c:invertIfNegative val="0"/>
          <c:cat>
            <c:strRef>
              <c:f>'Pivot Data'!$B$23:$B$29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Data'!$D$23:$D$29</c:f>
              <c:numCache>
                <c:formatCode>"$"#,##0</c:formatCode>
                <c:ptCount val="7"/>
                <c:pt idx="0">
                  <c:v>15441</c:v>
                </c:pt>
                <c:pt idx="1">
                  <c:v>20622</c:v>
                </c:pt>
                <c:pt idx="2">
                  <c:v>23886</c:v>
                </c:pt>
                <c:pt idx="3">
                  <c:v>28107</c:v>
                </c:pt>
                <c:pt idx="4">
                  <c:v>44477</c:v>
                </c:pt>
                <c:pt idx="5">
                  <c:v>64551</c:v>
                </c:pt>
                <c:pt idx="6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995206815"/>
        <c:axId val="1995204415"/>
      </c:barChart>
      <c:lineChart>
        <c:grouping val="standard"/>
        <c:varyColors val="0"/>
        <c:ser>
          <c:idx val="4"/>
          <c:order val="4"/>
          <c:tx>
            <c:strRef>
              <c:f>'Pivot Data'!$H$32</c:f>
              <c:strCache>
                <c:ptCount val="1"/>
                <c:pt idx="0">
                  <c:v>AMZN OCF</c:v>
                </c:pt>
              </c:strCache>
            </c:strRef>
          </c:tx>
          <c:marker>
            <c:symbol val="none"/>
          </c:marker>
          <c:cat>
            <c:strRef>
              <c:f>'Pivot Data'!$B$33:$B$39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Data'!$H$33:$H$39</c:f>
              <c:numCache>
                <c:formatCode>General</c:formatCode>
                <c:ptCount val="7"/>
                <c:pt idx="0">
                  <c:v>66064</c:v>
                </c:pt>
                <c:pt idx="1">
                  <c:v>46327</c:v>
                </c:pt>
                <c:pt idx="2">
                  <c:v>46752</c:v>
                </c:pt>
                <c:pt idx="3">
                  <c:v>84946</c:v>
                </c:pt>
                <c:pt idx="4">
                  <c:v>115877</c:v>
                </c:pt>
                <c:pt idx="5">
                  <c:v>142654</c:v>
                </c:pt>
                <c:pt idx="6">
                  <c:v>182508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D1-4064-ADB9-7FE745D9F637}"/>
            </c:ext>
          </c:extLst>
        </c:ser>
        <c:ser>
          <c:idx val="5"/>
          <c:order val="5"/>
          <c:tx>
            <c:strRef>
              <c:f>'Pivot Data'!$I$32</c:f>
              <c:strCache>
                <c:ptCount val="1"/>
                <c:pt idx="0">
                  <c:v>MSFT OCF</c:v>
                </c:pt>
              </c:strCache>
            </c:strRef>
          </c:tx>
          <c:marker>
            <c:symbol val="none"/>
          </c:marker>
          <c:cat>
            <c:strRef>
              <c:f>'Pivot Data'!$B$33:$B$39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Data'!$I$33:$I$39</c:f>
              <c:numCache>
                <c:formatCode>General</c:formatCode>
                <c:ptCount val="7"/>
                <c:pt idx="0">
                  <c:v>60675</c:v>
                </c:pt>
                <c:pt idx="1">
                  <c:v>76740</c:v>
                </c:pt>
                <c:pt idx="2">
                  <c:v>89035</c:v>
                </c:pt>
                <c:pt idx="3">
                  <c:v>87582</c:v>
                </c:pt>
                <c:pt idx="4">
                  <c:v>118548</c:v>
                </c:pt>
                <c:pt idx="5">
                  <c:v>136162</c:v>
                </c:pt>
                <c:pt idx="6">
                  <c:v>170989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D1-4064-ADB9-7FE745D9F637}"/>
            </c:ext>
          </c:extLst>
        </c:ser>
        <c:ser>
          <c:idx val="6"/>
          <c:order val="6"/>
          <c:tx>
            <c:strRef>
              <c:f>'Pivot Data'!$J$32</c:f>
              <c:strCache>
                <c:ptCount val="1"/>
                <c:pt idx="0">
                  <c:v>GOOGL OCF</c:v>
                </c:pt>
              </c:strCache>
            </c:strRef>
          </c:tx>
          <c:marker>
            <c:symbol val="none"/>
          </c:marker>
          <c:cat>
            <c:strRef>
              <c:f>'Pivot Data'!$B$33:$B$39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Data'!$J$33:$J$39</c:f>
              <c:numCache>
                <c:formatCode>General</c:formatCode>
                <c:ptCount val="7"/>
                <c:pt idx="0">
                  <c:v>65124</c:v>
                </c:pt>
                <c:pt idx="1">
                  <c:v>91652</c:v>
                </c:pt>
                <c:pt idx="2">
                  <c:v>91495</c:v>
                </c:pt>
                <c:pt idx="3">
                  <c:v>101746</c:v>
                </c:pt>
                <c:pt idx="4">
                  <c:v>125299</c:v>
                </c:pt>
                <c:pt idx="5">
                  <c:v>164713</c:v>
                </c:pt>
                <c:pt idx="6">
                  <c:v>194777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BD1-4064-ADB9-7FE745D9F637}"/>
            </c:ext>
          </c:extLst>
        </c:ser>
        <c:ser>
          <c:idx val="7"/>
          <c:order val="7"/>
          <c:tx>
            <c:strRef>
              <c:f>'Pivot Data'!$K$32</c:f>
              <c:strCache>
                <c:ptCount val="1"/>
                <c:pt idx="0">
                  <c:v>META OCF</c:v>
                </c:pt>
              </c:strCache>
            </c:strRef>
          </c:tx>
          <c:marker>
            <c:symbol val="none"/>
          </c:marker>
          <c:cat>
            <c:strRef>
              <c:f>'Pivot Data'!$B$33:$B$39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Data'!$K$33:$K$39</c:f>
              <c:numCache>
                <c:formatCode>General</c:formatCode>
                <c:ptCount val="7"/>
                <c:pt idx="0">
                  <c:v>38747</c:v>
                </c:pt>
                <c:pt idx="1">
                  <c:v>57683</c:v>
                </c:pt>
                <c:pt idx="2">
                  <c:v>50475</c:v>
                </c:pt>
                <c:pt idx="3">
                  <c:v>71113</c:v>
                </c:pt>
                <c:pt idx="4">
                  <c:v>91328</c:v>
                </c:pt>
                <c:pt idx="5">
                  <c:v>115800</c:v>
                </c:pt>
                <c:pt idx="6">
                  <c:v>130278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D1-4064-ADB9-7FE745D9F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&quot;$&quot;#,##0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solidFill>
        <a:schemeClr val="bg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441960</xdr:colOff>
      <xdr:row>2</xdr:row>
      <xdr:rowOff>106680</xdr:rowOff>
    </xdr:from>
    <xdr:to>
      <xdr:col>32</xdr:col>
      <xdr:colOff>70866</xdr:colOff>
      <xdr:row>36</xdr:row>
      <xdr:rowOff>64008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24E02A-9E3F-99D1-B171-331D095BC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81395</xdr:colOff>
      <xdr:row>2</xdr:row>
      <xdr:rowOff>117861</xdr:rowOff>
    </xdr:from>
    <xdr:to>
      <xdr:col>52</xdr:col>
      <xdr:colOff>385215</xdr:colOff>
      <xdr:row>36</xdr:row>
      <xdr:rowOff>71727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EAA052-944F-4A7A-B8A9-92A451FED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631768</xdr:colOff>
      <xdr:row>37</xdr:row>
      <xdr:rowOff>81396</xdr:rowOff>
    </xdr:from>
    <xdr:to>
      <xdr:col>32</xdr:col>
      <xdr:colOff>250778</xdr:colOff>
      <xdr:row>71</xdr:row>
      <xdr:rowOff>44364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68FDC1-EB47-4F02-A86F-951FA74D5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162591</xdr:colOff>
      <xdr:row>37</xdr:row>
      <xdr:rowOff>27411</xdr:rowOff>
    </xdr:from>
    <xdr:to>
      <xdr:col>52</xdr:col>
      <xdr:colOff>454437</xdr:colOff>
      <xdr:row>70</xdr:row>
      <xdr:rowOff>176526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3D035C-FB81-495E-8A14-1721C351E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5</xdr:row>
      <xdr:rowOff>160020</xdr:rowOff>
    </xdr:from>
    <xdr:to>
      <xdr:col>40</xdr:col>
      <xdr:colOff>434340</xdr:colOff>
      <xdr:row>53</xdr:row>
      <xdr:rowOff>77724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2D95C5-F02F-3831-7739-4D1110C7E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9B6EB9-71EF-4D0D-9317-0FC7D71CBC5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57CA-F813-4C2D-9DF1-929EFA9E2257}">
  <dimension ref="B2:K18"/>
  <sheetViews>
    <sheetView showGridLines="0" tabSelected="1" topLeftCell="H7" zoomScale="55" zoomScaleNormal="55" workbookViewId="0">
      <selection activeCell="K7" sqref="K7"/>
    </sheetView>
  </sheetViews>
  <sheetFormatPr defaultRowHeight="15.6" x14ac:dyDescent="0.3"/>
  <cols>
    <col min="1" max="16384" width="8.796875" style="9"/>
  </cols>
  <sheetData>
    <row r="2" spans="2:11" x14ac:dyDescent="0.3">
      <c r="B2" s="7" t="s">
        <v>0</v>
      </c>
      <c r="C2" s="7"/>
      <c r="D2" s="7"/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8" t="s">
        <v>1</v>
      </c>
    </row>
    <row r="3" spans="2:11" x14ac:dyDescent="0.3">
      <c r="B3" s="9" t="s">
        <v>2</v>
      </c>
      <c r="E3" s="10">
        <v>35046</v>
      </c>
      <c r="F3" s="10">
        <v>55396</v>
      </c>
      <c r="G3" s="10">
        <v>58321</v>
      </c>
      <c r="H3" s="10">
        <v>52729</v>
      </c>
      <c r="I3" s="10">
        <v>82999</v>
      </c>
      <c r="J3" s="10">
        <v>131819</v>
      </c>
      <c r="K3" s="10">
        <v>200000</v>
      </c>
    </row>
    <row r="4" spans="2:11" x14ac:dyDescent="0.3">
      <c r="B4" s="9" t="s">
        <v>4</v>
      </c>
      <c r="E4" s="10">
        <v>15441</v>
      </c>
      <c r="F4" s="10">
        <v>20622</v>
      </c>
      <c r="G4" s="10">
        <v>23886</v>
      </c>
      <c r="H4" s="10">
        <v>28107</v>
      </c>
      <c r="I4" s="10">
        <v>44477</v>
      </c>
      <c r="J4" s="10">
        <v>64551</v>
      </c>
      <c r="K4" s="10">
        <v>150000</v>
      </c>
    </row>
    <row r="5" spans="2:11" x14ac:dyDescent="0.3">
      <c r="B5" s="9" t="s">
        <v>5</v>
      </c>
      <c r="E5" s="10">
        <v>22281</v>
      </c>
      <c r="F5" s="10">
        <v>24640</v>
      </c>
      <c r="G5" s="10">
        <v>31485</v>
      </c>
      <c r="H5" s="10">
        <v>32251</v>
      </c>
      <c r="I5" s="10">
        <v>52535</v>
      </c>
      <c r="J5" s="10">
        <v>91447</v>
      </c>
      <c r="K5" s="10">
        <v>180000</v>
      </c>
    </row>
    <row r="6" spans="2:11" x14ac:dyDescent="0.3">
      <c r="B6" s="9" t="s">
        <v>6</v>
      </c>
      <c r="E6" s="10">
        <v>15115</v>
      </c>
      <c r="F6" s="10">
        <v>18567</v>
      </c>
      <c r="G6" s="10">
        <v>31431</v>
      </c>
      <c r="H6" s="10">
        <v>27266</v>
      </c>
      <c r="I6" s="10">
        <v>37256</v>
      </c>
      <c r="J6" s="10">
        <v>72220</v>
      </c>
      <c r="K6" s="10">
        <v>125000</v>
      </c>
    </row>
    <row r="7" spans="2:11" x14ac:dyDescent="0.3">
      <c r="K7" s="10">
        <f>SUM(K3:K6)</f>
        <v>655000</v>
      </c>
    </row>
    <row r="8" spans="2:11" x14ac:dyDescent="0.3">
      <c r="B8" s="7" t="s">
        <v>3</v>
      </c>
      <c r="C8" s="7"/>
      <c r="D8" s="7"/>
      <c r="E8" s="7">
        <v>2020</v>
      </c>
      <c r="F8" s="7">
        <v>2021</v>
      </c>
      <c r="G8" s="7">
        <v>2022</v>
      </c>
      <c r="H8" s="7">
        <v>2023</v>
      </c>
      <c r="I8" s="7">
        <v>2024</v>
      </c>
      <c r="J8" s="7">
        <v>2025</v>
      </c>
      <c r="K8" s="8" t="s">
        <v>1</v>
      </c>
    </row>
    <row r="9" spans="2:11" x14ac:dyDescent="0.3">
      <c r="B9" s="9" t="s">
        <v>2</v>
      </c>
      <c r="E9" s="10">
        <v>66064</v>
      </c>
      <c r="F9" s="10">
        <v>46327</v>
      </c>
      <c r="G9" s="10">
        <v>46752</v>
      </c>
      <c r="H9" s="10">
        <v>84946</v>
      </c>
      <c r="I9" s="10">
        <v>115877</v>
      </c>
      <c r="J9" s="10">
        <v>142654</v>
      </c>
      <c r="K9" s="10">
        <v>182508</v>
      </c>
    </row>
    <row r="10" spans="2:11" x14ac:dyDescent="0.3">
      <c r="B10" s="9" t="s">
        <v>4</v>
      </c>
      <c r="E10" s="10">
        <v>60675</v>
      </c>
      <c r="F10" s="10">
        <v>76740</v>
      </c>
      <c r="G10" s="10">
        <v>89035</v>
      </c>
      <c r="H10" s="10">
        <v>87582</v>
      </c>
      <c r="I10" s="10">
        <v>118548</v>
      </c>
      <c r="J10" s="10">
        <v>136162</v>
      </c>
      <c r="K10" s="10">
        <v>170989</v>
      </c>
    </row>
    <row r="11" spans="2:11" x14ac:dyDescent="0.3">
      <c r="B11" s="9" t="s">
        <v>5</v>
      </c>
      <c r="E11" s="10">
        <v>65124</v>
      </c>
      <c r="F11" s="10">
        <v>91652</v>
      </c>
      <c r="G11" s="10">
        <v>91495</v>
      </c>
      <c r="H11" s="10">
        <v>101746</v>
      </c>
      <c r="I11" s="10">
        <v>125299</v>
      </c>
      <c r="J11" s="10">
        <v>164713</v>
      </c>
      <c r="K11" s="10">
        <v>194777</v>
      </c>
    </row>
    <row r="12" spans="2:11" x14ac:dyDescent="0.3">
      <c r="B12" s="9" t="s">
        <v>6</v>
      </c>
      <c r="E12" s="10">
        <v>38747</v>
      </c>
      <c r="F12" s="10">
        <v>57683</v>
      </c>
      <c r="G12" s="10">
        <v>50475</v>
      </c>
      <c r="H12" s="10">
        <v>71113</v>
      </c>
      <c r="I12" s="10">
        <v>91328</v>
      </c>
      <c r="J12" s="10">
        <v>115800</v>
      </c>
      <c r="K12" s="10">
        <v>130278</v>
      </c>
    </row>
    <row r="14" spans="2:11" x14ac:dyDescent="0.3">
      <c r="B14" s="7" t="s">
        <v>7</v>
      </c>
      <c r="C14" s="7"/>
      <c r="D14" s="7"/>
      <c r="E14" s="7">
        <v>2020</v>
      </c>
      <c r="F14" s="7">
        <v>2021</v>
      </c>
      <c r="G14" s="7">
        <v>2022</v>
      </c>
      <c r="H14" s="7">
        <v>2023</v>
      </c>
      <c r="I14" s="7">
        <v>2024</v>
      </c>
      <c r="J14" s="7">
        <v>2025</v>
      </c>
      <c r="K14" s="8" t="s">
        <v>1</v>
      </c>
    </row>
    <row r="15" spans="2:11" x14ac:dyDescent="0.3">
      <c r="B15" s="9" t="s">
        <v>2</v>
      </c>
      <c r="E15" s="11">
        <f>E3/E9</f>
        <v>0.53048558973116977</v>
      </c>
      <c r="F15" s="11">
        <f t="shared" ref="F15:K15" si="0">F3/F9</f>
        <v>1.1957605715889221</v>
      </c>
      <c r="G15" s="11">
        <f t="shared" si="0"/>
        <v>1.2474546543463381</v>
      </c>
      <c r="H15" s="11">
        <f t="shared" si="0"/>
        <v>0.62073552609893345</v>
      </c>
      <c r="I15" s="11">
        <f t="shared" si="0"/>
        <v>0.71626811187724915</v>
      </c>
      <c r="J15" s="11">
        <f t="shared" si="0"/>
        <v>0.92404699482664354</v>
      </c>
      <c r="K15" s="11">
        <f t="shared" si="0"/>
        <v>1.0958423740329191</v>
      </c>
    </row>
    <row r="16" spans="2:11" x14ac:dyDescent="0.3">
      <c r="B16" s="9" t="s">
        <v>4</v>
      </c>
      <c r="E16" s="11">
        <f t="shared" ref="E16:K16" si="1">E4/E10</f>
        <v>0.25448702101359705</v>
      </c>
      <c r="F16" s="11">
        <f t="shared" si="1"/>
        <v>0.26872556684910087</v>
      </c>
      <c r="G16" s="11">
        <f t="shared" si="1"/>
        <v>0.26827652046947831</v>
      </c>
      <c r="H16" s="11">
        <f t="shared" si="1"/>
        <v>0.32092210728231829</v>
      </c>
      <c r="I16" s="11">
        <f t="shared" si="1"/>
        <v>0.37518136113641731</v>
      </c>
      <c r="J16" s="11">
        <f t="shared" si="1"/>
        <v>0.47407499889837107</v>
      </c>
      <c r="K16" s="11">
        <f t="shared" si="1"/>
        <v>0.87724941370497522</v>
      </c>
    </row>
    <row r="17" spans="2:11" x14ac:dyDescent="0.3">
      <c r="B17" s="9" t="s">
        <v>5</v>
      </c>
      <c r="E17" s="11">
        <f t="shared" ref="E17:K17" si="2">E5/E11</f>
        <v>0.34213193292795285</v>
      </c>
      <c r="F17" s="11">
        <f t="shared" si="2"/>
        <v>0.26884301488238116</v>
      </c>
      <c r="G17" s="11">
        <f t="shared" si="2"/>
        <v>0.34411716487239741</v>
      </c>
      <c r="H17" s="11">
        <f t="shared" si="2"/>
        <v>0.31697560592062585</v>
      </c>
      <c r="I17" s="11">
        <f t="shared" si="2"/>
        <v>0.4192770892026273</v>
      </c>
      <c r="J17" s="11">
        <f t="shared" si="2"/>
        <v>0.55518993643488979</v>
      </c>
      <c r="K17" s="11">
        <f t="shared" si="2"/>
        <v>0.92413375295851152</v>
      </c>
    </row>
    <row r="18" spans="2:11" x14ac:dyDescent="0.3">
      <c r="B18" s="9" t="s">
        <v>6</v>
      </c>
      <c r="E18" s="11">
        <f t="shared" ref="E18:K18" si="3">E6/E12</f>
        <v>0.3900947170103492</v>
      </c>
      <c r="F18" s="11">
        <f t="shared" si="3"/>
        <v>0.32187992996203385</v>
      </c>
      <c r="G18" s="11">
        <f t="shared" si="3"/>
        <v>0.62270430906389307</v>
      </c>
      <c r="H18" s="11">
        <f t="shared" si="3"/>
        <v>0.38341794046095651</v>
      </c>
      <c r="I18" s="11">
        <f t="shared" si="3"/>
        <v>0.40793622985283812</v>
      </c>
      <c r="J18" s="11">
        <f t="shared" si="3"/>
        <v>0.62366148531951637</v>
      </c>
      <c r="K18" s="11">
        <f t="shared" si="3"/>
        <v>0.95948663627012998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5497-B701-4C77-99A1-98AEB9CE2B56}">
  <dimension ref="B1:L39"/>
  <sheetViews>
    <sheetView topLeftCell="A10" zoomScale="70" zoomScaleNormal="70" workbookViewId="0">
      <selection activeCell="H51" sqref="H51"/>
    </sheetView>
  </sheetViews>
  <sheetFormatPr defaultRowHeight="15.6" x14ac:dyDescent="0.3"/>
  <sheetData>
    <row r="1" spans="2:10" x14ac:dyDescent="0.3">
      <c r="B1" s="1" t="s">
        <v>8</v>
      </c>
      <c r="C1" s="1" t="s">
        <v>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 t="s">
        <v>1</v>
      </c>
    </row>
    <row r="2" spans="2:10" x14ac:dyDescent="0.3">
      <c r="B2" t="s">
        <v>2</v>
      </c>
      <c r="C2" t="s">
        <v>10</v>
      </c>
      <c r="D2" s="2">
        <v>35046</v>
      </c>
      <c r="E2" s="2">
        <v>55396</v>
      </c>
      <c r="F2" s="2">
        <v>58321</v>
      </c>
      <c r="G2" s="2">
        <v>52729</v>
      </c>
      <c r="H2" s="2">
        <v>82999</v>
      </c>
      <c r="I2" s="2">
        <v>131819</v>
      </c>
      <c r="J2" s="2">
        <v>200000</v>
      </c>
    </row>
    <row r="3" spans="2:10" x14ac:dyDescent="0.3">
      <c r="B3" t="s">
        <v>2</v>
      </c>
      <c r="C3" t="s">
        <v>3</v>
      </c>
      <c r="D3" s="2">
        <v>66064</v>
      </c>
      <c r="E3" s="2">
        <v>46327</v>
      </c>
      <c r="F3" s="2">
        <v>46752</v>
      </c>
      <c r="G3" s="2">
        <v>84946</v>
      </c>
      <c r="H3" s="2">
        <v>115877</v>
      </c>
      <c r="I3" s="2">
        <v>142654</v>
      </c>
      <c r="J3" s="2">
        <v>182508</v>
      </c>
    </row>
    <row r="4" spans="2:10" x14ac:dyDescent="0.3">
      <c r="B4" t="s">
        <v>4</v>
      </c>
      <c r="C4" t="s">
        <v>10</v>
      </c>
      <c r="D4" s="2">
        <v>15441</v>
      </c>
      <c r="E4" s="2">
        <v>20622</v>
      </c>
      <c r="F4" s="2">
        <v>23886</v>
      </c>
      <c r="G4" s="2">
        <v>28107</v>
      </c>
      <c r="H4" s="2">
        <v>44477</v>
      </c>
      <c r="I4" s="2">
        <v>64551</v>
      </c>
      <c r="J4" s="2">
        <v>150000</v>
      </c>
    </row>
    <row r="5" spans="2:10" x14ac:dyDescent="0.3">
      <c r="B5" t="s">
        <v>4</v>
      </c>
      <c r="C5" t="s">
        <v>3</v>
      </c>
      <c r="D5" s="2">
        <v>60675</v>
      </c>
      <c r="E5" s="2">
        <v>76740</v>
      </c>
      <c r="F5" s="2">
        <v>89035</v>
      </c>
      <c r="G5" s="2">
        <v>87582</v>
      </c>
      <c r="H5" s="2">
        <v>118548</v>
      </c>
      <c r="I5" s="2">
        <v>136162</v>
      </c>
      <c r="J5" s="2">
        <v>170989</v>
      </c>
    </row>
    <row r="6" spans="2:10" x14ac:dyDescent="0.3">
      <c r="B6" t="s">
        <v>5</v>
      </c>
      <c r="C6" t="s">
        <v>10</v>
      </c>
      <c r="D6" s="2">
        <v>22281</v>
      </c>
      <c r="E6" s="2">
        <v>24640</v>
      </c>
      <c r="F6" s="2">
        <v>31485</v>
      </c>
      <c r="G6" s="2">
        <v>32251</v>
      </c>
      <c r="H6" s="2">
        <v>52535</v>
      </c>
      <c r="I6" s="2">
        <v>91447</v>
      </c>
      <c r="J6" s="2">
        <v>180000</v>
      </c>
    </row>
    <row r="7" spans="2:10" x14ac:dyDescent="0.3">
      <c r="B7" t="s">
        <v>5</v>
      </c>
      <c r="C7" t="s">
        <v>3</v>
      </c>
      <c r="D7" s="2">
        <v>65124</v>
      </c>
      <c r="E7" s="2">
        <v>91652</v>
      </c>
      <c r="F7" s="2">
        <v>91495</v>
      </c>
      <c r="G7" s="2">
        <v>101746</v>
      </c>
      <c r="H7" s="2">
        <v>125299</v>
      </c>
      <c r="I7" s="2">
        <v>164713</v>
      </c>
      <c r="J7" s="2">
        <v>194777</v>
      </c>
    </row>
    <row r="8" spans="2:10" x14ac:dyDescent="0.3">
      <c r="B8" t="s">
        <v>6</v>
      </c>
      <c r="C8" t="s">
        <v>10</v>
      </c>
      <c r="D8" s="2">
        <v>15115</v>
      </c>
      <c r="E8" s="2">
        <v>18567</v>
      </c>
      <c r="F8" s="2">
        <v>31431</v>
      </c>
      <c r="G8" s="2">
        <v>27266</v>
      </c>
      <c r="H8" s="2">
        <v>37256</v>
      </c>
      <c r="I8" s="2">
        <v>69691</v>
      </c>
      <c r="J8" s="2">
        <v>125000</v>
      </c>
    </row>
    <row r="9" spans="2:10" x14ac:dyDescent="0.3">
      <c r="B9" t="s">
        <v>6</v>
      </c>
      <c r="C9" t="s">
        <v>3</v>
      </c>
      <c r="D9" s="2">
        <v>38747</v>
      </c>
      <c r="E9" s="2">
        <v>57683</v>
      </c>
      <c r="F9" s="2">
        <v>50475</v>
      </c>
      <c r="G9" s="2">
        <v>71113</v>
      </c>
      <c r="H9" s="2">
        <v>91328</v>
      </c>
      <c r="I9" s="2">
        <v>115800</v>
      </c>
      <c r="J9" s="2">
        <v>130278</v>
      </c>
    </row>
    <row r="12" spans="2:10" x14ac:dyDescent="0.3"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</row>
    <row r="13" spans="2:10" x14ac:dyDescent="0.3">
      <c r="B13">
        <v>2020</v>
      </c>
      <c r="C13" s="2">
        <v>35046</v>
      </c>
      <c r="D13" s="2">
        <v>66064</v>
      </c>
      <c r="E13" s="2">
        <v>15441</v>
      </c>
      <c r="F13" s="2">
        <v>60675</v>
      </c>
      <c r="G13" s="2">
        <v>22281</v>
      </c>
      <c r="H13" s="2">
        <v>65124</v>
      </c>
      <c r="I13" s="2">
        <v>15115</v>
      </c>
      <c r="J13" s="2">
        <v>38747</v>
      </c>
    </row>
    <row r="14" spans="2:10" x14ac:dyDescent="0.3">
      <c r="B14">
        <v>2021</v>
      </c>
      <c r="C14" s="2">
        <v>55396</v>
      </c>
      <c r="D14" s="2">
        <v>46327</v>
      </c>
      <c r="E14" s="2">
        <v>20622</v>
      </c>
      <c r="F14" s="2">
        <v>76740</v>
      </c>
      <c r="G14" s="2">
        <v>24640</v>
      </c>
      <c r="H14" s="2">
        <v>91652</v>
      </c>
      <c r="I14" s="2">
        <v>18567</v>
      </c>
      <c r="J14" s="2">
        <v>57683</v>
      </c>
    </row>
    <row r="15" spans="2:10" x14ac:dyDescent="0.3">
      <c r="B15">
        <v>2022</v>
      </c>
      <c r="C15" s="2">
        <v>58321</v>
      </c>
      <c r="D15" s="2">
        <v>46752</v>
      </c>
      <c r="E15" s="2">
        <v>23886</v>
      </c>
      <c r="F15" s="2">
        <v>89035</v>
      </c>
      <c r="G15" s="2">
        <v>31485</v>
      </c>
      <c r="H15" s="2">
        <v>91495</v>
      </c>
      <c r="I15" s="2">
        <v>31431</v>
      </c>
      <c r="J15" s="2">
        <v>50475</v>
      </c>
    </row>
    <row r="16" spans="2:10" x14ac:dyDescent="0.3">
      <c r="B16">
        <v>2023</v>
      </c>
      <c r="C16" s="2">
        <v>52729</v>
      </c>
      <c r="D16" s="2">
        <v>84946</v>
      </c>
      <c r="E16" s="2">
        <v>28107</v>
      </c>
      <c r="F16" s="2">
        <v>87582</v>
      </c>
      <c r="G16" s="2">
        <v>32251</v>
      </c>
      <c r="H16" s="2">
        <v>101746</v>
      </c>
      <c r="I16" s="2">
        <v>27266</v>
      </c>
      <c r="J16" s="2">
        <v>71113</v>
      </c>
    </row>
    <row r="17" spans="2:12" x14ac:dyDescent="0.3">
      <c r="B17">
        <v>2024</v>
      </c>
      <c r="C17" s="2">
        <v>82999</v>
      </c>
      <c r="D17" s="2">
        <v>115877</v>
      </c>
      <c r="E17" s="2">
        <v>44477</v>
      </c>
      <c r="F17" s="2">
        <v>118548</v>
      </c>
      <c r="G17" s="2">
        <v>52535</v>
      </c>
      <c r="H17" s="2">
        <v>125299</v>
      </c>
      <c r="I17" s="2">
        <v>37256</v>
      </c>
      <c r="J17" s="2">
        <v>91328</v>
      </c>
    </row>
    <row r="18" spans="2:12" x14ac:dyDescent="0.3">
      <c r="B18">
        <v>2025</v>
      </c>
      <c r="C18" s="2">
        <v>131819</v>
      </c>
      <c r="D18" s="2">
        <v>142654</v>
      </c>
      <c r="E18" s="2">
        <v>64551</v>
      </c>
      <c r="F18" s="2">
        <v>136162</v>
      </c>
      <c r="G18" s="2">
        <v>91447</v>
      </c>
      <c r="H18" s="2">
        <v>164713</v>
      </c>
      <c r="I18" s="2">
        <v>69691</v>
      </c>
      <c r="J18" s="2">
        <v>115800</v>
      </c>
    </row>
    <row r="19" spans="2:12" x14ac:dyDescent="0.3">
      <c r="B19" t="s">
        <v>1</v>
      </c>
      <c r="C19" s="2">
        <v>200000</v>
      </c>
      <c r="D19" s="2">
        <v>182508</v>
      </c>
      <c r="E19" s="2">
        <v>150000</v>
      </c>
      <c r="F19" s="2">
        <v>170989</v>
      </c>
      <c r="G19" s="2">
        <v>180000</v>
      </c>
      <c r="H19" s="2">
        <v>194777</v>
      </c>
      <c r="I19" s="2">
        <v>125000</v>
      </c>
      <c r="J19" s="2">
        <v>130278</v>
      </c>
    </row>
    <row r="22" spans="2:12" x14ac:dyDescent="0.3">
      <c r="B22" s="1" t="s">
        <v>11</v>
      </c>
      <c r="C22" s="1" t="s">
        <v>12</v>
      </c>
      <c r="D22" s="1" t="s">
        <v>14</v>
      </c>
      <c r="E22" s="1" t="s">
        <v>16</v>
      </c>
      <c r="F22" s="1" t="s">
        <v>18</v>
      </c>
      <c r="H22" s="1" t="s">
        <v>11</v>
      </c>
      <c r="I22" s="1" t="s">
        <v>2</v>
      </c>
      <c r="J22" s="1" t="s">
        <v>4</v>
      </c>
      <c r="K22" s="1" t="s">
        <v>5</v>
      </c>
      <c r="L22" s="1" t="s">
        <v>6</v>
      </c>
    </row>
    <row r="23" spans="2:12" x14ac:dyDescent="0.3">
      <c r="B23">
        <v>2020</v>
      </c>
      <c r="C23" s="2">
        <v>35046</v>
      </c>
      <c r="D23" s="2">
        <v>15441</v>
      </c>
      <c r="E23" s="2">
        <v>22281</v>
      </c>
      <c r="F23" s="2">
        <v>15115</v>
      </c>
      <c r="H23">
        <v>2020</v>
      </c>
      <c r="I23" s="2">
        <v>66064</v>
      </c>
      <c r="J23" s="2">
        <v>60675</v>
      </c>
      <c r="K23" s="2">
        <v>65124</v>
      </c>
      <c r="L23" s="2">
        <v>38747</v>
      </c>
    </row>
    <row r="24" spans="2:12" x14ac:dyDescent="0.3">
      <c r="B24">
        <v>2021</v>
      </c>
      <c r="C24" s="2">
        <v>55396</v>
      </c>
      <c r="D24" s="2">
        <v>20622</v>
      </c>
      <c r="E24" s="2">
        <v>24640</v>
      </c>
      <c r="F24" s="2">
        <v>18567</v>
      </c>
      <c r="H24">
        <v>2021</v>
      </c>
      <c r="I24" s="2">
        <v>46327</v>
      </c>
      <c r="J24" s="2">
        <v>76740</v>
      </c>
      <c r="K24" s="2">
        <v>91652</v>
      </c>
      <c r="L24" s="2">
        <v>57683</v>
      </c>
    </row>
    <row r="25" spans="2:12" x14ac:dyDescent="0.3">
      <c r="B25">
        <v>2022</v>
      </c>
      <c r="C25" s="2">
        <v>58321</v>
      </c>
      <c r="D25" s="2">
        <v>23886</v>
      </c>
      <c r="E25" s="2">
        <v>31485</v>
      </c>
      <c r="F25" s="2">
        <v>31431</v>
      </c>
      <c r="H25">
        <v>2022</v>
      </c>
      <c r="I25" s="2">
        <v>46752</v>
      </c>
      <c r="J25" s="2">
        <v>89035</v>
      </c>
      <c r="K25" s="2">
        <v>91495</v>
      </c>
      <c r="L25" s="2">
        <v>50475</v>
      </c>
    </row>
    <row r="26" spans="2:12" x14ac:dyDescent="0.3">
      <c r="B26">
        <v>2023</v>
      </c>
      <c r="C26" s="2">
        <v>52729</v>
      </c>
      <c r="D26" s="2">
        <v>28107</v>
      </c>
      <c r="E26" s="2">
        <v>32251</v>
      </c>
      <c r="F26" s="2">
        <v>27266</v>
      </c>
      <c r="H26">
        <v>2023</v>
      </c>
      <c r="I26" s="2">
        <v>84946</v>
      </c>
      <c r="J26" s="2">
        <v>87582</v>
      </c>
      <c r="K26" s="2">
        <v>101746</v>
      </c>
      <c r="L26" s="2">
        <v>71113</v>
      </c>
    </row>
    <row r="27" spans="2:12" x14ac:dyDescent="0.3">
      <c r="B27">
        <v>2024</v>
      </c>
      <c r="C27" s="2">
        <v>82999</v>
      </c>
      <c r="D27" s="2">
        <v>44477</v>
      </c>
      <c r="E27" s="2">
        <v>52535</v>
      </c>
      <c r="F27" s="2">
        <v>37256</v>
      </c>
      <c r="H27">
        <v>2024</v>
      </c>
      <c r="I27" s="2">
        <v>115877</v>
      </c>
      <c r="J27" s="2">
        <v>118548</v>
      </c>
      <c r="K27" s="2">
        <v>125299</v>
      </c>
      <c r="L27" s="2">
        <v>91328</v>
      </c>
    </row>
    <row r="28" spans="2:12" x14ac:dyDescent="0.3">
      <c r="B28">
        <v>2025</v>
      </c>
      <c r="C28" s="2">
        <v>131819</v>
      </c>
      <c r="D28" s="2">
        <v>64551</v>
      </c>
      <c r="E28" s="2">
        <v>91447</v>
      </c>
      <c r="F28" s="2">
        <v>69691</v>
      </c>
      <c r="H28">
        <v>2025</v>
      </c>
      <c r="I28" s="2">
        <v>142654</v>
      </c>
      <c r="J28" s="2">
        <v>136162</v>
      </c>
      <c r="K28" s="2">
        <v>164713</v>
      </c>
      <c r="L28" s="2">
        <v>115800</v>
      </c>
    </row>
    <row r="29" spans="2:12" x14ac:dyDescent="0.3">
      <c r="B29" t="s">
        <v>1</v>
      </c>
      <c r="C29" s="2">
        <v>200000</v>
      </c>
      <c r="D29" s="2">
        <v>150000</v>
      </c>
      <c r="E29" s="2">
        <v>180000</v>
      </c>
      <c r="F29" s="2">
        <v>125000</v>
      </c>
      <c r="H29" t="s">
        <v>1</v>
      </c>
      <c r="I29" s="2">
        <v>182508</v>
      </c>
      <c r="J29" s="2">
        <v>170989</v>
      </c>
      <c r="K29" s="2">
        <v>194777</v>
      </c>
      <c r="L29" s="2">
        <v>130278</v>
      </c>
    </row>
    <row r="32" spans="2:12" x14ac:dyDescent="0.3">
      <c r="B32" s="1" t="s">
        <v>11</v>
      </c>
      <c r="C32" s="3" t="s">
        <v>2</v>
      </c>
      <c r="D32" s="4" t="s">
        <v>4</v>
      </c>
      <c r="E32" s="5" t="s">
        <v>5</v>
      </c>
      <c r="F32" s="6" t="s">
        <v>6</v>
      </c>
      <c r="H32" s="3" t="s">
        <v>13</v>
      </c>
      <c r="I32" s="4" t="s">
        <v>15</v>
      </c>
      <c r="J32" s="5" t="s">
        <v>17</v>
      </c>
      <c r="K32" s="6" t="s">
        <v>19</v>
      </c>
    </row>
    <row r="33" spans="2:11" x14ac:dyDescent="0.3">
      <c r="B33">
        <v>2020</v>
      </c>
      <c r="C33" s="2">
        <v>35046</v>
      </c>
      <c r="D33" s="2">
        <v>15441</v>
      </c>
      <c r="E33" s="2">
        <v>22281</v>
      </c>
      <c r="F33" s="2">
        <v>15115</v>
      </c>
      <c r="H33">
        <v>66064</v>
      </c>
      <c r="I33">
        <v>60675</v>
      </c>
      <c r="J33">
        <v>65124</v>
      </c>
      <c r="K33">
        <v>38747</v>
      </c>
    </row>
    <row r="34" spans="2:11" x14ac:dyDescent="0.3">
      <c r="B34">
        <v>2021</v>
      </c>
      <c r="C34" s="2">
        <v>55396</v>
      </c>
      <c r="D34" s="2">
        <v>20622</v>
      </c>
      <c r="E34" s="2">
        <v>24640</v>
      </c>
      <c r="F34" s="2">
        <v>18567</v>
      </c>
      <c r="H34">
        <v>46327</v>
      </c>
      <c r="I34">
        <v>76740</v>
      </c>
      <c r="J34">
        <v>91652</v>
      </c>
      <c r="K34">
        <v>57683</v>
      </c>
    </row>
    <row r="35" spans="2:11" x14ac:dyDescent="0.3">
      <c r="B35">
        <v>2022</v>
      </c>
      <c r="C35" s="2">
        <v>58321</v>
      </c>
      <c r="D35" s="2">
        <v>23886</v>
      </c>
      <c r="E35" s="2">
        <v>31485</v>
      </c>
      <c r="F35" s="2">
        <v>31431</v>
      </c>
      <c r="H35">
        <v>46752</v>
      </c>
      <c r="I35">
        <v>89035</v>
      </c>
      <c r="J35">
        <v>91495</v>
      </c>
      <c r="K35">
        <v>50475</v>
      </c>
    </row>
    <row r="36" spans="2:11" x14ac:dyDescent="0.3">
      <c r="B36">
        <v>2023</v>
      </c>
      <c r="C36" s="2">
        <v>52729</v>
      </c>
      <c r="D36" s="2">
        <v>28107</v>
      </c>
      <c r="E36" s="2">
        <v>32251</v>
      </c>
      <c r="F36" s="2">
        <v>27266</v>
      </c>
      <c r="H36">
        <v>84946</v>
      </c>
      <c r="I36">
        <v>87582</v>
      </c>
      <c r="J36">
        <v>101746</v>
      </c>
      <c r="K36">
        <v>71113</v>
      </c>
    </row>
    <row r="37" spans="2:11" x14ac:dyDescent="0.3">
      <c r="B37">
        <v>2024</v>
      </c>
      <c r="C37" s="2">
        <v>82999</v>
      </c>
      <c r="D37" s="2">
        <v>44477</v>
      </c>
      <c r="E37" s="2">
        <v>52535</v>
      </c>
      <c r="F37" s="2">
        <v>37256</v>
      </c>
      <c r="H37">
        <v>115877</v>
      </c>
      <c r="I37">
        <v>118548</v>
      </c>
      <c r="J37">
        <v>125299</v>
      </c>
      <c r="K37">
        <v>91328</v>
      </c>
    </row>
    <row r="38" spans="2:11" x14ac:dyDescent="0.3">
      <c r="B38">
        <v>2025</v>
      </c>
      <c r="C38" s="2">
        <v>131819</v>
      </c>
      <c r="D38" s="2">
        <v>64551</v>
      </c>
      <c r="E38" s="2">
        <v>91447</v>
      </c>
      <c r="F38" s="2">
        <v>69691</v>
      </c>
      <c r="H38">
        <v>142654</v>
      </c>
      <c r="I38">
        <v>136162</v>
      </c>
      <c r="J38">
        <v>164713</v>
      </c>
      <c r="K38">
        <v>115800</v>
      </c>
    </row>
    <row r="39" spans="2:11" x14ac:dyDescent="0.3">
      <c r="B39" t="s">
        <v>1</v>
      </c>
      <c r="C39" s="2">
        <v>200000</v>
      </c>
      <c r="D39" s="2">
        <v>150000</v>
      </c>
      <c r="E39" s="2">
        <v>180000</v>
      </c>
      <c r="F39" s="2">
        <v>125000</v>
      </c>
      <c r="H39">
        <v>182508</v>
      </c>
      <c r="I39">
        <v>170989</v>
      </c>
      <c r="J39">
        <v>194777</v>
      </c>
      <c r="K39">
        <v>130278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2026-02-06T03:23:17Z</dcterms:created>
  <dcterms:modified xsi:type="dcterms:W3CDTF">2026-03-30T07:13:15Z</dcterms:modified>
</cp:coreProperties>
</file>