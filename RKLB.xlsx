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EC6601CE-5FD7-4FF4-B821-C026EC7F39CC}" xr6:coauthVersionLast="47" xr6:coauthVersionMax="47" xr10:uidLastSave="{00000000-0000-0000-0000-000000000000}"/>
  <bookViews>
    <workbookView xWindow="28800" yWindow="528" windowWidth="32016" windowHeight="15900" xr2:uid="{96561F6E-F2AE-4F69-BF36-4A6BA4F33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H7" i="1"/>
  <c r="H9" i="1"/>
  <c r="G9" i="1"/>
  <c r="S5" i="1"/>
  <c r="S7" i="1" s="1"/>
  <c r="R5" i="1"/>
  <c r="R7" i="1" s="1"/>
  <c r="Q5" i="1"/>
  <c r="Q7" i="1" s="1"/>
  <c r="P5" i="1"/>
  <c r="P7" i="1" s="1"/>
  <c r="O5" i="1"/>
  <c r="O7" i="1" s="1"/>
  <c r="N5" i="1"/>
  <c r="N7" i="1" s="1"/>
  <c r="M5" i="1"/>
  <c r="M7" i="1" s="1"/>
  <c r="L5" i="1"/>
  <c r="L7" i="1" s="1"/>
  <c r="K5" i="1"/>
  <c r="K7" i="1" s="1"/>
  <c r="D8" i="1"/>
  <c r="D7" i="1"/>
  <c r="E7" i="1"/>
  <c r="F7" i="1"/>
  <c r="F8" i="1"/>
  <c r="G7" i="1"/>
  <c r="H8" i="1"/>
  <c r="G8" i="1"/>
  <c r="E8" i="1"/>
  <c r="E10" i="1" s="1"/>
  <c r="I6" i="1"/>
  <c r="I8" i="1" s="1"/>
  <c r="I10" i="1"/>
  <c r="I4" i="1"/>
  <c r="I5" i="1" s="1"/>
  <c r="I7" i="1" s="1"/>
  <c r="J3" i="1"/>
  <c r="J5" i="1" s="1"/>
  <c r="I9" i="1" l="1"/>
  <c r="F10" i="1"/>
  <c r="F9" i="1" s="1"/>
  <c r="E9" i="1"/>
  <c r="J7" i="1"/>
  <c r="J6" i="1"/>
  <c r="D10" i="1"/>
  <c r="J10" i="1"/>
  <c r="K10" i="1" l="1"/>
  <c r="D9" i="1"/>
  <c r="K6" i="1"/>
  <c r="J8" i="1"/>
  <c r="J9" i="1" s="1"/>
  <c r="L10" i="1" l="1"/>
  <c r="L6" i="1"/>
  <c r="K8" i="1"/>
  <c r="K9" i="1" s="1"/>
  <c r="M10" i="1" l="1"/>
  <c r="M6" i="1"/>
  <c r="L8" i="1"/>
  <c r="L9" i="1" s="1"/>
  <c r="N10" i="1" l="1"/>
  <c r="N6" i="1"/>
  <c r="M8" i="1"/>
  <c r="M9" i="1" s="1"/>
  <c r="O10" i="1" l="1"/>
  <c r="O6" i="1"/>
  <c r="N8" i="1"/>
  <c r="N9" i="1" s="1"/>
  <c r="P10" i="1" l="1"/>
  <c r="P6" i="1"/>
  <c r="O8" i="1"/>
  <c r="O9" i="1" s="1"/>
  <c r="Q10" i="1" l="1"/>
  <c r="P8" i="1"/>
  <c r="P9" i="1" s="1"/>
  <c r="Q6" i="1"/>
  <c r="R10" i="1" l="1"/>
  <c r="R6" i="1"/>
  <c r="Q8" i="1"/>
  <c r="Q9" i="1" s="1"/>
  <c r="S10" i="1" l="1"/>
  <c r="S6" i="1"/>
  <c r="S8" i="1" s="1"/>
  <c r="R16" i="1" s="1"/>
  <c r="R17" i="1" s="1"/>
  <c r="D16" i="1" s="1"/>
  <c r="Y21" i="1" s="1"/>
  <c r="R8" i="1"/>
  <c r="R9" i="1" s="1"/>
  <c r="Y20" i="1" l="1"/>
  <c r="S9" i="1"/>
  <c r="I13" i="1"/>
  <c r="D13" i="1" s="1"/>
  <c r="D14" i="1"/>
  <c r="D15" i="1" s="1"/>
</calcChain>
</file>

<file path=xl/sharedStrings.xml><?xml version="1.0" encoding="utf-8"?>
<sst xmlns="http://schemas.openxmlformats.org/spreadsheetml/2006/main" count="34" uniqueCount="34">
  <si>
    <t>Electron Launches</t>
  </si>
  <si>
    <t>Neutron Launches</t>
  </si>
  <si>
    <t>Launch Revenue</t>
  </si>
  <si>
    <t>Space Systems Revenue</t>
  </si>
  <si>
    <t>Free Cash Flow</t>
  </si>
  <si>
    <t>$ millions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</si>
  <si>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</si>
  <si>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</si>
  <si>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</si>
  <si>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</si>
  <si>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</si>
  <si>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</si>
  <si>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</si>
  <si>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</si>
  <si>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</si>
  <si>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</si>
  <si>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</si>
  <si>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2036E</t>
  </si>
  <si>
    <t>2037E</t>
  </si>
  <si>
    <t>2038E</t>
  </si>
  <si>
    <t>2039E</t>
  </si>
  <si>
    <t>2040E</t>
  </si>
  <si>
    <t>Implied Market Cap</t>
  </si>
  <si>
    <t>NPV of DCF till 2040</t>
  </si>
  <si>
    <t>Valuation</t>
  </si>
  <si>
    <t>Space Systems FCF</t>
  </si>
  <si>
    <t>Launch FCF</t>
  </si>
  <si>
    <t>Discount Rate</t>
  </si>
  <si>
    <t>PV Terminal Value</t>
  </si>
  <si>
    <t>Terminal Value (2.5% growth)</t>
  </si>
  <si>
    <t>2030 Revenue per Electron Launch</t>
  </si>
  <si>
    <t>2030 Revenue per Neutron Launch</t>
  </si>
  <si>
    <t>Current Rev Streams</t>
  </si>
  <si>
    <t>Implied New FCF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</si>
</sst>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7" formatCode="&quot;$&quot;#,##0.00_);\(&quot;$&quot;#,##0.00\)"/>
    <numFmt numFmtId="8" formatCode="&quot;$&quot;#,##0.00_);[Red]\(&quot;$&quot;#,##0.00\)"/>
  </numFmts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5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5" fontId="0" fillId="0" borderId="3" xfId="0" applyNumberFormat="1" applyBorder="1" applyAlignment="1">
      <alignment horizontal="center"/>
    </xf>
    <xf numFmtId="5" fontId="0" fillId="0" borderId="0" xfId="0" applyNumberFormat="1" applyAlignment="1">
      <alignment horizontal="center"/>
    </xf>
    <xf numFmtId="5" fontId="0" fillId="0" borderId="4" xfId="0" applyNumberFormat="1" applyBorder="1" applyAlignment="1">
      <alignment horizontal="center"/>
    </xf>
    <xf numFmtId="5" fontId="0" fillId="0" borderId="5" xfId="0" applyNumberFormat="1" applyBorder="1" applyAlignment="1">
      <alignment horizontal="center"/>
    </xf>
    <xf numFmtId="5" fontId="0" fillId="0" borderId="7" xfId="0" applyNumberFormat="1" applyBorder="1" applyAlignment="1">
      <alignment horizontal="center"/>
    </xf>
    <xf numFmtId="5" fontId="0" fillId="0" borderId="6" xfId="0" applyNumberForma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1" xfId="0" applyBorder="1"/>
    <xf numFmtId="0" fontId="0" fillId="0" borderId="7" xfId="0" applyBorder="1"/>
    <xf numFmtId="8" fontId="0" fillId="0" borderId="0" xfId="0" applyNumberFormat="1"/>
    <xf numFmtId="7" fontId="0" fillId="0" borderId="0" xfId="0" applyNumberFormat="1"/>
    <xf numFmtId="0" fontId="0" fillId="0" borderId="3" xfId="0" applyBorder="1"/>
    <xf numFmtId="8" fontId="0" fillId="0" borderId="4" xfId="0" applyNumberFormat="1" applyBorder="1"/>
    <xf numFmtId="0" fontId="0" fillId="0" borderId="5" xfId="0" applyBorder="1"/>
    <xf numFmtId="8" fontId="0" fillId="0" borderId="6" xfId="0" applyNumberFormat="1" applyBorder="1"/>
    <xf numFmtId="0" fontId="0" fillId="0" borderId="1" xfId="0" applyBorder="1"/>
    <xf numFmtId="5" fontId="0" fillId="0" borderId="2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10" fontId="0" fillId="0" borderId="10" xfId="0" applyNumberFormat="1" applyBorder="1" applyAlignment="1">
      <alignment horizontal="center"/>
    </xf>
    <xf numFmtId="7" fontId="0" fillId="0" borderId="10" xfId="0" applyNumberFormat="1" applyBorder="1" applyAlignment="1">
      <alignment horizontal="center"/>
    </xf>
    <xf numFmtId="8" fontId="0" fillId="0" borderId="10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C802-A606-4EB5-A260-F66B0311AB96}">
  <dimension ref="B2:Y21"/>
  <sheetViews>
    <sheetView showGridLines="0" tabSelected="1" workbookViewId="0">
      <selection activeCell="N23" sqref="N23"/>
    </sheetView>
  </sheetViews>
  <sheetFormatPr defaultColWidth="11.69921875" defaultRowHeight="18" customHeight="1" x14ac:dyDescent="0.3"/>
  <cols>
    <col min="14" max="14" width="12.09765625" bestFit="1" customWidth="1"/>
  </cols>
  <sheetData>
    <row r="2" spans="2:21" ht="18" customHeight="1" x14ac:dyDescent="0.3">
      <c r="B2" s="4" t="s">
        <v>5</v>
      </c>
      <c r="C2" s="5"/>
      <c r="D2" s="15" t="s">
        <v>6</v>
      </c>
      <c r="E2" s="15" t="s">
        <v>7</v>
      </c>
      <c r="F2" s="15" t="s">
        <v>8</v>
      </c>
      <c r="G2" s="15" t="s">
        <v>9</v>
      </c>
      <c r="H2" s="17" t="s">
        <v>10</v>
      </c>
      <c r="I2" s="17" t="s">
        <v>11</v>
      </c>
      <c r="J2" s="17" t="s">
        <v>12</v>
      </c>
      <c r="K2" s="17" t="s">
        <v>13</v>
      </c>
      <c r="L2" s="17" t="s">
        <v>14</v>
      </c>
      <c r="M2" s="17" t="s">
        <v>15</v>
      </c>
      <c r="N2" s="17" t="s">
        <v>16</v>
      </c>
      <c r="O2" s="17" t="s">
        <v>17</v>
      </c>
      <c r="P2" s="17" t="s">
        <v>18</v>
      </c>
      <c r="Q2" s="17" t="s">
        <v>19</v>
      </c>
      <c r="R2" s="17" t="s">
        <v>20</v>
      </c>
      <c r="S2" s="17" t="s">
        <v>21</v>
      </c>
    </row>
    <row r="3" spans="2:21" ht="18" customHeight="1" x14ac:dyDescent="0.3">
      <c r="B3" s="34" t="s">
        <v>0</v>
      </c>
      <c r="C3" s="35"/>
      <c r="D3" s="6">
        <v>22</v>
      </c>
      <c r="E3" s="7">
        <v>28</v>
      </c>
      <c r="F3" s="7">
        <v>32</v>
      </c>
      <c r="G3" s="7">
        <v>36</v>
      </c>
      <c r="H3" s="8">
        <v>38</v>
      </c>
      <c r="I3" s="8">
        <v>40</v>
      </c>
      <c r="J3" s="8">
        <f>I3*1.05</f>
        <v>42</v>
      </c>
      <c r="K3" s="8">
        <v>44</v>
      </c>
      <c r="L3" s="8">
        <v>45</v>
      </c>
      <c r="M3" s="8">
        <v>46</v>
      </c>
      <c r="N3" s="8">
        <v>47</v>
      </c>
      <c r="O3" s="8">
        <v>48</v>
      </c>
      <c r="P3" s="8">
        <v>49</v>
      </c>
      <c r="Q3" s="8">
        <v>50</v>
      </c>
      <c r="R3" s="8">
        <v>49</v>
      </c>
      <c r="S3" s="3">
        <v>48</v>
      </c>
    </row>
    <row r="4" spans="2:21" ht="18" customHeight="1" x14ac:dyDescent="0.3">
      <c r="B4" s="34" t="s">
        <v>1</v>
      </c>
      <c r="C4" s="35"/>
      <c r="D4" s="2">
        <v>1</v>
      </c>
      <c r="E4" s="8">
        <v>3</v>
      </c>
      <c r="F4" s="8">
        <v>5</v>
      </c>
      <c r="G4" s="8">
        <v>7</v>
      </c>
      <c r="H4" s="8">
        <v>10</v>
      </c>
      <c r="I4" s="8">
        <f>H4*1.4</f>
        <v>14</v>
      </c>
      <c r="J4" s="8">
        <v>18</v>
      </c>
      <c r="K4" s="8">
        <v>24</v>
      </c>
      <c r="L4" s="8">
        <v>27</v>
      </c>
      <c r="M4" s="8">
        <v>30</v>
      </c>
      <c r="N4" s="8">
        <v>33</v>
      </c>
      <c r="O4" s="8">
        <v>34</v>
      </c>
      <c r="P4" s="8">
        <v>35</v>
      </c>
      <c r="Q4" s="8">
        <v>35</v>
      </c>
      <c r="R4" s="8">
        <v>35</v>
      </c>
      <c r="S4" s="3">
        <v>35</v>
      </c>
    </row>
    <row r="5" spans="2:21" ht="18" customHeight="1" x14ac:dyDescent="0.3">
      <c r="B5" s="34" t="s">
        <v>2</v>
      </c>
      <c r="C5" s="35"/>
      <c r="D5" s="9">
        <v>172</v>
      </c>
      <c r="E5" s="10">
        <v>380</v>
      </c>
      <c r="F5" s="10">
        <v>531</v>
      </c>
      <c r="G5" s="10">
        <v>691</v>
      </c>
      <c r="H5" s="10">
        <v>873</v>
      </c>
      <c r="I5" s="10">
        <f>(I3*$I$14)+(I4*$I$15)</f>
        <v>1200</v>
      </c>
      <c r="J5" s="10">
        <f>(J3*$I$14)+(J4*$I$15)*1.025</f>
        <v>1485</v>
      </c>
      <c r="K5" s="10">
        <f>(K3*$I$14)+(K4*$I$15)*1.025^2</f>
        <v>1908.8999999999999</v>
      </c>
      <c r="L5" s="10">
        <f>(L3*$I$14)+(L4*$I$15)*1.025^3</f>
        <v>2149.5628124999998</v>
      </c>
      <c r="M5" s="10">
        <f>(M3*$I$14)+(M4*$I$15)*1.025^4</f>
        <v>2400.8632031249995</v>
      </c>
      <c r="N5" s="10">
        <f>(N3*$I$14)+(N4*$I$15)*1.025^5</f>
        <v>2663.1882615234367</v>
      </c>
      <c r="O5" s="10">
        <f>(O3*$I$14)+(O4*$I$15)*1.025^6</f>
        <v>2797.7745731542959</v>
      </c>
      <c r="P5" s="10">
        <f>(P3*$I$14)+(P4*$I$15)*1.025^7</f>
        <v>2937.2400827032461</v>
      </c>
      <c r="Q5" s="10">
        <f>(Q3*$I$14)+(Q4*$I$15)*1.025^7</f>
        <v>2946.2400827032461</v>
      </c>
      <c r="R5" s="10">
        <f>(R3*$I$14)+(R4*$I$15)*1.025^8</f>
        <v>2999.6460847708272</v>
      </c>
      <c r="S5" s="11">
        <f>(S3*$I$14)+(S4*$I$15)*1.025^9</f>
        <v>3054.6122368900974</v>
      </c>
      <c r="U5" s="21"/>
    </row>
    <row r="6" spans="2:21" ht="18" customHeight="1" x14ac:dyDescent="0.3">
      <c r="B6" s="34" t="s">
        <v>3</v>
      </c>
      <c r="C6" s="35"/>
      <c r="D6" s="9">
        <v>408</v>
      </c>
      <c r="E6" s="10">
        <v>541</v>
      </c>
      <c r="F6" s="10">
        <v>726</v>
      </c>
      <c r="G6" s="10">
        <v>939</v>
      </c>
      <c r="H6" s="10">
        <v>1224</v>
      </c>
      <c r="I6" s="10">
        <f>H6*1.28</f>
        <v>1566.72</v>
      </c>
      <c r="J6" s="10">
        <f>I6*1.25</f>
        <v>1958.4</v>
      </c>
      <c r="K6" s="10">
        <f>J6*1.2</f>
        <v>2350.08</v>
      </c>
      <c r="L6" s="10">
        <f>K6*1.15</f>
        <v>2702.5919999999996</v>
      </c>
      <c r="M6" s="10">
        <f>L6*1.1</f>
        <v>2972.8512000000001</v>
      </c>
      <c r="N6" s="10">
        <f>M6*1.09</f>
        <v>3240.4078080000004</v>
      </c>
      <c r="O6" s="10">
        <f>N6*1.08</f>
        <v>3499.6404326400007</v>
      </c>
      <c r="P6" s="10">
        <f>O6*1.05</f>
        <v>3674.6224542720011</v>
      </c>
      <c r="Q6" s="10">
        <f t="shared" ref="Q6:S6" si="0">P6*1.05</f>
        <v>3858.3535769856012</v>
      </c>
      <c r="R6" s="10">
        <f t="shared" si="0"/>
        <v>4051.2712558348812</v>
      </c>
      <c r="S6" s="11">
        <f t="shared" si="0"/>
        <v>4253.8348186266257</v>
      </c>
    </row>
    <row r="7" spans="2:21" ht="18" customHeight="1" x14ac:dyDescent="0.3">
      <c r="B7" s="34" t="s">
        <v>26</v>
      </c>
      <c r="C7" s="35"/>
      <c r="D7" s="9">
        <f>D6*-0.25</f>
        <v>-102</v>
      </c>
      <c r="E7" s="10">
        <f>E5*-0.01</f>
        <v>-3.8000000000000003</v>
      </c>
      <c r="F7" s="10">
        <f>F5*0.12</f>
        <v>63.72</v>
      </c>
      <c r="G7" s="10">
        <f>G5*0.07</f>
        <v>48.370000000000005</v>
      </c>
      <c r="H7" s="10">
        <f>H5*0.08</f>
        <v>69.84</v>
      </c>
      <c r="I7" s="10">
        <f>I5*0.1</f>
        <v>120</v>
      </c>
      <c r="J7" s="10">
        <f>J5*0.12</f>
        <v>178.2</v>
      </c>
      <c r="K7" s="10">
        <f>K5*0.14</f>
        <v>267.24599999999998</v>
      </c>
      <c r="L7" s="10">
        <f>L5*0.15</f>
        <v>322.43442187499994</v>
      </c>
      <c r="M7" s="10">
        <f>M5*0.15</f>
        <v>360.12948046874993</v>
      </c>
      <c r="N7" s="10">
        <f>N5*0.15</f>
        <v>399.47823922851552</v>
      </c>
      <c r="O7" s="10">
        <f>O5*0.15</f>
        <v>419.66618597314437</v>
      </c>
      <c r="P7" s="10">
        <f>P5*0.15</f>
        <v>440.58601240548688</v>
      </c>
      <c r="Q7" s="10">
        <f>Q5*0.16</f>
        <v>471.39841323251937</v>
      </c>
      <c r="R7" s="10">
        <f>R5*0.17</f>
        <v>509.93983441104064</v>
      </c>
      <c r="S7" s="11">
        <f>S5*0.18</f>
        <v>549.83020264021752</v>
      </c>
    </row>
    <row r="8" spans="2:21" ht="18" customHeight="1" x14ac:dyDescent="0.3">
      <c r="B8" s="34" t="s">
        <v>25</v>
      </c>
      <c r="C8" s="35"/>
      <c r="D8" s="9">
        <f>D6*-0.12</f>
        <v>-48.96</v>
      </c>
      <c r="E8" s="10">
        <f>E6*0.05</f>
        <v>27.05</v>
      </c>
      <c r="F8" s="10">
        <f>F6*0.13</f>
        <v>94.38000000000001</v>
      </c>
      <c r="G8" s="10">
        <f>G6*0.1</f>
        <v>93.9</v>
      </c>
      <c r="H8" s="10">
        <f>H6*0.12</f>
        <v>146.88</v>
      </c>
      <c r="I8" s="10">
        <f>I6*0.15</f>
        <v>235.00799999999998</v>
      </c>
      <c r="J8" s="10">
        <f>J6*0.18</f>
        <v>352.512</v>
      </c>
      <c r="K8" s="10">
        <f>K6*0.2</f>
        <v>470.01600000000002</v>
      </c>
      <c r="L8" s="10">
        <f>L6*0.22</f>
        <v>594.5702399999999</v>
      </c>
      <c r="M8" s="10">
        <f>M6*0.23</f>
        <v>683.75577600000008</v>
      </c>
      <c r="N8" s="10">
        <f>N6*0.24</f>
        <v>777.69787392000012</v>
      </c>
      <c r="O8" s="10">
        <f>O6*0.25</f>
        <v>874.91010816000016</v>
      </c>
      <c r="P8" s="10">
        <f t="shared" ref="P8:S8" si="1">P6*0.25</f>
        <v>918.65561356800026</v>
      </c>
      <c r="Q8" s="10">
        <f t="shared" si="1"/>
        <v>964.5883942464003</v>
      </c>
      <c r="R8" s="10">
        <f t="shared" si="1"/>
        <v>1012.8178139587203</v>
      </c>
      <c r="S8" s="11">
        <f t="shared" si="1"/>
        <v>1063.4587046566564</v>
      </c>
    </row>
    <row r="9" spans="2:21" ht="18" customHeight="1" x14ac:dyDescent="0.3">
      <c r="B9" s="36" t="s">
        <v>33</v>
      </c>
      <c r="C9" s="37"/>
      <c r="D9" s="12">
        <f>D8+D7-D10</f>
        <v>0</v>
      </c>
      <c r="E9" s="13">
        <f t="shared" ref="E9:F9" si="2">E8+E7-E10</f>
        <v>0</v>
      </c>
      <c r="F9" s="13">
        <f t="shared" si="2"/>
        <v>0</v>
      </c>
      <c r="G9" s="13">
        <f t="shared" ref="G9:R9" si="3">G10-G8-G7</f>
        <v>190.73</v>
      </c>
      <c r="H9" s="13">
        <f t="shared" si="3"/>
        <v>346.28</v>
      </c>
      <c r="I9" s="13">
        <f t="shared" si="3"/>
        <v>545.79200000000014</v>
      </c>
      <c r="J9" s="13">
        <f t="shared" si="3"/>
        <v>820.48800000000006</v>
      </c>
      <c r="K9" s="13">
        <f t="shared" si="3"/>
        <v>1221.9780000000001</v>
      </c>
      <c r="L9" s="13">
        <f t="shared" si="3"/>
        <v>1825.9313381249997</v>
      </c>
      <c r="M9" s="13">
        <f t="shared" si="3"/>
        <v>2659.0783435312501</v>
      </c>
      <c r="N9" s="13">
        <f t="shared" si="3"/>
        <v>3636.676566851484</v>
      </c>
      <c r="O9" s="13">
        <f t="shared" si="3"/>
        <v>4722.7395558668559</v>
      </c>
      <c r="P9" s="13">
        <f t="shared" si="3"/>
        <v>5861.5373940265126</v>
      </c>
      <c r="Q9" s="13">
        <f t="shared" si="3"/>
        <v>6867.9090655210794</v>
      </c>
      <c r="R9" s="13">
        <f t="shared" si="3"/>
        <v>7611.5278119302393</v>
      </c>
      <c r="S9" s="14">
        <f>S10-S8-S7</f>
        <v>7977.7108260181267</v>
      </c>
    </row>
    <row r="10" spans="2:21" ht="18" customHeight="1" x14ac:dyDescent="0.3">
      <c r="B10" s="36" t="s">
        <v>4</v>
      </c>
      <c r="C10" s="37"/>
      <c r="D10" s="12">
        <f>D7+D8</f>
        <v>-150.96</v>
      </c>
      <c r="E10" s="13">
        <f>E8+E7</f>
        <v>23.25</v>
      </c>
      <c r="F10" s="13">
        <f>F7+F8</f>
        <v>158.10000000000002</v>
      </c>
      <c r="G10" s="13">
        <v>333</v>
      </c>
      <c r="H10" s="13">
        <v>563</v>
      </c>
      <c r="I10" s="13">
        <f>H10*1.6</f>
        <v>900.80000000000007</v>
      </c>
      <c r="J10" s="13">
        <f>I10*1.5</f>
        <v>1351.2</v>
      </c>
      <c r="K10" s="13">
        <f>J10*1.45</f>
        <v>1959.24</v>
      </c>
      <c r="L10" s="13">
        <f>K10*1.4</f>
        <v>2742.9359999999997</v>
      </c>
      <c r="M10" s="13">
        <f>L10*1.35</f>
        <v>3702.9636</v>
      </c>
      <c r="N10" s="13">
        <f>M10*1.3</f>
        <v>4813.85268</v>
      </c>
      <c r="O10" s="13">
        <f>N10*1.25</f>
        <v>6017.31585</v>
      </c>
      <c r="P10" s="13">
        <f>O10*1.2</f>
        <v>7220.7790199999999</v>
      </c>
      <c r="Q10" s="13">
        <f>P10*1.15</f>
        <v>8303.8958729999995</v>
      </c>
      <c r="R10" s="13">
        <f>Q10*1.1</f>
        <v>9134.2854602999996</v>
      </c>
      <c r="S10" s="14">
        <f>R10*1.05</f>
        <v>9590.9997333150004</v>
      </c>
    </row>
    <row r="12" spans="2:21" ht="18" customHeight="1" x14ac:dyDescent="0.3">
      <c r="B12" s="33" t="s">
        <v>24</v>
      </c>
      <c r="C12" s="15"/>
      <c r="D12" s="16"/>
      <c r="F12" s="28" t="s">
        <v>27</v>
      </c>
      <c r="G12" s="29"/>
      <c r="H12" s="29"/>
      <c r="I12" s="30">
        <v>0.12</v>
      </c>
    </row>
    <row r="13" spans="2:21" ht="18" customHeight="1" x14ac:dyDescent="0.3">
      <c r="B13" s="22" t="s">
        <v>28</v>
      </c>
      <c r="D13" s="23">
        <f>PV(I12, 15, 0, I13)*-1</f>
        <v>18905.745135675235</v>
      </c>
      <c r="F13" s="28" t="s">
        <v>29</v>
      </c>
      <c r="G13" s="29"/>
      <c r="H13" s="29"/>
      <c r="I13" s="31">
        <f>S10*(1+0.025)/(I12-0.025)</f>
        <v>103481.83922787236</v>
      </c>
    </row>
    <row r="14" spans="2:21" ht="18" customHeight="1" x14ac:dyDescent="0.3">
      <c r="B14" s="24" t="s">
        <v>23</v>
      </c>
      <c r="C14" s="19"/>
      <c r="D14" s="25">
        <f>NPV(I12,D10:S10)</f>
        <v>14083.267623397385</v>
      </c>
      <c r="F14" s="26" t="s">
        <v>30</v>
      </c>
      <c r="G14" s="18"/>
      <c r="H14" s="18"/>
      <c r="I14" s="27">
        <v>9</v>
      </c>
    </row>
    <row r="15" spans="2:21" ht="18" customHeight="1" x14ac:dyDescent="0.3">
      <c r="B15" s="24" t="s">
        <v>22</v>
      </c>
      <c r="C15" s="19"/>
      <c r="D15" s="25">
        <f>D13+D14</f>
        <v>32989.012759072619</v>
      </c>
      <c r="F15" s="24" t="s">
        <v>31</v>
      </c>
      <c r="G15" s="19"/>
      <c r="H15" s="19"/>
      <c r="I15" s="14">
        <v>60</v>
      </c>
      <c r="R15" s="1">
        <f>S8+S7</f>
        <v>1613.288907296874</v>
      </c>
    </row>
    <row r="16" spans="2:21" ht="18" customHeight="1" x14ac:dyDescent="0.3">
      <c r="B16" s="28" t="s">
        <v>32</v>
      </c>
      <c r="C16" s="29"/>
      <c r="D16" s="32">
        <f>NPV(I12,D8:S8)+NPV(I12,D7:S7)+R17</f>
        <v>6591.6505017691761</v>
      </c>
      <c r="R16" s="21">
        <f>R15*(1+0.025)/(I12-0.025)</f>
        <v>17406.538210308376</v>
      </c>
    </row>
    <row r="17" spans="18:25" ht="18" customHeight="1" x14ac:dyDescent="0.3">
      <c r="R17" s="21">
        <f>PV(I12, 15, 0, R16)*-1</f>
        <v>3180.1094525757667</v>
      </c>
    </row>
    <row r="20" spans="18:25" ht="18" customHeight="1" x14ac:dyDescent="0.3">
      <c r="Y20" s="21">
        <f>S10*4</f>
        <v>38363.998933260002</v>
      </c>
    </row>
    <row r="21" spans="18:25" ht="18" customHeight="1" x14ac:dyDescent="0.3">
      <c r="Y21" s="20">
        <f>D16/534</f>
        <v>12.343914797320554</v>
      </c>
    </row>
  </sheetData>
  <mergeCells count="8">
    <mergeCell ref="B9:C9"/>
    <mergeCell ref="B10:C10"/>
    <mergeCell ref="B8:C8"/>
    <mergeCell ref="B3:C3"/>
    <mergeCell ref="B4:C4"/>
    <mergeCell ref="B5:C5"/>
    <mergeCell ref="B6:C6"/>
    <mergeCell ref="B7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2025-12-16T06:30:24Z</dcterms:created>
  <dcterms:modified xsi:type="dcterms:W3CDTF">2026-01-04T04:03:26Z</dcterms:modified>
</cp:coreProperties>
</file>