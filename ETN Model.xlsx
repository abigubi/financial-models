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erem\OneDrive\Masaüstü\Models\"/>
    </mc:Choice>
  </mc:AlternateContent>
  <xr:revisionPtr revIDLastSave="0" documentId="13_ncr:1_{E13A27CE-268D-4676-9869-4E75193E44C1}" xr6:coauthVersionLast="47" xr6:coauthVersionMax="47" xr10:uidLastSave="{00000000-0000-0000-0000-000000000000}"/>
  <bookViews>
    <workbookView xWindow="30360" yWindow="768" windowWidth="23016" windowHeight="12336" xr2:uid="{64BEE0EA-45A1-4490-9445-11F5F6D37C44}"/>
  </bookViews>
  <sheets>
    <sheet name="Main" sheetId="1" r:id="rId1"/>
    <sheet name="Segments" sheetId="3" r:id="rId2"/>
    <sheet name="Extra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1" l="1"/>
  <c r="P21" i="1"/>
  <c r="N27" i="1"/>
  <c r="P20" i="1"/>
  <c r="P19" i="1"/>
  <c r="R86" i="1"/>
  <c r="Q86" i="1"/>
  <c r="P86" i="1"/>
  <c r="O86" i="1"/>
  <c r="O63" i="1"/>
  <c r="M64" i="1"/>
  <c r="O87" i="1"/>
  <c r="N63" i="1"/>
  <c r="M63" i="1"/>
  <c r="M86" i="1" s="1"/>
  <c r="L63" i="1"/>
  <c r="L86" i="1"/>
  <c r="K63" i="1"/>
  <c r="J63" i="1"/>
  <c r="J64" i="1"/>
  <c r="O89" i="1"/>
  <c r="O90" i="1" s="1"/>
  <c r="K64" i="1"/>
  <c r="I64" i="1"/>
  <c r="H64" i="1"/>
  <c r="G64" i="1"/>
  <c r="F64" i="1"/>
  <c r="P10" i="1"/>
  <c r="N90" i="1"/>
  <c r="M90" i="1"/>
  <c r="L90" i="1"/>
  <c r="K90" i="1"/>
  <c r="K91" i="1" s="1"/>
  <c r="J90" i="1"/>
  <c r="J91" i="1" s="1"/>
  <c r="L89" i="1"/>
  <c r="M89" i="1" s="1"/>
  <c r="N89" i="1" s="1"/>
  <c r="K89" i="1"/>
  <c r="L91" i="1" l="1"/>
  <c r="P89" i="1"/>
  <c r="L64" i="1"/>
  <c r="N86" i="1" l="1"/>
  <c r="N64" i="1"/>
  <c r="P90" i="1"/>
  <c r="Q89" i="1"/>
  <c r="P63" i="1" l="1"/>
  <c r="P87" i="1" s="1"/>
  <c r="O64" i="1"/>
  <c r="R89" i="1"/>
  <c r="R90" i="1" s="1"/>
  <c r="Q90" i="1"/>
  <c r="Q63" i="1" l="1"/>
  <c r="Q87" i="1" s="1"/>
  <c r="P64" i="1"/>
  <c r="O91" i="1"/>
  <c r="R63" i="1" l="1"/>
  <c r="R87" i="1" s="1"/>
  <c r="P91" i="1"/>
  <c r="Q64" i="1"/>
  <c r="Q91" i="1" l="1"/>
  <c r="R64" i="1"/>
  <c r="P8" i="1" l="1"/>
  <c r="P9" i="1" s="1"/>
  <c r="R91" i="1"/>
  <c r="P12" i="3" l="1"/>
  <c r="O12" i="3"/>
  <c r="N12" i="3"/>
  <c r="M12" i="3"/>
  <c r="L12" i="3"/>
  <c r="P9" i="3"/>
  <c r="O9" i="3"/>
  <c r="N9" i="3"/>
  <c r="M9" i="3"/>
  <c r="L9" i="3"/>
  <c r="P6" i="3"/>
  <c r="O6" i="3"/>
  <c r="N6" i="3"/>
  <c r="M6" i="3"/>
  <c r="L6" i="3"/>
  <c r="K12" i="3"/>
  <c r="J12" i="3"/>
  <c r="I12" i="3"/>
  <c r="H12" i="3"/>
  <c r="L13" i="3"/>
  <c r="G12" i="3"/>
  <c r="K9" i="3"/>
  <c r="K10" i="3" s="1"/>
  <c r="J9" i="3"/>
  <c r="I9" i="3"/>
  <c r="H9" i="3"/>
  <c r="G9" i="3"/>
  <c r="I13" i="3"/>
  <c r="H13" i="3"/>
  <c r="L10" i="3"/>
  <c r="I10" i="3"/>
  <c r="H10" i="3"/>
  <c r="M7" i="3"/>
  <c r="L7" i="3"/>
  <c r="K7" i="3"/>
  <c r="K6" i="3"/>
  <c r="J6" i="3"/>
  <c r="I6" i="3"/>
  <c r="H6" i="3"/>
  <c r="G6" i="3"/>
  <c r="N18" i="3"/>
  <c r="O15" i="3"/>
  <c r="P15" i="3" s="1"/>
  <c r="P18" i="3" s="1"/>
  <c r="P16" i="1"/>
  <c r="F15" i="1"/>
  <c r="G15" i="1" s="1"/>
  <c r="H15" i="1" s="1"/>
  <c r="I15" i="1" s="1"/>
  <c r="P13" i="3" l="1"/>
  <c r="O13" i="3"/>
  <c r="N13" i="3"/>
  <c r="M13" i="3"/>
  <c r="N10" i="3"/>
  <c r="M10" i="3"/>
  <c r="N7" i="3"/>
  <c r="J13" i="3"/>
  <c r="K13" i="3"/>
  <c r="J10" i="3"/>
  <c r="H7" i="3"/>
  <c r="J7" i="3"/>
  <c r="I7" i="3"/>
  <c r="O18" i="3"/>
  <c r="P10" i="3" l="1"/>
  <c r="O10" i="3"/>
  <c r="P7" i="3"/>
  <c r="O7" i="3"/>
  <c r="L79" i="3" l="1"/>
  <c r="K79" i="3"/>
  <c r="J79" i="3"/>
  <c r="I79" i="3"/>
  <c r="H79" i="3"/>
  <c r="G79" i="3"/>
  <c r="K78" i="3"/>
  <c r="J78" i="3"/>
  <c r="I78" i="3"/>
  <c r="H78" i="3"/>
  <c r="G78" i="3"/>
  <c r="K76" i="3"/>
  <c r="J76" i="3"/>
  <c r="I76" i="3"/>
  <c r="H76" i="3"/>
  <c r="G76" i="3"/>
  <c r="L77" i="3" s="1"/>
  <c r="K75" i="3"/>
  <c r="K80" i="3" s="1"/>
  <c r="J75" i="3"/>
  <c r="I75" i="3"/>
  <c r="H75" i="3"/>
  <c r="G75" i="3"/>
  <c r="L68" i="3"/>
  <c r="M68" i="3" s="1"/>
  <c r="N68" i="3" s="1"/>
  <c r="O68" i="3" s="1"/>
  <c r="P68" i="3" s="1"/>
  <c r="J40" i="3"/>
  <c r="J44" i="3" s="1"/>
  <c r="I80" i="1"/>
  <c r="H80" i="1"/>
  <c r="G80" i="1"/>
  <c r="F80" i="1"/>
  <c r="E80" i="1"/>
  <c r="I77" i="1"/>
  <c r="H77" i="1"/>
  <c r="G77" i="1"/>
  <c r="F77" i="1"/>
  <c r="E77" i="1"/>
  <c r="I74" i="1"/>
  <c r="H74" i="1"/>
  <c r="G74" i="1"/>
  <c r="F74" i="1"/>
  <c r="E74" i="1"/>
  <c r="N69" i="1"/>
  <c r="M69" i="1"/>
  <c r="L69" i="1"/>
  <c r="K69" i="1"/>
  <c r="J69" i="1"/>
  <c r="I69" i="1"/>
  <c r="H69" i="1"/>
  <c r="G69" i="1"/>
  <c r="G70" i="1" s="1"/>
  <c r="F69" i="1"/>
  <c r="E69" i="1"/>
  <c r="I66" i="1"/>
  <c r="H66" i="1"/>
  <c r="G66" i="1"/>
  <c r="F66" i="1"/>
  <c r="E66" i="1"/>
  <c r="H84" i="1"/>
  <c r="I59" i="1"/>
  <c r="H59" i="1"/>
  <c r="G59" i="1"/>
  <c r="F59" i="1"/>
  <c r="E59" i="1"/>
  <c r="H58" i="1"/>
  <c r="G58" i="1"/>
  <c r="F58" i="1"/>
  <c r="E58" i="1"/>
  <c r="H55" i="1"/>
  <c r="G55" i="1"/>
  <c r="F55" i="1"/>
  <c r="E55" i="1"/>
  <c r="I52" i="1"/>
  <c r="H52" i="1"/>
  <c r="G52" i="1"/>
  <c r="F52" i="1"/>
  <c r="E52" i="1"/>
  <c r="H51" i="1"/>
  <c r="G51" i="1"/>
  <c r="F51" i="1"/>
  <c r="E51" i="1"/>
  <c r="M57" i="3"/>
  <c r="N57" i="3" s="1"/>
  <c r="N79" i="3" s="1"/>
  <c r="K54" i="3"/>
  <c r="K58" i="3" s="1"/>
  <c r="J54" i="3"/>
  <c r="J58" i="3" s="1"/>
  <c r="I54" i="3"/>
  <c r="I58" i="3" s="1"/>
  <c r="H54" i="3"/>
  <c r="H58" i="3" s="1"/>
  <c r="G54" i="3"/>
  <c r="G58" i="3" s="1"/>
  <c r="L53" i="3"/>
  <c r="M53" i="3" s="1"/>
  <c r="N53" i="3" s="1"/>
  <c r="O53" i="3" s="1"/>
  <c r="P53" i="3" s="1"/>
  <c r="L52" i="3"/>
  <c r="L43" i="3"/>
  <c r="M43" i="3" s="1"/>
  <c r="M78" i="3" s="1"/>
  <c r="K40" i="3"/>
  <c r="K44" i="3" s="1"/>
  <c r="I40" i="3"/>
  <c r="I44" i="3" s="1"/>
  <c r="H40" i="3"/>
  <c r="H44" i="3" s="1"/>
  <c r="G40" i="3"/>
  <c r="G44" i="3" s="1"/>
  <c r="L39" i="3"/>
  <c r="M39" i="3" s="1"/>
  <c r="N39" i="3" s="1"/>
  <c r="O39" i="3" s="1"/>
  <c r="P39" i="3" s="1"/>
  <c r="L38" i="3"/>
  <c r="M38" i="3" s="1"/>
  <c r="L31" i="3"/>
  <c r="M31" i="3" s="1"/>
  <c r="M76" i="3" s="1"/>
  <c r="N77" i="3" s="1"/>
  <c r="K28" i="3"/>
  <c r="K32" i="3" s="1"/>
  <c r="J28" i="3"/>
  <c r="J32" i="3" s="1"/>
  <c r="I28" i="3"/>
  <c r="I32" i="3" s="1"/>
  <c r="H28" i="3"/>
  <c r="H32" i="3" s="1"/>
  <c r="G28" i="3"/>
  <c r="G32" i="3" s="1"/>
  <c r="L27" i="3"/>
  <c r="M27" i="3" s="1"/>
  <c r="N27" i="3" s="1"/>
  <c r="O27" i="3" s="1"/>
  <c r="P27" i="3" s="1"/>
  <c r="L26" i="3"/>
  <c r="L25" i="3"/>
  <c r="M25" i="3" s="1"/>
  <c r="N25" i="3" s="1"/>
  <c r="O25" i="3" s="1"/>
  <c r="L75" i="3"/>
  <c r="K19" i="3"/>
  <c r="J19" i="3"/>
  <c r="I19" i="3"/>
  <c r="H66" i="3"/>
  <c r="E72" i="1" l="1"/>
  <c r="G78" i="1"/>
  <c r="H78" i="1"/>
  <c r="I78" i="1"/>
  <c r="H75" i="1"/>
  <c r="E78" i="1"/>
  <c r="G72" i="1"/>
  <c r="F72" i="1"/>
  <c r="F78" i="1"/>
  <c r="L54" i="3"/>
  <c r="L70" i="3" s="1"/>
  <c r="J69" i="3"/>
  <c r="G80" i="3"/>
  <c r="H80" i="3"/>
  <c r="I80" i="3"/>
  <c r="J80" i="3"/>
  <c r="G69" i="3"/>
  <c r="H69" i="3"/>
  <c r="I69" i="3"/>
  <c r="M79" i="3"/>
  <c r="I66" i="3"/>
  <c r="J66" i="3"/>
  <c r="K66" i="3"/>
  <c r="G67" i="3"/>
  <c r="I67" i="3"/>
  <c r="H70" i="3"/>
  <c r="J67" i="3"/>
  <c r="I70" i="3"/>
  <c r="L78" i="3"/>
  <c r="K67" i="3"/>
  <c r="J70" i="3"/>
  <c r="K70" i="3"/>
  <c r="H67" i="3"/>
  <c r="H71" i="3" s="1"/>
  <c r="G70" i="3"/>
  <c r="K69" i="3"/>
  <c r="L76" i="3"/>
  <c r="M77" i="3" s="1"/>
  <c r="F75" i="1"/>
  <c r="H81" i="1"/>
  <c r="H70" i="1"/>
  <c r="I70" i="1"/>
  <c r="F87" i="1"/>
  <c r="I72" i="1"/>
  <c r="I87" i="1" s="1"/>
  <c r="H72" i="1"/>
  <c r="H87" i="1" s="1"/>
  <c r="G81" i="1"/>
  <c r="F84" i="1"/>
  <c r="I81" i="1"/>
  <c r="G84" i="1"/>
  <c r="E87" i="1"/>
  <c r="F70" i="1"/>
  <c r="E70" i="1"/>
  <c r="I75" i="1"/>
  <c r="I67" i="1"/>
  <c r="H67" i="1"/>
  <c r="G75" i="1"/>
  <c r="G87" i="1"/>
  <c r="G67" i="1"/>
  <c r="F67" i="1"/>
  <c r="F81" i="1"/>
  <c r="E84" i="1"/>
  <c r="E67" i="1"/>
  <c r="E75" i="1"/>
  <c r="E81" i="1"/>
  <c r="L66" i="3"/>
  <c r="H41" i="3"/>
  <c r="L40" i="3"/>
  <c r="L44" i="3" s="1"/>
  <c r="K41" i="3"/>
  <c r="H55" i="3"/>
  <c r="I55" i="3"/>
  <c r="J55" i="3"/>
  <c r="K55" i="3"/>
  <c r="J41" i="3"/>
  <c r="I41" i="3"/>
  <c r="N43" i="3"/>
  <c r="N78" i="3" s="1"/>
  <c r="L55" i="3"/>
  <c r="L58" i="3"/>
  <c r="N38" i="3"/>
  <c r="M40" i="3"/>
  <c r="O57" i="3"/>
  <c r="O79" i="3" s="1"/>
  <c r="M52" i="3"/>
  <c r="I16" i="3"/>
  <c r="J16" i="3"/>
  <c r="K16" i="3"/>
  <c r="I29" i="3"/>
  <c r="J29" i="3"/>
  <c r="K29" i="3"/>
  <c r="L28" i="3"/>
  <c r="H29" i="3"/>
  <c r="N31" i="3"/>
  <c r="N76" i="3" s="1"/>
  <c r="O77" i="3" s="1"/>
  <c r="P25" i="3"/>
  <c r="M26" i="3"/>
  <c r="N26" i="3" s="1"/>
  <c r="O26" i="3" s="1"/>
  <c r="P26" i="3" s="1"/>
  <c r="M75" i="3"/>
  <c r="H19" i="3"/>
  <c r="L16" i="3" l="1"/>
  <c r="L19" i="3"/>
  <c r="J71" i="3"/>
  <c r="M41" i="3"/>
  <c r="M69" i="3"/>
  <c r="M80" i="3"/>
  <c r="K42" i="1" s="1"/>
  <c r="K66" i="1" s="1"/>
  <c r="K71" i="3"/>
  <c r="L32" i="3"/>
  <c r="L67" i="3"/>
  <c r="I71" i="3"/>
  <c r="L41" i="3"/>
  <c r="L69" i="3"/>
  <c r="L71" i="3" s="1"/>
  <c r="L80" i="3"/>
  <c r="J42" i="1" s="1"/>
  <c r="J66" i="1" s="1"/>
  <c r="L29" i="3"/>
  <c r="M54" i="3"/>
  <c r="M70" i="3" s="1"/>
  <c r="N52" i="3"/>
  <c r="P57" i="3"/>
  <c r="P79" i="3" s="1"/>
  <c r="O38" i="3"/>
  <c r="N40" i="3"/>
  <c r="N44" i="3" s="1"/>
  <c r="M44" i="3"/>
  <c r="O43" i="3"/>
  <c r="O78" i="3" s="1"/>
  <c r="N75" i="3"/>
  <c r="N80" i="3" s="1"/>
  <c r="L42" i="1" s="1"/>
  <c r="L66" i="1" s="1"/>
  <c r="P28" i="3"/>
  <c r="P67" i="3" s="1"/>
  <c r="M28" i="3"/>
  <c r="M67" i="3" s="1"/>
  <c r="O31" i="3"/>
  <c r="O76" i="3" s="1"/>
  <c r="P77" i="3" s="1"/>
  <c r="O28" i="3"/>
  <c r="O67" i="3" s="1"/>
  <c r="N28" i="3"/>
  <c r="N29" i="3" l="1"/>
  <c r="N67" i="3"/>
  <c r="J70" i="1"/>
  <c r="J72" i="1"/>
  <c r="M16" i="3"/>
  <c r="M66" i="3"/>
  <c r="M71" i="3" s="1"/>
  <c r="L70" i="1"/>
  <c r="L72" i="1"/>
  <c r="N41" i="3"/>
  <c r="N69" i="3"/>
  <c r="J57" i="1"/>
  <c r="J50" i="1"/>
  <c r="J54" i="1"/>
  <c r="K72" i="1"/>
  <c r="K70" i="1"/>
  <c r="P43" i="3"/>
  <c r="P78" i="3" s="1"/>
  <c r="P38" i="3"/>
  <c r="P40" i="3" s="1"/>
  <c r="P69" i="3" s="1"/>
  <c r="O40" i="3"/>
  <c r="N54" i="3"/>
  <c r="N70" i="3" s="1"/>
  <c r="O52" i="3"/>
  <c r="M55" i="3"/>
  <c r="M58" i="3"/>
  <c r="N19" i="3"/>
  <c r="M29" i="3"/>
  <c r="M32" i="3"/>
  <c r="O29" i="3"/>
  <c r="O32" i="3"/>
  <c r="P31" i="3"/>
  <c r="N32" i="3"/>
  <c r="P29" i="3"/>
  <c r="O75" i="3"/>
  <c r="O80" i="3" s="1"/>
  <c r="M42" i="1" s="1"/>
  <c r="M66" i="1" s="1"/>
  <c r="M19" i="3"/>
  <c r="F61" i="1"/>
  <c r="G61" i="1" s="1"/>
  <c r="H61" i="1" s="1"/>
  <c r="I61" i="1" s="1"/>
  <c r="F48" i="1"/>
  <c r="G48" i="1" s="1"/>
  <c r="H48" i="1" s="1"/>
  <c r="I48" i="1" s="1"/>
  <c r="F25" i="1"/>
  <c r="G25" i="1" s="1"/>
  <c r="H25" i="1" s="1"/>
  <c r="I25" i="1" s="1"/>
  <c r="O41" i="3" l="1"/>
  <c r="O69" i="3"/>
  <c r="J83" i="1"/>
  <c r="J84" i="1" s="1"/>
  <c r="J67" i="1"/>
  <c r="J55" i="1"/>
  <c r="J77" i="1"/>
  <c r="J78" i="1" s="1"/>
  <c r="J51" i="1"/>
  <c r="J74" i="1"/>
  <c r="J75" i="1" s="1"/>
  <c r="J52" i="1"/>
  <c r="J80" i="1"/>
  <c r="J81" i="1" s="1"/>
  <c r="J58" i="1"/>
  <c r="J59" i="1"/>
  <c r="M70" i="1"/>
  <c r="M72" i="1"/>
  <c r="K57" i="1"/>
  <c r="K50" i="1"/>
  <c r="K54" i="1"/>
  <c r="N16" i="3"/>
  <c r="N66" i="3"/>
  <c r="N71" i="3" s="1"/>
  <c r="P32" i="3"/>
  <c r="P76" i="3"/>
  <c r="P41" i="3"/>
  <c r="N55" i="3"/>
  <c r="N58" i="3"/>
  <c r="P44" i="3"/>
  <c r="O54" i="3"/>
  <c r="O70" i="3" s="1"/>
  <c r="P52" i="3"/>
  <c r="P54" i="3" s="1"/>
  <c r="P70" i="3" s="1"/>
  <c r="O44" i="3"/>
  <c r="P75" i="3"/>
  <c r="P80" i="3" l="1"/>
  <c r="N42" i="1" s="1"/>
  <c r="N66" i="1" s="1"/>
  <c r="P16" i="3"/>
  <c r="P66" i="3"/>
  <c r="P71" i="3" s="1"/>
  <c r="L50" i="1"/>
  <c r="L57" i="1"/>
  <c r="L54" i="1"/>
  <c r="K80" i="1"/>
  <c r="K81" i="1" s="1"/>
  <c r="K58" i="1"/>
  <c r="K59" i="1"/>
  <c r="O16" i="3"/>
  <c r="O66" i="3"/>
  <c r="O71" i="3" s="1"/>
  <c r="K55" i="1"/>
  <c r="K77" i="1"/>
  <c r="K78" i="1" s="1"/>
  <c r="N72" i="1"/>
  <c r="N70" i="1"/>
  <c r="J87" i="1"/>
  <c r="K51" i="1"/>
  <c r="K52" i="1"/>
  <c r="K74" i="1"/>
  <c r="K83" i="1"/>
  <c r="K84" i="1" s="1"/>
  <c r="K67" i="1"/>
  <c r="O55" i="3"/>
  <c r="O58" i="3"/>
  <c r="P55" i="3"/>
  <c r="P58" i="3"/>
  <c r="O19" i="3"/>
  <c r="P19" i="3"/>
  <c r="L83" i="1" l="1"/>
  <c r="L84" i="1" s="1"/>
  <c r="L67" i="1"/>
  <c r="L51" i="1"/>
  <c r="L52" i="1"/>
  <c r="L74" i="1"/>
  <c r="K75" i="1"/>
  <c r="K87" i="1"/>
  <c r="L77" i="1"/>
  <c r="L78" i="1" s="1"/>
  <c r="L55" i="1"/>
  <c r="N91" i="1"/>
  <c r="N50" i="1"/>
  <c r="N57" i="1"/>
  <c r="N54" i="1"/>
  <c r="M91" i="1"/>
  <c r="M50" i="1"/>
  <c r="M54" i="1"/>
  <c r="M57" i="1"/>
  <c r="L58" i="1"/>
  <c r="L80" i="1"/>
  <c r="L81" i="1" s="1"/>
  <c r="L59" i="1"/>
  <c r="P7" i="1" l="1"/>
  <c r="M51" i="1"/>
  <c r="M52" i="1"/>
  <c r="M74" i="1"/>
  <c r="M83" i="1"/>
  <c r="M84" i="1" s="1"/>
  <c r="M67" i="1"/>
  <c r="N67" i="1"/>
  <c r="N83" i="1"/>
  <c r="N84" i="1" s="1"/>
  <c r="M58" i="1"/>
  <c r="M59" i="1"/>
  <c r="M80" i="1"/>
  <c r="M81" i="1" s="1"/>
  <c r="N58" i="1"/>
  <c r="N59" i="1"/>
  <c r="N80" i="1"/>
  <c r="N81" i="1" s="1"/>
  <c r="L75" i="1"/>
  <c r="L87" i="1"/>
  <c r="M55" i="1"/>
  <c r="M77" i="1"/>
  <c r="M78" i="1" s="1"/>
  <c r="N77" i="1"/>
  <c r="N78" i="1" s="1"/>
  <c r="N55" i="1"/>
  <c r="N51" i="1"/>
  <c r="N52" i="1"/>
  <c r="N74" i="1"/>
  <c r="P12" i="1" l="1"/>
  <c r="E8" i="1" s="1"/>
  <c r="P22" i="1" s="1"/>
  <c r="N75" i="1"/>
  <c r="N87" i="1"/>
  <c r="M75" i="1"/>
  <c r="M87" i="1"/>
  <c r="G66" i="3"/>
  <c r="G71" i="3" s="1"/>
  <c r="G19" i="3" l="1"/>
  <c r="H16" i="3"/>
</calcChain>
</file>

<file path=xl/sharedStrings.xml><?xml version="1.0" encoding="utf-8"?>
<sst xmlns="http://schemas.openxmlformats.org/spreadsheetml/2006/main" count="315" uniqueCount="173">
  <si>
    <t>Ticker</t>
  </si>
  <si>
    <t>Implied Share Price</t>
  </si>
  <si>
    <t>Current Share Price</t>
  </si>
  <si>
    <t>Implied Upside / (Downside)</t>
  </si>
  <si>
    <t>Income Statement</t>
  </si>
  <si>
    <t>2026E</t>
  </si>
  <si>
    <t>2027E</t>
  </si>
  <si>
    <t>2028E</t>
  </si>
  <si>
    <t>2029E</t>
  </si>
  <si>
    <t>2030E</t>
  </si>
  <si>
    <t>Revenue</t>
  </si>
  <si>
    <t>% growth</t>
  </si>
  <si>
    <t>EBIT</t>
  </si>
  <si>
    <t>Taxes</t>
  </si>
  <si>
    <t>Tax rate</t>
  </si>
  <si>
    <t>% of sales</t>
  </si>
  <si>
    <t>Cash Flow Items</t>
  </si>
  <si>
    <t>D&amp;A</t>
  </si>
  <si>
    <t>CapEx</t>
  </si>
  <si>
    <t>Changes in NWC</t>
  </si>
  <si>
    <t>% of changes in sales</t>
  </si>
  <si>
    <t>DCF</t>
  </si>
  <si>
    <t>EBIAT</t>
  </si>
  <si>
    <t>Free Cash Flow</t>
  </si>
  <si>
    <t>Present Value of FCF</t>
  </si>
  <si>
    <t>Key Statistics</t>
  </si>
  <si>
    <t>Stock Price</t>
  </si>
  <si>
    <t>Market Cap</t>
  </si>
  <si>
    <t>Cash</t>
  </si>
  <si>
    <t>Debt</t>
  </si>
  <si>
    <t>Enterprise Value</t>
  </si>
  <si>
    <t xml:space="preserve">shares outstanding diluted </t>
  </si>
  <si>
    <t>Net Debt</t>
  </si>
  <si>
    <t>% of capex</t>
  </si>
  <si>
    <t>WACC</t>
  </si>
  <si>
    <t>% of Equity</t>
  </si>
  <si>
    <t>Cost of Equity</t>
  </si>
  <si>
    <t>Risk Free Rate</t>
  </si>
  <si>
    <t>Beta</t>
  </si>
  <si>
    <t>Market Risk Premium</t>
  </si>
  <si>
    <t>% of Debt</t>
  </si>
  <si>
    <t>Cost of Debt</t>
  </si>
  <si>
    <t>Tax Rate</t>
  </si>
  <si>
    <t>Total</t>
  </si>
  <si>
    <t>Notes</t>
  </si>
  <si>
    <t>Valuation</t>
  </si>
  <si>
    <t>PV of FCF</t>
  </si>
  <si>
    <t>Terminal Value</t>
  </si>
  <si>
    <t>Shares Outstanding</t>
  </si>
  <si>
    <t>Implied Market Cap</t>
  </si>
  <si>
    <t>all values in millions except per share numbers</t>
  </si>
  <si>
    <t>PV of Terminal Value</t>
  </si>
  <si>
    <t>Company Overview</t>
  </si>
  <si>
    <t>Price</t>
  </si>
  <si>
    <t>Key Stats</t>
  </si>
  <si>
    <t>Employees</t>
  </si>
  <si>
    <t>Founded</t>
  </si>
  <si>
    <t>CEO</t>
  </si>
  <si>
    <t>Headquarters</t>
  </si>
  <si>
    <t>Primary Industry</t>
  </si>
  <si>
    <t>Fiscal Year End</t>
  </si>
  <si>
    <t>COGS</t>
  </si>
  <si>
    <t>Gross Income</t>
  </si>
  <si>
    <t>SG&amp;A</t>
  </si>
  <si>
    <t>R&amp;D</t>
  </si>
  <si>
    <t>Last Updated</t>
  </si>
  <si>
    <t>% of fcf</t>
  </si>
  <si>
    <t>P/E (LTM)</t>
  </si>
  <si>
    <t>Financial Ratios</t>
  </si>
  <si>
    <t>P/E (NTM)</t>
  </si>
  <si>
    <t>Stock Based Compensation</t>
  </si>
  <si>
    <t>ELECTRICAL AMERICAS</t>
  </si>
  <si>
    <t>Data centers, housing starts</t>
  </si>
  <si>
    <t xml:space="preserve">  Utility &amp; Industrial</t>
  </si>
  <si>
    <t>Grid modernization, renewables</t>
  </si>
  <si>
    <t>Total Electrical Americas</t>
  </si>
  <si>
    <t xml:space="preserve">  % YoY Growth</t>
  </si>
  <si>
    <t xml:space="preserve">  Operating Income</t>
  </si>
  <si>
    <t xml:space="preserve">  Operating Margin %</t>
  </si>
  <si>
    <t xml:space="preserve">  Key Drivers:</t>
  </si>
  <si>
    <t xml:space="preserve">  • Data center growth rate</t>
  </si>
  <si>
    <t>-</t>
  </si>
  <si>
    <t>25-30%</t>
  </si>
  <si>
    <t>20-25%</t>
  </si>
  <si>
    <t>15-20%</t>
  </si>
  <si>
    <t>12-15%</t>
  </si>
  <si>
    <t>10-12%</t>
  </si>
  <si>
    <t>AI infrastructure demand</t>
  </si>
  <si>
    <t xml:space="preserve">  • Grid modernization spending</t>
  </si>
  <si>
    <t>15-18%</t>
  </si>
  <si>
    <t>8-10%</t>
  </si>
  <si>
    <t>7-9%</t>
  </si>
  <si>
    <t>IRA/infrastructure bill impact</t>
  </si>
  <si>
    <t xml:space="preserve">  Europe</t>
  </si>
  <si>
    <t>Electrification trends, EV charging</t>
  </si>
  <si>
    <t xml:space="preserve">  Asia Pacific</t>
  </si>
  <si>
    <t>China manufacturing, India growth</t>
  </si>
  <si>
    <t xml:space="preserve">  Rest of World</t>
  </si>
  <si>
    <t>Emerging markets infrastructure</t>
  </si>
  <si>
    <t>Total Electrical Global</t>
  </si>
  <si>
    <t>Mature</t>
  </si>
  <si>
    <t xml:space="preserve">  • Asia manufacturing PMI</t>
  </si>
  <si>
    <t>52-54</t>
  </si>
  <si>
    <t>53-55</t>
  </si>
  <si>
    <t>54-56</t>
  </si>
  <si>
    <t>55-57</t>
  </si>
  <si>
    <t>56-58</t>
  </si>
  <si>
    <t>Industrial capex recovery</t>
  </si>
  <si>
    <t>Electrical Global</t>
  </si>
  <si>
    <t xml:space="preserve">  Light Vehicle</t>
  </si>
  <si>
    <t>ICE powertrain decline</t>
  </si>
  <si>
    <t xml:space="preserve">  Commercial Vehicle</t>
  </si>
  <si>
    <t>Freight cycle sensitivity</t>
  </si>
  <si>
    <t>Total Vehicle</t>
  </si>
  <si>
    <t xml:space="preserve">  • ICE penetration decline rate</t>
  </si>
  <si>
    <t>5-7%</t>
  </si>
  <si>
    <t>3-5%</t>
  </si>
  <si>
    <t>2-4%</t>
  </si>
  <si>
    <t>1-3%</t>
  </si>
  <si>
    <t>EV transition impact</t>
  </si>
  <si>
    <t xml:space="preserve">  • Content per vehicle premium</t>
  </si>
  <si>
    <t>$180-220</t>
  </si>
  <si>
    <t>$200-240</t>
  </si>
  <si>
    <t>$220-260</t>
  </si>
  <si>
    <t>$240-280</t>
  </si>
  <si>
    <t>$260-300</t>
  </si>
  <si>
    <t>Complexity offset to volume</t>
  </si>
  <si>
    <t xml:space="preserve">  EV Powertrain Components</t>
  </si>
  <si>
    <t>Inverters, motors, breakers</t>
  </si>
  <si>
    <t xml:space="preserve">  Charging Infrastructure</t>
  </si>
  <si>
    <t>DC fast charging expansion</t>
  </si>
  <si>
    <t>Total E-Mobility</t>
  </si>
  <si>
    <t xml:space="preserve">  • Global EV adoption rate</t>
  </si>
  <si>
    <t>14-16%</t>
  </si>
  <si>
    <t>18-20%</t>
  </si>
  <si>
    <t>22-25%</t>
  </si>
  <si>
    <t>28-32%</t>
  </si>
  <si>
    <t>35-40%</t>
  </si>
  <si>
    <t>Regulatory mandates accelerating</t>
  </si>
  <si>
    <t xml:space="preserve">  • Scale/profitability inflection</t>
  </si>
  <si>
    <t>Margin +</t>
  </si>
  <si>
    <t>Margin ++</t>
  </si>
  <si>
    <t>Margin +++</t>
  </si>
  <si>
    <t>Investment phase transitioning</t>
  </si>
  <si>
    <t>Electrical Americas</t>
  </si>
  <si>
    <t>Aerospace</t>
  </si>
  <si>
    <t>Vehicle</t>
  </si>
  <si>
    <t>E-Mobility</t>
  </si>
  <si>
    <t>Total Revenue</t>
  </si>
  <si>
    <t>Total Operating Income</t>
  </si>
  <si>
    <t>ETN</t>
  </si>
  <si>
    <t>KEY MODEL ASSUMPTIONS</t>
  </si>
  <si>
    <t>Revenue Growth Drivers:</t>
  </si>
  <si>
    <t>• Electrical Americas: Data center AI infrastructure demand driving 10-12% growth</t>
  </si>
  <si>
    <t>• Electrical Global: EU Green Deal + Asia manufacturing recovery driving 5-8% growth</t>
  </si>
  <si>
    <t>• Aerospace: Commercial aviation ramp + defense spending driving 7-11% growth</t>
  </si>
  <si>
    <t>• Vehicle: ICE decline offset by content per vehicle, flat to low single-digit growth</t>
  </si>
  <si>
    <t>• E-Mobility: Scale inflection in 2026E, accelerating to 10-28% growth through 2030</t>
  </si>
  <si>
    <t>• COGS: 53.7% of revenue | SG&amp;A: 13.4% | R&amp;D: 2.6% | D&amp;A: 3.5% | CapEx: 3.25% | NWC: -5% of Δ revenue</t>
  </si>
  <si>
    <t>x</t>
  </si>
  <si>
    <t xml:space="preserve">  Residential</t>
  </si>
  <si>
    <t xml:space="preserve">  Data Center &amp; Community</t>
  </si>
  <si>
    <t>Discount Period</t>
  </si>
  <si>
    <t>Discount Factor</t>
  </si>
  <si>
    <t>TGR</t>
  </si>
  <si>
    <t>2031E</t>
  </si>
  <si>
    <t>2032E</t>
  </si>
  <si>
    <t>2033E</t>
  </si>
  <si>
    <t>2034E</t>
  </si>
  <si>
    <t>Paulo Ruiz</t>
  </si>
  <si>
    <t>Dublin, Ireland</t>
  </si>
  <si>
    <t>EV/S (LTM)</t>
  </si>
  <si>
    <t>EV/EBIT (LTM)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</si>
</sst>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&quot;$&quot;#,##0"/>
    <numFmt numFmtId="166" formatCode="0.0%"/>
    <numFmt numFmtId="167" formatCode="&quot;$&quot;#,##0;\(&quot;$&quot;#,##0\);\-"/>
    <numFmt numFmtId="168" formatCode="0.0%;\(0.0%\);\-"/>
    <numFmt numFmtId="169" formatCode="00;\(00\)"/>
  </numFmts>
  <fonts count="24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7" tint="-0.249977111117893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FF"/>
      <name val="calibri"/>
      <family val="2"/>
    </font>
    <font>
      <sz val="9"/>
      <color theme="1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i/>
      <sz val="9"/>
      <color rgb="FF000000"/>
      <name val="calibri"/>
      <family val="2"/>
    </font>
    <font>
      <sz val="9"/>
      <color rgb="FF0000FF"/>
      <name val="calibri"/>
      <family val="2"/>
    </font>
    <font>
      <sz val="11"/>
      <color rgb="FF008000"/>
      <name val="calibri"/>
      <family val="2"/>
    </font>
    <font>
      <i/>
      <sz val="11"/>
      <color rgb="FF0000FF"/>
      <name val="calibri"/>
      <family val="2"/>
    </font>
    <font>
      <b/>
      <sz val="10"/>
      <color rgb="FF000000"/>
      <name val="calibri"/>
      <family val="2"/>
    </font>
    <font>
      <i/>
      <sz val="9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BB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5" fillId="0" borderId="0" xfId="0" applyFont="1"/>
    <xf numFmtId="0" fontId="2" fillId="0" borderId="1" xfId="0" applyFont="1" applyBorder="1"/>
    <xf numFmtId="164" fontId="6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1" xfId="0" applyNumberFormat="1" applyFont="1" applyBorder="1"/>
    <xf numFmtId="10" fontId="2" fillId="0" borderId="0" xfId="0" applyNumberFormat="1" applyFont="1"/>
    <xf numFmtId="10" fontId="5" fillId="0" borderId="0" xfId="0" applyNumberFormat="1" applyFont="1"/>
    <xf numFmtId="3" fontId="6" fillId="0" borderId="0" xfId="0" applyNumberFormat="1" applyFont="1"/>
    <xf numFmtId="41" fontId="2" fillId="0" borderId="0" xfId="0" applyNumberFormat="1" applyFont="1"/>
    <xf numFmtId="10" fontId="2" fillId="0" borderId="0" xfId="0" applyNumberFormat="1" applyFont="1" applyAlignment="1">
      <alignment horizontal="center" vertical="center"/>
    </xf>
    <xf numFmtId="0" fontId="4" fillId="0" borderId="1" xfId="0" applyFont="1" applyBorder="1"/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7" fillId="0" borderId="1" xfId="0" applyFont="1" applyBorder="1"/>
    <xf numFmtId="165" fontId="2" fillId="0" borderId="0" xfId="0" applyNumberFormat="1" applyFont="1" applyAlignment="1">
      <alignment horizontal="center" vertical="center"/>
    </xf>
    <xf numFmtId="43" fontId="2" fillId="0" borderId="0" xfId="0" applyNumberFormat="1" applyFont="1"/>
    <xf numFmtId="0" fontId="2" fillId="3" borderId="0" xfId="0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4" fontId="2" fillId="0" borderId="0" xfId="0" applyNumberFormat="1" applyFont="1"/>
    <xf numFmtId="8" fontId="2" fillId="0" borderId="0" xfId="0" applyNumberFormat="1" applyFont="1"/>
    <xf numFmtId="0" fontId="9" fillId="3" borderId="0" xfId="0" applyFont="1" applyFill="1"/>
    <xf numFmtId="0" fontId="10" fillId="0" borderId="0" xfId="0" applyFont="1"/>
    <xf numFmtId="165" fontId="11" fillId="0" borderId="0" xfId="0" applyNumberFormat="1" applyFont="1"/>
    <xf numFmtId="165" fontId="10" fillId="0" borderId="0" xfId="0" applyNumberFormat="1" applyFont="1"/>
    <xf numFmtId="0" fontId="13" fillId="0" borderId="0" xfId="0" applyFont="1"/>
    <xf numFmtId="0" fontId="14" fillId="0" borderId="0" xfId="0" applyFont="1"/>
    <xf numFmtId="166" fontId="10" fillId="0" borderId="0" xfId="0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4" borderId="0" xfId="0" applyFont="1" applyFill="1"/>
    <xf numFmtId="0" fontId="2" fillId="5" borderId="0" xfId="0" applyFont="1" applyFill="1"/>
    <xf numFmtId="167" fontId="11" fillId="0" borderId="0" xfId="0" applyNumberFormat="1" applyFont="1"/>
    <xf numFmtId="167" fontId="10" fillId="0" borderId="0" xfId="0" applyNumberFormat="1" applyFont="1"/>
    <xf numFmtId="168" fontId="10" fillId="0" borderId="0" xfId="0" applyNumberFormat="1" applyFont="1"/>
    <xf numFmtId="0" fontId="12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65" fontId="19" fillId="0" borderId="0" xfId="0" applyNumberFormat="1" applyFont="1"/>
    <xf numFmtId="3" fontId="19" fillId="0" borderId="0" xfId="0" applyNumberFormat="1" applyFont="1"/>
    <xf numFmtId="3" fontId="10" fillId="0" borderId="0" xfId="0" applyNumberFormat="1" applyFont="1"/>
    <xf numFmtId="166" fontId="14" fillId="0" borderId="0" xfId="0" applyNumberFormat="1" applyFont="1"/>
    <xf numFmtId="3" fontId="11" fillId="0" borderId="0" xfId="0" applyNumberFormat="1" applyFont="1"/>
    <xf numFmtId="166" fontId="11" fillId="6" borderId="0" xfId="0" applyNumberFormat="1" applyFont="1" applyFill="1"/>
    <xf numFmtId="0" fontId="11" fillId="0" borderId="0" xfId="0" applyFont="1" applyAlignment="1">
      <alignment horizontal="center"/>
    </xf>
    <xf numFmtId="168" fontId="14" fillId="0" borderId="0" xfId="0" applyNumberFormat="1" applyFont="1"/>
    <xf numFmtId="168" fontId="20" fillId="6" borderId="0" xfId="0" applyNumberFormat="1" applyFont="1" applyFill="1"/>
    <xf numFmtId="168" fontId="14" fillId="0" borderId="0" xfId="1" applyNumberFormat="1" applyFont="1"/>
    <xf numFmtId="0" fontId="11" fillId="0" borderId="0" xfId="0" applyFont="1" applyAlignment="1">
      <alignment horizontal="center" vertical="center"/>
    </xf>
    <xf numFmtId="0" fontId="3" fillId="7" borderId="0" xfId="0" applyFont="1" applyFill="1"/>
    <xf numFmtId="0" fontId="3" fillId="7" borderId="0" xfId="0" applyFont="1" applyFill="1" applyAlignment="1">
      <alignment horizontal="right"/>
    </xf>
    <xf numFmtId="0" fontId="21" fillId="0" borderId="0" xfId="0" applyFont="1"/>
    <xf numFmtId="0" fontId="15" fillId="0" borderId="1" xfId="0" applyFont="1" applyBorder="1"/>
    <xf numFmtId="0" fontId="22" fillId="0" borderId="0" xfId="0" applyFont="1"/>
    <xf numFmtId="0" fontId="8" fillId="4" borderId="0" xfId="0" applyFont="1" applyFill="1"/>
    <xf numFmtId="0" fontId="8" fillId="4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8" fillId="5" borderId="0" xfId="0" applyFont="1" applyFill="1"/>
    <xf numFmtId="3" fontId="13" fillId="0" borderId="0" xfId="0" applyNumberFormat="1" applyFont="1"/>
    <xf numFmtId="169" fontId="11" fillId="0" borderId="0" xfId="0" applyNumberFormat="1" applyFont="1"/>
    <xf numFmtId="3" fontId="23" fillId="0" borderId="0" xfId="0" applyNumberFormat="1" applyFont="1"/>
    <xf numFmtId="9" fontId="2" fillId="0" borderId="0" xfId="0" applyNumberFormat="1" applyFont="1"/>
    <xf numFmtId="3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3" fontId="2" fillId="0" borderId="2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BB00"/>
      <color rgb="FFF44336"/>
      <color rgb="FF00A1F1"/>
      <color rgb="FFFFC107"/>
      <color rgb="FF4CAF50"/>
      <color rgb="FF2196F3"/>
      <color rgb="FFF65314"/>
      <color rgb="FFF25022"/>
      <color rgb="FF7CBB00"/>
      <color rgb="FF00A4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304800</xdr:colOff>
      <xdr:row>2</xdr:row>
      <xdr:rowOff>103990</xdr:rowOff>
    </xdr:to>
    <xdr:sp macro="" textlink="">
      <xdr:nvSpPr>
        <xdr:cNvPr id="1025" name="AutoShape 1" descr="Microsoft Logo Icon Vector, Microsoft, Azure, Word PNG and Vector with  Transparent Background for Free Download">
          <a:extLst>
            <a:ext uri="{FF2B5EF4-FFF2-40B4-BE49-F238E27FC236}">
              <a16:creationId xmlns:a16="http://schemas.microsoft.com/office/drawing/2014/main" id="{5FC3D2D1-38EB-BCCB-8044-D022D4FC59F3}"/>
            </a:ext>
          </a:extLst>
        </xdr:cNvPr>
        <xdr:cNvSpPr>
          <a:spLocks noChangeAspect="1" noChangeArrowheads="1"/>
        </xdr:cNvSpPr>
      </xdr:nvSpPr>
      <xdr:spPr bwMode="auto">
        <a:xfrm>
          <a:off x="1325880" y="1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36</xdr:row>
      <xdr:rowOff>0</xdr:rowOff>
    </xdr:from>
    <xdr:to>
      <xdr:col>19</xdr:col>
      <xdr:colOff>304800</xdr:colOff>
      <xdr:row>37</xdr:row>
      <xdr:rowOff>121919</xdr:rowOff>
    </xdr:to>
    <xdr:sp macro="" textlink="">
      <xdr:nvSpPr>
        <xdr:cNvPr id="1028" name="AutoShape 4" descr="Microsoft Logo PNG Vector (EPS) Free Download">
          <a:extLst>
            <a:ext uri="{FF2B5EF4-FFF2-40B4-BE49-F238E27FC236}">
              <a16:creationId xmlns:a16="http://schemas.microsoft.com/office/drawing/2014/main" id="{ABBD38CA-2D10-A584-BCE7-0C6FD0BE426D}"/>
            </a:ext>
          </a:extLst>
        </xdr:cNvPr>
        <xdr:cNvSpPr>
          <a:spLocks noChangeAspect="1" noChangeArrowheads="1"/>
        </xdr:cNvSpPr>
      </xdr:nvSpPr>
      <xdr:spPr bwMode="auto">
        <a:xfrm>
          <a:off x="12900660" y="43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0</xdr:colOff>
      <xdr:row>30</xdr:row>
      <xdr:rowOff>0</xdr:rowOff>
    </xdr:from>
    <xdr:ext cx="304800" cy="307450"/>
    <xdr:sp macro="" textlink="">
      <xdr:nvSpPr>
        <xdr:cNvPr id="8" name="AutoShape 4" descr="Microsoft Logo PNG Vector (EPS) Free Download">
          <a:extLst>
            <a:ext uri="{FF2B5EF4-FFF2-40B4-BE49-F238E27FC236}">
              <a16:creationId xmlns:a16="http://schemas.microsoft.com/office/drawing/2014/main" id="{6FA6B343-2ACA-4CD3-B35E-0E401E86DAD8}"/>
            </a:ext>
          </a:extLst>
        </xdr:cNvPr>
        <xdr:cNvSpPr>
          <a:spLocks noChangeAspect="1" noChangeArrowheads="1"/>
        </xdr:cNvSpPr>
      </xdr:nvSpPr>
      <xdr:spPr bwMode="auto">
        <a:xfrm>
          <a:off x="12934122" y="6195391"/>
          <a:ext cx="304800" cy="30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19</xdr:col>
      <xdr:colOff>0</xdr:colOff>
      <xdr:row>33</xdr:row>
      <xdr:rowOff>0</xdr:rowOff>
    </xdr:from>
    <xdr:ext cx="304800" cy="307450"/>
    <xdr:sp macro="" textlink="">
      <xdr:nvSpPr>
        <xdr:cNvPr id="9" name="AutoShape 4" descr="Microsoft Logo PNG Vector (EPS) Free Download">
          <a:extLst>
            <a:ext uri="{FF2B5EF4-FFF2-40B4-BE49-F238E27FC236}">
              <a16:creationId xmlns:a16="http://schemas.microsoft.com/office/drawing/2014/main" id="{60FAE949-BC8C-4680-841F-42993A3BEC53}"/>
            </a:ext>
          </a:extLst>
        </xdr:cNvPr>
        <xdr:cNvSpPr>
          <a:spLocks noChangeAspect="1" noChangeArrowheads="1"/>
        </xdr:cNvSpPr>
      </xdr:nvSpPr>
      <xdr:spPr bwMode="auto">
        <a:xfrm>
          <a:off x="12934122" y="6195391"/>
          <a:ext cx="304800" cy="307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Finance">
      <a:dk1>
        <a:sysClr val="windowText" lastClr="000000"/>
      </a:dk1>
      <a:lt1>
        <a:sysClr val="window" lastClr="FFFFFF"/>
      </a:lt1>
      <a:dk2>
        <a:srgbClr val="1F497D"/>
      </a:dk2>
      <a:lt2>
        <a:srgbClr val="D9D9D9"/>
      </a:lt2>
      <a:accent1>
        <a:srgbClr val="0066CC"/>
      </a:accent1>
      <a:accent2>
        <a:srgbClr val="00B050"/>
      </a:accent2>
      <a:accent3>
        <a:srgbClr val="E6E6E6"/>
      </a:accent3>
      <a:accent4>
        <a:srgbClr val="0000FF"/>
      </a:accent4>
      <a:accent5>
        <a:srgbClr val="4472C4"/>
      </a:accent5>
      <a:accent6>
        <a:srgbClr val="FF6600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A81EB7-CE10-4A16-AE37-5234B874B8F8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6BA9-FD26-46A5-A630-9D65D6C233D8}">
  <dimension ref="B2:X102"/>
  <sheetViews>
    <sheetView showGridLines="0" tabSelected="1" zoomScale="115" zoomScaleNormal="115" workbookViewId="0">
      <selection activeCell="B4" sqref="B4"/>
    </sheetView>
  </sheetViews>
  <sheetFormatPr defaultColWidth="8.69921875" defaultRowHeight="14.4" customHeight="1" x14ac:dyDescent="0.3"/>
  <cols>
    <col min="1" max="1" width="3.69921875" style="1" customWidth="1"/>
    <col min="2" max="3" width="8.69921875" style="1"/>
    <col min="4" max="4" width="11.5" style="1" bestFit="1" customWidth="1"/>
    <col min="5" max="5" width="9.8984375" style="1" bestFit="1" customWidth="1"/>
    <col min="6" max="7" width="8.69921875" style="1"/>
    <col min="8" max="8" width="9" style="1" bestFit="1" customWidth="1"/>
    <col min="9" max="15" width="8.69921875" style="1"/>
    <col min="16" max="16" width="8.8984375" style="1" bestFit="1" customWidth="1"/>
    <col min="17" max="17" width="10.3984375" style="1" bestFit="1" customWidth="1"/>
    <col min="18" max="21" width="8.69921875" style="1"/>
    <col min="22" max="22" width="10.796875" style="1" bestFit="1" customWidth="1"/>
    <col min="23" max="23" width="8.69921875" style="1"/>
    <col min="24" max="24" width="11.796875" style="1" bestFit="1" customWidth="1"/>
    <col min="25" max="16384" width="8.69921875" style="1"/>
  </cols>
  <sheetData>
    <row r="2" spans="2:24" ht="15.6" x14ac:dyDescent="0.3">
      <c r="B2" s="58"/>
      <c r="C2"/>
      <c r="R2" s="4" t="s">
        <v>50</v>
      </c>
    </row>
    <row r="3" spans="2:24" x14ac:dyDescent="0.3">
      <c r="B3" s="4"/>
    </row>
    <row r="4" spans="2:24" ht="14.4" customHeight="1" x14ac:dyDescent="0.3">
      <c r="B4" s="2" t="s">
        <v>52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2:24" s="20" customFormat="1" ht="1.95" customHeight="1" x14ac:dyDescent="0.3">
      <c r="B5" s="21"/>
      <c r="C5" s="21"/>
      <c r="D5" s="21"/>
      <c r="E5" s="21"/>
      <c r="F5" s="21"/>
      <c r="G5" s="21"/>
      <c r="H5" s="21"/>
      <c r="I5" s="21"/>
      <c r="J5" s="21"/>
      <c r="K5" s="21"/>
      <c r="L5" s="22"/>
      <c r="M5" s="22"/>
      <c r="N5" s="22"/>
      <c r="O5" s="22"/>
      <c r="P5" s="22"/>
    </row>
    <row r="6" spans="2:24" ht="14.4" customHeight="1" x14ac:dyDescent="0.3">
      <c r="B6" s="14" t="s">
        <v>53</v>
      </c>
      <c r="C6" s="5"/>
      <c r="D6" s="5"/>
      <c r="E6" s="5"/>
      <c r="G6" s="14" t="s">
        <v>54</v>
      </c>
      <c r="H6" s="5"/>
      <c r="I6" s="5"/>
      <c r="J6" s="5"/>
      <c r="K6" s="5"/>
      <c r="M6" s="17" t="s">
        <v>45</v>
      </c>
      <c r="N6" s="17"/>
      <c r="O6" s="17"/>
      <c r="P6" s="5"/>
      <c r="R6" s="17" t="s">
        <v>44</v>
      </c>
      <c r="S6" s="17"/>
      <c r="T6" s="17"/>
      <c r="U6" s="5"/>
    </row>
    <row r="7" spans="2:24" ht="14.4" customHeight="1" x14ac:dyDescent="0.3">
      <c r="B7" s="1" t="s">
        <v>0</v>
      </c>
      <c r="E7" s="15" t="s">
        <v>150</v>
      </c>
      <c r="G7" s="1" t="s">
        <v>55</v>
      </c>
      <c r="I7" s="67">
        <v>94443</v>
      </c>
      <c r="J7" s="67"/>
      <c r="K7" s="67"/>
      <c r="M7" s="1" t="s">
        <v>46</v>
      </c>
      <c r="P7" s="7">
        <f>SUM(J91:R91)</f>
        <v>42995.515170885803</v>
      </c>
      <c r="R7" s="1" t="s">
        <v>34</v>
      </c>
      <c r="U7" s="9">
        <v>9.1499999999999998E-2</v>
      </c>
    </row>
    <row r="8" spans="2:24" ht="14.4" customHeight="1" x14ac:dyDescent="0.3">
      <c r="B8" s="1" t="s">
        <v>1</v>
      </c>
      <c r="E8" s="18">
        <f>P12/P11</f>
        <v>334.00837686247201</v>
      </c>
      <c r="G8" s="1" t="s">
        <v>56</v>
      </c>
      <c r="I8" s="71">
        <v>1911</v>
      </c>
      <c r="J8" s="71"/>
      <c r="K8" s="71"/>
      <c r="M8" s="1" t="s">
        <v>47</v>
      </c>
      <c r="P8" s="7">
        <f>R86*(1+U8)/(U7-U8)</f>
        <v>174844.81907088385</v>
      </c>
      <c r="R8" s="1" t="s">
        <v>164</v>
      </c>
      <c r="U8" s="66">
        <v>0.03</v>
      </c>
      <c r="X8" s="19"/>
    </row>
    <row r="9" spans="2:24" ht="14.4" customHeight="1" x14ac:dyDescent="0.3">
      <c r="B9" s="1" t="s">
        <v>2</v>
      </c>
      <c r="E9" s="18">
        <v>351.42</v>
      </c>
      <c r="G9" s="1" t="s">
        <v>57</v>
      </c>
      <c r="I9" s="71" t="s">
        <v>169</v>
      </c>
      <c r="J9" s="71"/>
      <c r="K9" s="71"/>
      <c r="M9" s="1" t="s">
        <v>51</v>
      </c>
      <c r="P9" s="7">
        <f>P8*R90</f>
        <v>83071.294402305648</v>
      </c>
      <c r="U9" s="7"/>
    </row>
    <row r="10" spans="2:24" ht="14.4" customHeight="1" x14ac:dyDescent="0.3">
      <c r="B10" s="1" t="s">
        <v>3</v>
      </c>
      <c r="E10" s="13"/>
      <c r="G10" s="1" t="s">
        <v>58</v>
      </c>
      <c r="I10" s="71" t="s">
        <v>170</v>
      </c>
      <c r="J10" s="71"/>
      <c r="K10" s="71"/>
      <c r="M10" s="1" t="s">
        <v>32</v>
      </c>
      <c r="P10" s="7">
        <f>-328-327+761+8802+568</f>
        <v>9476</v>
      </c>
      <c r="R10" s="17" t="s">
        <v>34</v>
      </c>
      <c r="S10" s="17"/>
      <c r="T10" s="17"/>
      <c r="U10" s="7"/>
      <c r="V10" s="7"/>
    </row>
    <row r="11" spans="2:24" ht="14.4" customHeight="1" x14ac:dyDescent="0.3">
      <c r="G11" s="1" t="s">
        <v>59</v>
      </c>
      <c r="I11" s="71"/>
      <c r="J11" s="71"/>
      <c r="K11" s="71"/>
      <c r="M11" s="1" t="s">
        <v>48</v>
      </c>
      <c r="P11" s="7">
        <v>390.31</v>
      </c>
      <c r="R11" s="1" t="s">
        <v>27</v>
      </c>
      <c r="T11" s="69"/>
      <c r="U11" s="69"/>
    </row>
    <row r="12" spans="2:24" ht="14.4" customHeight="1" x14ac:dyDescent="0.3">
      <c r="B12" s="1" t="s">
        <v>65</v>
      </c>
      <c r="E12" s="16">
        <v>46064</v>
      </c>
      <c r="G12" s="1" t="s">
        <v>60</v>
      </c>
      <c r="I12" s="68"/>
      <c r="J12" s="68"/>
      <c r="K12" s="68"/>
      <c r="M12" s="1" t="s">
        <v>49</v>
      </c>
      <c r="P12" s="7">
        <f>P7+P9+4300</f>
        <v>130366.80957319145</v>
      </c>
      <c r="R12" s="1" t="s">
        <v>35</v>
      </c>
      <c r="U12" s="9"/>
    </row>
    <row r="13" spans="2:24" ht="14.4" customHeight="1" x14ac:dyDescent="0.3">
      <c r="I13" s="9"/>
      <c r="P13" s="7"/>
      <c r="R13" s="1" t="s">
        <v>36</v>
      </c>
      <c r="U13" s="9">
        <f>U14+U15*(U17)</f>
        <v>9.2541999999999985E-2</v>
      </c>
    </row>
    <row r="14" spans="2:24" ht="14.4" customHeight="1" x14ac:dyDescent="0.3">
      <c r="R14" s="1" t="s">
        <v>37</v>
      </c>
      <c r="U14" s="9">
        <v>4.2799999999999998E-2</v>
      </c>
    </row>
    <row r="15" spans="2:24" ht="14.4" customHeight="1" x14ac:dyDescent="0.3">
      <c r="B15" s="2" t="s">
        <v>25</v>
      </c>
      <c r="C15" s="2"/>
      <c r="D15" s="2"/>
      <c r="E15" s="2">
        <v>2021</v>
      </c>
      <c r="F15" s="2">
        <f>E15+1</f>
        <v>2022</v>
      </c>
      <c r="G15" s="2">
        <f>F15+1</f>
        <v>2023</v>
      </c>
      <c r="H15" s="2">
        <f>G15+1</f>
        <v>2024</v>
      </c>
      <c r="I15" s="2">
        <f>H15+1</f>
        <v>2025</v>
      </c>
      <c r="J15" s="3" t="s">
        <v>5</v>
      </c>
      <c r="K15" s="3" t="s">
        <v>6</v>
      </c>
      <c r="M15" s="17" t="s">
        <v>68</v>
      </c>
      <c r="N15" s="17"/>
      <c r="O15" s="17"/>
      <c r="P15" s="5"/>
      <c r="R15" s="1" t="s">
        <v>38</v>
      </c>
      <c r="U15" s="1">
        <v>1.19</v>
      </c>
    </row>
    <row r="16" spans="2:24" s="20" customFormat="1" ht="1.95" customHeight="1" x14ac:dyDescent="0.3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1"/>
      <c r="M16" s="1" t="s">
        <v>46</v>
      </c>
      <c r="N16" s="1"/>
      <c r="O16" s="1"/>
      <c r="P16" s="7">
        <f>SUM(J99:N99)</f>
        <v>0</v>
      </c>
    </row>
    <row r="17" spans="2:21" ht="14.4" customHeight="1" x14ac:dyDescent="0.3">
      <c r="B17" s="1" t="s">
        <v>26</v>
      </c>
      <c r="E17" s="6"/>
      <c r="F17" s="6"/>
      <c r="G17" s="6"/>
      <c r="H17" s="6"/>
      <c r="I17" s="6"/>
      <c r="J17" s="6"/>
      <c r="K17" s="6"/>
      <c r="M17" s="1" t="s">
        <v>27</v>
      </c>
      <c r="P17" s="7"/>
      <c r="R17" s="1" t="s">
        <v>39</v>
      </c>
      <c r="U17" s="9">
        <v>4.1799999999999997E-2</v>
      </c>
    </row>
    <row r="18" spans="2:21" ht="14.4" customHeight="1" x14ac:dyDescent="0.3">
      <c r="B18" s="1" t="s">
        <v>31</v>
      </c>
      <c r="E18" s="11"/>
      <c r="F18" s="11"/>
      <c r="G18" s="11"/>
      <c r="H18" s="11"/>
      <c r="I18" s="11"/>
      <c r="J18" s="11"/>
      <c r="K18" s="11"/>
      <c r="M18" s="1" t="s">
        <v>30</v>
      </c>
      <c r="P18" s="7"/>
      <c r="R18" s="1" t="s">
        <v>29</v>
      </c>
      <c r="U18" s="7"/>
    </row>
    <row r="19" spans="2:21" ht="14.4" customHeight="1" x14ac:dyDescent="0.3">
      <c r="M19" s="1" t="s">
        <v>67</v>
      </c>
      <c r="P19" s="23">
        <f>E9/12.06</f>
        <v>29.139303482587064</v>
      </c>
      <c r="R19" s="1" t="s">
        <v>40</v>
      </c>
      <c r="U19" s="9"/>
    </row>
    <row r="20" spans="2:21" ht="14.4" customHeight="1" x14ac:dyDescent="0.3">
      <c r="B20" s="1" t="s">
        <v>27</v>
      </c>
      <c r="E20" s="7"/>
      <c r="F20" s="7"/>
      <c r="G20" s="7"/>
      <c r="H20" s="7"/>
      <c r="I20" s="7"/>
      <c r="J20" s="7"/>
      <c r="K20" s="7"/>
      <c r="M20" s="1" t="s">
        <v>69</v>
      </c>
      <c r="P20" s="23">
        <f>E9/13.49</f>
        <v>26.050407709414383</v>
      </c>
      <c r="R20" s="1" t="s">
        <v>41</v>
      </c>
      <c r="U20" s="9"/>
    </row>
    <row r="21" spans="2:21" ht="14.4" customHeight="1" x14ac:dyDescent="0.3">
      <c r="B21" s="1" t="s">
        <v>28</v>
      </c>
      <c r="E21" s="11"/>
      <c r="F21" s="11"/>
      <c r="G21" s="11"/>
      <c r="H21" s="11"/>
      <c r="I21" s="11"/>
      <c r="J21" s="11"/>
      <c r="K21" s="11"/>
      <c r="M21" s="1" t="s">
        <v>171</v>
      </c>
      <c r="P21" s="23">
        <f>E9/(I27/P11)</f>
        <v>4.9937284814504679</v>
      </c>
      <c r="R21" s="1" t="s">
        <v>42</v>
      </c>
      <c r="U21" s="9"/>
    </row>
    <row r="22" spans="2:21" ht="14.4" customHeight="1" x14ac:dyDescent="0.3">
      <c r="B22" s="5" t="s">
        <v>29</v>
      </c>
      <c r="C22" s="5"/>
      <c r="D22" s="5"/>
      <c r="E22" s="8"/>
      <c r="F22" s="8"/>
      <c r="G22" s="8"/>
      <c r="H22" s="8"/>
      <c r="I22" s="8"/>
      <c r="J22" s="8"/>
      <c r="K22" s="8"/>
      <c r="M22" s="1" t="s">
        <v>172</v>
      </c>
      <c r="P22" s="23">
        <f>E8/(I42/P11)</f>
        <v>23.660038035061969</v>
      </c>
      <c r="R22" s="5" t="s">
        <v>43</v>
      </c>
      <c r="S22" s="5"/>
      <c r="T22" s="70"/>
      <c r="U22" s="70"/>
    </row>
    <row r="23" spans="2:21" ht="14.4" customHeight="1" x14ac:dyDescent="0.3">
      <c r="B23" s="1" t="s">
        <v>30</v>
      </c>
      <c r="E23" s="7"/>
      <c r="F23" s="7"/>
      <c r="G23" s="7"/>
      <c r="H23" s="7"/>
      <c r="I23" s="7"/>
      <c r="J23" s="7"/>
      <c r="K23" s="7"/>
      <c r="R23" s="1" t="s">
        <v>34</v>
      </c>
      <c r="U23" s="9"/>
    </row>
    <row r="24" spans="2:21" ht="14.4" customHeight="1" x14ac:dyDescent="0.3">
      <c r="B24" s="33"/>
    </row>
    <row r="25" spans="2:21" ht="14.4" customHeight="1" x14ac:dyDescent="0.3">
      <c r="B25" s="2" t="s">
        <v>4</v>
      </c>
      <c r="C25" s="2"/>
      <c r="D25" s="2"/>
      <c r="E25" s="2">
        <v>2021</v>
      </c>
      <c r="F25" s="2">
        <f>E25+1</f>
        <v>2022</v>
      </c>
      <c r="G25" s="2">
        <f>F25+1</f>
        <v>2023</v>
      </c>
      <c r="H25" s="2">
        <f>G25+1</f>
        <v>2024</v>
      </c>
      <c r="I25" s="2">
        <f>H25+1</f>
        <v>2025</v>
      </c>
      <c r="J25" s="3" t="s">
        <v>5</v>
      </c>
      <c r="K25" s="3" t="s">
        <v>6</v>
      </c>
      <c r="L25" s="3" t="s">
        <v>7</v>
      </c>
      <c r="M25" s="3" t="s">
        <v>8</v>
      </c>
      <c r="N25" s="3" t="s">
        <v>9</v>
      </c>
    </row>
    <row r="26" spans="2:21" s="20" customFormat="1" ht="1.95" customHeight="1" x14ac:dyDescent="0.3"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2"/>
      <c r="M26" s="22"/>
      <c r="N26" s="22"/>
      <c r="O26" s="22"/>
      <c r="P26" s="22"/>
    </row>
    <row r="27" spans="2:21" ht="14.4" customHeight="1" x14ac:dyDescent="0.3">
      <c r="B27" s="1" t="s">
        <v>10</v>
      </c>
      <c r="E27" s="27">
        <v>19628</v>
      </c>
      <c r="F27" s="27">
        <v>20752</v>
      </c>
      <c r="G27" s="27">
        <v>23196</v>
      </c>
      <c r="H27" s="27">
        <v>24878</v>
      </c>
      <c r="I27" s="27">
        <v>27467</v>
      </c>
      <c r="J27" s="43">
        <v>30011</v>
      </c>
      <c r="K27" s="43">
        <v>32665</v>
      </c>
      <c r="L27" s="43">
        <v>36875</v>
      </c>
      <c r="M27" s="43">
        <v>39180</v>
      </c>
      <c r="N27" s="43">
        <f>M27*1.1</f>
        <v>43098</v>
      </c>
    </row>
    <row r="28" spans="2:21" ht="14.4" customHeight="1" x14ac:dyDescent="0.3">
      <c r="B28" s="4" t="s">
        <v>11</v>
      </c>
      <c r="C28" s="4"/>
      <c r="D28" s="4"/>
      <c r="E28" s="10"/>
      <c r="F28" s="10"/>
      <c r="G28" s="10"/>
      <c r="H28" s="10"/>
      <c r="I28" s="10"/>
      <c r="J28" s="10"/>
      <c r="K28" s="10"/>
      <c r="L28" s="10"/>
      <c r="M28" s="10"/>
      <c r="N28" s="10"/>
      <c r="T28"/>
    </row>
    <row r="29" spans="2:21" ht="14.4" customHeight="1" x14ac:dyDescent="0.3">
      <c r="B29" s="4"/>
      <c r="C29" s="4"/>
      <c r="D29" s="4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spans="2:21" ht="14.4" customHeight="1" x14ac:dyDescent="0.3">
      <c r="B30" s="1" t="s">
        <v>61</v>
      </c>
      <c r="E30" s="11"/>
      <c r="F30" s="11"/>
      <c r="G30" s="11"/>
      <c r="H30" s="11"/>
      <c r="I30" s="11"/>
      <c r="J30" s="7"/>
      <c r="K30" s="7"/>
      <c r="L30" s="7"/>
      <c r="M30" s="7"/>
      <c r="N30" s="7"/>
    </row>
    <row r="31" spans="2:21" ht="14.4" customHeight="1" x14ac:dyDescent="0.3">
      <c r="B31" s="4" t="s">
        <v>15</v>
      </c>
      <c r="E31" s="10"/>
      <c r="F31" s="10"/>
      <c r="G31" s="10"/>
      <c r="H31" s="10"/>
      <c r="I31" s="10">
        <v>0.53700000000000003</v>
      </c>
      <c r="J31" s="10"/>
      <c r="K31" s="10"/>
      <c r="L31" s="10"/>
      <c r="M31" s="10"/>
      <c r="N31" s="10"/>
      <c r="T31"/>
    </row>
    <row r="33" spans="2:20" ht="14.4" customHeight="1" x14ac:dyDescent="0.3">
      <c r="B33" s="1" t="s">
        <v>62</v>
      </c>
      <c r="E33" s="7"/>
      <c r="F33" s="7"/>
      <c r="G33" s="7"/>
      <c r="H33" s="7"/>
      <c r="I33" s="7"/>
      <c r="J33" s="7"/>
      <c r="K33" s="7"/>
      <c r="L33" s="7"/>
      <c r="M33" s="7"/>
      <c r="N33" s="7"/>
    </row>
    <row r="34" spans="2:20" ht="14.4" customHeight="1" x14ac:dyDescent="0.3">
      <c r="B34" s="4" t="s">
        <v>15</v>
      </c>
      <c r="E34" s="10"/>
      <c r="F34" s="10"/>
      <c r="G34" s="10"/>
      <c r="H34" s="10"/>
      <c r="I34" s="10"/>
      <c r="J34" s="10"/>
      <c r="K34" s="10"/>
      <c r="L34" s="10"/>
      <c r="M34" s="10"/>
      <c r="N34" s="10"/>
      <c r="T34"/>
    </row>
    <row r="36" spans="2:20" ht="14.4" customHeight="1" x14ac:dyDescent="0.3">
      <c r="B36" s="1" t="s">
        <v>63</v>
      </c>
      <c r="E36" s="11"/>
      <c r="F36" s="11"/>
      <c r="G36" s="11"/>
      <c r="H36" s="11"/>
      <c r="I36" s="11"/>
      <c r="J36" s="7"/>
      <c r="K36" s="7"/>
      <c r="L36" s="7"/>
      <c r="M36" s="7"/>
      <c r="N36" s="7"/>
    </row>
    <row r="37" spans="2:20" ht="14.4" customHeight="1" x14ac:dyDescent="0.3">
      <c r="B37" s="4" t="s">
        <v>15</v>
      </c>
      <c r="E37" s="10"/>
      <c r="F37" s="10"/>
      <c r="G37" s="10"/>
      <c r="H37" s="10"/>
      <c r="I37" s="10">
        <v>0.13400000000000001</v>
      </c>
      <c r="J37" s="10"/>
      <c r="K37" s="10"/>
      <c r="L37" s="10"/>
      <c r="M37" s="10"/>
      <c r="N37" s="10"/>
      <c r="T37"/>
    </row>
    <row r="38" spans="2:20" ht="14.4" customHeight="1" x14ac:dyDescent="0.3">
      <c r="T38"/>
    </row>
    <row r="39" spans="2:20" ht="14.4" customHeight="1" x14ac:dyDescent="0.3">
      <c r="B39" s="1" t="s">
        <v>64</v>
      </c>
      <c r="E39" s="11"/>
      <c r="F39" s="11"/>
      <c r="G39" s="11"/>
      <c r="H39" s="11"/>
      <c r="I39" s="11"/>
      <c r="J39" s="7"/>
      <c r="K39" s="7"/>
      <c r="L39" s="7"/>
      <c r="M39" s="7"/>
      <c r="N39" s="7"/>
    </row>
    <row r="40" spans="2:20" ht="14.4" customHeight="1" x14ac:dyDescent="0.3">
      <c r="B40" s="4" t="s">
        <v>15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2" spans="2:20" ht="14.4" customHeight="1" x14ac:dyDescent="0.3">
      <c r="B42" s="1" t="s">
        <v>12</v>
      </c>
      <c r="E42" s="27">
        <v>3706</v>
      </c>
      <c r="F42" s="27">
        <v>4196</v>
      </c>
      <c r="G42" s="27">
        <v>3978</v>
      </c>
      <c r="H42" s="27">
        <v>4870</v>
      </c>
      <c r="I42" s="27">
        <v>5510</v>
      </c>
      <c r="J42" s="43">
        <f>Segments!L80</f>
        <v>7252.3869999999997</v>
      </c>
      <c r="K42" s="43">
        <f>Segments!M80</f>
        <v>8055.5736899999993</v>
      </c>
      <c r="L42" s="43">
        <f>Segments!N80</f>
        <v>8841.7612125800006</v>
      </c>
      <c r="M42" s="43">
        <f>Segments!O80</f>
        <v>9741.8670727917015</v>
      </c>
      <c r="N42" s="43">
        <f>Segments!P80</f>
        <v>10688.806733598449</v>
      </c>
    </row>
    <row r="43" spans="2:20" ht="14.4" customHeight="1" x14ac:dyDescent="0.3">
      <c r="B43" s="4" t="s">
        <v>15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</row>
    <row r="45" spans="2:20" ht="14.4" customHeight="1" x14ac:dyDescent="0.3">
      <c r="B45" s="1" t="s">
        <v>13</v>
      </c>
      <c r="E45" s="11"/>
      <c r="F45" s="11"/>
      <c r="G45" s="11"/>
      <c r="H45" s="11"/>
      <c r="I45" s="11"/>
      <c r="J45" s="7"/>
      <c r="K45" s="7"/>
      <c r="L45" s="7"/>
      <c r="M45" s="7"/>
      <c r="N45" s="7"/>
    </row>
    <row r="46" spans="2:20" ht="14.4" customHeight="1" x14ac:dyDescent="0.3">
      <c r="B46" s="4" t="s">
        <v>14</v>
      </c>
      <c r="E46" s="10"/>
      <c r="F46" s="10"/>
      <c r="G46" s="10"/>
      <c r="H46" s="10"/>
      <c r="I46" s="10"/>
      <c r="J46" s="10"/>
      <c r="K46" s="10"/>
      <c r="L46" s="10"/>
      <c r="M46" s="10"/>
      <c r="N46" s="10"/>
    </row>
    <row r="48" spans="2:20" ht="14.4" customHeight="1" x14ac:dyDescent="0.3">
      <c r="B48" s="2" t="s">
        <v>16</v>
      </c>
      <c r="C48" s="2"/>
      <c r="D48" s="2"/>
      <c r="E48" s="2">
        <v>2021</v>
      </c>
      <c r="F48" s="2">
        <f>E48+1</f>
        <v>2022</v>
      </c>
      <c r="G48" s="2">
        <f>F48+1</f>
        <v>2023</v>
      </c>
      <c r="H48" s="2">
        <f>G48+1</f>
        <v>2024</v>
      </c>
      <c r="I48" s="2">
        <f>H48+1</f>
        <v>2025</v>
      </c>
      <c r="J48" s="3" t="s">
        <v>5</v>
      </c>
      <c r="K48" s="3" t="s">
        <v>6</v>
      </c>
      <c r="L48" s="3" t="s">
        <v>7</v>
      </c>
      <c r="M48" s="3" t="s">
        <v>8</v>
      </c>
      <c r="N48" s="3" t="s">
        <v>9</v>
      </c>
    </row>
    <row r="49" spans="2:19" s="20" customFormat="1" ht="1.95" customHeight="1" x14ac:dyDescent="0.3"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2"/>
      <c r="M49" s="22"/>
      <c r="N49" s="22"/>
      <c r="O49" s="22"/>
      <c r="P49" s="22"/>
    </row>
    <row r="50" spans="2:19" ht="14.4" customHeight="1" x14ac:dyDescent="0.3">
      <c r="B50" s="1" t="s">
        <v>17</v>
      </c>
      <c r="E50" s="27">
        <v>929</v>
      </c>
      <c r="F50" s="27">
        <v>956</v>
      </c>
      <c r="G50" s="27">
        <v>926</v>
      </c>
      <c r="H50" s="27">
        <v>924</v>
      </c>
      <c r="I50" s="27">
        <v>992</v>
      </c>
      <c r="J50" s="28">
        <f>J27*$I$51</f>
        <v>1050.385</v>
      </c>
      <c r="K50" s="28">
        <f>K27*$I$51</f>
        <v>1143.2750000000001</v>
      </c>
      <c r="L50" s="28">
        <f>L27*$I$51</f>
        <v>1290.6250000000002</v>
      </c>
      <c r="M50" s="28">
        <f>M27*$I$51</f>
        <v>1371.3000000000002</v>
      </c>
      <c r="N50" s="28">
        <f>N27*$I$51</f>
        <v>1508.43</v>
      </c>
    </row>
    <row r="51" spans="2:19" ht="14.4" customHeight="1" x14ac:dyDescent="0.3">
      <c r="B51" s="1" t="s">
        <v>15</v>
      </c>
      <c r="E51" s="46">
        <f>E50/E27</f>
        <v>4.7330344405950686E-2</v>
      </c>
      <c r="F51" s="46">
        <f>F50/F27</f>
        <v>4.6067848882035467E-2</v>
      </c>
      <c r="G51" s="46">
        <f>G50/G27</f>
        <v>3.9920675978617003E-2</v>
      </c>
      <c r="H51" s="46">
        <f>H50/H27</f>
        <v>3.7141249296567251E-2</v>
      </c>
      <c r="I51" s="46">
        <v>3.5000000000000003E-2</v>
      </c>
      <c r="J51" s="46">
        <f>J50/J27</f>
        <v>3.4999999999999996E-2</v>
      </c>
      <c r="K51" s="46">
        <f>K50/K27</f>
        <v>3.5000000000000003E-2</v>
      </c>
      <c r="L51" s="46">
        <f>L50/L27</f>
        <v>3.5000000000000003E-2</v>
      </c>
      <c r="M51" s="46">
        <f>M50/M27</f>
        <v>3.5000000000000003E-2</v>
      </c>
      <c r="N51" s="46">
        <f>N50/N27</f>
        <v>3.5000000000000003E-2</v>
      </c>
    </row>
    <row r="52" spans="2:19" ht="14.4" customHeight="1" x14ac:dyDescent="0.3">
      <c r="B52" s="1" t="s">
        <v>33</v>
      </c>
      <c r="E52" s="46">
        <f t="shared" ref="E52:N52" si="0">E50/E54</f>
        <v>1.6156521739130434</v>
      </c>
      <c r="F52" s="46">
        <f t="shared" si="0"/>
        <v>1.5986622073578596</v>
      </c>
      <c r="G52" s="46">
        <f t="shared" si="0"/>
        <v>1.2232496697490092</v>
      </c>
      <c r="H52" s="46">
        <f t="shared" si="0"/>
        <v>1.1435643564356435</v>
      </c>
      <c r="I52" s="46">
        <f t="shared" si="0"/>
        <v>30523.076923076922</v>
      </c>
      <c r="J52" s="46">
        <f t="shared" si="0"/>
        <v>1.0769230769230769</v>
      </c>
      <c r="K52" s="46">
        <f t="shared" si="0"/>
        <v>1.0769230769230771</v>
      </c>
      <c r="L52" s="46">
        <f t="shared" si="0"/>
        <v>1.0769230769230771</v>
      </c>
      <c r="M52" s="46">
        <f t="shared" si="0"/>
        <v>1.0769230769230769</v>
      </c>
      <c r="N52" s="46">
        <f t="shared" si="0"/>
        <v>1.0769230769230771</v>
      </c>
    </row>
    <row r="54" spans="2:19" ht="14.4" customHeight="1" x14ac:dyDescent="0.3">
      <c r="B54" s="1" t="s">
        <v>18</v>
      </c>
      <c r="E54" s="27">
        <v>575</v>
      </c>
      <c r="F54" s="27">
        <v>598</v>
      </c>
      <c r="G54" s="27">
        <v>757</v>
      </c>
      <c r="H54" s="27">
        <v>808</v>
      </c>
      <c r="I54" s="48">
        <v>3.2500000000000001E-2</v>
      </c>
      <c r="J54" s="28">
        <f>J27*$I$54</f>
        <v>975.35750000000007</v>
      </c>
      <c r="K54" s="28">
        <f>K27*$I$54</f>
        <v>1061.6125</v>
      </c>
      <c r="L54" s="28">
        <f>L27*$I$54</f>
        <v>1198.4375</v>
      </c>
      <c r="M54" s="28">
        <f>M27*$I$54</f>
        <v>1273.3500000000001</v>
      </c>
      <c r="N54" s="28">
        <f>N27*$I$54</f>
        <v>1400.6849999999999</v>
      </c>
    </row>
    <row r="55" spans="2:19" ht="14.4" customHeight="1" x14ac:dyDescent="0.3">
      <c r="B55" s="1" t="s">
        <v>66</v>
      </c>
      <c r="E55" s="31">
        <f>E54/E27</f>
        <v>2.9294884858365601E-2</v>
      </c>
      <c r="F55" s="31">
        <f>F54/F27</f>
        <v>2.8816499614494989E-2</v>
      </c>
      <c r="G55" s="31">
        <f>G54/G27</f>
        <v>3.2634937058113468E-2</v>
      </c>
      <c r="H55" s="31">
        <f>H54/H27</f>
        <v>3.2478495055872657E-2</v>
      </c>
      <c r="I55" s="48">
        <v>3.2500000000000001E-2</v>
      </c>
      <c r="J55" s="31">
        <f>J54/J27</f>
        <v>3.2500000000000001E-2</v>
      </c>
      <c r="K55" s="31">
        <f>K54/K27</f>
        <v>3.2500000000000001E-2</v>
      </c>
      <c r="L55" s="31">
        <f>L54/L27</f>
        <v>3.2500000000000001E-2</v>
      </c>
      <c r="M55" s="31">
        <f>M54/M27</f>
        <v>3.2500000000000001E-2</v>
      </c>
      <c r="N55" s="31">
        <f>N54/N27</f>
        <v>3.2500000000000001E-2</v>
      </c>
    </row>
    <row r="57" spans="2:19" ht="14.4" customHeight="1" x14ac:dyDescent="0.3">
      <c r="B57" s="1" t="s">
        <v>19</v>
      </c>
      <c r="E57" s="38">
        <v>-540</v>
      </c>
      <c r="F57" s="38">
        <v>-599</v>
      </c>
      <c r="G57" s="38">
        <v>-757</v>
      </c>
      <c r="H57" s="38">
        <v>-809</v>
      </c>
      <c r="I57" s="38">
        <v>-1104</v>
      </c>
      <c r="J57" s="39">
        <f>(J27-I27)*$I$58</f>
        <v>-127.2</v>
      </c>
      <c r="K57" s="39">
        <f>(K27-J27)*$I$58</f>
        <v>-132.70000000000002</v>
      </c>
      <c r="L57" s="39">
        <f>(L27-K27)*$I$58</f>
        <v>-210.5</v>
      </c>
      <c r="M57" s="39">
        <f>(M27-L27)*$I$58</f>
        <v>-115.25</v>
      </c>
      <c r="N57" s="39">
        <f>(N27-M27)*$I$58</f>
        <v>-195.9</v>
      </c>
    </row>
    <row r="58" spans="2:19" ht="14.4" customHeight="1" x14ac:dyDescent="0.3">
      <c r="B58" s="1" t="s">
        <v>15</v>
      </c>
      <c r="E58" s="50">
        <f>E57/E27</f>
        <v>-2.7511717953943346E-2</v>
      </c>
      <c r="F58" s="50">
        <f>F57/F27</f>
        <v>-2.8864687740940632E-2</v>
      </c>
      <c r="G58" s="50">
        <f>G57/G27</f>
        <v>-3.2634937058113468E-2</v>
      </c>
      <c r="H58" s="50">
        <f>H57/H27</f>
        <v>-3.2518691213120024E-2</v>
      </c>
      <c r="I58" s="51">
        <v>-0.05</v>
      </c>
      <c r="J58" s="50">
        <f>J57/J27</f>
        <v>-4.2384459031688379E-3</v>
      </c>
      <c r="K58" s="50">
        <f>K57/K27</f>
        <v>-4.0624521659268333E-3</v>
      </c>
      <c r="L58" s="50">
        <f>L57/L27</f>
        <v>-5.7084745762711869E-3</v>
      </c>
      <c r="M58" s="50">
        <f>M57/M27</f>
        <v>-2.9415518121490556E-3</v>
      </c>
      <c r="N58" s="50">
        <f>N57/N27</f>
        <v>-4.5454545454545452E-3</v>
      </c>
    </row>
    <row r="59" spans="2:19" ht="14.4" customHeight="1" x14ac:dyDescent="0.3">
      <c r="B59" s="1" t="s">
        <v>20</v>
      </c>
      <c r="E59" s="52">
        <f>E57/(E27-0)</f>
        <v>-2.7511717953943346E-2</v>
      </c>
      <c r="F59" s="52">
        <f t="shared" ref="F59:N59" si="1">F57/(F27-E27)</f>
        <v>-0.5329181494661922</v>
      </c>
      <c r="G59" s="52">
        <f t="shared" si="1"/>
        <v>-0.30973813420621932</v>
      </c>
      <c r="H59" s="52">
        <f t="shared" si="1"/>
        <v>-0.48097502972651607</v>
      </c>
      <c r="I59" s="52">
        <f t="shared" si="1"/>
        <v>-0.42641946697566629</v>
      </c>
      <c r="J59" s="52">
        <f t="shared" si="1"/>
        <v>-0.05</v>
      </c>
      <c r="K59" s="52">
        <f t="shared" si="1"/>
        <v>-5.000000000000001E-2</v>
      </c>
      <c r="L59" s="52">
        <f t="shared" si="1"/>
        <v>-0.05</v>
      </c>
      <c r="M59" s="52">
        <f t="shared" si="1"/>
        <v>-0.05</v>
      </c>
      <c r="N59" s="52">
        <f t="shared" si="1"/>
        <v>-0.05</v>
      </c>
    </row>
    <row r="61" spans="2:19" ht="14.4" customHeight="1" x14ac:dyDescent="0.3">
      <c r="B61" s="2" t="s">
        <v>21</v>
      </c>
      <c r="C61" s="2"/>
      <c r="D61" s="2"/>
      <c r="E61" s="2">
        <v>2021</v>
      </c>
      <c r="F61" s="2">
        <f>E61+1</f>
        <v>2022</v>
      </c>
      <c r="G61" s="2">
        <f>F61+1</f>
        <v>2023</v>
      </c>
      <c r="H61" s="2">
        <f>G61+1</f>
        <v>2024</v>
      </c>
      <c r="I61" s="2">
        <f>H61+1</f>
        <v>2025</v>
      </c>
      <c r="J61" s="3" t="s">
        <v>5</v>
      </c>
      <c r="K61" s="3" t="s">
        <v>6</v>
      </c>
      <c r="L61" s="3" t="s">
        <v>7</v>
      </c>
      <c r="M61" s="3" t="s">
        <v>8</v>
      </c>
      <c r="N61" s="3" t="s">
        <v>9</v>
      </c>
      <c r="O61" s="3" t="s">
        <v>165</v>
      </c>
      <c r="P61" s="3" t="s">
        <v>166</v>
      </c>
      <c r="Q61" s="3" t="s">
        <v>167</v>
      </c>
      <c r="R61" s="3" t="s">
        <v>168</v>
      </c>
    </row>
    <row r="62" spans="2:19" s="20" customFormat="1" ht="1.95" customHeight="1" x14ac:dyDescent="0.3"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2"/>
      <c r="M62" s="22"/>
      <c r="N62" s="22"/>
      <c r="O62" s="22"/>
      <c r="P62" s="22"/>
    </row>
    <row r="63" spans="2:19" ht="14.4" customHeight="1" x14ac:dyDescent="0.3">
      <c r="B63" s="1" t="s">
        <v>10</v>
      </c>
      <c r="E63" s="7">
        <v>19628</v>
      </c>
      <c r="F63" s="7">
        <v>20752</v>
      </c>
      <c r="G63" s="7">
        <v>23196</v>
      </c>
      <c r="H63" s="7">
        <v>24878</v>
      </c>
      <c r="I63" s="7">
        <v>27467.4</v>
      </c>
      <c r="J63" s="7">
        <f>I63*1.106</f>
        <v>30378.944400000004</v>
      </c>
      <c r="K63" s="7">
        <f>J63*1.096</f>
        <v>33295.323062400006</v>
      </c>
      <c r="L63" s="7">
        <f>K63*1.063</f>
        <v>35392.928415331204</v>
      </c>
      <c r="M63" s="7">
        <f>L63*1.09</f>
        <v>38578.291972711013</v>
      </c>
      <c r="N63" s="7">
        <f>M63*1.1</f>
        <v>42436.121169982114</v>
      </c>
      <c r="O63" s="7">
        <f>N63*1.09</f>
        <v>46255.372075280509</v>
      </c>
      <c r="P63" s="7">
        <f>O63*1.08</f>
        <v>49955.801841302957</v>
      </c>
      <c r="Q63" s="7">
        <f>P63*1.08</f>
        <v>53952.2659886072</v>
      </c>
      <c r="R63" s="7">
        <f>Q63*1.075</f>
        <v>57998.685937752736</v>
      </c>
      <c r="S63" s="7"/>
    </row>
    <row r="64" spans="2:19" ht="14.4" customHeight="1" x14ac:dyDescent="0.3">
      <c r="B64" s="4" t="s">
        <v>11</v>
      </c>
      <c r="C64" s="4"/>
      <c r="D64" s="4"/>
      <c r="E64" s="10"/>
      <c r="F64" s="10">
        <f>(F63-E63)/E63</f>
        <v>5.7265131444874669E-2</v>
      </c>
      <c r="G64" s="10">
        <f t="shared" ref="G64:N64" si="2">(G63-F63)/F63</f>
        <v>0.11777178103315343</v>
      </c>
      <c r="H64" s="10">
        <f t="shared" si="2"/>
        <v>7.2512502155544056E-2</v>
      </c>
      <c r="I64" s="10">
        <f t="shared" si="2"/>
        <v>0.10408392957633256</v>
      </c>
      <c r="J64" s="10">
        <f t="shared" si="2"/>
        <v>0.10600000000000008</v>
      </c>
      <c r="K64" s="10">
        <f t="shared" si="2"/>
        <v>9.6000000000000058E-2</v>
      </c>
      <c r="L64" s="10">
        <f t="shared" si="2"/>
        <v>6.2999999999999917E-2</v>
      </c>
      <c r="M64" s="10">
        <f t="shared" si="2"/>
        <v>9.0000000000000024E-2</v>
      </c>
      <c r="N64" s="10">
        <f t="shared" si="2"/>
        <v>0.1</v>
      </c>
      <c r="O64" s="10">
        <f t="shared" ref="O64" si="3">(O63-N63)/N63</f>
        <v>9.0000000000000108E-2</v>
      </c>
      <c r="P64" s="10">
        <f t="shared" ref="P64" si="4">(P63-O63)/O63</f>
        <v>8.000000000000014E-2</v>
      </c>
      <c r="Q64" s="10">
        <f t="shared" ref="Q64" si="5">(Q63-P63)/P63</f>
        <v>8.0000000000000127E-2</v>
      </c>
      <c r="R64" s="10">
        <f t="shared" ref="R64" si="6">(R63-Q63)/Q63</f>
        <v>7.4999999999999942E-2</v>
      </c>
    </row>
    <row r="65" spans="2:17" ht="14.4" customHeight="1" x14ac:dyDescent="0.3">
      <c r="E65" s="7"/>
      <c r="F65" s="7"/>
      <c r="G65" s="7"/>
      <c r="H65" s="7"/>
      <c r="I65" s="7"/>
      <c r="J65" s="7"/>
      <c r="K65" s="7"/>
      <c r="L65" s="7"/>
      <c r="M65" s="7"/>
      <c r="N65" s="7"/>
    </row>
    <row r="66" spans="2:17" ht="14.4" customHeight="1" x14ac:dyDescent="0.3">
      <c r="B66" s="1" t="s">
        <v>12</v>
      </c>
      <c r="E66" s="7">
        <f t="shared" ref="E66:N66" si="7">E42</f>
        <v>3706</v>
      </c>
      <c r="F66" s="7">
        <f t="shared" si="7"/>
        <v>4196</v>
      </c>
      <c r="G66" s="7">
        <f t="shared" si="7"/>
        <v>3978</v>
      </c>
      <c r="H66" s="7">
        <f t="shared" si="7"/>
        <v>4870</v>
      </c>
      <c r="I66" s="7">
        <f t="shared" si="7"/>
        <v>5510</v>
      </c>
      <c r="J66" s="7">
        <f t="shared" si="7"/>
        <v>7252.3869999999997</v>
      </c>
      <c r="K66" s="7">
        <f t="shared" si="7"/>
        <v>8055.5736899999993</v>
      </c>
      <c r="L66" s="7">
        <f t="shared" si="7"/>
        <v>8841.7612125800006</v>
      </c>
      <c r="M66" s="7">
        <f t="shared" si="7"/>
        <v>9741.8670727917015</v>
      </c>
      <c r="N66" s="7">
        <f t="shared" si="7"/>
        <v>10688.806733598449</v>
      </c>
    </row>
    <row r="67" spans="2:17" ht="14.4" customHeight="1" x14ac:dyDescent="0.3">
      <c r="B67" s="4" t="s">
        <v>15</v>
      </c>
      <c r="C67" s="4"/>
      <c r="D67" s="4"/>
      <c r="E67" s="10">
        <f t="shared" ref="E67:N67" si="8">E66/E63</f>
        <v>0.18881190136539638</v>
      </c>
      <c r="F67" s="10">
        <f t="shared" si="8"/>
        <v>0.20219737856592135</v>
      </c>
      <c r="G67" s="10">
        <f t="shared" si="8"/>
        <v>0.17149508535954475</v>
      </c>
      <c r="H67" s="10">
        <f t="shared" si="8"/>
        <v>0.19575528579467802</v>
      </c>
      <c r="I67" s="10">
        <f t="shared" si="8"/>
        <v>0.20060144025280877</v>
      </c>
      <c r="J67" s="10">
        <f t="shared" si="8"/>
        <v>0.23873071113030506</v>
      </c>
      <c r="K67" s="10">
        <f t="shared" si="8"/>
        <v>0.2419431003838812</v>
      </c>
      <c r="L67" s="10">
        <f t="shared" si="8"/>
        <v>0.24981716993923572</v>
      </c>
      <c r="M67" s="10">
        <f t="shared" si="8"/>
        <v>0.25252199033805778</v>
      </c>
      <c r="N67" s="10">
        <f t="shared" si="8"/>
        <v>0.25187991830788131</v>
      </c>
    </row>
    <row r="68" spans="2:17" ht="14.4" customHeight="1" x14ac:dyDescent="0.3">
      <c r="J68" s="7"/>
      <c r="K68" s="7"/>
      <c r="L68" s="7"/>
      <c r="M68" s="7"/>
      <c r="N68" s="7"/>
    </row>
    <row r="69" spans="2:17" ht="14.4" customHeight="1" x14ac:dyDescent="0.3">
      <c r="B69" s="1" t="s">
        <v>13</v>
      </c>
      <c r="E69" s="7">
        <f t="shared" ref="E69:N69" si="9">E45</f>
        <v>0</v>
      </c>
      <c r="F69" s="7">
        <f t="shared" si="9"/>
        <v>0</v>
      </c>
      <c r="G69" s="7">
        <f t="shared" si="9"/>
        <v>0</v>
      </c>
      <c r="H69" s="7">
        <f t="shared" si="9"/>
        <v>0</v>
      </c>
      <c r="I69" s="7">
        <f t="shared" si="9"/>
        <v>0</v>
      </c>
      <c r="J69" s="7">
        <f t="shared" si="9"/>
        <v>0</v>
      </c>
      <c r="K69" s="7">
        <f t="shared" si="9"/>
        <v>0</v>
      </c>
      <c r="L69" s="7">
        <f t="shared" si="9"/>
        <v>0</v>
      </c>
      <c r="M69" s="7">
        <f t="shared" si="9"/>
        <v>0</v>
      </c>
      <c r="N69" s="7">
        <f t="shared" si="9"/>
        <v>0</v>
      </c>
    </row>
    <row r="70" spans="2:17" ht="14.4" customHeight="1" x14ac:dyDescent="0.3">
      <c r="B70" s="4" t="s">
        <v>14</v>
      </c>
      <c r="C70" s="4"/>
      <c r="D70" s="4"/>
      <c r="E70" s="10">
        <f t="shared" ref="E70:N70" si="10">E69/E66</f>
        <v>0</v>
      </c>
      <c r="F70" s="10">
        <f t="shared" si="10"/>
        <v>0</v>
      </c>
      <c r="G70" s="10">
        <f t="shared" si="10"/>
        <v>0</v>
      </c>
      <c r="H70" s="10">
        <f t="shared" si="10"/>
        <v>0</v>
      </c>
      <c r="I70" s="10">
        <f t="shared" si="10"/>
        <v>0</v>
      </c>
      <c r="J70" s="10">
        <f t="shared" si="10"/>
        <v>0</v>
      </c>
      <c r="K70" s="10">
        <f t="shared" si="10"/>
        <v>0</v>
      </c>
      <c r="L70" s="10">
        <f t="shared" si="10"/>
        <v>0</v>
      </c>
      <c r="M70" s="10">
        <f t="shared" si="10"/>
        <v>0</v>
      </c>
      <c r="N70" s="10">
        <f t="shared" si="10"/>
        <v>0</v>
      </c>
    </row>
    <row r="72" spans="2:17" ht="14.4" customHeight="1" x14ac:dyDescent="0.3">
      <c r="B72" s="1" t="s">
        <v>22</v>
      </c>
      <c r="E72" s="7">
        <f t="shared" ref="E72:N72" si="11">E66-E69</f>
        <v>3706</v>
      </c>
      <c r="F72" s="7">
        <f t="shared" si="11"/>
        <v>4196</v>
      </c>
      <c r="G72" s="7">
        <f t="shared" si="11"/>
        <v>3978</v>
      </c>
      <c r="H72" s="7">
        <f t="shared" si="11"/>
        <v>4870</v>
      </c>
      <c r="I72" s="7">
        <f t="shared" si="11"/>
        <v>5510</v>
      </c>
      <c r="J72" s="7">
        <f t="shared" si="11"/>
        <v>7252.3869999999997</v>
      </c>
      <c r="K72" s="7">
        <f t="shared" si="11"/>
        <v>8055.5736899999993</v>
      </c>
      <c r="L72" s="7">
        <f t="shared" si="11"/>
        <v>8841.7612125800006</v>
      </c>
      <c r="M72" s="7">
        <f t="shared" si="11"/>
        <v>9741.8670727917015</v>
      </c>
      <c r="N72" s="7">
        <f t="shared" si="11"/>
        <v>10688.806733598449</v>
      </c>
    </row>
    <row r="74" spans="2:17" ht="14.4" customHeight="1" x14ac:dyDescent="0.3">
      <c r="B74" s="1" t="s">
        <v>17</v>
      </c>
      <c r="E74" s="7">
        <f t="shared" ref="E74:N74" si="12">E50</f>
        <v>929</v>
      </c>
      <c r="F74" s="7">
        <f t="shared" si="12"/>
        <v>956</v>
      </c>
      <c r="G74" s="7">
        <f t="shared" si="12"/>
        <v>926</v>
      </c>
      <c r="H74" s="7">
        <f t="shared" si="12"/>
        <v>924</v>
      </c>
      <c r="I74" s="7">
        <f t="shared" si="12"/>
        <v>992</v>
      </c>
      <c r="J74" s="7">
        <f t="shared" si="12"/>
        <v>1050.385</v>
      </c>
      <c r="K74" s="7">
        <f t="shared" si="12"/>
        <v>1143.2750000000001</v>
      </c>
      <c r="L74" s="7">
        <f t="shared" si="12"/>
        <v>1290.6250000000002</v>
      </c>
      <c r="M74" s="7">
        <f t="shared" si="12"/>
        <v>1371.3000000000002</v>
      </c>
      <c r="N74" s="7">
        <f t="shared" si="12"/>
        <v>1508.43</v>
      </c>
    </row>
    <row r="75" spans="2:17" ht="14.4" customHeight="1" x14ac:dyDescent="0.3">
      <c r="B75" s="4" t="s">
        <v>15</v>
      </c>
      <c r="C75" s="4"/>
      <c r="D75" s="4"/>
      <c r="E75" s="10">
        <f t="shared" ref="E75:N75" si="13">E74/E63</f>
        <v>4.7330344405950686E-2</v>
      </c>
      <c r="F75" s="10">
        <f t="shared" si="13"/>
        <v>4.6067848882035467E-2</v>
      </c>
      <c r="G75" s="10">
        <f t="shared" si="13"/>
        <v>3.9920675978617003E-2</v>
      </c>
      <c r="H75" s="10">
        <f t="shared" si="13"/>
        <v>3.7141249296567251E-2</v>
      </c>
      <c r="I75" s="10">
        <f t="shared" si="13"/>
        <v>3.6115540604498425E-2</v>
      </c>
      <c r="J75" s="10">
        <f t="shared" si="13"/>
        <v>3.4576086192119299E-2</v>
      </c>
      <c r="K75" s="10">
        <f t="shared" si="13"/>
        <v>3.4337405222269378E-2</v>
      </c>
      <c r="L75" s="10">
        <f t="shared" si="13"/>
        <v>3.6465617788239819E-2</v>
      </c>
      <c r="M75" s="10">
        <f t="shared" si="13"/>
        <v>3.554589718409544E-2</v>
      </c>
      <c r="N75" s="10">
        <f t="shared" si="13"/>
        <v>3.554589718409544E-2</v>
      </c>
    </row>
    <row r="77" spans="2:17" ht="14.4" customHeight="1" x14ac:dyDescent="0.3">
      <c r="B77" s="1" t="s">
        <v>18</v>
      </c>
      <c r="E77" s="7">
        <f t="shared" ref="E77:N77" si="14">E54</f>
        <v>575</v>
      </c>
      <c r="F77" s="7">
        <f t="shared" si="14"/>
        <v>598</v>
      </c>
      <c r="G77" s="7">
        <f t="shared" si="14"/>
        <v>757</v>
      </c>
      <c r="H77" s="7">
        <f t="shared" si="14"/>
        <v>808</v>
      </c>
      <c r="I77" s="7">
        <f t="shared" si="14"/>
        <v>3.2500000000000001E-2</v>
      </c>
      <c r="J77" s="7">
        <f t="shared" si="14"/>
        <v>975.35750000000007</v>
      </c>
      <c r="K77" s="7">
        <f t="shared" si="14"/>
        <v>1061.6125</v>
      </c>
      <c r="L77" s="7">
        <f t="shared" si="14"/>
        <v>1198.4375</v>
      </c>
      <c r="M77" s="7">
        <f t="shared" si="14"/>
        <v>1273.3500000000001</v>
      </c>
      <c r="N77" s="7">
        <f t="shared" si="14"/>
        <v>1400.6849999999999</v>
      </c>
      <c r="Q77" s="7"/>
    </row>
    <row r="78" spans="2:17" ht="14.4" customHeight="1" x14ac:dyDescent="0.3">
      <c r="B78" s="4" t="s">
        <v>15</v>
      </c>
      <c r="C78" s="4"/>
      <c r="D78" s="4"/>
      <c r="E78" s="10">
        <f t="shared" ref="E78:N78" si="15">E77/E63</f>
        <v>2.9294884858365601E-2</v>
      </c>
      <c r="F78" s="10">
        <f t="shared" si="15"/>
        <v>2.8816499614494989E-2</v>
      </c>
      <c r="G78" s="10">
        <f t="shared" si="15"/>
        <v>3.2634937058113468E-2</v>
      </c>
      <c r="H78" s="10">
        <f t="shared" si="15"/>
        <v>3.2478495055872657E-2</v>
      </c>
      <c r="I78" s="10">
        <f t="shared" si="15"/>
        <v>1.183220836336894E-6</v>
      </c>
      <c r="J78" s="10">
        <f t="shared" si="15"/>
        <v>3.2106365749825068E-2</v>
      </c>
      <c r="K78" s="10">
        <f t="shared" si="15"/>
        <v>3.1884733420678706E-2</v>
      </c>
      <c r="L78" s="10">
        <f t="shared" si="15"/>
        <v>3.3860930803365545E-2</v>
      </c>
      <c r="M78" s="10">
        <f t="shared" si="15"/>
        <v>3.3006904528088625E-2</v>
      </c>
      <c r="N78" s="10">
        <f t="shared" si="15"/>
        <v>3.3006904528088618E-2</v>
      </c>
    </row>
    <row r="80" spans="2:17" ht="14.4" customHeight="1" x14ac:dyDescent="0.3">
      <c r="B80" s="1" t="s">
        <v>19</v>
      </c>
      <c r="E80" s="12">
        <f t="shared" ref="E80:N80" si="16">E57</f>
        <v>-540</v>
      </c>
      <c r="F80" s="12">
        <f t="shared" si="16"/>
        <v>-599</v>
      </c>
      <c r="G80" s="12">
        <f t="shared" si="16"/>
        <v>-757</v>
      </c>
      <c r="H80" s="12">
        <f t="shared" si="16"/>
        <v>-809</v>
      </c>
      <c r="I80" s="12">
        <f t="shared" si="16"/>
        <v>-1104</v>
      </c>
      <c r="J80" s="12">
        <f t="shared" si="16"/>
        <v>-127.2</v>
      </c>
      <c r="K80" s="12">
        <f t="shared" si="16"/>
        <v>-132.70000000000002</v>
      </c>
      <c r="L80" s="12">
        <f t="shared" si="16"/>
        <v>-210.5</v>
      </c>
      <c r="M80" s="12">
        <f t="shared" si="16"/>
        <v>-115.25</v>
      </c>
      <c r="N80" s="12">
        <f t="shared" si="16"/>
        <v>-195.9</v>
      </c>
    </row>
    <row r="81" spans="2:24" ht="14.4" customHeight="1" x14ac:dyDescent="0.3">
      <c r="B81" s="4" t="s">
        <v>15</v>
      </c>
      <c r="C81" s="4"/>
      <c r="D81" s="4"/>
      <c r="E81" s="10">
        <f t="shared" ref="E81:N81" si="17">E80/E63</f>
        <v>-2.7511717953943346E-2</v>
      </c>
      <c r="F81" s="10">
        <f t="shared" si="17"/>
        <v>-2.8864687740940632E-2</v>
      </c>
      <c r="G81" s="10">
        <f t="shared" si="17"/>
        <v>-3.2634937058113468E-2</v>
      </c>
      <c r="H81" s="10">
        <f t="shared" si="17"/>
        <v>-3.2518691213120024E-2</v>
      </c>
      <c r="I81" s="10">
        <f t="shared" si="17"/>
        <v>-4.0193101640490177E-2</v>
      </c>
      <c r="J81" s="10">
        <f t="shared" si="17"/>
        <v>-4.1871105962457333E-3</v>
      </c>
      <c r="K81" s="10">
        <f t="shared" si="17"/>
        <v>-3.9855447490718746E-3</v>
      </c>
      <c r="L81" s="10">
        <f t="shared" si="17"/>
        <v>-5.9475157729196948E-3</v>
      </c>
      <c r="M81" s="10">
        <f t="shared" si="17"/>
        <v>-2.9874313793239985E-3</v>
      </c>
      <c r="N81" s="10">
        <f t="shared" si="17"/>
        <v>-4.6163502836487581E-3</v>
      </c>
    </row>
    <row r="82" spans="2:24" ht="14.4" customHeight="1" x14ac:dyDescent="0.3">
      <c r="B82" s="4"/>
      <c r="C82" s="4"/>
      <c r="D82" s="4"/>
      <c r="E82" s="10"/>
      <c r="F82" s="10"/>
      <c r="G82" s="10"/>
      <c r="H82" s="10"/>
      <c r="I82" s="10"/>
      <c r="J82" s="10"/>
      <c r="K82" s="10"/>
      <c r="L82" s="10"/>
      <c r="M82" s="10"/>
      <c r="N82" s="10"/>
    </row>
    <row r="83" spans="2:24" ht="14.4" customHeight="1" x14ac:dyDescent="0.3">
      <c r="B83" s="1" t="s">
        <v>70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  <c r="J83" s="12">
        <f>J63*$I$84</f>
        <v>0</v>
      </c>
      <c r="K83" s="12">
        <f>K63*$I$84</f>
        <v>0</v>
      </c>
      <c r="L83" s="12">
        <f>L63*$I$84</f>
        <v>0</v>
      </c>
      <c r="M83" s="12">
        <f>M63*$I$84</f>
        <v>0</v>
      </c>
      <c r="N83" s="12">
        <f>N63*$I$84</f>
        <v>0</v>
      </c>
    </row>
    <row r="84" spans="2:24" ht="14.4" customHeight="1" x14ac:dyDescent="0.3">
      <c r="B84" s="4" t="s">
        <v>15</v>
      </c>
      <c r="C84" s="4"/>
      <c r="D84" s="4"/>
      <c r="E84" s="10">
        <f>E83/E63</f>
        <v>0</v>
      </c>
      <c r="F84" s="10">
        <f>F83/F63</f>
        <v>0</v>
      </c>
      <c r="G84" s="10">
        <f>G83/G63</f>
        <v>0</v>
      </c>
      <c r="H84" s="10">
        <f>H83/H63</f>
        <v>0</v>
      </c>
      <c r="I84" s="10">
        <v>0</v>
      </c>
      <c r="J84" s="10">
        <f>J83/J63</f>
        <v>0</v>
      </c>
      <c r="K84" s="10">
        <f>K83/K63</f>
        <v>0</v>
      </c>
      <c r="L84" s="10">
        <f>L83/L63</f>
        <v>0</v>
      </c>
      <c r="M84" s="10">
        <f>M83/M63</f>
        <v>0</v>
      </c>
      <c r="N84" s="10">
        <f>N83/N63</f>
        <v>0</v>
      </c>
    </row>
    <row r="86" spans="2:24" ht="14.4" customHeight="1" x14ac:dyDescent="0.3">
      <c r="B86" s="1" t="s">
        <v>23</v>
      </c>
      <c r="E86" s="11">
        <v>2128</v>
      </c>
      <c r="F86" s="11">
        <v>1935</v>
      </c>
      <c r="G86" s="11">
        <v>2867</v>
      </c>
      <c r="H86" s="11">
        <v>3518</v>
      </c>
      <c r="I86" s="11">
        <v>3761.44</v>
      </c>
      <c r="J86" s="7">
        <v>4334.07</v>
      </c>
      <c r="K86" s="7">
        <v>5150.88</v>
      </c>
      <c r="L86" s="7">
        <f>L63*0.16</f>
        <v>5662.8685464529926</v>
      </c>
      <c r="M86" s="7">
        <f>M63*0.165</f>
        <v>6365.4181754973179</v>
      </c>
      <c r="N86" s="7">
        <f>N63*0.17</f>
        <v>7214.14059889696</v>
      </c>
      <c r="O86" s="7">
        <f>O63*0.18</f>
        <v>8325.9669735504922</v>
      </c>
      <c r="P86" s="7">
        <f t="shared" ref="P86:R86" si="18">P63*0.18</f>
        <v>8992.0443314345321</v>
      </c>
      <c r="Q86" s="7">
        <f t="shared" si="18"/>
        <v>9711.4078779492957</v>
      </c>
      <c r="R86" s="7">
        <f t="shared" si="18"/>
        <v>10439.763468795492</v>
      </c>
      <c r="S86" s="7"/>
      <c r="T86" s="7"/>
      <c r="U86" s="7"/>
      <c r="V86" s="7"/>
      <c r="W86" s="7"/>
      <c r="X86" s="7"/>
    </row>
    <row r="87" spans="2:24" ht="14.4" customHeight="1" x14ac:dyDescent="0.3">
      <c r="B87" s="4" t="s">
        <v>15</v>
      </c>
      <c r="C87" s="4"/>
      <c r="D87" s="4"/>
      <c r="E87" s="10">
        <f t="shared" ref="E87:N87" si="19">E86/E63</f>
        <v>0.10841654778887304</v>
      </c>
      <c r="F87" s="10">
        <f t="shared" si="19"/>
        <v>9.3244024672320736E-2</v>
      </c>
      <c r="G87" s="10">
        <f t="shared" si="19"/>
        <v>0.12359889636144163</v>
      </c>
      <c r="H87" s="10">
        <f t="shared" si="19"/>
        <v>0.14141008119623763</v>
      </c>
      <c r="I87" s="10">
        <f t="shared" si="19"/>
        <v>0.13694197485018603</v>
      </c>
      <c r="J87" s="10">
        <f t="shared" si="19"/>
        <v>0.14266690583231717</v>
      </c>
      <c r="K87" s="10">
        <f t="shared" si="19"/>
        <v>0.15470280887037929</v>
      </c>
      <c r="L87" s="10">
        <f t="shared" si="19"/>
        <v>0.16</v>
      </c>
      <c r="M87" s="10">
        <f t="shared" si="19"/>
        <v>0.16500000000000001</v>
      </c>
      <c r="N87" s="10">
        <f t="shared" si="19"/>
        <v>0.17</v>
      </c>
      <c r="O87" s="10">
        <f t="shared" ref="O87:R87" si="20">O86/O63</f>
        <v>0.18000000000000002</v>
      </c>
      <c r="P87" s="10">
        <f t="shared" si="20"/>
        <v>0.18</v>
      </c>
      <c r="Q87" s="10">
        <f t="shared" si="20"/>
        <v>0.18</v>
      </c>
      <c r="R87" s="10">
        <f t="shared" si="20"/>
        <v>0.18</v>
      </c>
    </row>
    <row r="88" spans="2:24" ht="14.4" customHeight="1" x14ac:dyDescent="0.3">
      <c r="B88" s="4"/>
      <c r="C88" s="4"/>
      <c r="D88" s="4"/>
      <c r="E88" s="10"/>
      <c r="F88" s="10"/>
      <c r="G88" s="10"/>
      <c r="H88" s="10"/>
      <c r="I88" s="10"/>
      <c r="J88" s="10"/>
      <c r="K88" s="10"/>
      <c r="L88" s="10"/>
      <c r="M88" s="10"/>
      <c r="N88" s="10"/>
    </row>
    <row r="89" spans="2:24" ht="14.4" customHeight="1" x14ac:dyDescent="0.3">
      <c r="B89" s="1" t="s">
        <v>162</v>
      </c>
      <c r="J89" s="1">
        <v>0.5</v>
      </c>
      <c r="K89" s="1">
        <f>J89+1</f>
        <v>1.5</v>
      </c>
      <c r="L89" s="1">
        <f t="shared" ref="L89:N89" si="21">K89+1</f>
        <v>2.5</v>
      </c>
      <c r="M89" s="1">
        <f t="shared" si="21"/>
        <v>3.5</v>
      </c>
      <c r="N89" s="1">
        <f t="shared" si="21"/>
        <v>4.5</v>
      </c>
      <c r="O89" s="1">
        <f t="shared" ref="O89:R89" si="22">N89+1</f>
        <v>5.5</v>
      </c>
      <c r="P89" s="1">
        <f t="shared" si="22"/>
        <v>6.5</v>
      </c>
      <c r="Q89" s="1">
        <f t="shared" si="22"/>
        <v>7.5</v>
      </c>
      <c r="R89" s="1">
        <f t="shared" si="22"/>
        <v>8.5</v>
      </c>
      <c r="V89" s="24"/>
    </row>
    <row r="90" spans="2:24" ht="14.4" customHeight="1" x14ac:dyDescent="0.3">
      <c r="B90" s="1" t="s">
        <v>163</v>
      </c>
      <c r="J90" s="9">
        <f>1/(1+$U$7)^J89</f>
        <v>0.95716790987570799</v>
      </c>
      <c r="K90" s="9">
        <f t="shared" ref="K90:N90" si="23">1/(1+$U$7)^K89</f>
        <v>0.87692891422419428</v>
      </c>
      <c r="L90" s="9">
        <f t="shared" si="23"/>
        <v>0.803416320865043</v>
      </c>
      <c r="M90" s="9">
        <f t="shared" si="23"/>
        <v>0.73606625823641136</v>
      </c>
      <c r="N90" s="9">
        <f t="shared" si="23"/>
        <v>0.67436212389959815</v>
      </c>
      <c r="O90" s="9">
        <f t="shared" ref="O90" si="24">1/(1+$U$7)^O89</f>
        <v>0.61783062198772165</v>
      </c>
      <c r="P90" s="9">
        <f t="shared" ref="P90" si="25">1/(1+$U$7)^P89</f>
        <v>0.56603813283346016</v>
      </c>
      <c r="Q90" s="9">
        <f t="shared" ref="Q90" si="26">1/(1+$U$7)^Q89</f>
        <v>0.51858738692941841</v>
      </c>
      <c r="R90" s="9">
        <f t="shared" ref="R90" si="27">1/(1+$U$7)^R89</f>
        <v>0.47511441770904123</v>
      </c>
      <c r="V90" s="24"/>
    </row>
    <row r="91" spans="2:24" ht="14.4" customHeight="1" x14ac:dyDescent="0.3">
      <c r="B91" s="1" t="s">
        <v>24</v>
      </c>
      <c r="I91" s="7"/>
      <c r="J91" s="7">
        <f>J86*J90</f>
        <v>4148.4327231550096</v>
      </c>
      <c r="K91" s="7">
        <f t="shared" ref="K91:N91" si="28">K86*K90</f>
        <v>4516.9556056991178</v>
      </c>
      <c r="L91" s="7">
        <f t="shared" si="28"/>
        <v>4549.641013133637</v>
      </c>
      <c r="M91" s="7">
        <f t="shared" si="28"/>
        <v>4685.3695385483552</v>
      </c>
      <c r="N91" s="7">
        <f t="shared" si="28"/>
        <v>4864.9431763824732</v>
      </c>
      <c r="O91" s="7">
        <f t="shared" ref="O91" si="29">O86*O90</f>
        <v>5144.0373539179291</v>
      </c>
      <c r="P91" s="7">
        <f t="shared" ref="P91" si="30">P86*P90</f>
        <v>5089.8399837209017</v>
      </c>
      <c r="Q91" s="7">
        <f t="shared" ref="Q91" si="31">Q86*Q90</f>
        <v>5036.2136348314934</v>
      </c>
      <c r="R91" s="7">
        <f t="shared" ref="R91" si="32">R86*R90</f>
        <v>4960.0821414968905</v>
      </c>
      <c r="V91" s="7"/>
    </row>
    <row r="93" spans="2:24" ht="14.4" customHeight="1" x14ac:dyDescent="0.3">
      <c r="B93" s="2" t="s">
        <v>151</v>
      </c>
      <c r="C93" s="2"/>
      <c r="D93" s="2"/>
      <c r="E93" s="2"/>
      <c r="F93" s="2"/>
      <c r="G93" s="2"/>
      <c r="H93" s="2"/>
      <c r="I93" s="2"/>
      <c r="J93" s="3"/>
      <c r="K93" s="3"/>
      <c r="L93" s="3"/>
      <c r="M93" s="3"/>
      <c r="N93" s="3"/>
    </row>
    <row r="94" spans="2:24" s="20" customFormat="1" ht="1.95" customHeight="1" x14ac:dyDescent="0.3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2"/>
      <c r="M94" s="22"/>
      <c r="N94" s="22"/>
      <c r="O94" s="22"/>
      <c r="P94" s="22"/>
    </row>
    <row r="95" spans="2:24" ht="14.4" customHeight="1" x14ac:dyDescent="0.3">
      <c r="B95" s="56" t="s">
        <v>152</v>
      </c>
      <c r="E95" s="6"/>
      <c r="F95" s="6"/>
      <c r="G95" s="6"/>
      <c r="H95" s="6"/>
      <c r="I95" s="6"/>
      <c r="J95" s="6"/>
      <c r="K95" s="6"/>
    </row>
    <row r="96" spans="2:24" ht="14.4" customHeight="1" x14ac:dyDescent="0.3">
      <c r="B96" s="32" t="s">
        <v>153</v>
      </c>
      <c r="E96" s="11"/>
      <c r="F96" s="11"/>
      <c r="G96" s="11"/>
      <c r="H96" s="11"/>
      <c r="I96" s="11"/>
      <c r="J96" s="11"/>
      <c r="K96" s="11"/>
    </row>
    <row r="97" spans="2:11" ht="14.4" customHeight="1" x14ac:dyDescent="0.3">
      <c r="B97" s="32" t="s">
        <v>154</v>
      </c>
    </row>
    <row r="98" spans="2:11" ht="14.4" customHeight="1" x14ac:dyDescent="0.3">
      <c r="B98" s="32" t="s">
        <v>155</v>
      </c>
      <c r="E98" s="7"/>
      <c r="F98" s="7"/>
      <c r="G98" s="7"/>
      <c r="H98" s="7"/>
      <c r="I98" s="7"/>
      <c r="J98" s="7"/>
      <c r="K98" s="7"/>
    </row>
    <row r="99" spans="2:11" ht="14.4" customHeight="1" x14ac:dyDescent="0.3">
      <c r="B99" s="32" t="s">
        <v>156</v>
      </c>
      <c r="E99" s="11"/>
      <c r="F99" s="11"/>
      <c r="G99" s="11"/>
      <c r="H99" s="11"/>
      <c r="I99" s="11"/>
      <c r="J99" s="11"/>
      <c r="K99" s="11"/>
    </row>
    <row r="100" spans="2:11" ht="14.4" customHeight="1" x14ac:dyDescent="0.3">
      <c r="B100" s="57" t="s">
        <v>157</v>
      </c>
      <c r="C100" s="5"/>
      <c r="D100" s="5"/>
      <c r="E100" s="8"/>
      <c r="F100" s="8"/>
      <c r="G100" s="8"/>
      <c r="H100" s="8"/>
      <c r="I100" s="8"/>
      <c r="J100" s="8"/>
      <c r="K100" s="8"/>
    </row>
    <row r="101" spans="2:11" ht="14.4" customHeight="1" x14ac:dyDescent="0.3">
      <c r="B101" s="1" t="s">
        <v>30</v>
      </c>
      <c r="E101" s="7"/>
      <c r="F101" s="7"/>
      <c r="G101" s="7"/>
      <c r="H101" s="7"/>
      <c r="I101" s="7"/>
      <c r="J101" s="7"/>
      <c r="K101" s="7"/>
    </row>
    <row r="102" spans="2:11" ht="14.4" customHeight="1" x14ac:dyDescent="0.3">
      <c r="B102" s="33" t="s">
        <v>158</v>
      </c>
    </row>
  </sheetData>
  <mergeCells count="8">
    <mergeCell ref="I7:K7"/>
    <mergeCell ref="I12:K12"/>
    <mergeCell ref="T11:U11"/>
    <mergeCell ref="T22:U22"/>
    <mergeCell ref="I11:K11"/>
    <mergeCell ref="I10:K10"/>
    <mergeCell ref="I9:K9"/>
    <mergeCell ref="I8:K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55C1-F80B-4C2F-AFEE-9D4756B0A66A}">
  <dimension ref="A4:S80"/>
  <sheetViews>
    <sheetView showGridLines="0" zoomScale="130" zoomScaleNormal="130" workbookViewId="0">
      <selection activeCell="B20" sqref="B20"/>
    </sheetView>
  </sheetViews>
  <sheetFormatPr defaultColWidth="8.69921875" defaultRowHeight="14.4" customHeight="1" x14ac:dyDescent="0.3"/>
  <cols>
    <col min="1" max="1" width="3.69921875" style="1" customWidth="1"/>
    <col min="2" max="5" width="8.69921875" style="1"/>
    <col min="6" max="6" width="8.69921875" style="1" customWidth="1"/>
    <col min="7" max="12" width="8.69921875" style="1"/>
    <col min="13" max="15" width="8.69921875" style="1" customWidth="1"/>
    <col min="16" max="16384" width="8.69921875" style="1"/>
  </cols>
  <sheetData>
    <row r="4" spans="1:19" ht="14.4" customHeight="1" x14ac:dyDescent="0.3">
      <c r="A4" s="15" t="s">
        <v>159</v>
      </c>
      <c r="B4" s="2" t="s">
        <v>144</v>
      </c>
      <c r="C4" s="2"/>
      <c r="D4" s="2"/>
      <c r="E4" s="2"/>
      <c r="F4" s="2"/>
      <c r="G4" s="2">
        <v>2021</v>
      </c>
      <c r="H4" s="2">
        <v>2022</v>
      </c>
      <c r="I4" s="2">
        <v>2023</v>
      </c>
      <c r="J4" s="3">
        <v>2024</v>
      </c>
      <c r="K4" s="3">
        <v>2025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74" t="s">
        <v>44</v>
      </c>
      <c r="R4" s="74"/>
      <c r="S4" s="74"/>
    </row>
    <row r="5" spans="1:19" s="20" customFormat="1" ht="1.95" customHeight="1" x14ac:dyDescent="0.3">
      <c r="B5" s="25" t="s">
        <v>71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2"/>
      <c r="N5" s="22"/>
      <c r="O5" s="22"/>
      <c r="P5" s="22"/>
      <c r="Q5" s="22"/>
    </row>
    <row r="6" spans="1:19" ht="14.4" customHeight="1" x14ac:dyDescent="0.3">
      <c r="B6" s="26" t="s">
        <v>161</v>
      </c>
      <c r="G6" s="65">
        <f>G15*0.45</f>
        <v>3258.9</v>
      </c>
      <c r="H6" s="65">
        <f>H15*0.47</f>
        <v>3993.5899999999997</v>
      </c>
      <c r="I6" s="65">
        <f>I15*0.5</f>
        <v>5049</v>
      </c>
      <c r="J6" s="65">
        <f>J15*0.52</f>
        <v>5946.72</v>
      </c>
      <c r="K6" s="65">
        <f>K15*0.55</f>
        <v>7347.1750000000002</v>
      </c>
      <c r="L6" s="65">
        <f>K6*1.22</f>
        <v>8963.5535</v>
      </c>
      <c r="M6" s="65">
        <f>L6*1.18</f>
        <v>10576.993129999999</v>
      </c>
      <c r="N6" s="65">
        <f>M6*1.15</f>
        <v>12163.542099499999</v>
      </c>
      <c r="O6" s="65">
        <f>N6*1.12</f>
        <v>13623.16715144</v>
      </c>
      <c r="P6" s="65">
        <f>O6*1.1</f>
        <v>14985.483866584002</v>
      </c>
      <c r="Q6" s="73" t="s">
        <v>72</v>
      </c>
      <c r="R6" s="73"/>
      <c r="S6" s="73"/>
    </row>
    <row r="7" spans="1:19" ht="14.4" customHeight="1" x14ac:dyDescent="0.3">
      <c r="B7" s="30" t="s">
        <v>76</v>
      </c>
      <c r="C7" s="4"/>
      <c r="D7" s="4"/>
      <c r="E7" s="4"/>
      <c r="F7" s="4"/>
      <c r="G7" s="4"/>
      <c r="H7" s="46">
        <f t="shared" ref="H7:P7" si="0">(H6-G6)/G6</f>
        <v>0.22544109975758678</v>
      </c>
      <c r="I7" s="46">
        <f t="shared" si="0"/>
        <v>0.2642760022936757</v>
      </c>
      <c r="J7" s="46">
        <f t="shared" si="0"/>
        <v>0.17780154486036845</v>
      </c>
      <c r="K7" s="46">
        <f t="shared" si="0"/>
        <v>0.2355004103102214</v>
      </c>
      <c r="L7" s="46">
        <f t="shared" si="0"/>
        <v>0.21999999999999997</v>
      </c>
      <c r="M7" s="46">
        <f t="shared" si="0"/>
        <v>0.17999999999999988</v>
      </c>
      <c r="N7" s="46">
        <f t="shared" si="0"/>
        <v>0.15</v>
      </c>
      <c r="O7" s="46">
        <f t="shared" si="0"/>
        <v>0.12000000000000016</v>
      </c>
      <c r="P7" s="46">
        <f t="shared" si="0"/>
        <v>0.10000000000000007</v>
      </c>
      <c r="Q7" s="41"/>
      <c r="R7" s="41"/>
      <c r="S7" s="41"/>
    </row>
    <row r="8" spans="1:19" ht="14.4" customHeight="1" x14ac:dyDescent="0.3">
      <c r="B8" s="30"/>
      <c r="H8" s="31"/>
      <c r="I8" s="31"/>
      <c r="J8" s="31"/>
      <c r="K8" s="31"/>
      <c r="L8" s="31"/>
      <c r="M8" s="31"/>
      <c r="N8" s="31"/>
      <c r="O8" s="31"/>
      <c r="P8" s="31"/>
      <c r="Q8" s="41"/>
      <c r="R8" s="41"/>
      <c r="S8" s="41"/>
    </row>
    <row r="9" spans="1:19" ht="14.4" customHeight="1" x14ac:dyDescent="0.3">
      <c r="B9" s="26" t="s">
        <v>73</v>
      </c>
      <c r="G9" s="65">
        <f>G15*0.35</f>
        <v>2534.6999999999998</v>
      </c>
      <c r="H9" s="65">
        <f t="shared" ref="H9:I9" si="1">H15*0.35</f>
        <v>2973.95</v>
      </c>
      <c r="I9" s="65">
        <f t="shared" si="1"/>
        <v>3534.2999999999997</v>
      </c>
      <c r="J9" s="65">
        <f>J15*0.36</f>
        <v>4116.96</v>
      </c>
      <c r="K9" s="65">
        <f>K15*0.37</f>
        <v>4942.6449999999995</v>
      </c>
      <c r="L9" s="65">
        <f>K9*1.11</f>
        <v>5486.3359499999997</v>
      </c>
      <c r="M9" s="65">
        <f>L9*1.1</f>
        <v>6034.9695449999999</v>
      </c>
      <c r="N9" s="65">
        <f>M9*1.108</f>
        <v>6686.7462558600009</v>
      </c>
      <c r="O9" s="65">
        <f>N9*1.07</f>
        <v>7154.8184937702017</v>
      </c>
      <c r="P9" s="65">
        <f>O9*1.06</f>
        <v>7584.1076033964146</v>
      </c>
      <c r="Q9" s="41"/>
      <c r="R9" s="41"/>
      <c r="S9" s="41"/>
    </row>
    <row r="10" spans="1:19" ht="14.4" customHeight="1" x14ac:dyDescent="0.3">
      <c r="B10" s="30" t="s">
        <v>76</v>
      </c>
      <c r="C10" s="4"/>
      <c r="D10" s="4"/>
      <c r="E10" s="4"/>
      <c r="F10" s="4"/>
      <c r="G10" s="46"/>
      <c r="H10" s="46">
        <f t="shared" ref="H10:P10" si="2">(H9-G9)/G9</f>
        <v>0.17329466998066834</v>
      </c>
      <c r="I10" s="46">
        <f t="shared" si="2"/>
        <v>0.18841944215605505</v>
      </c>
      <c r="J10" s="46">
        <f t="shared" si="2"/>
        <v>0.16485867074102378</v>
      </c>
      <c r="K10" s="46">
        <f t="shared" si="2"/>
        <v>0.20055696436205342</v>
      </c>
      <c r="L10" s="46">
        <f t="shared" si="2"/>
        <v>0.11000000000000004</v>
      </c>
      <c r="M10" s="46">
        <f t="shared" si="2"/>
        <v>0.10000000000000005</v>
      </c>
      <c r="N10" s="46">
        <f t="shared" si="2"/>
        <v>0.10800000000000017</v>
      </c>
      <c r="O10" s="46">
        <f t="shared" si="2"/>
        <v>7.0000000000000104E-2</v>
      </c>
      <c r="P10" s="46">
        <f t="shared" si="2"/>
        <v>6.0000000000000102E-2</v>
      </c>
      <c r="Q10" s="41"/>
      <c r="R10" s="41"/>
      <c r="S10" s="41"/>
    </row>
    <row r="11" spans="1:19" ht="14.4" customHeight="1" x14ac:dyDescent="0.3">
      <c r="B11" s="30"/>
      <c r="H11" s="31"/>
      <c r="I11" s="31"/>
      <c r="J11" s="31"/>
      <c r="K11" s="31"/>
      <c r="L11" s="31"/>
      <c r="M11" s="31"/>
      <c r="N11" s="31"/>
      <c r="O11" s="31"/>
      <c r="P11" s="31"/>
      <c r="Q11" s="41"/>
      <c r="R11" s="41"/>
      <c r="S11" s="41"/>
    </row>
    <row r="12" spans="1:19" ht="14.4" customHeight="1" x14ac:dyDescent="0.3">
      <c r="B12" s="26" t="s">
        <v>160</v>
      </c>
      <c r="G12" s="65">
        <f>G15*0.2</f>
        <v>1448.4</v>
      </c>
      <c r="H12" s="65">
        <f>H15*0.18</f>
        <v>1529.46</v>
      </c>
      <c r="I12" s="65">
        <f>I15*0.15</f>
        <v>1514.7</v>
      </c>
      <c r="J12" s="65">
        <f>J15*0.12</f>
        <v>1372.32</v>
      </c>
      <c r="K12" s="65">
        <f>K15*0.08</f>
        <v>1068.68</v>
      </c>
      <c r="L12" s="65">
        <f>K12*0.98</f>
        <v>1047.3063999999999</v>
      </c>
      <c r="M12" s="65">
        <f>L12*1.03</f>
        <v>1078.725592</v>
      </c>
      <c r="N12" s="65">
        <f>M12*1.05</f>
        <v>1132.6618716</v>
      </c>
      <c r="O12" s="65">
        <f>N12*1.05</f>
        <v>1189.2949651800002</v>
      </c>
      <c r="P12" s="65">
        <f>O12*1.05</f>
        <v>1248.7597134390003</v>
      </c>
      <c r="Q12" s="73" t="s">
        <v>74</v>
      </c>
      <c r="R12" s="73"/>
      <c r="S12" s="73"/>
    </row>
    <row r="13" spans="1:19" ht="14.4" customHeight="1" x14ac:dyDescent="0.3">
      <c r="B13" s="30" t="s">
        <v>76</v>
      </c>
      <c r="C13" s="4"/>
      <c r="D13" s="4"/>
      <c r="E13" s="4"/>
      <c r="F13" s="4"/>
      <c r="G13" s="46"/>
      <c r="H13" s="46">
        <f t="shared" ref="H13:P13" si="3">(H12-G12)/G12</f>
        <v>5.596520298260145E-2</v>
      </c>
      <c r="I13" s="46">
        <f t="shared" si="3"/>
        <v>-9.6504648699540958E-3</v>
      </c>
      <c r="J13" s="46">
        <f t="shared" si="3"/>
        <v>-9.3998811645870539E-2</v>
      </c>
      <c r="K13" s="46">
        <f t="shared" si="3"/>
        <v>-0.22126034744083004</v>
      </c>
      <c r="L13" s="46">
        <f t="shared" si="3"/>
        <v>-2.0000000000000115E-2</v>
      </c>
      <c r="M13" s="46">
        <f t="shared" si="3"/>
        <v>3.0000000000000065E-2</v>
      </c>
      <c r="N13" s="46">
        <f t="shared" si="3"/>
        <v>5.0000000000000031E-2</v>
      </c>
      <c r="O13" s="46">
        <f t="shared" si="3"/>
        <v>5.0000000000000128E-2</v>
      </c>
      <c r="P13" s="46">
        <f t="shared" si="3"/>
        <v>5.0000000000000065E-2</v>
      </c>
      <c r="Q13" s="41"/>
      <c r="R13" s="41"/>
      <c r="S13" s="41"/>
    </row>
    <row r="14" spans="1:19" ht="14.4" customHeight="1" x14ac:dyDescent="0.3">
      <c r="B14" s="30"/>
      <c r="H14" s="31"/>
      <c r="I14" s="31"/>
      <c r="J14" s="31"/>
      <c r="K14" s="31"/>
      <c r="L14" s="31"/>
      <c r="M14" s="31"/>
      <c r="N14" s="31"/>
      <c r="O14" s="31"/>
      <c r="P14" s="31"/>
      <c r="Q14" s="41"/>
      <c r="R14" s="41"/>
      <c r="S14" s="41"/>
    </row>
    <row r="15" spans="1:19" ht="14.4" customHeight="1" x14ac:dyDescent="0.3">
      <c r="B15" s="29" t="s">
        <v>75</v>
      </c>
      <c r="G15" s="63">
        <v>7242</v>
      </c>
      <c r="H15" s="63">
        <v>8497</v>
      </c>
      <c r="I15" s="63">
        <v>10098</v>
      </c>
      <c r="J15" s="63">
        <v>11436</v>
      </c>
      <c r="K15" s="63">
        <v>13358.5</v>
      </c>
      <c r="L15" s="63">
        <v>15025.9</v>
      </c>
      <c r="M15" s="63">
        <v>16619.5</v>
      </c>
      <c r="N15" s="63">
        <v>18145</v>
      </c>
      <c r="O15" s="63">
        <f>N15*1.085</f>
        <v>19687.325000000001</v>
      </c>
      <c r="P15" s="63">
        <f>O15*1.08</f>
        <v>21262.311000000002</v>
      </c>
      <c r="Q15" s="73"/>
      <c r="R15" s="73"/>
      <c r="S15" s="73"/>
    </row>
    <row r="16" spans="1:19" ht="14.4" customHeight="1" x14ac:dyDescent="0.3">
      <c r="B16" s="30" t="s">
        <v>76</v>
      </c>
      <c r="C16" s="4"/>
      <c r="D16" s="4"/>
      <c r="E16" s="4"/>
      <c r="F16" s="4"/>
      <c r="G16" s="46"/>
      <c r="H16" s="46">
        <f t="shared" ref="H16:P16" si="4">(H15-G15)/G15</f>
        <v>0.17329466998066834</v>
      </c>
      <c r="I16" s="46">
        <f t="shared" si="4"/>
        <v>0.18841944215605508</v>
      </c>
      <c r="J16" s="46">
        <f t="shared" si="4"/>
        <v>0.13250148544266191</v>
      </c>
      <c r="K16" s="46">
        <f t="shared" si="4"/>
        <v>0.16810947883875482</v>
      </c>
      <c r="L16" s="46">
        <f t="shared" si="4"/>
        <v>0.12481940337612753</v>
      </c>
      <c r="M16" s="46">
        <f t="shared" si="4"/>
        <v>0.10605687512894404</v>
      </c>
      <c r="N16" s="46">
        <f t="shared" si="4"/>
        <v>9.1789765035049195E-2</v>
      </c>
      <c r="O16" s="46">
        <f t="shared" si="4"/>
        <v>8.5000000000000034E-2</v>
      </c>
      <c r="P16" s="46">
        <f t="shared" si="4"/>
        <v>8.0000000000000043E-2</v>
      </c>
      <c r="Q16" s="73"/>
      <c r="R16" s="73"/>
      <c r="S16" s="73"/>
    </row>
    <row r="17" spans="1:19" ht="14.4" customHeight="1" x14ac:dyDescent="0.3">
      <c r="Q17" s="73"/>
      <c r="R17" s="73"/>
      <c r="S17" s="73"/>
    </row>
    <row r="18" spans="1:19" ht="14.4" customHeight="1" x14ac:dyDescent="0.3">
      <c r="B18" s="26" t="s">
        <v>77</v>
      </c>
      <c r="G18" s="47">
        <v>1495</v>
      </c>
      <c r="H18" s="47">
        <v>1912</v>
      </c>
      <c r="I18" s="47">
        <v>2676</v>
      </c>
      <c r="J18" s="47">
        <v>3454</v>
      </c>
      <c r="K18" s="47">
        <v>3985.89</v>
      </c>
      <c r="L18" s="45">
        <v>4512.41</v>
      </c>
      <c r="M18" s="45">
        <v>5088.5</v>
      </c>
      <c r="N18" s="45">
        <f>N15*0.31</f>
        <v>5624.95</v>
      </c>
      <c r="O18" s="45">
        <f>O15*0.313</f>
        <v>6162.1327250000004</v>
      </c>
      <c r="P18" s="45">
        <f>P15*0.315</f>
        <v>6697.6279650000006</v>
      </c>
      <c r="Q18" s="73"/>
      <c r="R18" s="73"/>
      <c r="S18" s="73"/>
    </row>
    <row r="19" spans="1:19" ht="14.4" customHeight="1" x14ac:dyDescent="0.3">
      <c r="B19" s="26" t="s">
        <v>78</v>
      </c>
      <c r="G19" s="31">
        <f t="shared" ref="G19:P19" si="5">G18/G15</f>
        <v>0.20643468655067662</v>
      </c>
      <c r="H19" s="31">
        <f t="shared" si="5"/>
        <v>0.22502059550429562</v>
      </c>
      <c r="I19" s="31">
        <f t="shared" si="5"/>
        <v>0.26500297088532382</v>
      </c>
      <c r="J19" s="31">
        <f t="shared" si="5"/>
        <v>0.30202868135711786</v>
      </c>
      <c r="K19" s="31">
        <f t="shared" si="5"/>
        <v>0.2983785604671183</v>
      </c>
      <c r="L19" s="31">
        <f t="shared" si="5"/>
        <v>0.30030880013842765</v>
      </c>
      <c r="M19" s="31">
        <f t="shared" si="5"/>
        <v>0.30617647943680615</v>
      </c>
      <c r="N19" s="31">
        <f t="shared" si="5"/>
        <v>0.31</v>
      </c>
      <c r="O19" s="31">
        <f t="shared" si="5"/>
        <v>0.313</v>
      </c>
      <c r="P19" s="31">
        <f t="shared" si="5"/>
        <v>0.315</v>
      </c>
      <c r="Q19" s="73"/>
      <c r="R19" s="73"/>
      <c r="S19" s="73"/>
    </row>
    <row r="20" spans="1:19" ht="14.4" customHeight="1" x14ac:dyDescent="0.3">
      <c r="B20" s="34" t="s">
        <v>79</v>
      </c>
      <c r="Q20" s="73"/>
      <c r="R20" s="73"/>
      <c r="S20" s="73"/>
    </row>
    <row r="21" spans="1:19" ht="14.4" customHeight="1" x14ac:dyDescent="0.3">
      <c r="B21" s="32" t="s">
        <v>80</v>
      </c>
      <c r="G21" s="42" t="s">
        <v>81</v>
      </c>
      <c r="H21" s="42" t="s">
        <v>81</v>
      </c>
      <c r="I21" s="42" t="s">
        <v>81</v>
      </c>
      <c r="J21" s="42" t="s">
        <v>81</v>
      </c>
      <c r="K21" s="42" t="s">
        <v>81</v>
      </c>
      <c r="L21" s="49" t="s">
        <v>82</v>
      </c>
      <c r="M21" s="49" t="s">
        <v>83</v>
      </c>
      <c r="N21" s="49" t="s">
        <v>84</v>
      </c>
      <c r="O21" s="49" t="s">
        <v>85</v>
      </c>
      <c r="P21" s="49" t="s">
        <v>86</v>
      </c>
      <c r="Q21" s="73" t="s">
        <v>87</v>
      </c>
      <c r="R21" s="73"/>
      <c r="S21" s="73"/>
    </row>
    <row r="22" spans="1:19" ht="14.4" customHeight="1" x14ac:dyDescent="0.3">
      <c r="B22" s="32" t="s">
        <v>88</v>
      </c>
      <c r="G22" s="42" t="s">
        <v>81</v>
      </c>
      <c r="H22" s="42" t="s">
        <v>81</v>
      </c>
      <c r="I22" s="42" t="s">
        <v>81</v>
      </c>
      <c r="J22" s="42" t="s">
        <v>81</v>
      </c>
      <c r="K22" s="42" t="s">
        <v>81</v>
      </c>
      <c r="L22" s="49" t="s">
        <v>89</v>
      </c>
      <c r="M22" s="49" t="s">
        <v>85</v>
      </c>
      <c r="N22" s="49" t="s">
        <v>86</v>
      </c>
      <c r="O22" s="49" t="s">
        <v>90</v>
      </c>
      <c r="P22" s="49" t="s">
        <v>91</v>
      </c>
      <c r="Q22" s="73" t="s">
        <v>92</v>
      </c>
      <c r="R22" s="73"/>
      <c r="S22" s="73"/>
    </row>
    <row r="23" spans="1:19" ht="14.4" customHeight="1" x14ac:dyDescent="0.3">
      <c r="A23" s="15" t="s">
        <v>159</v>
      </c>
      <c r="B23" s="54" t="s">
        <v>108</v>
      </c>
      <c r="C23" s="54"/>
      <c r="D23" s="54"/>
      <c r="E23" s="54"/>
      <c r="F23" s="54"/>
      <c r="G23" s="54">
        <v>2021</v>
      </c>
      <c r="H23" s="54">
        <v>2022</v>
      </c>
      <c r="I23" s="54">
        <v>2023</v>
      </c>
      <c r="J23" s="55">
        <v>2024</v>
      </c>
      <c r="K23" s="55">
        <v>2025</v>
      </c>
      <c r="L23" s="55" t="s">
        <v>5</v>
      </c>
      <c r="M23" s="55" t="s">
        <v>6</v>
      </c>
      <c r="N23" s="55" t="s">
        <v>7</v>
      </c>
      <c r="O23" s="55" t="s">
        <v>8</v>
      </c>
      <c r="P23" s="55" t="s">
        <v>9</v>
      </c>
      <c r="Q23" s="72"/>
      <c r="R23" s="72"/>
      <c r="S23" s="72"/>
    </row>
    <row r="24" spans="1:19" s="20" customFormat="1" ht="1.95" customHeight="1" x14ac:dyDescent="0.3"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2"/>
      <c r="N24" s="22"/>
      <c r="O24" s="22"/>
      <c r="P24" s="22"/>
      <c r="Q24" s="22"/>
    </row>
    <row r="25" spans="1:19" ht="14.4" customHeight="1" x14ac:dyDescent="0.3">
      <c r="B25" s="26" t="s">
        <v>93</v>
      </c>
      <c r="G25" s="47">
        <v>2758</v>
      </c>
      <c r="H25" s="47">
        <v>2924</v>
      </c>
      <c r="I25" s="47">
        <v>3042</v>
      </c>
      <c r="J25" s="47">
        <v>3124</v>
      </c>
      <c r="K25" s="47">
        <v>3390</v>
      </c>
      <c r="L25" s="45">
        <f>G25*1.058</f>
        <v>2917.9639999999999</v>
      </c>
      <c r="M25" s="45">
        <f>L25*1.11</f>
        <v>3238.9400400000004</v>
      </c>
      <c r="N25" s="45">
        <f>M25*1.125</f>
        <v>3643.8075450000006</v>
      </c>
      <c r="O25" s="45">
        <f>N25*1.1</f>
        <v>4008.188299500001</v>
      </c>
      <c r="P25" s="45">
        <f>O25*1.085</f>
        <v>4348.8843049575007</v>
      </c>
      <c r="Q25" s="72" t="s">
        <v>94</v>
      </c>
      <c r="R25" s="72"/>
      <c r="S25" s="72"/>
    </row>
    <row r="26" spans="1:19" ht="14.4" customHeight="1" x14ac:dyDescent="0.3">
      <c r="B26" s="26" t="s">
        <v>95</v>
      </c>
      <c r="G26" s="47">
        <v>1379</v>
      </c>
      <c r="H26" s="47">
        <v>1462</v>
      </c>
      <c r="I26" s="47">
        <v>1521</v>
      </c>
      <c r="J26" s="47">
        <v>1562</v>
      </c>
      <c r="K26" s="47">
        <v>1695</v>
      </c>
      <c r="L26" s="45">
        <f>G26*1.058</f>
        <v>1458.982</v>
      </c>
      <c r="M26" s="45">
        <f>L26*1.055</f>
        <v>1539.2260099999999</v>
      </c>
      <c r="N26" s="45">
        <f>M26*1.08</f>
        <v>1662.3640908</v>
      </c>
      <c r="O26" s="45">
        <f>N26*1.115</f>
        <v>1853.535961242</v>
      </c>
      <c r="P26" s="45">
        <f>O26*1.12</f>
        <v>2075.9602765910404</v>
      </c>
      <c r="Q26" s="72" t="s">
        <v>96</v>
      </c>
      <c r="R26" s="72"/>
      <c r="S26" s="72"/>
    </row>
    <row r="27" spans="1:19" ht="14.4" customHeight="1" x14ac:dyDescent="0.3">
      <c r="B27" s="26" t="s">
        <v>97</v>
      </c>
      <c r="G27" s="47">
        <v>1379</v>
      </c>
      <c r="H27" s="47">
        <v>1462</v>
      </c>
      <c r="I27" s="47">
        <v>1521</v>
      </c>
      <c r="J27" s="47">
        <v>1562</v>
      </c>
      <c r="K27" s="47">
        <v>1695</v>
      </c>
      <c r="L27" s="45">
        <f>G27*1.058</f>
        <v>1458.982</v>
      </c>
      <c r="M27" s="45">
        <f>L27*1.055</f>
        <v>1539.2260099999999</v>
      </c>
      <c r="N27" s="45">
        <f>M27*1.07</f>
        <v>1646.9718307000001</v>
      </c>
      <c r="O27" s="45">
        <f>N27*1.095</f>
        <v>1803.4341546165001</v>
      </c>
      <c r="P27" s="45">
        <f>O27*1.105</f>
        <v>1992.7947408512325</v>
      </c>
      <c r="Q27" s="72" t="s">
        <v>98</v>
      </c>
      <c r="R27" s="72"/>
      <c r="S27" s="72"/>
    </row>
    <row r="28" spans="1:19" ht="14.4" customHeight="1" x14ac:dyDescent="0.3">
      <c r="B28" s="29" t="s">
        <v>99</v>
      </c>
      <c r="G28" s="63">
        <f t="shared" ref="G28:P28" si="6">SUM(G25:G27)</f>
        <v>5516</v>
      </c>
      <c r="H28" s="63">
        <f t="shared" si="6"/>
        <v>5848</v>
      </c>
      <c r="I28" s="63">
        <f t="shared" si="6"/>
        <v>6084</v>
      </c>
      <c r="J28" s="63">
        <f t="shared" si="6"/>
        <v>6248</v>
      </c>
      <c r="K28" s="63">
        <f t="shared" si="6"/>
        <v>6780</v>
      </c>
      <c r="L28" s="63">
        <f t="shared" si="6"/>
        <v>5835.9279999999999</v>
      </c>
      <c r="M28" s="63">
        <f t="shared" si="6"/>
        <v>6317.3920600000001</v>
      </c>
      <c r="N28" s="63">
        <f t="shared" si="6"/>
        <v>6953.1434665000006</v>
      </c>
      <c r="O28" s="63">
        <f t="shared" si="6"/>
        <v>7665.1584153585009</v>
      </c>
      <c r="P28" s="63">
        <f t="shared" si="6"/>
        <v>8417.6393223997729</v>
      </c>
      <c r="Q28" s="72"/>
      <c r="R28" s="72"/>
      <c r="S28" s="72"/>
    </row>
    <row r="29" spans="1:19" ht="14.4" customHeight="1" x14ac:dyDescent="0.3">
      <c r="B29" s="30" t="s">
        <v>76</v>
      </c>
      <c r="H29" s="31">
        <f t="shared" ref="H29:P29" si="7">(H28-G28)/G28</f>
        <v>6.0188542422044959E-2</v>
      </c>
      <c r="I29" s="31">
        <f t="shared" si="7"/>
        <v>4.0355677154582763E-2</v>
      </c>
      <c r="J29" s="31">
        <f t="shared" si="7"/>
        <v>2.695595003287311E-2</v>
      </c>
      <c r="K29" s="31">
        <f t="shared" si="7"/>
        <v>8.5147247119078104E-2</v>
      </c>
      <c r="L29" s="31">
        <f t="shared" si="7"/>
        <v>-0.13924365781710915</v>
      </c>
      <c r="M29" s="31">
        <f t="shared" si="7"/>
        <v>8.2500000000000046E-2</v>
      </c>
      <c r="N29" s="31">
        <f t="shared" si="7"/>
        <v>0.10063510392609708</v>
      </c>
      <c r="O29" s="31">
        <f t="shared" si="7"/>
        <v>0.10240187798352833</v>
      </c>
      <c r="P29" s="31">
        <f t="shared" si="7"/>
        <v>9.8168996159758867E-2</v>
      </c>
      <c r="Q29" s="72"/>
      <c r="R29" s="72"/>
      <c r="S29" s="72"/>
    </row>
    <row r="30" spans="1:19" ht="14.4" customHeight="1" x14ac:dyDescent="0.3">
      <c r="Q30" s="72"/>
      <c r="R30" s="72"/>
      <c r="S30" s="72"/>
    </row>
    <row r="31" spans="1:19" ht="14.4" customHeight="1" x14ac:dyDescent="0.3">
      <c r="B31" s="26" t="s">
        <v>77</v>
      </c>
      <c r="G31" s="47">
        <v>1034</v>
      </c>
      <c r="H31" s="47">
        <v>1134</v>
      </c>
      <c r="I31" s="47">
        <v>1176</v>
      </c>
      <c r="J31" s="47">
        <v>1150</v>
      </c>
      <c r="K31" s="47">
        <v>1318</v>
      </c>
      <c r="L31" s="45">
        <f>G31*1.08</f>
        <v>1116.72</v>
      </c>
      <c r="M31" s="45">
        <f>L31*1.083</f>
        <v>1209.4077600000001</v>
      </c>
      <c r="N31" s="45">
        <f>M31*1.115</f>
        <v>1348.4896524000001</v>
      </c>
      <c r="O31" s="45">
        <f>N31*1.12</f>
        <v>1510.3084106880003</v>
      </c>
      <c r="P31" s="45">
        <f>O31*1.115</f>
        <v>1683.9938779171202</v>
      </c>
      <c r="Q31" s="72"/>
      <c r="R31" s="72"/>
      <c r="S31" s="72"/>
    </row>
    <row r="32" spans="1:19" ht="14.4" customHeight="1" x14ac:dyDescent="0.3">
      <c r="B32" s="26" t="s">
        <v>78</v>
      </c>
      <c r="G32" s="31">
        <f t="shared" ref="G32:P32" si="8">G31/G28</f>
        <v>0.18745467730239304</v>
      </c>
      <c r="H32" s="31">
        <f t="shared" si="8"/>
        <v>0.19391244870041038</v>
      </c>
      <c r="I32" s="31">
        <f t="shared" si="8"/>
        <v>0.1932938856015779</v>
      </c>
      <c r="J32" s="31">
        <f t="shared" si="8"/>
        <v>0.18405889884763124</v>
      </c>
      <c r="K32" s="31">
        <f t="shared" si="8"/>
        <v>0.1943952802359882</v>
      </c>
      <c r="L32" s="31">
        <f t="shared" si="8"/>
        <v>0.19135260064894563</v>
      </c>
      <c r="M32" s="31">
        <f t="shared" si="8"/>
        <v>0.19144098522199365</v>
      </c>
      <c r="N32" s="31">
        <f t="shared" si="8"/>
        <v>0.19393956976394569</v>
      </c>
      <c r="O32" s="31">
        <f t="shared" si="8"/>
        <v>0.19703551170734193</v>
      </c>
      <c r="P32" s="31">
        <f t="shared" si="8"/>
        <v>0.20005536153538031</v>
      </c>
      <c r="Q32" s="72"/>
      <c r="R32" s="72"/>
      <c r="S32" s="72"/>
    </row>
    <row r="33" spans="1:19" ht="14.4" customHeight="1" x14ac:dyDescent="0.3">
      <c r="B33" s="34" t="s">
        <v>79</v>
      </c>
      <c r="Q33" s="72"/>
      <c r="R33" s="72"/>
      <c r="S33" s="72"/>
    </row>
    <row r="34" spans="1:19" ht="14.4" customHeight="1" x14ac:dyDescent="0.3">
      <c r="B34" s="32" t="s">
        <v>101</v>
      </c>
      <c r="G34" s="35" t="s">
        <v>81</v>
      </c>
      <c r="H34" s="35" t="s">
        <v>81</v>
      </c>
      <c r="I34" s="35" t="s">
        <v>81</v>
      </c>
      <c r="J34" s="35" t="s">
        <v>81</v>
      </c>
      <c r="K34" s="35" t="s">
        <v>81</v>
      </c>
      <c r="L34" s="53" t="s">
        <v>102</v>
      </c>
      <c r="M34" s="53" t="s">
        <v>103</v>
      </c>
      <c r="N34" s="53" t="s">
        <v>104</v>
      </c>
      <c r="O34" s="53" t="s">
        <v>105</v>
      </c>
      <c r="P34" s="53" t="s">
        <v>106</v>
      </c>
      <c r="Q34" s="72" t="s">
        <v>107</v>
      </c>
      <c r="R34" s="72"/>
      <c r="S34" s="72"/>
    </row>
    <row r="35" spans="1:19" ht="14.4" customHeight="1" x14ac:dyDescent="0.3">
      <c r="Q35" s="72"/>
      <c r="R35" s="72"/>
      <c r="S35" s="72"/>
    </row>
    <row r="36" spans="1:19" ht="14.4" customHeight="1" x14ac:dyDescent="0.3">
      <c r="A36" s="15" t="s">
        <v>159</v>
      </c>
      <c r="B36" s="59" t="s">
        <v>146</v>
      </c>
      <c r="C36" s="36"/>
      <c r="D36" s="36"/>
      <c r="E36" s="36"/>
      <c r="F36" s="59"/>
      <c r="G36" s="59">
        <v>2021</v>
      </c>
      <c r="H36" s="59">
        <v>2022</v>
      </c>
      <c r="I36" s="59">
        <v>2023</v>
      </c>
      <c r="J36" s="59">
        <v>2024</v>
      </c>
      <c r="K36" s="59">
        <v>2025</v>
      </c>
      <c r="L36" s="60" t="s">
        <v>5</v>
      </c>
      <c r="M36" s="60" t="s">
        <v>6</v>
      </c>
      <c r="N36" s="60" t="s">
        <v>7</v>
      </c>
      <c r="O36" s="60" t="s">
        <v>8</v>
      </c>
      <c r="P36" s="60" t="s">
        <v>9</v>
      </c>
      <c r="Q36" s="72"/>
      <c r="R36" s="72"/>
      <c r="S36" s="72"/>
    </row>
    <row r="37" spans="1:19" s="20" customFormat="1" ht="1.95" customHeight="1" x14ac:dyDescent="0.3">
      <c r="B37" s="25" t="s">
        <v>71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/>
      <c r="N37" s="22"/>
      <c r="O37" s="22"/>
      <c r="P37" s="22"/>
      <c r="Q37" s="22"/>
    </row>
    <row r="38" spans="1:19" ht="14.4" customHeight="1" x14ac:dyDescent="0.3">
      <c r="B38" s="26" t="s">
        <v>109</v>
      </c>
      <c r="G38" s="47">
        <v>1547</v>
      </c>
      <c r="H38" s="47">
        <v>1698</v>
      </c>
      <c r="I38" s="47">
        <v>1779</v>
      </c>
      <c r="J38" s="47">
        <v>1674</v>
      </c>
      <c r="K38" s="47">
        <v>1506</v>
      </c>
      <c r="L38" s="45">
        <f>G38*0.95</f>
        <v>1469.6499999999999</v>
      </c>
      <c r="M38" s="45">
        <f>L38*1.015</f>
        <v>1491.6947499999997</v>
      </c>
      <c r="N38" s="45">
        <f>M38*1.045</f>
        <v>1558.8210137499996</v>
      </c>
      <c r="O38" s="45">
        <f>N38*1.065</f>
        <v>1660.1443796437495</v>
      </c>
      <c r="P38" s="45">
        <f>O38*1.065</f>
        <v>1768.0537643205932</v>
      </c>
      <c r="Q38" s="72" t="s">
        <v>110</v>
      </c>
      <c r="R38" s="72"/>
      <c r="S38" s="72"/>
    </row>
    <row r="39" spans="1:19" ht="14.4" customHeight="1" x14ac:dyDescent="0.3">
      <c r="B39" s="26" t="s">
        <v>111</v>
      </c>
      <c r="G39" s="47">
        <v>1032</v>
      </c>
      <c r="H39" s="47">
        <v>1132</v>
      </c>
      <c r="I39" s="47">
        <v>1186</v>
      </c>
      <c r="J39" s="47">
        <v>1116</v>
      </c>
      <c r="K39" s="47">
        <v>1004</v>
      </c>
      <c r="L39" s="45">
        <f>G39*0.95</f>
        <v>980.4</v>
      </c>
      <c r="M39" s="45">
        <f>L39*1.015</f>
        <v>995.10599999999988</v>
      </c>
      <c r="N39" s="45">
        <f>M39*1.045</f>
        <v>1039.8857699999999</v>
      </c>
      <c r="O39" s="45">
        <f>N39*1.065</f>
        <v>1107.4783450499997</v>
      </c>
      <c r="P39" s="45">
        <f>O39*1.065</f>
        <v>1179.4644374782497</v>
      </c>
      <c r="Q39" s="72" t="s">
        <v>112</v>
      </c>
      <c r="R39" s="72"/>
      <c r="S39" s="72"/>
    </row>
    <row r="40" spans="1:19" ht="14.4" customHeight="1" x14ac:dyDescent="0.3">
      <c r="B40" s="29" t="s">
        <v>113</v>
      </c>
      <c r="G40" s="63">
        <f t="shared" ref="G40:P40" si="9">SUM(G38:G39)</f>
        <v>2579</v>
      </c>
      <c r="H40" s="63">
        <f t="shared" si="9"/>
        <v>2830</v>
      </c>
      <c r="I40" s="63">
        <f t="shared" si="9"/>
        <v>2965</v>
      </c>
      <c r="J40" s="63">
        <f t="shared" si="9"/>
        <v>2790</v>
      </c>
      <c r="K40" s="63">
        <f t="shared" si="9"/>
        <v>2510</v>
      </c>
      <c r="L40" s="63">
        <f t="shared" si="9"/>
        <v>2450.0499999999997</v>
      </c>
      <c r="M40" s="63">
        <f t="shared" si="9"/>
        <v>2486.8007499999994</v>
      </c>
      <c r="N40" s="63">
        <f t="shared" si="9"/>
        <v>2598.7067837499994</v>
      </c>
      <c r="O40" s="63">
        <f t="shared" si="9"/>
        <v>2767.6227246937492</v>
      </c>
      <c r="P40" s="63">
        <f t="shared" si="9"/>
        <v>2947.5182017988427</v>
      </c>
      <c r="Q40" s="72"/>
      <c r="R40" s="72"/>
      <c r="S40" s="72"/>
    </row>
    <row r="41" spans="1:19" ht="14.4" customHeight="1" x14ac:dyDescent="0.3">
      <c r="B41" s="30" t="s">
        <v>76</v>
      </c>
      <c r="H41" s="31">
        <f t="shared" ref="H41:P41" si="10">(H40-G40)/G40</f>
        <v>9.7324544397053125E-2</v>
      </c>
      <c r="I41" s="31">
        <f t="shared" si="10"/>
        <v>4.7703180212014133E-2</v>
      </c>
      <c r="J41" s="31">
        <f t="shared" si="10"/>
        <v>-5.9021922428330521E-2</v>
      </c>
      <c r="K41" s="31">
        <f t="shared" si="10"/>
        <v>-0.1003584229390681</v>
      </c>
      <c r="L41" s="31">
        <f t="shared" si="10"/>
        <v>-2.3884462151394531E-2</v>
      </c>
      <c r="M41" s="31">
        <f t="shared" si="10"/>
        <v>1.4999999999999878E-2</v>
      </c>
      <c r="N41" s="31">
        <f t="shared" si="10"/>
        <v>4.5000000000000012E-2</v>
      </c>
      <c r="O41" s="31">
        <f t="shared" si="10"/>
        <v>6.4999999999999933E-2</v>
      </c>
      <c r="P41" s="31">
        <f t="shared" si="10"/>
        <v>6.4999999999999933E-2</v>
      </c>
      <c r="Q41" s="72"/>
      <c r="R41" s="72"/>
      <c r="S41" s="72"/>
    </row>
    <row r="42" spans="1:19" ht="14.4" customHeight="1" x14ac:dyDescent="0.3">
      <c r="Q42" s="72"/>
      <c r="R42" s="72"/>
      <c r="S42" s="72"/>
    </row>
    <row r="43" spans="1:19" ht="14.4" customHeight="1" x14ac:dyDescent="0.3">
      <c r="B43" s="26" t="s">
        <v>77</v>
      </c>
      <c r="G43" s="47">
        <v>449</v>
      </c>
      <c r="H43" s="47">
        <v>453</v>
      </c>
      <c r="I43" s="47">
        <v>482</v>
      </c>
      <c r="J43" s="47">
        <v>503</v>
      </c>
      <c r="K43" s="47">
        <v>408</v>
      </c>
      <c r="L43" s="45">
        <f>G43*1.013</f>
        <v>454.83699999999993</v>
      </c>
      <c r="M43" s="45">
        <f>L43*1.09</f>
        <v>495.77232999999995</v>
      </c>
      <c r="N43" s="45">
        <f>M43*1.09</f>
        <v>540.39183969999999</v>
      </c>
      <c r="O43" s="45">
        <f>N43*1.117</f>
        <v>603.61768494490002</v>
      </c>
      <c r="P43" s="45">
        <f>O43*1.12</f>
        <v>676.05180713828804</v>
      </c>
      <c r="Q43" s="72"/>
      <c r="R43" s="72"/>
      <c r="S43" s="72"/>
    </row>
    <row r="44" spans="1:19" ht="14.4" customHeight="1" x14ac:dyDescent="0.3">
      <c r="B44" s="26" t="s">
        <v>78</v>
      </c>
      <c r="G44" s="31">
        <f t="shared" ref="G44:P44" si="11">G43/G40</f>
        <v>0.17409848778596354</v>
      </c>
      <c r="H44" s="31">
        <f t="shared" si="11"/>
        <v>0.16007067137809186</v>
      </c>
      <c r="I44" s="31">
        <f t="shared" si="11"/>
        <v>0.16256323777403037</v>
      </c>
      <c r="J44" s="31">
        <f t="shared" si="11"/>
        <v>0.18028673835125447</v>
      </c>
      <c r="K44" s="31">
        <f t="shared" si="11"/>
        <v>0.16254980079681275</v>
      </c>
      <c r="L44" s="31">
        <f t="shared" si="11"/>
        <v>0.1856439664496643</v>
      </c>
      <c r="M44" s="31">
        <f t="shared" si="11"/>
        <v>0.1993615009163883</v>
      </c>
      <c r="N44" s="31">
        <f t="shared" si="11"/>
        <v>0.20794644593192654</v>
      </c>
      <c r="O44" s="31">
        <f t="shared" si="11"/>
        <v>0.21809969963001125</v>
      </c>
      <c r="P44" s="31">
        <f t="shared" si="11"/>
        <v>0.22936306439963627</v>
      </c>
      <c r="Q44" s="72"/>
      <c r="R44" s="72"/>
      <c r="S44" s="72"/>
    </row>
    <row r="45" spans="1:19" ht="14.4" customHeight="1" x14ac:dyDescent="0.3">
      <c r="B45" s="34" t="s">
        <v>79</v>
      </c>
      <c r="Q45" s="72"/>
      <c r="R45" s="72"/>
      <c r="S45" s="72"/>
    </row>
    <row r="46" spans="1:19" ht="14.4" customHeight="1" x14ac:dyDescent="0.3">
      <c r="B46" s="32" t="s">
        <v>114</v>
      </c>
      <c r="G46" s="35" t="s">
        <v>81</v>
      </c>
      <c r="H46" s="35" t="s">
        <v>81</v>
      </c>
      <c r="I46" s="35" t="s">
        <v>81</v>
      </c>
      <c r="J46" s="35" t="s">
        <v>81</v>
      </c>
      <c r="K46" s="35" t="s">
        <v>81</v>
      </c>
      <c r="L46" s="49" t="s">
        <v>115</v>
      </c>
      <c r="M46" s="49" t="s">
        <v>116</v>
      </c>
      <c r="N46" s="49" t="s">
        <v>117</v>
      </c>
      <c r="O46" s="49" t="s">
        <v>118</v>
      </c>
      <c r="P46" s="49" t="s">
        <v>118</v>
      </c>
      <c r="Q46" s="72" t="s">
        <v>119</v>
      </c>
      <c r="R46" s="72"/>
      <c r="S46" s="72"/>
    </row>
    <row r="47" spans="1:19" ht="1.95" customHeight="1" x14ac:dyDescent="0.3">
      <c r="B47" s="32" t="s">
        <v>120</v>
      </c>
      <c r="G47" s="35" t="s">
        <v>81</v>
      </c>
      <c r="H47" s="35" t="s">
        <v>81</v>
      </c>
      <c r="I47" s="35" t="s">
        <v>81</v>
      </c>
      <c r="J47" s="35" t="s">
        <v>81</v>
      </c>
      <c r="K47" s="35" t="s">
        <v>81</v>
      </c>
      <c r="L47" s="35" t="s">
        <v>121</v>
      </c>
      <c r="M47" s="35" t="s">
        <v>122</v>
      </c>
      <c r="N47" s="35" t="s">
        <v>123</v>
      </c>
      <c r="O47" s="35" t="s">
        <v>124</v>
      </c>
      <c r="P47" s="35" t="s">
        <v>125</v>
      </c>
      <c r="Q47" s="72" t="s">
        <v>126</v>
      </c>
      <c r="R47" s="72"/>
      <c r="S47" s="72"/>
    </row>
    <row r="48" spans="1:19" ht="14.4" customHeight="1" x14ac:dyDescent="0.3">
      <c r="Q48" s="72"/>
      <c r="R48" s="72"/>
      <c r="S48" s="72"/>
    </row>
    <row r="49" spans="1:19" ht="14.4" customHeight="1" x14ac:dyDescent="0.3">
      <c r="Q49" s="72"/>
      <c r="R49" s="72"/>
      <c r="S49" s="72"/>
    </row>
    <row r="50" spans="1:19" ht="14.4" customHeight="1" x14ac:dyDescent="0.3">
      <c r="A50" s="15" t="s">
        <v>159</v>
      </c>
      <c r="B50" s="62" t="s">
        <v>147</v>
      </c>
      <c r="C50" s="37"/>
      <c r="D50" s="37"/>
      <c r="E50" s="37"/>
      <c r="F50" s="37"/>
      <c r="G50" s="61">
        <v>2021</v>
      </c>
      <c r="H50" s="61">
        <v>2022</v>
      </c>
      <c r="I50" s="61">
        <v>2023</v>
      </c>
      <c r="J50" s="61">
        <v>2024</v>
      </c>
      <c r="K50" s="61">
        <v>2025</v>
      </c>
      <c r="L50" s="61" t="s">
        <v>5</v>
      </c>
      <c r="M50" s="61" t="s">
        <v>6</v>
      </c>
      <c r="N50" s="61" t="s">
        <v>7</v>
      </c>
      <c r="O50" s="61" t="s">
        <v>8</v>
      </c>
      <c r="P50" s="61" t="s">
        <v>9</v>
      </c>
      <c r="Q50" s="72"/>
      <c r="R50" s="72"/>
      <c r="S50" s="72"/>
    </row>
    <row r="51" spans="1:19" s="20" customFormat="1" ht="1.95" customHeight="1" x14ac:dyDescent="0.3">
      <c r="B51" s="25" t="s">
        <v>71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2"/>
      <c r="N51" s="22"/>
      <c r="O51" s="22"/>
      <c r="P51" s="22"/>
      <c r="Q51" s="22"/>
    </row>
    <row r="52" spans="1:19" ht="14.4" customHeight="1" x14ac:dyDescent="0.3">
      <c r="B52" s="26" t="s">
        <v>127</v>
      </c>
      <c r="G52" s="47">
        <v>172</v>
      </c>
      <c r="H52" s="47">
        <v>269</v>
      </c>
      <c r="I52" s="47">
        <v>318</v>
      </c>
      <c r="J52" s="47">
        <v>331</v>
      </c>
      <c r="K52" s="47">
        <v>314</v>
      </c>
      <c r="L52" s="45">
        <f>G52*1.075</f>
        <v>184.9</v>
      </c>
      <c r="M52" s="45">
        <f>L52*1.125</f>
        <v>208.01250000000002</v>
      </c>
      <c r="N52" s="45">
        <f>M52*1.19</f>
        <v>247.534875</v>
      </c>
      <c r="O52" s="45">
        <f>N52*1.26</f>
        <v>311.89394249999998</v>
      </c>
      <c r="P52" s="45">
        <f>O52*1.28</f>
        <v>399.22424639999997</v>
      </c>
      <c r="Q52" s="72" t="s">
        <v>128</v>
      </c>
      <c r="R52" s="72"/>
      <c r="S52" s="72"/>
    </row>
    <row r="53" spans="1:19" ht="14.4" customHeight="1" x14ac:dyDescent="0.3">
      <c r="B53" s="26" t="s">
        <v>129</v>
      </c>
      <c r="G53" s="47">
        <v>171</v>
      </c>
      <c r="H53" s="47">
        <v>269</v>
      </c>
      <c r="I53" s="47">
        <v>318</v>
      </c>
      <c r="J53" s="47">
        <v>331</v>
      </c>
      <c r="K53" s="47">
        <v>314</v>
      </c>
      <c r="L53" s="45">
        <f>G53*1.075</f>
        <v>183.82499999999999</v>
      </c>
      <c r="M53" s="45">
        <f>L53*1.075</f>
        <v>197.61187499999997</v>
      </c>
      <c r="N53" s="45">
        <f>M53*1.115</f>
        <v>220.33724062499996</v>
      </c>
      <c r="O53" s="45">
        <f>N53*1.145</f>
        <v>252.28614051562496</v>
      </c>
      <c r="P53" s="45">
        <f>O53*1.175</f>
        <v>296.43621510585933</v>
      </c>
      <c r="Q53" s="72" t="s">
        <v>130</v>
      </c>
      <c r="R53" s="72"/>
      <c r="S53" s="72"/>
    </row>
    <row r="54" spans="1:19" ht="14.4" customHeight="1" x14ac:dyDescent="0.3">
      <c r="B54" s="29" t="s">
        <v>131</v>
      </c>
      <c r="G54" s="63">
        <f t="shared" ref="G54:P54" si="12">SUM(G52:G53)</f>
        <v>343</v>
      </c>
      <c r="H54" s="63">
        <f t="shared" si="12"/>
        <v>538</v>
      </c>
      <c r="I54" s="63">
        <f t="shared" si="12"/>
        <v>636</v>
      </c>
      <c r="J54" s="63">
        <f t="shared" si="12"/>
        <v>662</v>
      </c>
      <c r="K54" s="63">
        <f t="shared" si="12"/>
        <v>628</v>
      </c>
      <c r="L54" s="63">
        <f t="shared" si="12"/>
        <v>368.72500000000002</v>
      </c>
      <c r="M54" s="63">
        <f t="shared" si="12"/>
        <v>405.62437499999999</v>
      </c>
      <c r="N54" s="63">
        <f t="shared" si="12"/>
        <v>467.87211562499999</v>
      </c>
      <c r="O54" s="63">
        <f t="shared" si="12"/>
        <v>564.18008301562497</v>
      </c>
      <c r="P54" s="63">
        <f t="shared" si="12"/>
        <v>695.6604615058593</v>
      </c>
      <c r="Q54" s="72"/>
      <c r="R54" s="72"/>
      <c r="S54" s="72"/>
    </row>
    <row r="55" spans="1:19" ht="1.95" customHeight="1" x14ac:dyDescent="0.3">
      <c r="B55" s="30" t="s">
        <v>76</v>
      </c>
      <c r="H55" s="31">
        <f t="shared" ref="H55:P55" si="13">(H54-G54)/G54</f>
        <v>0.56851311953352768</v>
      </c>
      <c r="I55" s="31">
        <f t="shared" si="13"/>
        <v>0.18215613382899629</v>
      </c>
      <c r="J55" s="31">
        <f t="shared" si="13"/>
        <v>4.0880503144654086E-2</v>
      </c>
      <c r="K55" s="31">
        <f t="shared" si="13"/>
        <v>-5.1359516616314202E-2</v>
      </c>
      <c r="L55" s="31">
        <f t="shared" si="13"/>
        <v>-0.41285828025477705</v>
      </c>
      <c r="M55" s="31">
        <f t="shared" si="13"/>
        <v>0.10007288629737598</v>
      </c>
      <c r="N55" s="31">
        <f t="shared" si="13"/>
        <v>0.15346153846153848</v>
      </c>
      <c r="O55" s="31">
        <f t="shared" si="13"/>
        <v>0.20584250305657437</v>
      </c>
      <c r="P55" s="31">
        <f t="shared" si="13"/>
        <v>0.23304682750843045</v>
      </c>
      <c r="Q55" s="72"/>
      <c r="R55" s="72"/>
      <c r="S55" s="72"/>
    </row>
    <row r="56" spans="1:19" ht="14.4" customHeight="1" x14ac:dyDescent="0.3">
      <c r="Q56" s="72"/>
      <c r="R56" s="72"/>
      <c r="S56" s="72"/>
    </row>
    <row r="57" spans="1:19" ht="14.4" customHeight="1" x14ac:dyDescent="0.3">
      <c r="B57" s="26" t="s">
        <v>77</v>
      </c>
      <c r="G57" s="64">
        <v>-29</v>
      </c>
      <c r="H57" s="64">
        <v>-9</v>
      </c>
      <c r="I57" s="64">
        <v>-21</v>
      </c>
      <c r="J57" s="64">
        <v>-6</v>
      </c>
      <c r="K57" s="64">
        <v>-20</v>
      </c>
      <c r="L57" s="38">
        <v>0</v>
      </c>
      <c r="M57" s="39">
        <f>L57*1.5</f>
        <v>0</v>
      </c>
      <c r="N57" s="39">
        <f>M57*3.5</f>
        <v>0</v>
      </c>
      <c r="O57" s="39">
        <f>N57*2.85</f>
        <v>0</v>
      </c>
      <c r="P57" s="39">
        <f>O57*2.1</f>
        <v>0</v>
      </c>
      <c r="Q57" s="72"/>
      <c r="R57" s="72"/>
      <c r="S57" s="72"/>
    </row>
    <row r="58" spans="1:19" ht="14.4" customHeight="1" x14ac:dyDescent="0.3">
      <c r="B58" s="26" t="s">
        <v>78</v>
      </c>
      <c r="G58" s="40">
        <f t="shared" ref="G58:P58" si="14">G57/G54</f>
        <v>-8.4548104956268216E-2</v>
      </c>
      <c r="H58" s="40">
        <f t="shared" si="14"/>
        <v>-1.6728624535315983E-2</v>
      </c>
      <c r="I58" s="40">
        <f t="shared" si="14"/>
        <v>-3.3018867924528301E-2</v>
      </c>
      <c r="J58" s="40">
        <f t="shared" si="14"/>
        <v>-9.0634441087613302E-3</v>
      </c>
      <c r="K58" s="40">
        <f t="shared" si="14"/>
        <v>-3.1847133757961783E-2</v>
      </c>
      <c r="L58" s="40">
        <f t="shared" si="14"/>
        <v>0</v>
      </c>
      <c r="M58" s="40">
        <f t="shared" si="14"/>
        <v>0</v>
      </c>
      <c r="N58" s="40">
        <f t="shared" si="14"/>
        <v>0</v>
      </c>
      <c r="O58" s="40">
        <f t="shared" si="14"/>
        <v>0</v>
      </c>
      <c r="P58" s="40">
        <f t="shared" si="14"/>
        <v>0</v>
      </c>
      <c r="Q58" s="72"/>
      <c r="R58" s="72"/>
      <c r="S58" s="72"/>
    </row>
    <row r="59" spans="1:19" ht="14.4" customHeight="1" x14ac:dyDescent="0.3">
      <c r="B59" s="34" t="s">
        <v>79</v>
      </c>
      <c r="Q59" s="72"/>
      <c r="R59" s="72"/>
      <c r="S59" s="72"/>
    </row>
    <row r="60" spans="1:19" ht="14.4" customHeight="1" x14ac:dyDescent="0.3">
      <c r="B60" s="32" t="s">
        <v>132</v>
      </c>
      <c r="G60" s="35" t="s">
        <v>81</v>
      </c>
      <c r="H60" s="35" t="s">
        <v>81</v>
      </c>
      <c r="I60" s="35" t="s">
        <v>81</v>
      </c>
      <c r="J60" s="35" t="s">
        <v>81</v>
      </c>
      <c r="K60" s="35" t="s">
        <v>81</v>
      </c>
      <c r="L60" s="49" t="s">
        <v>133</v>
      </c>
      <c r="M60" s="49" t="s">
        <v>134</v>
      </c>
      <c r="N60" s="49" t="s">
        <v>135</v>
      </c>
      <c r="O60" s="49" t="s">
        <v>136</v>
      </c>
      <c r="P60" s="49" t="s">
        <v>137</v>
      </c>
      <c r="Q60" s="72" t="s">
        <v>138</v>
      </c>
      <c r="R60" s="72"/>
      <c r="S60" s="72"/>
    </row>
    <row r="61" spans="1:19" ht="14.4" customHeight="1" x14ac:dyDescent="0.3">
      <c r="B61" s="32" t="s">
        <v>139</v>
      </c>
      <c r="G61" s="35" t="s">
        <v>81</v>
      </c>
      <c r="H61" s="35" t="s">
        <v>81</v>
      </c>
      <c r="I61" s="35" t="s">
        <v>81</v>
      </c>
      <c r="J61" s="35" t="s">
        <v>81</v>
      </c>
      <c r="K61" s="35" t="s">
        <v>81</v>
      </c>
      <c r="L61" s="53" t="s">
        <v>5</v>
      </c>
      <c r="M61" s="53" t="s">
        <v>140</v>
      </c>
      <c r="N61" s="53" t="s">
        <v>141</v>
      </c>
      <c r="O61" s="53" t="s">
        <v>142</v>
      </c>
      <c r="P61" s="53" t="s">
        <v>100</v>
      </c>
      <c r="Q61" s="72" t="s">
        <v>143</v>
      </c>
      <c r="R61" s="72"/>
      <c r="S61" s="72"/>
    </row>
    <row r="62" spans="1:19" ht="14.4" customHeight="1" x14ac:dyDescent="0.3">
      <c r="Q62" s="72"/>
      <c r="R62" s="72"/>
      <c r="S62" s="72"/>
    </row>
    <row r="63" spans="1:19" ht="14.4" customHeight="1" x14ac:dyDescent="0.3">
      <c r="Q63" s="72"/>
      <c r="R63" s="72"/>
      <c r="S63" s="72"/>
    </row>
    <row r="64" spans="1:19" ht="14.4" customHeight="1" x14ac:dyDescent="0.3">
      <c r="A64" s="15" t="s">
        <v>159</v>
      </c>
      <c r="B64" s="2" t="s">
        <v>148</v>
      </c>
      <c r="C64" s="2"/>
      <c r="D64" s="2"/>
      <c r="E64" s="2"/>
      <c r="F64" s="2"/>
      <c r="G64" s="2">
        <v>2021</v>
      </c>
      <c r="H64" s="2">
        <v>2022</v>
      </c>
      <c r="I64" s="2">
        <v>2023</v>
      </c>
      <c r="J64" s="3">
        <v>2024</v>
      </c>
      <c r="K64" s="3">
        <v>2025</v>
      </c>
      <c r="L64" s="3" t="s">
        <v>5</v>
      </c>
      <c r="M64" s="3" t="s">
        <v>6</v>
      </c>
      <c r="N64" s="3" t="s">
        <v>7</v>
      </c>
      <c r="O64" s="3" t="s">
        <v>8</v>
      </c>
      <c r="P64" s="3" t="s">
        <v>9</v>
      </c>
      <c r="Q64" s="72"/>
      <c r="R64" s="72"/>
      <c r="S64" s="72"/>
    </row>
    <row r="65" spans="1:19" s="20" customFormat="1" ht="1.95" customHeight="1" x14ac:dyDescent="0.3">
      <c r="B65" s="25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2"/>
      <c r="N65" s="22"/>
      <c r="O65" s="22"/>
      <c r="P65" s="22"/>
      <c r="Q65" s="72"/>
      <c r="R65" s="72"/>
      <c r="S65" s="72"/>
    </row>
    <row r="66" spans="1:19" ht="14.4" customHeight="1" x14ac:dyDescent="0.3">
      <c r="B66" s="26" t="s">
        <v>144</v>
      </c>
      <c r="G66" s="44">
        <f t="shared" ref="G66:P66" si="15">G15</f>
        <v>7242</v>
      </c>
      <c r="H66" s="44">
        <f t="shared" si="15"/>
        <v>8497</v>
      </c>
      <c r="I66" s="44">
        <f t="shared" si="15"/>
        <v>10098</v>
      </c>
      <c r="J66" s="44">
        <f t="shared" si="15"/>
        <v>11436</v>
      </c>
      <c r="K66" s="44">
        <f t="shared" si="15"/>
        <v>13358.5</v>
      </c>
      <c r="L66" s="44">
        <f t="shared" si="15"/>
        <v>15025.9</v>
      </c>
      <c r="M66" s="44">
        <f t="shared" si="15"/>
        <v>16619.5</v>
      </c>
      <c r="N66" s="44">
        <f t="shared" si="15"/>
        <v>18145</v>
      </c>
      <c r="O66" s="44">
        <f t="shared" si="15"/>
        <v>19687.325000000001</v>
      </c>
      <c r="P66" s="44">
        <f t="shared" si="15"/>
        <v>21262.311000000002</v>
      </c>
      <c r="Q66" s="72"/>
      <c r="R66" s="72"/>
      <c r="S66" s="72"/>
    </row>
    <row r="67" spans="1:19" ht="14.4" customHeight="1" x14ac:dyDescent="0.3">
      <c r="B67" s="26" t="s">
        <v>108</v>
      </c>
      <c r="G67" s="44">
        <f t="shared" ref="G67:P67" si="16">G28</f>
        <v>5516</v>
      </c>
      <c r="H67" s="44">
        <f t="shared" si="16"/>
        <v>5848</v>
      </c>
      <c r="I67" s="44">
        <f t="shared" si="16"/>
        <v>6084</v>
      </c>
      <c r="J67" s="44">
        <f t="shared" si="16"/>
        <v>6248</v>
      </c>
      <c r="K67" s="44">
        <f t="shared" si="16"/>
        <v>6780</v>
      </c>
      <c r="L67" s="44">
        <f t="shared" si="16"/>
        <v>5835.9279999999999</v>
      </c>
      <c r="M67" s="44">
        <f t="shared" si="16"/>
        <v>6317.3920600000001</v>
      </c>
      <c r="N67" s="44">
        <f t="shared" si="16"/>
        <v>6953.1434665000006</v>
      </c>
      <c r="O67" s="44">
        <f t="shared" si="16"/>
        <v>7665.1584153585009</v>
      </c>
      <c r="P67" s="44">
        <f t="shared" si="16"/>
        <v>8417.6393223997729</v>
      </c>
      <c r="Q67" s="72"/>
      <c r="R67" s="72"/>
      <c r="S67" s="72"/>
    </row>
    <row r="68" spans="1:19" ht="14.4" customHeight="1" x14ac:dyDescent="0.3">
      <c r="B68" s="26" t="s">
        <v>145</v>
      </c>
      <c r="G68" s="47">
        <v>2648</v>
      </c>
      <c r="H68" s="47">
        <v>3039</v>
      </c>
      <c r="I68" s="47">
        <v>3413</v>
      </c>
      <c r="J68" s="47">
        <v>3744</v>
      </c>
      <c r="K68" s="47">
        <v>4220</v>
      </c>
      <c r="L68" s="45">
        <f>G68*1.127</f>
        <v>2984.2959999999998</v>
      </c>
      <c r="M68" s="45">
        <f>L68*1.11</f>
        <v>3312.5685600000002</v>
      </c>
      <c r="N68" s="45">
        <f>M68*1.074</f>
        <v>3557.6986334400003</v>
      </c>
      <c r="O68" s="45">
        <f>N68*1.072</f>
        <v>3813.8529350476806</v>
      </c>
      <c r="P68" s="45">
        <f>O68*1.07</f>
        <v>4080.8226405010187</v>
      </c>
      <c r="Q68" s="72"/>
      <c r="R68" s="72"/>
      <c r="S68" s="72"/>
    </row>
    <row r="69" spans="1:19" ht="14.4" customHeight="1" x14ac:dyDescent="0.3">
      <c r="B69" s="26" t="s">
        <v>146</v>
      </c>
      <c r="G69" s="44">
        <f t="shared" ref="G69:P69" si="17">G40</f>
        <v>2579</v>
      </c>
      <c r="H69" s="44">
        <f t="shared" si="17"/>
        <v>2830</v>
      </c>
      <c r="I69" s="44">
        <f t="shared" si="17"/>
        <v>2965</v>
      </c>
      <c r="J69" s="44">
        <f t="shared" si="17"/>
        <v>2790</v>
      </c>
      <c r="K69" s="44">
        <f t="shared" si="17"/>
        <v>2510</v>
      </c>
      <c r="L69" s="44">
        <f t="shared" si="17"/>
        <v>2450.0499999999997</v>
      </c>
      <c r="M69" s="44">
        <f t="shared" si="17"/>
        <v>2486.8007499999994</v>
      </c>
      <c r="N69" s="44">
        <f t="shared" si="17"/>
        <v>2598.7067837499994</v>
      </c>
      <c r="O69" s="44">
        <f t="shared" si="17"/>
        <v>2767.6227246937492</v>
      </c>
      <c r="P69" s="44">
        <f t="shared" si="17"/>
        <v>2947.5182017988427</v>
      </c>
      <c r="Q69" s="72"/>
      <c r="R69" s="72"/>
      <c r="S69" s="72"/>
    </row>
    <row r="70" spans="1:19" ht="14.4" customHeight="1" x14ac:dyDescent="0.3">
      <c r="B70" s="26" t="s">
        <v>147</v>
      </c>
      <c r="G70" s="44">
        <f t="shared" ref="G70:P70" si="18">G54</f>
        <v>343</v>
      </c>
      <c r="H70" s="44">
        <f t="shared" si="18"/>
        <v>538</v>
      </c>
      <c r="I70" s="44">
        <f t="shared" si="18"/>
        <v>636</v>
      </c>
      <c r="J70" s="44">
        <f t="shared" si="18"/>
        <v>662</v>
      </c>
      <c r="K70" s="44">
        <f t="shared" si="18"/>
        <v>628</v>
      </c>
      <c r="L70" s="44">
        <f t="shared" si="18"/>
        <v>368.72500000000002</v>
      </c>
      <c r="M70" s="44">
        <f t="shared" si="18"/>
        <v>405.62437499999999</v>
      </c>
      <c r="N70" s="44">
        <f t="shared" si="18"/>
        <v>467.87211562499999</v>
      </c>
      <c r="O70" s="44">
        <f t="shared" si="18"/>
        <v>564.18008301562497</v>
      </c>
      <c r="P70" s="44">
        <f t="shared" si="18"/>
        <v>695.6604615058593</v>
      </c>
      <c r="Q70" s="72"/>
      <c r="R70" s="72"/>
      <c r="S70" s="72"/>
    </row>
    <row r="71" spans="1:19" ht="14.4" customHeight="1" x14ac:dyDescent="0.3">
      <c r="B71" s="29" t="s">
        <v>148</v>
      </c>
      <c r="G71" s="63">
        <f t="shared" ref="G71:P71" si="19">SUM(G66:G70)</f>
        <v>18328</v>
      </c>
      <c r="H71" s="63">
        <f t="shared" si="19"/>
        <v>20752</v>
      </c>
      <c r="I71" s="63">
        <f t="shared" si="19"/>
        <v>23196</v>
      </c>
      <c r="J71" s="63">
        <f t="shared" si="19"/>
        <v>24880</v>
      </c>
      <c r="K71" s="63">
        <f t="shared" si="19"/>
        <v>27496.5</v>
      </c>
      <c r="L71" s="63">
        <f t="shared" si="19"/>
        <v>26664.898999999998</v>
      </c>
      <c r="M71" s="63">
        <f t="shared" si="19"/>
        <v>29141.885744999996</v>
      </c>
      <c r="N71" s="63">
        <f t="shared" si="19"/>
        <v>31722.420999315</v>
      </c>
      <c r="O71" s="63">
        <f t="shared" si="19"/>
        <v>34498.139158115562</v>
      </c>
      <c r="P71" s="63">
        <f t="shared" si="19"/>
        <v>37403.951626205497</v>
      </c>
      <c r="Q71" s="72"/>
      <c r="R71" s="72"/>
      <c r="S71" s="72"/>
    </row>
    <row r="72" spans="1:19" ht="14.4" customHeight="1" x14ac:dyDescent="0.3">
      <c r="Q72" s="72"/>
      <c r="R72" s="72"/>
      <c r="S72" s="72"/>
    </row>
    <row r="73" spans="1:19" ht="14.4" customHeight="1" x14ac:dyDescent="0.3">
      <c r="A73" s="15" t="s">
        <v>159</v>
      </c>
      <c r="B73" s="2" t="s">
        <v>149</v>
      </c>
      <c r="C73" s="2"/>
      <c r="D73" s="2"/>
      <c r="E73" s="2"/>
      <c r="F73" s="2"/>
      <c r="G73" s="2">
        <v>2021</v>
      </c>
      <c r="H73" s="2">
        <v>2022</v>
      </c>
      <c r="I73" s="2">
        <v>2023</v>
      </c>
      <c r="J73" s="3">
        <v>2024</v>
      </c>
      <c r="K73" s="3">
        <v>2025</v>
      </c>
      <c r="L73" s="3" t="s">
        <v>5</v>
      </c>
      <c r="M73" s="3" t="s">
        <v>6</v>
      </c>
      <c r="N73" s="3" t="s">
        <v>7</v>
      </c>
      <c r="O73" s="3" t="s">
        <v>8</v>
      </c>
      <c r="P73" s="3" t="s">
        <v>9</v>
      </c>
      <c r="Q73" s="72"/>
      <c r="R73" s="72"/>
      <c r="S73" s="72"/>
    </row>
    <row r="74" spans="1:19" s="20" customFormat="1" ht="1.95" customHeight="1" x14ac:dyDescent="0.3">
      <c r="B74" s="25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2"/>
      <c r="N74" s="22"/>
      <c r="O74" s="22"/>
      <c r="P74" s="22"/>
      <c r="Q74" s="72"/>
      <c r="R74" s="72"/>
      <c r="S74" s="72"/>
    </row>
    <row r="75" spans="1:19" ht="14.4" customHeight="1" x14ac:dyDescent="0.3">
      <c r="B75" s="26" t="s">
        <v>144</v>
      </c>
      <c r="G75" s="44">
        <f t="shared" ref="G75:P75" si="20">G18</f>
        <v>1495</v>
      </c>
      <c r="H75" s="44">
        <f t="shared" si="20"/>
        <v>1912</v>
      </c>
      <c r="I75" s="44">
        <f t="shared" si="20"/>
        <v>2676</v>
      </c>
      <c r="J75" s="44">
        <f t="shared" si="20"/>
        <v>3454</v>
      </c>
      <c r="K75" s="44">
        <f t="shared" si="20"/>
        <v>3985.89</v>
      </c>
      <c r="L75" s="44">
        <f t="shared" si="20"/>
        <v>4512.41</v>
      </c>
      <c r="M75" s="44">
        <f t="shared" si="20"/>
        <v>5088.5</v>
      </c>
      <c r="N75" s="44">
        <f t="shared" si="20"/>
        <v>5624.95</v>
      </c>
      <c r="O75" s="44">
        <f t="shared" si="20"/>
        <v>6162.1327250000004</v>
      </c>
      <c r="P75" s="44">
        <f t="shared" si="20"/>
        <v>6697.6279650000006</v>
      </c>
      <c r="Q75" s="72"/>
      <c r="R75" s="72"/>
      <c r="S75" s="72"/>
    </row>
    <row r="76" spans="1:19" ht="14.4" customHeight="1" x14ac:dyDescent="0.3">
      <c r="B76" s="26" t="s">
        <v>108</v>
      </c>
      <c r="G76" s="44">
        <f t="shared" ref="G76:P76" si="21">G31</f>
        <v>1034</v>
      </c>
      <c r="H76" s="44">
        <f t="shared" si="21"/>
        <v>1134</v>
      </c>
      <c r="I76" s="44">
        <f t="shared" si="21"/>
        <v>1176</v>
      </c>
      <c r="J76" s="44">
        <f t="shared" si="21"/>
        <v>1150</v>
      </c>
      <c r="K76" s="44">
        <f t="shared" si="21"/>
        <v>1318</v>
      </c>
      <c r="L76" s="44">
        <f t="shared" si="21"/>
        <v>1116.72</v>
      </c>
      <c r="M76" s="44">
        <f t="shared" si="21"/>
        <v>1209.4077600000001</v>
      </c>
      <c r="N76" s="44">
        <f t="shared" si="21"/>
        <v>1348.4896524000001</v>
      </c>
      <c r="O76" s="44">
        <f t="shared" si="21"/>
        <v>1510.3084106880003</v>
      </c>
      <c r="P76" s="44">
        <f t="shared" si="21"/>
        <v>1683.9938779171202</v>
      </c>
      <c r="Q76" s="72"/>
      <c r="R76" s="72"/>
      <c r="S76" s="72"/>
    </row>
    <row r="77" spans="1:19" ht="14.4" customHeight="1" x14ac:dyDescent="0.3">
      <c r="B77" s="26" t="s">
        <v>145</v>
      </c>
      <c r="G77" s="47">
        <v>580</v>
      </c>
      <c r="H77" s="47">
        <v>706</v>
      </c>
      <c r="I77" s="47">
        <v>780</v>
      </c>
      <c r="J77" s="47">
        <v>859</v>
      </c>
      <c r="K77" s="47">
        <v>1004</v>
      </c>
      <c r="L77" s="45">
        <f>G76*1.13</f>
        <v>1168.4199999999998</v>
      </c>
      <c r="M77" s="45">
        <f>L76*1.13</f>
        <v>1261.8935999999999</v>
      </c>
      <c r="N77" s="45">
        <f>M76*1.098</f>
        <v>1327.9297204800002</v>
      </c>
      <c r="O77" s="45">
        <f>N76*1.087</f>
        <v>1465.8082521588001</v>
      </c>
      <c r="P77" s="45">
        <f>O76*1.08</f>
        <v>1631.1330835430404</v>
      </c>
      <c r="Q77" s="72"/>
      <c r="R77" s="72"/>
      <c r="S77" s="72"/>
    </row>
    <row r="78" spans="1:19" ht="14.4" customHeight="1" x14ac:dyDescent="0.3">
      <c r="B78" s="26" t="s">
        <v>146</v>
      </c>
      <c r="G78" s="44">
        <f t="shared" ref="G78:P78" si="22">G43</f>
        <v>449</v>
      </c>
      <c r="H78" s="44">
        <f t="shared" si="22"/>
        <v>453</v>
      </c>
      <c r="I78" s="44">
        <f t="shared" si="22"/>
        <v>482</v>
      </c>
      <c r="J78" s="44">
        <f t="shared" si="22"/>
        <v>503</v>
      </c>
      <c r="K78" s="44">
        <f t="shared" si="22"/>
        <v>408</v>
      </c>
      <c r="L78" s="44">
        <f t="shared" si="22"/>
        <v>454.83699999999993</v>
      </c>
      <c r="M78" s="44">
        <f t="shared" si="22"/>
        <v>495.77232999999995</v>
      </c>
      <c r="N78" s="44">
        <f t="shared" si="22"/>
        <v>540.39183969999999</v>
      </c>
      <c r="O78" s="44">
        <f t="shared" si="22"/>
        <v>603.61768494490002</v>
      </c>
      <c r="P78" s="44">
        <f t="shared" si="22"/>
        <v>676.05180713828804</v>
      </c>
      <c r="Q78" s="72"/>
      <c r="R78" s="72"/>
      <c r="S78" s="72"/>
    </row>
    <row r="79" spans="1:19" ht="14.4" customHeight="1" x14ac:dyDescent="0.3">
      <c r="B79" s="26" t="s">
        <v>147</v>
      </c>
      <c r="G79" s="44">
        <f t="shared" ref="G79:P79" si="23">G57</f>
        <v>-29</v>
      </c>
      <c r="H79" s="44">
        <f t="shared" si="23"/>
        <v>-9</v>
      </c>
      <c r="I79" s="44">
        <f t="shared" si="23"/>
        <v>-21</v>
      </c>
      <c r="J79" s="44">
        <f t="shared" si="23"/>
        <v>-6</v>
      </c>
      <c r="K79" s="44">
        <f t="shared" si="23"/>
        <v>-20</v>
      </c>
      <c r="L79" s="44">
        <f t="shared" si="23"/>
        <v>0</v>
      </c>
      <c r="M79" s="44">
        <f t="shared" si="23"/>
        <v>0</v>
      </c>
      <c r="N79" s="44">
        <f t="shared" si="23"/>
        <v>0</v>
      </c>
      <c r="O79" s="44">
        <f t="shared" si="23"/>
        <v>0</v>
      </c>
      <c r="P79" s="44">
        <f t="shared" si="23"/>
        <v>0</v>
      </c>
      <c r="Q79" s="72"/>
      <c r="R79" s="72"/>
      <c r="S79" s="72"/>
    </row>
    <row r="80" spans="1:19" ht="14.4" customHeight="1" x14ac:dyDescent="0.3">
      <c r="B80" s="29" t="s">
        <v>149</v>
      </c>
      <c r="G80" s="63">
        <f t="shared" ref="G80:P80" si="24">SUM(G75:G79)</f>
        <v>3529</v>
      </c>
      <c r="H80" s="63">
        <f t="shared" si="24"/>
        <v>4196</v>
      </c>
      <c r="I80" s="63">
        <f t="shared" si="24"/>
        <v>5093</v>
      </c>
      <c r="J80" s="63">
        <f t="shared" si="24"/>
        <v>5960</v>
      </c>
      <c r="K80" s="63">
        <f t="shared" si="24"/>
        <v>6695.8899999999994</v>
      </c>
      <c r="L80" s="63">
        <f t="shared" si="24"/>
        <v>7252.3869999999997</v>
      </c>
      <c r="M80" s="63">
        <f t="shared" si="24"/>
        <v>8055.5736899999993</v>
      </c>
      <c r="N80" s="63">
        <f t="shared" si="24"/>
        <v>8841.7612125800006</v>
      </c>
      <c r="O80" s="63">
        <f t="shared" si="24"/>
        <v>9741.8670727917015</v>
      </c>
      <c r="P80" s="63">
        <f t="shared" si="24"/>
        <v>10688.806733598449</v>
      </c>
      <c r="Q80" s="72"/>
      <c r="R80" s="72"/>
      <c r="S80" s="72"/>
    </row>
  </sheetData>
  <mergeCells count="66">
    <mergeCell ref="Q28:S28"/>
    <mergeCell ref="Q4:S4"/>
    <mergeCell ref="Q23:S23"/>
    <mergeCell ref="Q6:S6"/>
    <mergeCell ref="Q12:S12"/>
    <mergeCell ref="Q15:S15"/>
    <mergeCell ref="Q16:S16"/>
    <mergeCell ref="Q17:S17"/>
    <mergeCell ref="Q18:S18"/>
    <mergeCell ref="Q19:S19"/>
    <mergeCell ref="Q20:S20"/>
    <mergeCell ref="Q21:S21"/>
    <mergeCell ref="Q22:S22"/>
    <mergeCell ref="Q25:S25"/>
    <mergeCell ref="Q26:S26"/>
    <mergeCell ref="Q27:S27"/>
    <mergeCell ref="Q29:S29"/>
    <mergeCell ref="Q30:S30"/>
    <mergeCell ref="Q31:S31"/>
    <mergeCell ref="Q32:S32"/>
    <mergeCell ref="Q33:S33"/>
    <mergeCell ref="Q46:S46"/>
    <mergeCell ref="Q34:S34"/>
    <mergeCell ref="Q35:S35"/>
    <mergeCell ref="Q36:S36"/>
    <mergeCell ref="Q38:S38"/>
    <mergeCell ref="Q39:S39"/>
    <mergeCell ref="Q40:S40"/>
    <mergeCell ref="Q41:S41"/>
    <mergeCell ref="Q42:S42"/>
    <mergeCell ref="Q43:S43"/>
    <mergeCell ref="Q44:S44"/>
    <mergeCell ref="Q45:S45"/>
    <mergeCell ref="Q59:S59"/>
    <mergeCell ref="Q60:S60"/>
    <mergeCell ref="Q61:S61"/>
    <mergeCell ref="Q62:S62"/>
    <mergeCell ref="Q47:S47"/>
    <mergeCell ref="Q48:S48"/>
    <mergeCell ref="Q49:S49"/>
    <mergeCell ref="Q50:S50"/>
    <mergeCell ref="Q52:S52"/>
    <mergeCell ref="Q53:S53"/>
    <mergeCell ref="Q54:S54"/>
    <mergeCell ref="Q55:S55"/>
    <mergeCell ref="Q56:S56"/>
    <mergeCell ref="Q57:S57"/>
    <mergeCell ref="Q58:S58"/>
    <mergeCell ref="Q75:S75"/>
    <mergeCell ref="Q63:S63"/>
    <mergeCell ref="Q65:S65"/>
    <mergeCell ref="Q66:S66"/>
    <mergeCell ref="Q67:S67"/>
    <mergeCell ref="Q68:S68"/>
    <mergeCell ref="Q69:S69"/>
    <mergeCell ref="Q64:S64"/>
    <mergeCell ref="Q70:S70"/>
    <mergeCell ref="Q71:S71"/>
    <mergeCell ref="Q72:S72"/>
    <mergeCell ref="Q73:S73"/>
    <mergeCell ref="Q74:S74"/>
    <mergeCell ref="Q76:S76"/>
    <mergeCell ref="Q77:S77"/>
    <mergeCell ref="Q78:S78"/>
    <mergeCell ref="Q79:S79"/>
    <mergeCell ref="Q80:S8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82438-1AC1-43DF-96FD-76E4B45DFDBC}">
  <dimension ref="A12:A69"/>
  <sheetViews>
    <sheetView showGridLines="0" zoomScale="115" zoomScaleNormal="115" workbookViewId="0">
      <selection activeCell="A23" sqref="A23"/>
    </sheetView>
  </sheetViews>
  <sheetFormatPr defaultColWidth="8.69921875" defaultRowHeight="14.4" x14ac:dyDescent="0.3"/>
  <cols>
    <col min="1" max="5" width="8.69921875" style="1"/>
    <col min="6" max="6" width="9.796875" style="1" bestFit="1" customWidth="1"/>
    <col min="7" max="16384" width="8.69921875" style="1"/>
  </cols>
  <sheetData>
    <row r="12" ht="15.6" customHeight="1" x14ac:dyDescent="0.3"/>
    <row r="13" ht="15.6" customHeight="1" x14ac:dyDescent="0.3"/>
    <row r="14" ht="15.6" customHeight="1" x14ac:dyDescent="0.3"/>
    <row r="16" ht="15.6" customHeight="1" x14ac:dyDescent="0.3"/>
    <row r="18" ht="15.6" customHeight="1" x14ac:dyDescent="0.3"/>
    <row r="19" ht="15.6" customHeight="1" x14ac:dyDescent="0.3"/>
    <row r="20" ht="15.6" customHeight="1" x14ac:dyDescent="0.3"/>
    <row r="21" ht="15.6" customHeight="1" x14ac:dyDescent="0.3"/>
    <row r="22" ht="15.6" customHeight="1" x14ac:dyDescent="0.3"/>
    <row r="23" ht="15.6" customHeight="1" x14ac:dyDescent="0.3"/>
    <row r="24" ht="15.6" customHeight="1" x14ac:dyDescent="0.3"/>
    <row r="25" ht="15.6" customHeight="1" x14ac:dyDescent="0.3"/>
    <row r="26" ht="15.6" customHeight="1" x14ac:dyDescent="0.3"/>
    <row r="27" ht="15.6" customHeight="1" x14ac:dyDescent="0.3"/>
    <row r="29" ht="15.6" customHeight="1" x14ac:dyDescent="0.3"/>
    <row r="30" ht="15.6" customHeight="1" x14ac:dyDescent="0.3"/>
    <row r="31" ht="15.6" customHeight="1" x14ac:dyDescent="0.3"/>
    <row r="32" ht="15.6" customHeight="1" x14ac:dyDescent="0.3"/>
    <row r="37" ht="15.6" customHeight="1" x14ac:dyDescent="0.3"/>
    <row r="38" ht="15.6" customHeight="1" x14ac:dyDescent="0.3"/>
    <row r="39" ht="15.6" customHeight="1" x14ac:dyDescent="0.3"/>
    <row r="40" ht="15.6" customHeight="1" x14ac:dyDescent="0.3"/>
    <row r="41" ht="15.6" customHeight="1" x14ac:dyDescent="0.3"/>
    <row r="42" ht="15.6" customHeight="1" x14ac:dyDescent="0.3"/>
    <row r="43" ht="15.6" customHeight="1" x14ac:dyDescent="0.3"/>
    <row r="46" ht="15.6" customHeight="1" x14ac:dyDescent="0.3"/>
    <row r="47" ht="15.6" customHeight="1" x14ac:dyDescent="0.3"/>
    <row r="48" ht="15.6" customHeight="1" x14ac:dyDescent="0.3"/>
    <row r="54" ht="15.6" customHeight="1" x14ac:dyDescent="0.3"/>
    <row r="55" ht="15.6" customHeight="1" x14ac:dyDescent="0.3"/>
    <row r="57" ht="15.6" customHeight="1" x14ac:dyDescent="0.3"/>
    <row r="58" ht="15.6" customHeight="1" x14ac:dyDescent="0.3"/>
    <row r="59" ht="15.6" customHeight="1" x14ac:dyDescent="0.3"/>
    <row r="63" ht="15.6" customHeight="1" x14ac:dyDescent="0.3"/>
    <row r="67" ht="15.6" customHeight="1" x14ac:dyDescent="0.3"/>
    <row r="69" ht="15.6" customHeight="1" x14ac:dyDescent="0.3"/>
  </sheetData>
  <sortState xmlns:xlrd2="http://schemas.microsoft.com/office/spreadsheetml/2017/richdata2" ref="B72:F80">
    <sortCondition descending="1" ref="F72:F80"/>
  </sortState>
  <conditionalFormatting sqref="R5:AJ5">
    <cfRule type="colorScale" priority="3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R8:AJ8">
    <cfRule type="colorScale" priority="2">
      <colorScale>
        <cfvo type="min"/>
        <cfvo type="num" val="0"/>
        <cfvo type="max"/>
        <color rgb="FFFF0000"/>
        <color theme="2"/>
        <color rgb="FF00B050"/>
      </colorScale>
    </cfRule>
  </conditionalFormatting>
  <conditionalFormatting sqref="S10:S15">
    <cfRule type="colorScale" priority="6">
      <colorScale>
        <cfvo type="min"/>
        <cfvo type="num" val="0"/>
        <cfvo type="max"/>
        <color rgb="FFFF0000"/>
        <color theme="2"/>
        <color rgb="FF00B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</vt:lpstr>
      <vt:lpstr>Segments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Kerem Odabasi</dc:creator>
  <cp:lastModifiedBy>Kerem Odabasi</cp:lastModifiedBy>
  <dcterms:created xsi:type="dcterms:W3CDTF">2026-01-02T23:21:27Z</dcterms:created>
  <dcterms:modified xsi:type="dcterms:W3CDTF">2026-02-02T07:13:50Z</dcterms:modified>
</cp:coreProperties>
</file>