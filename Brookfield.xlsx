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103B9F09-09EA-4D82-8E80-D3E45E1E2EBD}" xr6:coauthVersionLast="47" xr6:coauthVersionMax="47" xr10:uidLastSave="{00000000-0000-0000-0000-000000000000}"/>
  <bookViews>
    <workbookView xWindow="32256" yWindow="1644" windowWidth="27720" windowHeight="15516" xr2:uid="{E6790A5E-42AE-47DF-9C75-3CC20F71AE69}"/>
  </bookViews>
  <sheets>
    <sheet name="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W6" i="1"/>
  <c r="W8" i="1"/>
  <c r="V8" i="1"/>
  <c r="W7" i="1"/>
  <c r="V7" i="1"/>
  <c r="W5" i="1"/>
  <c r="V5" i="1"/>
  <c r="F18" i="1"/>
  <c r="G14" i="1"/>
  <c r="F14" i="1"/>
  <c r="G5" i="1"/>
  <c r="G4" i="1"/>
  <c r="G8" i="1"/>
  <c r="G6" i="1"/>
  <c r="G7" i="1"/>
  <c r="G9" i="1"/>
  <c r="G10" i="1"/>
  <c r="Q12" i="1"/>
  <c r="Q11" i="1"/>
  <c r="Q13" i="1" a="1"/>
  <c r="Q13" i="1" l="1"/>
  <c r="Q14" i="1" s="1"/>
  <c r="P12" i="1"/>
  <c r="P11" i="1"/>
  <c r="P13" i="1" a="1"/>
  <c r="P13" i="1" l="1"/>
  <c r="P14" i="1" s="1"/>
  <c r="F15" i="1"/>
  <c r="F17" i="1" s="1"/>
  <c r="F16" i="1" l="1"/>
  <c r="G15" i="1"/>
  <c r="G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<sst xmlns="http://schemas.openxmlformats.org/spreadsheetml/2006/main" count="53" uniqueCount="52">
  <si>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Brookfield</t>
  </si>
  <si>
    <t>Per Brookfield</t>
  </si>
  <si>
    <t>Real Estate</t>
  </si>
  <si>
    <t>Renewables &amp; Transition (BEP)</t>
  </si>
  <si>
    <t>Infrastructure (BIP)</t>
  </si>
  <si>
    <t>Wealth Solutions</t>
  </si>
  <si>
    <t>Private Equity (BBU) &amp; Other</t>
  </si>
  <si>
    <t>Cash &amp; Financial Assets</t>
  </si>
  <si>
    <t>Asset Management (BAM)</t>
  </si>
  <si>
    <t>Corporate Borrowings</t>
  </si>
  <si>
    <t>Preferred Shares and Capital Securities</t>
  </si>
  <si>
    <t>Total NAV</t>
  </si>
  <si>
    <t>per share</t>
  </si>
  <si>
    <t>Notes</t>
  </si>
  <si>
    <t>Implied upside to current share price</t>
  </si>
  <si>
    <t>Company Name</t>
  </si>
  <si>
    <t>Parvis Invest</t>
  </si>
  <si>
    <t>KKR</t>
  </si>
  <si>
    <t>Ares Management</t>
  </si>
  <si>
    <t>Blackstone</t>
  </si>
  <si>
    <t>TPG A</t>
  </si>
  <si>
    <t>Average</t>
  </si>
  <si>
    <t>Median</t>
  </si>
  <si>
    <t>Apollo Global Management</t>
  </si>
  <si>
    <t>2025E</t>
  </si>
  <si>
    <t>2026E</t>
  </si>
  <si>
    <t>P/DE</t>
  </si>
  <si>
    <t>Implied Share Price</t>
  </si>
  <si>
    <t>Implied Upside</t>
  </si>
  <si>
    <t>Implied upside with conglomore discount</t>
  </si>
  <si>
    <t>25% discount to NAV</t>
  </si>
  <si>
    <t>per share with discount</t>
  </si>
  <si>
    <t>My Estimates</t>
  </si>
  <si>
    <t>11.5B Accrued + 50% of Target (22.2B)</t>
  </si>
  <si>
    <t>2377M Fully Diluted Shares</t>
  </si>
  <si>
    <t>1.792B Annualized DE at 13.5x</t>
  </si>
  <si>
    <t>73% of BAM</t>
  </si>
  <si>
    <t>46% of BEP + 652mm Contracts</t>
  </si>
  <si>
    <t>26.5% BIP</t>
  </si>
  <si>
    <t>68% of BBU + 4.23B Private Holdings</t>
  </si>
  <si>
    <t>25% Discount to IFRS</t>
  </si>
  <si>
    <t>Blended Value</t>
  </si>
  <si>
    <t>Term Debt - Commercial Paper</t>
  </si>
  <si>
    <t>In $mm except per share figures</t>
  </si>
  <si>
    <t>Carried Interest</t>
  </si>
  <si>
    <t>2030 Plan Value</t>
  </si>
  <si>
    <t>2025 Plan Value</t>
  </si>
  <si>
    <t>Pre Split</t>
  </si>
  <si>
    <t>Post Split</t>
  </si>
  <si>
    <t>With Conglomore Discount</t>
  </si>
  <si>
    <t>All figures are per share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</si>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</sst>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7" formatCode="&quot;$&quot;#,##0.00_);\(&quot;$&quot;#,##0.00\)"/>
  </numFmts>
  <fonts count="5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i/>
      <sz val="12"/>
      <color theme="0"/>
      <name val="calibri"/>
      <family val="2"/>
    </font>
    <font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indent="1"/>
    </xf>
    <xf numFmtId="5" fontId="0" fillId="0" borderId="0" xfId="0" applyNumberFormat="1"/>
    <xf numFmtId="0" fontId="2" fillId="0" borderId="0" xfId="0" applyFont="1"/>
    <xf numFmtId="0" fontId="0" fillId="0" borderId="1" xfId="0" applyBorder="1" applyAlignment="1">
      <alignment horizontal="left" indent="1"/>
    </xf>
    <xf numFmtId="0" fontId="0" fillId="0" borderId="1" xfId="0" applyBorder="1"/>
    <xf numFmtId="0" fontId="0" fillId="0" borderId="2" xfId="0" applyBorder="1"/>
    <xf numFmtId="7" fontId="0" fillId="0" borderId="0" xfId="0" applyNumberFormat="1"/>
    <xf numFmtId="0" fontId="0" fillId="0" borderId="5" xfId="0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0" fillId="0" borderId="3" xfId="0" applyBorder="1"/>
    <xf numFmtId="2" fontId="0" fillId="0" borderId="0" xfId="0" applyNumberFormat="1"/>
    <xf numFmtId="0" fontId="0" fillId="0" borderId="6" xfId="0" applyBorder="1"/>
    <xf numFmtId="2" fontId="0" fillId="0" borderId="7" xfId="0" applyNumberFormat="1" applyBorder="1"/>
    <xf numFmtId="10" fontId="0" fillId="0" borderId="1" xfId="0" applyNumberFormat="1" applyBorder="1"/>
    <xf numFmtId="10" fontId="0" fillId="0" borderId="6" xfId="0" applyNumberFormat="1" applyBorder="1"/>
    <xf numFmtId="5" fontId="2" fillId="0" borderId="7" xfId="0" applyNumberFormat="1" applyFont="1" applyBorder="1"/>
    <xf numFmtId="7" fontId="2" fillId="0" borderId="5" xfId="0" applyNumberFormat="1" applyFont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5" fontId="0" fillId="0" borderId="5" xfId="0" applyNumberFormat="1" applyBorder="1"/>
    <xf numFmtId="5" fontId="0" fillId="0" borderId="6" xfId="0" applyNumberFormat="1" applyBorder="1"/>
    <xf numFmtId="0" fontId="0" fillId="0" borderId="9" xfId="0" applyBorder="1"/>
    <xf numFmtId="10" fontId="0" fillId="0" borderId="10" xfId="0" applyNumberFormat="1" applyBorder="1"/>
    <xf numFmtId="5" fontId="2" fillId="0" borderId="11" xfId="0" applyNumberFormat="1" applyFont="1" applyBorder="1"/>
    <xf numFmtId="7" fontId="2" fillId="0" borderId="10" xfId="0" applyNumberFormat="1" applyFont="1" applyBorder="1"/>
    <xf numFmtId="0" fontId="0" fillId="2" borderId="12" xfId="0" applyFill="1" applyBorder="1"/>
    <xf numFmtId="0" fontId="3" fillId="2" borderId="16" xfId="0" applyFont="1" applyFill="1" applyBorder="1"/>
    <xf numFmtId="0" fontId="0" fillId="2" borderId="16" xfId="0" applyFill="1" applyBorder="1"/>
    <xf numFmtId="0" fontId="0" fillId="2" borderId="15" xfId="0" applyFill="1" applyBorder="1"/>
    <xf numFmtId="0" fontId="3" fillId="2" borderId="19" xfId="0" applyFont="1" applyFill="1" applyBorder="1" applyAlignment="1">
      <alignment horizontal="left" indent="1"/>
    </xf>
    <xf numFmtId="5" fontId="0" fillId="0" borderId="10" xfId="0" applyNumberFormat="1" applyBorder="1"/>
    <xf numFmtId="5" fontId="0" fillId="0" borderId="9" xfId="0" applyNumberFormat="1" applyBorder="1"/>
    <xf numFmtId="7" fontId="0" fillId="0" borderId="10" xfId="0" applyNumberFormat="1" applyBorder="1"/>
    <xf numFmtId="10" fontId="0" fillId="0" borderId="9" xfId="0" applyNumberFormat="1" applyBorder="1"/>
    <xf numFmtId="0" fontId="1" fillId="2" borderId="13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2" borderId="17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4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" xfId="0" applyFill="1" applyBorder="1" applyAlignment="1">
      <alignment horizontal="left" inden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3ED9-350B-4ABF-A5E2-589C8FF50BD0}">
  <dimension ref="B1:W18"/>
  <sheetViews>
    <sheetView showGridLines="0" tabSelected="1" topLeftCell="F7" zoomScale="85" zoomScaleNormal="85" workbookViewId="0">
      <selection activeCell="X36" sqref="X35:X36"/>
    </sheetView>
  </sheetViews>
  <sheetFormatPr defaultColWidth="10.69921875" defaultRowHeight="16.95" customHeight="1" x14ac:dyDescent="0.3"/>
  <sheetData>
    <row r="1" spans="2:23" ht="16.95" customHeight="1" thickBot="1" x14ac:dyDescent="0.35"/>
    <row r="2" spans="2:23" ht="16.95" customHeight="1" x14ac:dyDescent="0.3">
      <c r="B2" s="33"/>
      <c r="C2" s="30"/>
      <c r="D2" s="30"/>
      <c r="E2" s="30"/>
      <c r="F2" s="39" t="s">
        <v>1</v>
      </c>
      <c r="G2" s="45" t="s">
        <v>32</v>
      </c>
      <c r="H2" s="47" t="s">
        <v>13</v>
      </c>
      <c r="I2" s="48"/>
      <c r="J2" s="48"/>
      <c r="K2" s="49"/>
      <c r="M2" s="41" t="s">
        <v>15</v>
      </c>
      <c r="N2" s="42"/>
      <c r="O2" s="20"/>
      <c r="P2" s="21" t="s">
        <v>26</v>
      </c>
      <c r="Q2" s="21"/>
      <c r="S2" s="59"/>
      <c r="T2" s="60"/>
      <c r="U2" s="60"/>
      <c r="V2" s="61" t="s">
        <v>46</v>
      </c>
      <c r="W2" s="64" t="s">
        <v>45</v>
      </c>
    </row>
    <row r="3" spans="2:23" ht="16.95" customHeight="1" thickBot="1" x14ac:dyDescent="0.35">
      <c r="B3" s="34" t="s">
        <v>43</v>
      </c>
      <c r="C3" s="31"/>
      <c r="D3" s="31"/>
      <c r="E3" s="32"/>
      <c r="F3" s="40"/>
      <c r="G3" s="46"/>
      <c r="H3" s="50"/>
      <c r="I3" s="51"/>
      <c r="J3" s="51"/>
      <c r="K3" s="52"/>
      <c r="M3" s="43"/>
      <c r="N3" s="44"/>
      <c r="O3" s="22"/>
      <c r="P3" s="23" t="s">
        <v>24</v>
      </c>
      <c r="Q3" s="23" t="s">
        <v>25</v>
      </c>
      <c r="S3" s="34" t="s">
        <v>50</v>
      </c>
      <c r="T3" s="31"/>
      <c r="U3" s="31"/>
      <c r="V3" s="58"/>
      <c r="W3" s="65"/>
    </row>
    <row r="4" spans="2:23" ht="16.95" customHeight="1" x14ac:dyDescent="0.3">
      <c r="B4" s="9" t="s">
        <v>8</v>
      </c>
      <c r="F4" s="35">
        <v>66931</v>
      </c>
      <c r="G4" s="2">
        <f>1119.5*53.13</f>
        <v>59479.035000000003</v>
      </c>
      <c r="H4" s="53" t="s">
        <v>36</v>
      </c>
      <c r="I4" s="54"/>
      <c r="J4" s="54"/>
      <c r="K4" s="55"/>
      <c r="M4" s="9" t="s">
        <v>0</v>
      </c>
      <c r="P4">
        <v>19.02</v>
      </c>
      <c r="Q4" s="8">
        <v>16.37</v>
      </c>
      <c r="S4" s="9" t="s">
        <v>47</v>
      </c>
      <c r="T4" s="62"/>
      <c r="U4" s="62"/>
      <c r="V4" s="35">
        <v>102</v>
      </c>
      <c r="W4" s="35">
        <v>210</v>
      </c>
    </row>
    <row r="5" spans="2:23" ht="16.95" customHeight="1" x14ac:dyDescent="0.3">
      <c r="B5" s="9" t="s">
        <v>2</v>
      </c>
      <c r="F5" s="35">
        <v>35727</v>
      </c>
      <c r="G5" s="24">
        <f>F5*0.75</f>
        <v>26795.25</v>
      </c>
      <c r="H5" s="53" t="s">
        <v>40</v>
      </c>
      <c r="I5" s="54"/>
      <c r="J5" s="54"/>
      <c r="K5" s="55"/>
      <c r="M5" s="9" t="s">
        <v>16</v>
      </c>
      <c r="P5">
        <v>25.48</v>
      </c>
      <c r="Q5" s="8">
        <v>19.28</v>
      </c>
      <c r="S5" s="9" t="s">
        <v>48</v>
      </c>
      <c r="T5" s="62"/>
      <c r="U5" s="62"/>
      <c r="V5" s="35">
        <f>V4/3*2</f>
        <v>68</v>
      </c>
      <c r="W5" s="35">
        <f>W4/3*2</f>
        <v>140</v>
      </c>
    </row>
    <row r="6" spans="2:23" ht="16.95" customHeight="1" x14ac:dyDescent="0.3">
      <c r="B6" s="9" t="s">
        <v>3</v>
      </c>
      <c r="F6" s="35">
        <v>8581</v>
      </c>
      <c r="G6" s="24">
        <f>(304.5*27.23)+652</f>
        <v>8943.5349999999999</v>
      </c>
      <c r="H6" s="53" t="s">
        <v>37</v>
      </c>
      <c r="I6" s="54"/>
      <c r="J6" s="54"/>
      <c r="K6" s="55"/>
      <c r="M6" s="9" t="s">
        <v>17</v>
      </c>
      <c r="P6">
        <v>32.450000000000003</v>
      </c>
      <c r="Q6" s="8">
        <v>28.11</v>
      </c>
      <c r="S6" s="63" t="s">
        <v>51</v>
      </c>
      <c r="V6" s="27">
        <f>V5/45.28-1</f>
        <v>0.50176678445229683</v>
      </c>
      <c r="W6" s="27">
        <f>W5/45.28-1</f>
        <v>2.0918727915194344</v>
      </c>
    </row>
    <row r="7" spans="2:23" ht="16.95" customHeight="1" x14ac:dyDescent="0.3">
      <c r="B7" s="9" t="s">
        <v>4</v>
      </c>
      <c r="F7" s="35">
        <v>6905</v>
      </c>
      <c r="G7" s="24">
        <f>209.7*34.9</f>
        <v>7318.53</v>
      </c>
      <c r="H7" s="53" t="s">
        <v>38</v>
      </c>
      <c r="I7" s="54"/>
      <c r="J7" s="54"/>
      <c r="K7" s="55"/>
      <c r="M7" s="9" t="s">
        <v>23</v>
      </c>
      <c r="P7">
        <v>18.36</v>
      </c>
      <c r="Q7" s="8">
        <v>15.8</v>
      </c>
      <c r="S7" s="9" t="s">
        <v>49</v>
      </c>
      <c r="T7" s="62"/>
      <c r="U7" s="62"/>
      <c r="V7" s="35">
        <f>V5*0.75</f>
        <v>51</v>
      </c>
      <c r="W7" s="35">
        <f>W5*0.75</f>
        <v>105</v>
      </c>
    </row>
    <row r="8" spans="2:23" ht="16.95" customHeight="1" x14ac:dyDescent="0.3">
      <c r="B8" s="9" t="s">
        <v>6</v>
      </c>
      <c r="F8" s="35">
        <v>8986</v>
      </c>
      <c r="G8" s="24">
        <f>(143*35.52)+4323</f>
        <v>9402.36</v>
      </c>
      <c r="H8" s="53" t="s">
        <v>39</v>
      </c>
      <c r="I8" s="54"/>
      <c r="J8" s="54"/>
      <c r="K8" s="55"/>
      <c r="M8" s="9" t="s">
        <v>18</v>
      </c>
      <c r="P8">
        <v>32.74</v>
      </c>
      <c r="Q8" s="8">
        <v>23.35</v>
      </c>
      <c r="S8" s="10" t="s">
        <v>51</v>
      </c>
      <c r="T8" s="5"/>
      <c r="U8" s="5"/>
      <c r="V8" s="38">
        <f>V7/45.28-1</f>
        <v>0.12632508833922262</v>
      </c>
      <c r="W8" s="38">
        <f>W7/45.28-1</f>
        <v>1.318904593639576</v>
      </c>
    </row>
    <row r="9" spans="2:23" ht="16.95" customHeight="1" x14ac:dyDescent="0.3">
      <c r="B9" s="9" t="s">
        <v>5</v>
      </c>
      <c r="F9" s="35">
        <v>26880</v>
      </c>
      <c r="G9" s="24">
        <f>1792*13.5</f>
        <v>24192</v>
      </c>
      <c r="H9" s="53" t="s">
        <v>35</v>
      </c>
      <c r="I9" s="54"/>
      <c r="J9" s="54"/>
      <c r="K9" s="55"/>
      <c r="M9" s="9" t="s">
        <v>19</v>
      </c>
      <c r="P9">
        <v>28.68</v>
      </c>
      <c r="Q9" s="8">
        <v>23.63</v>
      </c>
    </row>
    <row r="10" spans="2:23" ht="16.95" customHeight="1" x14ac:dyDescent="0.3">
      <c r="B10" s="9" t="s">
        <v>44</v>
      </c>
      <c r="F10" s="35">
        <v>33694</v>
      </c>
      <c r="G10" s="24">
        <f>11500+(22200*0.5)</f>
        <v>22600</v>
      </c>
      <c r="H10" s="53" t="s">
        <v>33</v>
      </c>
      <c r="I10" s="54"/>
      <c r="J10" s="54"/>
      <c r="K10" s="55"/>
      <c r="M10" s="10" t="s">
        <v>20</v>
      </c>
      <c r="N10" s="5"/>
      <c r="O10" s="5"/>
      <c r="P10" s="5">
        <v>27.17</v>
      </c>
      <c r="Q10" s="14">
        <v>21.69</v>
      </c>
    </row>
    <row r="11" spans="2:23" ht="16.95" customHeight="1" x14ac:dyDescent="0.3">
      <c r="B11" s="9" t="s">
        <v>7</v>
      </c>
      <c r="F11" s="35">
        <v>2278</v>
      </c>
      <c r="G11" s="35">
        <v>2278</v>
      </c>
      <c r="H11" s="53"/>
      <c r="I11" s="54"/>
      <c r="J11" s="54"/>
      <c r="K11" s="55"/>
      <c r="M11" s="11" t="s">
        <v>21</v>
      </c>
      <c r="P11" s="13">
        <f>AVERAGE(P4:P10)</f>
        <v>26.271428571428576</v>
      </c>
      <c r="Q11" s="15">
        <f>AVERAGE(Q4:Q10)</f>
        <v>21.175714285714285</v>
      </c>
    </row>
    <row r="12" spans="2:23" ht="16.95" customHeight="1" x14ac:dyDescent="0.3">
      <c r="B12" s="9" t="s">
        <v>9</v>
      </c>
      <c r="F12" s="35">
        <v>-14170</v>
      </c>
      <c r="G12" s="24">
        <v>-14170</v>
      </c>
      <c r="H12" s="53" t="s">
        <v>42</v>
      </c>
      <c r="I12" s="54"/>
      <c r="J12" s="54"/>
      <c r="K12" s="55"/>
      <c r="M12" s="11" t="s">
        <v>22</v>
      </c>
      <c r="P12">
        <f>MEDIAN(P4:P10)</f>
        <v>27.17</v>
      </c>
      <c r="Q12" s="8">
        <f>MEDIAN(Q4:Q10)</f>
        <v>21.69</v>
      </c>
    </row>
    <row r="13" spans="2:23" ht="16.95" customHeight="1" x14ac:dyDescent="0.3">
      <c r="B13" s="10" t="s">
        <v>10</v>
      </c>
      <c r="C13" s="5"/>
      <c r="D13" s="5"/>
      <c r="E13" s="5"/>
      <c r="F13" s="36">
        <v>-3543</v>
      </c>
      <c r="G13" s="25">
        <v>-3543</v>
      </c>
      <c r="H13" s="53" t="s">
        <v>41</v>
      </c>
      <c r="I13" s="54"/>
      <c r="J13" s="54"/>
      <c r="K13" s="55"/>
      <c r="M13" s="6"/>
      <c r="N13" s="1" t="s">
        <v>27</v>
      </c>
      <c r="P13" s="2" cm="1">
        <f t="array" ref="P13">_xll.FAVG(P11:P12)*2.38</f>
        <v>63.595300000000002</v>
      </c>
      <c r="Q13" s="2" cm="1">
        <f t="array" ref="Q13">_xll.FAVG(Q11:Q12)*2.77</f>
        <v>59.369014285714293</v>
      </c>
      <c r="R13" s="6"/>
    </row>
    <row r="14" spans="2:23" ht="16.95" customHeight="1" x14ac:dyDescent="0.3">
      <c r="B14" s="11" t="s">
        <v>11</v>
      </c>
      <c r="C14" s="3"/>
      <c r="D14" s="3"/>
      <c r="E14" s="3"/>
      <c r="F14" s="28">
        <f>SUM(F4:F13)</f>
        <v>172269</v>
      </c>
      <c r="G14" s="18">
        <f>SUM(G4:G13)</f>
        <v>143295.71000000002</v>
      </c>
      <c r="H14" s="53"/>
      <c r="I14" s="54"/>
      <c r="J14" s="54"/>
      <c r="K14" s="55"/>
      <c r="M14" s="12"/>
      <c r="N14" s="4" t="s">
        <v>28</v>
      </c>
      <c r="O14" s="5"/>
      <c r="P14" s="16">
        <f>P13/45.28-1</f>
        <v>0.40448984098939933</v>
      </c>
      <c r="Q14" s="17">
        <f>Q13/45.28-1</f>
        <v>0.31115314235234748</v>
      </c>
    </row>
    <row r="15" spans="2:23" ht="16.95" customHeight="1" x14ac:dyDescent="0.3">
      <c r="B15" s="6"/>
      <c r="E15" s="3" t="s">
        <v>12</v>
      </c>
      <c r="F15" s="29">
        <f>F14/2377</f>
        <v>72.473285654185943</v>
      </c>
      <c r="G15" s="19">
        <f>G14/2377</f>
        <v>60.284270088346666</v>
      </c>
      <c r="H15" s="53" t="s">
        <v>34</v>
      </c>
      <c r="I15" s="54"/>
      <c r="J15" s="54"/>
      <c r="K15" s="55"/>
    </row>
    <row r="16" spans="2:23" ht="16.95" customHeight="1" x14ac:dyDescent="0.3">
      <c r="B16" s="9" t="s">
        <v>14</v>
      </c>
      <c r="C16" s="7"/>
      <c r="F16" s="27">
        <f>F15/45.28-1</f>
        <v>0.6005584287585235</v>
      </c>
      <c r="G16" s="27">
        <f>G15/45.28-1</f>
        <v>0.33136638887691405</v>
      </c>
      <c r="H16" s="54"/>
      <c r="I16" s="54"/>
      <c r="J16" s="54"/>
      <c r="K16" s="55"/>
    </row>
    <row r="17" spans="2:11" ht="16.95" customHeight="1" x14ac:dyDescent="0.3">
      <c r="B17" s="6"/>
      <c r="D17" s="3" t="s">
        <v>31</v>
      </c>
      <c r="F17" s="37">
        <f>F15*0.75</f>
        <v>54.354964240639461</v>
      </c>
      <c r="G17" s="7"/>
      <c r="H17" s="53" t="s">
        <v>30</v>
      </c>
      <c r="I17" s="54"/>
      <c r="J17" s="54"/>
      <c r="K17" s="55"/>
    </row>
    <row r="18" spans="2:11" ht="16.95" customHeight="1" x14ac:dyDescent="0.3">
      <c r="B18" s="10" t="s">
        <v>29</v>
      </c>
      <c r="C18" s="5"/>
      <c r="D18" s="5"/>
      <c r="E18" s="5"/>
      <c r="F18" s="38">
        <f>F17/45.28-1</f>
        <v>0.20041882156889268</v>
      </c>
      <c r="G18" s="26"/>
      <c r="H18" s="56"/>
      <c r="I18" s="56"/>
      <c r="J18" s="56"/>
      <c r="K18" s="57"/>
    </row>
  </sheetData>
  <mergeCells count="21">
    <mergeCell ref="H18:K18"/>
    <mergeCell ref="V2:V3"/>
    <mergeCell ref="W2:W3"/>
    <mergeCell ref="H11:K11"/>
    <mergeCell ref="H15:K15"/>
    <mergeCell ref="H17:K17"/>
    <mergeCell ref="H12:K12"/>
    <mergeCell ref="H13:K13"/>
    <mergeCell ref="H14:K14"/>
    <mergeCell ref="H16:K16"/>
    <mergeCell ref="F2:F3"/>
    <mergeCell ref="M2:N3"/>
    <mergeCell ref="G2:G3"/>
    <mergeCell ref="H2:K3"/>
    <mergeCell ref="H10:K10"/>
    <mergeCell ref="H5:K5"/>
    <mergeCell ref="H9:K9"/>
    <mergeCell ref="H6:K6"/>
    <mergeCell ref="H8:K8"/>
    <mergeCell ref="H7:K7"/>
    <mergeCell ref="H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2025-12-22T08:16:40Z</dcterms:created>
  <dcterms:modified xsi:type="dcterms:W3CDTF">2025-12-24T22:36:08Z</dcterms:modified>
</cp:coreProperties>
</file>