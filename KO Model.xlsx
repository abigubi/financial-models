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e4885f5b5840770/Masaüstü/Financial Models/"/>
    </mc:Choice>
  </mc:AlternateContent>
  <xr:revisionPtr revIDLastSave="673" documentId="13_ncr:1_{BAC8DAEF-6E31-4655-A44B-5B4BEE3B7789}" xr6:coauthVersionLast="47" xr6:coauthVersionMax="47" xr10:uidLastSave="{CFA5F81D-C20F-4B2F-AD6E-4000375076C4}"/>
  <bookViews>
    <workbookView xWindow="28440" yWindow="156" windowWidth="31584" windowHeight="16428" activeTab="1" xr2:uid="{64BEE0EA-45A1-4490-9445-11F5F6D37C44}"/>
  </bookViews>
  <sheets>
    <sheet name="Main" sheetId="1" r:id="rId1"/>
    <sheet name="Segments" sheetId="3" r:id="rId2"/>
    <sheet name="Extras" sheetId="4" r:id="rId3"/>
    <sheet name="Quarterly Segment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N179" i="3"/>
  <c r="M179" i="3"/>
  <c r="L179" i="3"/>
  <c r="K179" i="3"/>
  <c r="J179" i="3"/>
  <c r="N178" i="3"/>
  <c r="M178" i="3"/>
  <c r="L178" i="3"/>
  <c r="K178" i="3"/>
  <c r="J178" i="3"/>
  <c r="N177" i="3"/>
  <c r="M177" i="3"/>
  <c r="L177" i="3"/>
  <c r="K177" i="3"/>
  <c r="J177" i="3"/>
  <c r="N176" i="3"/>
  <c r="M176" i="3"/>
  <c r="L176" i="3"/>
  <c r="K176" i="3"/>
  <c r="J176" i="3"/>
  <c r="N158" i="3"/>
  <c r="M158" i="3"/>
  <c r="M161" i="3" s="1"/>
  <c r="L158" i="3"/>
  <c r="L161" i="3" s="1"/>
  <c r="K158" i="3"/>
  <c r="J158" i="3"/>
  <c r="N155" i="3"/>
  <c r="N156" i="3" s="1"/>
  <c r="M155" i="3"/>
  <c r="M156" i="3" s="1"/>
  <c r="L155" i="3"/>
  <c r="L156" i="3" s="1"/>
  <c r="K155" i="3"/>
  <c r="K156" i="3" s="1"/>
  <c r="J155" i="3"/>
  <c r="J156" i="3" s="1"/>
  <c r="N161" i="3"/>
  <c r="K161" i="3"/>
  <c r="J161" i="3"/>
  <c r="I161" i="3"/>
  <c r="H161" i="3"/>
  <c r="G161" i="3"/>
  <c r="N159" i="3"/>
  <c r="M159" i="3"/>
  <c r="L159" i="3"/>
  <c r="K159" i="3"/>
  <c r="J159" i="3"/>
  <c r="I159" i="3"/>
  <c r="H159" i="3"/>
  <c r="G159" i="3"/>
  <c r="I156" i="3"/>
  <c r="H156" i="3"/>
  <c r="G156" i="3"/>
  <c r="I179" i="3"/>
  <c r="I178" i="3"/>
  <c r="I177" i="3"/>
  <c r="I176" i="3"/>
  <c r="F161" i="3"/>
  <c r="F159" i="3"/>
  <c r="I158" i="3"/>
  <c r="F156" i="3"/>
  <c r="I155" i="3"/>
  <c r="N147" i="3"/>
  <c r="M147" i="3"/>
  <c r="L147" i="3"/>
  <c r="K147" i="3"/>
  <c r="J147" i="3"/>
  <c r="I147" i="3"/>
  <c r="N146" i="3"/>
  <c r="M146" i="3"/>
  <c r="L146" i="3"/>
  <c r="K146" i="3"/>
  <c r="J146" i="3"/>
  <c r="I146" i="3"/>
  <c r="N145" i="3"/>
  <c r="M145" i="3"/>
  <c r="L145" i="3"/>
  <c r="K145" i="3"/>
  <c r="J145" i="3"/>
  <c r="I145" i="3"/>
  <c r="N144" i="3"/>
  <c r="N148" i="3" s="1"/>
  <c r="M144" i="3"/>
  <c r="M148" i="3" s="1"/>
  <c r="L144" i="3"/>
  <c r="L148" i="3" s="1"/>
  <c r="K144" i="3"/>
  <c r="K148" i="3" s="1"/>
  <c r="J144" i="3"/>
  <c r="J148" i="3" s="1"/>
  <c r="I144" i="3"/>
  <c r="I148" i="3" s="1"/>
  <c r="N141" i="3"/>
  <c r="M141" i="3"/>
  <c r="L141" i="3"/>
  <c r="K141" i="3"/>
  <c r="J141" i="3"/>
  <c r="I141" i="3"/>
  <c r="M140" i="3"/>
  <c r="L140" i="3"/>
  <c r="K140" i="3"/>
  <c r="M139" i="3"/>
  <c r="L139" i="3"/>
  <c r="K139" i="3"/>
  <c r="M138" i="3"/>
  <c r="L138" i="3"/>
  <c r="K138" i="3"/>
  <c r="M137" i="3"/>
  <c r="L137" i="3"/>
  <c r="K137" i="3"/>
  <c r="H148" i="3"/>
  <c r="H147" i="3"/>
  <c r="H146" i="3"/>
  <c r="H145" i="3"/>
  <c r="H144" i="3"/>
  <c r="H141" i="3"/>
  <c r="J140" i="3"/>
  <c r="J139" i="3"/>
  <c r="J138" i="3"/>
  <c r="J137" i="3"/>
  <c r="M126" i="3"/>
  <c r="L126" i="3"/>
  <c r="K126" i="3"/>
  <c r="M125" i="3"/>
  <c r="L125" i="3"/>
  <c r="K125" i="3"/>
  <c r="M124" i="3"/>
  <c r="L124" i="3"/>
  <c r="K124" i="3"/>
  <c r="M123" i="3"/>
  <c r="L123" i="3"/>
  <c r="K123" i="3"/>
  <c r="M122" i="3"/>
  <c r="L122" i="3"/>
  <c r="K122" i="3"/>
  <c r="M121" i="3"/>
  <c r="L121" i="3"/>
  <c r="K121" i="3"/>
  <c r="M116" i="3"/>
  <c r="L116" i="3"/>
  <c r="K116" i="3"/>
  <c r="M113" i="3"/>
  <c r="L113" i="3"/>
  <c r="K113" i="3"/>
  <c r="M112" i="3"/>
  <c r="L112" i="3"/>
  <c r="K112" i="3"/>
  <c r="M108" i="3"/>
  <c r="L108" i="3"/>
  <c r="K108" i="3"/>
  <c r="M105" i="3"/>
  <c r="L105" i="3"/>
  <c r="K105" i="3"/>
  <c r="M104" i="3"/>
  <c r="L104" i="3"/>
  <c r="K104" i="3"/>
  <c r="M103" i="3"/>
  <c r="L103" i="3"/>
  <c r="K103" i="3"/>
  <c r="M102" i="3"/>
  <c r="L102" i="3"/>
  <c r="K102" i="3"/>
  <c r="J126" i="3"/>
  <c r="N126" i="3"/>
  <c r="I126" i="3"/>
  <c r="J125" i="3"/>
  <c r="N125" i="3"/>
  <c r="I125" i="3"/>
  <c r="J124" i="3"/>
  <c r="N124" i="3"/>
  <c r="I124" i="3"/>
  <c r="J123" i="3"/>
  <c r="N123" i="3"/>
  <c r="I123" i="3"/>
  <c r="J122" i="3"/>
  <c r="N122" i="3"/>
  <c r="I122" i="3"/>
  <c r="J121" i="3"/>
  <c r="N121" i="3"/>
  <c r="I121" i="3"/>
  <c r="J116" i="3"/>
  <c r="N116" i="3"/>
  <c r="I116" i="3"/>
  <c r="J113" i="3"/>
  <c r="N113" i="3"/>
  <c r="I113" i="3"/>
  <c r="J112" i="3"/>
  <c r="J41" i="3" s="1"/>
  <c r="N112" i="3"/>
  <c r="N41" i="3" s="1"/>
  <c r="I112" i="3"/>
  <c r="I41" i="3" s="1"/>
  <c r="J108" i="3"/>
  <c r="N108" i="3"/>
  <c r="I108" i="3"/>
  <c r="J105" i="3"/>
  <c r="N105" i="3"/>
  <c r="I105" i="3"/>
  <c r="J104" i="3"/>
  <c r="N104" i="3"/>
  <c r="I104" i="3"/>
  <c r="J103" i="3"/>
  <c r="N103" i="3"/>
  <c r="I103" i="3"/>
  <c r="J102" i="3"/>
  <c r="N102" i="3"/>
  <c r="I102" i="3"/>
  <c r="H79" i="3"/>
  <c r="G79" i="3"/>
  <c r="H76" i="3"/>
  <c r="G76" i="3"/>
  <c r="H73" i="3"/>
  <c r="G73" i="3"/>
  <c r="H70" i="3"/>
  <c r="G70" i="3"/>
  <c r="H67" i="3"/>
  <c r="G67" i="3"/>
  <c r="H64" i="3"/>
  <c r="G64" i="3"/>
  <c r="H61" i="3"/>
  <c r="G61" i="3"/>
  <c r="H60" i="3"/>
  <c r="G60" i="3"/>
  <c r="G57" i="3" s="1"/>
  <c r="G58" i="3" s="1"/>
  <c r="H58" i="3"/>
  <c r="H57" i="3"/>
  <c r="F79" i="3"/>
  <c r="F76" i="3"/>
  <c r="F73" i="3"/>
  <c r="F70" i="3"/>
  <c r="F67" i="3"/>
  <c r="F64" i="3"/>
  <c r="F60" i="3"/>
  <c r="F61" i="3" s="1"/>
  <c r="F57" i="3"/>
  <c r="F58" i="3" s="1"/>
  <c r="M41" i="3"/>
  <c r="L41" i="3"/>
  <c r="K41" i="3"/>
  <c r="I38" i="3"/>
  <c r="I35" i="3"/>
  <c r="I32" i="3"/>
  <c r="I29" i="3"/>
  <c r="I26" i="3"/>
  <c r="H39" i="3"/>
  <c r="G39" i="3"/>
  <c r="H36" i="3"/>
  <c r="G36" i="3"/>
  <c r="H33" i="3"/>
  <c r="G33" i="3"/>
  <c r="H30" i="3"/>
  <c r="G30" i="3"/>
  <c r="H27" i="3"/>
  <c r="G27" i="3"/>
  <c r="H23" i="3"/>
  <c r="H20" i="3" s="1"/>
  <c r="G23" i="3"/>
  <c r="F23" i="3"/>
  <c r="Z38" i="1"/>
  <c r="Y38" i="1"/>
  <c r="X38" i="1"/>
  <c r="W38" i="1"/>
  <c r="V38" i="1"/>
  <c r="U38" i="1"/>
  <c r="R36" i="1"/>
  <c r="R30" i="1"/>
  <c r="R28" i="1"/>
  <c r="AA159" i="3"/>
  <c r="AA158" i="3"/>
  <c r="AA156" i="3"/>
  <c r="W155" i="3"/>
  <c r="Q155" i="3"/>
  <c r="AG186" i="3"/>
  <c r="AB186" i="3"/>
  <c r="AC186" i="3"/>
  <c r="AD186" i="3"/>
  <c r="AE186" i="3"/>
  <c r="AF186" i="3"/>
  <c r="AG187" i="3"/>
  <c r="AB187" i="3"/>
  <c r="AC187" i="3"/>
  <c r="AD187" i="3"/>
  <c r="AE187" i="3"/>
  <c r="AF187" i="3"/>
  <c r="AG185" i="3"/>
  <c r="AF185" i="3"/>
  <c r="AE185" i="3"/>
  <c r="AD185" i="3"/>
  <c r="AC185" i="3"/>
  <c r="AB185" i="3"/>
  <c r="AG184" i="3"/>
  <c r="AF184" i="3"/>
  <c r="AE184" i="3"/>
  <c r="AD184" i="3"/>
  <c r="AC184" i="3"/>
  <c r="AB184" i="3"/>
  <c r="P10" i="1"/>
  <c r="Z21" i="1"/>
  <c r="X21" i="1"/>
  <c r="O41" i="1"/>
  <c r="N41" i="1"/>
  <c r="M41" i="1"/>
  <c r="L41" i="1"/>
  <c r="P11" i="1"/>
  <c r="J18" i="1"/>
  <c r="L70" i="1"/>
  <c r="J115" i="1"/>
  <c r="I115" i="1"/>
  <c r="H115" i="1"/>
  <c r="G115" i="1"/>
  <c r="F115" i="1"/>
  <c r="G110" i="1"/>
  <c r="J102" i="1"/>
  <c r="I102" i="1"/>
  <c r="H102" i="1"/>
  <c r="G102" i="1"/>
  <c r="F102" i="1"/>
  <c r="E102" i="1"/>
  <c r="J96" i="1"/>
  <c r="I96" i="1"/>
  <c r="H96" i="1"/>
  <c r="G96" i="1"/>
  <c r="F96" i="1"/>
  <c r="E96" i="1"/>
  <c r="J90" i="1"/>
  <c r="I90" i="1"/>
  <c r="H90" i="1"/>
  <c r="G90" i="1"/>
  <c r="F90" i="1"/>
  <c r="E90" i="1"/>
  <c r="K89" i="1"/>
  <c r="J86" i="1"/>
  <c r="I86" i="1"/>
  <c r="H86" i="1"/>
  <c r="G86" i="1"/>
  <c r="F86" i="1"/>
  <c r="E86" i="1"/>
  <c r="J79" i="1"/>
  <c r="J82" i="1"/>
  <c r="I82" i="1"/>
  <c r="H82" i="1"/>
  <c r="G82" i="1"/>
  <c r="F82" i="1"/>
  <c r="E82" i="1"/>
  <c r="I79" i="1"/>
  <c r="H79" i="1"/>
  <c r="G79" i="1"/>
  <c r="F79" i="1"/>
  <c r="E79" i="1"/>
  <c r="I71" i="1"/>
  <c r="H71" i="1"/>
  <c r="G71" i="1"/>
  <c r="F71" i="1"/>
  <c r="J65" i="1"/>
  <c r="E65" i="1"/>
  <c r="F65" i="1"/>
  <c r="G65" i="1"/>
  <c r="H65" i="1"/>
  <c r="I65" i="1"/>
  <c r="J56" i="1"/>
  <c r="I56" i="1"/>
  <c r="H56" i="1"/>
  <c r="G56" i="1"/>
  <c r="F56" i="1"/>
  <c r="E56" i="1"/>
  <c r="J53" i="1"/>
  <c r="I53" i="1"/>
  <c r="H53" i="1"/>
  <c r="G53" i="1"/>
  <c r="F53" i="1"/>
  <c r="E53" i="1"/>
  <c r="J44" i="1"/>
  <c r="I44" i="1"/>
  <c r="H44" i="1"/>
  <c r="G44" i="1"/>
  <c r="F44" i="1"/>
  <c r="E44" i="1"/>
  <c r="J41" i="1"/>
  <c r="I41" i="1"/>
  <c r="H41" i="1"/>
  <c r="G41" i="1"/>
  <c r="F41" i="1"/>
  <c r="E41" i="1"/>
  <c r="J38" i="1"/>
  <c r="I38" i="1"/>
  <c r="G38" i="1"/>
  <c r="F38" i="1"/>
  <c r="E38" i="1"/>
  <c r="H38" i="1"/>
  <c r="J34" i="1"/>
  <c r="I34" i="1"/>
  <c r="H34" i="1"/>
  <c r="G34" i="1"/>
  <c r="G46" i="1" s="1"/>
  <c r="G47" i="1" s="1"/>
  <c r="F34" i="1"/>
  <c r="F35" i="1" s="1"/>
  <c r="E34" i="1"/>
  <c r="E46" i="1" s="1"/>
  <c r="J32" i="1"/>
  <c r="I32" i="1"/>
  <c r="H32" i="1"/>
  <c r="G32" i="1"/>
  <c r="F32" i="1"/>
  <c r="E32" i="1"/>
  <c r="J29" i="1"/>
  <c r="I29" i="1"/>
  <c r="H29" i="1"/>
  <c r="G29" i="1"/>
  <c r="F29" i="1"/>
  <c r="Z4" i="1"/>
  <c r="AA4" i="1" s="1"/>
  <c r="AB4" i="1" s="1"/>
  <c r="AC4" i="1" s="1"/>
  <c r="I116" i="1" l="1"/>
  <c r="I75" i="3"/>
  <c r="I76" i="3" s="1"/>
  <c r="I39" i="3"/>
  <c r="J38" i="3"/>
  <c r="I36" i="3"/>
  <c r="J35" i="3"/>
  <c r="J72" i="3" s="1"/>
  <c r="J73" i="3" s="1"/>
  <c r="I72" i="3"/>
  <c r="I73" i="3" s="1"/>
  <c r="I69" i="3"/>
  <c r="I70" i="3" s="1"/>
  <c r="I33" i="3"/>
  <c r="J32" i="3"/>
  <c r="I66" i="3"/>
  <c r="I67" i="3" s="1"/>
  <c r="J29" i="3"/>
  <c r="I30" i="3"/>
  <c r="I27" i="3"/>
  <c r="I63" i="3"/>
  <c r="J26" i="3"/>
  <c r="J36" i="3"/>
  <c r="K35" i="3"/>
  <c r="K72" i="3" s="1"/>
  <c r="K73" i="3" s="1"/>
  <c r="K32" i="3"/>
  <c r="K69" i="3" s="1"/>
  <c r="K70" i="3" s="1"/>
  <c r="I23" i="3"/>
  <c r="H24" i="3"/>
  <c r="G20" i="3"/>
  <c r="H21" i="3" s="1"/>
  <c r="G24" i="3"/>
  <c r="F20" i="3"/>
  <c r="U155" i="3"/>
  <c r="J116" i="1"/>
  <c r="G49" i="1"/>
  <c r="E49" i="1"/>
  <c r="G121" i="1"/>
  <c r="J121" i="1"/>
  <c r="H121" i="1"/>
  <c r="I121" i="1"/>
  <c r="F116" i="1"/>
  <c r="K18" i="1"/>
  <c r="F121" i="1"/>
  <c r="L115" i="1"/>
  <c r="K22" i="1"/>
  <c r="H116" i="1"/>
  <c r="G119" i="1"/>
  <c r="G120" i="1"/>
  <c r="T19" i="1"/>
  <c r="M70" i="1"/>
  <c r="G116" i="1"/>
  <c r="J71" i="1"/>
  <c r="L89" i="1"/>
  <c r="M89" i="1" s="1"/>
  <c r="N89" i="1" s="1"/>
  <c r="O89" i="1" s="1"/>
  <c r="E103" i="1"/>
  <c r="J103" i="1"/>
  <c r="I103" i="1"/>
  <c r="H103" i="1"/>
  <c r="G103" i="1"/>
  <c r="F103" i="1"/>
  <c r="K115" i="1"/>
  <c r="J97" i="1"/>
  <c r="I97" i="1"/>
  <c r="H97" i="1"/>
  <c r="G97" i="1"/>
  <c r="F97" i="1"/>
  <c r="H110" i="1"/>
  <c r="I110" i="1" s="1"/>
  <c r="J110" i="1" s="1"/>
  <c r="E9" i="1"/>
  <c r="X22" i="1" s="1"/>
  <c r="X23" i="1" s="1"/>
  <c r="E58" i="1"/>
  <c r="E47" i="1"/>
  <c r="G58" i="1"/>
  <c r="F46" i="1"/>
  <c r="F49" i="1" s="1"/>
  <c r="F50" i="1" s="1"/>
  <c r="J46" i="1"/>
  <c r="J49" i="1" s="1"/>
  <c r="J50" i="1" s="1"/>
  <c r="H46" i="1"/>
  <c r="H49" i="1" s="1"/>
  <c r="H50" i="1" s="1"/>
  <c r="I46" i="1"/>
  <c r="I49" i="1" s="1"/>
  <c r="I50" i="1" s="1"/>
  <c r="G35" i="1"/>
  <c r="I35" i="1"/>
  <c r="J35" i="1"/>
  <c r="E35" i="1"/>
  <c r="H35" i="1"/>
  <c r="T20" i="1"/>
  <c r="J75" i="3" l="1"/>
  <c r="J76" i="3" s="1"/>
  <c r="J39" i="3"/>
  <c r="K38" i="3"/>
  <c r="J69" i="3"/>
  <c r="J70" i="3" s="1"/>
  <c r="J33" i="3"/>
  <c r="J66" i="3"/>
  <c r="J67" i="3" s="1"/>
  <c r="J30" i="3"/>
  <c r="K29" i="3"/>
  <c r="I64" i="3"/>
  <c r="I60" i="3"/>
  <c r="J63" i="3"/>
  <c r="J27" i="3"/>
  <c r="K26" i="3"/>
  <c r="J23" i="3"/>
  <c r="J44" i="3" s="1"/>
  <c r="I24" i="3"/>
  <c r="I44" i="3"/>
  <c r="I20" i="3" s="1"/>
  <c r="L35" i="3"/>
  <c r="L72" i="3" s="1"/>
  <c r="L73" i="3" s="1"/>
  <c r="K36" i="3"/>
  <c r="L32" i="3"/>
  <c r="L69" i="3" s="1"/>
  <c r="L70" i="3" s="1"/>
  <c r="K33" i="3"/>
  <c r="K27" i="3"/>
  <c r="G21" i="3"/>
  <c r="F21" i="3"/>
  <c r="U156" i="3"/>
  <c r="E50" i="1"/>
  <c r="G50" i="1"/>
  <c r="N70" i="1"/>
  <c r="M115" i="1"/>
  <c r="F119" i="1"/>
  <c r="F120" i="1"/>
  <c r="J120" i="1"/>
  <c r="J119" i="1"/>
  <c r="H119" i="1"/>
  <c r="H120" i="1"/>
  <c r="I119" i="1"/>
  <c r="I120" i="1"/>
  <c r="K116" i="1"/>
  <c r="P89" i="1"/>
  <c r="K71" i="1"/>
  <c r="I58" i="1"/>
  <c r="I47" i="1"/>
  <c r="H58" i="1"/>
  <c r="H47" i="1"/>
  <c r="J58" i="1"/>
  <c r="J62" i="1" s="1"/>
  <c r="J47" i="1"/>
  <c r="F58" i="1"/>
  <c r="F47" i="1"/>
  <c r="G59" i="1"/>
  <c r="G67" i="1"/>
  <c r="G62" i="1"/>
  <c r="E59" i="1"/>
  <c r="E62" i="1"/>
  <c r="E67" i="1"/>
  <c r="K75" i="3" l="1"/>
  <c r="K76" i="3" s="1"/>
  <c r="L38" i="3"/>
  <c r="L75" i="3" s="1"/>
  <c r="L76" i="3" s="1"/>
  <c r="K39" i="3"/>
  <c r="K66" i="3"/>
  <c r="K67" i="3" s="1"/>
  <c r="L29" i="3"/>
  <c r="K30" i="3"/>
  <c r="K23" i="3"/>
  <c r="K63" i="3"/>
  <c r="L26" i="3"/>
  <c r="J24" i="3"/>
  <c r="J20" i="3"/>
  <c r="I61" i="3"/>
  <c r="J64" i="3"/>
  <c r="J60" i="3"/>
  <c r="K60" i="3"/>
  <c r="K64" i="3"/>
  <c r="I78" i="3"/>
  <c r="I21" i="3"/>
  <c r="M38" i="3"/>
  <c r="M75" i="3" s="1"/>
  <c r="M76" i="3" s="1"/>
  <c r="L39" i="3"/>
  <c r="M35" i="3"/>
  <c r="M72" i="3" s="1"/>
  <c r="M73" i="3" s="1"/>
  <c r="L36" i="3"/>
  <c r="M32" i="3"/>
  <c r="M69" i="3" s="1"/>
  <c r="M70" i="3" s="1"/>
  <c r="L33" i="3"/>
  <c r="U157" i="3"/>
  <c r="N115" i="1"/>
  <c r="O70" i="1"/>
  <c r="L116" i="1"/>
  <c r="L71" i="1"/>
  <c r="G68" i="1"/>
  <c r="G92" i="1"/>
  <c r="G99" i="1" s="1"/>
  <c r="G123" i="1" s="1"/>
  <c r="G73" i="1"/>
  <c r="E68" i="1"/>
  <c r="E92" i="1"/>
  <c r="E99" i="1" s="1"/>
  <c r="E73" i="1"/>
  <c r="E112" i="1" s="1"/>
  <c r="F62" i="1"/>
  <c r="F67" i="1"/>
  <c r="F59" i="1"/>
  <c r="H67" i="1"/>
  <c r="H59" i="1"/>
  <c r="H62" i="1"/>
  <c r="I67" i="1"/>
  <c r="I59" i="1"/>
  <c r="I62" i="1"/>
  <c r="J59" i="1"/>
  <c r="J67" i="1"/>
  <c r="L66" i="3" l="1"/>
  <c r="L67" i="3" s="1"/>
  <c r="M29" i="3"/>
  <c r="L30" i="3"/>
  <c r="K24" i="3"/>
  <c r="K44" i="3"/>
  <c r="K20" i="3" s="1"/>
  <c r="L63" i="3"/>
  <c r="L27" i="3"/>
  <c r="L23" i="3"/>
  <c r="M26" i="3"/>
  <c r="J78" i="3"/>
  <c r="J21" i="3"/>
  <c r="J61" i="3"/>
  <c r="K61" i="3"/>
  <c r="I79" i="3"/>
  <c r="I57" i="3"/>
  <c r="I58" i="3" s="1"/>
  <c r="N38" i="3"/>
  <c r="M39" i="3"/>
  <c r="N35" i="3"/>
  <c r="M36" i="3"/>
  <c r="N32" i="3"/>
  <c r="M33" i="3"/>
  <c r="U158" i="3"/>
  <c r="P70" i="1"/>
  <c r="O115" i="1"/>
  <c r="M116" i="1"/>
  <c r="N116" i="1"/>
  <c r="M71" i="1"/>
  <c r="G100" i="1"/>
  <c r="G105" i="1"/>
  <c r="G106" i="1" s="1"/>
  <c r="G112" i="1"/>
  <c r="G118" i="1" s="1"/>
  <c r="E100" i="1"/>
  <c r="E105" i="1"/>
  <c r="E106" i="1" s="1"/>
  <c r="F68" i="1"/>
  <c r="F73" i="1"/>
  <c r="F92" i="1"/>
  <c r="F99" i="1" s="1"/>
  <c r="F123" i="1" s="1"/>
  <c r="H68" i="1"/>
  <c r="H92" i="1"/>
  <c r="H99" i="1" s="1"/>
  <c r="H123" i="1" s="1"/>
  <c r="H73" i="1"/>
  <c r="I68" i="1"/>
  <c r="I92" i="1"/>
  <c r="I99" i="1" s="1"/>
  <c r="I123" i="1" s="1"/>
  <c r="I73" i="1"/>
  <c r="J68" i="1"/>
  <c r="J92" i="1"/>
  <c r="J99" i="1" s="1"/>
  <c r="J123" i="1" s="1"/>
  <c r="J73" i="1"/>
  <c r="N39" i="3" l="1"/>
  <c r="N75" i="3"/>
  <c r="N76" i="3" s="1"/>
  <c r="J79" i="3"/>
  <c r="J57" i="3"/>
  <c r="J58" i="3" s="1"/>
  <c r="N36" i="3"/>
  <c r="N72" i="3"/>
  <c r="N73" i="3" s="1"/>
  <c r="K21" i="3"/>
  <c r="K78" i="3"/>
  <c r="N33" i="3"/>
  <c r="N69" i="3"/>
  <c r="N70" i="3" s="1"/>
  <c r="M66" i="3"/>
  <c r="M67" i="3" s="1"/>
  <c r="N29" i="3"/>
  <c r="M30" i="3"/>
  <c r="L64" i="3"/>
  <c r="L60" i="3"/>
  <c r="L61" i="3" s="1"/>
  <c r="L44" i="3"/>
  <c r="L20" i="3" s="1"/>
  <c r="L24" i="3"/>
  <c r="M63" i="3"/>
  <c r="M23" i="3"/>
  <c r="M44" i="3" s="1"/>
  <c r="M20" i="3" s="1"/>
  <c r="N26" i="3"/>
  <c r="N63" i="3" s="1"/>
  <c r="N64" i="3" s="1"/>
  <c r="M27" i="3"/>
  <c r="M24" i="3"/>
  <c r="N27" i="3"/>
  <c r="N23" i="3"/>
  <c r="U159" i="3"/>
  <c r="AA155" i="3" s="1"/>
  <c r="P115" i="1"/>
  <c r="G122" i="1"/>
  <c r="O116" i="1"/>
  <c r="N71" i="1"/>
  <c r="F74" i="1"/>
  <c r="F112" i="1"/>
  <c r="F118" i="1" s="1"/>
  <c r="F100" i="1"/>
  <c r="F105" i="1"/>
  <c r="F106" i="1" s="1"/>
  <c r="H100" i="1"/>
  <c r="H105" i="1"/>
  <c r="H106" i="1" s="1"/>
  <c r="H74" i="1"/>
  <c r="H112" i="1"/>
  <c r="I100" i="1"/>
  <c r="I105" i="1"/>
  <c r="I106" i="1" s="1"/>
  <c r="I74" i="1"/>
  <c r="I112" i="1"/>
  <c r="I118" i="1" s="1"/>
  <c r="J100" i="1"/>
  <c r="J105" i="1"/>
  <c r="J74" i="1"/>
  <c r="J112" i="1"/>
  <c r="J118" i="1" s="1"/>
  <c r="G74" i="1"/>
  <c r="N66" i="3" l="1"/>
  <c r="N30" i="3"/>
  <c r="K79" i="3"/>
  <c r="K57" i="3"/>
  <c r="K58" i="3" s="1"/>
  <c r="N67" i="3"/>
  <c r="N60" i="3"/>
  <c r="N61" i="3" s="1"/>
  <c r="M64" i="3"/>
  <c r="M60" i="3"/>
  <c r="M61" i="3" s="1"/>
  <c r="L21" i="3"/>
  <c r="L78" i="3"/>
  <c r="M21" i="3"/>
  <c r="M78" i="3"/>
  <c r="N44" i="3"/>
  <c r="N24" i="3"/>
  <c r="P116" i="1"/>
  <c r="J122" i="1"/>
  <c r="J106" i="1"/>
  <c r="F122" i="1"/>
  <c r="H122" i="1"/>
  <c r="H113" i="1"/>
  <c r="H118" i="1"/>
  <c r="I122" i="1"/>
  <c r="I113" i="1"/>
  <c r="O71" i="1"/>
  <c r="P71" i="1"/>
  <c r="G113" i="1"/>
  <c r="F113" i="1"/>
  <c r="J113" i="1"/>
  <c r="L57" i="3" l="1"/>
  <c r="L58" i="3" s="1"/>
  <c r="L79" i="3"/>
  <c r="M57" i="3"/>
  <c r="M58" i="3" s="1"/>
  <c r="M79" i="3"/>
  <c r="N20" i="3"/>
  <c r="AA160" i="3"/>
  <c r="AA157" i="3" s="1"/>
  <c r="U160" i="3"/>
  <c r="P16" i="1"/>
  <c r="I20" i="1"/>
  <c r="H20" i="1"/>
  <c r="G20" i="1"/>
  <c r="G23" i="1" s="1"/>
  <c r="F20" i="1"/>
  <c r="E20" i="1"/>
  <c r="P17" i="1"/>
  <c r="F15" i="1"/>
  <c r="N78" i="3" l="1"/>
  <c r="N21" i="3"/>
  <c r="G15" i="1"/>
  <c r="H23" i="1"/>
  <c r="P18" i="1"/>
  <c r="I23" i="1"/>
  <c r="E23" i="1"/>
  <c r="F23" i="1"/>
  <c r="N57" i="3" l="1"/>
  <c r="N58" i="3" s="1"/>
  <c r="N79" i="3"/>
  <c r="H15" i="1"/>
  <c r="P23" i="1"/>
  <c r="P21" i="1"/>
  <c r="I15" i="1" l="1"/>
  <c r="P19" i="1" l="1"/>
  <c r="K28" i="1" l="1"/>
  <c r="U28" i="1" s="1"/>
  <c r="K29" i="1" l="1"/>
  <c r="U29" i="1" s="1"/>
  <c r="K121" i="1"/>
  <c r="K53" i="1"/>
  <c r="K55" i="1"/>
  <c r="K56" i="1" s="1"/>
  <c r="K96" i="1"/>
  <c r="K97" i="1" s="1"/>
  <c r="K65" i="1"/>
  <c r="K31" i="1"/>
  <c r="K32" i="1" s="1"/>
  <c r="K85" i="1"/>
  <c r="K86" i="1" s="1"/>
  <c r="K90" i="1"/>
  <c r="K43" i="1"/>
  <c r="K40" i="1"/>
  <c r="K81" i="1"/>
  <c r="K78" i="1" l="1"/>
  <c r="K79" i="1" s="1"/>
  <c r="U43" i="1"/>
  <c r="K82" i="1"/>
  <c r="K102" i="1"/>
  <c r="K44" i="1"/>
  <c r="K34" i="1"/>
  <c r="U30" i="1" s="1"/>
  <c r="K103" i="1" l="1"/>
  <c r="U44" i="1" s="1"/>
  <c r="K35" i="1"/>
  <c r="U31" i="1" s="1"/>
  <c r="K46" i="1" l="1"/>
  <c r="L28" i="1"/>
  <c r="V28" i="1" s="1"/>
  <c r="K37" i="1" l="1"/>
  <c r="K38" i="1" s="1"/>
  <c r="U34" i="1"/>
  <c r="K49" i="1"/>
  <c r="P22" i="1"/>
  <c r="K47" i="1"/>
  <c r="U35" i="1" s="1"/>
  <c r="K58" i="1"/>
  <c r="K120" i="1"/>
  <c r="K119" i="1"/>
  <c r="L55" i="1"/>
  <c r="L56" i="1" s="1"/>
  <c r="L53" i="1"/>
  <c r="L65" i="1"/>
  <c r="L85" i="1"/>
  <c r="L86" i="1" s="1"/>
  <c r="L44" i="1"/>
  <c r="L90" i="1"/>
  <c r="L96" i="1"/>
  <c r="L97" i="1" s="1"/>
  <c r="L29" i="1"/>
  <c r="V29" i="1" s="1"/>
  <c r="L121" i="1"/>
  <c r="L40" i="1"/>
  <c r="L31" i="1"/>
  <c r="L32" i="1" s="1"/>
  <c r="L81" i="1"/>
  <c r="L78" i="1" l="1"/>
  <c r="L79" i="1" s="1"/>
  <c r="V43" i="1"/>
  <c r="K50" i="1"/>
  <c r="U33" i="1" s="1"/>
  <c r="U32" i="1"/>
  <c r="K59" i="1"/>
  <c r="K61" i="1"/>
  <c r="K62" i="1" s="1"/>
  <c r="L102" i="1"/>
  <c r="L103" i="1" s="1"/>
  <c r="V44" i="1" s="1"/>
  <c r="L82" i="1"/>
  <c r="L34" i="1"/>
  <c r="V30" i="1" s="1"/>
  <c r="L46" i="1"/>
  <c r="V34" i="1" s="1"/>
  <c r="K67" i="1" l="1"/>
  <c r="U36" i="1" s="1"/>
  <c r="L35" i="1"/>
  <c r="V31" i="1" s="1"/>
  <c r="L49" i="1"/>
  <c r="L119" i="1"/>
  <c r="L120" i="1"/>
  <c r="L47" i="1"/>
  <c r="V35" i="1" s="1"/>
  <c r="L58" i="1"/>
  <c r="L50" i="1" l="1"/>
  <c r="V33" i="1" s="1"/>
  <c r="V32" i="1"/>
  <c r="K73" i="1"/>
  <c r="U39" i="1" s="1"/>
  <c r="K68" i="1"/>
  <c r="U37" i="1" s="1"/>
  <c r="P20" i="1"/>
  <c r="K92" i="1"/>
  <c r="K99" i="1" s="1"/>
  <c r="L59" i="1"/>
  <c r="L61" i="1"/>
  <c r="L62" i="1" s="1"/>
  <c r="K112" i="1" l="1"/>
  <c r="K74" i="1"/>
  <c r="K100" i="1"/>
  <c r="K105" i="1"/>
  <c r="K123" i="1"/>
  <c r="M28" i="1"/>
  <c r="W28" i="1" s="1"/>
  <c r="L67" i="1"/>
  <c r="V36" i="1" s="1"/>
  <c r="K106" i="1" l="1"/>
  <c r="U42" i="1" s="1"/>
  <c r="U41" i="1"/>
  <c r="K113" i="1"/>
  <c r="K118" i="1"/>
  <c r="K108" i="1"/>
  <c r="K122" i="1"/>
  <c r="M29" i="1"/>
  <c r="W29" i="1" s="1"/>
  <c r="M55" i="1"/>
  <c r="M56" i="1" s="1"/>
  <c r="M121" i="1"/>
  <c r="M53" i="1"/>
  <c r="M44" i="1"/>
  <c r="M65" i="1"/>
  <c r="M90" i="1"/>
  <c r="M85" i="1"/>
  <c r="M86" i="1" s="1"/>
  <c r="M96" i="1"/>
  <c r="M97" i="1" s="1"/>
  <c r="M40" i="1"/>
  <c r="M31" i="1"/>
  <c r="M32" i="1" s="1"/>
  <c r="M81" i="1"/>
  <c r="W43" i="1" s="1"/>
  <c r="L68" i="1"/>
  <c r="V37" i="1" s="1"/>
  <c r="L92" i="1"/>
  <c r="L99" i="1" s="1"/>
  <c r="L73" i="1"/>
  <c r="V39" i="1" s="1"/>
  <c r="M82" i="1" l="1"/>
  <c r="M102" i="1"/>
  <c r="M78" i="1"/>
  <c r="M79" i="1" s="1"/>
  <c r="M34" i="1"/>
  <c r="W30" i="1" s="1"/>
  <c r="L100" i="1"/>
  <c r="L105" i="1"/>
  <c r="L123" i="1"/>
  <c r="L74" i="1"/>
  <c r="V40" i="1" s="1"/>
  <c r="L112" i="1"/>
  <c r="M46" i="1"/>
  <c r="W34" i="1" s="1"/>
  <c r="L106" i="1" l="1"/>
  <c r="V42" i="1" s="1"/>
  <c r="V41" i="1"/>
  <c r="M103" i="1"/>
  <c r="W44" i="1" s="1"/>
  <c r="M35" i="1"/>
  <c r="W31" i="1" s="1"/>
  <c r="M49" i="1"/>
  <c r="L108" i="1"/>
  <c r="L122" i="1"/>
  <c r="L113" i="1"/>
  <c r="L118" i="1"/>
  <c r="M119" i="1"/>
  <c r="M58" i="1"/>
  <c r="M47" i="1"/>
  <c r="W35" i="1" s="1"/>
  <c r="M120" i="1"/>
  <c r="M50" i="1" l="1"/>
  <c r="W33" i="1" s="1"/>
  <c r="W32" i="1"/>
  <c r="M61" i="1"/>
  <c r="M62" i="1" s="1"/>
  <c r="M59" i="1"/>
  <c r="N28" i="1" l="1"/>
  <c r="X28" i="1" s="1"/>
  <c r="M67" i="1"/>
  <c r="W36" i="1" s="1"/>
  <c r="N55" i="1" l="1"/>
  <c r="N56" i="1" s="1"/>
  <c r="N53" i="1"/>
  <c r="N29" i="1"/>
  <c r="X29" i="1" s="1"/>
  <c r="N44" i="1"/>
  <c r="N121" i="1"/>
  <c r="N85" i="1"/>
  <c r="N86" i="1" s="1"/>
  <c r="N90" i="1"/>
  <c r="N96" i="1"/>
  <c r="N97" i="1" s="1"/>
  <c r="N65" i="1"/>
  <c r="N40" i="1"/>
  <c r="N31" i="1"/>
  <c r="N32" i="1" s="1"/>
  <c r="N81" i="1"/>
  <c r="X43" i="1" s="1"/>
  <c r="M73" i="1"/>
  <c r="W39" i="1" s="1"/>
  <c r="M68" i="1"/>
  <c r="W37" i="1" s="1"/>
  <c r="M92" i="1"/>
  <c r="M99" i="1" s="1"/>
  <c r="N102" i="1" l="1"/>
  <c r="N103" i="1" s="1"/>
  <c r="X44" i="1" s="1"/>
  <c r="N82" i="1"/>
  <c r="N78" i="1"/>
  <c r="N79" i="1" s="1"/>
  <c r="N34" i="1"/>
  <c r="X30" i="1" s="1"/>
  <c r="M74" i="1"/>
  <c r="W40" i="1" s="1"/>
  <c r="M112" i="1"/>
  <c r="M100" i="1"/>
  <c r="M105" i="1"/>
  <c r="M123" i="1"/>
  <c r="M106" i="1" l="1"/>
  <c r="W42" i="1" s="1"/>
  <c r="W41" i="1"/>
  <c r="N46" i="1"/>
  <c r="X34" i="1" s="1"/>
  <c r="N35" i="1"/>
  <c r="X31" i="1" s="1"/>
  <c r="M113" i="1"/>
  <c r="M118" i="1"/>
  <c r="M108" i="1"/>
  <c r="M122" i="1"/>
  <c r="N49" i="1" l="1"/>
  <c r="N119" i="1"/>
  <c r="N120" i="1"/>
  <c r="N47" i="1"/>
  <c r="X35" i="1" s="1"/>
  <c r="N58" i="1"/>
  <c r="N50" i="1" l="1"/>
  <c r="X33" i="1" s="1"/>
  <c r="X32" i="1"/>
  <c r="N59" i="1"/>
  <c r="N61" i="1"/>
  <c r="N62" i="1" s="1"/>
  <c r="O28" i="1"/>
  <c r="Y28" i="1" s="1"/>
  <c r="N67" i="1" l="1"/>
  <c r="X36" i="1" s="1"/>
  <c r="O85" i="1"/>
  <c r="O86" i="1" s="1"/>
  <c r="O121" i="1"/>
  <c r="O29" i="1"/>
  <c r="Y29" i="1" s="1"/>
  <c r="O44" i="1"/>
  <c r="O55" i="1"/>
  <c r="O56" i="1" s="1"/>
  <c r="O96" i="1"/>
  <c r="O97" i="1" s="1"/>
  <c r="O53" i="1"/>
  <c r="O65" i="1"/>
  <c r="O90" i="1"/>
  <c r="O40" i="1"/>
  <c r="O31" i="1"/>
  <c r="O32" i="1" s="1"/>
  <c r="O81" i="1"/>
  <c r="Y43" i="1" s="1"/>
  <c r="N92" i="1" l="1"/>
  <c r="N99" i="1" s="1"/>
  <c r="N68" i="1"/>
  <c r="X37" i="1" s="1"/>
  <c r="N73" i="1"/>
  <c r="X39" i="1" s="1"/>
  <c r="O82" i="1"/>
  <c r="O102" i="1"/>
  <c r="O103" i="1" s="1"/>
  <c r="Y44" i="1" s="1"/>
  <c r="O78" i="1"/>
  <c r="O79" i="1" s="1"/>
  <c r="O34" i="1"/>
  <c r="Y30" i="1" s="1"/>
  <c r="N100" i="1" l="1"/>
  <c r="N123" i="1"/>
  <c r="N112" i="1"/>
  <c r="N105" i="1"/>
  <c r="N74" i="1"/>
  <c r="X40" i="1" s="1"/>
  <c r="O46" i="1"/>
  <c r="Y34" i="1" s="1"/>
  <c r="O35" i="1"/>
  <c r="Y31" i="1" s="1"/>
  <c r="N106" i="1" l="1"/>
  <c r="X42" i="1" s="1"/>
  <c r="X41" i="1"/>
  <c r="N108" i="1"/>
  <c r="N122" i="1"/>
  <c r="N118" i="1"/>
  <c r="N113" i="1"/>
  <c r="O49" i="1"/>
  <c r="O119" i="1"/>
  <c r="O120" i="1"/>
  <c r="O47" i="1"/>
  <c r="Y35" i="1" s="1"/>
  <c r="O58" i="1"/>
  <c r="O50" i="1" l="1"/>
  <c r="Y33" i="1" s="1"/>
  <c r="Y32" i="1"/>
  <c r="O61" i="1"/>
  <c r="O62" i="1" s="1"/>
  <c r="O59" i="1"/>
  <c r="P28" i="1"/>
  <c r="Z28" i="1" s="1"/>
  <c r="O67" i="1" l="1"/>
  <c r="Y36" i="1" s="1"/>
  <c r="P121" i="1"/>
  <c r="P81" i="1"/>
  <c r="Z43" i="1" s="1"/>
  <c r="P40" i="1"/>
  <c r="P31" i="1"/>
  <c r="P32" i="1" s="1"/>
  <c r="P56" i="1"/>
  <c r="P53" i="1"/>
  <c r="P65" i="1"/>
  <c r="P44" i="1"/>
  <c r="P29" i="1"/>
  <c r="Z29" i="1" s="1"/>
  <c r="P85" i="1"/>
  <c r="P86" i="1" s="1"/>
  <c r="P96" i="1"/>
  <c r="Y6" i="1" s="1"/>
  <c r="P90" i="1"/>
  <c r="O68" i="1" l="1"/>
  <c r="Y37" i="1" s="1"/>
  <c r="O92" i="1"/>
  <c r="O99" i="1" s="1"/>
  <c r="O73" i="1"/>
  <c r="Y39" i="1" s="1"/>
  <c r="Y10" i="1"/>
  <c r="Z6" i="1"/>
  <c r="P102" i="1"/>
  <c r="P103" i="1" s="1"/>
  <c r="Z44" i="1" s="1"/>
  <c r="P82" i="1"/>
  <c r="P78" i="1"/>
  <c r="P79" i="1" s="1"/>
  <c r="P97" i="1"/>
  <c r="P34" i="1"/>
  <c r="Z30" i="1" s="1"/>
  <c r="AA6" i="1" l="1"/>
  <c r="O105" i="1"/>
  <c r="O100" i="1"/>
  <c r="O123" i="1"/>
  <c r="O74" i="1"/>
  <c r="Y40" i="1" s="1"/>
  <c r="O112" i="1"/>
  <c r="P46" i="1"/>
  <c r="Z34" i="1" s="1"/>
  <c r="P35" i="1"/>
  <c r="Z31" i="1" s="1"/>
  <c r="Z10" i="1"/>
  <c r="Y13" i="1"/>
  <c r="O106" i="1" l="1"/>
  <c r="Y42" i="1" s="1"/>
  <c r="Y41" i="1"/>
  <c r="AA10" i="1"/>
  <c r="AB6" i="1"/>
  <c r="AB7" i="1" s="1"/>
  <c r="O108" i="1"/>
  <c r="O122" i="1"/>
  <c r="O113" i="1"/>
  <c r="O118" i="1"/>
  <c r="P58" i="1"/>
  <c r="P49" i="1"/>
  <c r="Z32" i="1" s="1"/>
  <c r="P120" i="1"/>
  <c r="P119" i="1"/>
  <c r="P47" i="1"/>
  <c r="Z35" i="1" s="1"/>
  <c r="Z13" i="1"/>
  <c r="AB10" i="1" l="1"/>
  <c r="P50" i="1"/>
  <c r="Z33" i="1" s="1"/>
  <c r="P8" i="1"/>
  <c r="P61" i="1"/>
  <c r="P62" i="1" s="1"/>
  <c r="P59" i="1"/>
  <c r="AC6" i="1"/>
  <c r="AA13" i="1"/>
  <c r="AC10" i="1" l="1"/>
  <c r="T18" i="1" s="1"/>
  <c r="AC7" i="1"/>
  <c r="P9" i="1"/>
  <c r="P67" i="1"/>
  <c r="AB13" i="1"/>
  <c r="P92" i="1" l="1"/>
  <c r="P99" i="1" s="1"/>
  <c r="Z36" i="1"/>
  <c r="P68" i="1"/>
  <c r="Z37" i="1" s="1"/>
  <c r="P73" i="1"/>
  <c r="AC13" i="1"/>
  <c r="Z39" i="1" l="1"/>
  <c r="P74" i="1"/>
  <c r="Z40" i="1" s="1"/>
  <c r="P112" i="1"/>
  <c r="P105" i="1"/>
  <c r="P100" i="1"/>
  <c r="P123" i="1"/>
  <c r="P106" i="1" l="1"/>
  <c r="Z41" i="1"/>
  <c r="P118" i="1"/>
  <c r="P113" i="1"/>
  <c r="P108" i="1"/>
  <c r="P122" i="1"/>
  <c r="Z42" i="1" l="1"/>
  <c r="Y11" i="1"/>
  <c r="Z11" i="1" s="1"/>
  <c r="AA11" i="1" s="1"/>
  <c r="AB11" i="1" s="1"/>
  <c r="AC11" i="1" s="1"/>
  <c r="T17" i="1"/>
  <c r="T21" i="1" s="1"/>
  <c r="T23" i="1" s="1"/>
  <c r="P7" i="1"/>
  <c r="P13" i="1" s="1"/>
  <c r="E8" i="1" l="1"/>
  <c r="E10" i="1" s="1"/>
  <c r="U13" i="1"/>
  <c r="J17" i="1" s="1"/>
  <c r="K17" i="1" l="1"/>
  <c r="J20" i="1"/>
  <c r="J23" i="1" s="1"/>
  <c r="K20" i="1" l="1"/>
  <c r="K23" i="1" s="1"/>
  <c r="E11" i="1"/>
  <c r="L37" i="1"/>
  <c r="L38" i="1" s="1"/>
  <c r="M37" i="1" l="1"/>
  <c r="M38" i="1" s="1"/>
  <c r="N37" i="1" l="1"/>
  <c r="N38" i="1" s="1"/>
  <c r="O37" i="1" l="1"/>
  <c r="O38" i="1" s="1"/>
  <c r="P37" i="1" l="1"/>
  <c r="P3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Kerem Odabasi</author>
  </authors>
  <commentList>
    <comment ref="I7" authorId="0" shapeId="0" xr:uid="{D6EB21D0-FA00-49F4-8ADC-051AE2EA0E13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Source: SEC EDGAR, KO 10-K FY2025 (approx. 65,900 employees as of 12/31/2025), https://www.sec.gov/Archives/edgar/data/21344/000162828026010047/ko-20251231.htm</t>
        </r>
      </text>
    </comment>
    <comment ref="I8" authorId="0" shapeId="0" xr:uid="{951F7A05-72BA-490D-B889-63EBBD664B8A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Coca-Cola originated in 1886; The Coca-Cola Company incorporated in 1892.</t>
        </r>
      </text>
    </comment>
    <comment ref="E17" authorId="0" shapeId="0" xr:uid="{6D8B7F10-CA7E-409C-A97B-9011703E31EC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Year-end 2021 price. Derived from FactSet export (user-uploaded file): FY P/E x non-GAAP EPS.</t>
        </r>
      </text>
    </comment>
    <comment ref="F17" authorId="0" shapeId="0" xr:uid="{710D6ED6-B488-4633-A1D0-1D0D9DB614AC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Year-end 2022 price. Derived from FactSet export (user-uploaded file): FY P/E x non-GAAP EPS.</t>
        </r>
      </text>
    </comment>
    <comment ref="G17" authorId="0" shapeId="0" xr:uid="{AD4C9D23-FC7A-4567-B9BD-11DBBC372373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Year-end 2023 price. Derived from FactSet export (user-uploaded file): FY P/E x non-GAAP EPS.</t>
        </r>
      </text>
    </comment>
    <comment ref="H17" authorId="0" shapeId="0" xr:uid="{BC9A0BD6-2AA9-4515-84EA-C19C0F8DBD23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Year-end 2024 price. Derived from FactSet export (user-uploaded file): FY P/E x non-GAAP EPS.</t>
        </r>
      </text>
    </comment>
    <comment ref="I17" authorId="0" shapeId="0" xr:uid="{3CDA9AF4-CB0E-4646-BEA1-DBEDF516CD82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Current price as of 7/10/2026 (FactSet upload) - YE2025 close was not available in sources; replace if desired.</t>
        </r>
      </text>
    </comment>
    <comment ref="E18" authorId="0" shapeId="0" xr:uid="{037CAFC7-F40E-40D1-AACE-E55B841D4785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Avg diluted shares FY2021. Source: SEC EDGAR, KO 10-K FY2023, https://www.sec.gov/Archives/edgar/data/21344/000002134424000009/ko-20231231.htm</t>
        </r>
      </text>
    </comment>
    <comment ref="F18" authorId="0" shapeId="0" xr:uid="{00654058-74A9-465B-8C68-F3A60369A99B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Avg diluted shares FY2022. Source: SEC EDGAR, KO 10-K FY2023, https://www.sec.gov/Archives/edgar/data/21344/000002134424000009/ko-20231231.htm</t>
        </r>
      </text>
    </comment>
    <comment ref="G18" authorId="0" shapeId="0" xr:uid="{914F6470-174C-40A1-864A-CDD9677163EA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Avg diluted shares FY2023. Source: SEC EDGAR, KO 10-K FY2025, https://www.sec.gov/Archives/edgar/data/21344/000162828026010047/ko-20251231.htm</t>
        </r>
      </text>
    </comment>
    <comment ref="H18" authorId="0" shapeId="0" xr:uid="{313D8C09-D0F9-4DF7-B46C-8275341253B4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Avg diluted shares FY2024. Source: SEC EDGAR, KO 10-K FY2025, https://www.sec.gov/Archives/edgar/data/21344/000162828026010047/ko-20251231.htm</t>
        </r>
      </text>
    </comment>
    <comment ref="I18" authorId="0" shapeId="0" xr:uid="{1DC649D9-724F-4550-9E33-1204213B02E7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Avg diluted shares FY2025. Source: SEC EDGAR, KO 10-K FY2025, https://www.sec.gov/Archives/edgar/data/21344/000162828026010047/ko-20251231.htm</t>
        </r>
      </text>
    </comment>
    <comment ref="E21" authorId="0" shapeId="0" xr:uid="{843D4479-95BE-4AED-9453-64AD1189AB73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Cash &amp; equivalents YE2021. Source: FactSet export (user-uploaded file).</t>
        </r>
      </text>
    </comment>
    <comment ref="F21" authorId="0" shapeId="0" xr:uid="{3F28776B-F6F1-41C0-9103-4B953F8741FF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Cash &amp; equivalents YE2022. Source: FactSet export (user-uploaded file).</t>
        </r>
      </text>
    </comment>
    <comment ref="G21" authorId="0" shapeId="0" xr:uid="{3507E3A2-4EEB-45FC-A9FC-AD33889CDE53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Cash &amp; equivalents YE2023. Source: FactSet export (user-uploaded file).</t>
        </r>
      </text>
    </comment>
    <comment ref="H21" authorId="0" shapeId="0" xr:uid="{5E1A35C1-4BE3-42A8-BD60-B5726CEF15E4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Cash &amp; equivalents YE2024. Source: SEC EDGAR, KO 10-K FY2025, https://www.sec.gov/Archives/edgar/data/21344/000162828026010047/ko-20251231.htm</t>
        </r>
      </text>
    </comment>
    <comment ref="I21" authorId="0" shapeId="0" xr:uid="{2F920808-432B-4630-846B-48A2B0684D42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Cash &amp; equivalents YE2025. Source: SEC EDGAR, KO 10-K FY2025, https://www.sec.gov/Archives/edgar/data/21344/000162828026010047/ko-20251231.htm</t>
        </r>
      </text>
    </comment>
    <comment ref="J21" authorId="0" shapeId="0" xr:uid="{E90E90EB-DCD8-46C8-9208-FBCD3E7356CD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Cash &amp; short-term investments as of Mar-2026. Source: FactSet export (user-uploaded file).</t>
        </r>
      </text>
    </comment>
    <comment ref="K21" authorId="0" shapeId="0" xr:uid="{ED9F7985-A517-4467-A7B1-14E543BD56A6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Assumption.</t>
        </r>
      </text>
    </comment>
    <comment ref="E22" authorId="0" shapeId="0" xr:uid="{6854D623-5D53-4C10-BA93-891669E3409D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Total debt YE2021. Source: FactSet export (user-uploaded file).</t>
        </r>
      </text>
    </comment>
    <comment ref="F22" authorId="0" shapeId="0" xr:uid="{B62C205E-3D89-49FC-8F2A-E001B04F15B2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Total debt YE2022. Source: FactSet export (user-uploaded file).</t>
        </r>
      </text>
    </comment>
    <comment ref="G22" authorId="0" shapeId="0" xr:uid="{8A29CBDC-F787-4079-9492-A7265752F564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Total debt YE2023. Source: FactSet export (user-uploaded file).</t>
        </r>
      </text>
    </comment>
    <comment ref="H22" authorId="0" shapeId="0" xr:uid="{6BE83E66-6781-499C-973F-D29F7319F8D7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Total debt YE2024. Source: FactSet export (user-uploaded file).</t>
        </r>
      </text>
    </comment>
    <comment ref="I22" authorId="0" shapeId="0" xr:uid="{C4BD827D-45C3-4715-9A59-D2A7C3A12F2B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Total debt YE2025. Source: FactSet export (user-uploaded file).</t>
        </r>
      </text>
    </comment>
    <comment ref="J22" authorId="0" shapeId="0" xr:uid="{79C370D2-F62E-4E35-8846-FC27FAA3F0C9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Total debt as of Mar-2026. Source: FactSet export (user-uploaded file).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Kerem Odabasi</author>
  </authors>
  <commentList>
    <comment ref="B10" authorId="0" shapeId="0" xr:uid="{7C21CAB2-FA57-4198-A3F5-B4CC88FC04A9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Negative near term: KO agreed to sell a portion of its Africa bottling operations (assets held for sale at YE2025) and continues refranchising.</t>
        </r>
      </text>
    </comment>
    <comment ref="G12" authorId="0" shapeId="0" xr:uid="{A7EECB31-E145-4BCB-84A8-6E794DC35545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Corporate operating loss (incl. unallocated other operating charges) as % of total revenue. FY2025 actual: -3.8%.</t>
        </r>
      </text>
    </comment>
    <comment ref="F21" authorId="0" shapeId="0" xr:uid="{A513F998-0E0D-4811-9759-B9B2EA93950A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2022 consolidated revenue of $43,004M per KO 10-K. Source: SEC EDGAR, https://www.sec.gov/Archives/edgar/data/21344/000002134424000009/ko-20231231.htm</t>
        </r>
      </text>
    </comment>
    <comment ref="F26" authorId="0" shapeId="0" xr:uid="{F8FCF862-B911-48C9-8384-0760807AA517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Total net operating revenues (incl. intersegment), recast 5-segment basis. Source: SEC EDGAR, KO 10-K FY2025, https://www.sec.gov/Archives/edgar/data/21344/000162828026010047/ko-20251231.htm</t>
        </r>
      </text>
    </comment>
    <comment ref="G26" authorId="0" shapeId="0" xr:uid="{5A3E3886-E29D-40C0-BB05-623F9D1F48C5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Source: SEC EDGAR, KO 10-K FY2025, https://www.sec.gov/Archives/edgar/data/21344/000162828026010047/ko-20251231.htm</t>
        </r>
      </text>
    </comment>
    <comment ref="H26" authorId="0" shapeId="0" xr:uid="{1055D042-5693-4D83-A60F-44BD7BDC7480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Source: SEC EDGAR, KO 10-K FY2025, https://www.sec.gov/Archives/edgar/data/21344/000162828026010047/ko-20251231.htm</t>
        </r>
      </text>
    </comment>
    <comment ref="F29" authorId="0" shapeId="0" xr:uid="{83FB5571-413E-4013-AFC4-A209E1430A01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Source: SEC EDGAR, KO 10-K FY2025, https://www.sec.gov/Archives/edgar/data/21344/000162828026010047/ko-20251231.htm</t>
        </r>
      </text>
    </comment>
    <comment ref="G29" authorId="0" shapeId="0" xr:uid="{185E80F6-67C0-429A-A89A-D16E63196726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Source: SEC EDGAR, KO 10-K FY2025, https://www.sec.gov/Archives/edgar/data/21344/000162828026010047/ko-20251231.htm</t>
        </r>
      </text>
    </comment>
    <comment ref="H29" authorId="0" shapeId="0" xr:uid="{A5B3E1A0-0452-49C2-86E5-742F5DE51EAD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Source: SEC EDGAR, KO 10-K FY2025, https://www.sec.gov/Archives/edgar/data/21344/000162828026010047/ko-20251231.htm</t>
        </r>
      </text>
    </comment>
    <comment ref="F32" authorId="0" shapeId="0" xr:uid="{251C6E08-FF80-4F1E-80A9-669DEB113D23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Source: SEC EDGAR, KO 10-K FY2025, https://www.sec.gov/Archives/edgar/data/21344/000162828026010047/ko-20251231.htm</t>
        </r>
      </text>
    </comment>
    <comment ref="G32" authorId="0" shapeId="0" xr:uid="{9BAB1D4B-07BA-41C6-B432-E34A9F3D8F3C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Source: SEC EDGAR, KO 10-K FY2025, https://www.sec.gov/Archives/edgar/data/21344/000162828026010047/ko-20251231.htm</t>
        </r>
      </text>
    </comment>
    <comment ref="H32" authorId="0" shapeId="0" xr:uid="{F9F3E790-F74C-4C44-AA8F-E391D83652DD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Source: SEC EDGAR, KO 10-K FY2025, https://www.sec.gov/Archives/edgar/data/21344/000162828026010047/ko-20251231.htm</t>
        </r>
      </text>
    </comment>
    <comment ref="F35" authorId="0" shapeId="0" xr:uid="{CA6A9CC7-914D-4B39-91F4-C760B7CC4479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Source: SEC EDGAR, KO 10-K FY2025, https://www.sec.gov/Archives/edgar/data/21344/000162828026010047/ko-20251231.htm</t>
        </r>
      </text>
    </comment>
    <comment ref="G35" authorId="0" shapeId="0" xr:uid="{E37AA9FF-C2A7-4159-A12A-AFB593F6A471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Source: SEC EDGAR, KO 10-K FY2025, https://www.sec.gov/Archives/edgar/data/21344/000162828026010047/ko-20251231.htm</t>
        </r>
      </text>
    </comment>
    <comment ref="H35" authorId="0" shapeId="0" xr:uid="{62AD6DD4-50C5-4F80-8CCB-6B2CBD8E3BC5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Source: SEC EDGAR, KO 10-K FY2025, https://www.sec.gov/Archives/edgar/data/21344/000162828026010047/ko-20251231.htm</t>
        </r>
      </text>
    </comment>
    <comment ref="F38" authorId="0" shapeId="0" xr:uid="{8A843B97-4A3B-491B-9189-7025C70A073D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Source: SEC EDGAR, KO 10-K FY2025, https://www.sec.gov/Archives/edgar/data/21344/000162828026010047/ko-20251231.htm</t>
        </r>
      </text>
    </comment>
    <comment ref="G38" authorId="0" shapeId="0" xr:uid="{52164E50-8603-40DC-935F-A122D8B5CF29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Source: SEC EDGAR, KO 10-K FY2025, https://www.sec.gov/Archives/edgar/data/21344/000162828026010047/ko-20251231.htm</t>
        </r>
      </text>
    </comment>
    <comment ref="H38" authorId="0" shapeId="0" xr:uid="{189693F6-87C0-4B92-9E3B-19F20D49C44F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Source: SEC EDGAR, KO 10-K FY2025, https://www.sec.gov/Archives/edgar/data/21344/000162828026010047/ko-20251231.htm</t>
        </r>
      </text>
    </comment>
    <comment ref="F41" authorId="0" shapeId="0" xr:uid="{90F9DD15-B076-46ED-83CF-4AAD441FA716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Source: SEC EDGAR, KO 10-K FY2025, https://www.sec.gov/Archives/edgar/data/21344/000162828026010047/ko-20251231.htm</t>
        </r>
      </text>
    </comment>
    <comment ref="G41" authorId="0" shapeId="0" xr:uid="{7693B328-7A2E-4933-91B7-A0013FAAC0DE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Source: SEC EDGAR, KO 10-K FY2025, https://www.sec.gov/Archives/edgar/data/21344/000162828026010047/ko-20251231.htm</t>
        </r>
      </text>
    </comment>
    <comment ref="H41" authorId="0" shapeId="0" xr:uid="{8AC3B7B5-30D2-491B-A9EB-8FBD50A41CCA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Source: SEC EDGAR, KO 10-K FY2025, https://www.sec.gov/Archives/edgar/data/21344/000162828026010047/ko-20251231.htm</t>
        </r>
      </text>
    </comment>
    <comment ref="F44" authorId="0" shapeId="0" xr:uid="{F5CD27E2-C80C-40F7-9A4E-20C44A6C9B9D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Intersegment eliminations. Source: SEC EDGAR, KO 10-K FY2025, https://www.sec.gov/Archives/edgar/data/21344/000162828026010047/ko-20251231.htm</t>
        </r>
      </text>
    </comment>
    <comment ref="G44" authorId="0" shapeId="0" xr:uid="{9B6DE860-B3AF-4DDB-B1E1-C67D1089C834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Source: SEC EDGAR, KO 10-K FY2025, https://www.sec.gov/Archives/edgar/data/21344/000162828026010047/ko-20251231.htm</t>
        </r>
      </text>
    </comment>
    <comment ref="H44" authorId="0" shapeId="0" xr:uid="{8151C2E9-1D77-401B-8B1D-CFCF1C4170F5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Source: SEC EDGAR, KO 10-K FY2025, https://www.sec.gov/Archives/edgar/data/21344/000162828026010047/ko-20251231.htm</t>
        </r>
      </text>
    </comment>
    <comment ref="F63" authorId="0" shapeId="0" xr:uid="{02F4C20F-49AD-493C-B9C4-07D1954A7554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Segment operating income, recast 5-segment basis. Source: SEC EDGAR, KO 10-K FY2025, https://www.sec.gov/Archives/edgar/data/21344/000162828026010047/ko-20251231.htm</t>
        </r>
      </text>
    </comment>
    <comment ref="G63" authorId="0" shapeId="0" xr:uid="{81B68AC9-4DC2-43FC-B490-A8BEE3A2ABCC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Source: SEC EDGAR, KO 10-K FY2025, https://www.sec.gov/Archives/edgar/data/21344/000162828026010047/ko-20251231.htm</t>
        </r>
      </text>
    </comment>
    <comment ref="H63" authorId="0" shapeId="0" xr:uid="{1072DC06-99E4-405F-86D0-507A0D94EBA7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Source: SEC EDGAR, KO 10-K FY2025, https://www.sec.gov/Archives/edgar/data/21344/000162828026010047/ko-20251231.htm</t>
        </r>
      </text>
    </comment>
    <comment ref="F66" authorId="0" shapeId="0" xr:uid="{74C5D33B-F056-4340-A6F4-927A68FB5B56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Source: SEC EDGAR, KO 10-K FY2025, https://www.sec.gov/Archives/edgar/data/21344/000162828026010047/ko-20251231.htm</t>
        </r>
      </text>
    </comment>
    <comment ref="G66" authorId="0" shapeId="0" xr:uid="{E6525B29-F319-40D6-B639-9FE0D703F639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Source: SEC EDGAR, KO 10-K FY2025, https://www.sec.gov/Archives/edgar/data/21344/000162828026010047/ko-20251231.htm</t>
        </r>
      </text>
    </comment>
    <comment ref="H66" authorId="0" shapeId="0" xr:uid="{17C557D2-9DAA-4FB4-9FE8-5643875F47BF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Source: SEC EDGAR, KO 10-K FY2025, https://www.sec.gov/Archives/edgar/data/21344/000162828026010047/ko-20251231.htm</t>
        </r>
      </text>
    </comment>
    <comment ref="F69" authorId="0" shapeId="0" xr:uid="{069F00DE-7DF0-472E-9955-4CCFFCD6B7A5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Source: SEC EDGAR, KO 10-K FY2025, https://www.sec.gov/Archives/edgar/data/21344/000162828026010047/ko-20251231.htm</t>
        </r>
      </text>
    </comment>
    <comment ref="G69" authorId="0" shapeId="0" xr:uid="{4CA29ED6-1AB2-40A2-B77F-407227913BC4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Source: SEC EDGAR, KO 10-K FY2025, https://www.sec.gov/Archives/edgar/data/21344/000162828026010047/ko-20251231.htm</t>
        </r>
      </text>
    </comment>
    <comment ref="H69" authorId="0" shapeId="0" xr:uid="{7198FE40-F5AA-4072-A84B-336BFA3F459B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Source: SEC EDGAR, KO 10-K FY2025, https://www.sec.gov/Archives/edgar/data/21344/000162828026010047/ko-20251231.htm</t>
        </r>
      </text>
    </comment>
    <comment ref="F72" authorId="0" shapeId="0" xr:uid="{11A2275D-8201-49F8-93E2-E126A7D009BC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Source: SEC EDGAR, KO 10-K FY2025, https://www.sec.gov/Archives/edgar/data/21344/000162828026010047/ko-20251231.htm</t>
        </r>
      </text>
    </comment>
    <comment ref="G72" authorId="0" shapeId="0" xr:uid="{F3B43B15-1C59-4839-BC2D-5F461B1C3513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Source: SEC EDGAR, KO 10-K FY2025, https://www.sec.gov/Archives/edgar/data/21344/000162828026010047/ko-20251231.htm</t>
        </r>
      </text>
    </comment>
    <comment ref="H72" authorId="0" shapeId="0" xr:uid="{5AD1C649-2E61-482B-A8E4-AF388DBB7E26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Source: SEC EDGAR, KO 10-K FY2025, https://www.sec.gov/Archives/edgar/data/21344/000162828026010047/ko-20251231.htm</t>
        </r>
      </text>
    </comment>
    <comment ref="F75" authorId="0" shapeId="0" xr:uid="{85E891B7-4BA7-4734-A218-ABA2B1989A56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Source: SEC EDGAR, KO 10-K FY2025, https://www.sec.gov/Archives/edgar/data/21344/000162828026010047/ko-20251231.htm</t>
        </r>
      </text>
    </comment>
    <comment ref="G75" authorId="0" shapeId="0" xr:uid="{C9374410-AF4A-4A95-980E-8E3AB78D5A31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Source: SEC EDGAR, KO 10-K FY2025, https://www.sec.gov/Archives/edgar/data/21344/000162828026010047/ko-20251231.htm</t>
        </r>
      </text>
    </comment>
    <comment ref="H75" authorId="0" shapeId="0" xr:uid="{1876B04B-86BB-460A-8861-39CCE3031E1C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Source: SEC EDGAR, KO 10-K FY2025, https://www.sec.gov/Archives/edgar/data/21344/000162828026010047/ko-20251231.htm</t>
        </r>
      </text>
    </comment>
    <comment ref="F78" authorId="0" shapeId="0" xr:uid="{0A45259E-85E2-4281-9684-310F466BA3E8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Corporate operating loss incl. unallocated other operating charges. Source: SEC EDGAR, KO 10-K FY2025, https://www.sec.gov/Archives/edgar/data/21344/000162828026010047/ko-20251231.htm</t>
        </r>
      </text>
    </comment>
    <comment ref="G78" authorId="0" shapeId="0" xr:uid="{5CFE7D72-319C-4571-AE6C-81302C8A7CE8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Includes $3.1B fairlife contingent consideration remeasurement and other charges. Source: SEC EDGAR, KO 10-K FY2025, https://www.sec.gov/Archives/edgar/data/21344/000162828026010047/ko-20251231.htm</t>
        </r>
      </text>
    </comment>
    <comment ref="H78" authorId="0" shapeId="0" xr:uid="{8A8276FF-8418-4CD2-938C-6FF2FAF7CD7C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Source: SEC EDGAR, KO 10-K FY2025, https://www.sec.gov/Archives/edgar/data/21344/000162828026010047/ko-20251231.htm</t>
        </r>
      </text>
    </comment>
    <comment ref="H137" authorId="0" shapeId="0" xr:uid="{2F7AFDD3-7249-4F1F-9A68-BF760338CF88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ESTIMATE — KO does not disclose revenue by brand. Anchored to disclosed unit case volume mix (Trademark Coca-Cola = 47% of worldwide unit case volume in 2025 and 2024; sparkling = 69%), adjusted for lower revenue/case of concentrate-heavy sparkling volume. Source: SEC EDGAR, KO 10-K FY2025, https://www.sec.gov/Archives/edgar/data/21344/000162828026010047/ko-20251231.htm</t>
        </r>
      </text>
    </comment>
    <comment ref="H138" authorId="0" shapeId="0" xr:uid="{BF96FBDC-849B-43D5-8948-FA3786F1C5ED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ESTIMATE — sparkling flavors = 22% of worldwide unit case volume (69% sparkling less 47% Trademark Coca-Cola). Source: SEC EDGAR, KO 10-K FY2025, https://www.sec.gov/Archives/edgar/data/21344/000162828026010047/ko-20251231.htm</t>
        </r>
      </text>
    </comment>
    <comment ref="H139" authorId="0" shapeId="0" xr:uid="{933276DB-4A26-44E2-B95D-15F5CB75F8B0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ESTIMATE — still beverages carry higher revenue per unit case (more finished-product sales). KO does not disclose category revenue.</t>
        </r>
      </text>
    </comment>
    <comment ref="H140" authorId="0" shapeId="0" xr:uid="{547E6537-D3D6-48B5-BC13-4F3CCC2B0117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ESTIMATE — KO does not disclose category revenue.</t>
        </r>
      </text>
    </comment>
    <comment ref="B150" authorId="0" shapeId="0" xr:uid="{CE40D21A-7813-4896-AF22-5653943C18DA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Source: SEC EDGAR, KO 10-K FY2025, https://www.sec.gov/Archives/edgar/data/21344/000162828026010047/ko-20251231.htm</t>
        </r>
      </text>
    </comment>
    <comment ref="F155" authorId="0" shapeId="0" xr:uid="{2F9F4072-264F-42BF-AA00-9F93F1EC6040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Source: FactSet export (user-uploaded file), KO revenue by concentrate vs. finished product.</t>
        </r>
      </text>
    </comment>
    <comment ref="G155" authorId="0" shapeId="0" xr:uid="{B2DF29EB-FE0F-4159-A298-7F070F60E6D5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Source: FactSet export (user-uploaded file).</t>
        </r>
      </text>
    </comment>
    <comment ref="H155" authorId="0" shapeId="0" xr:uid="{CA0A4B68-0964-4CA1-B148-FCE781AE5552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Source: FactSet export (user-uploaded file). Cross-check: KO 10-K FY2025 reports concentrate = 59% of net operating revenues.</t>
        </r>
      </text>
    </comment>
    <comment ref="F158" authorId="0" shapeId="0" xr:uid="{A2E0BFEF-387C-4001-9985-C56F5A6B5484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Source: FactSet export (user-uploaded file).</t>
        </r>
      </text>
    </comment>
    <comment ref="G158" authorId="0" shapeId="0" xr:uid="{991AFABA-E51B-48DE-83BA-D45EF2016847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Source: FactSet export (user-uploaded file).</t>
        </r>
      </text>
    </comment>
    <comment ref="H158" authorId="0" shapeId="0" xr:uid="{F33BF7F8-80DF-4FFE-8E36-D954D28B9BE7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Source: FactSet export (user-uploaded file).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Kerem Odabasi</author>
  </authors>
  <commentList>
    <comment ref="N3" authorId="0" shapeId="0" xr:uid="{1F0D6277-841C-4BCF-836F-4A24EA2B27D9}">
      <text>
        <r>
          <rPr>
            <b/>
            <sz val="9"/>
            <color indexed="81"/>
            <rFont val="Tahoma"/>
            <charset val="1"/>
          </rPr>
          <t>Kerem Odabasi:</t>
        </r>
        <r>
          <rPr>
            <sz val="9"/>
            <color indexed="81"/>
            <rFont val="Tahoma"/>
            <charset val="1"/>
          </rPr>
          <t xml:space="preserve">
Source: FactSet export (user-uploaded file), price as of 7/10/2026. Main!E9 links here — update this cell to refresh the model's current price.</t>
        </r>
      </text>
    </comment>
  </commentList>
</comments>
</file>

<file path=xl/sharedStrings.xml><?xml version="1.0" encoding="utf-8"?>
<sst xmlns="http://schemas.openxmlformats.org/spreadsheetml/2006/main" count="359" uniqueCount="203">
  <si>
    <t>Ticker</t>
  </si>
  <si>
    <t>Implied Share Price</t>
  </si>
  <si>
    <t>Current Share Price</t>
  </si>
  <si>
    <t>Implied Upside / (Downside)</t>
  </si>
  <si>
    <t>2026E</t>
  </si>
  <si>
    <t>2027E</t>
  </si>
  <si>
    <t>2028E</t>
  </si>
  <si>
    <t>2029E</t>
  </si>
  <si>
    <t>2030E</t>
  </si>
  <si>
    <t>Revenue</t>
  </si>
  <si>
    <t>% of sales</t>
  </si>
  <si>
    <t>Cash Flow Items</t>
  </si>
  <si>
    <t>DCF</t>
  </si>
  <si>
    <t>Key Statistics</t>
  </si>
  <si>
    <t>Stock Price</t>
  </si>
  <si>
    <t>Market Cap</t>
  </si>
  <si>
    <t>Cash</t>
  </si>
  <si>
    <t>Debt</t>
  </si>
  <si>
    <t>Enterprise Value</t>
  </si>
  <si>
    <t>Net Debt</t>
  </si>
  <si>
    <t>WACC</t>
  </si>
  <si>
    <t>Total</t>
  </si>
  <si>
    <t>Notes</t>
  </si>
  <si>
    <t>Valuation</t>
  </si>
  <si>
    <t>PV of FCF</t>
  </si>
  <si>
    <t>Terminal Value</t>
  </si>
  <si>
    <t>Shares Outstanding</t>
  </si>
  <si>
    <t>Implied Market Cap</t>
  </si>
  <si>
    <t>all values in millions except per share numbers</t>
  </si>
  <si>
    <t>PV of Terminal Value</t>
  </si>
  <si>
    <t>Company Overview</t>
  </si>
  <si>
    <t>Price</t>
  </si>
  <si>
    <t>Key Stats</t>
  </si>
  <si>
    <t>Employees</t>
  </si>
  <si>
    <t>Founded</t>
  </si>
  <si>
    <t>CEO</t>
  </si>
  <si>
    <t>Headquarters</t>
  </si>
  <si>
    <t>Primary Industry</t>
  </si>
  <si>
    <t>Fiscal Year End</t>
  </si>
  <si>
    <t>Last Updated</t>
  </si>
  <si>
    <t>x</t>
  </si>
  <si>
    <t>P/E (LTM)</t>
  </si>
  <si>
    <t>EV/EBITDA (LTM)</t>
  </si>
  <si>
    <t>Financial Ratios</t>
  </si>
  <si>
    <t>P/E (NTM)</t>
  </si>
  <si>
    <t>Sep '24</t>
  </si>
  <si>
    <t>Dec '24</t>
  </si>
  <si>
    <t>Mar '25</t>
  </si>
  <si>
    <t>Jun '25</t>
  </si>
  <si>
    <t>Sep '25</t>
  </si>
  <si>
    <t>Dec '25</t>
  </si>
  <si>
    <t>Mar '26E</t>
  </si>
  <si>
    <t>Jun '26E</t>
  </si>
  <si>
    <t>Sep '26E</t>
  </si>
  <si>
    <t>Dec '26E</t>
  </si>
  <si>
    <t>Mar '27E</t>
  </si>
  <si>
    <t xml:space="preserve">Q1  </t>
  </si>
  <si>
    <t xml:space="preserve">Q2  </t>
  </si>
  <si>
    <t xml:space="preserve">Q3  </t>
  </si>
  <si>
    <t xml:space="preserve">Q4  </t>
  </si>
  <si>
    <t>Quarterly Product Segments</t>
  </si>
  <si>
    <t>FY 25</t>
  </si>
  <si>
    <t>FY 26</t>
  </si>
  <si>
    <t>FY 27</t>
  </si>
  <si>
    <t>IRR</t>
  </si>
  <si>
    <t>Income Statement ($M)</t>
  </si>
  <si>
    <t>Gross Profit</t>
  </si>
  <si>
    <t>Research &amp; Development</t>
  </si>
  <si>
    <t>Operating Income (EBIT)</t>
  </si>
  <si>
    <t>Pre-Tax Income</t>
  </si>
  <si>
    <t>Tax Expense</t>
  </si>
  <si>
    <t>Net Income</t>
  </si>
  <si>
    <t>Cash Flow from Operations</t>
  </si>
  <si>
    <t>2031E</t>
  </si>
  <si>
    <t xml:space="preserve">  Tax Rate %</t>
  </si>
  <si>
    <t xml:space="preserve"> % of sales </t>
  </si>
  <si>
    <t>% growth</t>
  </si>
  <si>
    <t>D&amp;A</t>
  </si>
  <si>
    <t>Stock Based Compensation</t>
  </si>
  <si>
    <t>CapEx</t>
  </si>
  <si>
    <t>% of capex</t>
  </si>
  <si>
    <t>% of ocf</t>
  </si>
  <si>
    <t>Change in NWC</t>
  </si>
  <si>
    <t>% of changes in sales</t>
  </si>
  <si>
    <t>Present Value of FCF</t>
  </si>
  <si>
    <t>Strategic Investments</t>
  </si>
  <si>
    <t>EV/EBIT (LTM)</t>
  </si>
  <si>
    <t>Gordon Growth Method</t>
  </si>
  <si>
    <t>FCF Value</t>
  </si>
  <si>
    <t>Share Price</t>
  </si>
  <si>
    <t>10 Year DCF</t>
  </si>
  <si>
    <t>Free Cash Flow</t>
  </si>
  <si>
    <t>COGS</t>
  </si>
  <si>
    <t>Operating Cash Flow</t>
  </si>
  <si>
    <t>SG&amp;A</t>
  </si>
  <si>
    <t>Restructuring and Other Changes</t>
  </si>
  <si>
    <t>Gains on Equity Investments</t>
  </si>
  <si>
    <t>Interest Income</t>
  </si>
  <si>
    <t>Non Controlling Stake Income</t>
  </si>
  <si>
    <t>shares outstanding</t>
  </si>
  <si>
    <t>EPS</t>
  </si>
  <si>
    <t>EV/EBITDA (NTM)</t>
  </si>
  <si>
    <t>Per Share</t>
  </si>
  <si>
    <t>% change</t>
  </si>
  <si>
    <t>P/E</t>
  </si>
  <si>
    <t>P/EBIT</t>
  </si>
  <si>
    <t>P/EBITDA</t>
  </si>
  <si>
    <t>P/S</t>
  </si>
  <si>
    <t>P/FCF</t>
  </si>
  <si>
    <t>P/OCF</t>
  </si>
  <si>
    <t>Operating Income</t>
  </si>
  <si>
    <t>Operating Income by Segment</t>
  </si>
  <si>
    <t>External Foundry Revenue</t>
  </si>
  <si>
    <t>Levers</t>
  </si>
  <si>
    <t>Core Levers</t>
  </si>
  <si>
    <t>Ramp Weight</t>
  </si>
  <si>
    <t>Internal Product WSPM Need</t>
  </si>
  <si>
    <t>External Foundry Sold WSPM</t>
  </si>
  <si>
    <t>Excess / Shortfall WSPM</t>
  </si>
  <si>
    <t>EBITDA</t>
  </si>
  <si>
    <t>EV/EBITDA Multiple</t>
  </si>
  <si>
    <t>Probability Weighted</t>
  </si>
  <si>
    <t>Bear</t>
  </si>
  <si>
    <t>Base</t>
  </si>
  <si>
    <t>Bull</t>
  </si>
  <si>
    <t>Current</t>
  </si>
  <si>
    <t>Upside</t>
  </si>
  <si>
    <t>TGR</t>
  </si>
  <si>
    <t>AI CPU TAM</t>
  </si>
  <si>
    <t>Non-AI CPU TAM</t>
  </si>
  <si>
    <t>Foundry Capacity / Supply Build</t>
  </si>
  <si>
    <t>Usable Capacity</t>
  </si>
  <si>
    <t>Usable WSPM</t>
  </si>
  <si>
    <t>External Foundry Revenue Build</t>
  </si>
  <si>
    <t>Revenue / Wafer</t>
  </si>
  <si>
    <t>Core External Wafer Revenue</t>
  </si>
  <si>
    <t>EMIB / Packaging Revenue</t>
  </si>
  <si>
    <t>TeraFab Contribution</t>
  </si>
  <si>
    <t>Revenue Growth</t>
  </si>
  <si>
    <t>Gross Margin</t>
  </si>
  <si>
    <t>EBITDA Margin</t>
  </si>
  <si>
    <t>EBIT Margin</t>
  </si>
  <si>
    <t>Net Margin</t>
  </si>
  <si>
    <t>EPS Growth</t>
  </si>
  <si>
    <t>FCF Margin</t>
  </si>
  <si>
    <t>N/A</t>
  </si>
  <si>
    <t>CapEx % of Sales</t>
  </si>
  <si>
    <t>$ mm, except per share</t>
  </si>
  <si>
    <t>North America Rev Growth</t>
  </si>
  <si>
    <t>EMEA Rev Growth</t>
  </si>
  <si>
    <t>Latin America Rev Growth</t>
  </si>
  <si>
    <t>Asia Pacific Rev Growth</t>
  </si>
  <si>
    <t>Bottling Investments Rev Growth</t>
  </si>
  <si>
    <t>Corporate Revenue ($M)</t>
  </si>
  <si>
    <t>Eliminations % of Gross Rev</t>
  </si>
  <si>
    <t>Concentrate % of Revenue</t>
  </si>
  <si>
    <t>North America OI Margin</t>
  </si>
  <si>
    <t>EMEA OI Margin</t>
  </si>
  <si>
    <t>Latin America OI Margin</t>
  </si>
  <si>
    <t>Asia Pacific OI Margin</t>
  </si>
  <si>
    <t>Bottling Investments OI Margin</t>
  </si>
  <si>
    <t>Corporate Expense % of Rev</t>
  </si>
  <si>
    <t>Operating Segments ($M)</t>
  </si>
  <si>
    <t>Geographic Segments</t>
  </si>
  <si>
    <t>North America</t>
  </si>
  <si>
    <t>EMEA</t>
  </si>
  <si>
    <t>Latin America</t>
  </si>
  <si>
    <t>Asia Pacific</t>
  </si>
  <si>
    <t>Bottling Investments</t>
  </si>
  <si>
    <t>Corporate</t>
  </si>
  <si>
    <t>Eliminations</t>
  </si>
  <si>
    <t>% margin</t>
  </si>
  <si>
    <t>Corporate &amp; Unallocated</t>
  </si>
  <si>
    <t>% of total revenue</t>
  </si>
  <si>
    <t>Revenue Growth by Segment</t>
  </si>
  <si>
    <t>Other Segments</t>
  </si>
  <si>
    <t>Bottling Investments Growth</t>
  </si>
  <si>
    <t>Corporate &amp; Eliminations</t>
  </si>
  <si>
    <t>Revenue Mix</t>
  </si>
  <si>
    <t>Operating Margins by Segment</t>
  </si>
  <si>
    <t>Brand &amp; Category Build — Estimated Revenue Share</t>
  </si>
  <si>
    <t>Trademark Coca-Cola (incl. Coke Zero Sugar)</t>
  </si>
  <si>
    <t>Sparkling Flavors (Sprite, Fanta, etc.)</t>
  </si>
  <si>
    <t>Water, Sports, Coffee &amp; Tea (smartwater, BODYARMOR, Costa)</t>
  </si>
  <si>
    <t>Juice, Value-Added Dairy &amp; Plant (Minute Maid, fairlife)</t>
  </si>
  <si>
    <t>Total (must equal 100%)</t>
  </si>
  <si>
    <t>Estimated Revenue by Category ($M)</t>
  </si>
  <si>
    <t>Trademark Coca-Cola</t>
  </si>
  <si>
    <t>Water, Sports, Coffee &amp; Tea</t>
  </si>
  <si>
    <t>Juice, Value-Added Dairy &amp; Plant-Based</t>
  </si>
  <si>
    <t>memo: 33.8B unit cases sold in 2025; sparkling 69% / Trademark Coca-Cola 47% of volume</t>
  </si>
  <si>
    <t>Concentrate vs. Finished Products ($M)</t>
  </si>
  <si>
    <t>Concentrate Operations</t>
  </si>
  <si>
    <t>% of revenue</t>
  </si>
  <si>
    <t>Finished Products Operations</t>
  </si>
  <si>
    <t>Revenue Check (vs Main)</t>
  </si>
  <si>
    <t>Op Income Check (vs Main)</t>
  </si>
  <si>
    <t>Category Build Check (vs Revenue)</t>
  </si>
  <si>
    <t>Category Share Check (=100%)</t>
  </si>
  <si>
    <t>KO</t>
  </si>
  <si>
    <t>James Quincey</t>
  </si>
  <si>
    <t>Atlanta, Georgia</t>
  </si>
  <si>
    <t>Beverages (Non-Alcoholic)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</si>
</sst>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(* #,##0_);_(* \(#,##0\);_(* &quot;-&quot;_);_(@_)"/>
    <numFmt numFmtId="164" formatCode="&quot;$&quot;#,##0.00"/>
    <numFmt numFmtId="165" formatCode="&quot;$&quot;#,##0"/>
    <numFmt numFmtId="166" formatCode="0.0%"/>
    <numFmt numFmtId="167" formatCode="0.0%;\(0.0%\)"/>
    <numFmt numFmtId="168" formatCode="#,##0;\(#,##0\)"/>
    <numFmt numFmtId="169" formatCode="0.000"/>
    <numFmt numFmtId="170" formatCode="0.0&quot;x&quot;"/>
    <numFmt numFmtId="171" formatCode="#,##0;\(#,##0\);\-"/>
    <numFmt numFmtId="172" formatCode="0.0%;\(0.0%\);\-"/>
    <numFmt numFmtId="173" formatCode="0.00;\(0.00\)"/>
    <numFmt numFmtId="174" formatCode="#,##0.00;\(#,##0.00\)"/>
    <numFmt numFmtId="175" formatCode="0.00%;\(0.00%\)"/>
    <numFmt numFmtId="176" formatCode="#.00%;\(#.00%\)"/>
    <numFmt numFmtId="177" formatCode="#,##0.0"/>
    <numFmt numFmtId="178" formatCode="0.00&quot;x&quot;"/>
    <numFmt numFmtId="180" formatCode="0%;\(0%\);\-"/>
    <numFmt numFmtId="181" formatCode="#,##0.0%;\(0.0%\);\-"/>
    <numFmt numFmtId="182" formatCode="#,##0.00&quot;x&quot;;\(#,##0.00&quot;x&quot;\)"/>
  </numFmts>
  <fonts count="32" x14ac:knownFonts="1"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7" tint="-0.249977111117893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7" tint="-0.249977111117893"/>
      <name val="Calibri"/>
      <family val="2"/>
    </font>
    <font>
      <i/>
      <sz val="11"/>
      <color rgb="FF595959"/>
      <name val="calibri"/>
      <family val="2"/>
    </font>
    <font>
      <b/>
      <sz val="10"/>
      <color rgb="FFFFFFFF"/>
      <name val="calibri"/>
      <family val="2"/>
    </font>
    <font>
      <sz val="9"/>
      <color theme="1"/>
      <name val="calibri"/>
      <family val="2"/>
    </font>
    <font>
      <sz val="9"/>
      <color rgb="FF0000BF"/>
      <name val="calibri"/>
      <family val="2"/>
    </font>
    <font>
      <b/>
      <sz val="11"/>
      <color rgb="FFFFFFFF"/>
      <name val="calibri"/>
      <family val="2"/>
    </font>
    <font>
      <sz val="11"/>
      <color rgb="FF0000BF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b/>
      <i/>
      <sz val="11"/>
      <color theme="1"/>
      <name val="calibri"/>
      <family val="2"/>
    </font>
    <font>
      <sz val="12"/>
      <color theme="1"/>
      <name val="calibri"/>
      <family val="2"/>
    </font>
    <font>
      <sz val="8"/>
      <color theme="1"/>
      <name val="calibri"/>
      <family val="2"/>
    </font>
    <font>
      <sz val="11"/>
      <color rgb="FF7030A0"/>
      <name val="calibri"/>
      <family val="2"/>
    </font>
    <font>
      <i/>
      <sz val="11"/>
      <name val="calibri"/>
      <family val="2"/>
    </font>
    <font>
      <b/>
      <i/>
      <sz val="11"/>
      <color theme="4"/>
      <name val="calibri"/>
      <family val="2"/>
    </font>
    <font>
      <b/>
      <sz val="11"/>
      <color theme="4"/>
      <name val="calibri"/>
      <family val="2"/>
    </font>
    <font>
      <sz val="11"/>
      <color theme="5" tint="-0.249977111117893"/>
      <name val="calibri"/>
      <family val="2"/>
    </font>
    <font>
      <i/>
      <sz val="11"/>
      <color theme="0" tint="-0.499984740745262"/>
      <name val="calibri"/>
      <family val="2"/>
    </font>
    <font>
      <sz val="11"/>
      <color theme="0" tint="-0.499984740745262"/>
      <name val="calibri"/>
      <family val="2"/>
    </font>
    <font>
      <sz val="12"/>
      <color rgb="FF0000BF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i/>
      <sz val="11"/>
      <color rgb="FF80808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9" fillId="0" borderId="0" applyFont="0" applyFill="0" applyBorder="0" applyAlignment="0" applyProtection="0"/>
  </cellStyleXfs>
  <cellXfs count="181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3" fillId="0" borderId="0" xfId="0" applyFont="1"/>
    <xf numFmtId="0" fontId="4" fillId="0" borderId="0" xfId="0" applyFont="1"/>
    <xf numFmtId="0" fontId="1" fillId="0" borderId="1" xfId="0" applyFont="1" applyBorder="1"/>
    <xf numFmtId="164" fontId="5" fillId="0" borderId="0" xfId="0" applyNumberFormat="1" applyFont="1" applyAlignment="1">
      <alignment horizontal="right"/>
    </xf>
    <xf numFmtId="3" fontId="1" fillId="0" borderId="0" xfId="0" applyNumberFormat="1" applyFont="1"/>
    <xf numFmtId="3" fontId="1" fillId="0" borderId="1" xfId="0" applyNumberFormat="1" applyFont="1" applyBorder="1"/>
    <xf numFmtId="10" fontId="1" fillId="0" borderId="0" xfId="0" applyNumberFormat="1" applyFont="1"/>
    <xf numFmtId="10" fontId="4" fillId="0" borderId="0" xfId="0" applyNumberFormat="1" applyFont="1"/>
    <xf numFmtId="3" fontId="5" fillId="0" borderId="0" xfId="0" applyNumberFormat="1" applyFont="1"/>
    <xf numFmtId="0" fontId="3" fillId="0" borderId="1" xfId="0" applyFont="1" applyBorder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6" fillId="0" borderId="1" xfId="0" applyFont="1" applyBorder="1"/>
    <xf numFmtId="165" fontId="1" fillId="0" borderId="0" xfId="0" applyNumberFormat="1" applyFont="1" applyAlignment="1">
      <alignment horizontal="center" vertical="center"/>
    </xf>
    <xf numFmtId="0" fontId="7" fillId="0" borderId="0" xfId="0" applyFont="1"/>
    <xf numFmtId="0" fontId="1" fillId="3" borderId="0" xfId="0" applyFont="1" applyFill="1"/>
    <xf numFmtId="0" fontId="2" fillId="3" borderId="0" xfId="0" applyFont="1" applyFill="1"/>
    <xf numFmtId="0" fontId="2" fillId="3" borderId="0" xfId="0" applyFont="1" applyFill="1" applyAlignment="1">
      <alignment horizontal="right"/>
    </xf>
    <xf numFmtId="3" fontId="3" fillId="0" borderId="0" xfId="0" applyNumberFormat="1" applyFont="1"/>
    <xf numFmtId="4" fontId="1" fillId="0" borderId="0" xfId="0" applyNumberFormat="1" applyFont="1"/>
    <xf numFmtId="0" fontId="2" fillId="2" borderId="0" xfId="0" applyFont="1" applyFill="1" applyAlignment="1">
      <alignment horizontal="center"/>
    </xf>
    <xf numFmtId="0" fontId="9" fillId="0" borderId="0" xfId="0" applyFont="1"/>
    <xf numFmtId="166" fontId="9" fillId="0" borderId="0" xfId="0" applyNumberFormat="1" applyFont="1"/>
    <xf numFmtId="3" fontId="8" fillId="0" borderId="0" xfId="0" applyNumberFormat="1" applyFont="1"/>
    <xf numFmtId="167" fontId="9" fillId="0" borderId="0" xfId="0" applyNumberFormat="1" applyFont="1"/>
    <xf numFmtId="0" fontId="10" fillId="5" borderId="0" xfId="0" applyFont="1" applyFill="1"/>
    <xf numFmtId="0" fontId="11" fillId="0" borderId="0" xfId="0" applyFont="1"/>
    <xf numFmtId="0" fontId="11" fillId="0" borderId="0" xfId="0" applyFont="1" applyAlignment="1">
      <alignment horizontal="right"/>
    </xf>
    <xf numFmtId="3" fontId="12" fillId="0" borderId="0" xfId="0" applyNumberFormat="1" applyFont="1" applyAlignment="1">
      <alignment horizontal="right"/>
    </xf>
    <xf numFmtId="0" fontId="13" fillId="5" borderId="0" xfId="0" applyFont="1" applyFill="1"/>
    <xf numFmtId="0" fontId="13" fillId="5" borderId="0" xfId="0" applyFont="1" applyFill="1" applyAlignment="1">
      <alignment horizontal="right"/>
    </xf>
    <xf numFmtId="166" fontId="4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14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8" fontId="14" fillId="0" borderId="0" xfId="0" applyNumberFormat="1" applyFont="1" applyAlignment="1">
      <alignment horizontal="right"/>
    </xf>
    <xf numFmtId="166" fontId="11" fillId="0" borderId="0" xfId="0" applyNumberFormat="1" applyFont="1" applyAlignment="1">
      <alignment horizontal="right"/>
    </xf>
    <xf numFmtId="10" fontId="12" fillId="0" borderId="0" xfId="0" applyNumberFormat="1" applyFont="1" applyAlignment="1">
      <alignment horizontal="right"/>
    </xf>
    <xf numFmtId="166" fontId="12" fillId="0" borderId="0" xfId="0" applyNumberFormat="1" applyFont="1" applyAlignment="1">
      <alignment horizontal="right"/>
    </xf>
    <xf numFmtId="0" fontId="17" fillId="0" borderId="0" xfId="0" applyFont="1"/>
    <xf numFmtId="3" fontId="17" fillId="0" borderId="0" xfId="0" applyNumberFormat="1" applyFont="1" applyAlignment="1">
      <alignment horizontal="right"/>
    </xf>
    <xf numFmtId="171" fontId="15" fillId="0" borderId="0" xfId="0" applyNumberFormat="1" applyFont="1" applyAlignment="1">
      <alignment horizontal="right"/>
    </xf>
    <xf numFmtId="172" fontId="16" fillId="0" borderId="0" xfId="0" applyNumberFormat="1" applyFont="1" applyAlignment="1">
      <alignment horizontal="right"/>
    </xf>
    <xf numFmtId="171" fontId="14" fillId="0" borderId="0" xfId="0" applyNumberFormat="1" applyFont="1" applyAlignment="1">
      <alignment horizontal="right"/>
    </xf>
    <xf numFmtId="171" fontId="17" fillId="0" borderId="0" xfId="0" applyNumberFormat="1" applyFont="1" applyAlignment="1">
      <alignment horizontal="right"/>
    </xf>
    <xf numFmtId="171" fontId="17" fillId="0" borderId="0" xfId="0" applyNumberFormat="1" applyFont="1"/>
    <xf numFmtId="0" fontId="14" fillId="0" borderId="0" xfId="0" applyFont="1"/>
    <xf numFmtId="0" fontId="16" fillId="0" borderId="0" xfId="0" applyFont="1"/>
    <xf numFmtId="0" fontId="18" fillId="0" borderId="0" xfId="0" applyFont="1"/>
    <xf numFmtId="3" fontId="17" fillId="3" borderId="0" xfId="0" applyNumberFormat="1" applyFont="1" applyFill="1"/>
    <xf numFmtId="172" fontId="17" fillId="0" borderId="0" xfId="0" applyNumberFormat="1" applyFont="1" applyAlignment="1">
      <alignment horizontal="right"/>
    </xf>
    <xf numFmtId="14" fontId="1" fillId="0" borderId="0" xfId="0" applyNumberFormat="1" applyFont="1"/>
    <xf numFmtId="2" fontId="1" fillId="0" borderId="0" xfId="0" applyNumberFormat="1" applyFont="1"/>
    <xf numFmtId="169" fontId="1" fillId="0" borderId="0" xfId="0" applyNumberFormat="1" applyFont="1"/>
    <xf numFmtId="171" fontId="1" fillId="0" borderId="0" xfId="0" applyNumberFormat="1" applyFont="1"/>
    <xf numFmtId="164" fontId="1" fillId="0" borderId="0" xfId="0" applyNumberFormat="1" applyFont="1"/>
    <xf numFmtId="171" fontId="3" fillId="0" borderId="0" xfId="0" applyNumberFormat="1" applyFont="1"/>
    <xf numFmtId="164" fontId="3" fillId="0" borderId="0" xfId="0" applyNumberFormat="1" applyFont="1"/>
    <xf numFmtId="167" fontId="4" fillId="0" borderId="0" xfId="1" applyNumberFormat="1" applyFont="1"/>
    <xf numFmtId="168" fontId="1" fillId="0" borderId="0" xfId="0" applyNumberFormat="1" applyFont="1"/>
    <xf numFmtId="168" fontId="1" fillId="3" borderId="0" xfId="0" applyNumberFormat="1" applyFont="1" applyFill="1"/>
    <xf numFmtId="168" fontId="1" fillId="3" borderId="1" xfId="0" applyNumberFormat="1" applyFont="1" applyFill="1" applyBorder="1"/>
    <xf numFmtId="164" fontId="7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13" fillId="0" borderId="0" xfId="0" applyFont="1"/>
    <xf numFmtId="0" fontId="1" fillId="3" borderId="0" xfId="0" applyFont="1" applyFill="1" applyAlignment="1">
      <alignment horizontal="center"/>
    </xf>
    <xf numFmtId="3" fontId="21" fillId="0" borderId="0" xfId="0" applyNumberFormat="1" applyFont="1"/>
    <xf numFmtId="3" fontId="7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right"/>
    </xf>
    <xf numFmtId="39" fontId="7" fillId="0" borderId="0" xfId="0" applyNumberFormat="1" applyFont="1" applyAlignment="1">
      <alignment horizontal="right"/>
    </xf>
    <xf numFmtId="173" fontId="1" fillId="0" borderId="0" xfId="0" applyNumberFormat="1" applyFont="1"/>
    <xf numFmtId="39" fontId="1" fillId="0" borderId="0" xfId="0" applyNumberFormat="1" applyFont="1"/>
    <xf numFmtId="174" fontId="1" fillId="0" borderId="0" xfId="0" applyNumberFormat="1" applyFont="1"/>
    <xf numFmtId="175" fontId="4" fillId="0" borderId="0" xfId="1" applyNumberFormat="1" applyFont="1"/>
    <xf numFmtId="41" fontId="1" fillId="0" borderId="0" xfId="0" applyNumberFormat="1" applyFont="1"/>
    <xf numFmtId="176" fontId="1" fillId="0" borderId="0" xfId="0" applyNumberFormat="1" applyFont="1" applyAlignment="1">
      <alignment horizontal="center" vertical="center"/>
    </xf>
    <xf numFmtId="0" fontId="1" fillId="4" borderId="0" xfId="0" applyFont="1" applyFill="1"/>
    <xf numFmtId="0" fontId="3" fillId="4" borderId="0" xfId="0" applyFont="1" applyFill="1"/>
    <xf numFmtId="3" fontId="1" fillId="4" borderId="0" xfId="0" applyNumberFormat="1" applyFont="1" applyFill="1"/>
    <xf numFmtId="168" fontId="1" fillId="4" borderId="0" xfId="0" applyNumberFormat="1" applyFont="1" applyFill="1"/>
    <xf numFmtId="172" fontId="1" fillId="0" borderId="0" xfId="0" applyNumberFormat="1" applyFont="1"/>
    <xf numFmtId="3" fontId="3" fillId="4" borderId="0" xfId="0" applyNumberFormat="1" applyFont="1" applyFill="1"/>
    <xf numFmtId="171" fontId="1" fillId="4" borderId="0" xfId="0" applyNumberFormat="1" applyFont="1" applyFill="1"/>
    <xf numFmtId="0" fontId="17" fillId="8" borderId="0" xfId="0" applyFont="1" applyFill="1"/>
    <xf numFmtId="0" fontId="1" fillId="8" borderId="0" xfId="0" applyFont="1" applyFill="1"/>
    <xf numFmtId="3" fontId="17" fillId="0" borderId="0" xfId="0" applyNumberFormat="1" applyFont="1"/>
    <xf numFmtId="3" fontId="17" fillId="8" borderId="0" xfId="0" applyNumberFormat="1" applyFont="1" applyFill="1"/>
    <xf numFmtId="171" fontId="17" fillId="8" borderId="0" xfId="0" applyNumberFormat="1" applyFont="1" applyFill="1"/>
    <xf numFmtId="177" fontId="17" fillId="0" borderId="0" xfId="0" applyNumberFormat="1" applyFont="1" applyAlignment="1">
      <alignment horizontal="right"/>
    </xf>
    <xf numFmtId="0" fontId="1" fillId="5" borderId="0" xfId="0" applyFont="1" applyFill="1"/>
    <xf numFmtId="168" fontId="17" fillId="8" borderId="0" xfId="0" applyNumberFormat="1" applyFont="1" applyFill="1"/>
    <xf numFmtId="3" fontId="15" fillId="8" borderId="0" xfId="0" applyNumberFormat="1" applyFont="1" applyFill="1"/>
    <xf numFmtId="0" fontId="17" fillId="0" borderId="0" xfId="0" applyFont="1" applyAlignment="1">
      <alignment horizontal="center"/>
    </xf>
    <xf numFmtId="171" fontId="17" fillId="4" borderId="0" xfId="0" applyNumberFormat="1" applyFont="1" applyFill="1"/>
    <xf numFmtId="172" fontId="17" fillId="0" borderId="0" xfId="0" applyNumberFormat="1" applyFont="1"/>
    <xf numFmtId="0" fontId="3" fillId="5" borderId="0" xfId="0" applyFont="1" applyFill="1"/>
    <xf numFmtId="0" fontId="15" fillId="8" borderId="0" xfId="0" applyFont="1" applyFill="1"/>
    <xf numFmtId="178" fontId="17" fillId="0" borderId="0" xfId="0" applyNumberFormat="1" applyFont="1" applyAlignment="1">
      <alignment horizontal="right"/>
    </xf>
    <xf numFmtId="0" fontId="13" fillId="5" borderId="0" xfId="0" applyFont="1" applyFill="1" applyAlignment="1">
      <alignment horizontal="center"/>
    </xf>
    <xf numFmtId="171" fontId="9" fillId="0" borderId="0" xfId="0" applyNumberFormat="1" applyFont="1" applyAlignment="1">
      <alignment horizontal="right"/>
    </xf>
    <xf numFmtId="3" fontId="9" fillId="0" borderId="0" xfId="0" applyNumberFormat="1" applyFont="1" applyAlignment="1">
      <alignment horizontal="right"/>
    </xf>
    <xf numFmtId="172" fontId="15" fillId="5" borderId="0" xfId="0" applyNumberFormat="1" applyFont="1" applyFill="1" applyAlignment="1">
      <alignment horizontal="right"/>
    </xf>
    <xf numFmtId="172" fontId="13" fillId="5" borderId="0" xfId="0" applyNumberFormat="1" applyFont="1" applyFill="1" applyAlignment="1">
      <alignment horizontal="right"/>
    </xf>
    <xf numFmtId="0" fontId="17" fillId="6" borderId="0" xfId="0" applyFont="1" applyFill="1" applyAlignment="1">
      <alignment horizontal="left"/>
    </xf>
    <xf numFmtId="172" fontId="17" fillId="6" borderId="0" xfId="0" applyNumberFormat="1" applyFont="1" applyFill="1" applyAlignment="1">
      <alignment horizontal="right"/>
    </xf>
    <xf numFmtId="3" fontId="17" fillId="6" borderId="0" xfId="0" applyNumberFormat="1" applyFont="1" applyFill="1" applyAlignment="1">
      <alignment horizontal="right"/>
    </xf>
    <xf numFmtId="0" fontId="17" fillId="6" borderId="0" xfId="0" applyFont="1" applyFill="1" applyAlignment="1">
      <alignment horizontal="right"/>
    </xf>
    <xf numFmtId="171" fontId="15" fillId="8" borderId="0" xfId="0" applyNumberFormat="1" applyFont="1" applyFill="1" applyAlignment="1">
      <alignment horizontal="right"/>
    </xf>
    <xf numFmtId="0" fontId="16" fillId="6" borderId="0" xfId="0" applyFont="1" applyFill="1" applyAlignment="1">
      <alignment horizontal="left"/>
    </xf>
    <xf numFmtId="0" fontId="15" fillId="8" borderId="0" xfId="0" applyFont="1" applyFill="1" applyAlignment="1">
      <alignment horizontal="left"/>
    </xf>
    <xf numFmtId="3" fontId="7" fillId="9" borderId="3" xfId="0" applyNumberFormat="1" applyFont="1" applyFill="1" applyBorder="1" applyAlignment="1">
      <alignment horizontal="right"/>
    </xf>
    <xf numFmtId="9" fontId="22" fillId="9" borderId="3" xfId="0" applyNumberFormat="1" applyFont="1" applyFill="1" applyBorder="1" applyAlignment="1">
      <alignment horizontal="right"/>
    </xf>
    <xf numFmtId="166" fontId="17" fillId="6" borderId="0" xfId="0" applyNumberFormat="1" applyFont="1" applyFill="1" applyAlignment="1">
      <alignment horizontal="right"/>
    </xf>
    <xf numFmtId="0" fontId="23" fillId="0" borderId="0" xfId="0" applyFont="1"/>
    <xf numFmtId="180" fontId="7" fillId="9" borderId="3" xfId="0" applyNumberFormat="1" applyFont="1" applyFill="1" applyBorder="1" applyAlignment="1">
      <alignment horizontal="right"/>
    </xf>
    <xf numFmtId="3" fontId="21" fillId="0" borderId="0" xfId="0" applyNumberFormat="1" applyFont="1" applyAlignment="1">
      <alignment horizontal="right"/>
    </xf>
    <xf numFmtId="172" fontId="17" fillId="7" borderId="3" xfId="0" applyNumberFormat="1" applyFont="1" applyFill="1" applyBorder="1" applyAlignment="1">
      <alignment horizontal="right"/>
    </xf>
    <xf numFmtId="3" fontId="17" fillId="7" borderId="3" xfId="0" applyNumberFormat="1" applyFont="1" applyFill="1" applyBorder="1" applyAlignment="1">
      <alignment horizontal="right"/>
    </xf>
    <xf numFmtId="0" fontId="15" fillId="0" borderId="2" xfId="0" applyFont="1" applyBorder="1"/>
    <xf numFmtId="0" fontId="1" fillId="0" borderId="2" xfId="0" applyFont="1" applyBorder="1"/>
    <xf numFmtId="177" fontId="17" fillId="0" borderId="2" xfId="0" applyNumberFormat="1" applyFont="1" applyBorder="1" applyAlignment="1">
      <alignment horizontal="right"/>
    </xf>
    <xf numFmtId="0" fontId="15" fillId="0" borderId="4" xfId="0" applyFont="1" applyBorder="1"/>
    <xf numFmtId="0" fontId="1" fillId="0" borderId="4" xfId="0" applyFont="1" applyBorder="1"/>
    <xf numFmtId="0" fontId="15" fillId="0" borderId="1" xfId="0" applyFont="1" applyBorder="1"/>
    <xf numFmtId="181" fontId="16" fillId="0" borderId="0" xfId="0" applyNumberFormat="1" applyFont="1" applyAlignment="1">
      <alignment horizontal="right"/>
    </xf>
    <xf numFmtId="0" fontId="24" fillId="0" borderId="0" xfId="0" applyFont="1"/>
    <xf numFmtId="182" fontId="1" fillId="0" borderId="0" xfId="0" applyNumberFormat="1" applyFont="1"/>
    <xf numFmtId="182" fontId="1" fillId="4" borderId="0" xfId="0" applyNumberFormat="1" applyFont="1" applyFill="1"/>
    <xf numFmtId="168" fontId="5" fillId="4" borderId="0" xfId="0" applyNumberFormat="1" applyFont="1" applyFill="1"/>
    <xf numFmtId="171" fontId="5" fillId="0" borderId="0" xfId="0" applyNumberFormat="1" applyFont="1"/>
    <xf numFmtId="171" fontId="21" fillId="0" borderId="0" xfId="0" applyNumberFormat="1" applyFont="1"/>
    <xf numFmtId="3" fontId="25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 vertical="center"/>
    </xf>
    <xf numFmtId="9" fontId="1" fillId="0" borderId="0" xfId="0" applyNumberFormat="1" applyFont="1"/>
    <xf numFmtId="16" fontId="1" fillId="0" borderId="1" xfId="0" applyNumberFormat="1" applyFont="1" applyBorder="1"/>
    <xf numFmtId="165" fontId="1" fillId="0" borderId="0" xfId="0" applyNumberFormat="1" applyFont="1"/>
    <xf numFmtId="170" fontId="1" fillId="0" borderId="0" xfId="0" applyNumberFormat="1" applyFont="1" applyAlignment="1">
      <alignment horizontal="right"/>
    </xf>
    <xf numFmtId="10" fontId="1" fillId="0" borderId="0" xfId="0" applyNumberFormat="1" applyFont="1" applyAlignment="1">
      <alignment horizontal="right"/>
    </xf>
    <xf numFmtId="166" fontId="1" fillId="0" borderId="0" xfId="0" applyNumberFormat="1" applyFont="1"/>
    <xf numFmtId="0" fontId="1" fillId="0" borderId="5" xfId="0" applyFont="1" applyBorder="1"/>
    <xf numFmtId="3" fontId="1" fillId="0" borderId="6" xfId="0" applyNumberFormat="1" applyFont="1" applyBorder="1"/>
    <xf numFmtId="3" fontId="1" fillId="3" borderId="0" xfId="0" applyNumberFormat="1" applyFont="1" applyFill="1"/>
    <xf numFmtId="3" fontId="1" fillId="3" borderId="6" xfId="0" applyNumberFormat="1" applyFont="1" applyFill="1" applyBorder="1"/>
    <xf numFmtId="0" fontId="1" fillId="0" borderId="0" xfId="0" applyFont="1" applyAlignment="1">
      <alignment horizontal="left"/>
    </xf>
    <xf numFmtId="0" fontId="26" fillId="0" borderId="0" xfId="0" applyFont="1" applyAlignment="1">
      <alignment horizontal="left" indent="1"/>
    </xf>
    <xf numFmtId="0" fontId="27" fillId="0" borderId="0" xfId="0" applyFont="1"/>
    <xf numFmtId="172" fontId="26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3" fontId="1" fillId="0" borderId="0" xfId="0" applyNumberFormat="1" applyFont="1" applyAlignment="1">
      <alignment horizontal="center"/>
    </xf>
    <xf numFmtId="164" fontId="28" fillId="0" borderId="0" xfId="0" applyNumberFormat="1" applyFont="1"/>
    <xf numFmtId="172" fontId="7" fillId="9" borderId="3" xfId="0" applyNumberFormat="1" applyFont="1" applyFill="1" applyBorder="1" applyAlignment="1">
      <alignment horizontal="right"/>
    </xf>
    <xf numFmtId="3" fontId="14" fillId="0" borderId="0" xfId="0" applyNumberFormat="1" applyFont="1"/>
    <xf numFmtId="3" fontId="14" fillId="4" borderId="0" xfId="0" applyNumberFormat="1" applyFont="1" applyFill="1"/>
    <xf numFmtId="168" fontId="14" fillId="0" borderId="0" xfId="0" applyNumberFormat="1" applyFont="1"/>
    <xf numFmtId="171" fontId="14" fillId="4" borderId="0" xfId="0" applyNumberFormat="1" applyFont="1" applyFill="1"/>
    <xf numFmtId="168" fontId="14" fillId="4" borderId="0" xfId="0" applyNumberFormat="1" applyFont="1" applyFill="1"/>
    <xf numFmtId="172" fontId="4" fillId="0" borderId="0" xfId="0" applyNumberFormat="1" applyFont="1" applyAlignment="1">
      <alignment horizontal="center"/>
    </xf>
    <xf numFmtId="172" fontId="17" fillId="9" borderId="3" xfId="0" applyNumberFormat="1" applyFont="1" applyFill="1" applyBorder="1" applyAlignment="1">
      <alignment horizontal="right"/>
    </xf>
    <xf numFmtId="172" fontId="17" fillId="9" borderId="0" xfId="0" applyNumberFormat="1" applyFont="1" applyFill="1" applyAlignment="1">
      <alignment horizontal="right"/>
    </xf>
    <xf numFmtId="172" fontId="1" fillId="9" borderId="0" xfId="0" applyNumberFormat="1" applyFont="1" applyFill="1"/>
    <xf numFmtId="172" fontId="17" fillId="0" borderId="0" xfId="0" applyNumberFormat="1" applyFont="1" applyFill="1" applyAlignment="1">
      <alignment horizontal="right"/>
    </xf>
    <xf numFmtId="172" fontId="17" fillId="0" borderId="3" xfId="0" applyNumberFormat="1" applyFont="1" applyFill="1" applyBorder="1" applyAlignment="1">
      <alignment horizontal="right"/>
    </xf>
    <xf numFmtId="3" fontId="17" fillId="0" borderId="0" xfId="0" applyNumberFormat="1" applyFont="1" applyFill="1" applyAlignment="1">
      <alignment horizontal="right"/>
    </xf>
    <xf numFmtId="172" fontId="1" fillId="9" borderId="2" xfId="0" applyNumberFormat="1" applyFont="1" applyFill="1" applyBorder="1"/>
    <xf numFmtId="172" fontId="17" fillId="9" borderId="2" xfId="0" applyNumberFormat="1" applyFont="1" applyFill="1" applyBorder="1" applyAlignment="1">
      <alignment horizontal="right"/>
    </xf>
    <xf numFmtId="172" fontId="17" fillId="0" borderId="2" xfId="0" applyNumberFormat="1" applyFont="1" applyBorder="1" applyAlignment="1">
      <alignment horizontal="right"/>
    </xf>
    <xf numFmtId="172" fontId="3" fillId="0" borderId="2" xfId="0" applyNumberFormat="1" applyFont="1" applyBorder="1"/>
    <xf numFmtId="3" fontId="1" fillId="0" borderId="4" xfId="0" applyNumberFormat="1" applyFont="1" applyBorder="1"/>
    <xf numFmtId="3" fontId="3" fillId="8" borderId="0" xfId="0" applyNumberFormat="1" applyFont="1" applyFill="1"/>
    <xf numFmtId="0" fontId="31" fillId="0" borderId="0" xfId="0" applyFont="1"/>
    <xf numFmtId="172" fontId="4" fillId="0" borderId="0" xfId="0" applyNumberFormat="1" applyFont="1"/>
    <xf numFmtId="171" fontId="17" fillId="6" borderId="0" xfId="0" applyNumberFormat="1" applyFont="1" applyFill="1" applyAlignment="1">
      <alignment horizontal="right"/>
    </xf>
    <xf numFmtId="1" fontId="1" fillId="0" borderId="0" xfId="0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666666"/>
      <color rgb="FFF2F4F7"/>
      <color rgb="FFF0F0F0"/>
      <color rgb="FF00AEEF"/>
      <color rgb="FF00C7FD"/>
      <color rgb="FF0068B5"/>
      <color rgb="FFDDDDDD"/>
      <color rgb="FFC9D5E3"/>
      <color rgb="FFBFC9D4"/>
      <color rgb="FFD7EA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222222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Server</a:t>
            </a:r>
            <a:r>
              <a:rPr lang="en-US" baseline="0"/>
              <a:t> CPU TAM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222222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Traditional</c:v>
          </c:tx>
          <c:spPr>
            <a:solidFill>
              <a:srgbClr val="0068B5"/>
            </a:solidFill>
            <a:ln>
              <a:noFill/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Segments!$AB$184:$AG$184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Segments!$AB$185:$AG$185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CA-44E9-A0A0-6DD1B48E40F5}"/>
            </c:ext>
          </c:extLst>
        </c:ser>
        <c:ser>
          <c:idx val="1"/>
          <c:order val="1"/>
          <c:tx>
            <c:v>AI</c:v>
          </c:tx>
          <c:spPr>
            <a:solidFill>
              <a:srgbClr val="00AEEF"/>
            </a:solidFill>
            <a:ln>
              <a:noFill/>
              <a:prstDash val="solid"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ADCA-44E9-A0A0-6DD1B48E40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Segments!$AB$184:$AG$184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Segments!$AB$186:$AG$186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CA-44E9-A0A0-6DD1B48E4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51499663"/>
        <c:axId val="351497263"/>
      </c:barChart>
      <c:lineChart>
        <c:grouping val="standard"/>
        <c:varyColors val="0"/>
        <c:ser>
          <c:idx val="2"/>
          <c:order val="2"/>
          <c:tx>
            <c:strRef>
              <c:f>Segments!$AA$187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FFFFF">
                  <a:alpha val="0"/>
                </a:srgb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Segments!$AB$187:$AG$187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CA-44E9-A0A0-6DD1B48E4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1499663"/>
        <c:axId val="351497263"/>
      </c:lineChart>
      <c:catAx>
        <c:axId val="35149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>
              <a:alpha val="0"/>
            </a:schemeClr>
          </a:solidFill>
          <a:ln w="9525" cap="flat" cmpd="sng" algn="ctr">
            <a:solidFill>
              <a:srgbClr val="DDDDDD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40404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497263"/>
        <c:crosses val="autoZero"/>
        <c:auto val="1"/>
        <c:lblAlgn val="ctr"/>
        <c:lblOffset val="100"/>
        <c:noMultiLvlLbl val="0"/>
      </c:catAx>
      <c:valAx>
        <c:axId val="351497263"/>
        <c:scaling>
          <c:orientation val="minMax"/>
        </c:scaling>
        <c:delete val="0"/>
        <c:axPos val="l"/>
        <c:numFmt formatCode="&quot;$&quot;#,##0&quot;B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40404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499663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t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rgbClr val="40404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23584</xdr:colOff>
      <xdr:row>0</xdr:row>
      <xdr:rowOff>99060</xdr:rowOff>
    </xdr:from>
    <xdr:to>
      <xdr:col>2</xdr:col>
      <xdr:colOff>594359</xdr:colOff>
      <xdr:row>2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45C85A-4F3D-1EF5-4A5E-E384B7158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524" y="99060"/>
          <a:ext cx="1233715" cy="388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72887</xdr:colOff>
      <xdr:row>0</xdr:row>
      <xdr:rowOff>66261</xdr:rowOff>
    </xdr:from>
    <xdr:to>
      <xdr:col>2</xdr:col>
      <xdr:colOff>510871</xdr:colOff>
      <xdr:row>2</xdr:row>
      <xdr:rowOff>127753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34D19F-579A-49D6-BFAF-D4F601D4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809" y="66261"/>
          <a:ext cx="1100592" cy="4325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337668</xdr:colOff>
      <xdr:row>180</xdr:row>
      <xdr:rowOff>167638</xdr:rowOff>
    </xdr:from>
    <xdr:to>
      <xdr:col>20</xdr:col>
      <xdr:colOff>190499</xdr:colOff>
      <xdr:row>197</xdr:row>
      <xdr:rowOff>99060</xdr:rowOff>
    </xdr:to>
    <xdr:graphicFrame macro="">
      <xdr:nvGraphicFramePr>
        <xdr:cNvPr id="8" name="CPU TAM Base Split Chart">
          <a:extLst>
            <a:ext uri="{FF2B5EF4-FFF2-40B4-BE49-F238E27FC236}">
              <a16:creationId xmlns:a16="http://schemas.microsoft.com/office/drawing/2014/main" id="{AC28B102-EAFA-DA45-3EB6-B0CADAF849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Finance">
      <a:dk1>
        <a:sysClr val="windowText" lastClr="000000"/>
      </a:dk1>
      <a:lt1>
        <a:sysClr val="window" lastClr="FFFFFF"/>
      </a:lt1>
      <a:dk2>
        <a:srgbClr val="1F497D"/>
      </a:dk2>
      <a:lt2>
        <a:srgbClr val="D9D9D9"/>
      </a:lt2>
      <a:accent1>
        <a:srgbClr val="0066CC"/>
      </a:accent1>
      <a:accent2>
        <a:srgbClr val="00B050"/>
      </a:accent2>
      <a:accent3>
        <a:srgbClr val="E6E6E6"/>
      </a:accent3>
      <a:accent4>
        <a:srgbClr val="0000FF"/>
      </a:accent4>
      <a:accent5>
        <a:srgbClr val="4472C4"/>
      </a:accent5>
      <a:accent6>
        <a:srgbClr val="FFF2CC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9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EF9E150-0837-48A7-9315-EFD32F36373C}">
  <we:reference id="wa200009404" version="1.0.0.5" store="en-US" storeType="OMEX"/>
  <we:alternateReferences>
    <we:reference id="wa200009404" version="1.0.0.5" store="" storeType="OMEX"/>
  </we:alternateReferences>
  <we:properties>
    <we:property name="claude.fileId" value="&quot;2598d38c-ee10-4d71-9eee-6c5baddc58a5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4469EE86-32CD-4EC1-8F4B-4FD319E98C1C}">
  <we:reference id="wa200010215" version="1.0.0.0" store="en-US" storeType="OMEX"/>
  <we:alternateReferences>
    <we:reference id="WA200010215" version="1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6BA9-FD26-46A5-A630-9D65D6C233D8}">
  <dimension ref="A2:AJ232"/>
  <sheetViews>
    <sheetView showGridLines="0" zoomScaleNormal="100" workbookViewId="0">
      <selection activeCell="L28" sqref="L28"/>
    </sheetView>
  </sheetViews>
  <sheetFormatPr defaultColWidth="8.69921875" defaultRowHeight="14.4" customHeight="1" x14ac:dyDescent="0.3"/>
  <cols>
    <col min="1" max="1" width="3.69921875" style="1" customWidth="1"/>
    <col min="2" max="37" width="8.69921875" style="1" customWidth="1"/>
    <col min="38" max="16384" width="8.69921875" style="1"/>
  </cols>
  <sheetData>
    <row r="2" spans="1:36" ht="14.4" customHeight="1" x14ac:dyDescent="0.3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 r="3" spans="1:36" ht="14.4" customHeight="1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spans="1:36" ht="14.4" customHeight="1" x14ac:dyDescent="0.3">
      <c r="A4" s="68" t="s">
        <v>40</v>
      </c>
      <c r="B4" s="29" t="s">
        <v>30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155" t="s">
        <v>90</v>
      </c>
      <c r="X4" s="155"/>
      <c r="Y4" s="3">
        <v>2032</v>
      </c>
      <c r="Z4" s="3">
        <f>Y4+1</f>
        <v>2033</v>
      </c>
      <c r="AA4" s="3">
        <f t="shared" ref="AA4:AC4" si="0">Z4+1</f>
        <v>2034</v>
      </c>
      <c r="AB4" s="3">
        <f t="shared" si="0"/>
        <v>2035</v>
      </c>
      <c r="AC4" s="3">
        <f t="shared" si="0"/>
        <v>2036</v>
      </c>
      <c r="AD4" s="8"/>
      <c r="AE4" s="30"/>
      <c r="AF4" s="30"/>
    </row>
    <row r="5" spans="1:36" s="19" customFormat="1" ht="1.95" customHeight="1" x14ac:dyDescent="0.3">
      <c r="B5" s="20"/>
      <c r="C5" s="20"/>
      <c r="D5" s="20"/>
      <c r="E5" s="20"/>
      <c r="F5" s="20"/>
      <c r="G5" s="20"/>
      <c r="H5" s="20"/>
      <c r="I5" s="20"/>
      <c r="J5" s="20"/>
      <c r="K5" s="20"/>
      <c r="L5" s="21"/>
      <c r="M5" s="21"/>
      <c r="N5" s="21"/>
      <c r="O5" s="21"/>
      <c r="P5" s="21"/>
    </row>
    <row r="6" spans="1:36" ht="14.4" customHeight="1" x14ac:dyDescent="0.3">
      <c r="B6" s="13" t="s">
        <v>31</v>
      </c>
      <c r="C6" s="6"/>
      <c r="D6" s="6"/>
      <c r="E6" s="6"/>
      <c r="G6" s="13" t="s">
        <v>32</v>
      </c>
      <c r="H6" s="6"/>
      <c r="I6" s="6"/>
      <c r="J6" s="6"/>
      <c r="K6" s="6"/>
      <c r="M6" s="16" t="s">
        <v>23</v>
      </c>
      <c r="N6" s="16"/>
      <c r="O6" s="16"/>
      <c r="P6" s="6"/>
      <c r="R6" s="16" t="s">
        <v>22</v>
      </c>
      <c r="S6" s="16"/>
      <c r="T6" s="16"/>
      <c r="U6" s="6"/>
      <c r="V6"/>
      <c r="W6" s="1" t="s">
        <v>9</v>
      </c>
      <c r="Y6" s="8">
        <f>P96*1.11</f>
        <v>66138.778083757774</v>
      </c>
      <c r="Z6" s="8">
        <f>Y6*1.1</f>
        <v>72752.655892133553</v>
      </c>
      <c r="AA6" s="8">
        <f>Z6*1.09</f>
        <v>79300.394922425578</v>
      </c>
      <c r="AB6" s="8">
        <f>AA6*1.08</f>
        <v>85644.426516219624</v>
      </c>
      <c r="AC6" s="8">
        <f>AB6*1.07</f>
        <v>91639.536372354996</v>
      </c>
      <c r="AD6" s="8"/>
      <c r="AE6" s="30"/>
      <c r="AF6" s="30"/>
      <c r="AG6" s="30"/>
      <c r="AH6" s="30"/>
      <c r="AI6" s="30"/>
      <c r="AJ6" s="30"/>
    </row>
    <row r="7" spans="1:36" s="19" customFormat="1" ht="14.4" customHeight="1" x14ac:dyDescent="0.3">
      <c r="A7" s="1"/>
      <c r="B7" s="1" t="s">
        <v>0</v>
      </c>
      <c r="C7" s="1"/>
      <c r="D7" s="1"/>
      <c r="E7" s="14" t="s">
        <v>199</v>
      </c>
      <c r="F7" s="1"/>
      <c r="G7" s="1" t="s">
        <v>33</v>
      </c>
      <c r="H7" s="1"/>
      <c r="I7" s="156">
        <v>65900</v>
      </c>
      <c r="J7" s="156"/>
      <c r="K7" s="156"/>
      <c r="L7" s="1"/>
      <c r="M7" s="1" t="s">
        <v>24</v>
      </c>
      <c r="N7" s="1"/>
      <c r="O7" s="1"/>
      <c r="P7" s="8">
        <f>SUM(K108:P108)</f>
        <v>64295.284071987437</v>
      </c>
      <c r="Q7" s="1"/>
      <c r="R7" s="1" t="s">
        <v>20</v>
      </c>
      <c r="S7" s="1"/>
      <c r="T7" s="1"/>
      <c r="U7" s="10">
        <v>0.105</v>
      </c>
      <c r="V7"/>
      <c r="W7" s="1" t="s">
        <v>76</v>
      </c>
      <c r="X7" s="1"/>
      <c r="Y7" s="11">
        <v>9.5000000000000001E-2</v>
      </c>
      <c r="Z7" s="11">
        <v>0.09</v>
      </c>
      <c r="AA7" s="11">
        <v>8.5000000000000006E-2</v>
      </c>
      <c r="AB7" s="11">
        <f t="shared" ref="AB7:AC7" si="1">(AB6-AA6)/AA6</f>
        <v>0.08</v>
      </c>
      <c r="AC7" s="11">
        <f t="shared" si="1"/>
        <v>6.9999999999999979E-2</v>
      </c>
      <c r="AD7" s="11"/>
      <c r="AE7" s="30"/>
      <c r="AF7" s="30"/>
      <c r="AG7" s="30"/>
      <c r="AH7" s="30"/>
      <c r="AI7" s="30"/>
      <c r="AJ7" s="30"/>
    </row>
    <row r="8" spans="1:36" ht="14.4" customHeight="1" x14ac:dyDescent="0.3">
      <c r="B8" s="1" t="s">
        <v>1</v>
      </c>
      <c r="E8" s="17">
        <f>AVERAGE((P13/P12),(T23))</f>
        <v>45.546840370753856</v>
      </c>
      <c r="G8" s="1" t="s">
        <v>34</v>
      </c>
      <c r="I8" s="180">
        <v>1886</v>
      </c>
      <c r="J8" s="152"/>
      <c r="K8" s="152"/>
      <c r="M8" s="1" t="s">
        <v>25</v>
      </c>
      <c r="P8" s="8">
        <f>(P49*U8)</f>
        <v>312074.25382320356</v>
      </c>
      <c r="R8" s="1" t="s">
        <v>120</v>
      </c>
      <c r="U8" s="18">
        <v>12</v>
      </c>
      <c r="V8"/>
      <c r="W8" s="19"/>
      <c r="X8" s="19"/>
      <c r="AE8" s="30"/>
      <c r="AF8" s="30"/>
      <c r="AG8" s="30"/>
      <c r="AH8" s="30"/>
      <c r="AI8" s="30"/>
      <c r="AJ8" s="30"/>
    </row>
    <row r="9" spans="1:36" ht="14.4" customHeight="1" x14ac:dyDescent="0.3">
      <c r="B9" s="1" t="s">
        <v>2</v>
      </c>
      <c r="E9" s="17">
        <f>Extras!N3</f>
        <v>82.63</v>
      </c>
      <c r="G9" s="1" t="s">
        <v>35</v>
      </c>
      <c r="I9" s="152" t="s">
        <v>200</v>
      </c>
      <c r="J9" s="153"/>
      <c r="K9" s="153"/>
      <c r="M9" s="1" t="s">
        <v>29</v>
      </c>
      <c r="P9" s="8">
        <f>-(PV(U7,(DATE(2031,12,31)-$E$12)/365,0,P8))</f>
        <v>180574.49849306338</v>
      </c>
      <c r="R9" s="1" t="s">
        <v>127</v>
      </c>
      <c r="U9" s="10">
        <v>0.03</v>
      </c>
      <c r="V9"/>
      <c r="AE9" s="30"/>
      <c r="AF9" s="30"/>
      <c r="AG9" s="30"/>
      <c r="AH9" s="30"/>
      <c r="AI9" s="30"/>
      <c r="AJ9" s="30"/>
    </row>
    <row r="10" spans="1:36" ht="14.4" customHeight="1" x14ac:dyDescent="0.3">
      <c r="B10" s="1" t="s">
        <v>3</v>
      </c>
      <c r="E10" s="80">
        <f>E8/E9-1</f>
        <v>-0.44878566657686247</v>
      </c>
      <c r="G10" s="1" t="s">
        <v>36</v>
      </c>
      <c r="I10" s="153" t="s">
        <v>201</v>
      </c>
      <c r="J10" s="153"/>
      <c r="K10" s="153"/>
      <c r="M10" s="1" t="s">
        <v>19</v>
      </c>
      <c r="P10" s="64">
        <f>-32789+43027+2004</f>
        <v>12242</v>
      </c>
      <c r="V10"/>
      <c r="W10" s="1" t="s">
        <v>91</v>
      </c>
      <c r="Y10" s="8">
        <f>Y6*0.22</f>
        <v>14550.531178426711</v>
      </c>
      <c r="Z10" s="8">
        <f>Z6*0.23</f>
        <v>16733.110855190716</v>
      </c>
      <c r="AA10" s="8">
        <f>AA6*0.24</f>
        <v>19032.094781382137</v>
      </c>
      <c r="AB10" s="8">
        <f>AB6*0.25</f>
        <v>21411.106629054906</v>
      </c>
      <c r="AC10" s="8">
        <f>AC6*0.25</f>
        <v>22909.884093088749</v>
      </c>
      <c r="AD10" s="8"/>
      <c r="AE10" s="30"/>
      <c r="AF10" s="30"/>
      <c r="AG10" s="30"/>
      <c r="AH10" s="30"/>
      <c r="AI10" s="30"/>
      <c r="AJ10" s="30"/>
    </row>
    <row r="11" spans="1:36" ht="14.4" customHeight="1" x14ac:dyDescent="0.3">
      <c r="B11" s="1" t="s">
        <v>64</v>
      </c>
      <c r="E11" s="80">
        <f>(K17/E9)^(1/2)-1</f>
        <v>-0.21723471239312808</v>
      </c>
      <c r="G11" s="1" t="s">
        <v>37</v>
      </c>
      <c r="I11" s="153" t="s">
        <v>202</v>
      </c>
      <c r="J11" s="153"/>
      <c r="K11" s="153"/>
      <c r="M11" s="1" t="s">
        <v>85</v>
      </c>
      <c r="P11" s="8">
        <f>6000+4300</f>
        <v>10300</v>
      </c>
      <c r="R11" s="154"/>
      <c r="S11" s="154"/>
      <c r="T11" s="154"/>
      <c r="U11" s="154"/>
      <c r="V11"/>
      <c r="W11" s="5" t="s">
        <v>10</v>
      </c>
      <c r="Y11" s="11">
        <f>P106+0.003</f>
        <v>0.26438938641301868</v>
      </c>
      <c r="Z11" s="11">
        <f>Y11+0.0004</f>
        <v>0.26478938641301869</v>
      </c>
      <c r="AA11" s="11">
        <f>Z11</f>
        <v>0.26478938641301869</v>
      </c>
      <c r="AB11" s="11">
        <f t="shared" ref="AB11:AC11" si="2">AA11+0.0004</f>
        <v>0.2651893864130187</v>
      </c>
      <c r="AC11" s="11">
        <f t="shared" si="2"/>
        <v>0.26558938641301871</v>
      </c>
      <c r="AD11" s="11"/>
      <c r="AE11" s="30"/>
      <c r="AF11" s="30"/>
      <c r="AG11" s="30"/>
      <c r="AH11" s="30"/>
      <c r="AI11" s="30"/>
      <c r="AJ11" s="30"/>
    </row>
    <row r="12" spans="1:36" ht="14.4" customHeight="1" x14ac:dyDescent="0.3">
      <c r="B12" s="1" t="s">
        <v>39</v>
      </c>
      <c r="E12" s="15">
        <f>DATE(2026,7,10)</f>
        <v>46213</v>
      </c>
      <c r="G12" s="1" t="s">
        <v>38</v>
      </c>
      <c r="I12" s="152">
        <v>46387</v>
      </c>
      <c r="J12" s="152"/>
      <c r="K12" s="152"/>
      <c r="M12" s="6" t="s">
        <v>26</v>
      </c>
      <c r="N12" s="6"/>
      <c r="O12" s="6"/>
      <c r="P12" s="9">
        <v>5026</v>
      </c>
      <c r="V12"/>
      <c r="AE12" s="30"/>
      <c r="AF12" s="30"/>
      <c r="AG12" s="30"/>
      <c r="AH12" s="30"/>
      <c r="AI12" s="30"/>
      <c r="AJ12" s="30"/>
    </row>
    <row r="13" spans="1:36" ht="14.4" customHeight="1" x14ac:dyDescent="0.3">
      <c r="I13" s="10"/>
      <c r="M13" s="1" t="s">
        <v>27</v>
      </c>
      <c r="P13" s="8">
        <f>P9+P7-P10+P11</f>
        <v>242927.78256505082</v>
      </c>
      <c r="R13" s="1" t="s">
        <v>89</v>
      </c>
      <c r="U13" s="17">
        <f>P13/P12</f>
        <v>48.334218576412816</v>
      </c>
      <c r="V13"/>
      <c r="W13" s="1" t="s">
        <v>84</v>
      </c>
      <c r="Y13" s="8">
        <f>Y10/(1+$U$7)^((DATE(2032,7,1)-$E$12)/365)</f>
        <v>8008.2345599076725</v>
      </c>
      <c r="Z13" s="8">
        <f>Z10/(1+$U$7)^((DATE(2033,7,1)-$E$12)/365)</f>
        <v>8334.3617591799302</v>
      </c>
      <c r="AA13" s="8">
        <f>AA10/(1+$U$7)^((DATE(2034,7,1)-$E$12)/365)</f>
        <v>8578.6702191676941</v>
      </c>
      <c r="AB13" s="8">
        <f>AB10/(1+$U$7)^((DATE(2035,7,1)-$E$12)/365)</f>
        <v>8733.9402683834014</v>
      </c>
      <c r="AC13" s="8">
        <f>AC10/(1+$U$7)^((DATE(2036,7,1)-$E$12)/365)</f>
        <v>8454.9864580988451</v>
      </c>
      <c r="AD13" s="8"/>
      <c r="AE13" s="30"/>
      <c r="AF13" s="30"/>
      <c r="AG13" s="30"/>
      <c r="AH13" s="30"/>
      <c r="AI13" s="30"/>
      <c r="AJ13" s="30"/>
    </row>
    <row r="14" spans="1:36" ht="14.4" customHeight="1" x14ac:dyDescent="0.3">
      <c r="V14"/>
      <c r="AE14" s="30"/>
      <c r="AF14" s="30"/>
      <c r="AG14" s="30"/>
      <c r="AH14" s="30"/>
      <c r="AI14" s="30"/>
      <c r="AJ14" s="30"/>
    </row>
    <row r="15" spans="1:36" ht="14.4" customHeight="1" x14ac:dyDescent="0.3">
      <c r="A15" s="14" t="s">
        <v>40</v>
      </c>
      <c r="B15" s="2" t="s">
        <v>13</v>
      </c>
      <c r="C15" s="2"/>
      <c r="D15" s="2"/>
      <c r="E15" s="2">
        <v>2021</v>
      </c>
      <c r="F15" s="2">
        <f>E15+1</f>
        <v>2022</v>
      </c>
      <c r="G15" s="2">
        <f>F15+1</f>
        <v>2023</v>
      </c>
      <c r="H15" s="2">
        <f>G15+1</f>
        <v>2024</v>
      </c>
      <c r="I15" s="2">
        <f>H15+1</f>
        <v>2025</v>
      </c>
      <c r="J15" s="3" t="s">
        <v>4</v>
      </c>
      <c r="K15" s="3" t="s">
        <v>5</v>
      </c>
      <c r="M15" s="16" t="s">
        <v>43</v>
      </c>
      <c r="N15" s="16"/>
      <c r="O15" s="16"/>
      <c r="P15" s="6"/>
      <c r="R15" s="13" t="s">
        <v>87</v>
      </c>
      <c r="S15" s="6"/>
      <c r="T15" s="6"/>
      <c r="V15"/>
      <c r="W15" s="13" t="s">
        <v>121</v>
      </c>
      <c r="X15" s="6"/>
      <c r="Y15" s="6"/>
      <c r="Z15" s="139">
        <v>46165</v>
      </c>
      <c r="AE15" s="30"/>
      <c r="AF15" s="30"/>
      <c r="AG15" s="30"/>
      <c r="AH15" s="30"/>
      <c r="AI15" s="30"/>
      <c r="AJ15" s="30"/>
    </row>
    <row r="16" spans="1:36" s="19" customFormat="1" ht="1.95" customHeight="1" x14ac:dyDescent="0.3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1"/>
      <c r="M16" s="1" t="s">
        <v>24</v>
      </c>
      <c r="N16" s="1"/>
      <c r="O16" s="1"/>
      <c r="P16" s="8">
        <f>SUM(J111:N111)</f>
        <v>0</v>
      </c>
      <c r="U16" s="8"/>
      <c r="AE16" s="30"/>
      <c r="AF16" s="30"/>
      <c r="AG16" s="30"/>
      <c r="AH16" s="30"/>
      <c r="AI16" s="30"/>
      <c r="AJ16" s="30"/>
    </row>
    <row r="17" spans="1:36" ht="14.4" customHeight="1" x14ac:dyDescent="0.3">
      <c r="A17" s="19"/>
      <c r="B17" s="1" t="s">
        <v>14</v>
      </c>
      <c r="E17" s="7">
        <v>59.21</v>
      </c>
      <c r="F17" s="7">
        <v>63.61</v>
      </c>
      <c r="G17" s="7">
        <v>58.93</v>
      </c>
      <c r="H17" s="7">
        <v>62.26</v>
      </c>
      <c r="I17" s="7">
        <v>82.63</v>
      </c>
      <c r="J17" s="67">
        <f>AVERAGE($U$13*(1+$U$7)-K105/J18,$T$23*(1+$U$7)-K105/J18)</f>
        <v>48.001118941402694</v>
      </c>
      <c r="K17" s="67">
        <f>AVERAGE($U$13*(1+$U$7)^2-(K105/J18)*(1+$U$7)-L105/K18,$T$23*(1+$U$7)^2-(K105/J18)*(1+$U$7)-L105/K18)</f>
        <v>50.62917717169988</v>
      </c>
      <c r="M17" s="1" t="s">
        <v>15</v>
      </c>
      <c r="P17" s="8">
        <f>E9*P12</f>
        <v>415298.38</v>
      </c>
      <c r="Q17" s="19"/>
      <c r="R17" s="1" t="s">
        <v>88</v>
      </c>
      <c r="T17" s="8">
        <f>SUM(K108:P108)+SUM((Y13:AC13))</f>
        <v>106405.47733672499</v>
      </c>
      <c r="U17" s="10"/>
      <c r="V17"/>
      <c r="W17" s="1" t="s">
        <v>122</v>
      </c>
      <c r="X17" s="137">
        <v>63</v>
      </c>
      <c r="Y17" s="138">
        <v>0.2</v>
      </c>
      <c r="Z17" s="137">
        <v>58</v>
      </c>
      <c r="AE17" s="30"/>
      <c r="AF17" s="30"/>
      <c r="AG17" s="30"/>
      <c r="AH17" s="30"/>
      <c r="AI17" s="30"/>
      <c r="AJ17" s="30"/>
    </row>
    <row r="18" spans="1:36" ht="14.4" customHeight="1" x14ac:dyDescent="0.3">
      <c r="B18" s="1" t="s">
        <v>99</v>
      </c>
      <c r="E18" s="12">
        <v>4340</v>
      </c>
      <c r="F18" s="12">
        <v>4350</v>
      </c>
      <c r="G18" s="12">
        <v>4339</v>
      </c>
      <c r="H18" s="12">
        <v>4320</v>
      </c>
      <c r="I18" s="12">
        <v>4313</v>
      </c>
      <c r="J18" s="8">
        <f>K70</f>
        <v>5237</v>
      </c>
      <c r="K18" s="8">
        <f>L70</f>
        <v>5446.4800000000005</v>
      </c>
      <c r="M18" s="1" t="s">
        <v>18</v>
      </c>
      <c r="P18" s="8">
        <f>P17+P10</f>
        <v>427540.38</v>
      </c>
      <c r="R18" s="1" t="s">
        <v>25</v>
      </c>
      <c r="T18" s="8">
        <f>(AC10*(1+U9)/($U$7-U9))/(1+$U$7)^((DATE(2036,12,31)-$E$12)/365)</f>
        <v>110445.57950504197</v>
      </c>
      <c r="U18" s="10"/>
      <c r="V18"/>
      <c r="W18" s="1" t="s">
        <v>123</v>
      </c>
      <c r="X18" s="137">
        <v>103</v>
      </c>
      <c r="Y18" s="138">
        <v>0.55000000000000004</v>
      </c>
      <c r="Z18" s="137">
        <v>93</v>
      </c>
      <c r="AE18"/>
      <c r="AF18" s="30"/>
      <c r="AG18" s="30"/>
      <c r="AH18" s="30"/>
      <c r="AI18" s="31"/>
    </row>
    <row r="19" spans="1:36" s="19" customFormat="1" ht="14.4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 t="s">
        <v>41</v>
      </c>
      <c r="N19" s="1"/>
      <c r="O19" s="1"/>
      <c r="P19" s="77">
        <f>$P$17/J67</f>
        <v>-1555.4246441947566</v>
      </c>
      <c r="Q19" s="1"/>
      <c r="R19" s="1" t="s">
        <v>19</v>
      </c>
      <c r="T19" s="65">
        <f>P10</f>
        <v>12242</v>
      </c>
      <c r="U19" s="10"/>
      <c r="V19"/>
      <c r="W19" s="19" t="s">
        <v>124</v>
      </c>
      <c r="X19" s="137">
        <v>273</v>
      </c>
      <c r="Y19" s="138">
        <v>0.25</v>
      </c>
      <c r="Z19" s="137">
        <v>248</v>
      </c>
      <c r="AE19"/>
      <c r="AF19" s="30"/>
      <c r="AG19" s="30"/>
      <c r="AH19" s="30"/>
      <c r="AI19" s="32"/>
    </row>
    <row r="20" spans="1:36" ht="14.4" customHeight="1" x14ac:dyDescent="0.3">
      <c r="B20" s="1" t="s">
        <v>15</v>
      </c>
      <c r="E20" s="8">
        <f>E18*E17</f>
        <v>256971.4</v>
      </c>
      <c r="F20" s="8">
        <f>F18*F17</f>
        <v>276703.5</v>
      </c>
      <c r="G20" s="8">
        <f>G18*G17</f>
        <v>255697.27</v>
      </c>
      <c r="H20" s="8">
        <f>H18*H17</f>
        <v>268963.20000000001</v>
      </c>
      <c r="I20" s="8">
        <f>I18*I17</f>
        <v>356383.19</v>
      </c>
      <c r="J20" s="8">
        <f>J17*J18</f>
        <v>251381.85989612591</v>
      </c>
      <c r="K20" s="8">
        <f>K17*K18</f>
        <v>275750.80088211998</v>
      </c>
      <c r="M20" s="1" t="s">
        <v>44</v>
      </c>
      <c r="P20" s="23">
        <f>$P$17/K67</f>
        <v>31.504116847348179</v>
      </c>
      <c r="R20" s="6" t="s">
        <v>85</v>
      </c>
      <c r="S20" s="6"/>
      <c r="T20" s="66">
        <f>P11</f>
        <v>10300</v>
      </c>
      <c r="V20"/>
      <c r="AE20"/>
      <c r="AF20" s="30"/>
      <c r="AG20" s="30"/>
      <c r="AH20" s="30"/>
      <c r="AI20" s="41"/>
    </row>
    <row r="21" spans="1:36" ht="14.4" customHeight="1" x14ac:dyDescent="0.3">
      <c r="B21" s="1" t="s">
        <v>16</v>
      </c>
      <c r="E21" s="12">
        <v>9684</v>
      </c>
      <c r="F21" s="12">
        <v>9519</v>
      </c>
      <c r="G21" s="12">
        <v>9366</v>
      </c>
      <c r="H21" s="12">
        <v>10828</v>
      </c>
      <c r="I21" s="12">
        <v>10270</v>
      </c>
      <c r="J21" s="8">
        <v>13820</v>
      </c>
      <c r="K21" s="8">
        <v>14000</v>
      </c>
      <c r="M21" s="1" t="s">
        <v>42</v>
      </c>
      <c r="P21" s="23">
        <f>P18/(J46+J78)</f>
        <v>45.042180783817955</v>
      </c>
      <c r="R21" s="1" t="s">
        <v>21</v>
      </c>
      <c r="T21" s="8">
        <f>T17+T18-T19+T20</f>
        <v>214909.05684176696</v>
      </c>
      <c r="U21" s="19"/>
      <c r="V21"/>
      <c r="W21" s="1" t="s">
        <v>21</v>
      </c>
      <c r="X21" s="137">
        <f>SUMPRODUCT(X17:X19,Y17:Y19)</f>
        <v>137.5</v>
      </c>
      <c r="Z21" s="137">
        <f>SUMPRODUCT(Z17:Z19,Y17:Y19)</f>
        <v>124.75</v>
      </c>
      <c r="AE21"/>
      <c r="AF21" s="30"/>
      <c r="AG21" s="30"/>
      <c r="AH21" s="30"/>
      <c r="AI21" s="42"/>
    </row>
    <row r="22" spans="1:36" ht="14.4" customHeight="1" x14ac:dyDescent="0.3">
      <c r="B22" s="6" t="s">
        <v>17</v>
      </c>
      <c r="C22" s="6"/>
      <c r="D22" s="6"/>
      <c r="E22" s="9">
        <v>42761</v>
      </c>
      <c r="F22" s="9">
        <v>39149</v>
      </c>
      <c r="G22" s="9">
        <v>43065</v>
      </c>
      <c r="H22" s="9">
        <v>45445</v>
      </c>
      <c r="I22" s="9">
        <v>46893</v>
      </c>
      <c r="J22" s="9">
        <v>43890</v>
      </c>
      <c r="K22" s="9">
        <f>J22*1.01</f>
        <v>44328.9</v>
      </c>
      <c r="M22" s="1" t="s">
        <v>101</v>
      </c>
      <c r="P22" s="23">
        <f>P18/(K46+K78)</f>
        <v>17.3225159865307</v>
      </c>
      <c r="U22" s="10"/>
      <c r="V22"/>
      <c r="W22" s="1" t="s">
        <v>125</v>
      </c>
      <c r="X22" s="140">
        <f>E9</f>
        <v>82.63</v>
      </c>
      <c r="AE22"/>
      <c r="AF22" s="30"/>
      <c r="AG22" s="30"/>
      <c r="AH22" s="30"/>
      <c r="AI22" s="43"/>
    </row>
    <row r="23" spans="1:36" ht="14.4" customHeight="1" x14ac:dyDescent="0.3">
      <c r="B23" s="1" t="s">
        <v>18</v>
      </c>
      <c r="E23" s="8">
        <f t="shared" ref="E23:I23" si="3">E20-E21+E22</f>
        <v>290048.40000000002</v>
      </c>
      <c r="F23" s="8">
        <f t="shared" si="3"/>
        <v>306333.5</v>
      </c>
      <c r="G23" s="8">
        <f t="shared" si="3"/>
        <v>289396.27</v>
      </c>
      <c r="H23" s="8">
        <f t="shared" si="3"/>
        <v>303580.2</v>
      </c>
      <c r="I23" s="8">
        <f t="shared" si="3"/>
        <v>393006.19</v>
      </c>
      <c r="J23" s="8">
        <f>J20-J21+J22</f>
        <v>281451.85989612591</v>
      </c>
      <c r="K23" s="8">
        <f t="shared" ref="K23" si="4">K20-K21+K22</f>
        <v>306079.70088212</v>
      </c>
      <c r="M23" s="1" t="s">
        <v>86</v>
      </c>
      <c r="P23" s="77">
        <f>P18/J46</f>
        <v>-193.10766937669376</v>
      </c>
      <c r="R23" s="1" t="s">
        <v>89</v>
      </c>
      <c r="T23" s="17">
        <f>T21/P12</f>
        <v>42.759462165094895</v>
      </c>
      <c r="U23" s="8"/>
      <c r="W23" s="1" t="s">
        <v>126</v>
      </c>
      <c r="X23" s="10">
        <f>(X21-X22)/X22</f>
        <v>0.66404453588285139</v>
      </c>
      <c r="Y23" s="51"/>
      <c r="AD23" s="141"/>
      <c r="AI23" s="142"/>
    </row>
    <row r="24" spans="1:36" ht="14.4" customHeight="1" x14ac:dyDescent="0.3">
      <c r="P24" s="23"/>
      <c r="U24" s="10"/>
      <c r="AD24" s="141"/>
      <c r="AI24" s="36"/>
    </row>
    <row r="25" spans="1:36" ht="14.4" customHeight="1" x14ac:dyDescent="0.3">
      <c r="T25" s="37"/>
      <c r="U25" s="37"/>
    </row>
    <row r="26" spans="1:36" ht="14.4" customHeight="1" x14ac:dyDescent="0.3">
      <c r="A26" s="14" t="s">
        <v>40</v>
      </c>
      <c r="B26" s="33" t="s">
        <v>65</v>
      </c>
      <c r="C26" s="33"/>
      <c r="D26" s="33"/>
      <c r="E26" s="33">
        <v>2020</v>
      </c>
      <c r="F26" s="33">
        <v>2021</v>
      </c>
      <c r="G26" s="33">
        <v>2022</v>
      </c>
      <c r="H26" s="33">
        <v>2023</v>
      </c>
      <c r="I26" s="33">
        <v>2024</v>
      </c>
      <c r="J26" s="33">
        <v>2025</v>
      </c>
      <c r="K26" s="34" t="s">
        <v>4</v>
      </c>
      <c r="L26" s="34" t="s">
        <v>5</v>
      </c>
      <c r="M26" s="34" t="s">
        <v>6</v>
      </c>
      <c r="N26" s="34" t="s">
        <v>7</v>
      </c>
      <c r="O26" s="34" t="s">
        <v>8</v>
      </c>
      <c r="P26" s="34" t="s">
        <v>73</v>
      </c>
      <c r="R26" s="29" t="s">
        <v>147</v>
      </c>
      <c r="S26" s="33"/>
      <c r="T26" s="33"/>
      <c r="U26" s="34" t="s">
        <v>4</v>
      </c>
      <c r="V26" s="34" t="s">
        <v>5</v>
      </c>
      <c r="W26" s="34" t="s">
        <v>6</v>
      </c>
      <c r="X26" s="34" t="s">
        <v>7</v>
      </c>
      <c r="Y26" s="34" t="s">
        <v>8</v>
      </c>
      <c r="Z26" s="34" t="s">
        <v>73</v>
      </c>
    </row>
    <row r="27" spans="1:36" s="19" customFormat="1" ht="1.95" customHeight="1" x14ac:dyDescent="0.3">
      <c r="B27" s="20"/>
      <c r="C27" s="20"/>
      <c r="D27" s="20"/>
      <c r="E27" s="20"/>
      <c r="F27" s="20"/>
      <c r="G27" s="20"/>
      <c r="H27" s="20"/>
      <c r="I27" s="20"/>
      <c r="J27" s="20"/>
      <c r="K27" s="21"/>
      <c r="L27" s="21"/>
      <c r="M27" s="21"/>
      <c r="N27" s="21"/>
      <c r="O27" s="21"/>
    </row>
    <row r="28" spans="1:36" ht="14.4" customHeight="1" x14ac:dyDescent="0.3">
      <c r="B28" s="1" t="s">
        <v>9</v>
      </c>
      <c r="E28" s="12">
        <v>77867</v>
      </c>
      <c r="F28" s="12">
        <v>79024</v>
      </c>
      <c r="G28" s="12">
        <v>63054</v>
      </c>
      <c r="H28" s="12">
        <v>54228</v>
      </c>
      <c r="I28" s="12">
        <v>53101</v>
      </c>
      <c r="J28" s="12">
        <v>52853</v>
      </c>
      <c r="K28" s="136">
        <f>Segments!I20</f>
        <v>49345.106200000002</v>
      </c>
      <c r="L28" s="136">
        <f>Segments!J20</f>
        <v>51057.966278218759</v>
      </c>
      <c r="M28" s="136">
        <f>Segments!K20</f>
        <v>52991.002807589663</v>
      </c>
      <c r="N28" s="136">
        <f>Segments!L20</f>
        <v>55084.738091714193</v>
      </c>
      <c r="O28" s="136">
        <f>Segments!M20</f>
        <v>57285.186535943823</v>
      </c>
      <c r="P28" s="136">
        <f>Segments!N20</f>
        <v>59584.484760142135</v>
      </c>
      <c r="R28" s="1" t="str">
        <f>B28</f>
        <v>Revenue</v>
      </c>
      <c r="S28" s="8"/>
      <c r="U28" s="8">
        <f t="shared" ref="U28:Z28" si="5">K28</f>
        <v>49345.106200000002</v>
      </c>
      <c r="V28" s="8">
        <f t="shared" si="5"/>
        <v>51057.966278218759</v>
      </c>
      <c r="W28" s="8">
        <f t="shared" si="5"/>
        <v>52991.002807589663</v>
      </c>
      <c r="X28" s="8">
        <f t="shared" si="5"/>
        <v>55084.738091714193</v>
      </c>
      <c r="Y28" s="8">
        <f t="shared" si="5"/>
        <v>57285.186535943823</v>
      </c>
      <c r="Z28" s="8">
        <f t="shared" si="5"/>
        <v>59584.484760142135</v>
      </c>
    </row>
    <row r="29" spans="1:36" ht="14.4" customHeight="1" x14ac:dyDescent="0.3">
      <c r="B29" s="5" t="s">
        <v>76</v>
      </c>
      <c r="C29" s="5"/>
      <c r="D29" s="5"/>
      <c r="F29" s="47">
        <f>(F28-E28)/E28</f>
        <v>1.4858669269395251E-2</v>
      </c>
      <c r="G29" s="47">
        <f t="shared" ref="G29:P29" si="6">(G28-F28)/F28</f>
        <v>-0.20209050415063778</v>
      </c>
      <c r="H29" s="47">
        <f t="shared" si="6"/>
        <v>-0.13997525930155105</v>
      </c>
      <c r="I29" s="47">
        <f t="shared" si="6"/>
        <v>-2.0782621523935976E-2</v>
      </c>
      <c r="J29" s="47">
        <f t="shared" si="6"/>
        <v>-4.6703451912393362E-3</v>
      </c>
      <c r="K29" s="47">
        <f t="shared" si="6"/>
        <v>-6.6370760410951093E-2</v>
      </c>
      <c r="L29" s="47">
        <f t="shared" si="6"/>
        <v>3.4711853112168532E-2</v>
      </c>
      <c r="M29" s="47">
        <f t="shared" si="6"/>
        <v>3.7859646011704426E-2</v>
      </c>
      <c r="N29" s="47">
        <f t="shared" si="6"/>
        <v>3.9511146670065542E-2</v>
      </c>
      <c r="O29" s="47">
        <f t="shared" si="6"/>
        <v>3.9946608088904038E-2</v>
      </c>
      <c r="P29" s="47">
        <f t="shared" si="6"/>
        <v>4.0137745257329445E-2</v>
      </c>
      <c r="R29" s="149" t="s">
        <v>138</v>
      </c>
      <c r="S29" s="150"/>
      <c r="T29" s="150"/>
      <c r="U29" s="151">
        <f>K29</f>
        <v>-6.6370760410951093E-2</v>
      </c>
      <c r="V29" s="151">
        <f t="shared" ref="V29:Z29" si="7">L29</f>
        <v>3.4711853112168532E-2</v>
      </c>
      <c r="W29" s="151">
        <f t="shared" si="7"/>
        <v>3.7859646011704426E-2</v>
      </c>
      <c r="X29" s="151">
        <f t="shared" si="7"/>
        <v>3.9511146670065542E-2</v>
      </c>
      <c r="Y29" s="151">
        <f t="shared" si="7"/>
        <v>3.9946608088904038E-2</v>
      </c>
      <c r="Z29" s="151">
        <f t="shared" si="7"/>
        <v>4.0137745257329445E-2</v>
      </c>
    </row>
    <row r="30" spans="1:36" ht="14.4" customHeight="1" x14ac:dyDescent="0.3">
      <c r="E30" s="36"/>
      <c r="F30" s="36"/>
      <c r="G30" s="36"/>
      <c r="H30" s="36"/>
      <c r="I30" s="36"/>
      <c r="J30" s="36"/>
      <c r="K30" s="36"/>
      <c r="L30" s="36"/>
      <c r="M30" s="36"/>
      <c r="R30" s="148" t="str">
        <f>B34</f>
        <v>Gross Profit</v>
      </c>
      <c r="S30" s="75"/>
      <c r="U30" s="8">
        <f>K34</f>
        <v>18751.140356</v>
      </c>
      <c r="V30" s="8">
        <f t="shared" ref="V30:Z30" si="8">L34</f>
        <v>21189.056005460785</v>
      </c>
      <c r="W30" s="8">
        <f t="shared" si="8"/>
        <v>25170.726333605089</v>
      </c>
      <c r="X30" s="8">
        <f t="shared" si="8"/>
        <v>28093.216426774237</v>
      </c>
      <c r="Y30" s="8">
        <f t="shared" si="8"/>
        <v>30647.574796729943</v>
      </c>
      <c r="Z30" s="8">
        <f t="shared" si="8"/>
        <v>32771.466618078179</v>
      </c>
    </row>
    <row r="31" spans="1:36" ht="14.4" customHeight="1" x14ac:dyDescent="0.3">
      <c r="B31" s="1" t="s">
        <v>92</v>
      </c>
      <c r="E31" s="38">
        <v>34255</v>
      </c>
      <c r="F31" s="38">
        <v>35209</v>
      </c>
      <c r="G31" s="38">
        <v>36188</v>
      </c>
      <c r="H31" s="38">
        <v>32517</v>
      </c>
      <c r="I31" s="38">
        <v>35756</v>
      </c>
      <c r="J31" s="38">
        <v>34478</v>
      </c>
      <c r="K31" s="45">
        <f>K28*0.62</f>
        <v>30593.965844000002</v>
      </c>
      <c r="L31" s="45">
        <f>L28*0.585</f>
        <v>29868.910272757974</v>
      </c>
      <c r="M31" s="45">
        <f>M28*0.525</f>
        <v>27820.276473984573</v>
      </c>
      <c r="N31" s="45">
        <f>N28*0.49</f>
        <v>26991.521664939955</v>
      </c>
      <c r="O31" s="45">
        <f>O28*0.465</f>
        <v>26637.61173921388</v>
      </c>
      <c r="P31" s="45">
        <f>P28*0.45</f>
        <v>26813.01814206396</v>
      </c>
      <c r="R31" s="149" t="s">
        <v>139</v>
      </c>
      <c r="S31" s="150"/>
      <c r="T31" s="150"/>
      <c r="U31" s="151">
        <f>K35</f>
        <v>0.38</v>
      </c>
      <c r="V31" s="151">
        <f t="shared" ref="V31:Z31" si="9">L35</f>
        <v>0.41499999999999998</v>
      </c>
      <c r="W31" s="151">
        <f t="shared" si="9"/>
        <v>0.47499999999999998</v>
      </c>
      <c r="X31" s="151">
        <f t="shared" si="9"/>
        <v>0.51</v>
      </c>
      <c r="Y31" s="151">
        <f t="shared" si="9"/>
        <v>0.53499999999999992</v>
      </c>
      <c r="Z31" s="151">
        <f t="shared" si="9"/>
        <v>0.55000000000000004</v>
      </c>
    </row>
    <row r="32" spans="1:36" ht="14.4" customHeight="1" x14ac:dyDescent="0.3">
      <c r="B32" s="5" t="s">
        <v>10</v>
      </c>
      <c r="C32" s="5"/>
      <c r="D32" s="5"/>
      <c r="E32" s="35">
        <f t="shared" ref="E32:P32" si="10">E31/E28</f>
        <v>0.43991678117816274</v>
      </c>
      <c r="F32" s="35">
        <f t="shared" si="10"/>
        <v>0.4455481878922859</v>
      </c>
      <c r="G32" s="35">
        <f t="shared" si="10"/>
        <v>0.57392076632727507</v>
      </c>
      <c r="H32" s="35">
        <f t="shared" si="10"/>
        <v>0.59963487497233903</v>
      </c>
      <c r="I32" s="35">
        <f t="shared" si="10"/>
        <v>0.67335831716916816</v>
      </c>
      <c r="J32" s="35">
        <f t="shared" si="10"/>
        <v>0.65233761565095638</v>
      </c>
      <c r="K32" s="35">
        <f t="shared" si="10"/>
        <v>0.62</v>
      </c>
      <c r="L32" s="35">
        <f t="shared" si="10"/>
        <v>0.58499999999999996</v>
      </c>
      <c r="M32" s="35">
        <f t="shared" si="10"/>
        <v>0.52500000000000002</v>
      </c>
      <c r="N32" s="35">
        <f t="shared" si="10"/>
        <v>0.49</v>
      </c>
      <c r="O32" s="35">
        <f t="shared" si="10"/>
        <v>0.46500000000000002</v>
      </c>
      <c r="P32" s="35">
        <f t="shared" si="10"/>
        <v>0.45</v>
      </c>
      <c r="R32" s="148" t="s">
        <v>119</v>
      </c>
      <c r="S32" s="75"/>
      <c r="U32" s="8">
        <f>K49</f>
        <v>24681.194136720002</v>
      </c>
      <c r="V32" s="8">
        <f t="shared" ref="V32:Z32" si="11">L49</f>
        <v>25251.70101391838</v>
      </c>
      <c r="W32" s="8">
        <f t="shared" si="11"/>
        <v>25295.196978736691</v>
      </c>
      <c r="X32" s="8">
        <f t="shared" si="11"/>
        <v>24973.248394957187</v>
      </c>
      <c r="Y32" s="8">
        <f t="shared" si="11"/>
        <v>25521.724858927882</v>
      </c>
      <c r="Z32" s="8">
        <f t="shared" si="11"/>
        <v>26006.187818600298</v>
      </c>
    </row>
    <row r="33" spans="1:26" ht="14.4" customHeight="1" x14ac:dyDescent="0.3">
      <c r="E33" s="36"/>
      <c r="F33" s="36"/>
      <c r="G33" s="36"/>
      <c r="H33" s="36"/>
      <c r="I33" s="36"/>
      <c r="J33" s="36"/>
      <c r="K33" s="36"/>
      <c r="L33" s="36"/>
      <c r="M33" s="36"/>
      <c r="R33" s="149" t="s">
        <v>140</v>
      </c>
      <c r="S33" s="150"/>
      <c r="T33" s="150"/>
      <c r="U33" s="151">
        <f>K50</f>
        <v>0.50017511436058071</v>
      </c>
      <c r="V33" s="151">
        <f t="shared" ref="V33" si="12">L50</f>
        <v>0.49456926812008006</v>
      </c>
      <c r="W33" s="151">
        <f t="shared" ref="W33" si="13">M50</f>
        <v>0.47734890148396614</v>
      </c>
      <c r="X33" s="151">
        <f t="shared" ref="X33" si="14">N50</f>
        <v>0.45336057245797534</v>
      </c>
      <c r="Y33" s="151">
        <f t="shared" ref="Y33" si="15">O50</f>
        <v>0.44552049844359276</v>
      </c>
      <c r="Z33" s="151">
        <f t="shared" ref="Z33" si="16">P50</f>
        <v>0.43645905344803154</v>
      </c>
    </row>
    <row r="34" spans="1:26" ht="14.4" customHeight="1" x14ac:dyDescent="0.3">
      <c r="B34" s="1" t="s">
        <v>66</v>
      </c>
      <c r="E34" s="45">
        <f t="shared" ref="E34:P34" si="17">E28-E31</f>
        <v>43612</v>
      </c>
      <c r="F34" s="45">
        <f t="shared" si="17"/>
        <v>43815</v>
      </c>
      <c r="G34" s="45">
        <f t="shared" si="17"/>
        <v>26866</v>
      </c>
      <c r="H34" s="45">
        <f t="shared" si="17"/>
        <v>21711</v>
      </c>
      <c r="I34" s="45">
        <f t="shared" si="17"/>
        <v>17345</v>
      </c>
      <c r="J34" s="45">
        <f t="shared" si="17"/>
        <v>18375</v>
      </c>
      <c r="K34" s="45">
        <f t="shared" si="17"/>
        <v>18751.140356</v>
      </c>
      <c r="L34" s="45">
        <f t="shared" si="17"/>
        <v>21189.056005460785</v>
      </c>
      <c r="M34" s="45">
        <f t="shared" si="17"/>
        <v>25170.726333605089</v>
      </c>
      <c r="N34" s="45">
        <f t="shared" si="17"/>
        <v>28093.216426774237</v>
      </c>
      <c r="O34" s="45">
        <f t="shared" si="17"/>
        <v>30647.574796729943</v>
      </c>
      <c r="P34" s="45">
        <f t="shared" si="17"/>
        <v>32771.466618078179</v>
      </c>
      <c r="R34" s="148" t="s">
        <v>110</v>
      </c>
      <c r="S34" s="75"/>
      <c r="U34" s="8">
        <f>K46</f>
        <v>14733.2207268</v>
      </c>
      <c r="V34" s="8">
        <f t="shared" ref="V34:Z34" si="18">L46</f>
        <v>15693.649726635829</v>
      </c>
      <c r="W34" s="8">
        <f t="shared" si="18"/>
        <v>16684.159022503369</v>
      </c>
      <c r="X34" s="8">
        <f t="shared" si="18"/>
        <v>17702.062966850914</v>
      </c>
      <c r="Y34" s="8">
        <f t="shared" si="18"/>
        <v>18647.502474614623</v>
      </c>
      <c r="Z34" s="8">
        <f t="shared" si="18"/>
        <v>19571.063464504947</v>
      </c>
    </row>
    <row r="35" spans="1:26" ht="14.4" customHeight="1" x14ac:dyDescent="0.3">
      <c r="B35" s="5" t="s">
        <v>10</v>
      </c>
      <c r="C35" s="5"/>
      <c r="D35" s="5"/>
      <c r="E35" s="35">
        <f t="shared" ref="E35:P35" si="19">E34/E28</f>
        <v>0.5600832188218372</v>
      </c>
      <c r="F35" s="35">
        <f t="shared" si="19"/>
        <v>0.5544518121077141</v>
      </c>
      <c r="G35" s="35">
        <f t="shared" si="19"/>
        <v>0.42607923367272499</v>
      </c>
      <c r="H35" s="35">
        <f t="shared" si="19"/>
        <v>0.40036512502766097</v>
      </c>
      <c r="I35" s="35">
        <f t="shared" si="19"/>
        <v>0.32664168283083184</v>
      </c>
      <c r="J35" s="35">
        <f t="shared" si="19"/>
        <v>0.34766238434904356</v>
      </c>
      <c r="K35" s="35">
        <f t="shared" si="19"/>
        <v>0.38</v>
      </c>
      <c r="L35" s="35">
        <f t="shared" si="19"/>
        <v>0.41499999999999998</v>
      </c>
      <c r="M35" s="35">
        <f t="shared" si="19"/>
        <v>0.47499999999999998</v>
      </c>
      <c r="N35" s="35">
        <f t="shared" si="19"/>
        <v>0.51</v>
      </c>
      <c r="O35" s="35">
        <f t="shared" si="19"/>
        <v>0.53499999999999992</v>
      </c>
      <c r="P35" s="35">
        <f t="shared" si="19"/>
        <v>0.55000000000000004</v>
      </c>
      <c r="R35" s="149" t="s">
        <v>141</v>
      </c>
      <c r="S35" s="150"/>
      <c r="T35" s="150"/>
      <c r="U35" s="151">
        <f>K47</f>
        <v>0.29857511436058071</v>
      </c>
      <c r="V35" s="151">
        <f t="shared" ref="V35:Z35" si="20">L47</f>
        <v>0.30736926812008009</v>
      </c>
      <c r="W35" s="151">
        <f t="shared" si="20"/>
        <v>0.3148489014839661</v>
      </c>
      <c r="X35" s="151">
        <f t="shared" si="20"/>
        <v>0.32136057245797534</v>
      </c>
      <c r="Y35" s="151">
        <f t="shared" si="20"/>
        <v>0.32552049844359277</v>
      </c>
      <c r="Z35" s="151">
        <f t="shared" si="20"/>
        <v>0.32845905344803156</v>
      </c>
    </row>
    <row r="36" spans="1:26" ht="14.4" customHeight="1" x14ac:dyDescent="0.3">
      <c r="E36" s="36"/>
      <c r="F36" s="36"/>
      <c r="G36" s="36"/>
      <c r="H36" s="36"/>
      <c r="I36" s="36"/>
      <c r="J36" s="36"/>
      <c r="K36" s="36"/>
      <c r="L36" s="36"/>
      <c r="M36" s="36"/>
      <c r="R36" s="148" t="str">
        <f>B67</f>
        <v>Net Income</v>
      </c>
      <c r="S36"/>
      <c r="T36"/>
      <c r="U36" s="64">
        <f>K67</f>
        <v>13182.352706864</v>
      </c>
      <c r="V36" s="64">
        <f t="shared" ref="V36:Z36" si="21">L67</f>
        <v>13910.646392780116</v>
      </c>
      <c r="W36" s="64">
        <f t="shared" si="21"/>
        <v>14653.52486690574</v>
      </c>
      <c r="X36" s="64">
        <f t="shared" si="21"/>
        <v>15407.581063224707</v>
      </c>
      <c r="Y36" s="64">
        <f t="shared" si="21"/>
        <v>16086.117388589488</v>
      </c>
      <c r="Z36" s="64">
        <f t="shared" si="21"/>
        <v>16635.403944829206</v>
      </c>
    </row>
    <row r="37" spans="1:26" s="45" customFormat="1" ht="14.4" customHeight="1" x14ac:dyDescent="0.3">
      <c r="A37" s="1"/>
      <c r="B37" s="1" t="s">
        <v>67</v>
      </c>
      <c r="C37" s="1"/>
      <c r="D37" s="1"/>
      <c r="E37" s="38">
        <v>13556</v>
      </c>
      <c r="F37" s="38">
        <v>15190</v>
      </c>
      <c r="G37" s="38">
        <v>17528</v>
      </c>
      <c r="H37" s="38">
        <v>16046</v>
      </c>
      <c r="I37" s="38">
        <v>16546</v>
      </c>
      <c r="J37" s="38">
        <v>13774</v>
      </c>
      <c r="K37" s="45">
        <f>K34-K40-N(K43)-K46</f>
        <v>-275.10461020000184</v>
      </c>
      <c r="L37" s="45">
        <f t="shared" ref="L37:P37" si="22">L34-N(L43)-L46-L40</f>
        <v>2248.1196235302423</v>
      </c>
      <c r="M37" s="45">
        <f t="shared" si="22"/>
        <v>5296.5089420848226</v>
      </c>
      <c r="N37" s="45">
        <f t="shared" si="22"/>
        <v>7262.3403363139569</v>
      </c>
      <c r="O37" s="45">
        <f t="shared" si="22"/>
        <v>8941.043361095919</v>
      </c>
      <c r="P37" s="45">
        <f t="shared" si="22"/>
        <v>10221.178915566124</v>
      </c>
      <c r="R37" s="149" t="s">
        <v>142</v>
      </c>
      <c r="S37" s="150"/>
      <c r="T37" s="150"/>
      <c r="U37" s="151">
        <f>K68</f>
        <v>0.26714610063731098</v>
      </c>
      <c r="V37" s="151">
        <f t="shared" ref="V37:Z37" si="23">L68</f>
        <v>0.27244810960507004</v>
      </c>
      <c r="W37" s="151">
        <f t="shared" si="23"/>
        <v>0.2765285442910505</v>
      </c>
      <c r="X37" s="151">
        <f t="shared" si="23"/>
        <v>0.27970689517614872</v>
      </c>
      <c r="Y37" s="151">
        <f t="shared" si="23"/>
        <v>0.28080762866148978</v>
      </c>
      <c r="Z37" s="151">
        <f t="shared" si="23"/>
        <v>0.27919019543082685</v>
      </c>
    </row>
    <row r="38" spans="1:26" ht="14.4" customHeight="1" x14ac:dyDescent="0.3">
      <c r="B38" s="5" t="s">
        <v>10</v>
      </c>
      <c r="E38" s="35">
        <f t="shared" ref="E38:G38" si="24">E37/E$28</f>
        <v>0.17409172049777183</v>
      </c>
      <c r="F38" s="35">
        <f t="shared" si="24"/>
        <v>0.19222008503745697</v>
      </c>
      <c r="G38" s="35">
        <f t="shared" si="24"/>
        <v>0.27798395026485234</v>
      </c>
      <c r="H38" s="35">
        <f>H37/H$28</f>
        <v>0.29589879766910082</v>
      </c>
      <c r="I38" s="35">
        <f t="shared" ref="I38:N38" si="25">I37/I$28</f>
        <v>0.31159488521873413</v>
      </c>
      <c r="J38" s="35">
        <f t="shared" si="25"/>
        <v>0.26060961534823002</v>
      </c>
      <c r="K38" s="35">
        <f t="shared" si="25"/>
        <v>-5.5751143605807423E-3</v>
      </c>
      <c r="L38" s="35">
        <f t="shared" si="25"/>
        <v>4.4030731879919904E-2</v>
      </c>
      <c r="M38" s="35">
        <f t="shared" si="25"/>
        <v>9.9951098516033884E-2</v>
      </c>
      <c r="N38" s="35">
        <f t="shared" si="25"/>
        <v>0.13183942754202463</v>
      </c>
      <c r="O38" s="35">
        <f t="shared" ref="O38" si="26">O37/O$28</f>
        <v>0.15607950155640718</v>
      </c>
      <c r="P38" s="35">
        <f t="shared" ref="P38" si="27">P37/P$28</f>
        <v>0.17154094655196853</v>
      </c>
      <c r="Q38" s="35"/>
      <c r="R38" s="1" t="s">
        <v>26</v>
      </c>
      <c r="S38" s="8"/>
      <c r="U38" s="64">
        <f>K70</f>
        <v>5237</v>
      </c>
      <c r="V38" s="64">
        <f t="shared" ref="V38:Z38" si="28">L70</f>
        <v>5446.4800000000005</v>
      </c>
      <c r="W38" s="64">
        <f t="shared" si="28"/>
        <v>5555.4096000000009</v>
      </c>
      <c r="X38" s="64">
        <f t="shared" si="28"/>
        <v>5666.5177920000006</v>
      </c>
      <c r="Y38" s="64">
        <f t="shared" si="28"/>
        <v>5779.8481478400008</v>
      </c>
      <c r="Z38" s="64">
        <f t="shared" si="28"/>
        <v>5895.4451107968007</v>
      </c>
    </row>
    <row r="39" spans="1:26" ht="14.4" customHeight="1" x14ac:dyDescent="0.3">
      <c r="E39" s="37"/>
      <c r="F39" s="37"/>
      <c r="G39" s="37"/>
      <c r="H39" s="37"/>
      <c r="I39" s="38"/>
      <c r="J39" s="38"/>
      <c r="K39" s="38"/>
      <c r="L39" s="38"/>
      <c r="M39" s="38"/>
      <c r="R39" s="1" t="s">
        <v>100</v>
      </c>
      <c r="S39" s="8"/>
      <c r="U39" s="74">
        <f t="shared" ref="U39:Z39" si="29">K73</f>
        <v>2.5171572860156579</v>
      </c>
      <c r="V39" s="74">
        <f t="shared" si="29"/>
        <v>2.5540617780254613</v>
      </c>
      <c r="W39" s="74">
        <f t="shared" si="29"/>
        <v>2.6377037737965781</v>
      </c>
      <c r="X39" s="74">
        <f t="shared" si="29"/>
        <v>2.7190563285581058</v>
      </c>
      <c r="Y39" s="74">
        <f t="shared" si="29"/>
        <v>2.783138410755837</v>
      </c>
      <c r="Z39" s="74">
        <f t="shared" si="29"/>
        <v>2.8217384153680709</v>
      </c>
    </row>
    <row r="40" spans="1:26" ht="14.4" customHeight="1" x14ac:dyDescent="0.3">
      <c r="B40" s="1" t="s">
        <v>94</v>
      </c>
      <c r="E40" s="38">
        <v>6180</v>
      </c>
      <c r="F40" s="38">
        <v>6543</v>
      </c>
      <c r="G40" s="38">
        <v>7002</v>
      </c>
      <c r="H40" s="38">
        <v>5634</v>
      </c>
      <c r="I40" s="38">
        <v>5507</v>
      </c>
      <c r="J40" s="38">
        <v>4624</v>
      </c>
      <c r="K40" s="45">
        <f>K28*K41</f>
        <v>3306.1221154000004</v>
      </c>
      <c r="L40" s="45">
        <f t="shared" ref="L40:P40" si="30">L28*L41</f>
        <v>3247.2866552947135</v>
      </c>
      <c r="M40" s="45">
        <f t="shared" si="30"/>
        <v>3190.0583690168978</v>
      </c>
      <c r="N40" s="45">
        <f t="shared" si="30"/>
        <v>3128.8131236093664</v>
      </c>
      <c r="O40" s="45">
        <f t="shared" si="30"/>
        <v>3059.0289610194004</v>
      </c>
      <c r="P40" s="45">
        <f t="shared" si="30"/>
        <v>2979.224238007107</v>
      </c>
      <c r="R40" s="149" t="s">
        <v>143</v>
      </c>
      <c r="S40" s="150"/>
      <c r="T40" s="150"/>
      <c r="U40" s="151" t="s">
        <v>145</v>
      </c>
      <c r="V40" s="151">
        <f t="shared" ref="V40:Z40" si="31">L74</f>
        <v>1.4661178391525363E-2</v>
      </c>
      <c r="W40" s="151">
        <f t="shared" si="31"/>
        <v>3.2748618882578545E-2</v>
      </c>
      <c r="X40" s="151">
        <f t="shared" si="31"/>
        <v>3.0842187651888189E-2</v>
      </c>
      <c r="Y40" s="151">
        <f t="shared" si="31"/>
        <v>2.3567765597453983E-2</v>
      </c>
      <c r="Z40" s="151">
        <f t="shared" si="31"/>
        <v>1.3869236421393434E-2</v>
      </c>
    </row>
    <row r="41" spans="1:26" ht="14.4" customHeight="1" x14ac:dyDescent="0.3">
      <c r="B41" s="5" t="s">
        <v>10</v>
      </c>
      <c r="E41" s="35">
        <f t="shared" ref="E41" si="32">E40/E$28</f>
        <v>7.9366098604029947E-2</v>
      </c>
      <c r="F41" s="35">
        <f t="shared" ref="F41" si="33">F40/F$28</f>
        <v>8.2797631099412836E-2</v>
      </c>
      <c r="G41" s="35">
        <f t="shared" ref="G41" si="34">G40/G$28</f>
        <v>0.11104767342278048</v>
      </c>
      <c r="H41" s="35">
        <f t="shared" ref="H41" si="35">H40/H$28</f>
        <v>0.10389466696171719</v>
      </c>
      <c r="I41" s="35">
        <f t="shared" ref="I41" si="36">I40/I$28</f>
        <v>0.10370802809739929</v>
      </c>
      <c r="J41" s="35">
        <f t="shared" ref="J41" si="37">J40/J$28</f>
        <v>8.7487938243808294E-2</v>
      </c>
      <c r="K41" s="35">
        <v>6.7000000000000004E-2</v>
      </c>
      <c r="L41" s="35">
        <f>$K$41+($P$41-$K$41)*(COLUMNS($K$41:L41)-1)/(COLUMNS($K$41:$P$41)-1)</f>
        <v>6.3600000000000004E-2</v>
      </c>
      <c r="M41" s="35">
        <f>$K$41+($P$41-$K$41)*(COLUMNS($K$41:M41)-1)/(COLUMNS($K$41:$P$41)-1)</f>
        <v>6.0200000000000004E-2</v>
      </c>
      <c r="N41" s="35">
        <f>$K$41+($P$41-$K$41)*(COLUMNS($K$41:N41)-1)/(COLUMNS($K$41:$P$41)-1)</f>
        <v>5.6800000000000003E-2</v>
      </c>
      <c r="O41" s="35">
        <f>$K$41+($P$41-$K$41)*(COLUMNS($K$41:O41)-1)/(COLUMNS($K$41:$P$41)-1)</f>
        <v>5.3400000000000003E-2</v>
      </c>
      <c r="P41" s="35">
        <v>0.05</v>
      </c>
      <c r="R41" s="148" t="s">
        <v>91</v>
      </c>
      <c r="S41"/>
      <c r="U41" s="64">
        <f>K105</f>
        <v>12192.467442784</v>
      </c>
      <c r="V41" s="64">
        <f t="shared" ref="V41:Z41" si="38">L105</f>
        <v>13137.232510507974</v>
      </c>
      <c r="W41" s="64">
        <f t="shared" si="38"/>
        <v>13028.409077317539</v>
      </c>
      <c r="X41" s="64">
        <f t="shared" si="38"/>
        <v>13642.292158630999</v>
      </c>
      <c r="Y41" s="64">
        <f t="shared" si="38"/>
        <v>14658.10141096462</v>
      </c>
      <c r="Z41" s="64">
        <f t="shared" si="38"/>
        <v>15574.751911189416</v>
      </c>
    </row>
    <row r="42" spans="1:26" ht="14.4" customHeight="1" x14ac:dyDescent="0.3">
      <c r="B42" s="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R42" s="149" t="s">
        <v>144</v>
      </c>
      <c r="U42" s="151">
        <f>K106</f>
        <v>0.24708564600847893</v>
      </c>
      <c r="V42" s="151">
        <f t="shared" ref="V42:Z42" si="39">L106</f>
        <v>0.25730034837114724</v>
      </c>
      <c r="W42" s="151">
        <f t="shared" si="39"/>
        <v>0.24586077611370546</v>
      </c>
      <c r="X42" s="151">
        <f t="shared" si="39"/>
        <v>0.24766010752228779</v>
      </c>
      <c r="Y42" s="151">
        <f t="shared" si="39"/>
        <v>0.25587943929915169</v>
      </c>
      <c r="Z42" s="151">
        <f t="shared" si="39"/>
        <v>0.26138938641301868</v>
      </c>
    </row>
    <row r="43" spans="1:26" ht="14.4" customHeight="1" x14ac:dyDescent="0.3">
      <c r="B43" s="1" t="s">
        <v>95</v>
      </c>
      <c r="E43" s="40">
        <v>198</v>
      </c>
      <c r="F43" s="40">
        <v>2626</v>
      </c>
      <c r="G43" s="40">
        <v>2</v>
      </c>
      <c r="H43" s="40">
        <v>-62</v>
      </c>
      <c r="I43" s="40">
        <v>6970</v>
      </c>
      <c r="J43" s="40">
        <v>2191</v>
      </c>
      <c r="K43" s="49">
        <f>K28*0.02</f>
        <v>986.90212400000007</v>
      </c>
      <c r="L43" s="49">
        <v>0</v>
      </c>
      <c r="M43" s="49">
        <v>0</v>
      </c>
      <c r="N43" s="49">
        <v>0</v>
      </c>
      <c r="O43" s="49">
        <v>0</v>
      </c>
      <c r="P43" s="49">
        <v>0</v>
      </c>
      <c r="R43" s="148" t="s">
        <v>79</v>
      </c>
      <c r="S43"/>
      <c r="T43"/>
      <c r="U43" s="8">
        <f>K81</f>
        <v>13816.629736000003</v>
      </c>
      <c r="V43" s="8">
        <f t="shared" ref="V43:Z43" si="40">L81</f>
        <v>13275.071232336877</v>
      </c>
      <c r="W43" s="8">
        <f t="shared" si="40"/>
        <v>13247.750701897416</v>
      </c>
      <c r="X43" s="8">
        <f t="shared" si="40"/>
        <v>12118.642380177122</v>
      </c>
      <c r="Y43" s="8">
        <f t="shared" si="40"/>
        <v>11457.037307188766</v>
      </c>
      <c r="Z43" s="8">
        <f t="shared" si="40"/>
        <v>10725.207256825584</v>
      </c>
    </row>
    <row r="44" spans="1:26" ht="14.4" customHeight="1" x14ac:dyDescent="0.3">
      <c r="B44" s="5" t="s">
        <v>10</v>
      </c>
      <c r="E44" s="47">
        <f t="shared" ref="E44" si="41">E43/E$28</f>
        <v>2.5427973339155227E-3</v>
      </c>
      <c r="F44" s="47">
        <f t="shared" ref="F44" si="42">F43/F$28</f>
        <v>3.3230411014375377E-2</v>
      </c>
      <c r="G44" s="47">
        <f t="shared" ref="G44" si="43">G43/G$28</f>
        <v>3.1718844165318618E-5</v>
      </c>
      <c r="H44" s="47">
        <f t="shared" ref="H44" si="44">H43/H$28</f>
        <v>-1.1433207936859186E-3</v>
      </c>
      <c r="I44" s="47">
        <f t="shared" ref="I44" si="45">I43/I$28</f>
        <v>0.13125929831829908</v>
      </c>
      <c r="J44" s="47">
        <f t="shared" ref="J44:K44" si="46">J43/J$28</f>
        <v>4.1454600495714526E-2</v>
      </c>
      <c r="K44" s="47">
        <f t="shared" si="46"/>
        <v>0.02</v>
      </c>
      <c r="L44" s="47">
        <f t="shared" ref="L44" si="47">L43/L$28</f>
        <v>0</v>
      </c>
      <c r="M44" s="47">
        <f t="shared" ref="M44" si="48">M43/M$28</f>
        <v>0</v>
      </c>
      <c r="N44" s="47">
        <f t="shared" ref="N44" si="49">N43/N$28</f>
        <v>0</v>
      </c>
      <c r="O44" s="47">
        <f t="shared" ref="O44" si="50">O43/O$28</f>
        <v>0</v>
      </c>
      <c r="P44" s="47">
        <f t="shared" ref="P44" si="51">P43/P$28</f>
        <v>0</v>
      </c>
      <c r="R44" s="149" t="s">
        <v>146</v>
      </c>
      <c r="U44" s="151">
        <f>K103</f>
        <v>0.28000000000000003</v>
      </c>
      <c r="V44" s="151">
        <f t="shared" ref="V44:Z44" si="52">L103</f>
        <v>0.26</v>
      </c>
      <c r="W44" s="151">
        <f t="shared" si="52"/>
        <v>0.25</v>
      </c>
      <c r="X44" s="151">
        <f t="shared" si="52"/>
        <v>0.21999999999999997</v>
      </c>
      <c r="Y44" s="151">
        <f t="shared" si="52"/>
        <v>0.20000000000000004</v>
      </c>
      <c r="Z44" s="151">
        <f t="shared" si="52"/>
        <v>0.18</v>
      </c>
    </row>
    <row r="45" spans="1:26" ht="14.4" customHeight="1" x14ac:dyDescent="0.3">
      <c r="E45" s="37"/>
      <c r="F45" s="37"/>
      <c r="G45" s="37"/>
      <c r="R45"/>
      <c r="S45"/>
      <c r="T45"/>
    </row>
    <row r="46" spans="1:26" ht="14.4" customHeight="1" x14ac:dyDescent="0.3">
      <c r="B46" s="1" t="s">
        <v>68</v>
      </c>
      <c r="E46" s="72">
        <f t="shared" ref="E46:G46" si="53">E34-E37-E40-E43</f>
        <v>23678</v>
      </c>
      <c r="F46" s="72">
        <f t="shared" si="53"/>
        <v>19456</v>
      </c>
      <c r="G46" s="72">
        <f t="shared" si="53"/>
        <v>2334</v>
      </c>
      <c r="H46" s="73">
        <f t="shared" ref="H46:I46" si="54">H34-H37-H40-H43</f>
        <v>93</v>
      </c>
      <c r="I46" s="73">
        <f t="shared" si="54"/>
        <v>-11678</v>
      </c>
      <c r="J46" s="73">
        <f>J34-J37-J40-J43</f>
        <v>-2214</v>
      </c>
      <c r="K46" s="136">
        <f>Segments!I57</f>
        <v>14733.2207268</v>
      </c>
      <c r="L46" s="136">
        <f>Segments!J57</f>
        <v>15693.649726635829</v>
      </c>
      <c r="M46" s="136">
        <f>Segments!K57</f>
        <v>16684.159022503369</v>
      </c>
      <c r="N46" s="136">
        <f>Segments!L57</f>
        <v>17702.062966850914</v>
      </c>
      <c r="O46" s="136">
        <f>Segments!M57</f>
        <v>18647.502474614623</v>
      </c>
      <c r="P46" s="136">
        <f>Segments!N57</f>
        <v>19571.063464504947</v>
      </c>
      <c r="Q46" s="8"/>
      <c r="R46" s="8"/>
      <c r="S46" s="8"/>
      <c r="T46" s="8"/>
      <c r="U46" s="8"/>
      <c r="V46" s="8"/>
      <c r="W46" s="8"/>
    </row>
    <row r="47" spans="1:26" ht="14.4" customHeight="1" x14ac:dyDescent="0.3">
      <c r="B47" s="5" t="s">
        <v>10</v>
      </c>
      <c r="C47" s="5"/>
      <c r="D47" s="5"/>
      <c r="E47" s="47">
        <f t="shared" ref="E47" si="55">E46/E$28</f>
        <v>0.30408260238611995</v>
      </c>
      <c r="F47" s="47">
        <f t="shared" ref="F47" si="56">F46/F$28</f>
        <v>0.24620368495646891</v>
      </c>
      <c r="G47" s="47">
        <f t="shared" ref="G47" si="57">G46/G$28</f>
        <v>3.7015891140926828E-2</v>
      </c>
      <c r="H47" s="47">
        <f t="shared" ref="H47" si="58">H46/H$28</f>
        <v>1.714981190528878E-3</v>
      </c>
      <c r="I47" s="47">
        <f t="shared" ref="I47" si="59">I46/I$28</f>
        <v>-0.21992052880360069</v>
      </c>
      <c r="J47" s="47">
        <f t="shared" ref="J47" si="60">J46/J$28</f>
        <v>-4.1889769738709247E-2</v>
      </c>
      <c r="K47" s="47">
        <f t="shared" ref="K47" si="61">K46/K$28</f>
        <v>0.29857511436058071</v>
      </c>
      <c r="L47" s="47">
        <f t="shared" ref="L47" si="62">L46/L$28</f>
        <v>0.30736926812008009</v>
      </c>
      <c r="M47" s="47">
        <f t="shared" ref="M47" si="63">M46/M$28</f>
        <v>0.3148489014839661</v>
      </c>
      <c r="N47" s="47">
        <f t="shared" ref="N47" si="64">N46/N$28</f>
        <v>0.32136057245797534</v>
      </c>
      <c r="O47" s="47">
        <f t="shared" ref="O47" si="65">O46/O$28</f>
        <v>0.32552049844359277</v>
      </c>
      <c r="P47" s="47">
        <f t="shared" ref="P47" si="66">P46/P$28</f>
        <v>0.32845905344803156</v>
      </c>
      <c r="R47" s="8"/>
      <c r="S47" s="8"/>
      <c r="T47" s="8"/>
      <c r="U47" s="8"/>
    </row>
    <row r="48" spans="1:26" ht="14.4" customHeight="1" x14ac:dyDescent="0.3">
      <c r="B48" s="5"/>
      <c r="C48" s="5"/>
      <c r="D48" s="5"/>
      <c r="E48" s="47"/>
      <c r="F48" s="47"/>
      <c r="G48" s="47"/>
      <c r="H48" s="47"/>
      <c r="I48" s="47"/>
      <c r="J48" s="47"/>
      <c r="K48" s="120"/>
      <c r="L48" s="47"/>
      <c r="M48" s="47"/>
      <c r="N48" s="47"/>
      <c r="O48" s="47"/>
      <c r="P48" s="47"/>
      <c r="R48" s="8"/>
      <c r="S48" s="8"/>
      <c r="T48" s="8"/>
      <c r="U48" s="8"/>
    </row>
    <row r="49" spans="2:21" ht="14.4" customHeight="1" x14ac:dyDescent="0.3">
      <c r="B49" s="1" t="s">
        <v>119</v>
      </c>
      <c r="E49" s="72">
        <f>E46+E78</f>
        <v>35917</v>
      </c>
      <c r="F49" s="72">
        <f t="shared" ref="F49:O49" si="67">F46+F78</f>
        <v>31248</v>
      </c>
      <c r="G49" s="72">
        <f t="shared" si="67"/>
        <v>15369</v>
      </c>
      <c r="H49" s="72">
        <f t="shared" si="67"/>
        <v>9695</v>
      </c>
      <c r="I49" s="72">
        <f t="shared" si="67"/>
        <v>-299</v>
      </c>
      <c r="J49" s="72">
        <f t="shared" si="67"/>
        <v>9492</v>
      </c>
      <c r="K49" s="72">
        <f t="shared" si="67"/>
        <v>24681.194136720002</v>
      </c>
      <c r="L49" s="72">
        <f t="shared" si="67"/>
        <v>25251.70101391838</v>
      </c>
      <c r="M49" s="72">
        <f t="shared" si="67"/>
        <v>25295.196978736691</v>
      </c>
      <c r="N49" s="72">
        <f t="shared" si="67"/>
        <v>24973.248394957187</v>
      </c>
      <c r="O49" s="72">
        <f t="shared" si="67"/>
        <v>25521.724858927882</v>
      </c>
      <c r="P49" s="72">
        <f>P46+P78</f>
        <v>26006.187818600298</v>
      </c>
      <c r="R49" s="8"/>
      <c r="S49" s="8"/>
      <c r="T49" s="8"/>
      <c r="U49" s="8"/>
    </row>
    <row r="50" spans="2:21" ht="14.4" customHeight="1" x14ac:dyDescent="0.3">
      <c r="B50" s="5" t="s">
        <v>10</v>
      </c>
      <c r="C50" s="5"/>
      <c r="D50" s="5"/>
      <c r="E50" s="47">
        <f t="shared" ref="E50:P50" si="68">E49/E$28</f>
        <v>0.46126086789012033</v>
      </c>
      <c r="F50" s="47">
        <f t="shared" si="68"/>
        <v>0.39542417493419718</v>
      </c>
      <c r="G50" s="47">
        <f t="shared" si="68"/>
        <v>0.24374345798839089</v>
      </c>
      <c r="H50" s="47">
        <f t="shared" si="68"/>
        <v>0.17878217894814488</v>
      </c>
      <c r="I50" s="47">
        <f t="shared" si="68"/>
        <v>-5.6307790813732318E-3</v>
      </c>
      <c r="J50" s="47">
        <f t="shared" si="68"/>
        <v>0.17959245454373451</v>
      </c>
      <c r="K50" s="47">
        <f t="shared" si="68"/>
        <v>0.50017511436058071</v>
      </c>
      <c r="L50" s="47">
        <f t="shared" si="68"/>
        <v>0.49456926812008006</v>
      </c>
      <c r="M50" s="47">
        <f t="shared" si="68"/>
        <v>0.47734890148396614</v>
      </c>
      <c r="N50" s="47">
        <f t="shared" si="68"/>
        <v>0.45336057245797534</v>
      </c>
      <c r="O50" s="47">
        <f t="shared" si="68"/>
        <v>0.44552049844359276</v>
      </c>
      <c r="P50" s="47">
        <f t="shared" si="68"/>
        <v>0.43645905344803154</v>
      </c>
      <c r="R50" s="8"/>
      <c r="S50" s="8"/>
      <c r="T50" s="8"/>
      <c r="U50" s="8"/>
    </row>
    <row r="51" spans="2:21" ht="14.4" customHeight="1" x14ac:dyDescent="0.3">
      <c r="E51" s="36"/>
      <c r="F51" s="36"/>
      <c r="G51" s="36"/>
      <c r="H51" s="36"/>
      <c r="I51" s="36"/>
      <c r="J51" s="36"/>
      <c r="K51" s="36"/>
      <c r="L51" s="36"/>
      <c r="M51" s="36"/>
      <c r="R51"/>
      <c r="S51"/>
      <c r="T51"/>
    </row>
    <row r="52" spans="2:21" ht="14.4" customHeight="1" x14ac:dyDescent="0.3">
      <c r="B52" s="1" t="s">
        <v>96</v>
      </c>
      <c r="E52" s="48">
        <v>1904</v>
      </c>
      <c r="F52" s="48">
        <v>2729</v>
      </c>
      <c r="G52" s="48">
        <v>4268</v>
      </c>
      <c r="H52" s="48">
        <v>40</v>
      </c>
      <c r="I52" s="48">
        <v>242</v>
      </c>
      <c r="J52" s="48">
        <v>514</v>
      </c>
      <c r="K52" s="49">
        <v>0</v>
      </c>
      <c r="L52" s="49">
        <v>0</v>
      </c>
      <c r="M52" s="49">
        <v>0</v>
      </c>
      <c r="N52" s="49">
        <v>0</v>
      </c>
      <c r="O52" s="49">
        <v>0</v>
      </c>
      <c r="P52" s="49">
        <v>0</v>
      </c>
      <c r="R52"/>
      <c r="S52"/>
      <c r="T52"/>
    </row>
    <row r="53" spans="2:21" ht="14.4" customHeight="1" x14ac:dyDescent="0.3">
      <c r="B53" s="5" t="s">
        <v>10</v>
      </c>
      <c r="C53" s="5"/>
      <c r="D53" s="5"/>
      <c r="E53" s="47">
        <f t="shared" ref="E53" si="69">E52/E$28</f>
        <v>2.4451950120076539E-2</v>
      </c>
      <c r="F53" s="47">
        <f t="shared" ref="F53" si="70">F52/F$28</f>
        <v>3.4533812512654381E-2</v>
      </c>
      <c r="G53" s="47">
        <f t="shared" ref="G53" si="71">G52/G$28</f>
        <v>6.7688013448789927E-2</v>
      </c>
      <c r="H53" s="47">
        <f t="shared" ref="H53" si="72">H52/H$28</f>
        <v>7.3762631850704432E-4</v>
      </c>
      <c r="I53" s="47">
        <f t="shared" ref="I53" si="73">I52/I$28</f>
        <v>4.5573529688706423E-3</v>
      </c>
      <c r="J53" s="47">
        <f t="shared" ref="J53" si="74">J52/J$28</f>
        <v>9.7250865608385518E-3</v>
      </c>
      <c r="K53" s="47">
        <f t="shared" ref="K53" si="75">K52/K$28</f>
        <v>0</v>
      </c>
      <c r="L53" s="47">
        <f t="shared" ref="L53" si="76">L52/L$28</f>
        <v>0</v>
      </c>
      <c r="M53" s="47">
        <f t="shared" ref="M53" si="77">M52/M$28</f>
        <v>0</v>
      </c>
      <c r="N53" s="47">
        <f t="shared" ref="N53" si="78">N52/N$28</f>
        <v>0</v>
      </c>
      <c r="O53" s="47">
        <f t="shared" ref="O53" si="79">O52/O$28</f>
        <v>0</v>
      </c>
      <c r="P53" s="47">
        <f t="shared" ref="P53" si="80">P52/P$28</f>
        <v>0</v>
      </c>
      <c r="R53"/>
      <c r="S53"/>
      <c r="T53"/>
    </row>
    <row r="54" spans="2:21" ht="14.4" customHeight="1" x14ac:dyDescent="0.3">
      <c r="B54" s="5"/>
      <c r="C54" s="5"/>
      <c r="D54" s="5"/>
      <c r="E54" s="47"/>
      <c r="F54" s="47"/>
      <c r="G54" s="47"/>
      <c r="K54" s="47"/>
      <c r="L54" s="47"/>
      <c r="M54" s="47"/>
      <c r="N54" s="47"/>
      <c r="O54" s="47"/>
      <c r="P54" s="47"/>
      <c r="R54"/>
      <c r="S54"/>
      <c r="T54"/>
    </row>
    <row r="55" spans="2:21" ht="14.4" customHeight="1" x14ac:dyDescent="0.3">
      <c r="B55" s="1" t="s">
        <v>97</v>
      </c>
      <c r="E55" s="40">
        <v>-504</v>
      </c>
      <c r="F55" s="40">
        <v>-482</v>
      </c>
      <c r="G55" s="40">
        <v>1166</v>
      </c>
      <c r="H55" s="40">
        <v>629</v>
      </c>
      <c r="I55" s="40">
        <v>226</v>
      </c>
      <c r="J55" s="40">
        <v>3257</v>
      </c>
      <c r="K55" s="73">
        <f>K28*0.005</f>
        <v>246.72553100000002</v>
      </c>
      <c r="L55" s="73">
        <f>L28*0.004</f>
        <v>204.23186511287503</v>
      </c>
      <c r="M55" s="73">
        <f>M28*0.003</f>
        <v>158.973008422769</v>
      </c>
      <c r="N55" s="73">
        <f>N28*0.002</f>
        <v>110.16947618342839</v>
      </c>
      <c r="O55" s="73">
        <f>O28*0.001</f>
        <v>57.285186535943822</v>
      </c>
      <c r="P55" s="73">
        <v>0</v>
      </c>
      <c r="R55"/>
      <c r="S55"/>
      <c r="T55"/>
    </row>
    <row r="56" spans="2:21" ht="14.4" customHeight="1" x14ac:dyDescent="0.3">
      <c r="B56" s="5" t="s">
        <v>10</v>
      </c>
      <c r="C56" s="5"/>
      <c r="D56" s="5"/>
      <c r="E56" s="47">
        <f t="shared" ref="E56" si="81">E55/E$28</f>
        <v>-6.4725750317849665E-3</v>
      </c>
      <c r="F56" s="47">
        <f t="shared" ref="F56" si="82">F55/F$28</f>
        <v>-6.0994128366066002E-3</v>
      </c>
      <c r="G56" s="47">
        <f t="shared" ref="G56" si="83">G55/G$28</f>
        <v>1.8492086148380753E-2</v>
      </c>
      <c r="H56" s="47">
        <f t="shared" ref="H56" si="84">H55/H$28</f>
        <v>1.1599173858523272E-2</v>
      </c>
      <c r="I56" s="47">
        <f t="shared" ref="I56" si="85">I55/I$28</f>
        <v>4.25604037588746E-3</v>
      </c>
      <c r="J56" s="47">
        <f t="shared" ref="J56" si="86">J55/J$28</f>
        <v>6.1623748888426387E-2</v>
      </c>
      <c r="K56" s="47">
        <f t="shared" ref="K56" si="87">K55/K$28</f>
        <v>5.0000000000000001E-3</v>
      </c>
      <c r="L56" s="47">
        <f t="shared" ref="L56" si="88">L55/L$28</f>
        <v>4.0000000000000001E-3</v>
      </c>
      <c r="M56" s="47">
        <f t="shared" ref="M56" si="89">M55/M$28</f>
        <v>3.0000000000000001E-3</v>
      </c>
      <c r="N56" s="47">
        <f t="shared" ref="N56" si="90">N55/N$28</f>
        <v>2E-3</v>
      </c>
      <c r="O56" s="47">
        <f t="shared" ref="O56" si="91">O55/O$28</f>
        <v>1E-3</v>
      </c>
      <c r="P56" s="47">
        <f t="shared" ref="P56" si="92">P55/P$28</f>
        <v>0</v>
      </c>
      <c r="R56"/>
      <c r="S56"/>
      <c r="T56"/>
    </row>
    <row r="57" spans="2:21" ht="14.4" customHeight="1" x14ac:dyDescent="0.3">
      <c r="E57" s="39"/>
      <c r="F57" s="39"/>
      <c r="G57" s="39"/>
      <c r="K57" s="40"/>
      <c r="L57" s="40"/>
      <c r="M57" s="40"/>
      <c r="R57"/>
      <c r="S57"/>
      <c r="T57"/>
    </row>
    <row r="58" spans="2:21" ht="14.4" customHeight="1" x14ac:dyDescent="0.3">
      <c r="B58" s="1" t="s">
        <v>69</v>
      </c>
      <c r="E58" s="73">
        <f t="shared" ref="E58:G58" si="93">E46+E52+E55</f>
        <v>25078</v>
      </c>
      <c r="F58" s="73">
        <f t="shared" si="93"/>
        <v>21703</v>
      </c>
      <c r="G58" s="73">
        <f t="shared" si="93"/>
        <v>7768</v>
      </c>
      <c r="H58" s="73">
        <f>H46+H52+H55</f>
        <v>762</v>
      </c>
      <c r="I58" s="73">
        <f>I46+I52+I55</f>
        <v>-11210</v>
      </c>
      <c r="J58" s="73">
        <f>J46+J52+J55</f>
        <v>1557</v>
      </c>
      <c r="K58" s="73">
        <f t="shared" ref="K58:P58" si="94">K46+K52+K55</f>
        <v>14979.9462578</v>
      </c>
      <c r="L58" s="73">
        <f t="shared" si="94"/>
        <v>15897.881591748705</v>
      </c>
      <c r="M58" s="73">
        <f t="shared" si="94"/>
        <v>16843.132030926139</v>
      </c>
      <c r="N58" s="73">
        <f t="shared" si="94"/>
        <v>17812.232443034343</v>
      </c>
      <c r="O58" s="73">
        <f t="shared" si="94"/>
        <v>18704.787661150567</v>
      </c>
      <c r="P58" s="73">
        <f t="shared" si="94"/>
        <v>19571.063464504947</v>
      </c>
      <c r="R58"/>
      <c r="S58"/>
      <c r="T58"/>
    </row>
    <row r="59" spans="2:21" ht="14.4" customHeight="1" x14ac:dyDescent="0.3">
      <c r="B59" s="5" t="s">
        <v>10</v>
      </c>
      <c r="E59" s="47">
        <f t="shared" ref="E59" si="95">E58/E$28</f>
        <v>0.32206197747441151</v>
      </c>
      <c r="F59" s="47">
        <f t="shared" ref="F59" si="96">F58/F$28</f>
        <v>0.27463808463251671</v>
      </c>
      <c r="G59" s="47">
        <f t="shared" ref="G59" si="97">G58/G$28</f>
        <v>0.12319599073809751</v>
      </c>
      <c r="H59" s="47">
        <f t="shared" ref="H59" si="98">H58/H$28</f>
        <v>1.4051781367559194E-2</v>
      </c>
      <c r="I59" s="47">
        <f t="shared" ref="I59" si="99">I58/I$28</f>
        <v>-0.21110713545884258</v>
      </c>
      <c r="J59" s="47">
        <f t="shared" ref="J59" si="100">J58/J$28</f>
        <v>2.9459065710555694E-2</v>
      </c>
      <c r="K59" s="47">
        <f t="shared" ref="K59" si="101">K58/K$28</f>
        <v>0.30357511436058071</v>
      </c>
      <c r="L59" s="47">
        <f t="shared" ref="L59" si="102">L58/L$28</f>
        <v>0.31136926812008009</v>
      </c>
      <c r="M59" s="47">
        <f t="shared" ref="M59" si="103">M58/M$28</f>
        <v>0.31784890148396611</v>
      </c>
      <c r="N59" s="47">
        <f t="shared" ref="N59" si="104">N58/N$28</f>
        <v>0.32336057245797539</v>
      </c>
      <c r="O59" s="47">
        <f t="shared" ref="O59" si="105">O58/O$28</f>
        <v>0.32652049844359277</v>
      </c>
      <c r="P59" s="47">
        <f t="shared" ref="P59" si="106">P58/P$28</f>
        <v>0.32845905344803156</v>
      </c>
      <c r="R59"/>
      <c r="S59"/>
      <c r="T59"/>
    </row>
    <row r="60" spans="2:21" ht="14.4" customHeight="1" x14ac:dyDescent="0.3">
      <c r="E60" s="37"/>
      <c r="F60" s="37"/>
      <c r="G60" s="37"/>
      <c r="H60" s="37"/>
      <c r="I60" s="37"/>
      <c r="J60" s="37"/>
      <c r="K60" s="37"/>
      <c r="L60" s="37"/>
      <c r="M60" s="37"/>
      <c r="R60"/>
      <c r="S60"/>
      <c r="T60"/>
    </row>
    <row r="61" spans="2:21" ht="14.4" customHeight="1" x14ac:dyDescent="0.3">
      <c r="B61" s="1" t="s">
        <v>70</v>
      </c>
      <c r="E61" s="48">
        <v>4179</v>
      </c>
      <c r="F61" s="48">
        <v>1835</v>
      </c>
      <c r="G61" s="48">
        <v>-249</v>
      </c>
      <c r="H61" s="48">
        <v>-913</v>
      </c>
      <c r="I61" s="48">
        <v>8023</v>
      </c>
      <c r="J61" s="48">
        <v>1531</v>
      </c>
      <c r="K61" s="45">
        <f>K58*0.12</f>
        <v>1797.5935509359999</v>
      </c>
      <c r="L61" s="45">
        <f>L58*0.125</f>
        <v>1987.2351989685881</v>
      </c>
      <c r="M61" s="45">
        <f>M58*0.13</f>
        <v>2189.6071640203982</v>
      </c>
      <c r="N61" s="45">
        <f>N58*0.135</f>
        <v>2404.6513798096366</v>
      </c>
      <c r="O61" s="45">
        <f>O58*0.14</f>
        <v>2618.6702725610799</v>
      </c>
      <c r="P61" s="45">
        <f>P58*0.15</f>
        <v>2935.6595196757421</v>
      </c>
      <c r="R61"/>
      <c r="S61"/>
      <c r="T61"/>
    </row>
    <row r="62" spans="2:21" ht="14.4" customHeight="1" x14ac:dyDescent="0.3">
      <c r="B62" s="5" t="s">
        <v>74</v>
      </c>
      <c r="C62" s="5"/>
      <c r="D62" s="5"/>
      <c r="E62" s="47">
        <f t="shared" ref="E62:I62" si="107">E61/E58</f>
        <v>0.16664008294122337</v>
      </c>
      <c r="F62" s="47">
        <f t="shared" si="107"/>
        <v>8.4550522969174771E-2</v>
      </c>
      <c r="G62" s="47">
        <f t="shared" si="107"/>
        <v>-3.2054582904222452E-2</v>
      </c>
      <c r="H62" s="47">
        <f t="shared" si="107"/>
        <v>-1.1981627296587927</v>
      </c>
      <c r="I62" s="47">
        <f t="shared" si="107"/>
        <v>-0.71570026761819805</v>
      </c>
      <c r="J62" s="47">
        <f>J61/J58</f>
        <v>0.98330122029543998</v>
      </c>
      <c r="K62" s="47">
        <f>K61/K58</f>
        <v>0.12</v>
      </c>
      <c r="L62" s="47">
        <f t="shared" ref="L62:P62" si="108">L61/L58</f>
        <v>0.125</v>
      </c>
      <c r="M62" s="47">
        <f t="shared" si="108"/>
        <v>0.13</v>
      </c>
      <c r="N62" s="47">
        <f t="shared" si="108"/>
        <v>0.13500000000000001</v>
      </c>
      <c r="O62" s="47">
        <f t="shared" si="108"/>
        <v>0.14000000000000001</v>
      </c>
      <c r="P62" s="47">
        <f t="shared" si="108"/>
        <v>0.15</v>
      </c>
      <c r="R62"/>
      <c r="S62"/>
      <c r="T62"/>
    </row>
    <row r="63" spans="2:21" ht="14.4" customHeight="1" x14ac:dyDescent="0.3">
      <c r="B63" s="5"/>
      <c r="C63" s="5"/>
      <c r="D63" s="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R63"/>
      <c r="S63"/>
      <c r="T63"/>
    </row>
    <row r="64" spans="2:21" ht="14.4" customHeight="1" x14ac:dyDescent="0.3">
      <c r="B64" s="1" t="s">
        <v>98</v>
      </c>
      <c r="E64" s="48">
        <v>0</v>
      </c>
      <c r="F64" s="48">
        <v>0</v>
      </c>
      <c r="G64" s="48">
        <v>3</v>
      </c>
      <c r="H64" s="48">
        <v>-14</v>
      </c>
      <c r="I64" s="48">
        <v>-477</v>
      </c>
      <c r="J64" s="48">
        <v>293</v>
      </c>
      <c r="K64" s="49">
        <v>0</v>
      </c>
      <c r="L64" s="49">
        <v>0</v>
      </c>
      <c r="M64" s="49">
        <v>0</v>
      </c>
      <c r="N64" s="49">
        <v>0</v>
      </c>
      <c r="O64" s="49">
        <v>0</v>
      </c>
      <c r="P64" s="49">
        <v>0</v>
      </c>
      <c r="R64"/>
      <c r="S64"/>
      <c r="T64"/>
    </row>
    <row r="65" spans="1:26" ht="14.4" customHeight="1" x14ac:dyDescent="0.3">
      <c r="B65" s="5" t="s">
        <v>74</v>
      </c>
      <c r="C65" s="5"/>
      <c r="D65" s="5"/>
      <c r="E65" s="47">
        <f t="shared" ref="E65" si="109">E64/E$28</f>
        <v>0</v>
      </c>
      <c r="F65" s="47">
        <f t="shared" ref="F65" si="110">F64/F$28</f>
        <v>0</v>
      </c>
      <c r="G65" s="47">
        <f t="shared" ref="G65" si="111">G64/G$28</f>
        <v>4.7578266247977927E-5</v>
      </c>
      <c r="H65" s="47">
        <f t="shared" ref="H65" si="112">H64/H$28</f>
        <v>-2.5816921147746552E-4</v>
      </c>
      <c r="I65" s="47">
        <f t="shared" ref="I65" si="113">I64/I$28</f>
        <v>-8.9828816783111432E-3</v>
      </c>
      <c r="J65" s="47">
        <f t="shared" ref="J65" si="114">J64/J$28</f>
        <v>5.5436777477153613E-3</v>
      </c>
      <c r="K65" s="47">
        <f t="shared" ref="K65" si="115">K64/K$28</f>
        <v>0</v>
      </c>
      <c r="L65" s="47">
        <f t="shared" ref="L65" si="116">L64/L$28</f>
        <v>0</v>
      </c>
      <c r="M65" s="47">
        <f t="shared" ref="M65" si="117">M64/M$28</f>
        <v>0</v>
      </c>
      <c r="N65" s="47">
        <f t="shared" ref="N65" si="118">N64/N$28</f>
        <v>0</v>
      </c>
      <c r="O65" s="47">
        <f t="shared" ref="O65" si="119">O64/O$28</f>
        <v>0</v>
      </c>
      <c r="P65" s="47">
        <f t="shared" ref="P65" si="120">P64/P$28</f>
        <v>0</v>
      </c>
      <c r="R65" s="48"/>
      <c r="S65"/>
      <c r="T65"/>
    </row>
    <row r="66" spans="1:26" ht="14.4" customHeight="1" x14ac:dyDescent="0.3">
      <c r="B66" s="5"/>
      <c r="C66" s="5"/>
      <c r="D66" s="5"/>
      <c r="E66" s="35"/>
      <c r="F66" s="35"/>
      <c r="G66" s="35"/>
      <c r="H66" s="35"/>
      <c r="I66" s="35"/>
      <c r="J66" s="35"/>
      <c r="K66" s="36"/>
      <c r="L66" s="36"/>
      <c r="M66" s="36"/>
      <c r="R66" s="48"/>
      <c r="S66"/>
      <c r="T66"/>
    </row>
    <row r="67" spans="1:26" ht="14.4" customHeight="1" x14ac:dyDescent="0.3">
      <c r="B67" s="1" t="s">
        <v>71</v>
      </c>
      <c r="E67" s="73">
        <f t="shared" ref="E67:G67" si="121">E58-E61-E64</f>
        <v>20899</v>
      </c>
      <c r="F67" s="73">
        <f t="shared" si="121"/>
        <v>19868</v>
      </c>
      <c r="G67" s="73">
        <f t="shared" si="121"/>
        <v>8014</v>
      </c>
      <c r="H67" s="73">
        <f t="shared" ref="H67:I67" si="122">H58-H61-H64</f>
        <v>1689</v>
      </c>
      <c r="I67" s="73">
        <f t="shared" si="122"/>
        <v>-18756</v>
      </c>
      <c r="J67" s="73">
        <f>J58-J61-J64</f>
        <v>-267</v>
      </c>
      <c r="K67" s="73">
        <f t="shared" ref="K67:P67" si="123">K58-K61-K64</f>
        <v>13182.352706864</v>
      </c>
      <c r="L67" s="73">
        <f t="shared" si="123"/>
        <v>13910.646392780116</v>
      </c>
      <c r="M67" s="73">
        <f t="shared" si="123"/>
        <v>14653.52486690574</v>
      </c>
      <c r="N67" s="73">
        <f t="shared" si="123"/>
        <v>15407.581063224707</v>
      </c>
      <c r="O67" s="73">
        <f t="shared" si="123"/>
        <v>16086.117388589488</v>
      </c>
      <c r="P67" s="73">
        <f t="shared" si="123"/>
        <v>16635.403944829206</v>
      </c>
      <c r="R67"/>
      <c r="S67"/>
      <c r="T67"/>
    </row>
    <row r="68" spans="1:26" ht="14.4" customHeight="1" x14ac:dyDescent="0.3">
      <c r="B68" s="5" t="s">
        <v>75</v>
      </c>
      <c r="C68" s="5"/>
      <c r="D68" s="5"/>
      <c r="E68" s="47">
        <f t="shared" ref="E68" si="124">E67/E$28</f>
        <v>0.26839354283586114</v>
      </c>
      <c r="F68" s="47">
        <f t="shared" ref="F68" si="125">F67/F$28</f>
        <v>0.25141729094958493</v>
      </c>
      <c r="G68" s="47">
        <f t="shared" ref="G68" si="126">G67/G$28</f>
        <v>0.1270974085704317</v>
      </c>
      <c r="H68" s="47">
        <f t="shared" ref="H68" si="127">H67/H$28</f>
        <v>3.1146271298959947E-2</v>
      </c>
      <c r="I68" s="47">
        <f t="shared" ref="I68" si="128">I67/I$28</f>
        <v>-0.35321368712453627</v>
      </c>
      <c r="J68" s="47">
        <f t="shared" ref="J68" si="129">J67/J$28</f>
        <v>-5.0517472991126328E-3</v>
      </c>
      <c r="K68" s="47">
        <f t="shared" ref="K68" si="130">K67/K$28</f>
        <v>0.26714610063731098</v>
      </c>
      <c r="L68" s="47">
        <f t="shared" ref="L68" si="131">L67/L$28</f>
        <v>0.27244810960507004</v>
      </c>
      <c r="M68" s="47">
        <f t="shared" ref="M68" si="132">M67/M$28</f>
        <v>0.2765285442910505</v>
      </c>
      <c r="N68" s="47">
        <f t="shared" ref="N68" si="133">N67/N$28</f>
        <v>0.27970689517614872</v>
      </c>
      <c r="O68" s="47">
        <f t="shared" ref="O68" si="134">O67/O$28</f>
        <v>0.28080762866148978</v>
      </c>
      <c r="P68" s="47">
        <f t="shared" ref="P68" si="135">P67/P$28</f>
        <v>0.27919019543082685</v>
      </c>
      <c r="R68"/>
      <c r="S68"/>
      <c r="T68"/>
    </row>
    <row r="69" spans="1:26" ht="14.4" customHeight="1" x14ac:dyDescent="0.3">
      <c r="B69" s="5"/>
      <c r="C69" s="5"/>
      <c r="D69" s="5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R69"/>
      <c r="S69"/>
      <c r="T69"/>
    </row>
    <row r="70" spans="1:26" ht="14.4" customHeight="1" x14ac:dyDescent="0.3">
      <c r="B70" s="1" t="s">
        <v>26</v>
      </c>
      <c r="C70" s="5"/>
      <c r="D70" s="5"/>
      <c r="E70" s="12">
        <v>4199</v>
      </c>
      <c r="F70" s="12">
        <v>4059</v>
      </c>
      <c r="G70" s="12">
        <v>4108</v>
      </c>
      <c r="H70" s="12">
        <v>4190</v>
      </c>
      <c r="I70" s="12">
        <v>4280</v>
      </c>
      <c r="J70" s="12">
        <v>4530</v>
      </c>
      <c r="K70" s="12">
        <v>5237</v>
      </c>
      <c r="L70" s="8">
        <f>K70*1.04</f>
        <v>5446.4800000000005</v>
      </c>
      <c r="M70" s="8">
        <f>L70*1.02</f>
        <v>5555.4096000000009</v>
      </c>
      <c r="N70" s="8">
        <f t="shared" ref="N70:P70" si="136">M70*1.02</f>
        <v>5666.5177920000006</v>
      </c>
      <c r="O70" s="8">
        <f t="shared" si="136"/>
        <v>5779.8481478400008</v>
      </c>
      <c r="P70" s="8">
        <f t="shared" si="136"/>
        <v>5895.4451107968007</v>
      </c>
      <c r="R70"/>
      <c r="S70"/>
      <c r="T70"/>
    </row>
    <row r="71" spans="1:26" ht="14.4" customHeight="1" x14ac:dyDescent="0.3">
      <c r="B71" s="5" t="s">
        <v>76</v>
      </c>
      <c r="C71" s="5"/>
      <c r="D71" s="5"/>
      <c r="E71" s="47"/>
      <c r="F71" s="47">
        <f t="shared" ref="F71:J71" si="137">(F70-E70)/E70</f>
        <v>-3.3341271731364613E-2</v>
      </c>
      <c r="G71" s="47">
        <f t="shared" si="137"/>
        <v>1.2071938901207195E-2</v>
      </c>
      <c r="H71" s="47">
        <f t="shared" si="137"/>
        <v>1.9961051606621226E-2</v>
      </c>
      <c r="I71" s="47">
        <f t="shared" si="137"/>
        <v>2.1479713603818614E-2</v>
      </c>
      <c r="J71" s="47">
        <f t="shared" si="137"/>
        <v>5.8411214953271028E-2</v>
      </c>
      <c r="K71" s="47">
        <f>(K70-J70)/J70</f>
        <v>0.15607064017660044</v>
      </c>
      <c r="L71" s="47">
        <f t="shared" ref="L71:P71" si="138">(L70-K70)/K70</f>
        <v>4.0000000000000091E-2</v>
      </c>
      <c r="M71" s="47">
        <f t="shared" si="138"/>
        <v>2.000000000000007E-2</v>
      </c>
      <c r="N71" s="47">
        <f t="shared" si="138"/>
        <v>1.9999999999999941E-2</v>
      </c>
      <c r="O71" s="47">
        <f t="shared" si="138"/>
        <v>2.0000000000000046E-2</v>
      </c>
      <c r="P71" s="47">
        <f t="shared" si="138"/>
        <v>1.9999999999999976E-2</v>
      </c>
      <c r="R71"/>
      <c r="S71"/>
      <c r="T71"/>
    </row>
    <row r="72" spans="1:26" ht="14.4" customHeight="1" x14ac:dyDescent="0.3">
      <c r="B72" s="5"/>
      <c r="C72" s="5"/>
      <c r="D72" s="5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R72"/>
      <c r="S72"/>
      <c r="T72"/>
    </row>
    <row r="73" spans="1:26" ht="14.4" customHeight="1" x14ac:dyDescent="0.3">
      <c r="B73" s="1" t="s">
        <v>100</v>
      </c>
      <c r="C73" s="5"/>
      <c r="D73" s="5"/>
      <c r="E73" s="74">
        <f>E67/E70</f>
        <v>4.9771374136699214</v>
      </c>
      <c r="F73" s="74">
        <f t="shared" ref="F73:P73" si="139">F67/F70</f>
        <v>4.8948016752894805</v>
      </c>
      <c r="G73" s="74">
        <f t="shared" si="139"/>
        <v>1.950827653359299</v>
      </c>
      <c r="H73" s="74">
        <f t="shared" si="139"/>
        <v>0.40310262529832935</v>
      </c>
      <c r="I73" s="74">
        <f t="shared" si="139"/>
        <v>-4.3822429906542055</v>
      </c>
      <c r="J73" s="74">
        <f t="shared" si="139"/>
        <v>-5.8940397350993379E-2</v>
      </c>
      <c r="K73" s="74">
        <f t="shared" si="139"/>
        <v>2.5171572860156579</v>
      </c>
      <c r="L73" s="74">
        <f t="shared" si="139"/>
        <v>2.5540617780254613</v>
      </c>
      <c r="M73" s="74">
        <f t="shared" si="139"/>
        <v>2.6377037737965781</v>
      </c>
      <c r="N73" s="74">
        <f t="shared" si="139"/>
        <v>2.7190563285581058</v>
      </c>
      <c r="O73" s="74">
        <f t="shared" si="139"/>
        <v>2.783138410755837</v>
      </c>
      <c r="P73" s="74">
        <f t="shared" si="139"/>
        <v>2.8217384153680709</v>
      </c>
      <c r="R73"/>
      <c r="S73"/>
      <c r="T73"/>
    </row>
    <row r="74" spans="1:26" ht="14.4" customHeight="1" x14ac:dyDescent="0.3">
      <c r="B74" s="5" t="s">
        <v>76</v>
      </c>
      <c r="C74" s="5"/>
      <c r="D74" s="5"/>
      <c r="E74" s="47"/>
      <c r="F74" s="47">
        <f t="shared" ref="F74:G74" si="140">(F73-E73)/E73</f>
        <v>-1.6542789868389449E-2</v>
      </c>
      <c r="G74" s="47">
        <f t="shared" si="140"/>
        <v>-0.601449091756322</v>
      </c>
      <c r="H74" s="47">
        <f>(H73-G73)/G73</f>
        <v>-0.79336840719671364</v>
      </c>
      <c r="I74" s="47">
        <f t="shared" ref="I74:P74" si="141">(I73-H73)/H73</f>
        <v>-11.871283677229792</v>
      </c>
      <c r="J74" s="47">
        <f t="shared" si="141"/>
        <v>-0.98655017590838912</v>
      </c>
      <c r="K74" s="47">
        <f>(-K73-J73)/J73</f>
        <v>41.706825863861162</v>
      </c>
      <c r="L74" s="47">
        <f t="shared" si="141"/>
        <v>1.4661178391525363E-2</v>
      </c>
      <c r="M74" s="47">
        <f t="shared" si="141"/>
        <v>3.2748618882578545E-2</v>
      </c>
      <c r="N74" s="47">
        <f t="shared" si="141"/>
        <v>3.0842187651888189E-2</v>
      </c>
      <c r="O74" s="47">
        <f t="shared" si="141"/>
        <v>2.3567765597453983E-2</v>
      </c>
      <c r="P74" s="47">
        <f t="shared" si="141"/>
        <v>1.3869236421393434E-2</v>
      </c>
      <c r="R74"/>
      <c r="S74"/>
      <c r="T74"/>
    </row>
    <row r="75" spans="1:26" s="19" customFormat="1" ht="14.4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54"/>
      <c r="S75"/>
      <c r="T75" s="54"/>
      <c r="U75" s="1"/>
      <c r="V75" s="54"/>
      <c r="W75" s="1"/>
      <c r="X75" s="1"/>
      <c r="Y75" s="1"/>
      <c r="Z75" s="1"/>
    </row>
    <row r="76" spans="1:26" ht="14.4" customHeight="1" x14ac:dyDescent="0.3">
      <c r="A76" s="14" t="s">
        <v>40</v>
      </c>
      <c r="B76" s="33" t="s">
        <v>11</v>
      </c>
      <c r="C76" s="33"/>
      <c r="D76" s="33"/>
      <c r="E76" s="33">
        <v>2020</v>
      </c>
      <c r="F76" s="33">
        <v>2021</v>
      </c>
      <c r="G76" s="33">
        <v>2022</v>
      </c>
      <c r="H76" s="33">
        <v>2023</v>
      </c>
      <c r="I76" s="33">
        <v>2024</v>
      </c>
      <c r="J76" s="33">
        <v>2025</v>
      </c>
      <c r="K76" s="34" t="s">
        <v>4</v>
      </c>
      <c r="L76" s="34" t="s">
        <v>5</v>
      </c>
      <c r="M76" s="34" t="s">
        <v>6</v>
      </c>
      <c r="N76" s="34" t="s">
        <v>7</v>
      </c>
      <c r="O76" s="34" t="s">
        <v>8</v>
      </c>
      <c r="P76" s="34" t="s">
        <v>73</v>
      </c>
      <c r="R76"/>
      <c r="S76"/>
      <c r="T76"/>
      <c r="V76" s="54"/>
    </row>
    <row r="77" spans="1:26" s="19" customFormat="1" ht="1.95" customHeight="1" x14ac:dyDescent="0.3">
      <c r="A77" s="1"/>
      <c r="B77" s="1" t="s">
        <v>10</v>
      </c>
      <c r="C77" s="1"/>
      <c r="D77" s="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"/>
    </row>
    <row r="78" spans="1:26" ht="14.4" customHeight="1" x14ac:dyDescent="0.3">
      <c r="B78" s="1" t="s">
        <v>77</v>
      </c>
      <c r="E78" s="38">
        <v>12239</v>
      </c>
      <c r="F78" s="38">
        <v>11792</v>
      </c>
      <c r="G78" s="38">
        <v>13035</v>
      </c>
      <c r="H78" s="38">
        <v>9602</v>
      </c>
      <c r="I78" s="38">
        <v>11379</v>
      </c>
      <c r="J78" s="38">
        <v>11706</v>
      </c>
      <c r="K78" s="45">
        <f>K81*0.72</f>
        <v>9947.9734099200014</v>
      </c>
      <c r="L78" s="45">
        <f>L81*0.72</f>
        <v>9558.0512872825511</v>
      </c>
      <c r="M78" s="45">
        <f>M81*0.65</f>
        <v>8611.0379562333201</v>
      </c>
      <c r="N78" s="45">
        <f>N81*0.6</f>
        <v>7271.1854281062724</v>
      </c>
      <c r="O78" s="45">
        <f t="shared" ref="O78:P78" si="142">O81*0.6</f>
        <v>6874.2223843132597</v>
      </c>
      <c r="P78" s="45">
        <f t="shared" si="142"/>
        <v>6435.1243540953501</v>
      </c>
      <c r="R78" s="54"/>
      <c r="S78"/>
      <c r="T78" s="54"/>
    </row>
    <row r="79" spans="1:26" ht="14.4" customHeight="1" x14ac:dyDescent="0.3">
      <c r="B79" s="1" t="s">
        <v>80</v>
      </c>
      <c r="E79" s="47">
        <f>E78/E81</f>
        <v>0.85839528685650157</v>
      </c>
      <c r="F79" s="47">
        <f t="shared" ref="F79:J79" si="143">F78/F81</f>
        <v>0.62947739283617143</v>
      </c>
      <c r="G79" s="47">
        <f t="shared" si="143"/>
        <v>0.52494865289356052</v>
      </c>
      <c r="H79" s="47">
        <f t="shared" si="143"/>
        <v>0.37289320388349517</v>
      </c>
      <c r="I79" s="47">
        <f t="shared" si="143"/>
        <v>0.4752338790511193</v>
      </c>
      <c r="J79" s="47">
        <f t="shared" si="143"/>
        <v>0.80931969026548678</v>
      </c>
      <c r="K79" s="47">
        <f t="shared" ref="K79" si="144">K78/K81</f>
        <v>0.72</v>
      </c>
      <c r="L79" s="47">
        <f t="shared" ref="L79" si="145">L78/L81</f>
        <v>0.72</v>
      </c>
      <c r="M79" s="47">
        <f t="shared" ref="M79" si="146">M78/M81</f>
        <v>0.65</v>
      </c>
      <c r="N79" s="47">
        <f t="shared" ref="N79" si="147">N78/N81</f>
        <v>0.6</v>
      </c>
      <c r="O79" s="47">
        <f t="shared" ref="O79" si="148">O78/O81</f>
        <v>0.6</v>
      </c>
      <c r="P79" s="47">
        <f t="shared" ref="P79" si="149">P78/P81</f>
        <v>0.6</v>
      </c>
    </row>
    <row r="80" spans="1:26" ht="14.4" customHeight="1" x14ac:dyDescent="0.3"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R80"/>
      <c r="S80"/>
      <c r="T80"/>
    </row>
    <row r="81" spans="1:28" ht="14.4" customHeight="1" x14ac:dyDescent="0.3">
      <c r="B81" s="1" t="s">
        <v>79</v>
      </c>
      <c r="E81" s="38">
        <v>14258</v>
      </c>
      <c r="F81" s="38">
        <v>18733</v>
      </c>
      <c r="G81" s="38">
        <v>24831</v>
      </c>
      <c r="H81" s="38">
        <v>25750</v>
      </c>
      <c r="I81" s="38">
        <v>23944</v>
      </c>
      <c r="J81" s="38">
        <v>14464</v>
      </c>
      <c r="K81" s="72">
        <f>K28*0.28</f>
        <v>13816.629736000003</v>
      </c>
      <c r="L81" s="72">
        <f>L28*0.26</f>
        <v>13275.071232336877</v>
      </c>
      <c r="M81" s="72">
        <f>M28*0.25</f>
        <v>13247.750701897416</v>
      </c>
      <c r="N81" s="72">
        <f>N28*0.22</f>
        <v>12118.642380177122</v>
      </c>
      <c r="O81" s="72">
        <f>O28*0.2</f>
        <v>11457.037307188766</v>
      </c>
      <c r="P81" s="72">
        <f>P28*0.18</f>
        <v>10725.207256825584</v>
      </c>
      <c r="R81" s="10"/>
      <c r="S81"/>
      <c r="T81"/>
    </row>
    <row r="82" spans="1:28" ht="14.4" customHeight="1" x14ac:dyDescent="0.3">
      <c r="B82" s="1" t="s">
        <v>10</v>
      </c>
      <c r="E82" s="47">
        <f t="shared" ref="E82:P82" si="150">E81/E28</f>
        <v>0.18310709286347232</v>
      </c>
      <c r="F82" s="47">
        <f t="shared" si="150"/>
        <v>0.23705456570155903</v>
      </c>
      <c r="G82" s="47">
        <f t="shared" si="150"/>
        <v>0.39380530973451328</v>
      </c>
      <c r="H82" s="47">
        <f t="shared" si="150"/>
        <v>0.4748469425389098</v>
      </c>
      <c r="I82" s="47">
        <f t="shared" si="150"/>
        <v>0.45091429539933336</v>
      </c>
      <c r="J82" s="47">
        <f t="shared" si="150"/>
        <v>0.27366469263807164</v>
      </c>
      <c r="K82" s="47">
        <f t="shared" si="150"/>
        <v>0.28000000000000003</v>
      </c>
      <c r="L82" s="47">
        <f t="shared" si="150"/>
        <v>0.26</v>
      </c>
      <c r="M82" s="47">
        <f t="shared" si="150"/>
        <v>0.25</v>
      </c>
      <c r="N82" s="47">
        <f t="shared" si="150"/>
        <v>0.21999999999999997</v>
      </c>
      <c r="O82" s="47">
        <f t="shared" si="150"/>
        <v>0.20000000000000004</v>
      </c>
      <c r="P82" s="47">
        <f t="shared" si="150"/>
        <v>0.18</v>
      </c>
      <c r="R82"/>
      <c r="S82"/>
      <c r="T82"/>
    </row>
    <row r="83" spans="1:28" ht="14.4" customHeight="1" x14ac:dyDescent="0.3">
      <c r="B83" s="1" t="s">
        <v>81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R83"/>
      <c r="S83"/>
      <c r="T83"/>
    </row>
    <row r="84" spans="1:28" ht="14.4" customHeight="1" x14ac:dyDescent="0.3">
      <c r="R84"/>
      <c r="S84"/>
      <c r="T84"/>
    </row>
    <row r="85" spans="1:28" ht="14.4" customHeight="1" x14ac:dyDescent="0.3">
      <c r="B85" s="1" t="s">
        <v>82</v>
      </c>
      <c r="E85" s="48">
        <v>1192</v>
      </c>
      <c r="F85" s="48">
        <v>-1498</v>
      </c>
      <c r="G85" s="48">
        <v>-4351</v>
      </c>
      <c r="H85" s="48">
        <v>-569</v>
      </c>
      <c r="I85" s="48">
        <v>1103</v>
      </c>
      <c r="J85" s="48">
        <v>-1747</v>
      </c>
      <c r="K85" s="49">
        <f t="shared" ref="K85:P85" si="151">K28*0.01</f>
        <v>493.45106200000004</v>
      </c>
      <c r="L85" s="49">
        <f t="shared" si="151"/>
        <v>510.5796627821876</v>
      </c>
      <c r="M85" s="49">
        <f t="shared" si="151"/>
        <v>529.91002807589666</v>
      </c>
      <c r="N85" s="49">
        <f t="shared" si="151"/>
        <v>550.84738091714189</v>
      </c>
      <c r="O85" s="49">
        <f t="shared" si="151"/>
        <v>572.85186535943819</v>
      </c>
      <c r="P85" s="49">
        <f t="shared" si="151"/>
        <v>595.84484760142141</v>
      </c>
      <c r="R85"/>
      <c r="S85"/>
      <c r="T85"/>
    </row>
    <row r="86" spans="1:28" ht="14.4" customHeight="1" x14ac:dyDescent="0.3">
      <c r="B86" s="1" t="s">
        <v>10</v>
      </c>
      <c r="E86" s="63">
        <f t="shared" ref="E86:P86" si="152">E85/E28</f>
        <v>1.530815364660254E-2</v>
      </c>
      <c r="F86" s="63">
        <f t="shared" si="152"/>
        <v>-1.8956266450698523E-2</v>
      </c>
      <c r="G86" s="63">
        <f t="shared" si="152"/>
        <v>-6.9004345481650645E-2</v>
      </c>
      <c r="H86" s="63">
        <f t="shared" si="152"/>
        <v>-1.0492734380762706E-2</v>
      </c>
      <c r="I86" s="63">
        <f t="shared" si="152"/>
        <v>2.0771736878778178E-2</v>
      </c>
      <c r="J86" s="63">
        <f t="shared" si="152"/>
        <v>-3.3053942065729473E-2</v>
      </c>
      <c r="K86" s="63">
        <f t="shared" si="152"/>
        <v>0.01</v>
      </c>
      <c r="L86" s="63">
        <f t="shared" si="152"/>
        <v>0.01</v>
      </c>
      <c r="M86" s="63">
        <f t="shared" si="152"/>
        <v>0.01</v>
      </c>
      <c r="N86" s="63">
        <f t="shared" si="152"/>
        <v>9.9999999999999985E-3</v>
      </c>
      <c r="O86" s="63">
        <f t="shared" si="152"/>
        <v>9.9999999999999985E-3</v>
      </c>
      <c r="P86" s="63">
        <f t="shared" si="152"/>
        <v>0.01</v>
      </c>
      <c r="R86"/>
      <c r="S86"/>
      <c r="T86"/>
    </row>
    <row r="87" spans="1:28" ht="14.4" customHeight="1" x14ac:dyDescent="0.3">
      <c r="B87" s="1" t="s">
        <v>83</v>
      </c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R87"/>
      <c r="S87"/>
      <c r="T87"/>
    </row>
    <row r="88" spans="1:28" ht="14.4" customHeight="1" x14ac:dyDescent="0.3"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R88"/>
      <c r="S88"/>
      <c r="T88"/>
    </row>
    <row r="89" spans="1:28" ht="14.4" customHeight="1" x14ac:dyDescent="0.3">
      <c r="B89" s="1" t="s">
        <v>78</v>
      </c>
      <c r="E89" s="38">
        <v>1911</v>
      </c>
      <c r="F89" s="38">
        <v>2143</v>
      </c>
      <c r="G89" s="38">
        <v>3071</v>
      </c>
      <c r="H89" s="38">
        <v>3229</v>
      </c>
      <c r="I89" s="38">
        <v>3410</v>
      </c>
      <c r="J89" s="38">
        <v>2434</v>
      </c>
      <c r="K89" s="49">
        <f>J89*0.98</f>
        <v>2385.3200000000002</v>
      </c>
      <c r="L89" s="49">
        <f>K89*1.02</f>
        <v>2433.0264000000002</v>
      </c>
      <c r="M89" s="49">
        <f t="shared" ref="M89:P89" si="153">L89*1.02</f>
        <v>2481.6869280000001</v>
      </c>
      <c r="N89" s="49">
        <f t="shared" si="153"/>
        <v>2531.3206665600001</v>
      </c>
      <c r="O89" s="49">
        <f t="shared" si="153"/>
        <v>2581.9470798912002</v>
      </c>
      <c r="P89" s="49">
        <f t="shared" si="153"/>
        <v>2633.5860214890245</v>
      </c>
      <c r="R89"/>
      <c r="S89"/>
      <c r="T89"/>
    </row>
    <row r="90" spans="1:28" ht="14.4" customHeight="1" x14ac:dyDescent="0.3">
      <c r="B90" s="1" t="s">
        <v>10</v>
      </c>
      <c r="E90" s="63">
        <f t="shared" ref="E90:P90" si="154">E89/E28</f>
        <v>2.4541846995517997E-2</v>
      </c>
      <c r="F90" s="63">
        <f t="shared" si="154"/>
        <v>2.7118343794290341E-2</v>
      </c>
      <c r="G90" s="63">
        <f t="shared" si="154"/>
        <v>4.8704285215846736E-2</v>
      </c>
      <c r="H90" s="63">
        <f t="shared" si="154"/>
        <v>5.9544884561481153E-2</v>
      </c>
      <c r="I90" s="63">
        <f t="shared" si="154"/>
        <v>6.4217246379540877E-2</v>
      </c>
      <c r="J90" s="63">
        <f t="shared" si="154"/>
        <v>4.6052258149963103E-2</v>
      </c>
      <c r="K90" s="63">
        <f t="shared" si="154"/>
        <v>4.8339545371167934E-2</v>
      </c>
      <c r="L90" s="63">
        <f t="shared" si="154"/>
        <v>4.7652238766077236E-2</v>
      </c>
      <c r="M90" s="63">
        <f t="shared" si="154"/>
        <v>4.6832231822654981E-2</v>
      </c>
      <c r="N90" s="63">
        <f t="shared" si="154"/>
        <v>4.5953212346139111E-2</v>
      </c>
      <c r="O90" s="63">
        <f t="shared" si="154"/>
        <v>4.507181063766192E-2</v>
      </c>
      <c r="P90" s="63">
        <f t="shared" si="154"/>
        <v>4.419919098219189E-2</v>
      </c>
      <c r="R90"/>
      <c r="S90"/>
      <c r="T90"/>
    </row>
    <row r="91" spans="1:28" ht="14.4" customHeight="1" x14ac:dyDescent="0.3">
      <c r="N91" s="44"/>
      <c r="O91" s="44"/>
      <c r="P91" s="44"/>
      <c r="R91"/>
      <c r="S91"/>
      <c r="T91"/>
    </row>
    <row r="92" spans="1:28" ht="14.4" customHeight="1" x14ac:dyDescent="0.3">
      <c r="B92" s="1" t="s">
        <v>72</v>
      </c>
      <c r="E92" s="64">
        <f t="shared" ref="E92:J92" si="155">E67+E78+E85+E89</f>
        <v>36241</v>
      </c>
      <c r="F92" s="64">
        <f t="shared" si="155"/>
        <v>32305</v>
      </c>
      <c r="G92" s="64">
        <f t="shared" si="155"/>
        <v>19769</v>
      </c>
      <c r="H92" s="64">
        <f t="shared" si="155"/>
        <v>13951</v>
      </c>
      <c r="I92" s="64">
        <f t="shared" si="155"/>
        <v>-2864</v>
      </c>
      <c r="J92" s="64">
        <f t="shared" si="155"/>
        <v>12126</v>
      </c>
      <c r="K92" s="64">
        <f t="shared" ref="K92:O92" si="156">K67+K78+K85+K89</f>
        <v>26009.097178784003</v>
      </c>
      <c r="L92" s="64">
        <f t="shared" si="156"/>
        <v>26412.303742844852</v>
      </c>
      <c r="M92" s="64">
        <f t="shared" si="156"/>
        <v>26276.159779214955</v>
      </c>
      <c r="N92" s="64">
        <f t="shared" si="156"/>
        <v>25760.93453880812</v>
      </c>
      <c r="O92" s="64">
        <f t="shared" si="156"/>
        <v>26115.138718153386</v>
      </c>
      <c r="P92" s="64">
        <f>P67+P78+P85+P89</f>
        <v>26299.959168015001</v>
      </c>
      <c r="R92"/>
      <c r="S92"/>
      <c r="T92"/>
    </row>
    <row r="93" spans="1:28" ht="14.4" customHeight="1" x14ac:dyDescent="0.3">
      <c r="R93"/>
      <c r="S93"/>
      <c r="T93"/>
    </row>
    <row r="94" spans="1:28" ht="14.4" customHeight="1" x14ac:dyDescent="0.3">
      <c r="A94" s="14" t="s">
        <v>40</v>
      </c>
      <c r="B94" s="33" t="s">
        <v>12</v>
      </c>
      <c r="C94" s="33"/>
      <c r="D94" s="33"/>
      <c r="E94" s="33">
        <v>2020</v>
      </c>
      <c r="F94" s="33">
        <v>2021</v>
      </c>
      <c r="G94" s="33">
        <v>2022</v>
      </c>
      <c r="H94" s="33">
        <v>2023</v>
      </c>
      <c r="I94" s="33">
        <v>2024</v>
      </c>
      <c r="J94" s="33">
        <v>2025</v>
      </c>
      <c r="K94" s="34" t="s">
        <v>4</v>
      </c>
      <c r="L94" s="34" t="s">
        <v>5</v>
      </c>
      <c r="M94" s="34" t="s">
        <v>6</v>
      </c>
      <c r="N94" s="34" t="s">
        <v>7</v>
      </c>
      <c r="O94" s="34" t="s">
        <v>8</v>
      </c>
      <c r="P94" s="34" t="s">
        <v>73</v>
      </c>
      <c r="R94"/>
      <c r="S94"/>
      <c r="T94"/>
    </row>
    <row r="95" spans="1:28" s="19" customFormat="1" ht="1.95" customHeight="1" x14ac:dyDescent="0.3">
      <c r="A95" s="1"/>
      <c r="B95" s="5" t="s">
        <v>76</v>
      </c>
      <c r="C95" s="5"/>
      <c r="D95" s="5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"/>
    </row>
    <row r="96" spans="1:28" ht="14.4" customHeight="1" x14ac:dyDescent="0.3">
      <c r="B96" s="1" t="s">
        <v>9</v>
      </c>
      <c r="E96" s="71">
        <f t="shared" ref="E96:P96" si="157">E28</f>
        <v>77867</v>
      </c>
      <c r="F96" s="71">
        <f t="shared" si="157"/>
        <v>79024</v>
      </c>
      <c r="G96" s="71">
        <f t="shared" si="157"/>
        <v>63054</v>
      </c>
      <c r="H96" s="71">
        <f t="shared" si="157"/>
        <v>54228</v>
      </c>
      <c r="I96" s="71">
        <f t="shared" si="157"/>
        <v>53101</v>
      </c>
      <c r="J96" s="71">
        <f t="shared" si="157"/>
        <v>52853</v>
      </c>
      <c r="K96" s="71">
        <f t="shared" si="157"/>
        <v>49345.106200000002</v>
      </c>
      <c r="L96" s="71">
        <f t="shared" si="157"/>
        <v>51057.966278218759</v>
      </c>
      <c r="M96" s="71">
        <f t="shared" si="157"/>
        <v>52991.002807589663</v>
      </c>
      <c r="N96" s="71">
        <f t="shared" si="157"/>
        <v>55084.738091714193</v>
      </c>
      <c r="O96" s="71">
        <f t="shared" si="157"/>
        <v>57285.186535943823</v>
      </c>
      <c r="P96" s="71">
        <f t="shared" si="157"/>
        <v>59584.484760142135</v>
      </c>
      <c r="R96"/>
      <c r="S96"/>
      <c r="T96"/>
      <c r="AA96" s="11"/>
      <c r="AB96" s="11"/>
    </row>
    <row r="97" spans="1:28" ht="14.4" customHeight="1" x14ac:dyDescent="0.3">
      <c r="B97" s="5" t="s">
        <v>76</v>
      </c>
      <c r="E97" s="63"/>
      <c r="F97" s="63">
        <f>(F96-E96)/E96</f>
        <v>1.4858669269395251E-2</v>
      </c>
      <c r="G97" s="63">
        <f t="shared" ref="G97:P97" si="158">(G96-F96)/F96</f>
        <v>-0.20209050415063778</v>
      </c>
      <c r="H97" s="63">
        <f t="shared" si="158"/>
        <v>-0.13997525930155105</v>
      </c>
      <c r="I97" s="63">
        <f t="shared" si="158"/>
        <v>-2.0782621523935976E-2</v>
      </c>
      <c r="J97" s="63">
        <f t="shared" si="158"/>
        <v>-4.6703451912393362E-3</v>
      </c>
      <c r="K97" s="63">
        <f t="shared" si="158"/>
        <v>-6.6370760410951093E-2</v>
      </c>
      <c r="L97" s="63">
        <f t="shared" si="158"/>
        <v>3.4711853112168532E-2</v>
      </c>
      <c r="M97" s="63">
        <f t="shared" si="158"/>
        <v>3.7859646011704426E-2</v>
      </c>
      <c r="N97" s="63">
        <f t="shared" si="158"/>
        <v>3.9511146670065542E-2</v>
      </c>
      <c r="O97" s="63">
        <f t="shared" si="158"/>
        <v>3.9946608088904038E-2</v>
      </c>
      <c r="P97" s="63">
        <f t="shared" si="158"/>
        <v>4.0137745257329445E-2</v>
      </c>
      <c r="R97"/>
      <c r="S97"/>
      <c r="T97"/>
      <c r="AA97" s="11"/>
      <c r="AB97" s="11"/>
    </row>
    <row r="98" spans="1:28" ht="14.4" customHeight="1" x14ac:dyDescent="0.3">
      <c r="E98" s="8"/>
      <c r="F98" s="8"/>
      <c r="G98" s="8"/>
      <c r="H98" s="8"/>
      <c r="I98" s="8"/>
      <c r="J98" s="8"/>
      <c r="K98" s="8"/>
      <c r="L98" s="8"/>
      <c r="M98" s="8"/>
      <c r="N98" s="8"/>
      <c r="R98"/>
      <c r="S98"/>
      <c r="T98"/>
    </row>
    <row r="99" spans="1:28" ht="14.4" customHeight="1" x14ac:dyDescent="0.3">
      <c r="B99" s="1" t="s">
        <v>93</v>
      </c>
      <c r="E99" s="71">
        <f t="shared" ref="E99:P99" si="159">E92</f>
        <v>36241</v>
      </c>
      <c r="F99" s="71">
        <f t="shared" si="159"/>
        <v>32305</v>
      </c>
      <c r="G99" s="71">
        <f t="shared" si="159"/>
        <v>19769</v>
      </c>
      <c r="H99" s="71">
        <f t="shared" si="159"/>
        <v>13951</v>
      </c>
      <c r="I99" s="71">
        <f t="shared" si="159"/>
        <v>-2864</v>
      </c>
      <c r="J99" s="71">
        <f t="shared" si="159"/>
        <v>12126</v>
      </c>
      <c r="K99" s="71">
        <f t="shared" si="159"/>
        <v>26009.097178784003</v>
      </c>
      <c r="L99" s="71">
        <f t="shared" si="159"/>
        <v>26412.303742844852</v>
      </c>
      <c r="M99" s="71">
        <f t="shared" si="159"/>
        <v>26276.159779214955</v>
      </c>
      <c r="N99" s="71">
        <f t="shared" si="159"/>
        <v>25760.93453880812</v>
      </c>
      <c r="O99" s="71">
        <f t="shared" si="159"/>
        <v>26115.138718153386</v>
      </c>
      <c r="P99" s="71">
        <f t="shared" si="159"/>
        <v>26299.959168015001</v>
      </c>
      <c r="R99"/>
      <c r="S99"/>
      <c r="T99"/>
    </row>
    <row r="100" spans="1:28" ht="14.4" customHeight="1" x14ac:dyDescent="0.3">
      <c r="B100" s="1" t="s">
        <v>10</v>
      </c>
      <c r="E100" s="11">
        <f>E99/E96</f>
        <v>0.4654218089819821</v>
      </c>
      <c r="F100" s="11">
        <f t="shared" ref="F100:P100" si="160">F99/F96</f>
        <v>0.40879985827090504</v>
      </c>
      <c r="G100" s="11">
        <f t="shared" si="160"/>
        <v>0.31352491515209185</v>
      </c>
      <c r="H100" s="11">
        <f t="shared" si="160"/>
        <v>0.25726561923729441</v>
      </c>
      <c r="I100" s="11">
        <f t="shared" si="160"/>
        <v>-5.3934954143989758E-2</v>
      </c>
      <c r="J100" s="11">
        <f t="shared" si="160"/>
        <v>0.22942879306756475</v>
      </c>
      <c r="K100" s="11">
        <f t="shared" si="160"/>
        <v>0.52708564600847896</v>
      </c>
      <c r="L100" s="11">
        <f t="shared" si="160"/>
        <v>0.51730034837114724</v>
      </c>
      <c r="M100" s="11">
        <f t="shared" si="160"/>
        <v>0.49586077611370544</v>
      </c>
      <c r="N100" s="11">
        <f t="shared" si="160"/>
        <v>0.46766010752228776</v>
      </c>
      <c r="O100" s="11">
        <f t="shared" si="160"/>
        <v>0.45587943929915176</v>
      </c>
      <c r="P100" s="11">
        <f t="shared" si="160"/>
        <v>0.44138938641301873</v>
      </c>
      <c r="R100"/>
      <c r="S100"/>
      <c r="T100"/>
    </row>
    <row r="101" spans="1:28" ht="14.4" customHeight="1" x14ac:dyDescent="0.3">
      <c r="E101" s="8"/>
      <c r="F101" s="8"/>
      <c r="G101" s="8"/>
      <c r="H101" s="8"/>
      <c r="I101" s="8"/>
      <c r="J101" s="8"/>
      <c r="K101" s="8"/>
      <c r="L101" s="8"/>
      <c r="M101" s="8"/>
      <c r="N101" s="8"/>
      <c r="R101"/>
      <c r="S101"/>
      <c r="T101"/>
    </row>
    <row r="102" spans="1:28" ht="14.4" customHeight="1" x14ac:dyDescent="0.3">
      <c r="B102" s="1" t="s">
        <v>79</v>
      </c>
      <c r="E102" s="71">
        <f t="shared" ref="E102:P102" si="161">E81</f>
        <v>14258</v>
      </c>
      <c r="F102" s="71">
        <f t="shared" si="161"/>
        <v>18733</v>
      </c>
      <c r="G102" s="71">
        <f t="shared" si="161"/>
        <v>24831</v>
      </c>
      <c r="H102" s="71">
        <f t="shared" si="161"/>
        <v>25750</v>
      </c>
      <c r="I102" s="71">
        <f t="shared" si="161"/>
        <v>23944</v>
      </c>
      <c r="J102" s="71">
        <f t="shared" si="161"/>
        <v>14464</v>
      </c>
      <c r="K102" s="71">
        <f t="shared" si="161"/>
        <v>13816.629736000003</v>
      </c>
      <c r="L102" s="71">
        <f t="shared" si="161"/>
        <v>13275.071232336877</v>
      </c>
      <c r="M102" s="71">
        <f t="shared" si="161"/>
        <v>13247.750701897416</v>
      </c>
      <c r="N102" s="71">
        <f t="shared" si="161"/>
        <v>12118.642380177122</v>
      </c>
      <c r="O102" s="71">
        <f t="shared" si="161"/>
        <v>11457.037307188766</v>
      </c>
      <c r="P102" s="71">
        <f t="shared" si="161"/>
        <v>10725.207256825584</v>
      </c>
      <c r="R102"/>
      <c r="S102"/>
      <c r="T102"/>
    </row>
    <row r="103" spans="1:28" ht="14.4" customHeight="1" x14ac:dyDescent="0.3">
      <c r="B103" s="1" t="s">
        <v>10</v>
      </c>
      <c r="E103" s="11">
        <f>E102/E96</f>
        <v>0.18310709286347232</v>
      </c>
      <c r="F103" s="11">
        <f t="shared" ref="F103:P103" si="162">F102/F96</f>
        <v>0.23705456570155903</v>
      </c>
      <c r="G103" s="11">
        <f t="shared" si="162"/>
        <v>0.39380530973451328</v>
      </c>
      <c r="H103" s="11">
        <f t="shared" si="162"/>
        <v>0.4748469425389098</v>
      </c>
      <c r="I103" s="11">
        <f t="shared" si="162"/>
        <v>0.45091429539933336</v>
      </c>
      <c r="J103" s="11">
        <f t="shared" si="162"/>
        <v>0.27366469263807164</v>
      </c>
      <c r="K103" s="11">
        <f t="shared" si="162"/>
        <v>0.28000000000000003</v>
      </c>
      <c r="L103" s="11">
        <f t="shared" si="162"/>
        <v>0.26</v>
      </c>
      <c r="M103" s="11">
        <f t="shared" si="162"/>
        <v>0.25</v>
      </c>
      <c r="N103" s="11">
        <f t="shared" si="162"/>
        <v>0.21999999999999997</v>
      </c>
      <c r="O103" s="11">
        <f t="shared" si="162"/>
        <v>0.20000000000000004</v>
      </c>
      <c r="P103" s="11">
        <f t="shared" si="162"/>
        <v>0.18</v>
      </c>
      <c r="R103"/>
      <c r="S103"/>
      <c r="T103"/>
    </row>
    <row r="104" spans="1:28" ht="14.4" customHeight="1" x14ac:dyDescent="0.3">
      <c r="R104"/>
      <c r="S104"/>
      <c r="T104"/>
    </row>
    <row r="105" spans="1:28" ht="14.4" customHeight="1" x14ac:dyDescent="0.3">
      <c r="B105" s="1" t="s">
        <v>91</v>
      </c>
      <c r="E105" s="64">
        <f t="shared" ref="E105:J105" si="163">E99-E102</f>
        <v>21983</v>
      </c>
      <c r="F105" s="64">
        <f t="shared" si="163"/>
        <v>13572</v>
      </c>
      <c r="G105" s="64">
        <f t="shared" si="163"/>
        <v>-5062</v>
      </c>
      <c r="H105" s="64">
        <f t="shared" si="163"/>
        <v>-11799</v>
      </c>
      <c r="I105" s="64">
        <f t="shared" si="163"/>
        <v>-26808</v>
      </c>
      <c r="J105" s="64">
        <f t="shared" si="163"/>
        <v>-2338</v>
      </c>
      <c r="K105" s="64">
        <f t="shared" ref="K105:O105" si="164">K99-K102</f>
        <v>12192.467442784</v>
      </c>
      <c r="L105" s="64">
        <f t="shared" si="164"/>
        <v>13137.232510507974</v>
      </c>
      <c r="M105" s="64">
        <f t="shared" si="164"/>
        <v>13028.409077317539</v>
      </c>
      <c r="N105" s="64">
        <f t="shared" si="164"/>
        <v>13642.292158630999</v>
      </c>
      <c r="O105" s="64">
        <f t="shared" si="164"/>
        <v>14658.10141096462</v>
      </c>
      <c r="P105" s="64">
        <f>P99-P102</f>
        <v>15574.751911189416</v>
      </c>
      <c r="R105"/>
      <c r="S105"/>
      <c r="T105"/>
    </row>
    <row r="106" spans="1:28" ht="14.4" customHeight="1" x14ac:dyDescent="0.3">
      <c r="B106" s="5" t="s">
        <v>10</v>
      </c>
      <c r="C106" s="5"/>
      <c r="D106" s="5"/>
      <c r="E106" s="63">
        <f t="shared" ref="E106:P106" si="165">E105/E96</f>
        <v>0.28231471611850978</v>
      </c>
      <c r="F106" s="63">
        <f t="shared" si="165"/>
        <v>0.17174529256934601</v>
      </c>
      <c r="G106" s="63">
        <f t="shared" si="165"/>
        <v>-8.0280394582421422E-2</v>
      </c>
      <c r="H106" s="63">
        <f t="shared" si="165"/>
        <v>-0.21758132330161539</v>
      </c>
      <c r="I106" s="63">
        <f t="shared" si="165"/>
        <v>-0.50484924954332311</v>
      </c>
      <c r="J106" s="63">
        <f t="shared" si="165"/>
        <v>-4.423589957050688E-2</v>
      </c>
      <c r="K106" s="63">
        <f t="shared" si="165"/>
        <v>0.24708564600847893</v>
      </c>
      <c r="L106" s="63">
        <f t="shared" si="165"/>
        <v>0.25730034837114724</v>
      </c>
      <c r="M106" s="63">
        <f t="shared" si="165"/>
        <v>0.24586077611370546</v>
      </c>
      <c r="N106" s="63">
        <f t="shared" si="165"/>
        <v>0.24766010752228779</v>
      </c>
      <c r="O106" s="63">
        <f t="shared" si="165"/>
        <v>0.25587943929915169</v>
      </c>
      <c r="P106" s="63">
        <f t="shared" si="165"/>
        <v>0.26138938641301868</v>
      </c>
      <c r="R106"/>
      <c r="S106"/>
      <c r="T106"/>
    </row>
    <row r="107" spans="1:28" ht="14.4" customHeight="1" x14ac:dyDescent="0.3">
      <c r="R107"/>
      <c r="S107"/>
      <c r="T107"/>
    </row>
    <row r="108" spans="1:28" ht="14.4" customHeight="1" x14ac:dyDescent="0.3">
      <c r="B108" s="1" t="s">
        <v>84</v>
      </c>
      <c r="K108" s="8">
        <f>K105/(1+$U$7)^((DATE(2026,7,1)-$E$12)/365)</f>
        <v>12222.521543744595</v>
      </c>
      <c r="L108" s="8">
        <f>L105/(1+$U$7)^((DATE(2027,7,1)-$E$12)/365)</f>
        <v>11918.204010579153</v>
      </c>
      <c r="M108" s="8">
        <f>M105/(1+$U$7)^((DATE(2028,7,1)-$E$12)/365)</f>
        <v>10693.435063885117</v>
      </c>
      <c r="N108" s="8">
        <f>N105/(1+$U$7)^((DATE(2029,7,1)-$E$12)/365)</f>
        <v>10133.300413912999</v>
      </c>
      <c r="O108" s="8">
        <f>O105/(1+$U$7)^((DATE(2030,7,1)-$E$12)/365)</f>
        <v>9853.2389739745668</v>
      </c>
      <c r="P108" s="8">
        <f>P105/(1+$U$7)^((DATE(2031,7,1)-$E$12)/365)</f>
        <v>9474.5840658909983</v>
      </c>
      <c r="R108"/>
      <c r="S108"/>
      <c r="T108"/>
    </row>
    <row r="109" spans="1:28" ht="14.4" customHeight="1" x14ac:dyDescent="0.3">
      <c r="K109" s="11"/>
      <c r="L109" s="11"/>
      <c r="M109" s="11"/>
      <c r="N109" s="11"/>
      <c r="O109" s="11"/>
      <c r="P109" s="11"/>
      <c r="R109"/>
      <c r="S109"/>
      <c r="T109"/>
    </row>
    <row r="110" spans="1:28" ht="14.4" customHeight="1" x14ac:dyDescent="0.3">
      <c r="A110" s="14" t="s">
        <v>40</v>
      </c>
      <c r="B110" s="2" t="s">
        <v>102</v>
      </c>
      <c r="C110" s="2"/>
      <c r="D110" s="2"/>
      <c r="E110" s="2">
        <v>2020</v>
      </c>
      <c r="F110" s="2">
        <v>2021</v>
      </c>
      <c r="G110" s="2">
        <f>F110+1</f>
        <v>2022</v>
      </c>
      <c r="H110" s="2">
        <f>G110+1</f>
        <v>2023</v>
      </c>
      <c r="I110" s="2">
        <f>H110+1</f>
        <v>2024</v>
      </c>
      <c r="J110" s="2">
        <f>I110+1</f>
        <v>2025</v>
      </c>
      <c r="K110" s="3" t="s">
        <v>4</v>
      </c>
      <c r="L110" s="3" t="s">
        <v>5</v>
      </c>
      <c r="M110" s="3" t="s">
        <v>6</v>
      </c>
      <c r="N110" s="3" t="s">
        <v>7</v>
      </c>
      <c r="O110" s="3" t="s">
        <v>8</v>
      </c>
      <c r="P110" s="34" t="s">
        <v>73</v>
      </c>
      <c r="R110"/>
      <c r="S110"/>
      <c r="T110"/>
    </row>
    <row r="111" spans="1:28" s="19" customFormat="1" ht="1.95" customHeight="1" x14ac:dyDescent="0.3">
      <c r="A111" s="1"/>
      <c r="B111" s="5"/>
      <c r="C111" s="5"/>
      <c r="D111" s="5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"/>
    </row>
    <row r="112" spans="1:28" ht="14.4" customHeight="1" x14ac:dyDescent="0.3">
      <c r="B112" s="1" t="s">
        <v>100</v>
      </c>
      <c r="E112" s="76">
        <f t="shared" ref="E112:P112" si="166">E73</f>
        <v>4.9771374136699214</v>
      </c>
      <c r="F112" s="76">
        <f t="shared" si="166"/>
        <v>4.8948016752894805</v>
      </c>
      <c r="G112" s="76">
        <f t="shared" si="166"/>
        <v>1.950827653359299</v>
      </c>
      <c r="H112" s="76">
        <f t="shared" si="166"/>
        <v>0.40310262529832935</v>
      </c>
      <c r="I112" s="76">
        <f t="shared" si="166"/>
        <v>-4.3822429906542055</v>
      </c>
      <c r="J112" s="76">
        <f t="shared" si="166"/>
        <v>-5.8940397350993379E-2</v>
      </c>
      <c r="K112" s="76">
        <f t="shared" si="166"/>
        <v>2.5171572860156579</v>
      </c>
      <c r="L112" s="76">
        <f t="shared" si="166"/>
        <v>2.5540617780254613</v>
      </c>
      <c r="M112" s="76">
        <f t="shared" si="166"/>
        <v>2.6377037737965781</v>
      </c>
      <c r="N112" s="76">
        <f t="shared" si="166"/>
        <v>2.7190563285581058</v>
      </c>
      <c r="O112" s="76">
        <f t="shared" si="166"/>
        <v>2.783138410755837</v>
      </c>
      <c r="P112" s="76">
        <f t="shared" si="166"/>
        <v>2.8217384153680709</v>
      </c>
      <c r="R112"/>
      <c r="S112"/>
      <c r="T112"/>
    </row>
    <row r="113" spans="2:20" ht="14.4" customHeight="1" x14ac:dyDescent="0.3">
      <c r="B113" s="5" t="s">
        <v>103</v>
      </c>
      <c r="F113" s="47">
        <f t="shared" ref="F113" si="167">(F112-E112)/E112</f>
        <v>-1.6542789868389449E-2</v>
      </c>
      <c r="G113" s="47">
        <f t="shared" ref="G113" si="168">(G112-F112)/F112</f>
        <v>-0.601449091756322</v>
      </c>
      <c r="H113" s="47">
        <f t="shared" ref="H113" si="169">(H112-G112)/G112</f>
        <v>-0.79336840719671364</v>
      </c>
      <c r="I113" s="47">
        <f t="shared" ref="I113" si="170">(I112-H112)/H112</f>
        <v>-11.871283677229792</v>
      </c>
      <c r="J113" s="47">
        <f t="shared" ref="J113" si="171">(J112-I112)/I112</f>
        <v>-0.98655017590838912</v>
      </c>
      <c r="K113" s="47">
        <f t="shared" ref="K113" si="172">(K112-J112)/J112</f>
        <v>-43.706825863861155</v>
      </c>
      <c r="L113" s="47">
        <f t="shared" ref="L113" si="173">(L112-K112)/K112</f>
        <v>1.4661178391525363E-2</v>
      </c>
      <c r="M113" s="47">
        <f t="shared" ref="M113" si="174">(M112-L112)/L112</f>
        <v>3.2748618882578545E-2</v>
      </c>
      <c r="N113" s="47">
        <f t="shared" ref="N113" si="175">(N112-M112)/M112</f>
        <v>3.0842187651888189E-2</v>
      </c>
      <c r="O113" s="47">
        <f t="shared" ref="O113" si="176">(O112-N112)/N112</f>
        <v>2.3567765597453983E-2</v>
      </c>
      <c r="P113" s="47">
        <f t="shared" ref="P113" si="177">(P112-O112)/O112</f>
        <v>1.3869236421393434E-2</v>
      </c>
      <c r="R113"/>
      <c r="S113"/>
      <c r="T113"/>
    </row>
    <row r="114" spans="2:20" ht="14.4" customHeight="1" x14ac:dyDescent="0.3">
      <c r="R114"/>
      <c r="S114"/>
      <c r="T114"/>
    </row>
    <row r="115" spans="2:20" ht="14.4" customHeight="1" x14ac:dyDescent="0.3">
      <c r="B115" s="1" t="s">
        <v>26</v>
      </c>
      <c r="E115" s="79">
        <v>4199</v>
      </c>
      <c r="F115" s="79">
        <f>E18</f>
        <v>4340</v>
      </c>
      <c r="G115" s="79">
        <f>F18</f>
        <v>4350</v>
      </c>
      <c r="H115" s="79">
        <f>G18</f>
        <v>4339</v>
      </c>
      <c r="I115" s="79">
        <f>H18</f>
        <v>4320</v>
      </c>
      <c r="J115" s="79">
        <f>I18</f>
        <v>4313</v>
      </c>
      <c r="K115" s="79">
        <f t="shared" ref="K115:P115" si="178">K70</f>
        <v>5237</v>
      </c>
      <c r="L115" s="79">
        <f t="shared" si="178"/>
        <v>5446.4800000000005</v>
      </c>
      <c r="M115" s="79">
        <f t="shared" si="178"/>
        <v>5555.4096000000009</v>
      </c>
      <c r="N115" s="79">
        <f t="shared" si="178"/>
        <v>5666.5177920000006</v>
      </c>
      <c r="O115" s="79">
        <f t="shared" si="178"/>
        <v>5779.8481478400008</v>
      </c>
      <c r="P115" s="79">
        <f t="shared" si="178"/>
        <v>5895.4451107968007</v>
      </c>
      <c r="R115"/>
      <c r="S115"/>
      <c r="T115"/>
    </row>
    <row r="116" spans="2:20" ht="14.4" customHeight="1" x14ac:dyDescent="0.3">
      <c r="B116" s="5" t="s">
        <v>103</v>
      </c>
      <c r="F116" s="78">
        <f>(F115-E115)/E115</f>
        <v>3.3579423672302933E-2</v>
      </c>
      <c r="G116" s="78">
        <f t="shared" ref="G116:P116" si="179">(G115-F115)/F115</f>
        <v>2.304147465437788E-3</v>
      </c>
      <c r="H116" s="78">
        <f t="shared" si="179"/>
        <v>-2.5287356321839079E-3</v>
      </c>
      <c r="I116" s="78">
        <f t="shared" si="179"/>
        <v>-4.3788891449642771E-3</v>
      </c>
      <c r="J116" s="78">
        <f t="shared" si="179"/>
        <v>-1.6203703703703703E-3</v>
      </c>
      <c r="K116" s="78">
        <f t="shared" si="179"/>
        <v>0.21423603060514723</v>
      </c>
      <c r="L116" s="78">
        <f t="shared" si="179"/>
        <v>4.0000000000000091E-2</v>
      </c>
      <c r="M116" s="78">
        <f t="shared" si="179"/>
        <v>2.000000000000007E-2</v>
      </c>
      <c r="N116" s="78">
        <f t="shared" si="179"/>
        <v>1.9999999999999941E-2</v>
      </c>
      <c r="O116" s="78">
        <f t="shared" si="179"/>
        <v>2.0000000000000046E-2</v>
      </c>
      <c r="P116" s="78">
        <f t="shared" si="179"/>
        <v>1.9999999999999976E-2</v>
      </c>
      <c r="R116"/>
      <c r="S116"/>
      <c r="T116"/>
    </row>
    <row r="117" spans="2:20" ht="14.4" customHeight="1" x14ac:dyDescent="0.3">
      <c r="R117"/>
      <c r="S117"/>
      <c r="T117"/>
    </row>
    <row r="118" spans="2:20" ht="14.4" customHeight="1" x14ac:dyDescent="0.3">
      <c r="B118" s="1" t="s">
        <v>104</v>
      </c>
      <c r="F118" s="131">
        <f>E17/F112</f>
        <v>12.096506442520635</v>
      </c>
      <c r="G118" s="131">
        <f>F17/G112</f>
        <v>32.606673321687047</v>
      </c>
      <c r="H118" s="131">
        <f>G17/H112</f>
        <v>146.19105979869747</v>
      </c>
      <c r="I118" s="131">
        <f>H17/I112</f>
        <v>-14.207336319044572</v>
      </c>
      <c r="J118" s="131">
        <f>I17/J112</f>
        <v>-1401.9247191011234</v>
      </c>
      <c r="K118" s="132">
        <f t="shared" ref="K118:P118" si="180">$E$9/K112</f>
        <v>32.826713077907357</v>
      </c>
      <c r="L118" s="132">
        <f t="shared" si="180"/>
        <v>32.352388932377757</v>
      </c>
      <c r="M118" s="132">
        <f t="shared" si="180"/>
        <v>31.326489661523489</v>
      </c>
      <c r="N118" s="132">
        <f t="shared" si="180"/>
        <v>30.389219646588945</v>
      </c>
      <c r="O118" s="132">
        <f t="shared" si="180"/>
        <v>29.689504366963757</v>
      </c>
      <c r="P118" s="132">
        <f t="shared" si="180"/>
        <v>29.283366434667062</v>
      </c>
      <c r="R118"/>
      <c r="S118"/>
      <c r="T118"/>
    </row>
    <row r="119" spans="2:20" ht="14.4" customHeight="1" x14ac:dyDescent="0.3">
      <c r="B119" s="1" t="s">
        <v>105</v>
      </c>
      <c r="F119" s="131">
        <f>E17*F115/F46</f>
        <v>13.207822779605262</v>
      </c>
      <c r="G119" s="131">
        <f>F17*G115/G46</f>
        <v>118.55334190231362</v>
      </c>
      <c r="H119" s="131">
        <f>G17*H115/H46</f>
        <v>2749.433010752688</v>
      </c>
      <c r="I119" s="131">
        <f>H17*I115/I46</f>
        <v>-23.031615002568934</v>
      </c>
      <c r="J119" s="131">
        <f>I17*J115/J46</f>
        <v>-160.96801716350498</v>
      </c>
      <c r="K119" s="132">
        <f t="shared" ref="K119:P119" si="181">$E$9*K115/K46</f>
        <v>29.371263624174865</v>
      </c>
      <c r="L119" s="132">
        <f t="shared" si="181"/>
        <v>28.676735510170804</v>
      </c>
      <c r="M119" s="132">
        <f t="shared" si="181"/>
        <v>27.513732914487829</v>
      </c>
      <c r="N119" s="132">
        <f t="shared" si="181"/>
        <v>26.450271136746171</v>
      </c>
      <c r="O119" s="132">
        <f t="shared" si="181"/>
        <v>25.611411131660908</v>
      </c>
      <c r="P119" s="132">
        <f t="shared" si="181"/>
        <v>24.890861469467005</v>
      </c>
      <c r="R119"/>
      <c r="S119"/>
      <c r="T119"/>
    </row>
    <row r="120" spans="2:20" ht="14.4" customHeight="1" x14ac:dyDescent="0.3">
      <c r="B120" s="1" t="s">
        <v>106</v>
      </c>
      <c r="F120" s="131">
        <f>E17*F115/(F46+F78)</f>
        <v>8.2236111111111114</v>
      </c>
      <c r="G120" s="131">
        <f>F17*G115/(G46+G78)</f>
        <v>18.00400156158501</v>
      </c>
      <c r="H120" s="131">
        <f>G17*H115/(H46+H78)</f>
        <v>26.374138215575037</v>
      </c>
      <c r="I120" s="131">
        <f>H17*I115/(I46+I78)</f>
        <v>-899.54247491638796</v>
      </c>
      <c r="J120" s="131">
        <f>I17*J115/(J46+J78)</f>
        <v>37.545637378845342</v>
      </c>
      <c r="K120" s="132">
        <f t="shared" ref="K120:P120" si="182">$E$9*K115/(K46+K78)</f>
        <v>17.532916260165521</v>
      </c>
      <c r="L120" s="132">
        <f t="shared" si="182"/>
        <v>17.822270355250243</v>
      </c>
      <c r="M120" s="132">
        <f t="shared" si="182"/>
        <v>18.147456832768491</v>
      </c>
      <c r="N120" s="132">
        <f t="shared" si="182"/>
        <v>18.749037279728011</v>
      </c>
      <c r="O120" s="132">
        <f t="shared" si="182"/>
        <v>18.713031940274661</v>
      </c>
      <c r="P120" s="132">
        <f t="shared" si="182"/>
        <v>18.731720039210209</v>
      </c>
      <c r="R120"/>
      <c r="S120"/>
      <c r="T120"/>
    </row>
    <row r="121" spans="2:20" ht="14.4" customHeight="1" x14ac:dyDescent="0.3">
      <c r="B121" s="1" t="s">
        <v>107</v>
      </c>
      <c r="F121" s="131">
        <f>E17*F115/F28</f>
        <v>3.2518146385908078</v>
      </c>
      <c r="G121" s="131">
        <f>F17*G115/G28</f>
        <v>4.3883575982491196</v>
      </c>
      <c r="H121" s="131">
        <f>G17*H115/H28</f>
        <v>4.7152258980600426</v>
      </c>
      <c r="I121" s="131">
        <f>H17*I115/I28</f>
        <v>5.0651249505659033</v>
      </c>
      <c r="J121" s="131">
        <f>I17*J115/J28</f>
        <v>6.7429131742758219</v>
      </c>
      <c r="K121" s="132">
        <f t="shared" ref="K121:P121" si="183">$E$9*K115/K28</f>
        <v>8.7695283955027747</v>
      </c>
      <c r="L121" s="132">
        <f t="shared" si="183"/>
        <v>8.8143472058343111</v>
      </c>
      <c r="M121" s="132">
        <f t="shared" si="183"/>
        <v>8.6626685838497348</v>
      </c>
      <c r="N121" s="132">
        <f t="shared" si="183"/>
        <v>8.5000742741734125</v>
      </c>
      <c r="O121" s="132">
        <f t="shared" si="183"/>
        <v>8.3370393174220396</v>
      </c>
      <c r="P121" s="132">
        <f t="shared" si="183"/>
        <v>8.175628797767212</v>
      </c>
      <c r="R121"/>
      <c r="S121"/>
      <c r="T121"/>
    </row>
    <row r="122" spans="2:20" ht="14.4" customHeight="1" x14ac:dyDescent="0.3">
      <c r="B122" s="1" t="s">
        <v>108</v>
      </c>
      <c r="F122" s="131">
        <f>E17*F115/F105</f>
        <v>18.933937518420276</v>
      </c>
      <c r="G122" s="131">
        <f>F17*G115/G105</f>
        <v>-54.662880284472543</v>
      </c>
      <c r="H122" s="131">
        <f>G17*H115/H105</f>
        <v>-21.671096703110432</v>
      </c>
      <c r="I122" s="131">
        <f>H17*I115/I105</f>
        <v>-10.032945389435989</v>
      </c>
      <c r="J122" s="131">
        <f>I17*J115/J105</f>
        <v>-152.43079127459367</v>
      </c>
      <c r="K122" s="132">
        <f t="shared" ref="K122:P122" si="184">$E$9*K115/K105</f>
        <v>35.491856921554401</v>
      </c>
      <c r="L122" s="132">
        <f t="shared" si="184"/>
        <v>34.257035645827834</v>
      </c>
      <c r="M122" s="132">
        <f t="shared" si="184"/>
        <v>35.234040666346189</v>
      </c>
      <c r="N122" s="132">
        <f t="shared" si="184"/>
        <v>34.321531873713091</v>
      </c>
      <c r="O122" s="132">
        <f t="shared" si="184"/>
        <v>32.581903963276652</v>
      </c>
      <c r="P122" s="132">
        <f t="shared" si="184"/>
        <v>31.277585176503624</v>
      </c>
      <c r="R122"/>
      <c r="S122"/>
      <c r="T122"/>
    </row>
    <row r="123" spans="2:20" ht="14.4" customHeight="1" x14ac:dyDescent="0.3">
      <c r="B123" s="1" t="s">
        <v>109</v>
      </c>
      <c r="F123" s="131">
        <f>E17*F115/F99</f>
        <v>7.9545395449620804</v>
      </c>
      <c r="G123" s="131">
        <f>F17*G115/G99</f>
        <v>13.996838484495928</v>
      </c>
      <c r="H123" s="131">
        <f>G17*H115/H99</f>
        <v>18.328239552720234</v>
      </c>
      <c r="I123" s="131">
        <f>H17*I115/I99</f>
        <v>-93.911731843575424</v>
      </c>
      <c r="J123" s="131">
        <f>I17*J115/J99</f>
        <v>29.39000412337127</v>
      </c>
      <c r="K123" s="132">
        <f t="shared" ref="K123:P123" si="185">$E$9*K115/K99</f>
        <v>16.637767432888321</v>
      </c>
      <c r="L123" s="132">
        <f t="shared" si="185"/>
        <v>17.039128687209555</v>
      </c>
      <c r="M123" s="132">
        <f t="shared" si="185"/>
        <v>17.469961330160352</v>
      </c>
      <c r="N123" s="132">
        <f t="shared" si="185"/>
        <v>18.175752298411116</v>
      </c>
      <c r="O123" s="132">
        <f t="shared" si="185"/>
        <v>18.28781602925331</v>
      </c>
      <c r="P123" s="132">
        <f t="shared" si="185"/>
        <v>18.522486152662218</v>
      </c>
      <c r="R123"/>
      <c r="S123"/>
      <c r="T123"/>
    </row>
    <row r="124" spans="2:20" ht="14.4" customHeight="1" x14ac:dyDescent="0.3">
      <c r="R124"/>
      <c r="S124"/>
      <c r="T124"/>
    </row>
    <row r="125" spans="2:20" ht="14.4" customHeight="1" x14ac:dyDescent="0.3">
      <c r="R125"/>
      <c r="S125"/>
      <c r="T125"/>
    </row>
    <row r="126" spans="2:20" ht="14.4" customHeight="1" x14ac:dyDescent="0.3">
      <c r="R126"/>
      <c r="S126"/>
      <c r="T126"/>
    </row>
    <row r="127" spans="2:20" ht="14.4" customHeight="1" x14ac:dyDescent="0.3">
      <c r="R127"/>
      <c r="S127"/>
      <c r="T127"/>
    </row>
    <row r="128" spans="2:20" ht="14.4" customHeight="1" x14ac:dyDescent="0.3">
      <c r="R128"/>
      <c r="S128"/>
      <c r="T128"/>
    </row>
    <row r="129" spans="2:20" ht="14.4" customHeight="1" x14ac:dyDescent="0.3">
      <c r="R129"/>
      <c r="S129"/>
      <c r="T129"/>
    </row>
    <row r="130" spans="2:20" ht="14.4" customHeight="1" x14ac:dyDescent="0.3">
      <c r="R130"/>
      <c r="S130"/>
      <c r="T130"/>
    </row>
    <row r="131" spans="2:20" ht="14.4" customHeight="1" x14ac:dyDescent="0.3">
      <c r="R131"/>
      <c r="S131"/>
      <c r="T131"/>
    </row>
    <row r="132" spans="2:20" ht="14.4" customHeight="1" x14ac:dyDescent="0.3">
      <c r="R132"/>
      <c r="S132"/>
      <c r="T132"/>
    </row>
    <row r="133" spans="2:20" ht="14.4" customHeight="1" x14ac:dyDescent="0.3">
      <c r="R133"/>
      <c r="S133"/>
      <c r="T133"/>
    </row>
    <row r="134" spans="2:20" ht="14.4" customHeight="1" x14ac:dyDescent="0.3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R134"/>
      <c r="S134"/>
      <c r="T134"/>
    </row>
    <row r="135" spans="2:20" ht="14.4" customHeight="1" x14ac:dyDescent="0.3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R135"/>
      <c r="S135"/>
      <c r="T135"/>
    </row>
    <row r="136" spans="2:20" ht="14.4" customHeight="1" x14ac:dyDescent="0.3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R136"/>
      <c r="S136"/>
      <c r="T136"/>
    </row>
    <row r="137" spans="2:20" ht="14.4" customHeight="1" x14ac:dyDescent="0.3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R137"/>
      <c r="S137"/>
      <c r="T137"/>
    </row>
    <row r="138" spans="2:20" ht="14.4" customHeight="1" x14ac:dyDescent="0.3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R138"/>
      <c r="S138"/>
      <c r="T138"/>
    </row>
    <row r="139" spans="2:20" ht="14.4" customHeight="1" x14ac:dyDescent="0.3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R139"/>
      <c r="S139"/>
      <c r="T139"/>
    </row>
    <row r="140" spans="2:20" ht="14.4" customHeight="1" x14ac:dyDescent="0.3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R140"/>
      <c r="S140"/>
      <c r="T140"/>
    </row>
    <row r="141" spans="2:20" ht="14.4" customHeight="1" x14ac:dyDescent="0.3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R141"/>
      <c r="S141"/>
      <c r="T141"/>
    </row>
    <row r="142" spans="2:20" ht="14.4" customHeight="1" x14ac:dyDescent="0.3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R142"/>
      <c r="S142"/>
      <c r="T142"/>
    </row>
    <row r="143" spans="2:20" ht="14.4" customHeight="1" x14ac:dyDescent="0.3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R143"/>
      <c r="S143"/>
      <c r="T143"/>
    </row>
    <row r="144" spans="2:20" ht="14.4" customHeight="1" x14ac:dyDescent="0.3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R144"/>
      <c r="S144"/>
      <c r="T144"/>
    </row>
    <row r="145" spans="1:20" ht="14.4" customHeight="1" x14ac:dyDescent="0.3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R145"/>
      <c r="S145"/>
      <c r="T145"/>
    </row>
    <row r="146" spans="1:20" ht="14.4" customHeight="1" x14ac:dyDescent="0.3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R146"/>
      <c r="S146"/>
      <c r="T146"/>
    </row>
    <row r="147" spans="1:20" ht="14.4" customHeight="1" x14ac:dyDescent="0.3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R147"/>
      <c r="S147"/>
      <c r="T147"/>
    </row>
    <row r="148" spans="1:20" ht="14.4" customHeight="1" x14ac:dyDescent="0.3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R148"/>
      <c r="S148"/>
      <c r="T148"/>
    </row>
    <row r="149" spans="1:20" ht="14.4" customHeight="1" x14ac:dyDescent="0.3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R149"/>
      <c r="S149"/>
      <c r="T149"/>
    </row>
    <row r="150" spans="1:20" ht="14.4" customHeight="1" x14ac:dyDescent="0.3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R150"/>
      <c r="S150"/>
      <c r="T150"/>
    </row>
    <row r="151" spans="1:20" ht="14.4" customHeight="1" x14ac:dyDescent="0.3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R151"/>
      <c r="S151"/>
      <c r="T151"/>
    </row>
    <row r="152" spans="1:20" ht="14.4" customHeight="1" x14ac:dyDescent="0.3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R152"/>
      <c r="S152"/>
      <c r="T152"/>
    </row>
    <row r="153" spans="1:20" ht="14.4" customHeight="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Q153"/>
      <c r="R153"/>
      <c r="S153"/>
      <c r="T153"/>
    </row>
    <row r="154" spans="1:20" ht="14.4" customHeight="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Q154"/>
      <c r="R154"/>
      <c r="S154"/>
      <c r="T154"/>
    </row>
    <row r="155" spans="1:20" ht="14.4" customHeight="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Q155"/>
      <c r="R155"/>
      <c r="S155"/>
      <c r="T155"/>
    </row>
    <row r="156" spans="1:20" ht="14.4" customHeight="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Q156"/>
      <c r="R156"/>
      <c r="S156"/>
      <c r="T156"/>
    </row>
    <row r="157" spans="1:20" ht="14.4" customHeight="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Q157"/>
      <c r="R157"/>
      <c r="S157"/>
      <c r="T157"/>
    </row>
    <row r="158" spans="1:20" ht="14.4" customHeight="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Q158"/>
      <c r="R158"/>
      <c r="S158"/>
      <c r="T158"/>
    </row>
    <row r="159" spans="1:20" ht="14.4" customHeigh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Q159"/>
      <c r="R159"/>
      <c r="S159"/>
      <c r="T159"/>
    </row>
    <row r="160" spans="1:20" ht="14.4" customHeight="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Q160"/>
      <c r="R160"/>
      <c r="S160"/>
      <c r="T160"/>
    </row>
    <row r="161" spans="1:20" ht="14.4" customHeight="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Q161"/>
      <c r="R161"/>
      <c r="S161"/>
      <c r="T161"/>
    </row>
    <row r="162" spans="1:20" ht="14.4" customHeight="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Q162"/>
      <c r="R162"/>
      <c r="S162"/>
      <c r="T162"/>
    </row>
    <row r="163" spans="1:20" ht="14.4" customHeight="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Q163"/>
      <c r="R163"/>
      <c r="S163"/>
      <c r="T163"/>
    </row>
    <row r="164" spans="1:20" ht="14.4" customHeight="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Q164"/>
      <c r="R164"/>
      <c r="S164"/>
      <c r="T164"/>
    </row>
    <row r="165" spans="1:20" ht="14.4" customHeight="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Q165"/>
      <c r="R165"/>
      <c r="S165"/>
      <c r="T165"/>
    </row>
    <row r="166" spans="1:20" ht="14.4" customHeight="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Q166"/>
      <c r="R166"/>
      <c r="S166"/>
      <c r="T166"/>
    </row>
    <row r="167" spans="1:20" ht="14.4" customHeight="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Q167"/>
      <c r="R167"/>
      <c r="S167"/>
      <c r="T167"/>
    </row>
    <row r="168" spans="1:20" ht="14.4" customHeight="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Q168"/>
      <c r="R168"/>
      <c r="S168"/>
      <c r="T168"/>
    </row>
    <row r="169" spans="1:20" ht="14.4" customHeight="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Q169"/>
      <c r="R169"/>
      <c r="S169"/>
      <c r="T169"/>
    </row>
    <row r="170" spans="1:20" ht="14.4" customHeight="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Q170"/>
      <c r="R170"/>
      <c r="S170"/>
      <c r="T170"/>
    </row>
    <row r="171" spans="1:20" ht="14.4" customHeight="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Q171"/>
      <c r="R171"/>
      <c r="S171"/>
      <c r="T171"/>
    </row>
    <row r="172" spans="1:20" ht="14.4" customHeight="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Q172"/>
      <c r="R172"/>
      <c r="S172"/>
      <c r="T172"/>
    </row>
    <row r="173" spans="1:20" ht="14.4" customHeight="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Q173"/>
      <c r="R173"/>
      <c r="S173"/>
      <c r="T173"/>
    </row>
    <row r="174" spans="1:20" ht="14.4" customHeight="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Q174"/>
      <c r="R174"/>
      <c r="S174"/>
      <c r="T174"/>
    </row>
    <row r="175" spans="1:20" ht="14.4" customHeight="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Q175"/>
      <c r="R175"/>
      <c r="S175"/>
      <c r="T175"/>
    </row>
    <row r="176" spans="1:20" ht="14.4" customHeight="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Q176"/>
      <c r="R176"/>
      <c r="S176"/>
      <c r="T176"/>
    </row>
    <row r="177" spans="1:20" ht="14.4" customHeight="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Q177"/>
      <c r="R177"/>
      <c r="S177"/>
      <c r="T177"/>
    </row>
    <row r="178" spans="1:20" ht="14.4" customHeight="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Q178"/>
      <c r="R178"/>
      <c r="S178"/>
      <c r="T178"/>
    </row>
    <row r="179" spans="1:20" ht="14.4" customHeight="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Q179"/>
      <c r="R179"/>
      <c r="S179"/>
      <c r="T179"/>
    </row>
    <row r="180" spans="1:20" ht="14.4" customHeight="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Q180"/>
      <c r="R180"/>
      <c r="S180"/>
      <c r="T180"/>
    </row>
    <row r="181" spans="1:20" ht="14.4" customHeight="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Q181"/>
      <c r="R181"/>
      <c r="S181"/>
      <c r="T181"/>
    </row>
    <row r="182" spans="1:20" ht="14.4" customHeight="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Q182"/>
      <c r="R182"/>
      <c r="S182"/>
      <c r="T182"/>
    </row>
    <row r="183" spans="1:20" ht="14.4" customHeight="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Q183"/>
      <c r="R183"/>
      <c r="S183"/>
      <c r="T183"/>
    </row>
    <row r="184" spans="1:20" ht="14.4" customHeight="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Q184"/>
      <c r="R184"/>
      <c r="S184"/>
      <c r="T184"/>
    </row>
    <row r="185" spans="1:20" ht="14.4" customHeight="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Q185"/>
      <c r="R185"/>
      <c r="S185"/>
      <c r="T185"/>
    </row>
    <row r="186" spans="1:20" ht="14.4" customHeight="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Q186"/>
      <c r="R186"/>
      <c r="S186"/>
      <c r="T186"/>
    </row>
    <row r="187" spans="1:20" ht="14.4" customHeight="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Q187"/>
      <c r="R187"/>
      <c r="S187"/>
      <c r="T187"/>
    </row>
    <row r="188" spans="1:20" ht="14.4" customHeight="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Q188"/>
      <c r="R188"/>
      <c r="S188"/>
      <c r="T188"/>
    </row>
    <row r="189" spans="1:20" ht="14.4" customHeight="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Q189"/>
      <c r="R189"/>
      <c r="S189"/>
      <c r="T189"/>
    </row>
    <row r="190" spans="1:20" ht="14.4" customHeight="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Q190"/>
      <c r="R190"/>
      <c r="S190"/>
      <c r="T190"/>
    </row>
    <row r="191" spans="1:20" ht="14.4" customHeight="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Q191"/>
      <c r="R191"/>
      <c r="S191"/>
      <c r="T191"/>
    </row>
    <row r="192" spans="1:20" ht="14.4" customHeight="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Q192"/>
      <c r="R192"/>
      <c r="S192"/>
      <c r="T192"/>
    </row>
    <row r="193" spans="1:20" ht="14.4" customHeight="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Q193"/>
      <c r="R193"/>
      <c r="S193"/>
      <c r="T193"/>
    </row>
    <row r="194" spans="1:20" ht="14.4" customHeight="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Q194"/>
      <c r="R194"/>
      <c r="S194"/>
      <c r="T194"/>
    </row>
    <row r="195" spans="1:20" ht="14.4" customHeight="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Q195"/>
      <c r="R195"/>
      <c r="S195"/>
      <c r="T195"/>
    </row>
    <row r="196" spans="1:20" ht="14.4" customHeight="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Q196"/>
      <c r="R196"/>
      <c r="S196"/>
      <c r="T196"/>
    </row>
    <row r="197" spans="1:20" ht="14.4" customHeight="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Q197"/>
      <c r="R197"/>
      <c r="S197"/>
      <c r="T197"/>
    </row>
    <row r="198" spans="1:20" ht="14.4" customHeight="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Q198"/>
      <c r="R198"/>
      <c r="S198"/>
      <c r="T198"/>
    </row>
    <row r="199" spans="1:20" ht="14.4" customHeight="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Q199"/>
      <c r="R199"/>
      <c r="S199"/>
      <c r="T199"/>
    </row>
    <row r="200" spans="1:20" ht="14.4" customHeight="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Q200"/>
      <c r="R200"/>
      <c r="S200"/>
      <c r="T200"/>
    </row>
    <row r="201" spans="1:20" ht="14.4" customHeight="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Q201"/>
      <c r="R201"/>
      <c r="S201"/>
      <c r="T201"/>
    </row>
    <row r="202" spans="1:20" ht="14.4" customHeight="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Q202"/>
      <c r="R202"/>
      <c r="S202"/>
      <c r="T202"/>
    </row>
    <row r="203" spans="1:20" ht="14.4" customHeight="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Q203"/>
      <c r="R203"/>
      <c r="S203"/>
      <c r="T203"/>
    </row>
    <row r="204" spans="1:20" ht="14.4" customHeight="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Q204"/>
      <c r="R204"/>
      <c r="S204"/>
      <c r="T204"/>
    </row>
    <row r="205" spans="1:20" ht="14.4" customHeight="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Q205"/>
      <c r="R205"/>
      <c r="S205"/>
      <c r="T205"/>
    </row>
    <row r="206" spans="1:20" ht="14.4" customHeight="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Q206"/>
      <c r="R206"/>
      <c r="S206"/>
      <c r="T206"/>
    </row>
    <row r="207" spans="1:20" ht="14.4" customHeight="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Q207"/>
      <c r="R207"/>
      <c r="S207"/>
      <c r="T207"/>
    </row>
    <row r="208" spans="1:20" ht="14.4" customHeight="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Q208"/>
      <c r="R208"/>
      <c r="S208"/>
      <c r="T208"/>
    </row>
    <row r="209" spans="1:20" ht="14.4" customHeight="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Q209"/>
      <c r="R209"/>
      <c r="S209"/>
      <c r="T209"/>
    </row>
    <row r="210" spans="1:20" ht="14.4" customHeight="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Q210"/>
      <c r="R210"/>
      <c r="S210"/>
      <c r="T210"/>
    </row>
    <row r="211" spans="1:20" ht="14.4" customHeight="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Q211"/>
      <c r="R211"/>
      <c r="S211"/>
      <c r="T211"/>
    </row>
    <row r="212" spans="1:20" ht="14.4" customHeight="1" x14ac:dyDescent="0.3">
      <c r="A212"/>
      <c r="Q212"/>
      <c r="R212"/>
      <c r="S212"/>
      <c r="T212"/>
    </row>
    <row r="213" spans="1:20" ht="14.4" customHeight="1" x14ac:dyDescent="0.3">
      <c r="A213"/>
      <c r="Q213"/>
      <c r="R213"/>
      <c r="S213"/>
      <c r="T213"/>
    </row>
    <row r="214" spans="1:20" ht="14.4" customHeight="1" x14ac:dyDescent="0.3">
      <c r="A214"/>
      <c r="Q214"/>
      <c r="R214"/>
      <c r="S214"/>
      <c r="T214"/>
    </row>
    <row r="215" spans="1:20" ht="14.4" customHeight="1" x14ac:dyDescent="0.3">
      <c r="A215"/>
      <c r="Q215"/>
      <c r="R215"/>
      <c r="S215"/>
      <c r="T215"/>
    </row>
    <row r="216" spans="1:20" ht="14.4" customHeight="1" x14ac:dyDescent="0.3">
      <c r="A216"/>
      <c r="Q216"/>
      <c r="R216"/>
      <c r="S216"/>
      <c r="T216"/>
    </row>
    <row r="217" spans="1:20" ht="14.4" customHeight="1" x14ac:dyDescent="0.3">
      <c r="A217"/>
      <c r="Q217"/>
      <c r="R217"/>
      <c r="S217"/>
      <c r="T217"/>
    </row>
    <row r="218" spans="1:20" ht="14.4" customHeight="1" x14ac:dyDescent="0.3">
      <c r="A218"/>
      <c r="Q218"/>
      <c r="R218"/>
      <c r="S218"/>
      <c r="T218"/>
    </row>
    <row r="219" spans="1:20" ht="14.4" customHeight="1" x14ac:dyDescent="0.3">
      <c r="A219"/>
      <c r="Q219"/>
      <c r="R219"/>
      <c r="S219"/>
      <c r="T219"/>
    </row>
    <row r="220" spans="1:20" ht="14.4" customHeight="1" x14ac:dyDescent="0.3">
      <c r="A220"/>
      <c r="Q220"/>
      <c r="R220"/>
      <c r="S220"/>
      <c r="T220"/>
    </row>
    <row r="221" spans="1:20" ht="14.4" customHeight="1" x14ac:dyDescent="0.3">
      <c r="A221"/>
      <c r="Q221"/>
      <c r="R221"/>
      <c r="S221"/>
      <c r="T221"/>
    </row>
    <row r="222" spans="1:20" ht="14.4" customHeight="1" x14ac:dyDescent="0.3">
      <c r="A222"/>
      <c r="Q222"/>
      <c r="R222"/>
      <c r="S222"/>
      <c r="T222"/>
    </row>
    <row r="223" spans="1:20" ht="14.4" customHeight="1" x14ac:dyDescent="0.3">
      <c r="A223"/>
      <c r="Q223"/>
      <c r="R223"/>
      <c r="S223"/>
      <c r="T223"/>
    </row>
    <row r="224" spans="1:20" ht="14.4" customHeight="1" x14ac:dyDescent="0.3">
      <c r="A224"/>
      <c r="Q224"/>
      <c r="R224"/>
      <c r="S224"/>
      <c r="T224"/>
    </row>
    <row r="225" spans="1:20" ht="14.4" customHeight="1" x14ac:dyDescent="0.3">
      <c r="A225"/>
      <c r="Q225"/>
      <c r="R225"/>
      <c r="S225"/>
      <c r="T225"/>
    </row>
    <row r="226" spans="1:20" ht="14.4" customHeight="1" x14ac:dyDescent="0.3">
      <c r="A226"/>
      <c r="Q226"/>
      <c r="R226"/>
      <c r="S226"/>
      <c r="T226"/>
    </row>
    <row r="227" spans="1:20" ht="14.4" customHeight="1" x14ac:dyDescent="0.3">
      <c r="A227"/>
      <c r="Q227"/>
      <c r="R227"/>
      <c r="S227"/>
      <c r="T227"/>
    </row>
    <row r="228" spans="1:20" ht="14.4" customHeight="1" x14ac:dyDescent="0.3">
      <c r="A228"/>
      <c r="Q228"/>
      <c r="R228"/>
      <c r="S228"/>
      <c r="T228"/>
    </row>
    <row r="229" spans="1:20" ht="14.4" customHeight="1" x14ac:dyDescent="0.3">
      <c r="A229"/>
      <c r="Q229"/>
      <c r="R229"/>
      <c r="S229"/>
      <c r="T229"/>
    </row>
    <row r="230" spans="1:20" ht="14.4" customHeight="1" x14ac:dyDescent="0.3">
      <c r="A230"/>
      <c r="Q230"/>
      <c r="R230"/>
      <c r="S230"/>
      <c r="T230"/>
    </row>
    <row r="231" spans="1:20" ht="14.4" customHeight="1" x14ac:dyDescent="0.3">
      <c r="R231"/>
      <c r="S231"/>
      <c r="T231"/>
    </row>
    <row r="232" spans="1:20" ht="14.4" customHeight="1" x14ac:dyDescent="0.3">
      <c r="R232"/>
      <c r="S232"/>
      <c r="T232"/>
    </row>
  </sheetData>
  <mergeCells count="8">
    <mergeCell ref="I12:K12"/>
    <mergeCell ref="I11:K11"/>
    <mergeCell ref="I10:K10"/>
    <mergeCell ref="R11:U11"/>
    <mergeCell ref="W4:X4"/>
    <mergeCell ref="I7:K7"/>
    <mergeCell ref="I8:K8"/>
    <mergeCell ref="I9:K9"/>
  </mergeCells>
  <pageMargins left="0.7" right="0.7" top="0.75" bottom="0.75" header="0.3" footer="0.3"/>
  <pageSetup orientation="portrait" r:id="rId1"/>
  <ignoredErrors>
    <ignoredError sqref="K74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755C1-F80B-4C2F-AFEE-9D4756B0A66A}">
  <dimension ref="A1:AN316"/>
  <sheetViews>
    <sheetView showGridLines="0" tabSelected="1" zoomScaleNormal="100" zoomScaleSheetLayoutView="100" workbookViewId="0">
      <selection activeCell="K20" sqref="K20"/>
    </sheetView>
  </sheetViews>
  <sheetFormatPr defaultColWidth="8.69921875" defaultRowHeight="14.4" customHeight="1" x14ac:dyDescent="0.3"/>
  <cols>
    <col min="1" max="1" width="8.69921875" style="14" customWidth="1"/>
    <col min="2" max="37" width="8.69921875" style="1" customWidth="1"/>
    <col min="38" max="16384" width="8.69921875" style="1"/>
  </cols>
  <sheetData>
    <row r="1" spans="1:40" x14ac:dyDescent="0.3"/>
    <row r="2" spans="1:40" ht="14.4" customHeight="1" x14ac:dyDescent="0.3">
      <c r="A2" s="68"/>
      <c r="K2" s="5" t="s">
        <v>28</v>
      </c>
      <c r="U2" s="56"/>
      <c r="AE2" s="60"/>
      <c r="AN2" s="55"/>
    </row>
    <row r="3" spans="1:40" ht="15.6" x14ac:dyDescent="0.3">
      <c r="A3" s="68"/>
      <c r="AE3" s="60"/>
    </row>
    <row r="4" spans="1:40" ht="15.6" x14ac:dyDescent="0.3">
      <c r="A4" s="68" t="s">
        <v>40</v>
      </c>
      <c r="B4" s="33" t="s">
        <v>113</v>
      </c>
      <c r="C4" s="33"/>
      <c r="D4" s="33">
        <v>2026</v>
      </c>
      <c r="E4" s="33">
        <v>2031</v>
      </c>
      <c r="F4" s="33"/>
      <c r="G4" s="33"/>
      <c r="H4" s="33"/>
      <c r="I4" s="33">
        <v>2026</v>
      </c>
      <c r="J4" s="33">
        <v>2031</v>
      </c>
      <c r="K4" s="34"/>
      <c r="L4" s="34"/>
      <c r="M4" s="34"/>
      <c r="N4" s="34"/>
      <c r="AE4" s="60"/>
    </row>
    <row r="5" spans="1:40" s="19" customFormat="1" ht="1.95" customHeight="1" x14ac:dyDescent="0.3">
      <c r="A5" s="70"/>
      <c r="B5" s="20"/>
      <c r="C5" s="20"/>
      <c r="D5" s="20"/>
      <c r="E5" s="20"/>
      <c r="F5" s="20"/>
      <c r="G5" s="20"/>
      <c r="H5" s="21"/>
      <c r="I5" s="21"/>
      <c r="J5" s="21"/>
      <c r="K5" s="21"/>
      <c r="L5" s="21"/>
    </row>
    <row r="6" spans="1:40" ht="15.6" x14ac:dyDescent="0.3">
      <c r="A6" s="68"/>
      <c r="B6" s="108" t="s">
        <v>148</v>
      </c>
      <c r="D6" s="158">
        <v>5.5E-2</v>
      </c>
      <c r="E6" s="158">
        <v>0.04</v>
      </c>
      <c r="G6" s="108" t="s">
        <v>156</v>
      </c>
      <c r="I6" s="158">
        <v>0.26500000000000001</v>
      </c>
      <c r="J6" s="158">
        <v>0.28000000000000003</v>
      </c>
      <c r="N6" s="119"/>
      <c r="AE6" s="60"/>
    </row>
    <row r="7" spans="1:40" ht="15.6" x14ac:dyDescent="0.3">
      <c r="A7" s="68"/>
      <c r="B7" s="108" t="s">
        <v>149</v>
      </c>
      <c r="D7" s="158">
        <v>0.05</v>
      </c>
      <c r="E7" s="158">
        <v>0.04</v>
      </c>
      <c r="G7" s="108" t="s">
        <v>157</v>
      </c>
      <c r="I7" s="158">
        <v>0.375</v>
      </c>
      <c r="J7" s="158">
        <v>0.38500000000000001</v>
      </c>
      <c r="N7" s="119"/>
      <c r="AE7" s="60"/>
    </row>
    <row r="8" spans="1:40" ht="15.6" x14ac:dyDescent="0.3">
      <c r="A8" s="68"/>
      <c r="B8" s="108" t="s">
        <v>150</v>
      </c>
      <c r="D8" s="158">
        <v>0.06</v>
      </c>
      <c r="E8" s="158">
        <v>0.05</v>
      </c>
      <c r="G8" s="108" t="s">
        <v>158</v>
      </c>
      <c r="I8" s="158">
        <v>0.59499999999999997</v>
      </c>
      <c r="J8" s="158">
        <v>0.60499999999999998</v>
      </c>
      <c r="AE8" s="60"/>
    </row>
    <row r="9" spans="1:40" ht="15.6" x14ac:dyDescent="0.3">
      <c r="A9" s="68"/>
      <c r="B9" s="108" t="s">
        <v>151</v>
      </c>
      <c r="D9" s="158">
        <v>0.04</v>
      </c>
      <c r="E9" s="158">
        <v>0.05</v>
      </c>
      <c r="G9" s="108" t="s">
        <v>159</v>
      </c>
      <c r="I9" s="158">
        <v>0.36499999999999999</v>
      </c>
      <c r="J9" s="158">
        <v>0.38</v>
      </c>
      <c r="AE9" s="60"/>
    </row>
    <row r="10" spans="1:40" ht="15.6" x14ac:dyDescent="0.3">
      <c r="A10" s="68"/>
      <c r="B10" s="108" t="s">
        <v>152</v>
      </c>
      <c r="D10" s="158">
        <v>-0.15</v>
      </c>
      <c r="E10" s="158">
        <v>0</v>
      </c>
      <c r="G10" s="108" t="s">
        <v>160</v>
      </c>
      <c r="I10" s="158">
        <v>7.4999999999999997E-2</v>
      </c>
      <c r="J10" s="158">
        <v>0.09</v>
      </c>
      <c r="AE10" s="60"/>
    </row>
    <row r="11" spans="1:40" ht="15.6" x14ac:dyDescent="0.3">
      <c r="A11" s="68"/>
      <c r="B11" s="108"/>
      <c r="O11" s="108"/>
      <c r="P11" s="108"/>
      <c r="Q11" s="108"/>
      <c r="AE11" s="60"/>
    </row>
    <row r="12" spans="1:40" ht="15.6" x14ac:dyDescent="0.3">
      <c r="A12" s="68"/>
      <c r="B12" s="108" t="s">
        <v>153</v>
      </c>
      <c r="D12" s="115">
        <v>145</v>
      </c>
      <c r="E12" s="115">
        <v>150</v>
      </c>
      <c r="G12" s="108" t="s">
        <v>161</v>
      </c>
      <c r="I12" s="158">
        <v>-3.5999999999999997E-2</v>
      </c>
      <c r="J12" s="158">
        <v>-0.03</v>
      </c>
      <c r="O12" s="108"/>
      <c r="P12" s="108"/>
      <c r="Q12" s="108"/>
      <c r="AE12" s="60"/>
    </row>
    <row r="13" spans="1:40" ht="15.6" x14ac:dyDescent="0.3">
      <c r="A13" s="68"/>
      <c r="B13" s="108" t="s">
        <v>154</v>
      </c>
      <c r="D13" s="158">
        <v>0.02</v>
      </c>
      <c r="E13" s="158">
        <v>1.7999999999999999E-2</v>
      </c>
      <c r="G13" s="108"/>
      <c r="I13" s="119"/>
      <c r="J13" s="119"/>
      <c r="O13" s="108"/>
      <c r="P13" s="108"/>
      <c r="Q13" s="108"/>
      <c r="AE13" s="60"/>
    </row>
    <row r="14" spans="1:40" ht="15.6" x14ac:dyDescent="0.3">
      <c r="A14" s="68"/>
      <c r="B14" s="108" t="s">
        <v>155</v>
      </c>
      <c r="D14" s="158">
        <v>0.59499999999999997</v>
      </c>
      <c r="E14" s="158">
        <v>0.60499999999999998</v>
      </c>
      <c r="G14" s="108"/>
      <c r="I14" s="119"/>
      <c r="J14" s="119"/>
      <c r="O14" s="108"/>
      <c r="P14" s="108"/>
      <c r="Q14" s="108"/>
      <c r="AE14" s="60"/>
    </row>
    <row r="15" spans="1:40" ht="15.6" x14ac:dyDescent="0.3">
      <c r="A15" s="68"/>
      <c r="B15" s="108"/>
      <c r="D15" s="119"/>
      <c r="E15" s="119"/>
      <c r="I15" s="115"/>
      <c r="J15" s="115"/>
      <c r="O15" s="108"/>
      <c r="P15" s="108"/>
      <c r="Q15" s="108"/>
      <c r="AE15" s="60"/>
    </row>
    <row r="16" spans="1:40" ht="15.6" x14ac:dyDescent="0.3">
      <c r="A16" s="68"/>
      <c r="B16" s="108"/>
      <c r="D16" s="119"/>
      <c r="E16" s="119"/>
      <c r="I16" s="119"/>
      <c r="J16" s="119"/>
      <c r="O16" s="108"/>
      <c r="P16" s="108"/>
      <c r="Q16" s="108"/>
      <c r="AE16" s="60"/>
    </row>
    <row r="17" spans="1:40" ht="15.6" x14ac:dyDescent="0.3">
      <c r="A17" s="68"/>
      <c r="B17" s="113"/>
      <c r="AE17" s="60"/>
    </row>
    <row r="18" spans="1:40" ht="14.4" customHeight="1" x14ac:dyDescent="0.3">
      <c r="A18" s="68" t="s">
        <v>40</v>
      </c>
      <c r="B18" s="33" t="s">
        <v>162</v>
      </c>
      <c r="C18" s="33"/>
      <c r="D18" s="33"/>
      <c r="E18" s="33"/>
      <c r="F18" s="33">
        <v>2023</v>
      </c>
      <c r="G18" s="33">
        <v>2024</v>
      </c>
      <c r="H18" s="33">
        <v>2025</v>
      </c>
      <c r="I18" s="34" t="s">
        <v>4</v>
      </c>
      <c r="J18" s="34" t="s">
        <v>5</v>
      </c>
      <c r="K18" s="34" t="s">
        <v>6</v>
      </c>
      <c r="L18" s="34" t="s">
        <v>7</v>
      </c>
      <c r="M18" s="34" t="s">
        <v>8</v>
      </c>
      <c r="N18" s="34" t="s">
        <v>73</v>
      </c>
      <c r="AN18" s="55"/>
    </row>
    <row r="19" spans="1:40" s="19" customFormat="1" ht="1.95" customHeight="1" x14ac:dyDescent="0.3">
      <c r="A19" s="70"/>
      <c r="B19" s="20"/>
      <c r="C19" s="20"/>
      <c r="D19" s="20"/>
      <c r="E19" s="20"/>
      <c r="F19" s="20"/>
      <c r="G19" s="20"/>
      <c r="H19" s="21"/>
      <c r="I19" s="21"/>
      <c r="J19" s="21"/>
      <c r="K19" s="21"/>
      <c r="L19" s="21"/>
    </row>
    <row r="20" spans="1:40" x14ac:dyDescent="0.3">
      <c r="B20" s="82" t="s">
        <v>9</v>
      </c>
      <c r="C20" s="82"/>
      <c r="D20" s="82"/>
      <c r="E20" s="82"/>
      <c r="F20" s="86">
        <f>F23+F38+F41+F44</f>
        <v>45754</v>
      </c>
      <c r="G20" s="86">
        <f>G23+G38+G41+G44</f>
        <v>47061</v>
      </c>
      <c r="H20" s="86">
        <f>H23+H38+H41+H44</f>
        <v>47941</v>
      </c>
      <c r="I20" s="96">
        <f>I23+I38+I41+I44</f>
        <v>49345.106200000002</v>
      </c>
      <c r="J20" s="96">
        <f t="shared" ref="J20:N20" si="0">J23+J38+J41+J44</f>
        <v>51057.966278218759</v>
      </c>
      <c r="K20" s="96">
        <f t="shared" si="0"/>
        <v>52991.002807589663</v>
      </c>
      <c r="L20" s="96">
        <f t="shared" si="0"/>
        <v>55084.738091714193</v>
      </c>
      <c r="M20" s="96">
        <f t="shared" si="0"/>
        <v>57285.186535943823</v>
      </c>
      <c r="N20" s="96">
        <f t="shared" si="0"/>
        <v>59584.484760142135</v>
      </c>
    </row>
    <row r="21" spans="1:40" x14ac:dyDescent="0.3">
      <c r="B21" s="5" t="s">
        <v>76</v>
      </c>
      <c r="C21" s="4"/>
      <c r="D21" s="4"/>
      <c r="E21" s="4"/>
      <c r="F21" s="47">
        <f>(F20-43004)/43004</f>
        <v>6.3947539763742914E-2</v>
      </c>
      <c r="G21" s="47">
        <f>(G20-F20)/F20</f>
        <v>2.8565808453905668E-2</v>
      </c>
      <c r="H21" s="47">
        <f>(H20-G20)/G20</f>
        <v>1.8699135164998618E-2</v>
      </c>
      <c r="I21" s="47">
        <f>(I20-H20)/H20</f>
        <v>2.9288212594647631E-2</v>
      </c>
      <c r="J21" s="47">
        <f t="shared" ref="J21:N21" si="1">(J20-I20)/I20</f>
        <v>3.4711853112168532E-2</v>
      </c>
      <c r="K21" s="47">
        <f t="shared" si="1"/>
        <v>3.7859646011704426E-2</v>
      </c>
      <c r="L21" s="47">
        <f t="shared" si="1"/>
        <v>3.9511146670065542E-2</v>
      </c>
      <c r="M21" s="47">
        <f t="shared" si="1"/>
        <v>3.9946608088904038E-2</v>
      </c>
      <c r="N21" s="47">
        <f t="shared" si="1"/>
        <v>4.0137745257329445E-2</v>
      </c>
    </row>
    <row r="22" spans="1:40" x14ac:dyDescent="0.3"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40" x14ac:dyDescent="0.3">
      <c r="B23" s="81" t="s">
        <v>163</v>
      </c>
      <c r="C23" s="82"/>
      <c r="D23" s="81"/>
      <c r="E23" s="81"/>
      <c r="F23" s="83">
        <f>F26+F29+F32+F35</f>
        <v>39187</v>
      </c>
      <c r="G23" s="83">
        <f>G26+G29+G32+G35</f>
        <v>41892</v>
      </c>
      <c r="H23" s="83">
        <f>H26+H29+H32+H35</f>
        <v>43071</v>
      </c>
      <c r="I23" s="91">
        <f>I26+I29+I32+I35</f>
        <v>45329.440000000002</v>
      </c>
      <c r="J23" s="91">
        <f t="shared" ref="J23:N23" si="2">J26+J29+J32+J35</f>
        <v>47597.898312500009</v>
      </c>
      <c r="K23" s="91">
        <f t="shared" si="2"/>
        <v>49865.110260906251</v>
      </c>
      <c r="L23" s="91">
        <f t="shared" si="2"/>
        <v>52119.664965936063</v>
      </c>
      <c r="M23" s="91">
        <f t="shared" si="2"/>
        <v>54400.814276581186</v>
      </c>
      <c r="N23" s="91">
        <f t="shared" si="2"/>
        <v>56729.897023730744</v>
      </c>
    </row>
    <row r="24" spans="1:40" x14ac:dyDescent="0.3">
      <c r="B24" s="5" t="s">
        <v>76</v>
      </c>
      <c r="C24" s="4"/>
      <c r="D24" s="4"/>
      <c r="E24" s="4"/>
      <c r="F24" s="47"/>
      <c r="G24" s="47">
        <f>(G23-F23)/F23</f>
        <v>6.9027993977594612E-2</v>
      </c>
      <c r="H24" s="47">
        <f>(H23-G23)/G23</f>
        <v>2.8143798338584932E-2</v>
      </c>
      <c r="I24" s="47">
        <f>(I23-H23)/H23</f>
        <v>5.2435281279747448E-2</v>
      </c>
      <c r="J24" s="47">
        <f t="shared" ref="J24:N24" si="3">(J23-I23)/I23</f>
        <v>5.0043819480231969E-2</v>
      </c>
      <c r="K24" s="47">
        <f t="shared" si="3"/>
        <v>4.763260624494494E-2</v>
      </c>
      <c r="L24" s="47">
        <f t="shared" si="3"/>
        <v>4.5213069684062454E-2</v>
      </c>
      <c r="M24" s="47">
        <f t="shared" si="3"/>
        <v>4.3767535960486666E-2</v>
      </c>
      <c r="N24" s="47">
        <f t="shared" si="3"/>
        <v>4.2813380242953392E-2</v>
      </c>
    </row>
    <row r="25" spans="1:40" x14ac:dyDescent="0.3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AE25" s="59"/>
      <c r="AF25" s="59"/>
      <c r="AG25" s="59"/>
      <c r="AH25" s="59"/>
      <c r="AI25" s="59"/>
      <c r="AJ25" s="59"/>
      <c r="AL25" s="5"/>
      <c r="AN25" s="59"/>
    </row>
    <row r="26" spans="1:40" x14ac:dyDescent="0.3">
      <c r="B26" s="1" t="s">
        <v>164</v>
      </c>
      <c r="C26" s="4"/>
      <c r="D26" s="4"/>
      <c r="E26" s="4"/>
      <c r="F26" s="159">
        <v>16973</v>
      </c>
      <c r="G26" s="159">
        <v>18869</v>
      </c>
      <c r="H26" s="159">
        <v>19586</v>
      </c>
      <c r="I26" s="90">
        <f>H26*(1+I102)</f>
        <v>20663.23</v>
      </c>
      <c r="J26" s="90">
        <f t="shared" ref="J26:N26" si="4">I26*(1+J102)</f>
        <v>21722.220537500001</v>
      </c>
      <c r="K26" s="90">
        <f t="shared" si="4"/>
        <v>22754.026013031253</v>
      </c>
      <c r="L26" s="90">
        <f t="shared" si="4"/>
        <v>23749.51465110137</v>
      </c>
      <c r="M26" s="90">
        <f t="shared" si="4"/>
        <v>24735.11950912208</v>
      </c>
      <c r="N26" s="90">
        <f t="shared" si="4"/>
        <v>25724.524289486963</v>
      </c>
      <c r="AE26" s="47"/>
      <c r="AF26" s="47"/>
      <c r="AG26" s="47"/>
      <c r="AH26" s="47"/>
      <c r="AI26" s="47"/>
      <c r="AJ26" s="47"/>
      <c r="AL26" s="5"/>
      <c r="AN26" s="59"/>
    </row>
    <row r="27" spans="1:40" x14ac:dyDescent="0.3">
      <c r="B27" s="5" t="s">
        <v>76</v>
      </c>
      <c r="C27" s="4"/>
      <c r="D27" s="4"/>
      <c r="E27" s="4"/>
      <c r="F27" s="47"/>
      <c r="G27" s="47">
        <f>(G26-F26)/F26</f>
        <v>0.11170682849231132</v>
      </c>
      <c r="H27" s="47">
        <f>(H26-G26)/G26</f>
        <v>3.7998834066458209E-2</v>
      </c>
      <c r="I27" s="47">
        <f>(I26-H26)/H26</f>
        <v>5.4999999999999979E-2</v>
      </c>
      <c r="J27" s="47">
        <f t="shared" ref="J27:N27" si="5">(J26-I26)/I26</f>
        <v>5.125000000000008E-2</v>
      </c>
      <c r="K27" s="47">
        <f t="shared" si="5"/>
        <v>4.7500000000000063E-2</v>
      </c>
      <c r="L27" s="47">
        <f t="shared" si="5"/>
        <v>4.3749999999999997E-2</v>
      </c>
      <c r="M27" s="47">
        <f t="shared" si="5"/>
        <v>4.1500000000000127E-2</v>
      </c>
      <c r="N27" s="47">
        <f t="shared" si="5"/>
        <v>3.999999999999998E-2</v>
      </c>
      <c r="AE27" s="46"/>
      <c r="AF27" s="46"/>
      <c r="AG27" s="46"/>
      <c r="AH27" s="46"/>
      <c r="AI27" s="46"/>
      <c r="AJ27" s="46"/>
      <c r="AL27" s="5"/>
      <c r="AN27" s="59"/>
    </row>
    <row r="28" spans="1:40" x14ac:dyDescent="0.3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AE28" s="47"/>
      <c r="AF28" s="47"/>
      <c r="AG28" s="47"/>
      <c r="AH28" s="47"/>
      <c r="AI28" s="47"/>
      <c r="AJ28" s="47"/>
      <c r="AL28" s="5"/>
      <c r="AN28" s="59"/>
    </row>
    <row r="29" spans="1:40" x14ac:dyDescent="0.3">
      <c r="B29" s="1" t="s">
        <v>165</v>
      </c>
      <c r="C29" s="4"/>
      <c r="D29" s="4"/>
      <c r="E29" s="4"/>
      <c r="F29" s="159">
        <v>10838</v>
      </c>
      <c r="G29" s="159">
        <v>10958</v>
      </c>
      <c r="H29" s="159">
        <v>11513</v>
      </c>
      <c r="I29" s="90">
        <f>H29*(1+I103)</f>
        <v>12088.65</v>
      </c>
      <c r="J29" s="90">
        <f t="shared" ref="J29:N29" si="6">I29*(1+J103)</f>
        <v>12662.860875</v>
      </c>
      <c r="K29" s="90">
        <f t="shared" si="6"/>
        <v>13232.689614375</v>
      </c>
      <c r="L29" s="90">
        <f t="shared" si="6"/>
        <v>13795.078922985937</v>
      </c>
      <c r="M29" s="90">
        <f t="shared" si="6"/>
        <v>14360.677158828359</v>
      </c>
      <c r="N29" s="90">
        <f t="shared" si="6"/>
        <v>14935.104245181494</v>
      </c>
      <c r="AE29" s="46"/>
      <c r="AL29" s="5"/>
      <c r="AN29" s="59"/>
    </row>
    <row r="30" spans="1:40" x14ac:dyDescent="0.3">
      <c r="B30" s="5" t="s">
        <v>76</v>
      </c>
      <c r="C30" s="4"/>
      <c r="D30" s="4"/>
      <c r="E30" s="4"/>
      <c r="F30" s="47"/>
      <c r="G30" s="47">
        <f>(G29-F29)/F29</f>
        <v>1.1072153533862336E-2</v>
      </c>
      <c r="H30" s="47">
        <f>(H29-G29)/G29</f>
        <v>5.0647928454097463E-2</v>
      </c>
      <c r="I30" s="47">
        <f>(I29-H29)/H29</f>
        <v>4.9999999999999968E-2</v>
      </c>
      <c r="J30" s="47">
        <f t="shared" ref="J30:N30" si="7">(J29-I29)/I29</f>
        <v>4.7500000000000056E-2</v>
      </c>
      <c r="K30" s="47">
        <f t="shared" si="7"/>
        <v>4.4999999999999978E-2</v>
      </c>
      <c r="L30" s="47">
        <f t="shared" si="7"/>
        <v>4.2499999999999927E-2</v>
      </c>
      <c r="M30" s="47">
        <f t="shared" si="7"/>
        <v>4.0999999999999939E-2</v>
      </c>
      <c r="N30" s="47">
        <f t="shared" si="7"/>
        <v>4.0000000000000022E-2</v>
      </c>
      <c r="AE30" s="57"/>
      <c r="AF30" s="57"/>
      <c r="AG30" s="57"/>
      <c r="AH30" s="57"/>
      <c r="AI30" s="57"/>
      <c r="AJ30" s="57"/>
      <c r="AL30" s="5"/>
      <c r="AN30" s="59"/>
    </row>
    <row r="31" spans="1:40" x14ac:dyDescent="0.3">
      <c r="B31" s="5"/>
      <c r="C31" s="4"/>
      <c r="D31" s="4"/>
      <c r="E31" s="4"/>
      <c r="F31" s="47"/>
      <c r="G31" s="47"/>
      <c r="H31" s="47"/>
      <c r="I31" s="47"/>
      <c r="J31" s="47"/>
      <c r="K31" s="47"/>
      <c r="L31" s="47"/>
      <c r="M31" s="47"/>
      <c r="N31" s="47"/>
      <c r="AE31" s="57"/>
      <c r="AF31" s="57"/>
      <c r="AG31" s="57"/>
      <c r="AH31" s="57"/>
      <c r="AI31" s="57"/>
      <c r="AJ31" s="57"/>
      <c r="AL31" s="5"/>
      <c r="AN31" s="59"/>
    </row>
    <row r="32" spans="1:40" ht="14.4" customHeight="1" x14ac:dyDescent="0.3">
      <c r="B32" s="1" t="s">
        <v>166</v>
      </c>
      <c r="C32" s="4"/>
      <c r="D32" s="4"/>
      <c r="E32" s="4"/>
      <c r="F32" s="159">
        <v>5834</v>
      </c>
      <c r="G32" s="159">
        <v>6471</v>
      </c>
      <c r="H32" s="159">
        <v>6334</v>
      </c>
      <c r="I32" s="90">
        <f>H32*(1+I104)</f>
        <v>6714.04</v>
      </c>
      <c r="J32" s="90">
        <f t="shared" ref="J32:N32" si="8">I32*(1+J104)</f>
        <v>7100.0973000000004</v>
      </c>
      <c r="K32" s="90">
        <f t="shared" si="8"/>
        <v>7490.6026515000003</v>
      </c>
      <c r="L32" s="90">
        <f t="shared" si="8"/>
        <v>7883.85929070375</v>
      </c>
      <c r="M32" s="90">
        <f t="shared" si="8"/>
        <v>8285.9361145296407</v>
      </c>
      <c r="N32" s="90">
        <f t="shared" si="8"/>
        <v>8700.2329202561232</v>
      </c>
      <c r="T32" s="5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L32" s="5"/>
      <c r="AN32" s="59"/>
    </row>
    <row r="33" spans="1:40" ht="14.4" customHeight="1" x14ac:dyDescent="0.3">
      <c r="B33" s="5" t="s">
        <v>76</v>
      </c>
      <c r="C33" s="4"/>
      <c r="D33" s="4"/>
      <c r="E33" s="4"/>
      <c r="F33" s="47"/>
      <c r="G33" s="47">
        <f>(G32-F32)/F32</f>
        <v>0.10918752142612273</v>
      </c>
      <c r="H33" s="47">
        <f>(H32-G32)/G32</f>
        <v>-2.1171380003090712E-2</v>
      </c>
      <c r="I33" s="47">
        <f>(I32-H32)/H32</f>
        <v>5.9999999999999991E-2</v>
      </c>
      <c r="J33" s="47">
        <f t="shared" ref="J33:N33" si="9">(J32-I32)/I32</f>
        <v>5.7500000000000058E-2</v>
      </c>
      <c r="K33" s="47">
        <f t="shared" si="9"/>
        <v>5.4999999999999993E-2</v>
      </c>
      <c r="L33" s="47">
        <f t="shared" si="9"/>
        <v>5.2499999999999963E-2</v>
      </c>
      <c r="M33" s="47">
        <f t="shared" si="9"/>
        <v>5.099999999999992E-2</v>
      </c>
      <c r="N33" s="47">
        <f t="shared" si="9"/>
        <v>5.0000000000000058E-2</v>
      </c>
      <c r="T33" s="5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L33" s="5"/>
      <c r="AN33" s="59"/>
    </row>
    <row r="34" spans="1:40" ht="14.4" customHeight="1" x14ac:dyDescent="0.3">
      <c r="B34" s="5"/>
      <c r="C34" s="4"/>
      <c r="D34" s="4"/>
      <c r="E34" s="4"/>
      <c r="F34" s="47"/>
      <c r="G34" s="47"/>
      <c r="H34" s="47"/>
      <c r="I34" s="47"/>
      <c r="J34" s="47"/>
      <c r="K34" s="47"/>
      <c r="L34" s="47"/>
      <c r="M34" s="47"/>
      <c r="N34" s="47"/>
      <c r="T34" s="5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L34" s="5"/>
      <c r="AN34" s="59"/>
    </row>
    <row r="35" spans="1:40" ht="14.4" customHeight="1" x14ac:dyDescent="0.3">
      <c r="B35" s="1" t="s">
        <v>167</v>
      </c>
      <c r="C35" s="4"/>
      <c r="D35" s="4"/>
      <c r="E35" s="4"/>
      <c r="F35" s="159">
        <v>5542</v>
      </c>
      <c r="G35" s="159">
        <v>5594</v>
      </c>
      <c r="H35" s="159">
        <v>5638</v>
      </c>
      <c r="I35" s="90">
        <f>H35*(1+I105)</f>
        <v>5863.52</v>
      </c>
      <c r="J35" s="90">
        <f t="shared" ref="J35:N35" si="10">I35*(1+J105)</f>
        <v>6112.7196000000004</v>
      </c>
      <c r="K35" s="90">
        <f t="shared" si="10"/>
        <v>6387.7919819999997</v>
      </c>
      <c r="L35" s="90">
        <f t="shared" si="10"/>
        <v>6691.2121011449999</v>
      </c>
      <c r="M35" s="90">
        <f t="shared" si="10"/>
        <v>7019.081494101104</v>
      </c>
      <c r="N35" s="90">
        <f t="shared" si="10"/>
        <v>7370.0355688061591</v>
      </c>
      <c r="T35" s="5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L35" s="5"/>
      <c r="AN35" s="59"/>
    </row>
    <row r="36" spans="1:40" ht="14.4" customHeight="1" x14ac:dyDescent="0.3">
      <c r="B36" s="5" t="s">
        <v>76</v>
      </c>
      <c r="C36" s="4"/>
      <c r="D36" s="4"/>
      <c r="E36" s="4"/>
      <c r="F36" s="47"/>
      <c r="G36" s="47">
        <f>(G35-F35)/F35</f>
        <v>9.3828942619992774E-3</v>
      </c>
      <c r="H36" s="47">
        <f>(H35-G35)/G35</f>
        <v>7.8655702538434034E-3</v>
      </c>
      <c r="I36" s="47">
        <f>(I35-H35)/H35</f>
        <v>4.0000000000000077E-2</v>
      </c>
      <c r="J36" s="47">
        <f t="shared" ref="J36:N36" si="11">(J35-I35)/I35</f>
        <v>4.2499999999999982E-2</v>
      </c>
      <c r="K36" s="47">
        <f t="shared" si="11"/>
        <v>4.4999999999999894E-2</v>
      </c>
      <c r="L36" s="47">
        <f t="shared" si="11"/>
        <v>4.7500000000000028E-2</v>
      </c>
      <c r="M36" s="47">
        <f t="shared" si="11"/>
        <v>4.8999999999999863E-2</v>
      </c>
      <c r="N36" s="47">
        <f t="shared" si="11"/>
        <v>4.9999999999999982E-2</v>
      </c>
      <c r="T36" s="5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L36" s="5"/>
      <c r="AN36" s="59"/>
    </row>
    <row r="37" spans="1:40" ht="14.4" customHeight="1" x14ac:dyDescent="0.3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T37" s="5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L37" s="5"/>
      <c r="AN37" s="59"/>
    </row>
    <row r="38" spans="1:40" ht="14.4" customHeight="1" x14ac:dyDescent="0.3">
      <c r="B38" s="81" t="s">
        <v>168</v>
      </c>
      <c r="C38" s="82"/>
      <c r="D38" s="82"/>
      <c r="E38" s="81"/>
      <c r="F38" s="160">
        <v>7860</v>
      </c>
      <c r="G38" s="160">
        <v>6223</v>
      </c>
      <c r="H38" s="160">
        <v>5735</v>
      </c>
      <c r="I38" s="91">
        <f>H38*(1+I108)</f>
        <v>4874.75</v>
      </c>
      <c r="J38" s="91">
        <f t="shared" ref="J38:N38" si="12">I38*(1+J108)</f>
        <v>4326.3406249999998</v>
      </c>
      <c r="K38" s="91">
        <f t="shared" si="12"/>
        <v>4001.8650781249999</v>
      </c>
      <c r="L38" s="91">
        <f t="shared" si="12"/>
        <v>3851.7951376953124</v>
      </c>
      <c r="M38" s="91">
        <f t="shared" si="12"/>
        <v>3794.0182106298826</v>
      </c>
      <c r="N38" s="91">
        <f t="shared" si="12"/>
        <v>3794.0182106298826</v>
      </c>
      <c r="T38" s="53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</row>
    <row r="39" spans="1:40" ht="14.4" customHeight="1" x14ac:dyDescent="0.3">
      <c r="A39" s="70"/>
      <c r="B39" s="5" t="s">
        <v>76</v>
      </c>
      <c r="C39" s="4"/>
      <c r="D39" s="4"/>
      <c r="E39" s="4"/>
      <c r="F39" s="47"/>
      <c r="G39" s="47">
        <f>(G38-F38)/F38</f>
        <v>-0.20826972010178116</v>
      </c>
      <c r="H39" s="47">
        <f>(H38-G38)/G38</f>
        <v>-7.8418769082436127E-2</v>
      </c>
      <c r="I39" s="47">
        <f>(I38-H38)/H38</f>
        <v>-0.15</v>
      </c>
      <c r="J39" s="47">
        <f t="shared" ref="J39:N39" si="13">(J38-I38)/I38</f>
        <v>-0.11250000000000003</v>
      </c>
      <c r="K39" s="47">
        <f t="shared" si="13"/>
        <v>-7.4999999999999997E-2</v>
      </c>
      <c r="L39" s="47">
        <f t="shared" si="13"/>
        <v>-3.7499999999999992E-2</v>
      </c>
      <c r="M39" s="47">
        <f t="shared" si="13"/>
        <v>-1.5000000000000041E-2</v>
      </c>
      <c r="N39" s="47">
        <f t="shared" si="13"/>
        <v>0</v>
      </c>
      <c r="AL39" s="53"/>
      <c r="AM39" s="4"/>
      <c r="AN39" s="62"/>
    </row>
    <row r="40" spans="1:40" ht="14.4" customHeight="1" x14ac:dyDescent="0.3">
      <c r="A40" s="70"/>
      <c r="B40" s="5"/>
      <c r="C40" s="4"/>
      <c r="D40" s="4"/>
      <c r="E40" s="4"/>
      <c r="F40" s="47"/>
      <c r="G40" s="47"/>
      <c r="H40" s="47"/>
      <c r="I40" s="47"/>
      <c r="J40" s="47"/>
      <c r="K40" s="47"/>
      <c r="L40" s="47"/>
      <c r="M40" s="47"/>
      <c r="N40" s="47"/>
      <c r="AL40" s="53"/>
      <c r="AM40" s="4"/>
      <c r="AN40" s="62"/>
    </row>
    <row r="41" spans="1:40" ht="14.4" customHeight="1" x14ac:dyDescent="0.3">
      <c r="A41" s="70"/>
      <c r="B41" s="1" t="s">
        <v>169</v>
      </c>
      <c r="C41" s="4"/>
      <c r="D41" s="4"/>
      <c r="E41" s="4"/>
      <c r="F41" s="159">
        <v>140</v>
      </c>
      <c r="G41" s="159">
        <v>110</v>
      </c>
      <c r="H41" s="159">
        <v>144</v>
      </c>
      <c r="I41" s="8">
        <f>I112</f>
        <v>145</v>
      </c>
      <c r="J41" s="8">
        <f t="shared" ref="J41:N41" si="14">J112</f>
        <v>146.25</v>
      </c>
      <c r="K41" s="8">
        <f t="shared" si="14"/>
        <v>147.5</v>
      </c>
      <c r="L41" s="8">
        <f t="shared" si="14"/>
        <v>148.75</v>
      </c>
      <c r="M41" s="8">
        <f t="shared" si="14"/>
        <v>149.5</v>
      </c>
      <c r="N41" s="8">
        <f t="shared" si="14"/>
        <v>150</v>
      </c>
      <c r="AL41" s="53"/>
      <c r="AM41" s="4"/>
      <c r="AN41" s="62"/>
    </row>
    <row r="42" spans="1:40" ht="14.4" customHeight="1" x14ac:dyDescent="0.3">
      <c r="A42" s="70"/>
      <c r="B42" s="5"/>
      <c r="C42" s="4"/>
      <c r="D42" s="4"/>
      <c r="E42" s="4"/>
      <c r="F42" s="47"/>
      <c r="G42" s="47"/>
      <c r="H42" s="47"/>
      <c r="I42" s="47"/>
      <c r="J42" s="47"/>
      <c r="K42" s="47"/>
      <c r="L42" s="47"/>
      <c r="M42" s="47"/>
      <c r="N42" s="47"/>
      <c r="AL42" s="53"/>
      <c r="AM42" s="4"/>
      <c r="AN42" s="62"/>
    </row>
    <row r="43" spans="1:40" ht="14.4" customHeight="1" x14ac:dyDescent="0.3">
      <c r="A43" s="7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AL43" s="53"/>
      <c r="AM43" s="4"/>
      <c r="AN43" s="62"/>
    </row>
    <row r="44" spans="1:40" ht="14.4" customHeight="1" x14ac:dyDescent="0.3">
      <c r="A44" s="70"/>
      <c r="B44" s="1" t="s">
        <v>170</v>
      </c>
      <c r="C44" s="4"/>
      <c r="D44" s="4"/>
      <c r="E44" s="4"/>
      <c r="F44" s="161">
        <v>-1433</v>
      </c>
      <c r="G44" s="161">
        <v>-1164</v>
      </c>
      <c r="H44" s="161">
        <v>-1009</v>
      </c>
      <c r="I44" s="64">
        <f>-(I23+I38)*I113</f>
        <v>-1004.0838000000001</v>
      </c>
      <c r="J44" s="8">
        <f t="shared" ref="J44:N44" si="15">-(J23+J38)*J113</f>
        <v>-1012.5226592812501</v>
      </c>
      <c r="K44" s="8">
        <f t="shared" si="15"/>
        <v>-1023.4725314415938</v>
      </c>
      <c r="L44" s="8">
        <f t="shared" si="15"/>
        <v>-1035.4720119171805</v>
      </c>
      <c r="M44" s="8">
        <f t="shared" si="15"/>
        <v>-1059.1459512672413</v>
      </c>
      <c r="N44" s="8">
        <f t="shared" si="15"/>
        <v>-1089.4304742184911</v>
      </c>
      <c r="AL44" s="53"/>
      <c r="AM44" s="4"/>
      <c r="AN44" s="62"/>
    </row>
    <row r="45" spans="1:40" ht="14.4" customHeight="1" x14ac:dyDescent="0.3">
      <c r="A45" s="70"/>
      <c r="B45" s="5"/>
      <c r="C45" s="4"/>
      <c r="D45" s="4"/>
      <c r="E45" s="4"/>
      <c r="F45" s="47"/>
      <c r="G45" s="47"/>
      <c r="H45" s="47"/>
      <c r="I45" s="129"/>
      <c r="J45" s="47"/>
      <c r="K45" s="47"/>
      <c r="L45" s="47"/>
      <c r="M45" s="47"/>
      <c r="N45" s="47"/>
      <c r="AL45" s="53"/>
      <c r="AM45" s="4"/>
      <c r="AN45" s="62"/>
    </row>
    <row r="46" spans="1:40" ht="14.4" customHeight="1" x14ac:dyDescent="0.3">
      <c r="A46" s="70"/>
      <c r="B46" s="5"/>
      <c r="C46" s="4"/>
      <c r="D46" s="4"/>
      <c r="E46" s="4"/>
      <c r="F46" s="47"/>
      <c r="G46" s="47"/>
      <c r="H46" s="47"/>
      <c r="I46" s="129"/>
      <c r="J46" s="47"/>
      <c r="K46" s="47"/>
      <c r="L46" s="47"/>
      <c r="M46" s="47"/>
      <c r="N46" s="47"/>
      <c r="AL46" s="53"/>
      <c r="AM46" s="4"/>
      <c r="AN46" s="62"/>
    </row>
    <row r="47" spans="1:40" ht="14.4" customHeight="1" x14ac:dyDescent="0.3">
      <c r="A47" s="70"/>
      <c r="B47" s="81"/>
      <c r="C47" s="82"/>
      <c r="D47" s="82"/>
      <c r="E47" s="81"/>
      <c r="F47" s="83"/>
      <c r="G47" s="83"/>
      <c r="H47" s="83"/>
      <c r="I47" s="91"/>
      <c r="J47" s="91"/>
      <c r="K47" s="91"/>
      <c r="L47" s="91"/>
      <c r="M47" s="91"/>
      <c r="N47" s="91"/>
      <c r="AL47" s="53"/>
      <c r="AM47" s="4"/>
      <c r="AN47" s="62"/>
    </row>
    <row r="48" spans="1:40" ht="14.4" customHeight="1" x14ac:dyDescent="0.3">
      <c r="A48" s="70"/>
      <c r="B48" s="5"/>
      <c r="C48" s="4"/>
      <c r="D48" s="4"/>
      <c r="E48" s="4"/>
      <c r="F48" s="47"/>
      <c r="G48" s="47"/>
      <c r="H48" s="47"/>
      <c r="I48" s="47"/>
      <c r="J48" s="47"/>
      <c r="K48" s="47"/>
      <c r="L48" s="47"/>
      <c r="M48" s="47"/>
      <c r="N48" s="47"/>
      <c r="AL48" s="53"/>
      <c r="AM48" s="4"/>
      <c r="AN48" s="62"/>
    </row>
    <row r="49" spans="1:40" ht="14.4" customHeight="1" x14ac:dyDescent="0.3">
      <c r="A49" s="70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AL49" s="53"/>
      <c r="AM49" s="4"/>
      <c r="AN49" s="62"/>
    </row>
    <row r="50" spans="1:40" x14ac:dyDescent="0.3">
      <c r="B50" s="81"/>
      <c r="C50" s="82"/>
      <c r="D50" s="82"/>
      <c r="E50" s="81"/>
      <c r="F50" s="133"/>
      <c r="G50" s="133"/>
      <c r="H50" s="133"/>
      <c r="I50" s="91"/>
      <c r="J50" s="91"/>
      <c r="K50" s="91"/>
      <c r="L50" s="91"/>
      <c r="M50" s="91"/>
      <c r="N50" s="91"/>
    </row>
    <row r="51" spans="1:40" ht="14.4" customHeight="1" x14ac:dyDescent="0.3">
      <c r="B51" s="5"/>
      <c r="C51" s="4"/>
      <c r="D51" s="4"/>
      <c r="E51" s="4"/>
      <c r="F51" s="47"/>
      <c r="G51" s="47"/>
      <c r="H51" s="47"/>
      <c r="I51" s="47"/>
      <c r="J51" s="47"/>
      <c r="K51" s="47"/>
      <c r="L51" s="47"/>
      <c r="M51" s="47"/>
      <c r="N51" s="47"/>
    </row>
    <row r="52" spans="1:40" ht="14.4" customHeight="1" x14ac:dyDescent="0.3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40" ht="14.4" customHeight="1" x14ac:dyDescent="0.3">
      <c r="B53" s="81"/>
      <c r="C53" s="82"/>
      <c r="D53" s="82"/>
      <c r="E53" s="81"/>
      <c r="F53" s="133"/>
      <c r="G53" s="133"/>
      <c r="H53" s="133"/>
      <c r="I53" s="95"/>
      <c r="J53" s="95"/>
      <c r="K53" s="95"/>
      <c r="L53" s="95"/>
      <c r="M53" s="95"/>
      <c r="N53" s="95"/>
    </row>
    <row r="54" spans="1:40" ht="14.4" customHeight="1" x14ac:dyDescent="0.3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40" ht="14.4" customHeight="1" x14ac:dyDescent="0.3">
      <c r="A55" s="14" t="s">
        <v>40</v>
      </c>
      <c r="B55" s="33" t="s">
        <v>111</v>
      </c>
      <c r="C55" s="33"/>
      <c r="D55" s="33"/>
      <c r="E55" s="33"/>
      <c r="F55" s="33">
        <v>2023</v>
      </c>
      <c r="G55" s="33">
        <v>2024</v>
      </c>
      <c r="H55" s="33">
        <v>2025</v>
      </c>
      <c r="I55" s="34" t="s">
        <v>4</v>
      </c>
      <c r="J55" s="34" t="s">
        <v>5</v>
      </c>
      <c r="K55" s="34" t="s">
        <v>6</v>
      </c>
      <c r="L55" s="34" t="s">
        <v>7</v>
      </c>
      <c r="M55" s="34" t="s">
        <v>8</v>
      </c>
      <c r="N55" s="34" t="s">
        <v>73</v>
      </c>
    </row>
    <row r="56" spans="1:40" s="19" customFormat="1" ht="1.95" customHeight="1" x14ac:dyDescent="0.3">
      <c r="A56" s="70"/>
      <c r="B56" s="20"/>
      <c r="C56" s="20"/>
      <c r="D56" s="20"/>
      <c r="E56" s="20"/>
      <c r="F56" s="20"/>
      <c r="G56" s="20"/>
      <c r="H56" s="21"/>
      <c r="I56" s="21"/>
      <c r="J56" s="21"/>
      <c r="K56" s="21"/>
      <c r="L56" s="21"/>
    </row>
    <row r="57" spans="1:40" ht="14.4" customHeight="1" x14ac:dyDescent="0.3">
      <c r="B57" s="114" t="s">
        <v>110</v>
      </c>
      <c r="C57" s="114"/>
      <c r="D57" s="114"/>
      <c r="E57" s="114"/>
      <c r="F57" s="112">
        <f>F60+F75+F78</f>
        <v>11311</v>
      </c>
      <c r="G57" s="112">
        <f>G60+G75+G78</f>
        <v>9992</v>
      </c>
      <c r="H57" s="112">
        <f>H60+H75+H78</f>
        <v>13762</v>
      </c>
      <c r="I57" s="112">
        <f>I60+I75+I78</f>
        <v>14733.2207268</v>
      </c>
      <c r="J57" s="112">
        <f t="shared" ref="J57:N57" si="16">J60+J75+J78</f>
        <v>15693.649726635829</v>
      </c>
      <c r="K57" s="112">
        <f t="shared" si="16"/>
        <v>16684.159022503369</v>
      </c>
      <c r="L57" s="112">
        <f t="shared" si="16"/>
        <v>17702.062966850914</v>
      </c>
      <c r="M57" s="112">
        <f t="shared" si="16"/>
        <v>18647.502474614623</v>
      </c>
      <c r="N57" s="112">
        <f t="shared" si="16"/>
        <v>19571.063464504947</v>
      </c>
    </row>
    <row r="58" spans="1:40" ht="14.4" customHeight="1" x14ac:dyDescent="0.3">
      <c r="B58" s="5" t="s">
        <v>10</v>
      </c>
      <c r="C58" s="4"/>
      <c r="D58" s="4"/>
      <c r="E58" s="4"/>
      <c r="F58" s="47">
        <f>F57/F20</f>
        <v>0.24721335839489444</v>
      </c>
      <c r="G58" s="47">
        <f>G57/G20</f>
        <v>0.21232018019166612</v>
      </c>
      <c r="H58" s="47">
        <f>H57/H20</f>
        <v>0.28706117936630443</v>
      </c>
      <c r="I58" s="47">
        <f>I57/I20</f>
        <v>0.29857511436058071</v>
      </c>
      <c r="J58" s="47">
        <f t="shared" ref="J58:N58" si="17">J57/J20</f>
        <v>0.30736926812008009</v>
      </c>
      <c r="K58" s="47">
        <f t="shared" si="17"/>
        <v>0.3148489014839661</v>
      </c>
      <c r="L58" s="47">
        <f t="shared" si="17"/>
        <v>0.32136057245797534</v>
      </c>
      <c r="M58" s="47">
        <f t="shared" si="17"/>
        <v>0.32552049844359277</v>
      </c>
      <c r="N58" s="47">
        <f t="shared" si="17"/>
        <v>0.32845905344803156</v>
      </c>
    </row>
    <row r="59" spans="1:40" ht="14.4" customHeight="1" x14ac:dyDescent="0.3">
      <c r="B59" s="5"/>
      <c r="C59" s="4"/>
      <c r="D59" s="4"/>
      <c r="E59" s="4"/>
      <c r="F59" s="47"/>
      <c r="G59" s="47"/>
      <c r="H59" s="47"/>
      <c r="I59" s="47"/>
      <c r="J59" s="47"/>
      <c r="K59" s="47"/>
      <c r="L59" s="47"/>
      <c r="M59" s="47"/>
      <c r="N59" s="47"/>
    </row>
    <row r="60" spans="1:40" ht="14.4" customHeight="1" x14ac:dyDescent="0.3">
      <c r="B60" s="81" t="s">
        <v>163</v>
      </c>
      <c r="C60" s="82"/>
      <c r="D60" s="81"/>
      <c r="E60" s="81"/>
      <c r="F60" s="83">
        <f>F63+F66+F69+F72</f>
        <v>14450</v>
      </c>
      <c r="G60" s="83">
        <f>G63+G66+G69+G72</f>
        <v>14759</v>
      </c>
      <c r="H60" s="83">
        <f>H63+H66+H69+H72</f>
        <v>15152</v>
      </c>
      <c r="I60" s="92">
        <f>I63+I66+I69+I72</f>
        <v>16144.0383</v>
      </c>
      <c r="J60" s="92">
        <f t="shared" ref="J60:N60" si="18">J63+J66+J69+J72</f>
        <v>17114.450239015627</v>
      </c>
      <c r="K60" s="92">
        <f t="shared" si="18"/>
        <v>18102.708246208516</v>
      </c>
      <c r="L60" s="92">
        <f t="shared" si="18"/>
        <v>19105.014886113691</v>
      </c>
      <c r="M60" s="92">
        <f t="shared" si="18"/>
        <v>20064.658570973759</v>
      </c>
      <c r="N60" s="92">
        <f t="shared" si="18"/>
        <v>21017.13636835252</v>
      </c>
      <c r="O60" s="8"/>
      <c r="P60" s="8"/>
      <c r="Q60" s="8"/>
    </row>
    <row r="61" spans="1:40" ht="14.4" customHeight="1" x14ac:dyDescent="0.3">
      <c r="B61" s="5" t="s">
        <v>171</v>
      </c>
      <c r="C61" s="4"/>
      <c r="D61" s="4"/>
      <c r="E61" s="4"/>
      <c r="F61" s="47">
        <f>F60/F23</f>
        <v>0.3687447367749509</v>
      </c>
      <c r="G61" s="47">
        <f>G60/G23</f>
        <v>0.352310703714313</v>
      </c>
      <c r="H61" s="47">
        <f>H60/H23</f>
        <v>0.35179122843676719</v>
      </c>
      <c r="I61" s="47">
        <f>I60/I23</f>
        <v>0.35614907883265268</v>
      </c>
      <c r="J61" s="47">
        <f t="shared" ref="J61:N61" si="19">J60/J23</f>
        <v>0.35956314975615394</v>
      </c>
      <c r="K61" s="47">
        <f t="shared" si="19"/>
        <v>0.36303355495437173</v>
      </c>
      <c r="L61" s="47">
        <f t="shared" si="19"/>
        <v>0.3665605851188834</v>
      </c>
      <c r="M61" s="47">
        <f t="shared" si="19"/>
        <v>0.36883011472884009</v>
      </c>
      <c r="N61" s="47">
        <f t="shared" si="19"/>
        <v>0.37047725222488626</v>
      </c>
      <c r="O61" s="47"/>
      <c r="P61" s="47"/>
      <c r="Q61" s="47"/>
    </row>
    <row r="62" spans="1:40" ht="14.4" customHeight="1" x14ac:dyDescent="0.3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7"/>
      <c r="P62" s="47"/>
      <c r="Q62" s="47"/>
    </row>
    <row r="63" spans="1:40" ht="14.4" customHeight="1" x14ac:dyDescent="0.3">
      <c r="B63" s="1" t="s">
        <v>164</v>
      </c>
      <c r="C63" s="4"/>
      <c r="D63" s="4"/>
      <c r="E63" s="4"/>
      <c r="F63" s="159">
        <v>4634</v>
      </c>
      <c r="G63" s="159">
        <v>4556</v>
      </c>
      <c r="H63" s="159">
        <v>5070</v>
      </c>
      <c r="I63" s="50">
        <f>I26*I121</f>
        <v>5475.7559499999998</v>
      </c>
      <c r="J63" s="50">
        <f t="shared" ref="J63:N63" si="20">J26*J121</f>
        <v>5837.8467694531264</v>
      </c>
      <c r="K63" s="50">
        <f t="shared" si="20"/>
        <v>6200.4720885510169</v>
      </c>
      <c r="L63" s="50">
        <f t="shared" si="20"/>
        <v>6560.8034223667537</v>
      </c>
      <c r="M63" s="50">
        <f t="shared" si="20"/>
        <v>6888.7307832904999</v>
      </c>
      <c r="N63" s="50">
        <f t="shared" si="20"/>
        <v>7202.8668010563506</v>
      </c>
      <c r="O63" s="4"/>
      <c r="P63" s="4"/>
      <c r="Q63" s="4"/>
    </row>
    <row r="64" spans="1:40" ht="14.4" customHeight="1" x14ac:dyDescent="0.3">
      <c r="A64" s="70"/>
      <c r="B64" s="5" t="s">
        <v>171</v>
      </c>
      <c r="C64" s="4"/>
      <c r="D64" s="4"/>
      <c r="E64" s="4"/>
      <c r="F64" s="47">
        <f>F63/F26</f>
        <v>0.27302185824544867</v>
      </c>
      <c r="G64" s="47">
        <f>G63/G26</f>
        <v>0.24145423710848482</v>
      </c>
      <c r="H64" s="47">
        <f>H63/H26</f>
        <v>0.25885836822219954</v>
      </c>
      <c r="I64" s="47">
        <f>I63/I26</f>
        <v>0.26500000000000001</v>
      </c>
      <c r="J64" s="47">
        <f t="shared" ref="J64:N64" si="21">J63/J26</f>
        <v>0.26875000000000004</v>
      </c>
      <c r="K64" s="47">
        <f t="shared" si="21"/>
        <v>0.27250000000000002</v>
      </c>
      <c r="L64" s="47">
        <f t="shared" si="21"/>
        <v>0.27625</v>
      </c>
      <c r="M64" s="47">
        <f t="shared" si="21"/>
        <v>0.27850000000000003</v>
      </c>
      <c r="N64" s="47">
        <f t="shared" si="21"/>
        <v>0.28000000000000003</v>
      </c>
      <c r="O64" s="8"/>
      <c r="P64" s="8"/>
      <c r="Q64" s="8"/>
    </row>
    <row r="65" spans="2:17" ht="14.4" customHeight="1" x14ac:dyDescent="0.3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7"/>
      <c r="P65" s="47"/>
      <c r="Q65" s="47"/>
    </row>
    <row r="66" spans="2:17" x14ac:dyDescent="0.3">
      <c r="B66" s="1" t="s">
        <v>165</v>
      </c>
      <c r="C66" s="4"/>
      <c r="D66" s="4"/>
      <c r="E66" s="4"/>
      <c r="F66" s="159">
        <v>4323</v>
      </c>
      <c r="G66" s="159">
        <v>4255</v>
      </c>
      <c r="H66" s="159">
        <v>4298</v>
      </c>
      <c r="I66" s="50">
        <f>I29*I122</f>
        <v>4533.2437499999996</v>
      </c>
      <c r="J66" s="50">
        <f t="shared" ref="J66:N66" si="22">J29*J122</f>
        <v>4780.2299803124997</v>
      </c>
      <c r="K66" s="50">
        <f t="shared" si="22"/>
        <v>5028.4220534625001</v>
      </c>
      <c r="L66" s="50">
        <f t="shared" si="22"/>
        <v>5276.6176880421208</v>
      </c>
      <c r="M66" s="50">
        <f t="shared" si="22"/>
        <v>5514.50002899009</v>
      </c>
      <c r="N66" s="50">
        <f t="shared" si="22"/>
        <v>5750.0151343948755</v>
      </c>
      <c r="O66" s="4"/>
      <c r="P66" s="4"/>
      <c r="Q66" s="4"/>
    </row>
    <row r="67" spans="2:17" ht="14.4" customHeight="1" x14ac:dyDescent="0.3">
      <c r="B67" s="5" t="s">
        <v>171</v>
      </c>
      <c r="C67" s="4"/>
      <c r="D67" s="4"/>
      <c r="E67" s="4"/>
      <c r="F67" s="47">
        <f>F66/F29</f>
        <v>0.39887433105739067</v>
      </c>
      <c r="G67" s="47">
        <f>G66/G29</f>
        <v>0.38830078481474722</v>
      </c>
      <c r="H67" s="47">
        <f>H66/H29</f>
        <v>0.37331711977764265</v>
      </c>
      <c r="I67" s="47">
        <f>I66/I29</f>
        <v>0.375</v>
      </c>
      <c r="J67" s="47">
        <f t="shared" ref="J67:N67" si="23">J66/J29</f>
        <v>0.37749999999999995</v>
      </c>
      <c r="K67" s="47">
        <f t="shared" si="23"/>
        <v>0.38</v>
      </c>
      <c r="L67" s="47">
        <f t="shared" si="23"/>
        <v>0.38250000000000001</v>
      </c>
      <c r="M67" s="47">
        <f t="shared" si="23"/>
        <v>0.38400000000000001</v>
      </c>
      <c r="N67" s="47">
        <f t="shared" si="23"/>
        <v>0.38500000000000001</v>
      </c>
      <c r="O67" s="4"/>
      <c r="P67" s="4"/>
      <c r="Q67" s="4"/>
    </row>
    <row r="68" spans="2:17" ht="14.4" customHeight="1" x14ac:dyDescent="0.3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spans="2:17" ht="14.4" customHeight="1" x14ac:dyDescent="0.3">
      <c r="B69" s="81" t="s">
        <v>166</v>
      </c>
      <c r="C69" s="82"/>
      <c r="D69" s="82"/>
      <c r="E69" s="81"/>
      <c r="F69" s="162">
        <v>3436</v>
      </c>
      <c r="G69" s="162">
        <v>3792</v>
      </c>
      <c r="H69" s="162">
        <v>3742</v>
      </c>
      <c r="I69" s="98">
        <f>I32*I123</f>
        <v>3994.8537999999999</v>
      </c>
      <c r="J69" s="98">
        <f t="shared" ref="J69:N69" si="24">J32*J123</f>
        <v>4242.3081367499999</v>
      </c>
      <c r="K69" s="98">
        <f t="shared" si="24"/>
        <v>4494.3615909</v>
      </c>
      <c r="L69" s="98">
        <f t="shared" si="24"/>
        <v>4750.0252226490093</v>
      </c>
      <c r="M69" s="98">
        <f t="shared" si="24"/>
        <v>5004.7054131759032</v>
      </c>
      <c r="N69" s="98">
        <f t="shared" si="24"/>
        <v>5263.6409167549546</v>
      </c>
      <c r="O69" s="4"/>
      <c r="P69" s="4"/>
      <c r="Q69" s="4"/>
    </row>
    <row r="70" spans="2:17" ht="14.4" customHeight="1" x14ac:dyDescent="0.3">
      <c r="B70" s="5" t="s">
        <v>171</v>
      </c>
      <c r="C70" s="4"/>
      <c r="D70" s="4"/>
      <c r="E70" s="4"/>
      <c r="F70" s="47">
        <f>F69/F32</f>
        <v>0.58896126157010631</v>
      </c>
      <c r="G70" s="47">
        <f>G69/G32</f>
        <v>0.58599907278627728</v>
      </c>
      <c r="H70" s="47">
        <f>H69/H32</f>
        <v>0.59077991790337858</v>
      </c>
      <c r="I70" s="47">
        <f>I69/I32</f>
        <v>0.59499999999999997</v>
      </c>
      <c r="J70" s="47">
        <f t="shared" ref="J70:N70" si="25">J69/J32</f>
        <v>0.59749999999999992</v>
      </c>
      <c r="K70" s="47">
        <f t="shared" si="25"/>
        <v>0.6</v>
      </c>
      <c r="L70" s="47">
        <f t="shared" si="25"/>
        <v>0.60250000000000004</v>
      </c>
      <c r="M70" s="47">
        <f t="shared" si="25"/>
        <v>0.60399999999999998</v>
      </c>
      <c r="N70" s="47">
        <f t="shared" si="25"/>
        <v>0.60499999999999998</v>
      </c>
    </row>
    <row r="72" spans="2:17" ht="14.4" customHeight="1" x14ac:dyDescent="0.3">
      <c r="B72" s="81" t="s">
        <v>167</v>
      </c>
      <c r="C72" s="82"/>
      <c r="D72" s="82"/>
      <c r="E72" s="81"/>
      <c r="F72" s="160">
        <v>2057</v>
      </c>
      <c r="G72" s="160">
        <v>2156</v>
      </c>
      <c r="H72" s="160">
        <v>2042</v>
      </c>
      <c r="I72" s="91">
        <f>I35*I124</f>
        <v>2140.1848</v>
      </c>
      <c r="J72" s="91">
        <f t="shared" ref="J72:N72" si="26">J35*J124</f>
        <v>2254.0653525000002</v>
      </c>
      <c r="K72" s="91">
        <f t="shared" si="26"/>
        <v>2379.4525132949998</v>
      </c>
      <c r="L72" s="91">
        <f t="shared" si="26"/>
        <v>2517.5685530558062</v>
      </c>
      <c r="M72" s="91">
        <f t="shared" si="26"/>
        <v>2656.722345517268</v>
      </c>
      <c r="N72" s="91">
        <f t="shared" si="26"/>
        <v>2800.6135161463403</v>
      </c>
    </row>
    <row r="73" spans="2:17" ht="14.4" customHeight="1" x14ac:dyDescent="0.3">
      <c r="B73" s="5" t="s">
        <v>171</v>
      </c>
      <c r="C73" s="4"/>
      <c r="D73" s="4"/>
      <c r="E73" s="4"/>
      <c r="F73" s="47">
        <f>F72/F35</f>
        <v>0.37116564417177916</v>
      </c>
      <c r="G73" s="47">
        <f>G72/G35</f>
        <v>0.3854129424383268</v>
      </c>
      <c r="H73" s="47">
        <f>H72/H35</f>
        <v>0.3621851720468251</v>
      </c>
      <c r="I73" s="47">
        <f>I72/I35</f>
        <v>0.36499999999999999</v>
      </c>
      <c r="J73" s="47">
        <f t="shared" ref="J73:N73" si="27">J72/J35</f>
        <v>0.36875000000000002</v>
      </c>
      <c r="K73" s="47">
        <f t="shared" si="27"/>
        <v>0.3725</v>
      </c>
      <c r="L73" s="47">
        <f t="shared" si="27"/>
        <v>0.37624999999999997</v>
      </c>
      <c r="M73" s="47">
        <f t="shared" si="27"/>
        <v>0.3785</v>
      </c>
      <c r="N73" s="47">
        <f t="shared" si="27"/>
        <v>0.38</v>
      </c>
    </row>
    <row r="74" spans="2:17" ht="14.4" customHeight="1" x14ac:dyDescent="0.3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2:17" ht="14.4" customHeight="1" x14ac:dyDescent="0.3">
      <c r="B75" s="81" t="s">
        <v>168</v>
      </c>
      <c r="C75" s="82"/>
      <c r="D75" s="82"/>
      <c r="E75" s="81"/>
      <c r="F75" s="163">
        <v>578</v>
      </c>
      <c r="G75" s="163">
        <v>496</v>
      </c>
      <c r="H75" s="163">
        <v>426</v>
      </c>
      <c r="I75" s="98">
        <f>I38*I125</f>
        <v>365.60624999999999</v>
      </c>
      <c r="J75" s="98">
        <f t="shared" ref="J75:N75" si="28">J38*J125</f>
        <v>340.69932421875001</v>
      </c>
      <c r="K75" s="98">
        <f t="shared" si="28"/>
        <v>330.15386894531247</v>
      </c>
      <c r="L75" s="98">
        <f t="shared" si="28"/>
        <v>332.21733062622064</v>
      </c>
      <c r="M75" s="98">
        <f t="shared" si="28"/>
        <v>335.77061164074456</v>
      </c>
      <c r="N75" s="98">
        <f t="shared" si="28"/>
        <v>341.4616389566894</v>
      </c>
    </row>
    <row r="76" spans="2:17" ht="14.4" customHeight="1" x14ac:dyDescent="0.3">
      <c r="B76" s="5" t="s">
        <v>171</v>
      </c>
      <c r="C76" s="4"/>
      <c r="D76" s="4"/>
      <c r="E76" s="4"/>
      <c r="F76" s="47">
        <f>F75/F38</f>
        <v>7.3536895674300259E-2</v>
      </c>
      <c r="G76" s="47">
        <f>G75/G38</f>
        <v>7.9704322673951472E-2</v>
      </c>
      <c r="H76" s="47">
        <f>H75/H38</f>
        <v>7.4280732345248471E-2</v>
      </c>
      <c r="I76" s="47">
        <f>I75/I38</f>
        <v>7.4999999999999997E-2</v>
      </c>
      <c r="J76" s="47">
        <f t="shared" ref="J76:N76" si="29">J75/J38</f>
        <v>7.8750000000000001E-2</v>
      </c>
      <c r="K76" s="47">
        <f t="shared" si="29"/>
        <v>8.249999999999999E-2</v>
      </c>
      <c r="L76" s="47">
        <f t="shared" si="29"/>
        <v>8.6249999999999993E-2</v>
      </c>
      <c r="M76" s="47">
        <f t="shared" si="29"/>
        <v>8.8499999999999981E-2</v>
      </c>
      <c r="N76" s="47">
        <f t="shared" si="29"/>
        <v>0.09</v>
      </c>
      <c r="O76" s="4"/>
      <c r="P76" s="4"/>
      <c r="Q76" s="4"/>
    </row>
    <row r="77" spans="2:17" ht="14.4" customHeight="1" x14ac:dyDescent="0.3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spans="2:17" ht="14.4" customHeight="1" x14ac:dyDescent="0.3">
      <c r="B78" s="81" t="s">
        <v>172</v>
      </c>
      <c r="C78" s="82"/>
      <c r="D78" s="82"/>
      <c r="E78" s="81"/>
      <c r="F78" s="163">
        <v>-3717</v>
      </c>
      <c r="G78" s="163">
        <v>-5263</v>
      </c>
      <c r="H78" s="163">
        <v>-1816</v>
      </c>
      <c r="I78" s="84">
        <f>I20*I126</f>
        <v>-1776.4238232</v>
      </c>
      <c r="J78" s="84">
        <f t="shared" ref="J78:N78" si="30">J20*J126</f>
        <v>-1761.4998365985471</v>
      </c>
      <c r="K78" s="84">
        <f t="shared" si="30"/>
        <v>-1748.703092650459</v>
      </c>
      <c r="L78" s="84">
        <f t="shared" si="30"/>
        <v>-1735.169249888997</v>
      </c>
      <c r="M78" s="84">
        <f t="shared" si="30"/>
        <v>-1752.9267079998808</v>
      </c>
      <c r="N78" s="84">
        <f t="shared" si="30"/>
        <v>-1787.534542804264</v>
      </c>
    </row>
    <row r="79" spans="2:17" ht="14.4" customHeight="1" x14ac:dyDescent="0.3">
      <c r="B79" s="14" t="s">
        <v>173</v>
      </c>
      <c r="C79" s="14"/>
      <c r="D79" s="14"/>
      <c r="E79" s="14"/>
      <c r="F79" s="164">
        <f>F78/F20</f>
        <v>-8.1238798793548103E-2</v>
      </c>
      <c r="G79" s="164">
        <f>G78/G20</f>
        <v>-0.11183357769703151</v>
      </c>
      <c r="H79" s="164">
        <f>H78/H20</f>
        <v>-3.7879894036419767E-2</v>
      </c>
      <c r="I79" s="164">
        <f>I78/I20</f>
        <v>-3.5999999999999997E-2</v>
      </c>
      <c r="J79" s="14">
        <f t="shared" ref="J79:N79" si="31">J78/J20</f>
        <v>-3.4499999999999996E-2</v>
      </c>
      <c r="K79" s="14">
        <f t="shared" si="31"/>
        <v>-3.3000000000000002E-2</v>
      </c>
      <c r="L79" s="14">
        <f t="shared" si="31"/>
        <v>-3.15E-2</v>
      </c>
      <c r="M79" s="14">
        <f t="shared" si="31"/>
        <v>-3.0599999999999995E-2</v>
      </c>
      <c r="N79" s="14">
        <f t="shared" si="31"/>
        <v>-0.03</v>
      </c>
    </row>
    <row r="80" spans="2:17" ht="14.4" customHeight="1" x14ac:dyDescent="0.3">
      <c r="B80" s="88"/>
      <c r="C80" s="89"/>
      <c r="D80" s="89"/>
      <c r="E80" s="89"/>
      <c r="F80" s="92"/>
      <c r="G80" s="92"/>
      <c r="H80" s="92"/>
      <c r="I80" s="92"/>
      <c r="J80" s="92"/>
      <c r="K80" s="92"/>
      <c r="L80" s="92"/>
      <c r="M80" s="92"/>
      <c r="N80" s="92"/>
    </row>
    <row r="81" spans="2:17" ht="14.4" customHeight="1" x14ac:dyDescent="0.3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</row>
    <row r="82" spans="2:17" ht="14.4" customHeight="1" x14ac:dyDescent="0.3">
      <c r="B82" s="81"/>
      <c r="C82" s="82"/>
      <c r="D82" s="82"/>
      <c r="E82" s="81"/>
      <c r="F82" s="87"/>
      <c r="G82" s="87"/>
      <c r="H82" s="87"/>
      <c r="I82" s="92"/>
      <c r="J82" s="92"/>
      <c r="K82" s="92"/>
      <c r="L82" s="92"/>
      <c r="M82" s="92"/>
      <c r="N82" s="92"/>
    </row>
    <row r="83" spans="2:17" ht="14.4" customHeight="1" x14ac:dyDescent="0.3">
      <c r="B83" s="52"/>
      <c r="F83" s="85"/>
      <c r="G83" s="85"/>
      <c r="H83" s="85"/>
      <c r="I83" s="99"/>
      <c r="J83" s="99"/>
      <c r="K83" s="99"/>
      <c r="L83" s="99"/>
      <c r="M83" s="99"/>
      <c r="N83" s="99"/>
    </row>
    <row r="84" spans="2:17" ht="14.4" customHeight="1" x14ac:dyDescent="0.3">
      <c r="B84" s="5"/>
      <c r="F84" s="85"/>
      <c r="G84" s="85"/>
      <c r="H84" s="85"/>
    </row>
    <row r="85" spans="2:17" ht="14.4" customHeight="1" x14ac:dyDescent="0.3">
      <c r="C85" s="4"/>
      <c r="D85" s="4"/>
      <c r="E85" s="4"/>
      <c r="F85" s="134"/>
      <c r="G85" s="134"/>
      <c r="H85" s="134"/>
      <c r="I85" s="50"/>
      <c r="J85" s="50"/>
      <c r="K85" s="50"/>
      <c r="L85" s="50"/>
      <c r="M85" s="50"/>
      <c r="N85" s="50"/>
    </row>
    <row r="86" spans="2:17" ht="14.4" customHeight="1" x14ac:dyDescent="0.3">
      <c r="B86" s="5"/>
      <c r="C86" s="4"/>
      <c r="D86" s="4"/>
      <c r="E86" s="4"/>
      <c r="F86" s="47"/>
      <c r="G86" s="47"/>
      <c r="H86" s="47"/>
      <c r="I86" s="47"/>
      <c r="J86" s="47"/>
      <c r="K86" s="47"/>
      <c r="L86" s="47"/>
      <c r="M86" s="47"/>
      <c r="N86" s="47"/>
    </row>
    <row r="87" spans="2:17" ht="14.4" customHeight="1" x14ac:dyDescent="0.3">
      <c r="B87" s="5"/>
      <c r="C87" s="4"/>
      <c r="D87" s="4"/>
      <c r="E87" s="4"/>
      <c r="F87" s="47"/>
      <c r="G87" s="47"/>
      <c r="H87" s="47"/>
      <c r="I87" s="47"/>
      <c r="J87" s="47"/>
      <c r="K87" s="47"/>
      <c r="L87" s="47"/>
      <c r="M87" s="47"/>
      <c r="N87" s="47"/>
    </row>
    <row r="88" spans="2:17" ht="14.4" customHeight="1" x14ac:dyDescent="0.3">
      <c r="C88" s="4"/>
      <c r="D88" s="4"/>
      <c r="E88" s="4"/>
      <c r="F88" s="135"/>
      <c r="G88" s="135"/>
      <c r="H88" s="135"/>
      <c r="I88" s="135"/>
      <c r="J88" s="59"/>
      <c r="K88" s="59"/>
      <c r="L88" s="59"/>
      <c r="M88" s="59"/>
      <c r="N88" s="59"/>
    </row>
    <row r="89" spans="2:17" ht="14.4" customHeight="1" x14ac:dyDescent="0.3">
      <c r="B89" s="5"/>
      <c r="C89" s="4"/>
      <c r="D89" s="4"/>
      <c r="E89" s="4"/>
      <c r="F89" s="47"/>
      <c r="G89" s="47"/>
      <c r="H89" s="47"/>
      <c r="I89" s="47"/>
      <c r="J89" s="47"/>
      <c r="K89" s="47"/>
      <c r="L89" s="47"/>
      <c r="M89" s="47"/>
      <c r="N89" s="47"/>
    </row>
    <row r="90" spans="2:17" ht="14.4" customHeight="1" x14ac:dyDescent="0.3">
      <c r="B90" s="5"/>
      <c r="C90" s="4"/>
      <c r="D90" s="4"/>
      <c r="E90" s="4"/>
      <c r="F90" s="47"/>
      <c r="G90" s="47"/>
      <c r="H90" s="47"/>
      <c r="I90" s="47"/>
      <c r="J90" s="47"/>
      <c r="K90" s="47"/>
      <c r="L90" s="47"/>
      <c r="M90" s="47"/>
      <c r="N90" s="47"/>
      <c r="O90" s="44"/>
      <c r="P90" s="44"/>
      <c r="Q90" s="44"/>
    </row>
    <row r="91" spans="2:17" ht="14.4" customHeight="1" x14ac:dyDescent="0.3">
      <c r="C91" s="4"/>
      <c r="D91" s="4"/>
      <c r="E91" s="4"/>
      <c r="F91" s="134"/>
      <c r="G91" s="134"/>
      <c r="H91" s="134"/>
      <c r="I91" s="50"/>
      <c r="J91" s="50"/>
      <c r="K91" s="50"/>
      <c r="L91" s="50"/>
      <c r="M91" s="50"/>
      <c r="N91" s="50"/>
      <c r="O91" s="44"/>
      <c r="P91" s="44"/>
      <c r="Q91" s="44"/>
    </row>
    <row r="92" spans="2:17" ht="14.4" customHeight="1" x14ac:dyDescent="0.3">
      <c r="B92" s="5"/>
      <c r="C92" s="4"/>
      <c r="D92" s="4"/>
      <c r="E92" s="4"/>
      <c r="F92" s="47"/>
      <c r="G92" s="47"/>
      <c r="H92" s="47"/>
      <c r="I92" s="47"/>
      <c r="J92" s="47"/>
      <c r="K92" s="47"/>
      <c r="L92" s="47"/>
      <c r="M92" s="47"/>
      <c r="N92" s="47"/>
      <c r="O92" s="44"/>
      <c r="P92" s="44"/>
      <c r="Q92" s="44"/>
    </row>
    <row r="93" spans="2:17" ht="14.4" customHeight="1" x14ac:dyDescent="0.3">
      <c r="B93" s="5"/>
      <c r="C93" s="4"/>
      <c r="D93" s="4"/>
      <c r="E93" s="4"/>
      <c r="F93" s="47"/>
      <c r="G93" s="47"/>
      <c r="H93" s="47"/>
      <c r="I93" s="47"/>
      <c r="J93" s="47"/>
      <c r="K93" s="47"/>
      <c r="L93" s="47"/>
      <c r="M93" s="47"/>
      <c r="N93" s="47"/>
      <c r="O93" s="44"/>
      <c r="P93" s="44"/>
      <c r="Q93" s="44"/>
    </row>
    <row r="94" spans="2:17" ht="14.4" customHeight="1" x14ac:dyDescent="0.3">
      <c r="C94" s="4"/>
      <c r="D94" s="4"/>
      <c r="E94" s="4"/>
      <c r="F94" s="134"/>
      <c r="G94" s="134"/>
      <c r="H94" s="134"/>
      <c r="I94" s="50"/>
      <c r="J94" s="50"/>
      <c r="K94" s="50"/>
      <c r="L94" s="50"/>
      <c r="M94" s="50"/>
      <c r="N94" s="50"/>
      <c r="O94" s="44"/>
      <c r="P94" s="44"/>
      <c r="Q94" s="44"/>
    </row>
    <row r="95" spans="2:17" ht="14.4" customHeight="1" x14ac:dyDescent="0.3">
      <c r="B95" s="5"/>
      <c r="C95" s="4"/>
      <c r="D95" s="4"/>
      <c r="E95" s="4"/>
      <c r="F95" s="47"/>
      <c r="G95" s="47"/>
      <c r="H95" s="47"/>
      <c r="I95" s="47"/>
      <c r="J95" s="47"/>
      <c r="K95" s="47"/>
      <c r="L95" s="47"/>
      <c r="M95" s="47"/>
      <c r="N95" s="47"/>
      <c r="O95" s="44"/>
      <c r="P95" s="44"/>
      <c r="Q95" s="44"/>
    </row>
    <row r="96" spans="2:17" ht="14.4" customHeight="1" x14ac:dyDescent="0.3">
      <c r="B96" s="5"/>
      <c r="C96" s="4"/>
      <c r="D96" s="4"/>
      <c r="E96" s="4"/>
      <c r="F96" s="47"/>
      <c r="G96" s="47"/>
      <c r="H96" s="47"/>
      <c r="I96" s="47"/>
      <c r="J96" s="47"/>
      <c r="K96" s="47"/>
      <c r="L96" s="47"/>
      <c r="M96" s="47"/>
      <c r="N96" s="47"/>
      <c r="O96" s="44"/>
      <c r="P96" s="44"/>
      <c r="Q96" s="44"/>
    </row>
    <row r="97" spans="1:24" ht="14.4" customHeight="1" x14ac:dyDescent="0.3">
      <c r="A97" s="14" t="s">
        <v>40</v>
      </c>
      <c r="B97" s="33" t="s">
        <v>114</v>
      </c>
      <c r="C97" s="100"/>
      <c r="D97" s="100"/>
      <c r="E97" s="100"/>
      <c r="F97" s="106"/>
      <c r="G97" s="106"/>
      <c r="H97" s="106"/>
      <c r="I97" s="107" t="s">
        <v>4</v>
      </c>
      <c r="J97" s="107" t="s">
        <v>5</v>
      </c>
      <c r="K97" s="107" t="s">
        <v>6</v>
      </c>
      <c r="L97" s="107" t="s">
        <v>7</v>
      </c>
      <c r="M97" s="107" t="s">
        <v>8</v>
      </c>
      <c r="N97" s="107" t="s">
        <v>73</v>
      </c>
      <c r="O97" s="47"/>
      <c r="Q97"/>
      <c r="R97"/>
      <c r="S97"/>
      <c r="T97"/>
      <c r="U97"/>
      <c r="V97"/>
      <c r="W97"/>
      <c r="X97"/>
    </row>
    <row r="98" spans="1:24" s="19" customFormat="1" ht="1.95" customHeight="1" x14ac:dyDescent="0.3">
      <c r="A98" s="70"/>
      <c r="B98" s="20"/>
      <c r="C98" s="20"/>
      <c r="D98" s="20"/>
      <c r="E98" s="20"/>
      <c r="F98" s="20"/>
      <c r="G98" s="20"/>
      <c r="H98" s="21"/>
      <c r="I98" s="21"/>
      <c r="J98" s="21"/>
      <c r="K98" s="21"/>
      <c r="L98" s="21"/>
      <c r="Q98"/>
      <c r="R98"/>
      <c r="S98"/>
      <c r="T98"/>
      <c r="U98"/>
      <c r="V98"/>
      <c r="W98"/>
      <c r="X98"/>
    </row>
    <row r="99" spans="1:24" ht="14.4" customHeight="1" x14ac:dyDescent="0.3">
      <c r="A99" s="1"/>
      <c r="B99" s="52" t="s">
        <v>115</v>
      </c>
      <c r="I99" s="116">
        <v>0</v>
      </c>
      <c r="J99" s="116">
        <v>0.25</v>
      </c>
      <c r="K99" s="116">
        <v>0.5</v>
      </c>
      <c r="L99" s="116">
        <v>0.75</v>
      </c>
      <c r="M99" s="116">
        <v>0.9</v>
      </c>
      <c r="N99" s="116">
        <v>1</v>
      </c>
      <c r="O99"/>
      <c r="P99"/>
      <c r="Q99"/>
      <c r="R99"/>
      <c r="S99"/>
      <c r="T99"/>
      <c r="U99"/>
      <c r="V99"/>
      <c r="W99"/>
      <c r="X99"/>
    </row>
    <row r="100" spans="1:24" ht="14.4" customHeight="1" x14ac:dyDescent="0.3">
      <c r="A100" s="1"/>
      <c r="O100"/>
      <c r="P100"/>
      <c r="Q100"/>
      <c r="R100"/>
      <c r="S100"/>
      <c r="T100"/>
      <c r="U100"/>
      <c r="V100"/>
      <c r="W100"/>
      <c r="X100"/>
    </row>
    <row r="101" spans="1:24" ht="14.4" customHeight="1" x14ac:dyDescent="0.3">
      <c r="A101" s="1"/>
      <c r="B101" s="118" t="s">
        <v>174</v>
      </c>
      <c r="O101"/>
      <c r="P101"/>
      <c r="Q101"/>
      <c r="R101"/>
      <c r="S101"/>
      <c r="T101"/>
      <c r="U101"/>
      <c r="V101"/>
      <c r="W101"/>
      <c r="X101"/>
    </row>
    <row r="102" spans="1:24" ht="14.4" customHeight="1" x14ac:dyDescent="0.3">
      <c r="A102" s="1"/>
      <c r="B102" s="44" t="s">
        <v>164</v>
      </c>
      <c r="I102" s="121">
        <f>D6</f>
        <v>5.5E-2</v>
      </c>
      <c r="J102" s="109">
        <f>$I102+($N102-$I102)*J$99</f>
        <v>5.1250000000000004E-2</v>
      </c>
      <c r="K102" s="109">
        <f t="shared" ref="K102:M105" si="32">$I102+($N102-$I102)*K$99</f>
        <v>4.7500000000000001E-2</v>
      </c>
      <c r="L102" s="109">
        <f t="shared" si="32"/>
        <v>4.3749999999999997E-2</v>
      </c>
      <c r="M102" s="109">
        <f t="shared" si="32"/>
        <v>4.1500000000000002E-2</v>
      </c>
      <c r="N102" s="121">
        <f>E6</f>
        <v>0.04</v>
      </c>
      <c r="O102"/>
      <c r="P102"/>
      <c r="Q102"/>
      <c r="R102"/>
      <c r="S102"/>
      <c r="T102"/>
      <c r="U102"/>
      <c r="V102"/>
      <c r="W102"/>
      <c r="X102"/>
    </row>
    <row r="103" spans="1:24" ht="14.4" customHeight="1" x14ac:dyDescent="0.3">
      <c r="A103" s="1"/>
      <c r="B103" s="44" t="s">
        <v>165</v>
      </c>
      <c r="I103" s="121">
        <f>D7</f>
        <v>0.05</v>
      </c>
      <c r="J103" s="109">
        <f>$I103+($N103-$I103)*J$99</f>
        <v>4.7500000000000001E-2</v>
      </c>
      <c r="K103" s="109">
        <f t="shared" si="32"/>
        <v>4.4999999999999998E-2</v>
      </c>
      <c r="L103" s="109">
        <f t="shared" si="32"/>
        <v>4.2500000000000003E-2</v>
      </c>
      <c r="M103" s="109">
        <f t="shared" si="32"/>
        <v>4.1000000000000002E-2</v>
      </c>
      <c r="N103" s="121">
        <f>E7</f>
        <v>0.04</v>
      </c>
      <c r="O103"/>
      <c r="P103"/>
      <c r="Q103"/>
      <c r="R103"/>
      <c r="S103"/>
      <c r="T103"/>
      <c r="U103"/>
      <c r="V103"/>
      <c r="W103"/>
      <c r="X103"/>
    </row>
    <row r="104" spans="1:24" ht="14.4" customHeight="1" x14ac:dyDescent="0.3">
      <c r="A104" s="1"/>
      <c r="B104" s="44" t="s">
        <v>166</v>
      </c>
      <c r="I104" s="121">
        <f>D8</f>
        <v>0.06</v>
      </c>
      <c r="J104" s="109">
        <f>$I104+($N104-$I104)*J$99</f>
        <v>5.7499999999999996E-2</v>
      </c>
      <c r="K104" s="109">
        <f t="shared" si="32"/>
        <v>5.5E-2</v>
      </c>
      <c r="L104" s="109">
        <f t="shared" si="32"/>
        <v>5.2500000000000005E-2</v>
      </c>
      <c r="M104" s="109">
        <f t="shared" si="32"/>
        <v>5.1000000000000004E-2</v>
      </c>
      <c r="N104" s="121">
        <f>E8</f>
        <v>0.05</v>
      </c>
      <c r="O104"/>
      <c r="P104"/>
    </row>
    <row r="105" spans="1:24" ht="14.4" customHeight="1" x14ac:dyDescent="0.3">
      <c r="A105" s="1"/>
      <c r="B105" s="44" t="s">
        <v>167</v>
      </c>
      <c r="I105" s="121">
        <f>D9</f>
        <v>0.04</v>
      </c>
      <c r="J105" s="109">
        <f>$I105+($N105-$I105)*J$99</f>
        <v>4.2500000000000003E-2</v>
      </c>
      <c r="K105" s="109">
        <f t="shared" si="32"/>
        <v>4.4999999999999998E-2</v>
      </c>
      <c r="L105" s="109">
        <f t="shared" si="32"/>
        <v>4.7500000000000001E-2</v>
      </c>
      <c r="M105" s="109">
        <f t="shared" si="32"/>
        <v>4.9000000000000002E-2</v>
      </c>
      <c r="N105" s="121">
        <f>E9</f>
        <v>0.05</v>
      </c>
      <c r="O105"/>
      <c r="P105"/>
    </row>
    <row r="106" spans="1:24" ht="14.4" customHeight="1" x14ac:dyDescent="0.3">
      <c r="A106" s="1"/>
      <c r="I106" s="111"/>
      <c r="J106" s="111"/>
      <c r="K106" s="111"/>
      <c r="L106" s="111"/>
      <c r="M106" s="111"/>
      <c r="N106" s="111"/>
      <c r="O106"/>
      <c r="P106"/>
    </row>
    <row r="107" spans="1:24" ht="14.4" customHeight="1" x14ac:dyDescent="0.3">
      <c r="A107" s="1"/>
      <c r="B107" s="130" t="s">
        <v>175</v>
      </c>
      <c r="O107"/>
      <c r="P107"/>
    </row>
    <row r="108" spans="1:24" ht="14.4" customHeight="1" x14ac:dyDescent="0.3">
      <c r="A108" s="1"/>
      <c r="B108" s="44" t="s">
        <v>176</v>
      </c>
      <c r="I108" s="121">
        <f>D10</f>
        <v>-0.15</v>
      </c>
      <c r="J108" s="168">
        <f>$I108+($N108-$I108)*J$99</f>
        <v>-0.11249999999999999</v>
      </c>
      <c r="K108" s="168">
        <f t="shared" ref="K108:M108" si="33">$I108+($N108-$I108)*K$99</f>
        <v>-7.4999999999999997E-2</v>
      </c>
      <c r="L108" s="168">
        <f t="shared" si="33"/>
        <v>-3.7500000000000006E-2</v>
      </c>
      <c r="M108" s="168">
        <f t="shared" si="33"/>
        <v>-1.4999999999999986E-2</v>
      </c>
      <c r="N108" s="121">
        <f>E10</f>
        <v>0</v>
      </c>
      <c r="O108"/>
      <c r="P108"/>
      <c r="Q108" s="49"/>
    </row>
    <row r="109" spans="1:24" ht="14.4" customHeight="1" x14ac:dyDescent="0.3">
      <c r="A109" s="1"/>
      <c r="B109" s="44"/>
      <c r="I109" s="121"/>
      <c r="J109" s="109"/>
      <c r="K109" s="109"/>
      <c r="L109" s="109"/>
      <c r="M109" s="109"/>
      <c r="N109" s="121"/>
      <c r="O109"/>
      <c r="P109"/>
      <c r="Q109" s="47"/>
    </row>
    <row r="110" spans="1:24" ht="14.4" customHeight="1" x14ac:dyDescent="0.3">
      <c r="A110" s="1"/>
      <c r="I110" s="111"/>
      <c r="J110" s="111"/>
      <c r="K110" s="111"/>
      <c r="L110" s="111"/>
      <c r="M110" s="111"/>
      <c r="N110" s="111"/>
      <c r="O110"/>
      <c r="P110"/>
      <c r="Q110" s="49"/>
    </row>
    <row r="111" spans="1:24" ht="14.4" customHeight="1" x14ac:dyDescent="0.3">
      <c r="A111" s="1"/>
      <c r="B111" s="130" t="s">
        <v>177</v>
      </c>
      <c r="O111"/>
      <c r="P111"/>
      <c r="Q111" s="47"/>
    </row>
    <row r="112" spans="1:24" ht="14.4" customHeight="1" x14ac:dyDescent="0.3">
      <c r="A112" s="1"/>
      <c r="B112" s="44" t="s">
        <v>153</v>
      </c>
      <c r="I112" s="122">
        <f>D12</f>
        <v>145</v>
      </c>
      <c r="J112" s="170">
        <f>$I112+($N112-$I112)*J$99</f>
        <v>146.25</v>
      </c>
      <c r="K112" s="170">
        <f t="shared" ref="K112:M113" si="34">$I112+($N112-$I112)*K$99</f>
        <v>147.5</v>
      </c>
      <c r="L112" s="170">
        <f t="shared" si="34"/>
        <v>148.75</v>
      </c>
      <c r="M112" s="170">
        <f t="shared" si="34"/>
        <v>149.5</v>
      </c>
      <c r="N112" s="122">
        <f>E12</f>
        <v>150</v>
      </c>
      <c r="O112"/>
      <c r="P112"/>
      <c r="Q112" s="44"/>
    </row>
    <row r="113" spans="1:17" ht="14.4" customHeight="1" x14ac:dyDescent="0.3">
      <c r="A113" s="1"/>
      <c r="B113" s="44" t="s">
        <v>154</v>
      </c>
      <c r="I113" s="121">
        <f>D13</f>
        <v>0.02</v>
      </c>
      <c r="J113" s="168">
        <f>$I113+($N113-$I113)*J$99</f>
        <v>1.95E-2</v>
      </c>
      <c r="K113" s="168">
        <f t="shared" si="34"/>
        <v>1.9E-2</v>
      </c>
      <c r="L113" s="168">
        <f t="shared" si="34"/>
        <v>1.8499999999999999E-2</v>
      </c>
      <c r="M113" s="168">
        <f t="shared" si="34"/>
        <v>1.8199999999999997E-2</v>
      </c>
      <c r="N113" s="121">
        <f>E13</f>
        <v>1.7999999999999999E-2</v>
      </c>
      <c r="O113"/>
      <c r="P113"/>
      <c r="Q113" s="50"/>
    </row>
    <row r="114" spans="1:17" s="19" customFormat="1" ht="14.4" customHeight="1" x14ac:dyDescent="0.3">
      <c r="I114" s="111"/>
      <c r="J114" s="111"/>
      <c r="K114" s="111"/>
      <c r="L114" s="111"/>
      <c r="M114" s="111"/>
      <c r="N114" s="111"/>
      <c r="O114"/>
      <c r="P114"/>
      <c r="Q114" s="50"/>
    </row>
    <row r="115" spans="1:17" ht="14.4" customHeight="1" x14ac:dyDescent="0.3">
      <c r="A115" s="1"/>
      <c r="B115" s="130" t="s">
        <v>178</v>
      </c>
      <c r="O115"/>
      <c r="P115"/>
      <c r="Q115" s="44"/>
    </row>
    <row r="116" spans="1:17" ht="14.4" customHeight="1" x14ac:dyDescent="0.3">
      <c r="A116" s="1"/>
      <c r="B116" s="44" t="s">
        <v>155</v>
      </c>
      <c r="I116" s="121">
        <f>D14</f>
        <v>0.59499999999999997</v>
      </c>
      <c r="J116" s="168">
        <f>$I116+($N116-$I116)*J$99</f>
        <v>0.59749999999999992</v>
      </c>
      <c r="K116" s="168">
        <f t="shared" ref="K116:M116" si="35">$I116+($N116-$I116)*K$99</f>
        <v>0.6</v>
      </c>
      <c r="L116" s="168">
        <f t="shared" si="35"/>
        <v>0.60250000000000004</v>
      </c>
      <c r="M116" s="168">
        <f t="shared" si="35"/>
        <v>0.60399999999999998</v>
      </c>
      <c r="N116" s="121">
        <f>E14</f>
        <v>0.60499999999999998</v>
      </c>
      <c r="O116"/>
      <c r="P116"/>
      <c r="Q116" s="44"/>
    </row>
    <row r="117" spans="1:17" ht="14.4" customHeight="1" x14ac:dyDescent="0.3">
      <c r="A117" s="1"/>
      <c r="B117" s="44"/>
      <c r="I117" s="122"/>
      <c r="J117" s="110"/>
      <c r="K117" s="110"/>
      <c r="L117" s="110"/>
      <c r="M117" s="110"/>
      <c r="N117" s="122"/>
      <c r="O117"/>
      <c r="P117"/>
      <c r="Q117" s="44"/>
    </row>
    <row r="118" spans="1:17" ht="14.4" customHeight="1" x14ac:dyDescent="0.3">
      <c r="A118" s="1"/>
      <c r="B118" s="44"/>
      <c r="I118" s="122"/>
      <c r="J118" s="110"/>
      <c r="K118" s="110"/>
      <c r="L118" s="110"/>
      <c r="M118" s="110"/>
      <c r="N118" s="122"/>
      <c r="O118"/>
      <c r="P118"/>
      <c r="Q118" s="44"/>
    </row>
    <row r="119" spans="1:17" ht="14.4" customHeight="1" x14ac:dyDescent="0.3">
      <c r="A119" s="1"/>
      <c r="I119" s="111"/>
      <c r="J119" s="111"/>
      <c r="K119" s="111"/>
      <c r="L119" s="111"/>
      <c r="M119" s="111"/>
      <c r="N119" s="111"/>
      <c r="O119"/>
      <c r="P119"/>
      <c r="Q119" s="44"/>
    </row>
    <row r="120" spans="1:17" ht="14.4" customHeight="1" x14ac:dyDescent="0.3">
      <c r="A120" s="1"/>
      <c r="B120" s="130" t="s">
        <v>179</v>
      </c>
      <c r="O120"/>
      <c r="P120"/>
      <c r="Q120" s="44"/>
    </row>
    <row r="121" spans="1:17" ht="14.4" customHeight="1" x14ac:dyDescent="0.3">
      <c r="A121" s="1"/>
      <c r="B121" s="44" t="s">
        <v>164</v>
      </c>
      <c r="I121" s="165">
        <f>I6</f>
        <v>0.26500000000000001</v>
      </c>
      <c r="J121" s="168">
        <f>$I121+($N121-$I121)*J$99</f>
        <v>0.26875000000000004</v>
      </c>
      <c r="K121" s="168">
        <f t="shared" ref="K121:M126" si="36">$I121+($N121-$I121)*K$99</f>
        <v>0.27250000000000002</v>
      </c>
      <c r="L121" s="168">
        <f t="shared" si="36"/>
        <v>0.27625</v>
      </c>
      <c r="M121" s="168">
        <f t="shared" si="36"/>
        <v>0.27850000000000003</v>
      </c>
      <c r="N121" s="165">
        <f>J6</f>
        <v>0.28000000000000003</v>
      </c>
      <c r="O121" s="50"/>
      <c r="P121" s="50"/>
      <c r="Q121" s="44"/>
    </row>
    <row r="122" spans="1:17" ht="14.4" customHeight="1" x14ac:dyDescent="0.3">
      <c r="A122" s="1"/>
      <c r="B122" s="44" t="s">
        <v>165</v>
      </c>
      <c r="I122" s="165">
        <f>I7</f>
        <v>0.375</v>
      </c>
      <c r="J122" s="168">
        <f>$I122+($N122-$I122)*J$99</f>
        <v>0.3775</v>
      </c>
      <c r="K122" s="168">
        <f t="shared" si="36"/>
        <v>0.38</v>
      </c>
      <c r="L122" s="168">
        <f t="shared" si="36"/>
        <v>0.38250000000000001</v>
      </c>
      <c r="M122" s="168">
        <f t="shared" si="36"/>
        <v>0.38400000000000001</v>
      </c>
      <c r="N122" s="165">
        <f>J7</f>
        <v>0.38500000000000001</v>
      </c>
    </row>
    <row r="123" spans="1:17" ht="14.4" customHeight="1" x14ac:dyDescent="0.3">
      <c r="A123" s="1"/>
      <c r="B123" s="44" t="s">
        <v>166</v>
      </c>
      <c r="I123" s="166">
        <f>I8</f>
        <v>0.59499999999999997</v>
      </c>
      <c r="J123" s="168">
        <f>$I123+($N123-$I123)*J$99</f>
        <v>0.59749999999999992</v>
      </c>
      <c r="K123" s="168">
        <f t="shared" si="36"/>
        <v>0.6</v>
      </c>
      <c r="L123" s="169">
        <f t="shared" si="36"/>
        <v>0.60250000000000004</v>
      </c>
      <c r="M123" s="168">
        <f t="shared" si="36"/>
        <v>0.60399999999999998</v>
      </c>
      <c r="N123" s="165">
        <f>J8</f>
        <v>0.60499999999999998</v>
      </c>
    </row>
    <row r="124" spans="1:17" ht="14.4" customHeight="1" x14ac:dyDescent="0.3">
      <c r="A124" s="1"/>
      <c r="B124" s="44" t="s">
        <v>167</v>
      </c>
      <c r="I124" s="165">
        <f>I9</f>
        <v>0.36499999999999999</v>
      </c>
      <c r="J124" s="168">
        <f>$I124+($N124-$I124)*J$99</f>
        <v>0.36875000000000002</v>
      </c>
      <c r="K124" s="168">
        <f t="shared" si="36"/>
        <v>0.3725</v>
      </c>
      <c r="L124" s="168">
        <f t="shared" si="36"/>
        <v>0.37624999999999997</v>
      </c>
      <c r="M124" s="168">
        <f t="shared" si="36"/>
        <v>0.3785</v>
      </c>
      <c r="N124" s="165">
        <f>J9</f>
        <v>0.38</v>
      </c>
    </row>
    <row r="125" spans="1:17" ht="14.4" customHeight="1" x14ac:dyDescent="0.3">
      <c r="A125" s="1"/>
      <c r="B125" s="44" t="s">
        <v>168</v>
      </c>
      <c r="I125" s="167">
        <f>I10</f>
        <v>7.4999999999999997E-2</v>
      </c>
      <c r="J125" s="168">
        <f>$I125+($N125-$I125)*J$99</f>
        <v>7.8750000000000001E-2</v>
      </c>
      <c r="K125" s="169">
        <f t="shared" si="36"/>
        <v>8.249999999999999E-2</v>
      </c>
      <c r="L125" s="168">
        <f t="shared" si="36"/>
        <v>8.6249999999999993E-2</v>
      </c>
      <c r="M125" s="168">
        <f t="shared" si="36"/>
        <v>8.8499999999999995E-2</v>
      </c>
      <c r="N125" s="165">
        <f>J10</f>
        <v>0.09</v>
      </c>
    </row>
    <row r="126" spans="1:17" ht="14.4" customHeight="1" x14ac:dyDescent="0.3">
      <c r="A126" s="1"/>
      <c r="B126" s="44" t="s">
        <v>161</v>
      </c>
      <c r="I126" s="167">
        <f>I12</f>
        <v>-3.5999999999999997E-2</v>
      </c>
      <c r="J126" s="168">
        <f>$I126+($N126-$I126)*J$99</f>
        <v>-3.4499999999999996E-2</v>
      </c>
      <c r="K126" s="169">
        <f t="shared" si="36"/>
        <v>-3.3000000000000002E-2</v>
      </c>
      <c r="L126" s="168">
        <f t="shared" si="36"/>
        <v>-3.15E-2</v>
      </c>
      <c r="M126" s="168">
        <f t="shared" si="36"/>
        <v>-3.0599999999999999E-2</v>
      </c>
      <c r="N126" s="165">
        <f>J12</f>
        <v>-0.03</v>
      </c>
    </row>
    <row r="127" spans="1:17" ht="14.4" customHeight="1" x14ac:dyDescent="0.3">
      <c r="A127" s="1"/>
      <c r="I127" s="111"/>
      <c r="J127" s="111"/>
      <c r="K127" s="111"/>
      <c r="L127" s="111"/>
      <c r="M127" s="111"/>
      <c r="N127" s="111"/>
    </row>
    <row r="128" spans="1:17" ht="14.4" customHeight="1" x14ac:dyDescent="0.3">
      <c r="A128" s="1"/>
      <c r="B128" s="130"/>
    </row>
    <row r="129" spans="1:17" ht="14.4" customHeight="1" x14ac:dyDescent="0.3">
      <c r="A129" s="1"/>
      <c r="B129" s="44"/>
      <c r="I129" s="121"/>
      <c r="J129" s="109"/>
      <c r="K129" s="109"/>
      <c r="L129" s="109"/>
      <c r="M129" s="109"/>
      <c r="N129" s="121"/>
    </row>
    <row r="130" spans="1:17" ht="14.4" customHeight="1" x14ac:dyDescent="0.3">
      <c r="A130" s="1"/>
      <c r="B130" s="44"/>
      <c r="I130" s="121"/>
      <c r="J130" s="109"/>
      <c r="K130" s="109"/>
      <c r="L130" s="109"/>
      <c r="M130" s="109"/>
      <c r="N130" s="121"/>
    </row>
    <row r="131" spans="1:17" ht="14.4" customHeight="1" x14ac:dyDescent="0.3">
      <c r="A131" s="1"/>
      <c r="B131" s="44"/>
      <c r="I131" s="121"/>
      <c r="J131" s="109"/>
      <c r="K131" s="109"/>
      <c r="L131" s="109"/>
      <c r="M131" s="109"/>
      <c r="N131" s="121"/>
    </row>
    <row r="132" spans="1:17" ht="14.4" customHeight="1" x14ac:dyDescent="0.3">
      <c r="A132" s="1"/>
      <c r="B132" s="44"/>
      <c r="J132" s="109"/>
      <c r="K132" s="121"/>
      <c r="L132" s="109"/>
      <c r="M132" s="109"/>
      <c r="N132" s="121"/>
    </row>
    <row r="133" spans="1:17" ht="14.4" customHeight="1" x14ac:dyDescent="0.3">
      <c r="A133" s="1"/>
      <c r="I133" s="121"/>
      <c r="J133" s="109"/>
      <c r="K133" s="109"/>
      <c r="L133" s="109"/>
      <c r="M133" s="109"/>
      <c r="N133" s="121"/>
    </row>
    <row r="134" spans="1:17" ht="14.4" customHeight="1" x14ac:dyDescent="0.3">
      <c r="A134" s="1"/>
    </row>
    <row r="135" spans="1:17" ht="14.4" customHeight="1" x14ac:dyDescent="0.3">
      <c r="A135" s="97" t="s">
        <v>40</v>
      </c>
      <c r="B135" s="33" t="s">
        <v>180</v>
      </c>
      <c r="C135" s="33"/>
      <c r="D135" s="94"/>
      <c r="E135" s="94"/>
      <c r="F135" s="94"/>
      <c r="G135" s="94"/>
      <c r="H135" s="94"/>
      <c r="I135" s="34"/>
      <c r="J135" s="34"/>
      <c r="K135" s="34"/>
      <c r="L135" s="34"/>
      <c r="M135" s="34"/>
      <c r="N135" s="34"/>
    </row>
    <row r="136" spans="1:17" s="19" customFormat="1" ht="1.95" customHeight="1" x14ac:dyDescent="0.3">
      <c r="A136" s="70"/>
      <c r="B136" s="20"/>
      <c r="C136" s="20"/>
      <c r="D136" s="20"/>
      <c r="E136" s="20"/>
      <c r="F136" s="20"/>
      <c r="G136" s="20"/>
      <c r="H136" s="21"/>
      <c r="I136" s="21"/>
      <c r="J136" s="21"/>
      <c r="K136" s="21"/>
      <c r="L136" s="21"/>
    </row>
    <row r="137" spans="1:17" ht="14.4" customHeight="1" x14ac:dyDescent="0.3">
      <c r="A137" s="1"/>
      <c r="B137" s="44" t="s">
        <v>181</v>
      </c>
      <c r="H137" s="167">
        <v>0.45</v>
      </c>
      <c r="I137" s="166">
        <v>0.45</v>
      </c>
      <c r="J137" s="55">
        <f>$I137+($N137-$I137)*J$99</f>
        <v>0.44750000000000001</v>
      </c>
      <c r="K137" s="93">
        <f t="shared" ref="K137:M140" si="37">$I137+($N137-$I137)*K$99</f>
        <v>0.44500000000000001</v>
      </c>
      <c r="L137" s="93">
        <f t="shared" si="37"/>
        <v>0.4425</v>
      </c>
      <c r="M137" s="93">
        <f t="shared" si="37"/>
        <v>0.441</v>
      </c>
      <c r="N137" s="166">
        <v>0.44</v>
      </c>
    </row>
    <row r="138" spans="1:17" ht="14.4" customHeight="1" x14ac:dyDescent="0.3">
      <c r="B138" s="44" t="s">
        <v>182</v>
      </c>
      <c r="H138" s="167">
        <v>0.21</v>
      </c>
      <c r="I138" s="166">
        <v>0.21</v>
      </c>
      <c r="J138" s="55">
        <f>$I138+($N138-$I138)*J$99</f>
        <v>0.20749999999999999</v>
      </c>
      <c r="K138" s="102">
        <f t="shared" si="37"/>
        <v>0.20500000000000002</v>
      </c>
      <c r="L138" s="102">
        <f t="shared" si="37"/>
        <v>0.20250000000000001</v>
      </c>
      <c r="M138" s="102">
        <f t="shared" si="37"/>
        <v>0.20100000000000001</v>
      </c>
      <c r="N138" s="166">
        <v>0.2</v>
      </c>
    </row>
    <row r="139" spans="1:17" ht="14.4" customHeight="1" x14ac:dyDescent="0.3">
      <c r="A139" s="1"/>
      <c r="B139" s="123" t="s">
        <v>183</v>
      </c>
      <c r="C139" s="124"/>
      <c r="D139" s="124"/>
      <c r="E139" s="124"/>
      <c r="F139" s="124"/>
      <c r="G139" s="124"/>
      <c r="H139" s="171">
        <v>0.24</v>
      </c>
      <c r="I139" s="172">
        <v>0.24</v>
      </c>
      <c r="J139" s="173">
        <f>$I139+($N139-$I139)*J$99</f>
        <v>0.24249999999999999</v>
      </c>
      <c r="K139" s="125">
        <f t="shared" si="37"/>
        <v>0.245</v>
      </c>
      <c r="L139" s="125">
        <f t="shared" si="37"/>
        <v>0.2475</v>
      </c>
      <c r="M139" s="125">
        <f t="shared" si="37"/>
        <v>0.249</v>
      </c>
      <c r="N139" s="172">
        <v>0.25</v>
      </c>
    </row>
    <row r="140" spans="1:17" ht="14.4" customHeight="1" x14ac:dyDescent="0.3">
      <c r="A140" s="1"/>
      <c r="B140" s="44" t="s">
        <v>184</v>
      </c>
      <c r="H140" s="167">
        <v>0.1</v>
      </c>
      <c r="I140" s="166">
        <v>0.1</v>
      </c>
      <c r="J140" s="55">
        <f>$I140+($N140-$I140)*J$99</f>
        <v>0.10250000000000001</v>
      </c>
      <c r="K140" s="55">
        <f t="shared" si="37"/>
        <v>0.10500000000000001</v>
      </c>
      <c r="L140" s="55">
        <f t="shared" si="37"/>
        <v>0.1075</v>
      </c>
      <c r="M140" s="55">
        <f t="shared" si="37"/>
        <v>0.109</v>
      </c>
      <c r="N140" s="166">
        <v>0.11</v>
      </c>
    </row>
    <row r="141" spans="1:17" s="19" customFormat="1" ht="14.4" customHeight="1" x14ac:dyDescent="0.3">
      <c r="B141" s="123" t="s">
        <v>185</v>
      </c>
      <c r="C141" s="124"/>
      <c r="D141" s="124"/>
      <c r="E141" s="124"/>
      <c r="F141" s="124"/>
      <c r="G141" s="124"/>
      <c r="H141" s="174">
        <f>SUM(H137:H140)</f>
        <v>1</v>
      </c>
      <c r="I141" s="174">
        <f t="shared" ref="I141:N141" si="38">SUM(I137:I140)</f>
        <v>1</v>
      </c>
      <c r="J141" s="174">
        <f t="shared" si="38"/>
        <v>1</v>
      </c>
      <c r="K141" s="174">
        <f t="shared" si="38"/>
        <v>1</v>
      </c>
      <c r="L141" s="174">
        <f t="shared" si="38"/>
        <v>1</v>
      </c>
      <c r="M141" s="174">
        <f t="shared" si="38"/>
        <v>1</v>
      </c>
      <c r="N141" s="174">
        <f t="shared" si="38"/>
        <v>1</v>
      </c>
      <c r="O141" s="1"/>
      <c r="P141" s="1"/>
      <c r="Q141" s="1"/>
    </row>
    <row r="142" spans="1:17" ht="14.4" customHeight="1" x14ac:dyDescent="0.3">
      <c r="A142" s="1"/>
      <c r="B142" s="44"/>
    </row>
    <row r="143" spans="1:17" ht="14.4" customHeight="1" x14ac:dyDescent="0.3">
      <c r="B143" s="44" t="s">
        <v>186</v>
      </c>
    </row>
    <row r="144" spans="1:17" ht="14.4" customHeight="1" x14ac:dyDescent="0.3">
      <c r="A144" s="1"/>
      <c r="B144" s="126" t="s">
        <v>187</v>
      </c>
      <c r="C144" s="127"/>
      <c r="D144" s="127"/>
      <c r="E144" s="127"/>
      <c r="F144" s="127"/>
      <c r="G144" s="127"/>
      <c r="H144" s="175">
        <f>H137*H$20</f>
        <v>21573.45</v>
      </c>
      <c r="I144" s="175">
        <f t="shared" ref="I144:N144" si="39">I137*I$20</f>
        <v>22205.297790000001</v>
      </c>
      <c r="J144" s="175">
        <f t="shared" si="39"/>
        <v>22848.439909502897</v>
      </c>
      <c r="K144" s="175">
        <f t="shared" si="39"/>
        <v>23580.9962493774</v>
      </c>
      <c r="L144" s="175">
        <f t="shared" si="39"/>
        <v>24374.996605583532</v>
      </c>
      <c r="M144" s="175">
        <f t="shared" si="39"/>
        <v>25262.767262351226</v>
      </c>
      <c r="N144" s="175">
        <f t="shared" si="39"/>
        <v>26217.17329446254</v>
      </c>
    </row>
    <row r="145" spans="1:27" s="19" customFormat="1" ht="14.4" customHeight="1" x14ac:dyDescent="0.3">
      <c r="B145" s="128" t="s">
        <v>182</v>
      </c>
      <c r="C145" s="6"/>
      <c r="D145" s="6"/>
      <c r="E145" s="6"/>
      <c r="F145" s="6"/>
      <c r="G145" s="6"/>
      <c r="H145" s="9">
        <f>H138*H$20</f>
        <v>10067.609999999999</v>
      </c>
      <c r="I145" s="9">
        <f t="shared" ref="I145:N145" si="40">I138*I$20</f>
        <v>10362.472302</v>
      </c>
      <c r="J145" s="9">
        <f t="shared" si="40"/>
        <v>10594.528002730392</v>
      </c>
      <c r="K145" s="9">
        <f t="shared" si="40"/>
        <v>10863.155575555882</v>
      </c>
      <c r="L145" s="9">
        <f t="shared" si="40"/>
        <v>11154.659463572125</v>
      </c>
      <c r="M145" s="9">
        <f t="shared" si="40"/>
        <v>11514.322493724709</v>
      </c>
      <c r="N145" s="9">
        <f t="shared" si="40"/>
        <v>11916.896952028428</v>
      </c>
      <c r="O145" s="21"/>
    </row>
    <row r="146" spans="1:27" ht="14.4" customHeight="1" x14ac:dyDescent="0.3">
      <c r="A146" s="1"/>
      <c r="B146" s="52" t="s">
        <v>188</v>
      </c>
      <c r="H146" s="8">
        <f>H139*H$20</f>
        <v>11505.84</v>
      </c>
      <c r="I146" s="8">
        <f t="shared" ref="I146:N146" si="41">I139*I$20</f>
        <v>11842.825488</v>
      </c>
      <c r="J146" s="8">
        <f t="shared" si="41"/>
        <v>12381.556822468048</v>
      </c>
      <c r="K146" s="8">
        <f t="shared" si="41"/>
        <v>12982.795687859467</v>
      </c>
      <c r="L146" s="8">
        <f t="shared" si="41"/>
        <v>13633.472677699263</v>
      </c>
      <c r="M146" s="8">
        <f t="shared" si="41"/>
        <v>14264.011447450011</v>
      </c>
      <c r="N146" s="8">
        <f t="shared" si="41"/>
        <v>14896.121190035534</v>
      </c>
    </row>
    <row r="147" spans="1:27" ht="14.4" customHeight="1" x14ac:dyDescent="0.3">
      <c r="A147" s="1"/>
      <c r="B147" s="44" t="s">
        <v>189</v>
      </c>
      <c r="H147" s="8">
        <f>H140*H$20</f>
        <v>4794.1000000000004</v>
      </c>
      <c r="I147" s="8">
        <f t="shared" ref="I147:N147" si="42">I140*I$20</f>
        <v>4934.5106200000009</v>
      </c>
      <c r="J147" s="8">
        <f t="shared" si="42"/>
        <v>5233.4415435174233</v>
      </c>
      <c r="K147" s="8">
        <f t="shared" si="42"/>
        <v>5564.0552947969154</v>
      </c>
      <c r="L147" s="8">
        <f t="shared" si="42"/>
        <v>5921.6093448592756</v>
      </c>
      <c r="M147" s="8">
        <f t="shared" si="42"/>
        <v>6244.085332417877</v>
      </c>
      <c r="N147" s="8">
        <f t="shared" si="42"/>
        <v>6554.293323615635</v>
      </c>
    </row>
    <row r="148" spans="1:27" ht="14.4" customHeight="1" x14ac:dyDescent="0.3">
      <c r="A148" s="1"/>
      <c r="B148" s="101" t="s">
        <v>21</v>
      </c>
      <c r="C148" s="89"/>
      <c r="D148" s="89"/>
      <c r="E148" s="89"/>
      <c r="F148" s="89"/>
      <c r="G148" s="89"/>
      <c r="H148" s="176">
        <f>SUM(H144:H147)</f>
        <v>47940.999999999993</v>
      </c>
      <c r="I148" s="176">
        <f t="shared" ref="I148:N148" si="43">SUM(I144:I147)</f>
        <v>49345.106200000002</v>
      </c>
      <c r="J148" s="176">
        <f t="shared" si="43"/>
        <v>51057.966278218759</v>
      </c>
      <c r="K148" s="176">
        <f t="shared" si="43"/>
        <v>52991.002807589655</v>
      </c>
      <c r="L148" s="176">
        <f t="shared" si="43"/>
        <v>55084.738091714193</v>
      </c>
      <c r="M148" s="176">
        <f t="shared" si="43"/>
        <v>57285.186535943823</v>
      </c>
      <c r="N148" s="176">
        <f t="shared" si="43"/>
        <v>59584.484760142135</v>
      </c>
    </row>
    <row r="149" spans="1:27" ht="14.4" customHeight="1" x14ac:dyDescent="0.3">
      <c r="A149" s="1"/>
      <c r="B149" s="25"/>
      <c r="I149" s="104"/>
      <c r="J149" s="104"/>
      <c r="K149" s="104"/>
      <c r="L149" s="104"/>
      <c r="M149" s="104"/>
      <c r="N149" s="104"/>
    </row>
    <row r="150" spans="1:27" ht="14.4" customHeight="1" x14ac:dyDescent="0.3">
      <c r="A150" s="1"/>
      <c r="B150" s="177" t="s">
        <v>190</v>
      </c>
      <c r="I150" s="104"/>
      <c r="J150" s="104"/>
      <c r="K150" s="104"/>
      <c r="L150" s="104"/>
      <c r="M150" s="104"/>
      <c r="N150" s="104"/>
    </row>
    <row r="151" spans="1:27" ht="14.4" customHeight="1" x14ac:dyDescent="0.3">
      <c r="A151" s="1"/>
      <c r="B151" s="25"/>
      <c r="I151" s="104"/>
      <c r="J151" s="104"/>
      <c r="K151" s="104"/>
      <c r="L151" s="104"/>
      <c r="M151" s="104"/>
      <c r="N151" s="104"/>
    </row>
    <row r="152" spans="1:27" ht="14.4" customHeight="1" x14ac:dyDescent="0.3">
      <c r="A152" s="1"/>
    </row>
    <row r="153" spans="1:27" ht="14.4" customHeight="1" x14ac:dyDescent="0.3">
      <c r="A153" s="97" t="s">
        <v>40</v>
      </c>
      <c r="B153" s="33" t="s">
        <v>191</v>
      </c>
      <c r="C153" s="103"/>
      <c r="D153" s="103"/>
      <c r="E153" s="94"/>
      <c r="F153" s="34">
        <v>2023</v>
      </c>
      <c r="G153" s="34">
        <v>2024</v>
      </c>
      <c r="H153" s="34">
        <v>2025</v>
      </c>
      <c r="I153" s="34" t="s">
        <v>4</v>
      </c>
      <c r="J153" s="34" t="s">
        <v>5</v>
      </c>
      <c r="K153" s="34" t="s">
        <v>6</v>
      </c>
      <c r="L153" s="34" t="s">
        <v>7</v>
      </c>
      <c r="M153" s="34" t="s">
        <v>8</v>
      </c>
      <c r="N153" s="34" t="s">
        <v>73</v>
      </c>
      <c r="Q153" s="33" t="s">
        <v>130</v>
      </c>
      <c r="R153" s="94"/>
      <c r="S153" s="94"/>
      <c r="T153" s="94"/>
      <c r="U153" s="34" t="s">
        <v>73</v>
      </c>
      <c r="W153" s="33" t="s">
        <v>133</v>
      </c>
      <c r="X153" s="94"/>
      <c r="Y153" s="94"/>
      <c r="Z153" s="94"/>
      <c r="AA153" s="34" t="s">
        <v>73</v>
      </c>
    </row>
    <row r="154" spans="1:27" s="19" customFormat="1" ht="1.95" customHeight="1" x14ac:dyDescent="0.3">
      <c r="A154" s="70"/>
      <c r="B154" s="20"/>
      <c r="C154" s="20"/>
      <c r="D154" s="20"/>
      <c r="E154" s="20"/>
      <c r="F154" s="20"/>
      <c r="G154" s="20"/>
      <c r="H154" s="21"/>
      <c r="I154" s="21"/>
      <c r="J154" s="21"/>
      <c r="K154" s="21"/>
      <c r="L154" s="21"/>
    </row>
    <row r="155" spans="1:27" ht="14.4" customHeight="1" x14ac:dyDescent="0.3">
      <c r="A155" s="1"/>
      <c r="B155" s="118" t="s">
        <v>192</v>
      </c>
      <c r="F155" s="159">
        <v>26539</v>
      </c>
      <c r="G155" s="159">
        <v>27725</v>
      </c>
      <c r="H155" s="159">
        <v>28462</v>
      </c>
      <c r="I155" s="105">
        <f>I20*I116</f>
        <v>29360.338188999998</v>
      </c>
      <c r="J155" s="105">
        <f t="shared" ref="J155:N155" si="44">J20*J116</f>
        <v>30507.134851235704</v>
      </c>
      <c r="K155" s="105">
        <f t="shared" si="44"/>
        <v>31794.601684553796</v>
      </c>
      <c r="L155" s="105">
        <f t="shared" si="44"/>
        <v>33188.554700257802</v>
      </c>
      <c r="M155" s="105">
        <f t="shared" si="44"/>
        <v>34600.252667710069</v>
      </c>
      <c r="N155" s="105">
        <f t="shared" si="44"/>
        <v>36048.613279885991</v>
      </c>
      <c r="Q155" s="82">
        <f>B171</f>
        <v>0</v>
      </c>
      <c r="R155" s="82"/>
      <c r="S155" s="82"/>
      <c r="T155" s="82"/>
      <c r="U155" s="86">
        <f>N171</f>
        <v>0</v>
      </c>
      <c r="W155" s="82" t="str">
        <f>Q159</f>
        <v>External Foundry Sold WSPM</v>
      </c>
      <c r="X155" s="82"/>
      <c r="Y155" s="82"/>
      <c r="Z155" s="82"/>
      <c r="AA155" s="86">
        <f>U159</f>
        <v>0</v>
      </c>
    </row>
    <row r="156" spans="1:27" ht="14.4" customHeight="1" x14ac:dyDescent="0.3">
      <c r="B156" s="4" t="s">
        <v>193</v>
      </c>
      <c r="F156" s="178">
        <f>F155/F20</f>
        <v>0.58003671810114965</v>
      </c>
      <c r="G156" s="178">
        <f t="shared" ref="G156:N156" si="45">G155/G20</f>
        <v>0.58912900278362124</v>
      </c>
      <c r="H156" s="178">
        <f t="shared" si="45"/>
        <v>0.59368807492542919</v>
      </c>
      <c r="I156" s="178">
        <f t="shared" si="45"/>
        <v>0.59499999999999997</v>
      </c>
      <c r="J156" s="178">
        <f t="shared" si="45"/>
        <v>0.59749999999999992</v>
      </c>
      <c r="K156" s="178">
        <f t="shared" si="45"/>
        <v>0.6</v>
      </c>
      <c r="L156" s="178">
        <f t="shared" si="45"/>
        <v>0.60250000000000004</v>
      </c>
      <c r="M156" s="178">
        <f t="shared" si="45"/>
        <v>0.60399999999999998</v>
      </c>
      <c r="N156" s="178">
        <f t="shared" si="45"/>
        <v>0.60499999999999998</v>
      </c>
      <c r="Q156" s="1" t="s">
        <v>131</v>
      </c>
      <c r="U156" s="143">
        <f>N157</f>
        <v>0</v>
      </c>
      <c r="W156" s="1" t="s">
        <v>134</v>
      </c>
      <c r="AA156" s="140">
        <f>J7</f>
        <v>0.38500000000000001</v>
      </c>
    </row>
    <row r="157" spans="1:27" ht="14.4" customHeight="1" x14ac:dyDescent="0.3">
      <c r="A157" s="1"/>
      <c r="B157" s="44"/>
      <c r="I157" s="117"/>
      <c r="J157" s="117"/>
      <c r="K157" s="117"/>
      <c r="L157" s="117"/>
      <c r="M157" s="117"/>
      <c r="N157" s="117"/>
      <c r="Q157" s="81" t="s">
        <v>132</v>
      </c>
      <c r="R157" s="81"/>
      <c r="S157" s="81"/>
      <c r="T157" s="81"/>
      <c r="U157" s="83">
        <f>N172</f>
        <v>0</v>
      </c>
      <c r="W157" s="81" t="s">
        <v>135</v>
      </c>
      <c r="X157" s="81"/>
      <c r="Y157" s="81"/>
      <c r="Z157" s="81"/>
      <c r="AA157" s="83">
        <f>AA160-AA158-AA159</f>
        <v>-1103.3104742184912</v>
      </c>
    </row>
    <row r="158" spans="1:27" s="19" customFormat="1" ht="14.4" customHeight="1" x14ac:dyDescent="0.3">
      <c r="B158" s="44" t="s">
        <v>194</v>
      </c>
      <c r="C158" s="1"/>
      <c r="D158" s="1"/>
      <c r="E158" s="1"/>
      <c r="F158" s="159">
        <v>19215</v>
      </c>
      <c r="G158" s="159">
        <v>19336</v>
      </c>
      <c r="H158" s="159">
        <v>19479</v>
      </c>
      <c r="I158" s="110">
        <f>I20-I155</f>
        <v>19984.768011000004</v>
      </c>
      <c r="J158" s="110">
        <f t="shared" ref="J158:N158" si="46">J20-J155</f>
        <v>20550.831426983055</v>
      </c>
      <c r="K158" s="110">
        <f t="shared" si="46"/>
        <v>21196.401123035866</v>
      </c>
      <c r="L158" s="110">
        <f t="shared" si="46"/>
        <v>21896.18339145639</v>
      </c>
      <c r="M158" s="110">
        <f t="shared" si="46"/>
        <v>22684.933868233755</v>
      </c>
      <c r="N158" s="110">
        <f t="shared" si="46"/>
        <v>23535.871480256144</v>
      </c>
      <c r="O158" s="1"/>
      <c r="P158" s="1"/>
      <c r="Q158" s="1" t="s">
        <v>116</v>
      </c>
      <c r="R158" s="1"/>
      <c r="S158" s="1"/>
      <c r="T158" s="1"/>
      <c r="U158" s="8">
        <f>N173</f>
        <v>0</v>
      </c>
      <c r="V158" s="1"/>
      <c r="W158" s="1" t="s">
        <v>136</v>
      </c>
      <c r="X158" s="1"/>
      <c r="Y158" s="1"/>
      <c r="Z158" s="1"/>
      <c r="AA158" s="146">
        <f>J9</f>
        <v>0.38</v>
      </c>
    </row>
    <row r="159" spans="1:27" ht="14.4" customHeight="1" x14ac:dyDescent="0.3">
      <c r="A159" s="1"/>
      <c r="B159" s="118" t="s">
        <v>193</v>
      </c>
      <c r="F159" s="178">
        <f>F158/F20</f>
        <v>0.41996328189885035</v>
      </c>
      <c r="G159" s="178">
        <f t="shared" ref="G159:N159" si="47">G158/G20</f>
        <v>0.41087099721637876</v>
      </c>
      <c r="H159" s="178">
        <f t="shared" si="47"/>
        <v>0.40631192507457081</v>
      </c>
      <c r="I159" s="178">
        <f t="shared" si="47"/>
        <v>0.40500000000000008</v>
      </c>
      <c r="J159" s="178">
        <f t="shared" si="47"/>
        <v>0.40250000000000008</v>
      </c>
      <c r="K159" s="178">
        <f t="shared" si="47"/>
        <v>0.4</v>
      </c>
      <c r="L159" s="178">
        <f t="shared" si="47"/>
        <v>0.39749999999999996</v>
      </c>
      <c r="M159" s="178">
        <f t="shared" si="47"/>
        <v>0.39600000000000002</v>
      </c>
      <c r="N159" s="178">
        <f t="shared" si="47"/>
        <v>0.39500000000000002</v>
      </c>
      <c r="Q159" s="144" t="s">
        <v>117</v>
      </c>
      <c r="R159" s="124"/>
      <c r="S159" s="124"/>
      <c r="T159" s="124"/>
      <c r="U159" s="145">
        <f>N174</f>
        <v>0</v>
      </c>
      <c r="W159" s="1" t="s">
        <v>137</v>
      </c>
      <c r="AA159" s="146">
        <f>J10*E12</f>
        <v>13.5</v>
      </c>
    </row>
    <row r="160" spans="1:27" ht="14.4" customHeight="1" x14ac:dyDescent="0.3">
      <c r="A160" s="1"/>
      <c r="B160" s="4"/>
      <c r="I160" s="115"/>
      <c r="J160" s="110"/>
      <c r="K160" s="110"/>
      <c r="L160" s="110"/>
      <c r="M160" s="110"/>
      <c r="N160" s="115"/>
      <c r="Q160" s="1" t="s">
        <v>118</v>
      </c>
      <c r="U160" s="8">
        <f>N175</f>
        <v>0</v>
      </c>
      <c r="W160" s="144" t="s">
        <v>112</v>
      </c>
      <c r="X160" s="124"/>
      <c r="Y160" s="124"/>
      <c r="Z160" s="124"/>
      <c r="AA160" s="147">
        <f>N44</f>
        <v>-1089.4304742184911</v>
      </c>
    </row>
    <row r="161" spans="1:26" ht="14.4" customHeight="1" x14ac:dyDescent="0.3">
      <c r="B161" s="44" t="s">
        <v>21</v>
      </c>
      <c r="F161" s="22">
        <f>F155+F158</f>
        <v>45754</v>
      </c>
      <c r="G161" s="22">
        <f t="shared" ref="G161:N161" si="48">G155+G158</f>
        <v>47061</v>
      </c>
      <c r="H161" s="22">
        <f t="shared" si="48"/>
        <v>47941</v>
      </c>
      <c r="I161" s="22">
        <f t="shared" si="48"/>
        <v>49345.106200000002</v>
      </c>
      <c r="J161" s="22">
        <f t="shared" si="48"/>
        <v>51057.966278218759</v>
      </c>
      <c r="K161" s="22">
        <f t="shared" si="48"/>
        <v>52991.002807589663</v>
      </c>
      <c r="L161" s="22">
        <f t="shared" si="48"/>
        <v>55084.738091714193</v>
      </c>
      <c r="M161" s="22">
        <f t="shared" si="48"/>
        <v>57285.186535943823</v>
      </c>
      <c r="N161" s="22">
        <f t="shared" si="48"/>
        <v>59584.484760142135</v>
      </c>
    </row>
    <row r="162" spans="1:26" ht="14.4" customHeight="1" x14ac:dyDescent="0.3">
      <c r="B162"/>
      <c r="C162"/>
      <c r="D162"/>
      <c r="E162"/>
      <c r="F162"/>
      <c r="G162"/>
      <c r="H162"/>
      <c r="I162"/>
      <c r="J162"/>
      <c r="K162"/>
      <c r="L162"/>
      <c r="M162"/>
      <c r="N162"/>
    </row>
    <row r="163" spans="1:26" ht="14.4" customHeight="1" x14ac:dyDescent="0.3">
      <c r="B163"/>
      <c r="C163"/>
      <c r="D163"/>
      <c r="E163"/>
      <c r="F163"/>
      <c r="G163"/>
      <c r="H163"/>
      <c r="I163"/>
      <c r="J163"/>
      <c r="K163"/>
      <c r="L163"/>
      <c r="M163"/>
      <c r="N163"/>
    </row>
    <row r="164" spans="1:26" ht="14.4" customHeight="1" x14ac:dyDescent="0.3">
      <c r="B164"/>
      <c r="C164"/>
      <c r="D164"/>
      <c r="E164"/>
      <c r="F164"/>
      <c r="G164"/>
      <c r="H164"/>
      <c r="I164"/>
      <c r="J164"/>
      <c r="K164"/>
      <c r="L164"/>
      <c r="M164"/>
      <c r="N164"/>
    </row>
    <row r="165" spans="1:26" s="19" customFormat="1" ht="14.4" customHeight="1" x14ac:dyDescent="0.3">
      <c r="A165" s="14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4" customHeight="1" x14ac:dyDescent="0.3">
      <c r="B166"/>
      <c r="C166"/>
      <c r="D166"/>
      <c r="E166"/>
      <c r="F166"/>
      <c r="G166"/>
      <c r="H166"/>
      <c r="I166"/>
      <c r="J166"/>
      <c r="K166"/>
      <c r="L166"/>
      <c r="M166"/>
      <c r="N166"/>
    </row>
    <row r="167" spans="1:26" ht="14.4" customHeight="1" x14ac:dyDescent="0.3">
      <c r="B167"/>
      <c r="C167"/>
      <c r="D167"/>
      <c r="E167"/>
      <c r="F167"/>
      <c r="G167"/>
      <c r="H167"/>
      <c r="I167"/>
      <c r="J167"/>
      <c r="K167"/>
      <c r="L167"/>
      <c r="M167"/>
      <c r="N167"/>
    </row>
    <row r="168" spans="1:26" ht="14.4" customHeight="1" x14ac:dyDescent="0.3">
      <c r="B168"/>
      <c r="C168"/>
      <c r="D168"/>
      <c r="E168"/>
      <c r="F168"/>
      <c r="G168"/>
      <c r="H168"/>
      <c r="I168"/>
      <c r="J168"/>
      <c r="K168"/>
      <c r="L168"/>
      <c r="M168"/>
      <c r="N168"/>
    </row>
    <row r="169" spans="1:26" ht="14.4" customHeight="1" x14ac:dyDescent="0.3">
      <c r="B169"/>
      <c r="C169"/>
      <c r="D169"/>
      <c r="E169"/>
      <c r="F169"/>
      <c r="G169"/>
      <c r="H169"/>
      <c r="I169"/>
      <c r="J169"/>
      <c r="K169"/>
      <c r="L169"/>
      <c r="M169"/>
      <c r="N169"/>
    </row>
    <row r="170" spans="1:26" ht="14.4" customHeight="1" x14ac:dyDescent="0.3">
      <c r="B170"/>
      <c r="C170"/>
      <c r="D170"/>
      <c r="E170"/>
      <c r="F170"/>
      <c r="G170"/>
      <c r="H170"/>
      <c r="I170"/>
      <c r="J170"/>
      <c r="K170"/>
      <c r="L170"/>
      <c r="M170"/>
      <c r="N170"/>
    </row>
    <row r="171" spans="1:26" ht="14.4" customHeight="1" x14ac:dyDescent="0.3">
      <c r="B171"/>
      <c r="C171"/>
      <c r="D171"/>
      <c r="E171"/>
      <c r="F171"/>
      <c r="G171"/>
      <c r="H171"/>
      <c r="I171"/>
      <c r="J171"/>
      <c r="K171"/>
      <c r="L171"/>
      <c r="M171"/>
      <c r="N171"/>
    </row>
    <row r="172" spans="1:26" ht="14.4" customHeight="1" x14ac:dyDescent="0.3">
      <c r="B172"/>
      <c r="C172"/>
      <c r="D172"/>
      <c r="E172"/>
      <c r="F172"/>
      <c r="G172"/>
      <c r="H172"/>
      <c r="I172"/>
      <c r="J172"/>
      <c r="K172"/>
      <c r="L172"/>
      <c r="M172"/>
      <c r="N172"/>
    </row>
    <row r="173" spans="1:26" ht="14.4" customHeight="1" x14ac:dyDescent="0.3">
      <c r="B173"/>
      <c r="C173"/>
      <c r="D173"/>
      <c r="E173"/>
      <c r="F173"/>
      <c r="G173"/>
      <c r="H173"/>
      <c r="I173"/>
      <c r="J173"/>
      <c r="K173"/>
      <c r="L173"/>
      <c r="M173"/>
      <c r="N173"/>
    </row>
    <row r="174" spans="1:26" ht="14.4" customHeight="1" x14ac:dyDescent="0.3">
      <c r="A174" s="14" t="s">
        <v>40</v>
      </c>
      <c r="B174"/>
      <c r="C174"/>
      <c r="D174"/>
      <c r="E174"/>
      <c r="F174"/>
      <c r="G174"/>
      <c r="H174"/>
      <c r="I174"/>
      <c r="J174"/>
      <c r="K174"/>
      <c r="L174"/>
      <c r="M174"/>
      <c r="N174"/>
    </row>
    <row r="175" spans="1:26" ht="14.4" customHeight="1" x14ac:dyDescent="0.3">
      <c r="B175"/>
      <c r="C175"/>
      <c r="D175"/>
      <c r="E175"/>
      <c r="F175"/>
      <c r="G175"/>
      <c r="H175"/>
      <c r="I175"/>
      <c r="J175"/>
      <c r="K175"/>
      <c r="L175"/>
      <c r="M175"/>
      <c r="N175"/>
    </row>
    <row r="176" spans="1:26" ht="14.4" customHeight="1" x14ac:dyDescent="0.3">
      <c r="B176" s="25" t="s">
        <v>195</v>
      </c>
      <c r="I176" s="179">
        <f>I20-Main!K28</f>
        <v>0</v>
      </c>
      <c r="J176" s="179">
        <f>J20-Main!L28</f>
        <v>0</v>
      </c>
      <c r="K176" s="179">
        <f>K20-Main!M28</f>
        <v>0</v>
      </c>
      <c r="L176" s="179">
        <f>L20-Main!N28</f>
        <v>0</v>
      </c>
      <c r="M176" s="179">
        <f>M20-Main!O28</f>
        <v>0</v>
      </c>
      <c r="N176" s="179">
        <f>N20-Main!P28</f>
        <v>0</v>
      </c>
    </row>
    <row r="177" spans="1:34" ht="14.4" customHeight="1" x14ac:dyDescent="0.3">
      <c r="B177" s="25" t="s">
        <v>196</v>
      </c>
      <c r="I177" s="179">
        <f>I57-Main!K46</f>
        <v>0</v>
      </c>
      <c r="J177" s="179">
        <f>J57-Main!L46</f>
        <v>0</v>
      </c>
      <c r="K177" s="179">
        <f>K57-Main!M46</f>
        <v>0</v>
      </c>
      <c r="L177" s="179">
        <f>L57-Main!N46</f>
        <v>0</v>
      </c>
      <c r="M177" s="179">
        <f>M57-Main!O46</f>
        <v>0</v>
      </c>
      <c r="N177" s="179">
        <f>N57-Main!P46</f>
        <v>0</v>
      </c>
    </row>
    <row r="178" spans="1:34" ht="14.4" customHeight="1" x14ac:dyDescent="0.3">
      <c r="B178" s="25" t="s">
        <v>197</v>
      </c>
      <c r="I178" s="179">
        <f>I148-I20</f>
        <v>0</v>
      </c>
      <c r="J178" s="179">
        <f t="shared" ref="J178:N178" si="49">J148-J20</f>
        <v>0</v>
      </c>
      <c r="K178" s="179">
        <f t="shared" si="49"/>
        <v>0</v>
      </c>
      <c r="L178" s="179">
        <f t="shared" si="49"/>
        <v>0</v>
      </c>
      <c r="M178" s="179">
        <f t="shared" si="49"/>
        <v>0</v>
      </c>
      <c r="N178" s="179">
        <f t="shared" si="49"/>
        <v>0</v>
      </c>
    </row>
    <row r="179" spans="1:34" ht="14.4" customHeight="1" x14ac:dyDescent="0.3">
      <c r="B179" s="25" t="s">
        <v>198</v>
      </c>
      <c r="I179" s="109">
        <f>I141-1</f>
        <v>0</v>
      </c>
      <c r="J179" s="109">
        <f t="shared" ref="J179:N179" si="50">J141-1</f>
        <v>0</v>
      </c>
      <c r="K179" s="109">
        <f t="shared" si="50"/>
        <v>0</v>
      </c>
      <c r="L179" s="109">
        <f t="shared" si="50"/>
        <v>0</v>
      </c>
      <c r="M179" s="109">
        <f t="shared" si="50"/>
        <v>0</v>
      </c>
      <c r="N179" s="109">
        <f t="shared" si="50"/>
        <v>0</v>
      </c>
    </row>
    <row r="180" spans="1:34" ht="14.4" customHeight="1" x14ac:dyDescent="0.3">
      <c r="B180"/>
      <c r="C180"/>
      <c r="D180"/>
      <c r="E180"/>
      <c r="F180"/>
      <c r="G180"/>
      <c r="H180"/>
      <c r="I180"/>
      <c r="J180"/>
      <c r="K180"/>
      <c r="L180"/>
      <c r="M180"/>
      <c r="N180"/>
    </row>
    <row r="181" spans="1:34" ht="14.4" customHeight="1" x14ac:dyDescent="0.3">
      <c r="B181"/>
      <c r="C181"/>
      <c r="D181"/>
      <c r="E181"/>
      <c r="F181"/>
      <c r="G181"/>
      <c r="H181"/>
      <c r="I181"/>
      <c r="J181"/>
      <c r="K181"/>
      <c r="L181"/>
      <c r="M181"/>
      <c r="N181"/>
    </row>
    <row r="182" spans="1:34" ht="14.4" customHeight="1" x14ac:dyDescent="0.3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Y182" s="19"/>
    </row>
    <row r="183" spans="1:34" s="19" customFormat="1" ht="1.95" customHeight="1" x14ac:dyDescent="0.3">
      <c r="A183" s="70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</row>
    <row r="184" spans="1:34" ht="14.4" customHeight="1" x14ac:dyDescent="0.3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AA184"/>
      <c r="AB184">
        <f t="shared" ref="AB184:AG184" si="51">D182</f>
        <v>0</v>
      </c>
      <c r="AC184">
        <f t="shared" si="51"/>
        <v>0</v>
      </c>
      <c r="AD184">
        <f t="shared" si="51"/>
        <v>0</v>
      </c>
      <c r="AE184">
        <f t="shared" si="51"/>
        <v>0</v>
      </c>
      <c r="AF184">
        <f t="shared" si="51"/>
        <v>0</v>
      </c>
      <c r="AG184">
        <f t="shared" si="51"/>
        <v>0</v>
      </c>
    </row>
    <row r="185" spans="1:34" ht="14.4" customHeight="1" x14ac:dyDescent="0.3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AA185" t="s">
        <v>129</v>
      </c>
      <c r="AB185" s="90">
        <f t="shared" ref="AB185:AG185" si="52">(D190-D189)/1000</f>
        <v>0</v>
      </c>
      <c r="AC185" s="90">
        <f t="shared" si="52"/>
        <v>0</v>
      </c>
      <c r="AD185" s="90">
        <f t="shared" si="52"/>
        <v>0</v>
      </c>
      <c r="AE185" s="90">
        <f t="shared" si="52"/>
        <v>0</v>
      </c>
      <c r="AF185" s="90">
        <f t="shared" si="52"/>
        <v>0</v>
      </c>
      <c r="AG185" s="90">
        <f t="shared" si="52"/>
        <v>0</v>
      </c>
      <c r="AH185" s="19"/>
    </row>
    <row r="186" spans="1:34" ht="14.4" customHeight="1" x14ac:dyDescent="0.3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AA186" t="s">
        <v>128</v>
      </c>
      <c r="AB186" s="90">
        <f t="shared" ref="AB186:AG187" si="53">D189/1000</f>
        <v>0</v>
      </c>
      <c r="AC186" s="90">
        <f t="shared" si="53"/>
        <v>0</v>
      </c>
      <c r="AD186" s="90">
        <f t="shared" si="53"/>
        <v>0</v>
      </c>
      <c r="AE186" s="90">
        <f t="shared" si="53"/>
        <v>0</v>
      </c>
      <c r="AF186" s="90">
        <f t="shared" si="53"/>
        <v>0</v>
      </c>
      <c r="AG186" s="90">
        <f t="shared" si="53"/>
        <v>0</v>
      </c>
      <c r="AH186" s="1">
        <v>0.01</v>
      </c>
    </row>
    <row r="187" spans="1:34" ht="14.4" customHeight="1" x14ac:dyDescent="0.3">
      <c r="B187"/>
      <c r="C187"/>
      <c r="D187"/>
      <c r="E187"/>
      <c r="F187"/>
      <c r="G187"/>
      <c r="H187"/>
      <c r="I187"/>
      <c r="J187"/>
      <c r="K187"/>
      <c r="L187"/>
      <c r="M187"/>
      <c r="N187"/>
      <c r="AA187" t="s">
        <v>21</v>
      </c>
      <c r="AB187" s="90">
        <f t="shared" si="53"/>
        <v>0</v>
      </c>
      <c r="AC187" s="90">
        <f t="shared" si="53"/>
        <v>0</v>
      </c>
      <c r="AD187" s="90">
        <f t="shared" si="53"/>
        <v>0</v>
      </c>
      <c r="AE187" s="90">
        <f t="shared" si="53"/>
        <v>0</v>
      </c>
      <c r="AF187" s="90">
        <f t="shared" si="53"/>
        <v>0</v>
      </c>
      <c r="AG187" s="90">
        <f t="shared" si="53"/>
        <v>0</v>
      </c>
    </row>
    <row r="188" spans="1:34" ht="14.4" customHeight="1" x14ac:dyDescent="0.3">
      <c r="B188"/>
      <c r="C188"/>
      <c r="D188"/>
      <c r="E188"/>
      <c r="F188"/>
      <c r="G188"/>
      <c r="H188"/>
      <c r="I188"/>
      <c r="J188"/>
      <c r="K188"/>
      <c r="L188"/>
      <c r="M188"/>
      <c r="N188"/>
    </row>
    <row r="189" spans="1:34" ht="14.4" customHeight="1" x14ac:dyDescent="0.3">
      <c r="B189"/>
      <c r="C189"/>
      <c r="D189"/>
      <c r="E189"/>
      <c r="F189"/>
      <c r="G189"/>
      <c r="H189"/>
      <c r="I189"/>
      <c r="J189"/>
      <c r="K189"/>
      <c r="L189"/>
      <c r="M189"/>
      <c r="N189"/>
    </row>
    <row r="190" spans="1:34" ht="14.4" customHeight="1" x14ac:dyDescent="0.3">
      <c r="B190"/>
      <c r="C190"/>
      <c r="D190"/>
      <c r="E190"/>
      <c r="F190"/>
      <c r="G190"/>
      <c r="H190"/>
      <c r="I190"/>
      <c r="J190"/>
      <c r="K190"/>
      <c r="L190"/>
      <c r="M190"/>
      <c r="N190"/>
    </row>
    <row r="191" spans="1:34" ht="14.4" customHeight="1" x14ac:dyDescent="0.3">
      <c r="B191"/>
      <c r="C191"/>
      <c r="D191"/>
      <c r="E191"/>
      <c r="F191"/>
      <c r="G191"/>
      <c r="H191"/>
      <c r="I191"/>
      <c r="J191"/>
      <c r="K191"/>
      <c r="L191"/>
      <c r="M191"/>
      <c r="N191"/>
    </row>
    <row r="192" spans="1:34" ht="14.4" customHeight="1" x14ac:dyDescent="0.3">
      <c r="B192"/>
      <c r="C192"/>
      <c r="D192"/>
      <c r="E192"/>
      <c r="F192"/>
      <c r="G192"/>
      <c r="H192"/>
      <c r="I192"/>
      <c r="J192"/>
      <c r="K192"/>
      <c r="L192"/>
      <c r="M192"/>
      <c r="N192"/>
    </row>
    <row r="193" spans="1:34" ht="14.4" customHeight="1" x14ac:dyDescent="0.3">
      <c r="B193"/>
      <c r="C193"/>
      <c r="D193"/>
      <c r="E193"/>
      <c r="F193"/>
      <c r="G193"/>
      <c r="H193"/>
      <c r="I193"/>
      <c r="J193"/>
      <c r="K193"/>
      <c r="L193"/>
      <c r="M193"/>
      <c r="N193"/>
    </row>
    <row r="194" spans="1:34" ht="14.4" customHeight="1" x14ac:dyDescent="0.3">
      <c r="B194"/>
      <c r="C194"/>
      <c r="D194"/>
      <c r="E194"/>
      <c r="F194"/>
      <c r="G194"/>
      <c r="H194"/>
      <c r="I194"/>
      <c r="J194"/>
      <c r="K194"/>
      <c r="L194"/>
      <c r="M194"/>
      <c r="N194"/>
    </row>
    <row r="195" spans="1:34" ht="14.4" customHeight="1" x14ac:dyDescent="0.3">
      <c r="B195"/>
      <c r="C195"/>
      <c r="D195"/>
      <c r="E195"/>
      <c r="F195"/>
      <c r="G195"/>
      <c r="H195"/>
      <c r="I195"/>
      <c r="J195"/>
      <c r="K195"/>
      <c r="L195"/>
      <c r="M195"/>
      <c r="N195"/>
    </row>
    <row r="196" spans="1:34" ht="14.4" customHeight="1" x14ac:dyDescent="0.3">
      <c r="B196"/>
      <c r="C196"/>
      <c r="D196"/>
      <c r="E196"/>
      <c r="F196"/>
      <c r="G196"/>
      <c r="H196"/>
      <c r="I196"/>
      <c r="J196"/>
      <c r="K196"/>
      <c r="L196"/>
      <c r="M196"/>
      <c r="N196"/>
    </row>
    <row r="197" spans="1:34" ht="14.4" customHeight="1" x14ac:dyDescent="0.3">
      <c r="B197"/>
      <c r="C197"/>
      <c r="D197"/>
      <c r="E197"/>
      <c r="F197"/>
      <c r="G197"/>
      <c r="H197"/>
      <c r="I197"/>
      <c r="J197"/>
      <c r="K197"/>
      <c r="L197"/>
      <c r="M197"/>
      <c r="N197"/>
    </row>
    <row r="198" spans="1:34" ht="14.4" customHeight="1" x14ac:dyDescent="0.3">
      <c r="B198"/>
      <c r="C198"/>
      <c r="D198"/>
      <c r="E198"/>
      <c r="F198"/>
      <c r="G198"/>
      <c r="H198"/>
      <c r="I198"/>
      <c r="J198"/>
      <c r="K198"/>
      <c r="L198"/>
      <c r="M198"/>
      <c r="N198"/>
    </row>
    <row r="199" spans="1:34" ht="14.4" customHeight="1" x14ac:dyDescent="0.3">
      <c r="B199"/>
      <c r="C199"/>
      <c r="D199"/>
      <c r="E199"/>
      <c r="F199"/>
      <c r="G199"/>
      <c r="H199"/>
      <c r="I199"/>
      <c r="J199"/>
      <c r="K199"/>
      <c r="L199"/>
      <c r="M199"/>
      <c r="N199"/>
    </row>
    <row r="200" spans="1:34" ht="14.4" customHeight="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</row>
    <row r="201" spans="1:34" ht="14.4" customHeight="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</row>
    <row r="202" spans="1:34" ht="14.4" customHeight="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</row>
    <row r="203" spans="1:34" s="19" customFormat="1" ht="1.95" customHeight="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</row>
    <row r="204" spans="1:34" ht="14.4" customHeight="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</row>
    <row r="205" spans="1:34" s="19" customFormat="1" ht="1.95" customHeight="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</row>
    <row r="206" spans="1:34" ht="14.4" customHeight="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</row>
    <row r="207" spans="1:34" ht="14.4" customHeight="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</row>
    <row r="208" spans="1:34" ht="14.4" customHeight="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</row>
    <row r="209" spans="1:34" ht="14.4" customHeight="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</row>
    <row r="210" spans="1:34" ht="14.4" customHeight="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</row>
    <row r="211" spans="1:34" s="19" customFormat="1" ht="1.95" customHeight="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</row>
    <row r="212" spans="1:34" ht="14.4" customHeight="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</row>
    <row r="213" spans="1:34" ht="14.4" customHeight="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</row>
    <row r="214" spans="1:34" ht="14.4" customHeight="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</row>
    <row r="215" spans="1:34" ht="14.4" customHeight="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</row>
    <row r="216" spans="1:34" ht="14.4" customHeight="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</row>
    <row r="217" spans="1:34" ht="14.4" customHeight="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</row>
    <row r="218" spans="1:34" ht="14.4" customHeight="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</row>
    <row r="219" spans="1:34" ht="14.4" customHeight="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</row>
    <row r="220" spans="1:34" s="19" customFormat="1" ht="14.4" customHeight="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</row>
    <row r="221" spans="1:34" ht="14.4" customHeight="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</row>
    <row r="222" spans="1:34" ht="14.4" customHeight="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</row>
    <row r="223" spans="1:34" ht="14.4" customHeight="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</row>
    <row r="224" spans="1:34" ht="14.4" customHeight="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</row>
    <row r="225" spans="1:34" ht="14.4" customHeight="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</row>
    <row r="226" spans="1:34" ht="14.4" customHeight="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</row>
    <row r="227" spans="1:34" ht="14.4" customHeight="1" x14ac:dyDescent="0.3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</row>
    <row r="228" spans="1:34" ht="14.4" customHeight="1" x14ac:dyDescent="0.3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</row>
    <row r="229" spans="1:34" ht="14.4" customHeight="1" x14ac:dyDescent="0.3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</row>
    <row r="230" spans="1:34" ht="14.4" customHeight="1" x14ac:dyDescent="0.3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</row>
    <row r="231" spans="1:34" ht="14.4" customHeight="1" x14ac:dyDescent="0.3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</row>
    <row r="232" spans="1:34" ht="14.4" customHeight="1" x14ac:dyDescent="0.3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</row>
    <row r="233" spans="1:34" ht="14.4" customHeight="1" x14ac:dyDescent="0.3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</row>
    <row r="234" spans="1:34" ht="14.4" customHeight="1" x14ac:dyDescent="0.3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</row>
    <row r="235" spans="1:34" ht="14.4" customHeight="1" x14ac:dyDescent="0.3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</row>
    <row r="236" spans="1:34" ht="14.4" customHeight="1" x14ac:dyDescent="0.3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</row>
    <row r="237" spans="1:34" ht="14.4" customHeight="1" x14ac:dyDescent="0.3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</row>
    <row r="238" spans="1:34" ht="14.4" customHeight="1" x14ac:dyDescent="0.3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</row>
    <row r="239" spans="1:34" ht="14.4" customHeight="1" x14ac:dyDescent="0.3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</row>
    <row r="240" spans="1:34" ht="14.4" customHeight="1" x14ac:dyDescent="0.3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</row>
    <row r="241" spans="1:34" ht="14.4" customHeight="1" x14ac:dyDescent="0.3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</row>
    <row r="242" spans="1:34" s="19" customFormat="1" ht="14.4" customHeight="1" x14ac:dyDescent="0.3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</row>
    <row r="243" spans="1:34" ht="14.4" customHeight="1" x14ac:dyDescent="0.3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</row>
    <row r="244" spans="1:34" ht="14.4" customHeight="1" x14ac:dyDescent="0.3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</row>
    <row r="245" spans="1:34" ht="14.4" customHeight="1" x14ac:dyDescent="0.3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</row>
    <row r="246" spans="1:34" ht="14.4" customHeight="1" x14ac:dyDescent="0.3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</row>
    <row r="247" spans="1:34" ht="14.4" customHeight="1" x14ac:dyDescent="0.3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</row>
    <row r="248" spans="1:34" ht="14.4" customHeight="1" x14ac:dyDescent="0.3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</row>
    <row r="249" spans="1:34" ht="14.4" customHeight="1" x14ac:dyDescent="0.3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</row>
    <row r="250" spans="1:34" ht="14.4" customHeight="1" x14ac:dyDescent="0.3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</row>
    <row r="251" spans="1:34" ht="14.4" customHeight="1" x14ac:dyDescent="0.3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</row>
    <row r="252" spans="1:34" ht="14.4" customHeight="1" x14ac:dyDescent="0.3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</row>
    <row r="253" spans="1:34" ht="14.4" customHeight="1" x14ac:dyDescent="0.3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</row>
    <row r="254" spans="1:34" ht="14.4" customHeight="1" x14ac:dyDescent="0.3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</row>
    <row r="255" spans="1:34" ht="14.4" customHeight="1" x14ac:dyDescent="0.3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</row>
    <row r="256" spans="1:34" ht="14.4" customHeight="1" x14ac:dyDescent="0.3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</row>
    <row r="257" spans="1:34" ht="14.4" customHeight="1" x14ac:dyDescent="0.3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</row>
    <row r="258" spans="1:34" ht="14.4" customHeight="1" x14ac:dyDescent="0.3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</row>
    <row r="259" spans="1:34" ht="14.4" customHeight="1" x14ac:dyDescent="0.3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</row>
    <row r="260" spans="1:34" ht="14.4" customHeight="1" x14ac:dyDescent="0.3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</row>
    <row r="261" spans="1:34" ht="14.4" customHeight="1" x14ac:dyDescent="0.3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</row>
    <row r="262" spans="1:34" ht="14.4" customHeight="1" x14ac:dyDescent="0.3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</row>
    <row r="263" spans="1:34" ht="14.4" customHeight="1" x14ac:dyDescent="0.3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</row>
    <row r="264" spans="1:34" ht="14.4" customHeight="1" x14ac:dyDescent="0.3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</row>
    <row r="265" spans="1:34" ht="14.4" customHeight="1" x14ac:dyDescent="0.3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</row>
    <row r="266" spans="1:34" ht="14.4" customHeight="1" x14ac:dyDescent="0.3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</row>
    <row r="267" spans="1:34" ht="14.4" customHeight="1" x14ac:dyDescent="0.3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</row>
    <row r="268" spans="1:34" ht="14.4" customHeight="1" x14ac:dyDescent="0.3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</row>
    <row r="269" spans="1:34" ht="14.4" customHeight="1" x14ac:dyDescent="0.3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</row>
    <row r="270" spans="1:34" ht="14.4" customHeight="1" x14ac:dyDescent="0.3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</row>
    <row r="271" spans="1:34" ht="14.4" customHeight="1" x14ac:dyDescent="0.3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</row>
    <row r="272" spans="1:34" ht="14.4" customHeight="1" x14ac:dyDescent="0.3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</row>
    <row r="273" spans="1:34" ht="14.4" customHeight="1" x14ac:dyDescent="0.3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</row>
    <row r="274" spans="1:34" ht="14.4" customHeight="1" x14ac:dyDescent="0.3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</row>
    <row r="275" spans="1:34" ht="14.4" customHeight="1" x14ac:dyDescent="0.3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</row>
    <row r="276" spans="1:34" ht="14.4" customHeight="1" x14ac:dyDescent="0.3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</row>
    <row r="277" spans="1:34" ht="14.4" customHeight="1" x14ac:dyDescent="0.3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</row>
    <row r="278" spans="1:34" ht="14.4" customHeight="1" x14ac:dyDescent="0.3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</row>
    <row r="279" spans="1:34" ht="14.4" customHeight="1" x14ac:dyDescent="0.3">
      <c r="A279" s="68"/>
    </row>
    <row r="280" spans="1:34" ht="14.4" customHeight="1" x14ac:dyDescent="0.3">
      <c r="A280" s="68"/>
    </row>
    <row r="281" spans="1:34" ht="14.4" customHeight="1" x14ac:dyDescent="0.3">
      <c r="A281" s="68"/>
    </row>
    <row r="282" spans="1:34" ht="14.4" customHeight="1" x14ac:dyDescent="0.3">
      <c r="A282" s="68"/>
    </row>
    <row r="283" spans="1:34" ht="14.4" customHeight="1" x14ac:dyDescent="0.3">
      <c r="A283" s="68"/>
    </row>
    <row r="284" spans="1:34" ht="14.4" customHeight="1" x14ac:dyDescent="0.3">
      <c r="A284" s="68"/>
    </row>
    <row r="285" spans="1:34" ht="14.4" customHeight="1" x14ac:dyDescent="0.3">
      <c r="A285" s="68"/>
    </row>
    <row r="286" spans="1:34" ht="14.4" customHeight="1" x14ac:dyDescent="0.3">
      <c r="A286" s="68"/>
    </row>
    <row r="287" spans="1:34" ht="14.4" customHeight="1" x14ac:dyDescent="0.3">
      <c r="A287" s="68"/>
    </row>
    <row r="288" spans="1:34" ht="14.4" customHeight="1" x14ac:dyDescent="0.3">
      <c r="A288" s="68"/>
    </row>
    <row r="289" spans="1:1" ht="14.4" customHeight="1" x14ac:dyDescent="0.3">
      <c r="A289" s="68"/>
    </row>
    <row r="290" spans="1:1" ht="14.4" customHeight="1" x14ac:dyDescent="0.3">
      <c r="A290" s="68"/>
    </row>
    <row r="291" spans="1:1" ht="14.4" customHeight="1" x14ac:dyDescent="0.3">
      <c r="A291" s="68"/>
    </row>
    <row r="292" spans="1:1" ht="14.4" customHeight="1" x14ac:dyDescent="0.3">
      <c r="A292" s="68"/>
    </row>
    <row r="293" spans="1:1" ht="14.4" customHeight="1" x14ac:dyDescent="0.3">
      <c r="A293" s="68"/>
    </row>
    <row r="294" spans="1:1" ht="14.4" customHeight="1" x14ac:dyDescent="0.3">
      <c r="A294" s="68"/>
    </row>
    <row r="295" spans="1:1" ht="14.4" customHeight="1" x14ac:dyDescent="0.3">
      <c r="A295" s="68"/>
    </row>
    <row r="296" spans="1:1" ht="14.4" customHeight="1" x14ac:dyDescent="0.3">
      <c r="A296" s="68"/>
    </row>
    <row r="297" spans="1:1" ht="14.4" customHeight="1" x14ac:dyDescent="0.3">
      <c r="A297" s="68"/>
    </row>
    <row r="298" spans="1:1" ht="14.4" customHeight="1" x14ac:dyDescent="0.3">
      <c r="A298" s="68"/>
    </row>
    <row r="299" spans="1:1" ht="14.4" customHeight="1" x14ac:dyDescent="0.3">
      <c r="A299" s="68"/>
    </row>
    <row r="300" spans="1:1" ht="14.4" customHeight="1" x14ac:dyDescent="0.3">
      <c r="A300" s="68"/>
    </row>
    <row r="301" spans="1:1" ht="14.4" customHeight="1" x14ac:dyDescent="0.3">
      <c r="A301" s="68"/>
    </row>
    <row r="302" spans="1:1" ht="14.4" customHeight="1" x14ac:dyDescent="0.3">
      <c r="A302" s="68"/>
    </row>
    <row r="303" spans="1:1" ht="14.4" customHeight="1" x14ac:dyDescent="0.3">
      <c r="A303" s="68"/>
    </row>
    <row r="304" spans="1:1" ht="14.4" customHeight="1" x14ac:dyDescent="0.3">
      <c r="A304" s="68"/>
    </row>
    <row r="305" spans="1:1" ht="14.4" customHeight="1" x14ac:dyDescent="0.3">
      <c r="A305" s="68"/>
    </row>
    <row r="306" spans="1:1" ht="14.4" customHeight="1" x14ac:dyDescent="0.3">
      <c r="A306" s="68"/>
    </row>
    <row r="307" spans="1:1" ht="14.4" customHeight="1" x14ac:dyDescent="0.3">
      <c r="A307" s="68"/>
    </row>
    <row r="308" spans="1:1" ht="14.4" customHeight="1" x14ac:dyDescent="0.3">
      <c r="A308" s="68"/>
    </row>
    <row r="309" spans="1:1" ht="14.4" customHeight="1" x14ac:dyDescent="0.3">
      <c r="A309" s="68"/>
    </row>
    <row r="310" spans="1:1" ht="14.4" customHeight="1" x14ac:dyDescent="0.3">
      <c r="A310" s="68"/>
    </row>
    <row r="311" spans="1:1" ht="14.4" customHeight="1" x14ac:dyDescent="0.3">
      <c r="A311" s="68"/>
    </row>
    <row r="312" spans="1:1" ht="14.4" customHeight="1" x14ac:dyDescent="0.3">
      <c r="A312" s="68"/>
    </row>
    <row r="313" spans="1:1" ht="14.4" customHeight="1" x14ac:dyDescent="0.3">
      <c r="A313" s="68"/>
    </row>
    <row r="314" spans="1:1" ht="14.4" customHeight="1" x14ac:dyDescent="0.3">
      <c r="A314" s="68"/>
    </row>
    <row r="315" spans="1:1" ht="14.4" customHeight="1" x14ac:dyDescent="0.3">
      <c r="A315" s="68"/>
    </row>
    <row r="316" spans="1:1" ht="14.4" customHeight="1" x14ac:dyDescent="0.3">
      <c r="A316" s="68"/>
    </row>
  </sheetData>
  <sortState xmlns:xlrd2="http://schemas.microsoft.com/office/spreadsheetml/2017/richdata2" ref="B221:P230">
    <sortCondition descending="1" ref="E221:E230"/>
  </sortState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82438-1AC1-43DF-96FD-76E4B45DFDBC}">
  <dimension ref="A1:N200"/>
  <sheetViews>
    <sheetView showGridLines="0" zoomScale="130" zoomScaleNormal="130" workbookViewId="0"/>
  </sheetViews>
  <sheetFormatPr defaultColWidth="8.69921875" defaultRowHeight="15.6" x14ac:dyDescent="0.3"/>
  <cols>
    <col min="1" max="3" width="8.69921875" style="1" customWidth="1"/>
    <col min="4" max="37" width="8.69921875" customWidth="1"/>
  </cols>
  <sheetData>
    <row r="1" spans="13:14" customFormat="1" ht="14.4" customHeight="1" x14ac:dyDescent="0.3"/>
    <row r="2" spans="13:14" customFormat="1" ht="14.4" customHeight="1" x14ac:dyDescent="0.3"/>
    <row r="3" spans="13:14" customFormat="1" ht="14.4" customHeight="1" x14ac:dyDescent="0.3">
      <c r="M3" t="s">
        <v>2</v>
      </c>
      <c r="N3" s="157">
        <v>82.63</v>
      </c>
    </row>
    <row r="4" spans="13:14" customFormat="1" ht="14.4" customHeight="1" x14ac:dyDescent="0.3"/>
    <row r="5" spans="13:14" customFormat="1" ht="14.4" customHeight="1" x14ac:dyDescent="0.3"/>
    <row r="6" spans="13:14" customFormat="1" ht="14.4" customHeight="1" x14ac:dyDescent="0.3"/>
    <row r="7" spans="13:14" customFormat="1" ht="14.4" customHeight="1" x14ac:dyDescent="0.3"/>
    <row r="8" spans="13:14" customFormat="1" ht="14.4" customHeight="1" x14ac:dyDescent="0.3"/>
    <row r="9" spans="13:14" customFormat="1" ht="14.4" customHeight="1" x14ac:dyDescent="0.3"/>
    <row r="10" spans="13:14" customFormat="1" ht="14.4" customHeight="1" x14ac:dyDescent="0.3"/>
    <row r="11" spans="13:14" customFormat="1" ht="14.4" customHeight="1" x14ac:dyDescent="0.3"/>
    <row r="12" spans="13:14" customFormat="1" ht="14.4" customHeight="1" x14ac:dyDescent="0.3"/>
    <row r="13" spans="13:14" customFormat="1" ht="14.4" customHeight="1" x14ac:dyDescent="0.3"/>
    <row r="14" spans="13:14" customFormat="1" ht="14.4" customHeight="1" x14ac:dyDescent="0.3"/>
    <row r="15" spans="13:14" customFormat="1" ht="14.4" customHeight="1" x14ac:dyDescent="0.3"/>
    <row r="16" spans="13:14" customFormat="1" ht="14.4" customHeight="1" x14ac:dyDescent="0.3"/>
    <row r="17" spans="2:3" customFormat="1" ht="14.4" customHeight="1" x14ac:dyDescent="0.3"/>
    <row r="18" spans="2:3" customFormat="1" ht="14.4" customHeight="1" x14ac:dyDescent="0.3"/>
    <row r="19" spans="2:3" customFormat="1" ht="14.4" customHeight="1" x14ac:dyDescent="0.3"/>
    <row r="20" spans="2:3" customFormat="1" ht="14.4" customHeight="1" x14ac:dyDescent="0.3"/>
    <row r="21" spans="2:3" customFormat="1" ht="14.4" customHeight="1" x14ac:dyDescent="0.3"/>
    <row r="22" spans="2:3" customFormat="1" ht="14.4" customHeight="1" x14ac:dyDescent="0.3"/>
    <row r="23" spans="2:3" customFormat="1" ht="14.4" customHeight="1" x14ac:dyDescent="0.3"/>
    <row r="24" spans="2:3" customFormat="1" ht="14.4" customHeight="1" x14ac:dyDescent="0.3">
      <c r="B24" s="4"/>
      <c r="C24" s="1"/>
    </row>
    <row r="25" spans="2:3" customFormat="1" ht="14.4" customHeight="1" x14ac:dyDescent="0.3">
      <c r="B25" s="4"/>
      <c r="C25" s="1"/>
    </row>
    <row r="26" spans="2:3" customFormat="1" ht="14.4" customHeight="1" x14ac:dyDescent="0.3">
      <c r="B26" s="4"/>
      <c r="C26" s="1"/>
    </row>
    <row r="27" spans="2:3" customFormat="1" ht="14.4" customHeight="1" x14ac:dyDescent="0.3">
      <c r="B27" s="4"/>
      <c r="C27" s="1"/>
    </row>
    <row r="28" spans="2:3" customFormat="1" ht="14.4" customHeight="1" x14ac:dyDescent="0.3">
      <c r="B28" s="4"/>
      <c r="C28" s="1"/>
    </row>
    <row r="29" spans="2:3" customFormat="1" ht="14.4" customHeight="1" x14ac:dyDescent="0.3">
      <c r="B29" s="4"/>
      <c r="C29" s="1"/>
    </row>
    <row r="30" spans="2:3" customFormat="1" ht="14.4" customHeight="1" x14ac:dyDescent="0.3">
      <c r="B30" s="4"/>
      <c r="C30" s="1"/>
    </row>
    <row r="31" spans="2:3" customFormat="1" ht="14.4" customHeight="1" x14ac:dyDescent="0.3">
      <c r="B31" s="1"/>
      <c r="C31" s="1"/>
    </row>
    <row r="32" spans="2:3" customFormat="1" ht="14.4" customHeight="1" x14ac:dyDescent="0.3">
      <c r="B32" s="1"/>
      <c r="C32" s="1"/>
    </row>
    <row r="33" spans="2:3" customFormat="1" ht="14.4" customHeight="1" x14ac:dyDescent="0.3">
      <c r="B33" s="69"/>
      <c r="C33" s="69"/>
    </row>
    <row r="34" spans="2:3" customFormat="1" ht="14.4" customHeight="1" x14ac:dyDescent="0.3">
      <c r="B34" s="1"/>
      <c r="C34" s="1"/>
    </row>
    <row r="35" spans="2:3" customFormat="1" ht="14.4" customHeight="1" x14ac:dyDescent="0.3">
      <c r="B35" s="1"/>
      <c r="C35" s="1"/>
    </row>
    <row r="36" spans="2:3" customFormat="1" ht="14.4" customHeight="1" x14ac:dyDescent="0.3">
      <c r="B36" s="1"/>
      <c r="C36" s="1"/>
    </row>
    <row r="37" spans="2:3" customFormat="1" ht="14.4" customHeight="1" x14ac:dyDescent="0.3">
      <c r="B37" s="1"/>
      <c r="C37" s="1"/>
    </row>
    <row r="38" spans="2:3" customFormat="1" ht="14.4" customHeight="1" x14ac:dyDescent="0.3">
      <c r="B38" s="1"/>
      <c r="C38" s="1"/>
    </row>
    <row r="39" spans="2:3" customFormat="1" ht="14.4" customHeight="1" x14ac:dyDescent="0.3">
      <c r="B39" s="1"/>
      <c r="C39" s="1"/>
    </row>
    <row r="40" spans="2:3" customFormat="1" ht="14.4" customHeight="1" x14ac:dyDescent="0.3">
      <c r="B40" s="1"/>
      <c r="C40" s="1"/>
    </row>
    <row r="41" spans="2:3" customFormat="1" ht="14.4" customHeight="1" x14ac:dyDescent="0.3">
      <c r="B41" s="1"/>
      <c r="C41" s="1"/>
    </row>
    <row r="42" spans="2:3" customFormat="1" ht="14.4" customHeight="1" x14ac:dyDescent="0.3">
      <c r="B42" s="1"/>
      <c r="C42" s="1"/>
    </row>
    <row r="43" spans="2:3" customFormat="1" ht="14.4" customHeight="1" x14ac:dyDescent="0.3">
      <c r="B43" s="1"/>
      <c r="C43" s="1"/>
    </row>
    <row r="44" spans="2:3" customFormat="1" ht="14.4" customHeight="1" x14ac:dyDescent="0.3">
      <c r="B44" s="1"/>
      <c r="C44" s="1"/>
    </row>
    <row r="45" spans="2:3" customFormat="1" ht="14.4" customHeight="1" x14ac:dyDescent="0.3">
      <c r="B45" s="1"/>
      <c r="C45" s="1"/>
    </row>
    <row r="46" spans="2:3" customFormat="1" ht="14.4" customHeight="1" x14ac:dyDescent="0.3">
      <c r="B46" s="1"/>
      <c r="C46" s="1"/>
    </row>
    <row r="47" spans="2:3" customFormat="1" ht="14.4" customHeight="1" x14ac:dyDescent="0.3">
      <c r="B47" s="1"/>
      <c r="C47" s="1"/>
    </row>
    <row r="48" spans="2:3" customFormat="1" ht="14.4" customHeight="1" x14ac:dyDescent="0.3">
      <c r="B48" s="1"/>
      <c r="C48" s="1"/>
    </row>
    <row r="49" spans="2:3" customFormat="1" ht="14.4" customHeight="1" x14ac:dyDescent="0.3">
      <c r="B49" s="1"/>
      <c r="C49" s="1"/>
    </row>
    <row r="50" spans="2:3" customFormat="1" ht="14.4" customHeight="1" x14ac:dyDescent="0.3">
      <c r="B50" s="1"/>
      <c r="C50" s="1"/>
    </row>
    <row r="51" spans="2:3" customFormat="1" ht="14.4" customHeight="1" x14ac:dyDescent="0.3">
      <c r="B51" s="1"/>
      <c r="C51" s="1"/>
    </row>
    <row r="52" spans="2:3" customFormat="1" ht="14.4" customHeight="1" x14ac:dyDescent="0.3">
      <c r="B52" s="1"/>
      <c r="C52" s="1"/>
    </row>
    <row r="53" spans="2:3" customFormat="1" ht="14.4" customHeight="1" x14ac:dyDescent="0.3">
      <c r="B53" s="1"/>
      <c r="C53" s="1"/>
    </row>
    <row r="54" spans="2:3" customFormat="1" ht="14.4" customHeight="1" x14ac:dyDescent="0.3">
      <c r="B54" s="1"/>
      <c r="C54" s="1"/>
    </row>
    <row r="55" spans="2:3" customFormat="1" ht="14.4" customHeight="1" x14ac:dyDescent="0.3">
      <c r="B55" s="1"/>
      <c r="C55" s="1"/>
    </row>
    <row r="56" spans="2:3" customFormat="1" ht="14.4" customHeight="1" x14ac:dyDescent="0.3">
      <c r="B56" s="1"/>
      <c r="C56" s="1"/>
    </row>
    <row r="57" spans="2:3" customFormat="1" ht="14.4" customHeight="1" x14ac:dyDescent="0.3">
      <c r="B57" s="1"/>
      <c r="C57" s="1"/>
    </row>
    <row r="58" spans="2:3" customFormat="1" ht="14.4" customHeight="1" x14ac:dyDescent="0.3">
      <c r="B58" s="1"/>
      <c r="C58" s="1"/>
    </row>
    <row r="59" spans="2:3" customFormat="1" ht="14.4" customHeight="1" x14ac:dyDescent="0.3">
      <c r="B59" s="1"/>
      <c r="C59" s="1"/>
    </row>
    <row r="60" spans="2:3" customFormat="1" ht="14.4" customHeight="1" x14ac:dyDescent="0.3">
      <c r="B60" s="1"/>
      <c r="C60" s="1"/>
    </row>
    <row r="61" spans="2:3" customFormat="1" ht="14.4" customHeight="1" x14ac:dyDescent="0.3">
      <c r="B61" s="1"/>
      <c r="C61" s="1"/>
    </row>
    <row r="62" spans="2:3" customFormat="1" ht="14.4" customHeight="1" x14ac:dyDescent="0.3">
      <c r="B62" s="1"/>
      <c r="C62" s="1"/>
    </row>
    <row r="63" spans="2:3" customFormat="1" ht="14.4" customHeight="1" x14ac:dyDescent="0.3">
      <c r="B63" s="1"/>
      <c r="C63" s="1"/>
    </row>
    <row r="64" spans="2:3" customFormat="1" ht="14.4" customHeight="1" x14ac:dyDescent="0.3">
      <c r="B64" s="1"/>
      <c r="C64" s="1"/>
    </row>
    <row r="65" spans="2:3" customFormat="1" ht="14.4" customHeight="1" x14ac:dyDescent="0.3">
      <c r="B65" s="1"/>
      <c r="C65" s="1"/>
    </row>
    <row r="66" spans="2:3" customFormat="1" ht="14.4" customHeight="1" x14ac:dyDescent="0.3">
      <c r="B66" s="1"/>
      <c r="C66" s="1"/>
    </row>
    <row r="67" spans="2:3" customFormat="1" ht="14.4" customHeight="1" x14ac:dyDescent="0.3">
      <c r="B67" s="1"/>
      <c r="C67" s="1"/>
    </row>
    <row r="68" spans="2:3" customFormat="1" ht="14.4" customHeight="1" x14ac:dyDescent="0.3">
      <c r="B68" s="1"/>
      <c r="C68" s="1"/>
    </row>
    <row r="69" spans="2:3" customFormat="1" ht="14.4" customHeight="1" x14ac:dyDescent="0.3">
      <c r="B69" s="1"/>
      <c r="C69" s="1"/>
    </row>
    <row r="70" spans="2:3" customFormat="1" ht="14.4" customHeight="1" x14ac:dyDescent="0.3">
      <c r="B70" s="1"/>
      <c r="C70" s="1"/>
    </row>
    <row r="71" spans="2:3" customFormat="1" ht="14.4" customHeight="1" x14ac:dyDescent="0.3">
      <c r="B71" s="1"/>
      <c r="C71" s="1"/>
    </row>
    <row r="72" spans="2:3" customFormat="1" ht="14.4" customHeight="1" x14ac:dyDescent="0.3">
      <c r="B72" s="1"/>
      <c r="C72" s="1"/>
    </row>
    <row r="73" spans="2:3" customFormat="1" ht="14.4" customHeight="1" x14ac:dyDescent="0.3">
      <c r="B73" s="1"/>
      <c r="C73" s="1"/>
    </row>
    <row r="74" spans="2:3" customFormat="1" ht="14.4" customHeight="1" x14ac:dyDescent="0.3">
      <c r="B74" s="1"/>
      <c r="C74" s="1"/>
    </row>
    <row r="75" spans="2:3" customFormat="1" ht="14.4" customHeight="1" x14ac:dyDescent="0.3">
      <c r="B75" s="1"/>
      <c r="C75" s="1"/>
    </row>
    <row r="76" spans="2:3" customFormat="1" ht="14.4" customHeight="1" x14ac:dyDescent="0.3">
      <c r="B76" s="1"/>
      <c r="C76" s="1"/>
    </row>
    <row r="77" spans="2:3" customFormat="1" ht="14.4" customHeight="1" x14ac:dyDescent="0.3">
      <c r="B77" s="1"/>
      <c r="C77" s="1"/>
    </row>
    <row r="78" spans="2:3" customFormat="1" ht="14.4" customHeight="1" x14ac:dyDescent="0.3">
      <c r="B78" s="1"/>
      <c r="C78" s="1"/>
    </row>
    <row r="79" spans="2:3" customFormat="1" ht="14.4" customHeight="1" x14ac:dyDescent="0.3">
      <c r="B79" s="1"/>
      <c r="C79" s="1"/>
    </row>
    <row r="80" spans="2:3" customFormat="1" ht="14.4" customHeight="1" x14ac:dyDescent="0.3">
      <c r="B80" s="1"/>
      <c r="C80" s="1"/>
    </row>
    <row r="81" spans="2:3" customFormat="1" ht="14.4" customHeight="1" x14ac:dyDescent="0.3">
      <c r="B81" s="1"/>
      <c r="C81" s="1"/>
    </row>
    <row r="82" spans="2:3" customFormat="1" ht="14.4" customHeight="1" x14ac:dyDescent="0.3">
      <c r="B82" s="1"/>
      <c r="C82" s="1"/>
    </row>
    <row r="83" spans="2:3" customFormat="1" ht="14.4" customHeight="1" x14ac:dyDescent="0.3">
      <c r="B83" s="1"/>
      <c r="C83" s="1"/>
    </row>
    <row r="84" spans="2:3" customFormat="1" ht="14.4" customHeight="1" x14ac:dyDescent="0.3">
      <c r="B84" s="1"/>
      <c r="C84" s="1"/>
    </row>
    <row r="85" spans="2:3" customFormat="1" ht="14.4" customHeight="1" x14ac:dyDescent="0.3">
      <c r="B85" s="1"/>
      <c r="C85" s="1"/>
    </row>
    <row r="86" spans="2:3" customFormat="1" ht="14.4" customHeight="1" x14ac:dyDescent="0.3">
      <c r="B86" s="1"/>
      <c r="C86" s="1"/>
    </row>
    <row r="87" spans="2:3" customFormat="1" ht="14.4" customHeight="1" x14ac:dyDescent="0.3">
      <c r="B87" s="1"/>
      <c r="C87" s="1"/>
    </row>
    <row r="88" spans="2:3" customFormat="1" ht="14.4" customHeight="1" x14ac:dyDescent="0.3">
      <c r="B88" s="1"/>
      <c r="C88" s="1"/>
    </row>
    <row r="89" spans="2:3" customFormat="1" ht="14.4" customHeight="1" x14ac:dyDescent="0.3">
      <c r="B89" s="1"/>
      <c r="C89" s="1"/>
    </row>
    <row r="90" spans="2:3" customFormat="1" ht="14.4" customHeight="1" x14ac:dyDescent="0.3">
      <c r="B90" s="1"/>
      <c r="C90" s="1"/>
    </row>
    <row r="91" spans="2:3" customFormat="1" ht="14.4" customHeight="1" x14ac:dyDescent="0.3">
      <c r="B91" s="1"/>
      <c r="C91" s="1"/>
    </row>
    <row r="92" spans="2:3" customFormat="1" ht="14.4" customHeight="1" x14ac:dyDescent="0.3">
      <c r="B92" s="1"/>
      <c r="C92" s="1"/>
    </row>
    <row r="93" spans="2:3" customFormat="1" ht="14.4" customHeight="1" x14ac:dyDescent="0.3">
      <c r="B93" s="1"/>
      <c r="C93" s="1"/>
    </row>
    <row r="94" spans="2:3" customFormat="1" ht="14.4" customHeight="1" x14ac:dyDescent="0.3">
      <c r="B94" s="1"/>
      <c r="C94" s="1"/>
    </row>
    <row r="95" spans="2:3" customFormat="1" ht="14.4" customHeight="1" x14ac:dyDescent="0.3">
      <c r="B95" s="1"/>
      <c r="C95" s="1"/>
    </row>
    <row r="96" spans="2:3" customFormat="1" ht="14.4" customHeight="1" x14ac:dyDescent="0.3">
      <c r="B96" s="1"/>
      <c r="C96" s="1"/>
    </row>
    <row r="97" spans="2:3" customFormat="1" ht="14.4" customHeight="1" x14ac:dyDescent="0.3">
      <c r="B97" s="1"/>
      <c r="C97" s="1"/>
    </row>
    <row r="98" spans="2:3" customFormat="1" ht="14.4" customHeight="1" x14ac:dyDescent="0.3">
      <c r="B98" s="1"/>
      <c r="C98" s="1"/>
    </row>
    <row r="99" spans="2:3" customFormat="1" ht="14.4" customHeight="1" x14ac:dyDescent="0.3">
      <c r="B99" s="1"/>
      <c r="C99" s="1"/>
    </row>
    <row r="100" spans="2:3" customFormat="1" ht="14.4" customHeight="1" x14ac:dyDescent="0.3">
      <c r="B100" s="1"/>
      <c r="C100" s="1"/>
    </row>
    <row r="101" spans="2:3" customFormat="1" ht="14.4" customHeight="1" x14ac:dyDescent="0.3">
      <c r="B101" s="1"/>
      <c r="C101" s="1"/>
    </row>
    <row r="102" spans="2:3" customFormat="1" ht="14.4" customHeight="1" x14ac:dyDescent="0.3">
      <c r="B102" s="1"/>
      <c r="C102" s="1"/>
    </row>
    <row r="103" spans="2:3" customFormat="1" ht="14.4" customHeight="1" x14ac:dyDescent="0.3"/>
    <row r="104" spans="2:3" customFormat="1" ht="14.4" customHeight="1" x14ac:dyDescent="0.3"/>
    <row r="105" spans="2:3" customFormat="1" ht="14.4" customHeight="1" x14ac:dyDescent="0.3"/>
    <row r="106" spans="2:3" customFormat="1" ht="14.4" customHeight="1" x14ac:dyDescent="0.3"/>
    <row r="107" spans="2:3" customFormat="1" ht="14.4" customHeight="1" x14ac:dyDescent="0.3"/>
    <row r="108" spans="2:3" customFormat="1" ht="14.4" customHeight="1" x14ac:dyDescent="0.3"/>
    <row r="109" spans="2:3" customFormat="1" ht="14.4" customHeight="1" x14ac:dyDescent="0.3"/>
    <row r="110" spans="2:3" customFormat="1" ht="14.4" customHeight="1" x14ac:dyDescent="0.3"/>
    <row r="111" spans="2:3" customFormat="1" ht="14.4" customHeight="1" x14ac:dyDescent="0.3"/>
    <row r="112" spans="2:3" customFormat="1" ht="14.4" customHeight="1" x14ac:dyDescent="0.3"/>
    <row r="113" customFormat="1" ht="14.4" customHeight="1" x14ac:dyDescent="0.3"/>
    <row r="114" customFormat="1" ht="14.4" customHeight="1" x14ac:dyDescent="0.3"/>
    <row r="115" customFormat="1" ht="14.4" customHeight="1" x14ac:dyDescent="0.3"/>
    <row r="116" customFormat="1" ht="14.4" customHeight="1" x14ac:dyDescent="0.3"/>
    <row r="117" customFormat="1" ht="14.4" customHeight="1" x14ac:dyDescent="0.3"/>
    <row r="118" customFormat="1" ht="14.4" customHeight="1" x14ac:dyDescent="0.3"/>
    <row r="119" customFormat="1" ht="14.4" customHeight="1" x14ac:dyDescent="0.3"/>
    <row r="120" customFormat="1" ht="14.4" customHeight="1" x14ac:dyDescent="0.3"/>
    <row r="121" customFormat="1" ht="14.4" customHeight="1" x14ac:dyDescent="0.3"/>
    <row r="122" customFormat="1" ht="14.4" customHeight="1" x14ac:dyDescent="0.3"/>
    <row r="123" customFormat="1" ht="14.4" customHeight="1" x14ac:dyDescent="0.3"/>
    <row r="124" customFormat="1" ht="14.4" customHeight="1" x14ac:dyDescent="0.3"/>
    <row r="125" customFormat="1" ht="14.4" customHeight="1" x14ac:dyDescent="0.3"/>
    <row r="126" customFormat="1" ht="14.4" customHeight="1" x14ac:dyDescent="0.3"/>
    <row r="127" customFormat="1" ht="14.4" customHeight="1" x14ac:dyDescent="0.3"/>
    <row r="128" customFormat="1" ht="14.4" customHeight="1" x14ac:dyDescent="0.3"/>
    <row r="129" customFormat="1" ht="14.4" customHeight="1" x14ac:dyDescent="0.3"/>
    <row r="130" customFormat="1" ht="14.4" customHeight="1" x14ac:dyDescent="0.3"/>
    <row r="131" customFormat="1" ht="14.4" customHeight="1" x14ac:dyDescent="0.3"/>
    <row r="132" customFormat="1" ht="14.4" customHeight="1" x14ac:dyDescent="0.3"/>
    <row r="133" customFormat="1" ht="14.4" customHeight="1" x14ac:dyDescent="0.3"/>
    <row r="134" customFormat="1" ht="14.4" customHeight="1" x14ac:dyDescent="0.3"/>
    <row r="135" customFormat="1" ht="14.4" customHeight="1" x14ac:dyDescent="0.3"/>
    <row r="136" customFormat="1" ht="14.4" customHeight="1" x14ac:dyDescent="0.3"/>
    <row r="137" customFormat="1" ht="14.4" customHeight="1" x14ac:dyDescent="0.3"/>
    <row r="138" customFormat="1" ht="14.4" customHeight="1" x14ac:dyDescent="0.3"/>
    <row r="139" customFormat="1" ht="14.4" customHeight="1" x14ac:dyDescent="0.3"/>
    <row r="140" customFormat="1" ht="14.4" customHeight="1" x14ac:dyDescent="0.3"/>
    <row r="141" customFormat="1" ht="14.4" customHeight="1" x14ac:dyDescent="0.3"/>
    <row r="142" customFormat="1" ht="14.4" customHeight="1" x14ac:dyDescent="0.3"/>
    <row r="143" customFormat="1" ht="14.4" customHeight="1" x14ac:dyDescent="0.3"/>
    <row r="144" customFormat="1" ht="14.4" customHeight="1" x14ac:dyDescent="0.3"/>
    <row r="145" customFormat="1" ht="14.4" customHeight="1" x14ac:dyDescent="0.3"/>
    <row r="146" customFormat="1" ht="14.4" customHeight="1" x14ac:dyDescent="0.3"/>
    <row r="147" customFormat="1" ht="14.4" customHeight="1" x14ac:dyDescent="0.3"/>
    <row r="148" customFormat="1" ht="14.4" customHeight="1" x14ac:dyDescent="0.3"/>
    <row r="149" customFormat="1" ht="14.4" customHeight="1" x14ac:dyDescent="0.3"/>
    <row r="150" customFormat="1" ht="14.4" customHeight="1" x14ac:dyDescent="0.3"/>
    <row r="151" customFormat="1" ht="14.4" customHeight="1" x14ac:dyDescent="0.3"/>
    <row r="152" customFormat="1" ht="14.4" customHeight="1" x14ac:dyDescent="0.3"/>
    <row r="153" customFormat="1" ht="14.4" customHeight="1" x14ac:dyDescent="0.3"/>
    <row r="154" customFormat="1" ht="14.4" customHeight="1" x14ac:dyDescent="0.3"/>
    <row r="155" customFormat="1" ht="14.4" customHeight="1" x14ac:dyDescent="0.3"/>
    <row r="156" customFormat="1" ht="14.4" customHeight="1" x14ac:dyDescent="0.3"/>
    <row r="157" customFormat="1" ht="14.4" customHeight="1" x14ac:dyDescent="0.3"/>
    <row r="158" customFormat="1" ht="14.4" customHeight="1" x14ac:dyDescent="0.3"/>
    <row r="159" customFormat="1" ht="14.4" customHeight="1" x14ac:dyDescent="0.3"/>
    <row r="160" customFormat="1" ht="14.4" customHeight="1" x14ac:dyDescent="0.3"/>
    <row r="161" customFormat="1" ht="14.4" customHeight="1" x14ac:dyDescent="0.3"/>
    <row r="162" customFormat="1" ht="14.4" customHeight="1" x14ac:dyDescent="0.3"/>
    <row r="163" customFormat="1" ht="14.4" customHeight="1" x14ac:dyDescent="0.3"/>
    <row r="164" customFormat="1" ht="14.4" customHeight="1" x14ac:dyDescent="0.3"/>
    <row r="165" customFormat="1" ht="14.4" customHeight="1" x14ac:dyDescent="0.3"/>
    <row r="166" customFormat="1" ht="14.4" customHeight="1" x14ac:dyDescent="0.3"/>
    <row r="167" customFormat="1" ht="14.4" customHeight="1" x14ac:dyDescent="0.3"/>
    <row r="168" customFormat="1" ht="14.4" customHeight="1" x14ac:dyDescent="0.3"/>
    <row r="169" customFormat="1" ht="14.4" customHeight="1" x14ac:dyDescent="0.3"/>
    <row r="170" customFormat="1" ht="14.4" customHeight="1" x14ac:dyDescent="0.3"/>
    <row r="171" customFormat="1" ht="14.4" customHeight="1" x14ac:dyDescent="0.3"/>
    <row r="172" customFormat="1" ht="14.4" customHeight="1" x14ac:dyDescent="0.3"/>
    <row r="173" customFormat="1" ht="14.4" customHeight="1" x14ac:dyDescent="0.3"/>
    <row r="174" customFormat="1" ht="14.4" customHeight="1" x14ac:dyDescent="0.3"/>
    <row r="175" customFormat="1" ht="14.4" customHeight="1" x14ac:dyDescent="0.3"/>
    <row r="176" customFormat="1" ht="14.4" customHeight="1" x14ac:dyDescent="0.3"/>
    <row r="177" customFormat="1" ht="14.4" customHeight="1" x14ac:dyDescent="0.3"/>
    <row r="178" customFormat="1" ht="14.4" customHeight="1" x14ac:dyDescent="0.3"/>
    <row r="179" customFormat="1" ht="14.4" customHeight="1" x14ac:dyDescent="0.3"/>
    <row r="180" customFormat="1" ht="14.4" customHeight="1" x14ac:dyDescent="0.3"/>
    <row r="181" customFormat="1" ht="14.4" customHeight="1" x14ac:dyDescent="0.3"/>
    <row r="182" customFormat="1" ht="14.4" customHeight="1" x14ac:dyDescent="0.3"/>
    <row r="183" customFormat="1" ht="14.4" customHeight="1" x14ac:dyDescent="0.3"/>
    <row r="184" customFormat="1" ht="14.4" customHeight="1" x14ac:dyDescent="0.3"/>
    <row r="185" customFormat="1" ht="14.4" customHeight="1" x14ac:dyDescent="0.3"/>
    <row r="186" customFormat="1" ht="14.4" customHeight="1" x14ac:dyDescent="0.3"/>
    <row r="187" customFormat="1" ht="14.4" customHeight="1" x14ac:dyDescent="0.3"/>
    <row r="188" customFormat="1" ht="14.4" customHeight="1" x14ac:dyDescent="0.3"/>
    <row r="189" customFormat="1" ht="14.4" customHeight="1" x14ac:dyDescent="0.3"/>
    <row r="190" customFormat="1" ht="14.4" customHeight="1" x14ac:dyDescent="0.3"/>
    <row r="191" customFormat="1" ht="14.4" customHeight="1" x14ac:dyDescent="0.3"/>
    <row r="192" customFormat="1" ht="14.4" customHeight="1" x14ac:dyDescent="0.3"/>
    <row r="193" customFormat="1" ht="14.4" customHeight="1" x14ac:dyDescent="0.3"/>
    <row r="194" customFormat="1" ht="14.4" customHeight="1" x14ac:dyDescent="0.3"/>
    <row r="195" customFormat="1" ht="14.4" customHeight="1" x14ac:dyDescent="0.3"/>
    <row r="196" customFormat="1" ht="14.4" customHeight="1" x14ac:dyDescent="0.3"/>
    <row r="197" customFormat="1" ht="14.4" customHeight="1" x14ac:dyDescent="0.3"/>
    <row r="198" customFormat="1" ht="14.4" customHeight="1" x14ac:dyDescent="0.3"/>
    <row r="199" customFormat="1" ht="14.4" customHeight="1" x14ac:dyDescent="0.3"/>
    <row r="200" customFormat="1" ht="14.4" customHeight="1" x14ac:dyDescent="0.3"/>
  </sheetData>
  <sortState xmlns:xlrd2="http://schemas.microsoft.com/office/spreadsheetml/2017/richdata2" ref="B73:F81">
    <sortCondition descending="1" ref="F73:F81"/>
  </sortState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B80CC-1AEC-46DE-83B7-468ED1A775CB}">
  <dimension ref="B2:T59"/>
  <sheetViews>
    <sheetView showGridLines="0" zoomScale="115" zoomScaleNormal="115" workbookViewId="0">
      <selection activeCell="C28" sqref="C28"/>
    </sheetView>
  </sheetViews>
  <sheetFormatPr defaultColWidth="8.69921875" defaultRowHeight="14.4" x14ac:dyDescent="0.3"/>
  <cols>
    <col min="1" max="16384" width="8.69921875" style="1"/>
  </cols>
  <sheetData>
    <row r="2" spans="2:20" x14ac:dyDescent="0.3">
      <c r="H2" s="1" t="s">
        <v>45</v>
      </c>
      <c r="I2" s="1" t="s">
        <v>46</v>
      </c>
      <c r="J2" s="1" t="s">
        <v>47</v>
      </c>
      <c r="K2" s="1" t="s">
        <v>48</v>
      </c>
      <c r="L2" s="1" t="s">
        <v>49</v>
      </c>
      <c r="M2" s="1" t="s">
        <v>50</v>
      </c>
      <c r="N2" s="1" t="s">
        <v>51</v>
      </c>
      <c r="O2" s="1" t="s">
        <v>52</v>
      </c>
      <c r="P2" s="1" t="s">
        <v>53</v>
      </c>
      <c r="Q2" s="1" t="s">
        <v>54</v>
      </c>
      <c r="R2" s="1" t="s">
        <v>55</v>
      </c>
    </row>
    <row r="3" spans="2:20" x14ac:dyDescent="0.3">
      <c r="H3" s="153" t="s">
        <v>61</v>
      </c>
      <c r="I3" s="153"/>
      <c r="J3" s="153"/>
      <c r="K3" s="153"/>
      <c r="L3" s="153" t="s">
        <v>62</v>
      </c>
      <c r="M3" s="153"/>
      <c r="N3" s="153"/>
      <c r="O3" s="153"/>
      <c r="P3" s="153" t="s">
        <v>63</v>
      </c>
      <c r="Q3" s="153"/>
      <c r="R3" s="153"/>
    </row>
    <row r="4" spans="2:20" x14ac:dyDescent="0.3">
      <c r="B4" s="2" t="s">
        <v>60</v>
      </c>
      <c r="C4" s="2"/>
      <c r="D4" s="2"/>
      <c r="E4" s="2"/>
      <c r="F4" s="2"/>
      <c r="G4" s="2"/>
      <c r="H4" s="24" t="s">
        <v>56</v>
      </c>
      <c r="I4" s="24" t="s">
        <v>57</v>
      </c>
      <c r="J4" s="24" t="s">
        <v>58</v>
      </c>
      <c r="K4" s="24" t="s">
        <v>59</v>
      </c>
      <c r="L4" s="24" t="s">
        <v>56</v>
      </c>
      <c r="M4" s="24" t="s">
        <v>57</v>
      </c>
      <c r="N4" s="24" t="s">
        <v>58</v>
      </c>
      <c r="O4" s="24" t="s">
        <v>59</v>
      </c>
      <c r="P4" s="24" t="s">
        <v>56</v>
      </c>
      <c r="Q4" s="24" t="s">
        <v>57</v>
      </c>
      <c r="R4" s="24" t="s">
        <v>58</v>
      </c>
    </row>
    <row r="5" spans="2:20" s="19" customFormat="1" ht="1.95" customHeight="1" x14ac:dyDescent="0.3">
      <c r="B5" s="20"/>
      <c r="C5" s="20"/>
      <c r="D5" s="20"/>
      <c r="E5" s="20"/>
      <c r="F5" s="20"/>
      <c r="G5" s="20"/>
      <c r="H5" s="20"/>
      <c r="I5" s="20"/>
      <c r="J5" s="20"/>
      <c r="K5" s="20"/>
      <c r="L5" s="21"/>
      <c r="M5" s="21"/>
      <c r="N5" s="21"/>
      <c r="O5" s="21"/>
      <c r="P5" s="21"/>
    </row>
    <row r="6" spans="2:20" x14ac:dyDescent="0.3">
      <c r="B6" s="4"/>
      <c r="C6" s="4"/>
      <c r="D6" s="4"/>
      <c r="E6" s="4"/>
      <c r="F6" s="4"/>
      <c r="G6" s="4"/>
      <c r="H6" s="27"/>
      <c r="I6" s="27"/>
      <c r="J6" s="27"/>
      <c r="K6" s="27"/>
      <c r="L6" s="27"/>
      <c r="M6" s="27"/>
      <c r="N6" s="22"/>
      <c r="O6" s="22"/>
      <c r="P6" s="22"/>
      <c r="Q6" s="22"/>
      <c r="R6" s="22"/>
    </row>
    <row r="7" spans="2:20" x14ac:dyDescent="0.3">
      <c r="B7" s="25"/>
      <c r="H7" s="12"/>
      <c r="I7" s="12"/>
      <c r="J7" s="12"/>
      <c r="K7" s="12"/>
      <c r="L7" s="26"/>
      <c r="M7" s="27"/>
      <c r="N7" s="26"/>
      <c r="O7" s="26"/>
      <c r="P7" s="26"/>
      <c r="Q7" s="26"/>
      <c r="R7" s="26"/>
    </row>
    <row r="8" spans="2:20" x14ac:dyDescent="0.3">
      <c r="H8" s="12"/>
      <c r="I8" s="12"/>
      <c r="J8" s="12"/>
      <c r="K8" s="12"/>
      <c r="L8" s="12"/>
      <c r="M8" s="27"/>
      <c r="N8" s="8"/>
      <c r="O8" s="8"/>
      <c r="P8" s="8"/>
      <c r="Q8" s="8"/>
      <c r="R8" s="8"/>
    </row>
    <row r="9" spans="2:20" x14ac:dyDescent="0.3">
      <c r="B9" s="25"/>
      <c r="H9" s="12"/>
      <c r="I9" s="12"/>
      <c r="J9" s="12"/>
      <c r="K9" s="12"/>
      <c r="L9" s="26"/>
      <c r="M9" s="27"/>
      <c r="N9" s="26"/>
      <c r="O9" s="26"/>
      <c r="P9" s="26"/>
      <c r="Q9" s="26"/>
      <c r="R9" s="26"/>
    </row>
    <row r="10" spans="2:20" x14ac:dyDescent="0.3">
      <c r="H10" s="12"/>
      <c r="I10" s="12"/>
      <c r="J10" s="12"/>
      <c r="K10" s="12"/>
      <c r="L10" s="12"/>
      <c r="M10" s="27"/>
      <c r="N10" s="8"/>
      <c r="O10" s="8"/>
      <c r="P10" s="8"/>
      <c r="Q10" s="8"/>
      <c r="R10" s="8"/>
    </row>
    <row r="11" spans="2:20" x14ac:dyDescent="0.3">
      <c r="B11" s="25"/>
      <c r="H11" s="12"/>
      <c r="I11" s="12"/>
      <c r="J11" s="12"/>
      <c r="K11" s="12"/>
      <c r="L11" s="26"/>
      <c r="M11" s="27"/>
      <c r="N11" s="26"/>
      <c r="O11" s="26"/>
      <c r="P11" s="26"/>
      <c r="Q11" s="26"/>
      <c r="R11" s="26"/>
    </row>
    <row r="12" spans="2:20" x14ac:dyDescent="0.3">
      <c r="H12" s="12"/>
      <c r="I12" s="12"/>
      <c r="J12" s="12"/>
      <c r="K12" s="12"/>
      <c r="L12" s="12"/>
      <c r="M12" s="27"/>
      <c r="N12" s="8"/>
      <c r="O12" s="8"/>
      <c r="P12" s="8"/>
      <c r="Q12" s="8"/>
      <c r="R12" s="8"/>
    </row>
    <row r="13" spans="2:20" x14ac:dyDescent="0.3">
      <c r="B13" s="25"/>
      <c r="H13" s="12"/>
      <c r="I13" s="12"/>
      <c r="J13" s="12"/>
      <c r="K13" s="12"/>
      <c r="L13" s="26"/>
      <c r="M13" s="27"/>
      <c r="N13" s="26"/>
      <c r="O13" s="26"/>
      <c r="P13" s="26"/>
      <c r="Q13" s="26"/>
      <c r="R13" s="26"/>
      <c r="T13" s="26"/>
    </row>
    <row r="14" spans="2:20" x14ac:dyDescent="0.3">
      <c r="H14" s="12"/>
      <c r="I14" s="12"/>
      <c r="J14" s="12"/>
      <c r="K14" s="12"/>
      <c r="L14" s="12"/>
      <c r="M14" s="27"/>
      <c r="N14" s="8"/>
      <c r="O14" s="8"/>
      <c r="P14" s="8"/>
      <c r="Q14" s="8"/>
      <c r="R14" s="8"/>
    </row>
    <row r="15" spans="2:20" x14ac:dyDescent="0.3">
      <c r="B15" s="25"/>
      <c r="H15" s="12"/>
      <c r="I15" s="12"/>
      <c r="J15" s="12"/>
      <c r="K15" s="12"/>
      <c r="L15" s="26"/>
      <c r="M15" s="27"/>
      <c r="N15" s="26"/>
      <c r="O15" s="26"/>
      <c r="P15" s="26"/>
      <c r="Q15" s="26"/>
      <c r="R15" s="26"/>
    </row>
    <row r="16" spans="2:20" x14ac:dyDescent="0.3">
      <c r="H16" s="12"/>
      <c r="I16" s="12"/>
      <c r="J16" s="12"/>
      <c r="K16" s="12"/>
      <c r="L16" s="12"/>
      <c r="M16" s="27"/>
      <c r="N16" s="8"/>
      <c r="O16" s="8"/>
      <c r="P16" s="8"/>
      <c r="Q16" s="8"/>
      <c r="R16" s="8"/>
    </row>
    <row r="17" spans="2:18" x14ac:dyDescent="0.3">
      <c r="B17" s="25"/>
      <c r="H17" s="12"/>
      <c r="I17" s="12"/>
      <c r="J17" s="12"/>
      <c r="K17" s="12"/>
      <c r="L17" s="26"/>
      <c r="M17" s="27"/>
      <c r="N17" s="26"/>
      <c r="O17" s="26"/>
      <c r="P17" s="26"/>
      <c r="Q17" s="26"/>
      <c r="R17" s="26"/>
    </row>
    <row r="18" spans="2:18" x14ac:dyDescent="0.3">
      <c r="H18" s="12"/>
      <c r="I18" s="12"/>
      <c r="J18" s="12"/>
      <c r="K18" s="12"/>
      <c r="L18" s="12"/>
      <c r="M18" s="27"/>
      <c r="N18" s="8"/>
      <c r="O18" s="8"/>
      <c r="P18" s="8"/>
      <c r="Q18" s="8"/>
      <c r="R18" s="8"/>
    </row>
    <row r="19" spans="2:18" x14ac:dyDescent="0.3">
      <c r="B19" s="4"/>
      <c r="C19" s="4"/>
      <c r="D19" s="4"/>
      <c r="E19" s="4"/>
      <c r="F19" s="4"/>
      <c r="G19" s="4"/>
      <c r="H19" s="27"/>
      <c r="I19" s="27"/>
      <c r="J19" s="27"/>
      <c r="K19" s="27"/>
      <c r="L19" s="27"/>
      <c r="M19" s="27"/>
      <c r="N19" s="22"/>
      <c r="O19" s="22"/>
      <c r="P19" s="22"/>
      <c r="Q19" s="22"/>
      <c r="R19" s="22"/>
    </row>
    <row r="20" spans="2:18" x14ac:dyDescent="0.3">
      <c r="B20" s="25"/>
      <c r="H20" s="12"/>
      <c r="I20" s="12"/>
      <c r="J20" s="12"/>
      <c r="K20" s="12"/>
      <c r="L20" s="26"/>
      <c r="M20" s="27"/>
      <c r="N20" s="26"/>
      <c r="O20" s="26"/>
      <c r="P20" s="26"/>
      <c r="Q20" s="26"/>
      <c r="R20" s="26"/>
    </row>
    <row r="21" spans="2:18" x14ac:dyDescent="0.3">
      <c r="H21" s="12"/>
      <c r="I21" s="12"/>
      <c r="J21" s="12"/>
      <c r="K21" s="12"/>
      <c r="L21" s="12"/>
      <c r="M21" s="27"/>
      <c r="N21" s="8"/>
      <c r="O21" s="8"/>
      <c r="P21" s="8"/>
      <c r="Q21" s="8"/>
      <c r="R21" s="8"/>
    </row>
    <row r="22" spans="2:18" x14ac:dyDescent="0.3">
      <c r="B22" s="25"/>
      <c r="H22" s="12"/>
      <c r="I22" s="12"/>
      <c r="J22" s="12"/>
      <c r="K22" s="12"/>
      <c r="L22" s="26"/>
      <c r="M22" s="27"/>
      <c r="N22" s="26"/>
      <c r="O22" s="26"/>
      <c r="P22" s="26"/>
      <c r="Q22" s="26"/>
      <c r="R22" s="26"/>
    </row>
    <row r="23" spans="2:18" x14ac:dyDescent="0.3">
      <c r="H23" s="12"/>
      <c r="I23" s="12"/>
      <c r="J23" s="12"/>
      <c r="K23" s="12"/>
      <c r="L23" s="12"/>
      <c r="M23" s="27"/>
      <c r="N23" s="8"/>
      <c r="O23" s="8"/>
      <c r="P23" s="8"/>
      <c r="Q23" s="8"/>
      <c r="R23" s="8"/>
    </row>
    <row r="24" spans="2:18" x14ac:dyDescent="0.3">
      <c r="B24" s="25"/>
      <c r="H24" s="12"/>
      <c r="I24" s="12"/>
      <c r="J24" s="12"/>
      <c r="K24" s="12"/>
      <c r="L24" s="26"/>
      <c r="M24" s="27"/>
      <c r="N24" s="26"/>
      <c r="O24" s="26"/>
      <c r="P24" s="26"/>
      <c r="Q24" s="26"/>
      <c r="R24" s="26"/>
    </row>
    <row r="25" spans="2:18" x14ac:dyDescent="0.3">
      <c r="H25" s="12"/>
      <c r="I25" s="12"/>
      <c r="J25" s="12"/>
      <c r="K25" s="12"/>
      <c r="L25" s="12"/>
      <c r="M25" s="27"/>
      <c r="N25" s="8"/>
      <c r="O25" s="8"/>
      <c r="P25" s="8"/>
      <c r="Q25" s="8"/>
      <c r="R25" s="8"/>
    </row>
    <row r="26" spans="2:18" x14ac:dyDescent="0.3">
      <c r="B26" s="25"/>
      <c r="H26" s="12"/>
      <c r="I26" s="12"/>
      <c r="J26" s="12"/>
      <c r="K26" s="12"/>
      <c r="L26" s="26"/>
      <c r="M26" s="27"/>
      <c r="N26" s="26"/>
      <c r="O26" s="26"/>
      <c r="P26" s="26"/>
      <c r="Q26" s="26"/>
      <c r="R26" s="26"/>
    </row>
    <row r="27" spans="2:18" x14ac:dyDescent="0.3">
      <c r="H27" s="12"/>
      <c r="I27" s="12"/>
      <c r="J27" s="12"/>
      <c r="K27" s="12"/>
      <c r="L27" s="12"/>
      <c r="M27" s="27"/>
      <c r="N27" s="8"/>
      <c r="O27" s="8"/>
      <c r="P27" s="8"/>
      <c r="Q27" s="8"/>
      <c r="R27" s="8"/>
    </row>
    <row r="28" spans="2:18" x14ac:dyDescent="0.3">
      <c r="B28" s="4"/>
      <c r="C28" s="4"/>
      <c r="D28" s="4"/>
      <c r="E28" s="4"/>
      <c r="F28" s="4"/>
      <c r="G28" s="4"/>
      <c r="H28" s="27"/>
      <c r="I28" s="27"/>
      <c r="J28" s="27"/>
      <c r="K28" s="27"/>
      <c r="L28" s="27"/>
      <c r="M28" s="27"/>
      <c r="N28" s="22"/>
      <c r="O28" s="22"/>
      <c r="P28" s="22"/>
      <c r="Q28" s="22"/>
      <c r="R28" s="22"/>
    </row>
    <row r="29" spans="2:18" x14ac:dyDescent="0.3">
      <c r="B29" s="25"/>
      <c r="H29" s="12"/>
      <c r="I29" s="12"/>
      <c r="J29" s="12"/>
      <c r="K29" s="12"/>
      <c r="L29" s="28"/>
      <c r="M29" s="27"/>
      <c r="N29" s="28"/>
      <c r="O29" s="28"/>
      <c r="P29" s="28"/>
      <c r="Q29" s="28"/>
      <c r="R29" s="28"/>
    </row>
    <row r="30" spans="2:18" x14ac:dyDescent="0.3">
      <c r="H30" s="12"/>
      <c r="I30" s="12"/>
      <c r="J30" s="12"/>
      <c r="K30" s="12"/>
      <c r="L30" s="12"/>
      <c r="M30" s="27"/>
      <c r="N30" s="8"/>
      <c r="O30" s="8"/>
      <c r="P30" s="8"/>
      <c r="Q30" s="8"/>
      <c r="R30" s="8"/>
    </row>
    <row r="31" spans="2:18" x14ac:dyDescent="0.3">
      <c r="B31" s="25"/>
      <c r="H31" s="12"/>
      <c r="I31" s="12"/>
      <c r="J31" s="12"/>
      <c r="K31" s="12"/>
      <c r="L31" s="28"/>
      <c r="M31" s="27"/>
      <c r="N31" s="28"/>
      <c r="O31" s="28"/>
      <c r="P31" s="28"/>
      <c r="Q31" s="28"/>
      <c r="R31" s="28"/>
    </row>
    <row r="32" spans="2:18" x14ac:dyDescent="0.3">
      <c r="H32" s="12"/>
      <c r="I32" s="12"/>
      <c r="J32" s="12"/>
      <c r="K32" s="12"/>
      <c r="L32" s="12"/>
      <c r="M32" s="27"/>
      <c r="N32" s="8"/>
      <c r="O32" s="8"/>
      <c r="P32" s="8"/>
      <c r="Q32" s="8"/>
      <c r="R32" s="8"/>
    </row>
    <row r="33" spans="2:18" x14ac:dyDescent="0.3">
      <c r="B33" s="25"/>
      <c r="H33" s="12"/>
      <c r="I33" s="12"/>
      <c r="J33" s="12"/>
      <c r="K33" s="12"/>
      <c r="L33" s="26"/>
      <c r="M33" s="27"/>
      <c r="N33" s="26"/>
      <c r="O33" s="26"/>
      <c r="P33" s="26"/>
      <c r="Q33" s="26"/>
      <c r="R33" s="26"/>
    </row>
    <row r="34" spans="2:18" x14ac:dyDescent="0.3">
      <c r="H34" s="12"/>
      <c r="I34" s="12"/>
      <c r="J34" s="12"/>
      <c r="K34" s="12"/>
      <c r="L34" s="12"/>
      <c r="M34" s="27"/>
      <c r="N34" s="8"/>
      <c r="O34" s="8"/>
      <c r="P34" s="8"/>
      <c r="Q34" s="8"/>
      <c r="R34" s="8"/>
    </row>
    <row r="35" spans="2:18" x14ac:dyDescent="0.3">
      <c r="B35" s="25"/>
      <c r="H35" s="12"/>
      <c r="I35" s="12"/>
      <c r="J35" s="12"/>
      <c r="K35" s="12"/>
      <c r="L35" s="28"/>
      <c r="M35" s="27"/>
      <c r="N35" s="28"/>
      <c r="O35" s="28"/>
      <c r="P35" s="28"/>
      <c r="Q35" s="28"/>
      <c r="R35" s="28"/>
    </row>
    <row r="36" spans="2:18" x14ac:dyDescent="0.3">
      <c r="H36" s="12"/>
      <c r="I36" s="12"/>
      <c r="J36" s="12"/>
      <c r="K36" s="12"/>
      <c r="L36" s="12"/>
      <c r="M36" s="27"/>
      <c r="N36" s="8"/>
      <c r="O36" s="8"/>
      <c r="P36" s="8"/>
      <c r="Q36" s="8"/>
      <c r="R36" s="8"/>
    </row>
    <row r="37" spans="2:18" x14ac:dyDescent="0.3">
      <c r="B37" s="4"/>
      <c r="C37" s="4"/>
      <c r="D37" s="4"/>
      <c r="E37" s="4"/>
      <c r="F37" s="4"/>
      <c r="G37" s="4"/>
      <c r="H37" s="27"/>
      <c r="I37" s="27"/>
      <c r="J37" s="27"/>
      <c r="K37" s="27"/>
      <c r="L37" s="27"/>
      <c r="M37" s="27"/>
      <c r="N37" s="22"/>
      <c r="O37" s="22"/>
      <c r="P37" s="22"/>
      <c r="Q37" s="22"/>
      <c r="R37" s="22"/>
    </row>
    <row r="38" spans="2:18" x14ac:dyDescent="0.3">
      <c r="B38" s="25"/>
      <c r="H38" s="26"/>
      <c r="I38" s="26"/>
      <c r="J38" s="26"/>
      <c r="K38" s="26"/>
      <c r="L38" s="26"/>
      <c r="M38" s="27"/>
      <c r="N38" s="26"/>
      <c r="O38" s="26"/>
      <c r="P38" s="26"/>
      <c r="Q38" s="26"/>
      <c r="R38" s="26"/>
    </row>
    <row r="39" spans="2:18" x14ac:dyDescent="0.3">
      <c r="H39" s="12"/>
      <c r="I39" s="12"/>
      <c r="J39" s="12"/>
      <c r="K39" s="12"/>
      <c r="L39" s="12"/>
      <c r="M39" s="27"/>
      <c r="N39" s="8"/>
      <c r="O39" s="8"/>
      <c r="P39" s="8"/>
      <c r="Q39" s="8"/>
      <c r="R39" s="8"/>
    </row>
    <row r="40" spans="2:18" x14ac:dyDescent="0.3">
      <c r="B40" s="25"/>
      <c r="H40" s="26"/>
      <c r="I40" s="26"/>
      <c r="J40" s="26"/>
      <c r="K40" s="26"/>
      <c r="L40" s="26"/>
      <c r="M40" s="27"/>
      <c r="N40" s="26"/>
      <c r="O40" s="26"/>
      <c r="P40" s="26"/>
      <c r="Q40" s="26"/>
      <c r="R40" s="26"/>
    </row>
    <row r="41" spans="2:18" x14ac:dyDescent="0.3">
      <c r="H41" s="12"/>
      <c r="I41" s="12"/>
      <c r="J41" s="12"/>
      <c r="K41" s="12"/>
      <c r="L41" s="12"/>
      <c r="M41" s="27"/>
      <c r="N41" s="8"/>
      <c r="O41" s="8"/>
      <c r="P41" s="8"/>
      <c r="Q41" s="8"/>
      <c r="R41" s="8"/>
    </row>
    <row r="42" spans="2:18" x14ac:dyDescent="0.3">
      <c r="B42" s="25"/>
      <c r="H42" s="26"/>
      <c r="I42" s="26"/>
      <c r="J42" s="26"/>
      <c r="K42" s="26"/>
      <c r="L42" s="26"/>
      <c r="M42" s="27"/>
      <c r="N42" s="26"/>
      <c r="O42" s="26"/>
      <c r="P42" s="26"/>
      <c r="Q42" s="26"/>
      <c r="R42" s="26"/>
    </row>
    <row r="43" spans="2:18" x14ac:dyDescent="0.3">
      <c r="H43" s="12"/>
      <c r="I43" s="12"/>
      <c r="J43" s="12"/>
      <c r="K43" s="12"/>
      <c r="L43" s="12"/>
      <c r="M43" s="27"/>
      <c r="N43" s="8"/>
      <c r="O43" s="8"/>
      <c r="P43" s="8"/>
      <c r="Q43" s="8"/>
      <c r="R43" s="8"/>
    </row>
    <row r="44" spans="2:18" x14ac:dyDescent="0.3">
      <c r="B44" s="25"/>
      <c r="H44" s="26"/>
      <c r="I44" s="26"/>
      <c r="J44" s="26"/>
      <c r="K44" s="26"/>
      <c r="L44" s="26"/>
      <c r="M44" s="27"/>
      <c r="N44" s="26"/>
      <c r="O44" s="26"/>
      <c r="P44" s="26"/>
      <c r="Q44" s="26"/>
      <c r="R44" s="26"/>
    </row>
    <row r="45" spans="2:18" x14ac:dyDescent="0.3">
      <c r="M45" s="27"/>
    </row>
    <row r="46" spans="2:18" x14ac:dyDescent="0.3">
      <c r="B46" s="4"/>
      <c r="C46" s="4"/>
      <c r="D46" s="4"/>
      <c r="E46" s="4"/>
      <c r="F46" s="4"/>
      <c r="G46" s="4"/>
      <c r="H46" s="27"/>
      <c r="I46" s="27"/>
      <c r="J46" s="27"/>
      <c r="K46" s="27"/>
      <c r="L46" s="27"/>
      <c r="M46" s="27"/>
      <c r="N46" s="22"/>
      <c r="O46" s="22"/>
      <c r="P46" s="22"/>
      <c r="Q46" s="22"/>
      <c r="R46" s="22"/>
    </row>
    <row r="47" spans="2:18" x14ac:dyDescent="0.3">
      <c r="B47" s="25"/>
      <c r="H47" s="26"/>
      <c r="I47" s="26"/>
      <c r="J47" s="26"/>
      <c r="K47" s="26"/>
      <c r="L47" s="26"/>
      <c r="M47" s="27"/>
      <c r="N47" s="26"/>
      <c r="O47" s="26"/>
      <c r="P47" s="26"/>
      <c r="Q47" s="26"/>
      <c r="R47" s="26"/>
    </row>
    <row r="48" spans="2:18" x14ac:dyDescent="0.3">
      <c r="H48" s="12"/>
      <c r="I48" s="12"/>
      <c r="J48" s="12"/>
      <c r="K48" s="12"/>
      <c r="L48" s="12"/>
      <c r="M48" s="27"/>
      <c r="N48" s="8"/>
      <c r="O48" s="8"/>
      <c r="P48" s="8"/>
      <c r="Q48" s="8"/>
      <c r="R48" s="8"/>
    </row>
    <row r="49" spans="2:18" x14ac:dyDescent="0.3">
      <c r="B49" s="25"/>
      <c r="H49" s="12"/>
      <c r="I49" s="12"/>
      <c r="J49" s="12"/>
      <c r="K49" s="12"/>
      <c r="L49" s="26"/>
      <c r="M49" s="27"/>
      <c r="N49" s="26"/>
      <c r="O49" s="26"/>
      <c r="P49" s="26"/>
      <c r="Q49" s="26"/>
      <c r="R49" s="26"/>
    </row>
    <row r="50" spans="2:18" x14ac:dyDescent="0.3">
      <c r="H50" s="12"/>
      <c r="I50" s="12"/>
      <c r="J50" s="12"/>
      <c r="K50" s="12"/>
      <c r="L50" s="12"/>
      <c r="M50" s="27"/>
      <c r="N50" s="8"/>
      <c r="O50" s="8"/>
      <c r="P50" s="8"/>
      <c r="Q50" s="8"/>
      <c r="R50" s="8"/>
    </row>
    <row r="51" spans="2:18" x14ac:dyDescent="0.3">
      <c r="B51" s="25"/>
      <c r="H51" s="12"/>
      <c r="I51" s="12"/>
      <c r="J51" s="12"/>
      <c r="K51" s="12"/>
      <c r="L51" s="26"/>
      <c r="M51" s="27"/>
      <c r="N51" s="26"/>
      <c r="O51" s="26"/>
      <c r="P51" s="26"/>
      <c r="Q51" s="26"/>
      <c r="R51" s="26"/>
    </row>
    <row r="52" spans="2:18" x14ac:dyDescent="0.3">
      <c r="M52" s="27"/>
    </row>
    <row r="53" spans="2:18" x14ac:dyDescent="0.3">
      <c r="M53" s="27"/>
      <c r="N53" s="8"/>
    </row>
    <row r="54" spans="2:18" x14ac:dyDescent="0.3">
      <c r="M54" s="27"/>
    </row>
    <row r="55" spans="2:18" x14ac:dyDescent="0.3">
      <c r="M55" s="27"/>
    </row>
    <row r="56" spans="2:18" x14ac:dyDescent="0.3">
      <c r="M56" s="27"/>
    </row>
    <row r="57" spans="2:18" x14ac:dyDescent="0.3">
      <c r="M57" s="27"/>
    </row>
    <row r="58" spans="2:18" x14ac:dyDescent="0.3">
      <c r="M58" s="27"/>
    </row>
    <row r="59" spans="2:18" x14ac:dyDescent="0.3">
      <c r="M59" s="27"/>
    </row>
  </sheetData>
  <mergeCells count="3">
    <mergeCell ref="H3:K3"/>
    <mergeCell ref="L3:O3"/>
    <mergeCell ref="P3:R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Segments</vt:lpstr>
      <vt:lpstr>Extras</vt:lpstr>
      <vt:lpstr>Quarterly Segments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 Odabasi</dc:creator>
  <cp:lastModifiedBy>Kerem Odabasi</cp:lastModifiedBy>
  <dcterms:created xsi:type="dcterms:W3CDTF">2026-01-02T23:21:27Z</dcterms:created>
  <dcterms:modified xsi:type="dcterms:W3CDTF">2026-07-10T08:00:22Z</dcterms:modified>
</cp:coreProperties>
</file>