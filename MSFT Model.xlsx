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829C078B-50A4-4451-86B3-53B57356B124}" xr6:coauthVersionLast="47" xr6:coauthVersionMax="47" xr10:uidLastSave="{00000000-0000-0000-0000-000000000000}"/>
  <bookViews>
    <workbookView xWindow="336" yWindow="1320" windowWidth="23004" windowHeight="12336" xr2:uid="{64BEE0EA-45A1-4490-9445-11F5F6D37C44}"/>
  </bookViews>
  <sheets>
    <sheet name="Main" sheetId="1" r:id="rId1"/>
    <sheet name="Segments" sheetId="3" r:id="rId2"/>
    <sheet name="Extras" sheetId="4" r:id="rId3"/>
    <sheet name="Date Centers" sheetId="5" r:id="rId4"/>
    <sheet name="Quarterly Segments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7" i="3" l="1"/>
  <c r="I127" i="3"/>
  <c r="G122" i="3"/>
  <c r="AK8" i="4"/>
  <c r="AK5" i="4"/>
  <c r="G112" i="3"/>
  <c r="G114" i="3" s="1"/>
  <c r="H112" i="3"/>
  <c r="I112" i="3"/>
  <c r="I114" i="3" s="1"/>
  <c r="J112" i="3"/>
  <c r="J114" i="3" s="1"/>
  <c r="K112" i="3"/>
  <c r="L112" i="3"/>
  <c r="H114" i="3"/>
  <c r="K114" i="3"/>
  <c r="L114" i="3"/>
  <c r="H115" i="3"/>
  <c r="I115" i="3"/>
  <c r="J115" i="3"/>
  <c r="K115" i="3"/>
  <c r="L115" i="3"/>
  <c r="G119" i="3"/>
  <c r="H119" i="3"/>
  <c r="H127" i="3" s="1"/>
  <c r="I119" i="3"/>
  <c r="H120" i="3"/>
  <c r="H122" i="3"/>
  <c r="I122" i="3"/>
  <c r="G124" i="3"/>
  <c r="H124" i="3"/>
  <c r="H125" i="3" s="1"/>
  <c r="I124" i="3"/>
  <c r="I125" i="3" s="1"/>
  <c r="M115" i="3"/>
  <c r="I133" i="3"/>
  <c r="I129" i="3" s="1"/>
  <c r="H133" i="3"/>
  <c r="H129" i="3" s="1"/>
  <c r="G133" i="3"/>
  <c r="G129" i="3" s="1"/>
  <c r="I13" i="3"/>
  <c r="I15" i="3" s="1"/>
  <c r="J20" i="3"/>
  <c r="K20" i="3"/>
  <c r="L20" i="3"/>
  <c r="M20" i="3"/>
  <c r="N20" i="3"/>
  <c r="O20" i="3"/>
  <c r="P20" i="3"/>
  <c r="J26" i="3"/>
  <c r="K26" i="3"/>
  <c r="K27" i="3"/>
  <c r="L27" i="3" s="1"/>
  <c r="I28" i="3"/>
  <c r="J28" i="3"/>
  <c r="R46" i="6"/>
  <c r="Q46" i="6"/>
  <c r="P46" i="6"/>
  <c r="O46" i="6"/>
  <c r="N46" i="6"/>
  <c r="M46" i="6"/>
  <c r="L46" i="6"/>
  <c r="H43" i="6"/>
  <c r="I43" i="6"/>
  <c r="J43" i="6"/>
  <c r="K43" i="6"/>
  <c r="L43" i="6"/>
  <c r="M43" i="6"/>
  <c r="N43" i="6"/>
  <c r="O43" i="6"/>
  <c r="P43" i="6"/>
  <c r="Q43" i="6"/>
  <c r="R43" i="6"/>
  <c r="H41" i="6"/>
  <c r="I41" i="6"/>
  <c r="J41" i="6"/>
  <c r="K41" i="6"/>
  <c r="L41" i="6"/>
  <c r="M41" i="6"/>
  <c r="N41" i="6"/>
  <c r="O41" i="6"/>
  <c r="P41" i="6"/>
  <c r="Q41" i="6"/>
  <c r="R41" i="6"/>
  <c r="H39" i="6"/>
  <c r="I39" i="6"/>
  <c r="J39" i="6"/>
  <c r="K39" i="6"/>
  <c r="L39" i="6"/>
  <c r="M39" i="6"/>
  <c r="N39" i="6"/>
  <c r="O39" i="6"/>
  <c r="P39" i="6"/>
  <c r="Q39" i="6"/>
  <c r="R39" i="6"/>
  <c r="H37" i="6"/>
  <c r="I37" i="6"/>
  <c r="J37" i="6"/>
  <c r="K37" i="6"/>
  <c r="L37" i="6"/>
  <c r="M37" i="6"/>
  <c r="N37" i="6"/>
  <c r="O37" i="6"/>
  <c r="P37" i="6"/>
  <c r="Q37" i="6"/>
  <c r="R37" i="6"/>
  <c r="L50" i="6"/>
  <c r="M50" i="6"/>
  <c r="N50" i="6"/>
  <c r="O50" i="6"/>
  <c r="P50" i="6"/>
  <c r="Q50" i="6"/>
  <c r="R50" i="6"/>
  <c r="L48" i="6"/>
  <c r="M48" i="6"/>
  <c r="N48" i="6"/>
  <c r="O48" i="6"/>
  <c r="P48" i="6"/>
  <c r="Q48" i="6"/>
  <c r="R48" i="6"/>
  <c r="L34" i="6"/>
  <c r="M34" i="6"/>
  <c r="N34" i="6"/>
  <c r="O34" i="6"/>
  <c r="P34" i="6"/>
  <c r="Q34" i="6"/>
  <c r="R34" i="6"/>
  <c r="L32" i="6"/>
  <c r="M32" i="6"/>
  <c r="N32" i="6"/>
  <c r="O32" i="6"/>
  <c r="P32" i="6"/>
  <c r="Q32" i="6"/>
  <c r="R32" i="6"/>
  <c r="L30" i="6"/>
  <c r="M30" i="6"/>
  <c r="N30" i="6"/>
  <c r="O30" i="6"/>
  <c r="P30" i="6"/>
  <c r="Q30" i="6"/>
  <c r="R30" i="6"/>
  <c r="L28" i="6"/>
  <c r="M28" i="6"/>
  <c r="N28" i="6"/>
  <c r="O28" i="6"/>
  <c r="P28" i="6"/>
  <c r="Q28" i="6"/>
  <c r="R28" i="6"/>
  <c r="L25" i="6"/>
  <c r="M25" i="6"/>
  <c r="N25" i="6"/>
  <c r="O25" i="6"/>
  <c r="P25" i="6"/>
  <c r="Q25" i="6"/>
  <c r="R25" i="6"/>
  <c r="L23" i="6"/>
  <c r="M23" i="6"/>
  <c r="N23" i="6"/>
  <c r="O23" i="6"/>
  <c r="P23" i="6"/>
  <c r="Q23" i="6"/>
  <c r="R23" i="6"/>
  <c r="L21" i="6"/>
  <c r="M21" i="6"/>
  <c r="N21" i="6"/>
  <c r="O21" i="6"/>
  <c r="P21" i="6"/>
  <c r="Q21" i="6"/>
  <c r="R21" i="6"/>
  <c r="L19" i="6"/>
  <c r="M19" i="6"/>
  <c r="N19" i="6"/>
  <c r="O19" i="6"/>
  <c r="P19" i="6"/>
  <c r="Q19" i="6"/>
  <c r="R19" i="6"/>
  <c r="L16" i="6"/>
  <c r="M16" i="6"/>
  <c r="N16" i="6"/>
  <c r="O16" i="6"/>
  <c r="P16" i="6"/>
  <c r="Q16" i="6"/>
  <c r="R16" i="6"/>
  <c r="L14" i="6"/>
  <c r="M14" i="6"/>
  <c r="N14" i="6"/>
  <c r="O14" i="6"/>
  <c r="P14" i="6"/>
  <c r="Q14" i="6"/>
  <c r="R14" i="6"/>
  <c r="L12" i="6"/>
  <c r="M12" i="6"/>
  <c r="N12" i="6"/>
  <c r="O12" i="6"/>
  <c r="P12" i="6"/>
  <c r="Q12" i="6"/>
  <c r="R12" i="6"/>
  <c r="L10" i="6"/>
  <c r="M10" i="6"/>
  <c r="N10" i="6"/>
  <c r="O10" i="6"/>
  <c r="P10" i="6"/>
  <c r="Q10" i="6"/>
  <c r="R10" i="6"/>
  <c r="L8" i="6"/>
  <c r="M8" i="6"/>
  <c r="N8" i="6"/>
  <c r="O8" i="6"/>
  <c r="P8" i="6"/>
  <c r="Q8" i="6"/>
  <c r="R8" i="6"/>
  <c r="L6" i="6"/>
  <c r="M6" i="6"/>
  <c r="N6" i="6"/>
  <c r="O6" i="6"/>
  <c r="P6" i="6"/>
  <c r="Q6" i="6"/>
  <c r="R6" i="6"/>
  <c r="I340" i="5"/>
  <c r="H342" i="5" s="1"/>
  <c r="H340" i="5"/>
  <c r="G340" i="5"/>
  <c r="F342" i="5" s="1"/>
  <c r="F340" i="5"/>
  <c r="E340" i="5"/>
  <c r="D342" i="5" s="1"/>
  <c r="D340" i="5"/>
  <c r="I339" i="5"/>
  <c r="H341" i="5" s="1"/>
  <c r="H339" i="5"/>
  <c r="G339" i="5"/>
  <c r="F341" i="5" s="1"/>
  <c r="F339" i="5"/>
  <c r="E339" i="5"/>
  <c r="D341" i="5" s="1"/>
  <c r="D339" i="5"/>
  <c r="I335" i="5"/>
  <c r="H336" i="5"/>
  <c r="F336" i="5"/>
  <c r="D336" i="5"/>
  <c r="H335" i="5"/>
  <c r="F335" i="5"/>
  <c r="G335" i="5"/>
  <c r="E335" i="5"/>
  <c r="D335" i="5"/>
  <c r="AH10" i="1"/>
  <c r="AC10" i="1"/>
  <c r="AI11" i="1"/>
  <c r="AD11" i="1"/>
  <c r="G84" i="3"/>
  <c r="H84" i="3"/>
  <c r="I84" i="3"/>
  <c r="J84" i="3"/>
  <c r="K84" i="3"/>
  <c r="L84" i="3"/>
  <c r="P112" i="3"/>
  <c r="O112" i="3"/>
  <c r="N112" i="3"/>
  <c r="M112" i="3"/>
  <c r="P115" i="3"/>
  <c r="O115" i="3"/>
  <c r="N115" i="3"/>
  <c r="L86" i="3"/>
  <c r="K86" i="3" s="1"/>
  <c r="L85" i="3"/>
  <c r="L76" i="1"/>
  <c r="Z13" i="1"/>
  <c r="AA13" i="1" s="1"/>
  <c r="AB13" i="1" s="1"/>
  <c r="AC13" i="1" s="1"/>
  <c r="AD13" i="1" s="1"/>
  <c r="L44" i="3"/>
  <c r="M44" i="3" s="1"/>
  <c r="N44" i="3" s="1"/>
  <c r="N45" i="3" s="1"/>
  <c r="L56" i="3"/>
  <c r="L55" i="3"/>
  <c r="M55" i="3" s="1"/>
  <c r="N55" i="3" s="1"/>
  <c r="O55" i="3" s="1"/>
  <c r="P55" i="3" s="1"/>
  <c r="L54" i="3"/>
  <c r="M54" i="3" s="1"/>
  <c r="N54" i="3" s="1"/>
  <c r="O54" i="3" s="1"/>
  <c r="P54" i="3" s="1"/>
  <c r="L36" i="3"/>
  <c r="M36" i="3" s="1"/>
  <c r="N36" i="3" s="1"/>
  <c r="O36" i="3" s="1"/>
  <c r="P36" i="3" s="1"/>
  <c r="L34" i="3"/>
  <c r="M34" i="3" s="1"/>
  <c r="N34" i="3" s="1"/>
  <c r="O34" i="3" s="1"/>
  <c r="P34" i="3" s="1"/>
  <c r="H100" i="3"/>
  <c r="I100" i="3" s="1"/>
  <c r="J100" i="3" s="1"/>
  <c r="K100" i="3" s="1"/>
  <c r="P29" i="3"/>
  <c r="O29" i="3"/>
  <c r="N29" i="3"/>
  <c r="L29" i="3"/>
  <c r="M29" i="3"/>
  <c r="H28" i="3"/>
  <c r="J29" i="3"/>
  <c r="I29" i="3"/>
  <c r="J11" i="3"/>
  <c r="K11" i="3" s="1"/>
  <c r="K12" i="3" s="1"/>
  <c r="H11" i="3"/>
  <c r="H12" i="3" s="1"/>
  <c r="K10" i="3"/>
  <c r="J10" i="3"/>
  <c r="H4" i="3"/>
  <c r="I4" i="3" s="1"/>
  <c r="J4" i="3" s="1"/>
  <c r="K4" i="3" s="1"/>
  <c r="I31" i="1"/>
  <c r="H31" i="1"/>
  <c r="G31" i="1"/>
  <c r="F31" i="1"/>
  <c r="E31" i="1"/>
  <c r="I4" i="4"/>
  <c r="J4" i="4"/>
  <c r="J76" i="1"/>
  <c r="E4" i="4"/>
  <c r="K4" i="4"/>
  <c r="H4" i="4"/>
  <c r="G4" i="4"/>
  <c r="F4" i="4"/>
  <c r="N94" i="3"/>
  <c r="M94" i="3"/>
  <c r="L94" i="3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AJ5" i="4"/>
  <c r="AI5" i="4"/>
  <c r="AH5" i="4"/>
  <c r="AG5" i="4"/>
  <c r="AF5" i="4"/>
  <c r="AE5" i="4"/>
  <c r="AD5" i="4"/>
  <c r="AC5" i="4"/>
  <c r="AB5" i="4"/>
  <c r="AA5" i="4"/>
  <c r="Z5" i="4"/>
  <c r="Y5" i="4"/>
  <c r="X5" i="4"/>
  <c r="W5" i="4"/>
  <c r="V5" i="4"/>
  <c r="U5" i="4"/>
  <c r="S11" i="4" s="1"/>
  <c r="T5" i="4"/>
  <c r="S5" i="4"/>
  <c r="R5" i="4"/>
  <c r="K50" i="1"/>
  <c r="J50" i="1"/>
  <c r="J73" i="1" s="1"/>
  <c r="S14" i="4" l="1"/>
  <c r="L113" i="3"/>
  <c r="I120" i="3"/>
  <c r="I126" i="3"/>
  <c r="K28" i="3"/>
  <c r="M114" i="3"/>
  <c r="N114" i="3" s="1"/>
  <c r="O114" i="3" s="1"/>
  <c r="P114" i="3" s="1"/>
  <c r="P113" i="3" s="1"/>
  <c r="P13" i="3" s="1"/>
  <c r="I130" i="3"/>
  <c r="I134" i="3"/>
  <c r="H134" i="3"/>
  <c r="I135" i="3"/>
  <c r="K18" i="3"/>
  <c r="J18" i="3"/>
  <c r="K22" i="3"/>
  <c r="K13" i="3" s="1"/>
  <c r="J22" i="3"/>
  <c r="J13" i="3" s="1"/>
  <c r="J14" i="3" s="1"/>
  <c r="L25" i="3"/>
  <c r="L26" i="3" s="1"/>
  <c r="L28" i="3"/>
  <c r="M27" i="3"/>
  <c r="L14" i="3"/>
  <c r="K15" i="3"/>
  <c r="K23" i="3"/>
  <c r="J23" i="3"/>
  <c r="D338" i="5"/>
  <c r="G337" i="5"/>
  <c r="H338" i="5"/>
  <c r="I337" i="5"/>
  <c r="F338" i="5"/>
  <c r="L13" i="3"/>
  <c r="O44" i="3"/>
  <c r="L45" i="3"/>
  <c r="M45" i="3"/>
  <c r="L11" i="3"/>
  <c r="L22" i="3" s="1"/>
  <c r="K29" i="3"/>
  <c r="J12" i="3"/>
  <c r="I12" i="3"/>
  <c r="S15" i="4"/>
  <c r="S12" i="4"/>
  <c r="S10" i="4"/>
  <c r="S13" i="4"/>
  <c r="J38" i="3"/>
  <c r="G54" i="3"/>
  <c r="H54" i="3"/>
  <c r="G9" i="3"/>
  <c r="G13" i="3" s="1"/>
  <c r="G15" i="3" s="1"/>
  <c r="G25" i="3"/>
  <c r="G29" i="3" s="1"/>
  <c r="H25" i="3"/>
  <c r="I26" i="3" s="1"/>
  <c r="H9" i="3"/>
  <c r="H13" i="3" s="1"/>
  <c r="I14" i="3" s="1"/>
  <c r="P11" i="1"/>
  <c r="K22" i="1"/>
  <c r="J22" i="1"/>
  <c r="P16" i="1"/>
  <c r="M113" i="3" l="1"/>
  <c r="M13" i="3" s="1"/>
  <c r="O113" i="3"/>
  <c r="O13" i="3" s="1"/>
  <c r="N113" i="3"/>
  <c r="N13" i="3" s="1"/>
  <c r="K14" i="3"/>
  <c r="O14" i="3"/>
  <c r="J15" i="3"/>
  <c r="J16" i="3" s="1"/>
  <c r="N14" i="3"/>
  <c r="L15" i="3"/>
  <c r="L18" i="3"/>
  <c r="M14" i="3"/>
  <c r="P14" i="3"/>
  <c r="M25" i="3"/>
  <c r="M26" i="3" s="1"/>
  <c r="N27" i="3"/>
  <c r="M28" i="3"/>
  <c r="L16" i="3"/>
  <c r="O45" i="3"/>
  <c r="P44" i="3"/>
  <c r="P45" i="3" s="1"/>
  <c r="H14" i="3"/>
  <c r="H15" i="3"/>
  <c r="I16" i="3" s="1"/>
  <c r="M11" i="3"/>
  <c r="L12" i="3"/>
  <c r="H29" i="3"/>
  <c r="H26" i="3"/>
  <c r="I10" i="3"/>
  <c r="H10" i="3"/>
  <c r="K71" i="3"/>
  <c r="J71" i="3"/>
  <c r="I71" i="3"/>
  <c r="H71" i="3"/>
  <c r="G71" i="3"/>
  <c r="I58" i="3"/>
  <c r="H58" i="3"/>
  <c r="G58" i="3"/>
  <c r="L90" i="3"/>
  <c r="M90" i="3" s="1"/>
  <c r="N90" i="3" s="1"/>
  <c r="H80" i="3"/>
  <c r="I80" i="3" s="1"/>
  <c r="J80" i="3" s="1"/>
  <c r="K80" i="3" s="1"/>
  <c r="G78" i="3"/>
  <c r="K78" i="3"/>
  <c r="J78" i="3"/>
  <c r="I78" i="3"/>
  <c r="H78" i="3"/>
  <c r="K76" i="3"/>
  <c r="J76" i="3"/>
  <c r="I76" i="3"/>
  <c r="H76" i="3"/>
  <c r="G76" i="3"/>
  <c r="H73" i="3"/>
  <c r="I73" i="3" s="1"/>
  <c r="J73" i="3" s="1"/>
  <c r="K73" i="3" s="1"/>
  <c r="G52" i="3"/>
  <c r="H52" i="3"/>
  <c r="I52" i="3"/>
  <c r="J51" i="3"/>
  <c r="J52" i="3" s="1"/>
  <c r="K51" i="3"/>
  <c r="J66" i="3"/>
  <c r="K38" i="3"/>
  <c r="I69" i="3"/>
  <c r="H69" i="3"/>
  <c r="G69" i="3"/>
  <c r="I66" i="3"/>
  <c r="H66" i="3"/>
  <c r="G66" i="3"/>
  <c r="K63" i="3"/>
  <c r="J63" i="3"/>
  <c r="I63" i="3"/>
  <c r="H63" i="3"/>
  <c r="G63" i="3"/>
  <c r="M56" i="3"/>
  <c r="N56" i="3" s="1"/>
  <c r="O56" i="3" s="1"/>
  <c r="P56" i="3" s="1"/>
  <c r="G7" i="3"/>
  <c r="K7" i="3"/>
  <c r="J7" i="3"/>
  <c r="I7" i="3"/>
  <c r="H7" i="3"/>
  <c r="I39" i="3"/>
  <c r="H39" i="3"/>
  <c r="G39" i="3"/>
  <c r="H130" i="3" l="1"/>
  <c r="I131" i="3"/>
  <c r="I137" i="3" s="1"/>
  <c r="K16" i="3"/>
  <c r="M15" i="3"/>
  <c r="M16" i="3" s="1"/>
  <c r="M18" i="3"/>
  <c r="M22" i="3"/>
  <c r="N25" i="3"/>
  <c r="N26" i="3" s="1"/>
  <c r="O27" i="3"/>
  <c r="N28" i="3"/>
  <c r="H16" i="3"/>
  <c r="K47" i="3"/>
  <c r="L47" i="3" s="1"/>
  <c r="N11" i="3"/>
  <c r="M12" i="3"/>
  <c r="K52" i="3"/>
  <c r="J58" i="3"/>
  <c r="K58" i="3"/>
  <c r="J69" i="3"/>
  <c r="K69" i="3"/>
  <c r="J39" i="3"/>
  <c r="K39" i="3"/>
  <c r="K66" i="3"/>
  <c r="L51" i="3"/>
  <c r="L68" i="3" s="1"/>
  <c r="M51" i="3"/>
  <c r="M68" i="3" s="1"/>
  <c r="M69" i="3" s="1"/>
  <c r="N15" i="3" l="1"/>
  <c r="N16" i="3" s="1"/>
  <c r="N18" i="3"/>
  <c r="N22" i="3"/>
  <c r="P27" i="3"/>
  <c r="O25" i="3"/>
  <c r="O26" i="3" s="1"/>
  <c r="O28" i="3"/>
  <c r="L69" i="3"/>
  <c r="AH9" i="1"/>
  <c r="AC9" i="1"/>
  <c r="M47" i="3"/>
  <c r="L48" i="3"/>
  <c r="L38" i="3"/>
  <c r="L65" i="3" s="1"/>
  <c r="O11" i="3"/>
  <c r="N12" i="3"/>
  <c r="M52" i="3"/>
  <c r="L52" i="3"/>
  <c r="N51" i="3"/>
  <c r="N68" i="3" s="1"/>
  <c r="N69" i="3" s="1"/>
  <c r="O15" i="3" l="1"/>
  <c r="O16" i="3" s="1"/>
  <c r="O18" i="3"/>
  <c r="O22" i="3"/>
  <c r="P25" i="3"/>
  <c r="P26" i="3" s="1"/>
  <c r="P28" i="3"/>
  <c r="AH8" i="1"/>
  <c r="AC8" i="1"/>
  <c r="L39" i="3"/>
  <c r="L66" i="3"/>
  <c r="M38" i="3"/>
  <c r="M65" i="3" s="1"/>
  <c r="M66" i="3" s="1"/>
  <c r="N47" i="3"/>
  <c r="M48" i="3"/>
  <c r="L9" i="3"/>
  <c r="O51" i="3"/>
  <c r="O68" i="3" s="1"/>
  <c r="O69" i="3" s="1"/>
  <c r="P11" i="3"/>
  <c r="O12" i="3"/>
  <c r="N52" i="3"/>
  <c r="P18" i="3" l="1"/>
  <c r="P15" i="3"/>
  <c r="P16" i="3" s="1"/>
  <c r="P22" i="3"/>
  <c r="M39" i="3"/>
  <c r="N38" i="3"/>
  <c r="N65" i="3" s="1"/>
  <c r="N66" i="3" s="1"/>
  <c r="O47" i="3"/>
  <c r="O38" i="3" s="1"/>
  <c r="O65" i="3" s="1"/>
  <c r="O66" i="3" s="1"/>
  <c r="N48" i="3"/>
  <c r="L10" i="3"/>
  <c r="L6" i="3"/>
  <c r="L23" i="3" s="1"/>
  <c r="M9" i="3"/>
  <c r="P12" i="3"/>
  <c r="O52" i="3"/>
  <c r="P51" i="3"/>
  <c r="H60" i="3"/>
  <c r="I60" i="3" s="1"/>
  <c r="J60" i="3" s="1"/>
  <c r="K60" i="3" s="1"/>
  <c r="P52" i="3" l="1"/>
  <c r="P68" i="3"/>
  <c r="P69" i="3" s="1"/>
  <c r="L62" i="3"/>
  <c r="L58" i="3"/>
  <c r="J27" i="1" s="1"/>
  <c r="L7" i="3"/>
  <c r="P47" i="3"/>
  <c r="O48" i="3"/>
  <c r="O39" i="3"/>
  <c r="N39" i="3"/>
  <c r="M10" i="3"/>
  <c r="M6" i="3"/>
  <c r="N9" i="3"/>
  <c r="P10" i="1"/>
  <c r="H33" i="1"/>
  <c r="H42" i="1" s="1"/>
  <c r="G33" i="1"/>
  <c r="G42" i="1" s="1"/>
  <c r="F33" i="1"/>
  <c r="F42" i="1" s="1"/>
  <c r="E33" i="1"/>
  <c r="E42" i="1" s="1"/>
  <c r="I33" i="1"/>
  <c r="I34" i="1" s="1"/>
  <c r="I40" i="1"/>
  <c r="H40" i="1"/>
  <c r="G40" i="1"/>
  <c r="F40" i="1"/>
  <c r="E40" i="1"/>
  <c r="I37" i="1"/>
  <c r="H37" i="1"/>
  <c r="G37" i="1"/>
  <c r="F37" i="1"/>
  <c r="E37" i="1"/>
  <c r="U13" i="1"/>
  <c r="T22" i="1"/>
  <c r="M62" i="3" l="1"/>
  <c r="M23" i="3"/>
  <c r="L63" i="3"/>
  <c r="AH7" i="1"/>
  <c r="AH11" i="1" s="1"/>
  <c r="AI14" i="1" s="1"/>
  <c r="AI17" i="1" s="1"/>
  <c r="AC7" i="1"/>
  <c r="P18" i="1"/>
  <c r="P22" i="1" s="1"/>
  <c r="Y9" i="1"/>
  <c r="J36" i="1"/>
  <c r="J37" i="1" s="1"/>
  <c r="J39" i="1"/>
  <c r="J40" i="1" s="1"/>
  <c r="J28" i="1"/>
  <c r="L71" i="3"/>
  <c r="J42" i="1" s="1"/>
  <c r="L91" i="3"/>
  <c r="L92" i="3" s="1"/>
  <c r="M58" i="3"/>
  <c r="K27" i="1" s="1"/>
  <c r="K39" i="1" s="1"/>
  <c r="M71" i="3"/>
  <c r="K42" i="1" s="1"/>
  <c r="M7" i="3"/>
  <c r="P38" i="3"/>
  <c r="P65" i="3" s="1"/>
  <c r="P66" i="3" s="1"/>
  <c r="P48" i="3"/>
  <c r="N10" i="3"/>
  <c r="N6" i="3"/>
  <c r="N23" i="3" s="1"/>
  <c r="O9" i="3"/>
  <c r="E34" i="1"/>
  <c r="G34" i="1"/>
  <c r="H34" i="1"/>
  <c r="F34" i="1"/>
  <c r="I42" i="1"/>
  <c r="U23" i="1"/>
  <c r="U7" i="1" s="1"/>
  <c r="J33" i="1" l="1"/>
  <c r="J30" i="1" s="1"/>
  <c r="J31" i="1" s="1"/>
  <c r="AC11" i="1"/>
  <c r="AG14" i="1" s="1"/>
  <c r="AG17" i="1" s="1"/>
  <c r="P39" i="3"/>
  <c r="N62" i="3"/>
  <c r="M91" i="3"/>
  <c r="M92" i="3" s="1"/>
  <c r="K40" i="1"/>
  <c r="K36" i="1"/>
  <c r="K33" i="1" s="1"/>
  <c r="N7" i="3"/>
  <c r="M63" i="3"/>
  <c r="N58" i="3"/>
  <c r="L27" i="1" s="1"/>
  <c r="O10" i="3"/>
  <c r="O6" i="3"/>
  <c r="O23" i="3" s="1"/>
  <c r="P9" i="3"/>
  <c r="N63" i="3"/>
  <c r="N71" i="3"/>
  <c r="L42" i="1" s="1"/>
  <c r="F15" i="1"/>
  <c r="G15" i="1" s="1"/>
  <c r="H15" i="1" s="1"/>
  <c r="I15" i="1" s="1"/>
  <c r="I22" i="1"/>
  <c r="J34" i="1" l="1"/>
  <c r="K30" i="1"/>
  <c r="K31" i="1" s="1"/>
  <c r="K34" i="1"/>
  <c r="N91" i="3"/>
  <c r="N92" i="3" s="1"/>
  <c r="L39" i="1"/>
  <c r="O62" i="3"/>
  <c r="K37" i="1"/>
  <c r="L36" i="1"/>
  <c r="O58" i="3"/>
  <c r="M27" i="1" s="1"/>
  <c r="M36" i="1" s="1"/>
  <c r="O7" i="3"/>
  <c r="P10" i="3"/>
  <c r="P6" i="3"/>
  <c r="K76" i="1"/>
  <c r="I76" i="1"/>
  <c r="H76" i="1"/>
  <c r="G76" i="1"/>
  <c r="F76" i="1"/>
  <c r="E76" i="1"/>
  <c r="I73" i="1"/>
  <c r="H73" i="1"/>
  <c r="H74" i="1" s="1"/>
  <c r="G73" i="1"/>
  <c r="G74" i="1" s="1"/>
  <c r="F73" i="1"/>
  <c r="F74" i="1" s="1"/>
  <c r="E73" i="1"/>
  <c r="I68" i="1"/>
  <c r="H68" i="1"/>
  <c r="G68" i="1"/>
  <c r="F68" i="1"/>
  <c r="E68" i="1"/>
  <c r="I65" i="1"/>
  <c r="H65" i="1"/>
  <c r="G65" i="1"/>
  <c r="F65" i="1"/>
  <c r="E65" i="1"/>
  <c r="K62" i="1"/>
  <c r="K82" i="1" s="1"/>
  <c r="K83" i="1" s="1"/>
  <c r="J62" i="1"/>
  <c r="J82" i="1" s="1"/>
  <c r="J83" i="1" s="1"/>
  <c r="I62" i="1"/>
  <c r="I83" i="1" s="1"/>
  <c r="H62" i="1"/>
  <c r="H83" i="1" s="1"/>
  <c r="G62" i="1"/>
  <c r="G83" i="1" s="1"/>
  <c r="F62" i="1"/>
  <c r="F83" i="1" s="1"/>
  <c r="E62" i="1"/>
  <c r="J57" i="1"/>
  <c r="K57" i="1"/>
  <c r="I57" i="1"/>
  <c r="I59" i="1" s="1"/>
  <c r="H57" i="1"/>
  <c r="G57" i="1"/>
  <c r="G59" i="1" s="1"/>
  <c r="F57" i="1"/>
  <c r="F59" i="1" s="1"/>
  <c r="E57" i="1"/>
  <c r="E59" i="1" s="1"/>
  <c r="E28" i="1"/>
  <c r="K73" i="1"/>
  <c r="I52" i="1"/>
  <c r="H52" i="1"/>
  <c r="G52" i="1"/>
  <c r="F52" i="1"/>
  <c r="E52" i="1"/>
  <c r="I51" i="1"/>
  <c r="H51" i="1"/>
  <c r="G51" i="1"/>
  <c r="F51" i="1"/>
  <c r="E51" i="1"/>
  <c r="I46" i="1"/>
  <c r="H46" i="1"/>
  <c r="G46" i="1"/>
  <c r="F46" i="1"/>
  <c r="E46" i="1"/>
  <c r="I43" i="1"/>
  <c r="H43" i="1"/>
  <c r="G43" i="1"/>
  <c r="F43" i="1"/>
  <c r="E43" i="1"/>
  <c r="K28" i="1"/>
  <c r="I28" i="1"/>
  <c r="H28" i="1"/>
  <c r="G28" i="1"/>
  <c r="F28" i="1"/>
  <c r="E22" i="1"/>
  <c r="F22" i="1"/>
  <c r="G22" i="1"/>
  <c r="H22" i="1"/>
  <c r="I20" i="1"/>
  <c r="I23" i="1" s="1"/>
  <c r="H20" i="1"/>
  <c r="G20" i="1"/>
  <c r="F20" i="1"/>
  <c r="E20" i="1"/>
  <c r="P62" i="3" l="1"/>
  <c r="P63" i="3" s="1"/>
  <c r="P23" i="3"/>
  <c r="L33" i="1"/>
  <c r="L30" i="1" s="1"/>
  <c r="H79" i="1"/>
  <c r="H59" i="1"/>
  <c r="P71" i="3"/>
  <c r="N42" i="1" s="1"/>
  <c r="O63" i="3"/>
  <c r="O71" i="3"/>
  <c r="M42" i="1" s="1"/>
  <c r="K79" i="1"/>
  <c r="K59" i="1"/>
  <c r="J79" i="1"/>
  <c r="J59" i="1"/>
  <c r="P58" i="3"/>
  <c r="N27" i="1" s="1"/>
  <c r="N36" i="1" s="1"/>
  <c r="E63" i="1"/>
  <c r="E83" i="1"/>
  <c r="P7" i="3"/>
  <c r="L4" i="4"/>
  <c r="M54" i="1"/>
  <c r="I58" i="1"/>
  <c r="I79" i="1"/>
  <c r="I80" i="1" s="1"/>
  <c r="E79" i="1"/>
  <c r="E80" i="1" s="1"/>
  <c r="F79" i="1"/>
  <c r="G79" i="1"/>
  <c r="G80" i="1" s="1"/>
  <c r="J80" i="1"/>
  <c r="H23" i="1"/>
  <c r="G23" i="1"/>
  <c r="E23" i="1"/>
  <c r="F23" i="1"/>
  <c r="L37" i="1"/>
  <c r="L40" i="1"/>
  <c r="L50" i="1"/>
  <c r="L73" i="1" s="1"/>
  <c r="L31" i="1"/>
  <c r="L28" i="1"/>
  <c r="H71" i="1"/>
  <c r="I71" i="1"/>
  <c r="J74" i="1"/>
  <c r="K74" i="1"/>
  <c r="E77" i="1"/>
  <c r="G77" i="1"/>
  <c r="E69" i="1"/>
  <c r="F69" i="1"/>
  <c r="G69" i="1"/>
  <c r="H58" i="1"/>
  <c r="H69" i="1"/>
  <c r="I69" i="1"/>
  <c r="E74" i="1"/>
  <c r="E71" i="1"/>
  <c r="E5" i="4" s="1"/>
  <c r="E6" i="4" s="1"/>
  <c r="F80" i="1"/>
  <c r="F71" i="1"/>
  <c r="F5" i="4" s="1"/>
  <c r="F6" i="4" s="1"/>
  <c r="G71" i="1"/>
  <c r="I63" i="1"/>
  <c r="I74" i="1"/>
  <c r="F63" i="1"/>
  <c r="J63" i="1"/>
  <c r="H63" i="1"/>
  <c r="H77" i="1"/>
  <c r="I77" i="1"/>
  <c r="J77" i="1"/>
  <c r="K77" i="1"/>
  <c r="F66" i="1"/>
  <c r="G63" i="1"/>
  <c r="E66" i="1"/>
  <c r="H80" i="1"/>
  <c r="J58" i="1"/>
  <c r="K63" i="1"/>
  <c r="L62" i="1"/>
  <c r="L82" i="1" s="1"/>
  <c r="L83" i="1" s="1"/>
  <c r="G66" i="1"/>
  <c r="H66" i="1"/>
  <c r="I66" i="1"/>
  <c r="F77" i="1"/>
  <c r="K80" i="1"/>
  <c r="J51" i="1"/>
  <c r="K51" i="1"/>
  <c r="K58" i="1"/>
  <c r="J52" i="1"/>
  <c r="K52" i="1"/>
  <c r="L57" i="1"/>
  <c r="E58" i="1"/>
  <c r="F58" i="1"/>
  <c r="G58" i="1"/>
  <c r="G5" i="4" l="1"/>
  <c r="G6" i="4" s="1"/>
  <c r="I5" i="4"/>
  <c r="I6" i="4" s="1"/>
  <c r="M50" i="1"/>
  <c r="M51" i="1" s="1"/>
  <c r="M4" i="4"/>
  <c r="H86" i="1"/>
  <c r="H5" i="4"/>
  <c r="H6" i="4" s="1"/>
  <c r="L79" i="1"/>
  <c r="L59" i="1"/>
  <c r="L51" i="1"/>
  <c r="M76" i="1"/>
  <c r="N54" i="1"/>
  <c r="N4" i="4" s="1"/>
  <c r="L52" i="1"/>
  <c r="L34" i="1"/>
  <c r="M37" i="1"/>
  <c r="M39" i="1"/>
  <c r="M40" i="1" s="1"/>
  <c r="E86" i="1"/>
  <c r="F86" i="1"/>
  <c r="G86" i="1"/>
  <c r="I86" i="1"/>
  <c r="L63" i="1"/>
  <c r="L58" i="1"/>
  <c r="L80" i="1"/>
  <c r="M73" i="1"/>
  <c r="M52" i="1"/>
  <c r="L74" i="1"/>
  <c r="M57" i="1"/>
  <c r="M62" i="1"/>
  <c r="M82" i="1" s="1"/>
  <c r="M83" i="1" s="1"/>
  <c r="M28" i="1"/>
  <c r="L77" i="1"/>
  <c r="M33" i="1" l="1"/>
  <c r="M30" i="1" s="1"/>
  <c r="M31" i="1" s="1"/>
  <c r="M79" i="1"/>
  <c r="M59" i="1"/>
  <c r="M77" i="1"/>
  <c r="N50" i="1"/>
  <c r="N76" i="1"/>
  <c r="N39" i="1"/>
  <c r="N37" i="1"/>
  <c r="M74" i="1"/>
  <c r="M58" i="1"/>
  <c r="M80" i="1"/>
  <c r="M63" i="1"/>
  <c r="N28" i="1"/>
  <c r="N57" i="1"/>
  <c r="N79" i="1" s="1"/>
  <c r="N62" i="1"/>
  <c r="Y14" i="1" s="1"/>
  <c r="N73" i="1"/>
  <c r="N52" i="1"/>
  <c r="N51" i="1"/>
  <c r="M34" i="1" l="1"/>
  <c r="N40" i="1"/>
  <c r="N33" i="1"/>
  <c r="N30" i="1" s="1"/>
  <c r="N31" i="1" s="1"/>
  <c r="Y18" i="1"/>
  <c r="Y15" i="1"/>
  <c r="Z14" i="1"/>
  <c r="N77" i="1"/>
  <c r="N82" i="1"/>
  <c r="N83" i="1" s="1"/>
  <c r="N74" i="1"/>
  <c r="N34" i="1"/>
  <c r="N63" i="1"/>
  <c r="N59" i="1"/>
  <c r="N58" i="1"/>
  <c r="N80" i="1"/>
  <c r="F61" i="1"/>
  <c r="G61" i="1" s="1"/>
  <c r="H61" i="1" s="1"/>
  <c r="I61" i="1" s="1"/>
  <c r="F48" i="1"/>
  <c r="G48" i="1" s="1"/>
  <c r="H48" i="1" s="1"/>
  <c r="I48" i="1" s="1"/>
  <c r="F25" i="1"/>
  <c r="G25" i="1" s="1"/>
  <c r="H25" i="1" s="1"/>
  <c r="I25" i="1" s="1"/>
  <c r="Y21" i="1" l="1"/>
  <c r="Y19" i="1"/>
  <c r="AA14" i="1"/>
  <c r="Z18" i="1"/>
  <c r="Z19" i="1" s="1"/>
  <c r="Z15" i="1"/>
  <c r="Z21" i="1" l="1"/>
  <c r="AA18" i="1"/>
  <c r="AA19" i="1" s="1"/>
  <c r="AB14" i="1"/>
  <c r="AA15" i="1"/>
  <c r="N45" i="1"/>
  <c r="N65" i="1"/>
  <c r="N43" i="1"/>
  <c r="AB18" i="1" l="1"/>
  <c r="AB19" i="1" s="1"/>
  <c r="AB15" i="1"/>
  <c r="AC14" i="1"/>
  <c r="AA21" i="1"/>
  <c r="N66" i="1"/>
  <c r="P8" i="1"/>
  <c r="P9" i="1" s="1"/>
  <c r="N68" i="1"/>
  <c r="N46" i="1"/>
  <c r="AC18" i="1" l="1"/>
  <c r="AC19" i="1" s="1"/>
  <c r="AD14" i="1"/>
  <c r="AC15" i="1"/>
  <c r="AB21" i="1"/>
  <c r="N69" i="1"/>
  <c r="N71" i="1"/>
  <c r="N5" i="4" l="1"/>
  <c r="N6" i="4" s="1"/>
  <c r="AD18" i="1"/>
  <c r="AD19" i="1" s="1"/>
  <c r="AD15" i="1"/>
  <c r="AC21" i="1"/>
  <c r="N85" i="1"/>
  <c r="M65" i="1" l="1"/>
  <c r="M43" i="1"/>
  <c r="M45" i="1"/>
  <c r="J3" i="4"/>
  <c r="E3" i="4"/>
  <c r="I3" i="4"/>
  <c r="H3" i="4"/>
  <c r="N3" i="4"/>
  <c r="M3" i="4"/>
  <c r="L3" i="4"/>
  <c r="F3" i="4"/>
  <c r="K3" i="4"/>
  <c r="G3" i="4"/>
  <c r="AD21" i="1"/>
  <c r="Y8" i="1" s="1"/>
  <c r="N88" i="1"/>
  <c r="N86" i="1"/>
  <c r="M68" i="1" l="1"/>
  <c r="M69" i="1" s="1"/>
  <c r="M46" i="1"/>
  <c r="M66" i="1"/>
  <c r="M71" i="1" l="1"/>
  <c r="M5" i="4" s="1"/>
  <c r="M6" i="4" s="1"/>
  <c r="M85" i="1" l="1"/>
  <c r="M88" i="1" s="1"/>
  <c r="L45" i="1"/>
  <c r="L43" i="1"/>
  <c r="L65" i="1"/>
  <c r="M86" i="1" l="1"/>
  <c r="L68" i="1"/>
  <c r="L69" i="1" s="1"/>
  <c r="L46" i="1"/>
  <c r="L66" i="1"/>
  <c r="L71" i="1" l="1"/>
  <c r="L85" i="1" l="1"/>
  <c r="L5" i="4"/>
  <c r="L6" i="4" s="1"/>
  <c r="L86" i="1" l="1"/>
  <c r="L88" i="1"/>
  <c r="K45" i="1"/>
  <c r="K43" i="1"/>
  <c r="K65" i="1"/>
  <c r="K66" i="1" l="1"/>
  <c r="K46" i="1"/>
  <c r="K68" i="1"/>
  <c r="K69" i="1" s="1"/>
  <c r="K71" i="1" l="1"/>
  <c r="K5" i="4" l="1"/>
  <c r="K6" i="4" s="1"/>
  <c r="K85" i="1"/>
  <c r="K88" i="1" l="1"/>
  <c r="K86" i="1"/>
  <c r="J45" i="1"/>
  <c r="J65" i="1"/>
  <c r="J43" i="1"/>
  <c r="J66" i="1" l="1"/>
  <c r="J46" i="1"/>
  <c r="J68" i="1"/>
  <c r="J69" i="1" s="1"/>
  <c r="J71" i="1" l="1"/>
  <c r="J5" i="4" l="1"/>
  <c r="J6" i="4" s="1"/>
  <c r="J85" i="1"/>
  <c r="J88" i="1" l="1"/>
  <c r="J86" i="1"/>
  <c r="K17" i="1" a="1"/>
  <c r="K17" i="1" s="1"/>
  <c r="K20" i="1" s="1"/>
  <c r="K23" i="1" s="1"/>
  <c r="J17" i="1"/>
  <c r="J20" i="1" s="1"/>
  <c r="J23" i="1" s="1"/>
  <c r="Y7" i="1" l="1"/>
  <c r="P7" i="1"/>
  <c r="P13" i="1" s="1"/>
  <c r="Y10" i="1" l="1"/>
  <c r="Y11" i="1" s="1"/>
  <c r="E8" i="1" s="1"/>
  <c r="E10" i="1" l="1"/>
  <c r="AH14" i="1"/>
  <c r="AH17" i="1" s="1"/>
  <c r="AG19" i="1" s="1"/>
  <c r="AG2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tc={E2950F7F-6957-4DB7-A1BE-128DE5E5B417}</author>
    <author>tc={DA47686C-E3BE-471D-BB60-52AC86D0127A}</author>
    <author>tc={838027C6-C4DA-40BB-AA1C-1ED18FC577F8}</author>
    <author>tc={FF38A39E-D0A8-493F-B353-D99010EBD62E}</author>
    <author>tc={E2FB93AD-3AB8-46E5-AE3C-AAA9FE85B94F}</author>
    <author>tc={F8DC3DFF-BC47-4A7F-B53C-E3433576388A}</author>
    <author>tc={FA65D073-0912-40BA-88B1-A6FD41061D93}</author>
    <author>tc={74BBC8CA-EF8E-46EB-9A76-07FCF5F54EDF}</author>
    <author>tc={2D10753F-E4E2-4EAD-A2C6-2F41C5AA87CA}</author>
    <author>tc={8A82520B-1E9D-4093-8C1B-3775585F23DC}</author>
    <author>tc={C2B35E33-EC14-4BFA-B062-57AC9617D21B}</author>
    <author>tc={0AEE88EF-F5A5-4222-8D90-AB39EF908C53}</author>
    <author>tc={6E9EEE48-010B-419D-88AA-8E2878DCB24F}</author>
  </authors>
  <commentList>
    <comment ref="G11" authorId="0" shapeId="0" xr:uid="{E2950F7F-6957-4DB7-A1BE-128DE5E5B417}">
      <text>
        <t>[Threaded comment]
Your version of Excel allows you to read this threaded comment; however, any edits to it will get removed if the file is opened in a newer version of Excel. Learn more: https://go.microsoft.com/fwlink/?linkid=870924
Comment:
    Surpassed 300 million Dec 2021</t>
      </text>
    </comment>
    <comment ref="I11" authorId="1" shapeId="0" xr:uid="{DA47686C-E3BE-471D-BB60-52AC86D0127A}">
      <text>
        <t>[Threaded comment]
Your version of Excel allows you to read this threaded comment; however, any edits to it will get removed if the file is opened in a newer version of Excel. Learn more: https://go.microsoft.com/fwlink/?linkid=870924
Comment:
    382 million Q3 FY23</t>
      </text>
    </comment>
    <comment ref="J11" authorId="2" shapeId="0" xr:uid="{838027C6-C4DA-40BB-AA1C-1ED18FC577F8}">
      <text>
        <t>[Threaded comment]
Your version of Excel allows you to read this threaded comment; however, any edits to it will get removed if the file is opened in a newer version of Excel. Learn more: https://go.microsoft.com/fwlink/?linkid=870924
Comment:
    Surpassed 400 million seats in FY 24 Q2, Grew 7% FY 24 10K</t>
      </text>
    </comment>
    <comment ref="K11" authorId="3" shapeId="0" xr:uid="{FF38A39E-D0A8-493F-B353-D99010EBD62E}">
      <text>
        <t>[Threaded comment]
Your version of Excel allows you to read this threaded comment; however, any edits to it will get removed if the file is opened in a newer version of Excel. Learn more: https://go.microsoft.com/fwlink/?linkid=870924
Comment:
    Grew 7% FY25 Q2</t>
      </text>
    </comment>
    <comment ref="G27" authorId="4" shapeId="0" xr:uid="{E2FB93AD-3AB8-46E5-AE3C-AAA9FE85B94F}">
      <text>
        <t>[Threaded comment]
Your version of Excel allows you to read this threaded comment; however, any edits to it will get removed if the file is opened in a newer version of Excel. Learn more: https://go.microsoft.com/fwlink/?linkid=870924
Comment:
    51.9 FY21 10K</t>
      </text>
    </comment>
    <comment ref="H27" authorId="5" shapeId="0" xr:uid="{F8DC3DFF-BC47-4A7F-B53C-E3433576388A}">
      <text>
        <t>[Threaded comment]
Your version of Excel allows you to read this threaded comment; however, any edits to it will get removed if the file is opened in a newer version of Excel. Learn more: https://go.microsoft.com/fwlink/?linkid=870924
Comment:
    51.9 FY21 10K</t>
      </text>
    </comment>
    <comment ref="I27" authorId="6" shapeId="0" xr:uid="{FA65D073-0912-40BA-88B1-A6FD41061D93}">
      <text>
        <t>[Threaded comment]
Your version of Excel allows you to read this threaded comment; however, any edits to it will get removed if the file is opened in a newer version of Excel. Learn more: https://go.microsoft.com/fwlink/?linkid=870924
Comment:
    Grew 12% to 67 million FY23 10K</t>
      </text>
    </comment>
    <comment ref="J27" authorId="7" shapeId="0" xr:uid="{74BBC8CA-EF8E-46EB-9A76-07FCF5F54EDF}">
      <text>
        <t>[Threaded comment]
Your version of Excel allows you to read this threaded comment; however, any edits to it will get removed if the file is opened in a newer version of Excel. Learn more: https://go.microsoft.com/fwlink/?linkid=870924
Comment:
    Grew 10% to 82.5 million FY 24 10K</t>
      </text>
    </comment>
    <comment ref="K27" authorId="8" shapeId="0" xr:uid="{2D10753F-E4E2-4EAD-A2C6-2F41C5AA87CA}">
      <text>
        <t>[Threaded comment]
Your version of Excel allows you to read this threaded comment; however, any edits to it will get removed if the file is opened in a newer version of Excel. Learn more: https://go.microsoft.com/fwlink/?linkid=870924
Comment:
    86.3 on Q2 FY25</t>
      </text>
    </comment>
    <comment ref="J32" authorId="9" shapeId="0" xr:uid="{8A82520B-1E9D-4093-8C1B-3775585F23DC}">
      <text>
        <t>[Threaded comment]
Your version of Excel allows you to read this threaded comment; however, any edits to it will get removed if the file is opened in a newer version of Excel. Learn more: https://go.microsoft.com/fwlink/?linkid=870924
Comment:
    $20/month add-on</t>
      </text>
    </comment>
    <comment ref="K32" authorId="10" shapeId="0" xr:uid="{C2B35E33-EC14-4BFA-B062-57AC9617D21B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tier 2025</t>
      </text>
    </comment>
    <comment ref="L83" authorId="11" shapeId="0" xr:uid="{0AEE88EF-F5A5-4222-8D90-AB39EF908C5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Q1 2026 392B
Expected to recognize 40% over NTM
Reply:
    Q2 2026 625B
Expected to recognize 25% over NTM
</t>
      </text>
    </comment>
    <comment ref="L88" authorId="12" shapeId="0" xr:uid="{6E9EEE48-010B-419D-88AA-8E2878DCB24F}">
      <text>
        <t>[Threaded comment]
Your version of Excel allows you to read this threaded comment; however, any edits to it will get removed if the file is opened in a newer version of Excel. Learn more: https://go.microsoft.com/fwlink/?linkid=870924
Comment:
    SemiAnalysis expects growth over 40%. Up to 53% in December 2026
Q1 2026 Growth: %40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<sst xmlns="http://schemas.openxmlformats.org/spreadsheetml/2006/main" count="3918" uniqueCount="1159">
  <si>
    <t>Ticker</t>
  </si>
  <si>
    <t>MSFT</t>
  </si>
  <si>
    <t>Implied Share Price</t>
  </si>
  <si>
    <t>Current Share Price</t>
  </si>
  <si>
    <t>Implied Upside / (Downside)</t>
  </si>
  <si>
    <t>Income Statement</t>
  </si>
  <si>
    <t>2026E</t>
  </si>
  <si>
    <t>2027E</t>
  </si>
  <si>
    <t>2028E</t>
  </si>
  <si>
    <t>2029E</t>
  </si>
  <si>
    <t>2030E</t>
  </si>
  <si>
    <t>Revenue</t>
  </si>
  <si>
    <t>% growth</t>
  </si>
  <si>
    <t>EBIT</t>
  </si>
  <si>
    <t>Taxes</t>
  </si>
  <si>
    <t>Tax rate</t>
  </si>
  <si>
    <t>% of sales</t>
  </si>
  <si>
    <t>Cash Flow Items</t>
  </si>
  <si>
    <t>D&amp;A</t>
  </si>
  <si>
    <t>CapEx</t>
  </si>
  <si>
    <t>Changes in NWC</t>
  </si>
  <si>
    <t>% of changes in sales</t>
  </si>
  <si>
    <t>DCF</t>
  </si>
  <si>
    <t>EBIAT</t>
  </si>
  <si>
    <t>Free Cash Flow</t>
  </si>
  <si>
    <t>Present Value of FCF</t>
  </si>
  <si>
    <t>Key Statistics</t>
  </si>
  <si>
    <t>Stock Price</t>
  </si>
  <si>
    <t>Market Cap</t>
  </si>
  <si>
    <t>Cash</t>
  </si>
  <si>
    <t>Debt</t>
  </si>
  <si>
    <t>Enterprise Value</t>
  </si>
  <si>
    <t xml:space="preserve">shares outstanding diluted </t>
  </si>
  <si>
    <t>Net Debt</t>
  </si>
  <si>
    <t>% of capex</t>
  </si>
  <si>
    <t>WACC</t>
  </si>
  <si>
    <t>% of Equity</t>
  </si>
  <si>
    <t>Cost of Equity</t>
  </si>
  <si>
    <t>Risk Free Rate</t>
  </si>
  <si>
    <t>Beta</t>
  </si>
  <si>
    <t>Market Risk Premium</t>
  </si>
  <si>
    <t>% of Debt</t>
  </si>
  <si>
    <t>Cost of Debt</t>
  </si>
  <si>
    <t>Tax Rate</t>
  </si>
  <si>
    <t>Total</t>
  </si>
  <si>
    <t>Notes</t>
  </si>
  <si>
    <t>Valuation</t>
  </si>
  <si>
    <t>PV of FCF</t>
  </si>
  <si>
    <t>Terminal Value</t>
  </si>
  <si>
    <t>Shares Outstanding</t>
  </si>
  <si>
    <t>Implied Market Cap</t>
  </si>
  <si>
    <t>all values in millions except per share numbers</t>
  </si>
  <si>
    <t>EV/EBIT Multiple</t>
  </si>
  <si>
    <t>PV of Terminal Value</t>
  </si>
  <si>
    <t>Company Overview</t>
  </si>
  <si>
    <t>Price</t>
  </si>
  <si>
    <t>Key Stats</t>
  </si>
  <si>
    <t>Employees</t>
  </si>
  <si>
    <t>Founded</t>
  </si>
  <si>
    <t>CEO</t>
  </si>
  <si>
    <t>Headquarters</t>
  </si>
  <si>
    <t>Primary Industry</t>
  </si>
  <si>
    <t>Redmond, WA</t>
  </si>
  <si>
    <t>Fiscal Year End</t>
  </si>
  <si>
    <t>COGS</t>
  </si>
  <si>
    <t>Gross Income</t>
  </si>
  <si>
    <t>SG&amp;A</t>
  </si>
  <si>
    <t>R&amp;D</t>
  </si>
  <si>
    <t>Last Updated</t>
  </si>
  <si>
    <t>Industry Metrics</t>
  </si>
  <si>
    <t>Intelligent Cloud</t>
  </si>
  <si>
    <t>Productivity and Business Processes</t>
  </si>
  <si>
    <t>Product Segments</t>
  </si>
  <si>
    <t>x</t>
  </si>
  <si>
    <t>- Microsoft 365 Commercial Products and Cloud Services</t>
  </si>
  <si>
    <t>-</t>
  </si>
  <si>
    <t>- Microsoft 365 Consumer Products and Cloud Services</t>
  </si>
  <si>
    <t>- Dynamics Products and Cloud Services</t>
  </si>
  <si>
    <t>- LinkedIn</t>
  </si>
  <si>
    <t>- Server Products and Cloud Services</t>
  </si>
  <si>
    <t>- Enterprise and partner services</t>
  </si>
  <si>
    <t>More Personal Computing</t>
  </si>
  <si>
    <t>- Windows and Devices</t>
  </si>
  <si>
    <t>- Search and News Advertising</t>
  </si>
  <si>
    <t>- Gaming</t>
  </si>
  <si>
    <t>Operating Income by Segment</t>
  </si>
  <si>
    <t>% of Sales</t>
  </si>
  <si>
    <t>Notes:</t>
  </si>
  <si>
    <t>Segments were reorganized in FY25, Metrics before 2023 may be unreliable</t>
  </si>
  <si>
    <t>United States</t>
  </si>
  <si>
    <t>Other Countries</t>
  </si>
  <si>
    <t>Revenue Segments by Country</t>
  </si>
  <si>
    <t>Billings</t>
  </si>
  <si>
    <t>Azure Revenue YoY Growth %</t>
  </si>
  <si>
    <t>Azure Constant Currency Revenue Yoy Growth %</t>
  </si>
  <si>
    <t>Capex Including Finance Leases</t>
  </si>
  <si>
    <t>Total Commercial RPO</t>
  </si>
  <si>
    <t>Total Sales</t>
  </si>
  <si>
    <t>Total Operating Income</t>
  </si>
  <si>
    <t>% of fcf</t>
  </si>
  <si>
    <t>CapEx % of OCF</t>
  </si>
  <si>
    <t>P/E (LTM)</t>
  </si>
  <si>
    <t>EV/EBITDA (LTM)</t>
  </si>
  <si>
    <t>P/S (LTM)</t>
  </si>
  <si>
    <t>Financial Ratios</t>
  </si>
  <si>
    <t>P/E (NTM)</t>
  </si>
  <si>
    <t>Strategic Investment (OpenAI)</t>
  </si>
  <si>
    <t>Reinvestment Rate</t>
  </si>
  <si>
    <t>Stock Based Compensation</t>
  </si>
  <si>
    <t>Azure</t>
  </si>
  <si>
    <t>Azure Arc</t>
  </si>
  <si>
    <t>OpenAI</t>
  </si>
  <si>
    <t>Intelligent Data Platform</t>
  </si>
  <si>
    <t>Fabric</t>
  </si>
  <si>
    <t>compute, storage, governance</t>
  </si>
  <si>
    <t>AI Studio</t>
  </si>
  <si>
    <t>Cloud for Sustainability</t>
  </si>
  <si>
    <t>Nuance DAX ambient intelligence</t>
  </si>
  <si>
    <t>DAX Express</t>
  </si>
  <si>
    <t>Productivity</t>
  </si>
  <si>
    <t>Github Copilot</t>
  </si>
  <si>
    <t>VS Code</t>
  </si>
  <si>
    <t>Power BI</t>
  </si>
  <si>
    <t>Power Pages</t>
  </si>
  <si>
    <t>Power Virtual Agents</t>
  </si>
  <si>
    <t>Power Automate</t>
  </si>
  <si>
    <t>10m MAUs - Q4 2023</t>
  </si>
  <si>
    <t>Dynamics</t>
  </si>
  <si>
    <t>Microsoft 365</t>
  </si>
  <si>
    <t>Microsoft 365 Copilot</t>
  </si>
  <si>
    <t>Microsoft Teams</t>
  </si>
  <si>
    <t>Teams Premium</t>
  </si>
  <si>
    <t>Teams Phone</t>
  </si>
  <si>
    <t>Teams Rooms</t>
  </si>
  <si>
    <t>Viva</t>
  </si>
  <si>
    <t>LinkedIn</t>
  </si>
  <si>
    <t>Personal Computing</t>
  </si>
  <si>
    <t>Windows 11</t>
  </si>
  <si>
    <t>Windows 365</t>
  </si>
  <si>
    <t>Entra ID</t>
  </si>
  <si>
    <t>Security Copilot</t>
  </si>
  <si>
    <t>Bing</t>
  </si>
  <si>
    <t>Windows Copilot</t>
  </si>
  <si>
    <t>Bing Chat Enterprise</t>
  </si>
  <si>
    <t>Azure Virtual Desktop</t>
  </si>
  <si>
    <t>$16.8B - FY 2025</t>
  </si>
  <si>
    <t>Windows 365 &gt;$1B TTM - Q4 2023</t>
  </si>
  <si>
    <t>Activision acquisition closes</t>
  </si>
  <si>
    <t>$75.4B</t>
  </si>
  <si>
    <t>Nuance acquisition closes</t>
  </si>
  <si>
    <t>ZeniMax acquisition closes</t>
  </si>
  <si>
    <t>Acquires Nokie phones</t>
  </si>
  <si>
    <t>$9.5B</t>
  </si>
  <si>
    <t>Satya replaces Ballmer</t>
  </si>
  <si>
    <t>$18.1B</t>
  </si>
  <si>
    <t>$8.1B</t>
  </si>
  <si>
    <t>CRM, &gt;5B in revenue FY 2023</t>
  </si>
  <si>
    <t>No Code</t>
  </si>
  <si>
    <t>Loop</t>
  </si>
  <si>
    <t>Notion Alternative</t>
  </si>
  <si>
    <t>Management</t>
  </si>
  <si>
    <t>Amy Hood</t>
  </si>
  <si>
    <t>Alice Jolla</t>
  </si>
  <si>
    <t>Keith Dolliver</t>
  </si>
  <si>
    <t>Brett Iversen</t>
  </si>
  <si>
    <t>Judson Althoff</t>
  </si>
  <si>
    <t>CFO</t>
  </si>
  <si>
    <t>CAO</t>
  </si>
  <si>
    <t>Deputy GC</t>
  </si>
  <si>
    <t>Xbox</t>
  </si>
  <si>
    <t>Surface</t>
  </si>
  <si>
    <t>Key Events</t>
  </si>
  <si>
    <t>Amount</t>
  </si>
  <si>
    <t>Date</t>
  </si>
  <si>
    <t>VP of Investor Relations</t>
  </si>
  <si>
    <t>Brad Smith</t>
  </si>
  <si>
    <t>Mustafa Suleyman</t>
  </si>
  <si>
    <t>Takeshi Numoto</t>
  </si>
  <si>
    <t>Kathleen Hogan</t>
  </si>
  <si>
    <t>Vice Chair and President</t>
  </si>
  <si>
    <t>CEO, Microsoft AI</t>
  </si>
  <si>
    <t>CEO, Microsoft Gaming</t>
  </si>
  <si>
    <t>EVP, CMO</t>
  </si>
  <si>
    <t>EVP, CPO</t>
  </si>
  <si>
    <t>Kevin Scott</t>
  </si>
  <si>
    <t>EVP, CTO</t>
  </si>
  <si>
    <t>CEO, Commercial Business</t>
  </si>
  <si>
    <t>Copilot Studio</t>
  </si>
  <si>
    <t>Azure Compute</t>
  </si>
  <si>
    <t>Azure Storage</t>
  </si>
  <si>
    <t>Azure Networking</t>
  </si>
  <si>
    <t>Azure SQL</t>
  </si>
  <si>
    <t>Github</t>
  </si>
  <si>
    <t>Github Actions</t>
  </si>
  <si>
    <t>Azure DevOps</t>
  </si>
  <si>
    <t>.NET</t>
  </si>
  <si>
    <t>Visual Studio</t>
  </si>
  <si>
    <t>Outlook</t>
  </si>
  <si>
    <t>Word</t>
  </si>
  <si>
    <t>Excel</t>
  </si>
  <si>
    <t>PowerPoint</t>
  </si>
  <si>
    <t>OneDrive</t>
  </si>
  <si>
    <t>SharePoint</t>
  </si>
  <si>
    <t>Xbox Game Pass</t>
  </si>
  <si>
    <t>Xbox Cloud Gaming (xCloud)</t>
  </si>
  <si>
    <t>Activision Blizzard IP</t>
  </si>
  <si>
    <t>Mojang (Minecraft)</t>
  </si>
  <si>
    <t>Microsoft Advertising</t>
  </si>
  <si>
    <t>Edge Browser</t>
  </si>
  <si>
    <t>Chromium-Based</t>
  </si>
  <si>
    <t>Azure Security</t>
  </si>
  <si>
    <t>Sentinel, Defender, Monitor</t>
  </si>
  <si>
    <t>Recurring Revenue</t>
  </si>
  <si>
    <t>Non Recurring Revenue</t>
  </si>
  <si>
    <t>Recurring % of Revenue</t>
  </si>
  <si>
    <t>Q1 21</t>
  </si>
  <si>
    <t>Q2 21</t>
  </si>
  <si>
    <t>Q3 21</t>
  </si>
  <si>
    <t>Q4 21</t>
  </si>
  <si>
    <t>Q1 22</t>
  </si>
  <si>
    <t>Q2 22</t>
  </si>
  <si>
    <t>Q3 22</t>
  </si>
  <si>
    <t>Q4 22</t>
  </si>
  <si>
    <t>Q1 23</t>
  </si>
  <si>
    <t>Q2 23</t>
  </si>
  <si>
    <t>Q3 23</t>
  </si>
  <si>
    <t>Q4 23</t>
  </si>
  <si>
    <t>Q1 24</t>
  </si>
  <si>
    <t>Q2 24</t>
  </si>
  <si>
    <t>Q3 24</t>
  </si>
  <si>
    <t>Q4 24</t>
  </si>
  <si>
    <t>Q1 25</t>
  </si>
  <si>
    <t>Q2 25</t>
  </si>
  <si>
    <t>Q3 25</t>
  </si>
  <si>
    <t>Q4 25</t>
  </si>
  <si>
    <t>Real EPS</t>
  </si>
  <si>
    <t>Consensus EPS</t>
  </si>
  <si>
    <t>Surprise %</t>
  </si>
  <si>
    <t>Real Revenue</t>
  </si>
  <si>
    <t>Consensus Revenue</t>
  </si>
  <si>
    <t>Average Surprise EPS</t>
  </si>
  <si>
    <t>Average Surprise Revenue</t>
  </si>
  <si>
    <t>OpenAI Profit Share (Loss)</t>
  </si>
  <si>
    <t>36,000 customers - FY 2024</t>
  </si>
  <si>
    <t>Connects cloud and on-premise</t>
  </si>
  <si>
    <t>relational database</t>
  </si>
  <si>
    <t>60,000 Azure AI customers - FY 2024</t>
  </si>
  <si>
    <t>25,000 paid customers - FY 2024</t>
  </si>
  <si>
    <t>50% YoY - FY 2024</t>
  </si>
  <si>
    <t>Ambient Clinical Intelligence</t>
  </si>
  <si>
    <t>AI-powered clinical documentation</t>
  </si>
  <si>
    <t>2B ARR - Aug 2024, 100M+ devs</t>
  </si>
  <si>
    <t>CI/CD automation</t>
  </si>
  <si>
    <t>Enterprise planning and delivery</t>
  </si>
  <si>
    <t>5M+ active developers</t>
  </si>
  <si>
    <t>2.3 million paid subscribers</t>
  </si>
  <si>
    <t>18,000 organizations - custom agents</t>
  </si>
  <si>
    <t xml:space="preserve">IDE - 29% professional market share </t>
  </si>
  <si>
    <t>Most Popular IDE - 76% market share</t>
  </si>
  <si>
    <t>375,000 organizations - Oct 2024</t>
  </si>
  <si>
    <t>Integrated into Copilot Studio</t>
  </si>
  <si>
    <t>400M commercial paid seats</t>
  </si>
  <si>
    <t>Used by 65% of Fortune 500</t>
  </si>
  <si>
    <t>Email &amp; Calendar</t>
  </si>
  <si>
    <t>Word processing</t>
  </si>
  <si>
    <t>Spreadsheet software</t>
  </si>
  <si>
    <t>Presentation software</t>
  </si>
  <si>
    <t>Cloud storage - tracked under M365</t>
  </si>
  <si>
    <t>200m+ MAUs</t>
  </si>
  <si>
    <t>360M MAUs</t>
  </si>
  <si>
    <t>Seats gew 40% YoY - Sept 2025</t>
  </si>
  <si>
    <t>&gt;17m users - 2024</t>
  </si>
  <si>
    <t>Physical meeting room software</t>
  </si>
  <si>
    <t>Viva Goals retired Dec 31, 2025</t>
  </si>
  <si>
    <t>31% of all Windows Devices (434M/1.4B)</t>
  </si>
  <si>
    <t>AI assistant built into the OS taskbar</t>
  </si>
  <si>
    <t>Cloud PC &gt; 1B Annual Rev - Q4 2024</t>
  </si>
  <si>
    <t>Formerly Azure ID - 50,000 MAUs</t>
  </si>
  <si>
    <t>Used by 43% of Fortune 100</t>
  </si>
  <si>
    <t>19B Annual Revenue - Linkedin &amp; Bing</t>
  </si>
  <si>
    <t>140M DAUs - 2024</t>
  </si>
  <si>
    <t>Now part of Copilot</t>
  </si>
  <si>
    <t>Hardware &amp; Platform</t>
  </si>
  <si>
    <t>38M est. subscribers</t>
  </si>
  <si>
    <t>Console games via streaming</t>
  </si>
  <si>
    <t>Call of Duty (100M+ players, Warcraft, Diablo</t>
  </si>
  <si>
    <t>225M Monthly Active Players - June 2025</t>
  </si>
  <si>
    <t>8.9B in FY 2025</t>
  </si>
  <si>
    <t>OpenAI partnership (Round 2)</t>
  </si>
  <si>
    <t>$10.0B</t>
  </si>
  <si>
    <t>Acquires GitHub</t>
  </si>
  <si>
    <t>$7.5B</t>
  </si>
  <si>
    <t>Acquires LinkedIn</t>
  </si>
  <si>
    <t>$26.2B</t>
  </si>
  <si>
    <t>Acquires Mojang</t>
  </si>
  <si>
    <t>$2.5B</t>
  </si>
  <si>
    <t>Best Surprise EPS</t>
  </si>
  <si>
    <t>Best Surprise Revenue</t>
  </si>
  <si>
    <t>Worst Surprise EPS</t>
  </si>
  <si>
    <t>Worst Surprise Revenue</t>
  </si>
  <si>
    <t>Satya Nadella</t>
  </si>
  <si>
    <t>Software - Infrastructure</t>
  </si>
  <si>
    <t>MSFT (CY)</t>
  </si>
  <si>
    <t>Paid Commercial Seats (million est)</t>
  </si>
  <si>
    <t>Paid Consumer Seats (million est)</t>
  </si>
  <si>
    <t xml:space="preserve"> % growth</t>
  </si>
  <si>
    <t>Revenue per seat</t>
  </si>
  <si>
    <t>M365 Personal Price</t>
  </si>
  <si>
    <t>M365 Family Price</t>
  </si>
  <si>
    <t>M365 Premium Price</t>
  </si>
  <si>
    <t>`</t>
  </si>
  <si>
    <t>Copilot Penetration %</t>
  </si>
  <si>
    <t>Copilot Price</t>
  </si>
  <si>
    <t>Copilot Revenue</t>
  </si>
  <si>
    <t>Revenue per seat ex Copilot</t>
  </si>
  <si>
    <t>Commercial Plan Prices</t>
  </si>
  <si>
    <t>Microsoft 365 E3</t>
  </si>
  <si>
    <t>Microsoft 365 E5</t>
  </si>
  <si>
    <t>Business Standard</t>
  </si>
  <si>
    <t>Business Basic</t>
  </si>
  <si>
    <t>Frontline (F1)</t>
  </si>
  <si>
    <t>Frontline (F3)</t>
  </si>
  <si>
    <t>Office 365 E3</t>
  </si>
  <si>
    <t>% change average</t>
  </si>
  <si>
    <t>Copilot Users (million est)</t>
  </si>
  <si>
    <t>Blended Penetration</t>
  </si>
  <si>
    <t>- Azure and Other Cloud Services</t>
  </si>
  <si>
    <t>- None Azure Intelligent Cloud</t>
  </si>
  <si>
    <t>FCF Value</t>
  </si>
  <si>
    <t>Share Price</t>
  </si>
  <si>
    <t>Gordon Growth Method</t>
  </si>
  <si>
    <t>10 Year DCF</t>
  </si>
  <si>
    <t>Bing Search Share</t>
  </si>
  <si>
    <t>Bing Desktop (US)</t>
  </si>
  <si>
    <t>Xbos Game Pass</t>
  </si>
  <si>
    <t>Windows OEM Growth</t>
  </si>
  <si>
    <t>OpenAI Portion of RPO</t>
  </si>
  <si>
    <t>Core Enterprise RPO</t>
  </si>
  <si>
    <t>Enterprise RPO YoY Growth %</t>
  </si>
  <si>
    <t>Office 365 E1</t>
  </si>
  <si>
    <t>Apps for Enterprise</t>
  </si>
  <si>
    <t>M365 Business Premium</t>
  </si>
  <si>
    <t>Blended Price Annual</t>
  </si>
  <si>
    <t>Revenue per Seat</t>
  </si>
  <si>
    <t>Realization Rate</t>
  </si>
  <si>
    <t>Revenue ex Copilot</t>
  </si>
  <si>
    <t>RPO Expected to be recognized NTM</t>
  </si>
  <si>
    <t>Adjusted Operating Cash Flow</t>
  </si>
  <si>
    <t>% of total seats (est)</t>
  </si>
  <si>
    <t>% of total productivity</t>
  </si>
  <si>
    <t>Unlevered Free Cash Flow</t>
  </si>
  <si>
    <t>Bear Case</t>
  </si>
  <si>
    <t>P/EBIT</t>
  </si>
  <si>
    <t>Value</t>
  </si>
  <si>
    <t>Bull Case</t>
  </si>
  <si>
    <t>Bear</t>
  </si>
  <si>
    <t>Base</t>
  </si>
  <si>
    <t>Bull</t>
  </si>
  <si>
    <t>Chance</t>
  </si>
  <si>
    <t>Weighted</t>
  </si>
  <si>
    <t>Upside</t>
  </si>
  <si>
    <t>Data Center</t>
  </si>
  <si>
    <t>Address</t>
  </si>
  <si>
    <t>1515 Port Industrial Way</t>
  </si>
  <si>
    <t>Washington, USA Quincy, WA</t>
  </si>
  <si>
    <t>90th Street &amp; County Road KR</t>
  </si>
  <si>
    <t>Wisconsin, USA Kenosha, WI</t>
  </si>
  <si>
    <t>1601 N River Rd</t>
  </si>
  <si>
    <t>Georgia, USA Atlanta, GA</t>
  </si>
  <si>
    <t>Järbovägen 103</t>
  </si>
  <si>
    <t>Sweden Gavle</t>
  </si>
  <si>
    <t>Zeb Haynes Rd &amp; Old Maiden Rd</t>
  </si>
  <si>
    <t>North Carolina, USA Maiden, NC</t>
  </si>
  <si>
    <t>Kastkærvej 100</t>
  </si>
  <si>
    <t>Denmark Varde</t>
  </si>
  <si>
    <t>925 Ridge Rd</t>
  </si>
  <si>
    <t>Virginia, USA Richmond, VA</t>
  </si>
  <si>
    <t>4810 Stonewall Tell Rd</t>
  </si>
  <si>
    <t>Bakvretsgatan</t>
  </si>
  <si>
    <t>11100 Booneville Rd</t>
  </si>
  <si>
    <t>Iowa, USA Des Moines, IA</t>
  </si>
  <si>
    <t>2580 Farm-to-Market 471 North</t>
  </si>
  <si>
    <t>Texas, USA San Antonio, TX</t>
  </si>
  <si>
    <t>Rotu Dr</t>
  </si>
  <si>
    <t>New Zealand Auckland</t>
  </si>
  <si>
    <t>601-605 Northwest Ave</t>
  </si>
  <si>
    <t>Illinois, USA Chicago, IL</t>
  </si>
  <si>
    <t>Västanvägen 86</t>
  </si>
  <si>
    <t>Sweden Malmö</t>
  </si>
  <si>
    <t>Finervej 8</t>
  </si>
  <si>
    <t>Denmark Copenhagen</t>
  </si>
  <si>
    <t>2515 Orchard Pkwy</t>
  </si>
  <si>
    <t>California, USA San Jose, CA</t>
  </si>
  <si>
    <t>Caupolicán s/n</t>
  </si>
  <si>
    <t>Chile Santiago</t>
  </si>
  <si>
    <t>Wyoming, USA Cheyenne, WY</t>
  </si>
  <si>
    <t>8527 Williams Rd</t>
  </si>
  <si>
    <t>210 Tunstall Rd</t>
  </si>
  <si>
    <t>Rua Santa Teresa, 64</t>
  </si>
  <si>
    <t>Brazil Sao Paulo</t>
  </si>
  <si>
    <t>W Broadway Rd</t>
  </si>
  <si>
    <t>Arizona, USA Phoenix, AZ</t>
  </si>
  <si>
    <t>Pargi Road</t>
  </si>
  <si>
    <t>India Hyderabad</t>
  </si>
  <si>
    <t>15000 Lambda Dr</t>
  </si>
  <si>
    <t>Wentworth Pl, Jigginstown</t>
  </si>
  <si>
    <t>Ireland Naas</t>
  </si>
  <si>
    <t>600 Port Industrial Way</t>
  </si>
  <si>
    <t>501 Port Industrial Way</t>
  </si>
  <si>
    <t>1 Woodlands Industrial Park E9</t>
  </si>
  <si>
    <t>Singapore Singapore</t>
  </si>
  <si>
    <t>12901 W Olive Ave</t>
  </si>
  <si>
    <t>Loverose Wy</t>
  </si>
  <si>
    <t>United Kingdom Leeds</t>
  </si>
  <si>
    <t>Strada Provinciale 415</t>
  </si>
  <si>
    <t>Italy Milan</t>
  </si>
  <si>
    <t>101 Herbert Dr</t>
  </si>
  <si>
    <t>41720 Inclusion Ln</t>
  </si>
  <si>
    <t>Virginia, USA Ashburn, VA</t>
  </si>
  <si>
    <t>644 Logistics Dr</t>
  </si>
  <si>
    <t>2580 FM471 North / 8844 FM1957</t>
  </si>
  <si>
    <t>Morawadi Rd, Telco Quality Aid Center</t>
  </si>
  <si>
    <t>India Pune</t>
  </si>
  <si>
    <t>19525 Compass Creek Pkwy</t>
  </si>
  <si>
    <t>960 Prison Rd</t>
  </si>
  <si>
    <t>Farfarsvägen 1</t>
  </si>
  <si>
    <t>Agriport 570</t>
  </si>
  <si>
    <t>The Netherlands Middenmeer</t>
  </si>
  <si>
    <t>Pol. Ind. Centrovía Fase 5</t>
  </si>
  <si>
    <t>Spain Zaragoza</t>
  </si>
  <si>
    <t>5855 SW Kerry St</t>
  </si>
  <si>
    <t>100 Feet Industrial Rd</t>
  </si>
  <si>
    <t>501-600 Port Industrial Way</t>
  </si>
  <si>
    <t>5375 Malaga Alcoa Hwy</t>
  </si>
  <si>
    <t>Washington, USA Wenatchee, WA</t>
  </si>
  <si>
    <t>Ringkøbingvej 169</t>
  </si>
  <si>
    <t>Kirkebrovej 1</t>
  </si>
  <si>
    <t>Denmark Esbjerg</t>
  </si>
  <si>
    <t>1521 N NC 16 Hwy</t>
  </si>
  <si>
    <t>North Carolina, USA Hickory, NC</t>
  </si>
  <si>
    <t>1960 Georgia State Route 74</t>
  </si>
  <si>
    <t>3000-3007 Etna Pkwy</t>
  </si>
  <si>
    <t>Ohio, USA Columbus, OH</t>
  </si>
  <si>
    <t>Durand Ave</t>
  </si>
  <si>
    <t>1657 Alviso Milpitas Rd</t>
  </si>
  <si>
    <t>550 White Crane Rd</t>
  </si>
  <si>
    <t>Lakewood Blvd</t>
  </si>
  <si>
    <t>8855 Grand Ave</t>
  </si>
  <si>
    <t>Refugee Rd SW</t>
  </si>
  <si>
    <t>7174 Patterson Ave</t>
  </si>
  <si>
    <t>Michigan, USA Grand Rapids, MI</t>
  </si>
  <si>
    <t>3785 N Citrus Rd</t>
  </si>
  <si>
    <t>875 Urban Industrial Wy</t>
  </si>
  <si>
    <t>C. de La Torrecilla, 28</t>
  </si>
  <si>
    <t>Spain Madrid</t>
  </si>
  <si>
    <t>57 Station Road</t>
  </si>
  <si>
    <t>Australia Sydney</t>
  </si>
  <si>
    <t>within around 1km south of Heppendorf</t>
  </si>
  <si>
    <t>Germany Cologne</t>
  </si>
  <si>
    <t>1260 Old Maiden Rd</t>
  </si>
  <si>
    <t>144th Ave &amp; 14th St</t>
  </si>
  <si>
    <t>Karawang International Industrial City, Jalan Industri I</t>
  </si>
  <si>
    <t>Indonesia Jakarta</t>
  </si>
  <si>
    <t>11314 Balls Ford Rd</t>
  </si>
  <si>
    <t>Virginia, USA Manassas, VA</t>
  </si>
  <si>
    <t>12734 Louis Sorenson Rd</t>
  </si>
  <si>
    <t>1475 SE Maffitt Lake Ct</t>
  </si>
  <si>
    <t>769 Mamre Rd</t>
  </si>
  <si>
    <t>8844 Fm1957</t>
  </si>
  <si>
    <t>23540 Pebble Run Pl</t>
  </si>
  <si>
    <t>Virginia, USA Sterling, VA</t>
  </si>
  <si>
    <t>4165 Ben Hill Rd</t>
  </si>
  <si>
    <t>13050 Hansen Farm Rd</t>
  </si>
  <si>
    <t>Kawasan GIIC, Blok EB1</t>
  </si>
  <si>
    <t>Pol. Ind. Malpica</t>
  </si>
  <si>
    <t>Grange Castle Business Park, Nangor Rd</t>
  </si>
  <si>
    <t>Ireland Dublin</t>
  </si>
  <si>
    <t>2044 Georgia State Route 74</t>
  </si>
  <si>
    <t>3555 Westover Link</t>
  </si>
  <si>
    <t>Av. de Madrid, 15</t>
  </si>
  <si>
    <t>within BEB61 Industrial Estate</t>
  </si>
  <si>
    <t>12123/12800/12827 Louis Sorenson Rd</t>
  </si>
  <si>
    <t>Durand Ave / Braun Rd</t>
  </si>
  <si>
    <t>171 Commerce Valley Drive E</t>
  </si>
  <si>
    <t>Canada Toronto</t>
  </si>
  <si>
    <t>Elk Grove Technology Park, Innovation Dr &amp; Oakton St</t>
  </si>
  <si>
    <t>Cultuurweg 11</t>
  </si>
  <si>
    <t>NP10, Dyffryn Lane, Marshfield, Newport</t>
  </si>
  <si>
    <t>United Kingdom Cardiff</t>
  </si>
  <si>
    <t>370 W Trimble Rd</t>
  </si>
  <si>
    <t>Rua Uirapuru, 340, Chácara Recreio Alvorada</t>
  </si>
  <si>
    <t>5941 Wellington Rd</t>
  </si>
  <si>
    <t>Virginia, USA Gainesville, VA</t>
  </si>
  <si>
    <t>Beech Rd NW &amp; Fitzwilliam Ln</t>
  </si>
  <si>
    <t>5351/5309 Malaga Alcoa Hwy</t>
  </si>
  <si>
    <t>1200 W Hwy 50</t>
  </si>
  <si>
    <t>Nevada, USA Reno, NV</t>
  </si>
  <si>
    <t>Volt Ave / Bashley Rd</t>
  </si>
  <si>
    <t>United Kingdom London</t>
  </si>
  <si>
    <t>1278-5 Gurang-dong, Gangseo-gu</t>
  </si>
  <si>
    <t>South Korea Busan</t>
  </si>
  <si>
    <t>19515-19540 Compass Creek Pkwy</t>
  </si>
  <si>
    <t>5150 Rogers Rd</t>
  </si>
  <si>
    <t>41700 Inclusion Ln</t>
  </si>
  <si>
    <t>Bohus Boulevard 2</t>
  </si>
  <si>
    <t>129 N High St</t>
  </si>
  <si>
    <t>2995 US Hwy 90 W</t>
  </si>
  <si>
    <t>13490 University Blvd</t>
  </si>
  <si>
    <t>within Nusa Cemerlang Industrial Park</t>
  </si>
  <si>
    <t>Malaysia Johor Bahru</t>
  </si>
  <si>
    <t>West Rd &amp; Central Parade</t>
  </si>
  <si>
    <t>20-28 Cawley Rd</t>
  </si>
  <si>
    <t>Australia Melbourne</t>
  </si>
  <si>
    <t>70-90 Garden Drive</t>
  </si>
  <si>
    <t>Cleveland Rd &amp; Bittersweet Rd</t>
  </si>
  <si>
    <t>Indiana, USA South Bend, IN</t>
  </si>
  <si>
    <t>within Medina, Texas, along County Road 381</t>
  </si>
  <si>
    <t>Dronning Eufemias gate 71</t>
  </si>
  <si>
    <t>Norway Oslo</t>
  </si>
  <si>
    <t>Rda. Externa Anillar (Z-40)</t>
  </si>
  <si>
    <t>3545 Wiseman Blvd</t>
  </si>
  <si>
    <t>within east of Cheyenne, along HR Ranch Road</t>
  </si>
  <si>
    <t>8008 Devlin Rd</t>
  </si>
  <si>
    <t>Virginia, USA Bristow, VA</t>
  </si>
  <si>
    <t>42010 Growth Mindset Ln</t>
  </si>
  <si>
    <t>State Rd 1333</t>
  </si>
  <si>
    <t>North Carolina, USA Roxboro, NC</t>
  </si>
  <si>
    <t>41730 Inclusion Ln</t>
  </si>
  <si>
    <t>Estr. Mun. Pedrina Guilherme, 1995 - Jardim Res. Firenze</t>
  </si>
  <si>
    <t>5200 Rogers Rd</t>
  </si>
  <si>
    <t>1960-2044 Georgia State Route 74</t>
  </si>
  <si>
    <t>300 E Boyd Blvd</t>
  </si>
  <si>
    <t>Indiana, USA La Porte, IN</t>
  </si>
  <si>
    <t>Egedesvej 17</t>
  </si>
  <si>
    <t>Lane 23, Nangong Rd</t>
  </si>
  <si>
    <t>Taiwan Taoyuan</t>
  </si>
  <si>
    <t>Douglas Ave &amp; Botting Rd</t>
  </si>
  <si>
    <t>Wisconsin, USA Milwaukee, WI</t>
  </si>
  <si>
    <t>Victory Logistics District, Gateway Dr</t>
  </si>
  <si>
    <t>41840 Growth Mindset Ln</t>
  </si>
  <si>
    <t>Via Trieste, 24</t>
  </si>
  <si>
    <t>within Mekaguda Industrial Area</t>
  </si>
  <si>
    <t>19515 Compass Creek Pkwy</t>
  </si>
  <si>
    <t>8855 Grand Avenue</t>
  </si>
  <si>
    <t>within INKA :terra nova Industrial Park</t>
  </si>
  <si>
    <t>within Eco Business Park VI</t>
  </si>
  <si>
    <t>Mukta Park, 81/B/54, MIDC</t>
  </si>
  <si>
    <t>210 Tunstall Road</t>
  </si>
  <si>
    <t>281 Woods Rd</t>
  </si>
  <si>
    <t>42031 Growth Mindset Ln</t>
  </si>
  <si>
    <t>Whenuapai Business Park, Lot 20</t>
  </si>
  <si>
    <t>Covenant Business Park, 4687 Alden Nash Ave SE</t>
  </si>
  <si>
    <t>Via dei Pioppi &amp; Via Rimembranze</t>
  </si>
  <si>
    <t>48 Lowe's Pl</t>
  </si>
  <si>
    <t>41840-42010 Growth Mindset Ln</t>
  </si>
  <si>
    <t>Lane 525, Taoying Rd</t>
  </si>
  <si>
    <t>Eldamain Rd &amp; Corneils Rd</t>
  </si>
  <si>
    <t>Thornwood Dr SW &amp; Hallie Ln Rd</t>
  </si>
  <si>
    <t>8-9 Woodlands Industrial Park E9</t>
  </si>
  <si>
    <t>KIIC Lot VI, PD7-9</t>
  </si>
  <si>
    <t>within Bison Business Park, along Highway 85</t>
  </si>
  <si>
    <t>Date Operational</t>
  </si>
  <si>
    <t>Cheyenne Business Parkway by the Christensen</t>
  </si>
  <si>
    <t>MW Today</t>
  </si>
  <si>
    <t>2009 (campus est.)</t>
  </si>
  <si>
    <t>Quincy MWH Campus</t>
  </si>
  <si>
    <t>Long-running hyperscale; 2M+ sqft; hydroelectric power; multi-bldg AZ campus</t>
  </si>
  <si>
    <t>2020-2023</t>
  </si>
  <si>
    <t>Yes</t>
  </si>
  <si>
    <t>North Central US</t>
  </si>
  <si>
    <t>Kenosha / Fairwater Campus (WI)</t>
  </si>
  <si>
    <t>Kenosha, WI; Durand Ave cluster; AI DC announced</t>
  </si>
  <si>
    <t>2024-2027 (phased)</t>
  </si>
  <si>
    <t>No</t>
  </si>
  <si>
    <t>East US 3 (planned 2027)</t>
  </si>
  <si>
    <t>Douglasville Campus</t>
  </si>
  <si>
    <t>1601 N River Rd; 4x245K sqft bldgs; 980K sqft total; region launches 2027</t>
  </si>
  <si>
    <t>2021-2024 (phased)</t>
  </si>
  <si>
    <t>Sweden Central</t>
  </si>
  <si>
    <t>Sandviken Campus (GVX11-14)</t>
  </si>
  <si>
    <t>Järbovägen 103; Sweden Central; $3.2B expansion 2024</t>
  </si>
  <si>
    <t>East US (support)</t>
  </si>
  <si>
    <t>Boyd Farms Campus (Maiden NC)</t>
  </si>
  <si>
    <t>Zeb Haynes Rd; Maiden, NC; hyperscale</t>
  </si>
  <si>
    <t>2026-2029 (planned)</t>
  </si>
  <si>
    <t>Denmark East (West DK region)</t>
  </si>
  <si>
    <t>Lunde Campus (Varde)</t>
  </si>
  <si>
    <t>Kastkærvej 100; announced Dec 2025; multi-billion investment</t>
  </si>
  <si>
    <t>2018-2022</t>
  </si>
  <si>
    <t>East US</t>
  </si>
  <si>
    <t>Ridge Road Campus (Boydton adj.)</t>
  </si>
  <si>
    <t>925 Ridge Rd; part of Boydton East US expansion; ~40-48 MW per bldg</t>
  </si>
  <si>
    <t>2025-2026 (UC)</t>
  </si>
  <si>
    <t>Union City Campus (Fairwater AI DC)</t>
  </si>
  <si>
    <t>4810 Stonewall Tell Rd; $1.8B; Fairwater AI DC launched Nov 2025</t>
  </si>
  <si>
    <t>Kastkærvej 100; new region announced Dec 2025</t>
  </si>
  <si>
    <t>West US 2</t>
  </si>
  <si>
    <t>2M+ sqft campus; MWH site code; multiple AZ buildings; hydroelectric</t>
  </si>
  <si>
    <t>2021 (region launch)</t>
  </si>
  <si>
    <t>Gävle Campus (GVX)</t>
  </si>
  <si>
    <t>Bakvretsgatan; Sweden Central launched late 2021; $3.2B expansion; 20K GPUs planned</t>
  </si>
  <si>
    <t>2023-2026 (phased)</t>
  </si>
  <si>
    <t>Central US</t>
  </si>
  <si>
    <t>Project Ginger West Campus</t>
  </si>
  <si>
    <t>11100 Booneville Rd; 1.8M sqft; $1.65B+ investment</t>
  </si>
  <si>
    <t>2025-2027</t>
  </si>
  <si>
    <t>South Central US</t>
  </si>
  <si>
    <t>Castroville / SAT Campus</t>
  </si>
  <si>
    <t>$400M investment; 195,670 sqft; Castroville TX; under construction</t>
  </si>
  <si>
    <t>2022-2023</t>
  </si>
  <si>
    <t>New Zealand North</t>
  </si>
  <si>
    <t>Westgate Campus (Auckland)</t>
  </si>
  <si>
    <t>Rotu Dr; Auckland; New Zealand North region (first in NZ)</t>
  </si>
  <si>
    <t>2010-2012</t>
  </si>
  <si>
    <t>Northlake Campus</t>
  </si>
  <si>
    <t>601-605 NW Ave; 707K sqft; 158MW; 3 substations; $500M; Phase 1+2</t>
  </si>
  <si>
    <t>Bakvretsgatan campus; multiple GVX buildings; Sweden Central</t>
  </si>
  <si>
    <t>Staffanstorp Campus</t>
  </si>
  <si>
    <t>Västanvägen 86; expansion plans dropped 2022; seeking alt sites</t>
  </si>
  <si>
    <t>Denmark East</t>
  </si>
  <si>
    <t>Roskilde Campus (CPH01)</t>
  </si>
  <si>
    <t>Finervej 8; Denmark East region launching 2026</t>
  </si>
  <si>
    <t>2018-2020</t>
  </si>
  <si>
    <t>West US</t>
  </si>
  <si>
    <t>San Jose Campus (SJC)</t>
  </si>
  <si>
    <t>2515 Orchard Pkwy; West US region</t>
  </si>
  <si>
    <t>Chile North Central</t>
  </si>
  <si>
    <t>Santiago Campus (SCL03)</t>
  </si>
  <si>
    <t>Caupolicán s/n; first Chile Azure region launched 2023</t>
  </si>
  <si>
    <t>11100 Booneville Rd; campus listing; 1.8M sqft; $1.65B+</t>
  </si>
  <si>
    <t>2016-2024 (phased)</t>
  </si>
  <si>
    <t>West Central US</t>
  </si>
  <si>
    <t>Cheyenne Campus</t>
  </si>
  <si>
    <t>Cheyenne Business Pkwy; WY; West Central US region</t>
  </si>
  <si>
    <t>Palmetto Campus (Fulton Co, GA)</t>
  </si>
  <si>
    <t>250K sqft planned; Fulton County, GA; part of East US 3</t>
  </si>
  <si>
    <t>$1.8B investment; 4810 Stonewall Tell Rd</t>
  </si>
  <si>
    <t>2022-2025</t>
  </si>
  <si>
    <t>East US 2</t>
  </si>
  <si>
    <t>Hillcrest Campus (AVC)</t>
  </si>
  <si>
    <t>South Hill, VA; 3-bldg campus (reduced from 8); 48MW per bldg</t>
  </si>
  <si>
    <t>2014-2016</t>
  </si>
  <si>
    <t>Brazil South</t>
  </si>
  <si>
    <t>São Paulo Campus</t>
  </si>
  <si>
    <t>Rua Santa Teresa 64; Brazil South region</t>
  </si>
  <si>
    <t>West US 3</t>
  </si>
  <si>
    <t>Goodyear Airpark Campus (PHX10-15)</t>
  </si>
  <si>
    <t>W Broadway Rd; West US 3; 279-acre site; launched June 2021</t>
  </si>
  <si>
    <t>2015-2023 (phased)</t>
  </si>
  <si>
    <t>Central India</t>
  </si>
  <si>
    <t>Hyderabad Campus (HYD)</t>
  </si>
  <si>
    <t>Pargi Road; India cloud expansion ($17.5B announced)</t>
  </si>
  <si>
    <t>2018-2024 (phased)</t>
  </si>
  <si>
    <t>Texas Research Park Campus</t>
  </si>
  <si>
    <t>15000 Lambda Dr; 158 acres; $1B planned; 159K sqft per bldg</t>
  </si>
  <si>
    <t>2024-2028 (planned)</t>
  </si>
  <si>
    <t>North Europe</t>
  </si>
  <si>
    <t>Naas Campus (County Kildare)</t>
  </si>
  <si>
    <t>Wentworth Pl, Jigginstown; County Kildare; planning phase</t>
  </si>
  <si>
    <t>2006-2016 (phased)</t>
  </si>
  <si>
    <t>Quincy Columbia Campus</t>
  </si>
  <si>
    <t>600 Port Industrial Way; 800K sqft; 30-50MW per bldg</t>
  </si>
  <si>
    <t>501 Port Industrial Way; original Columbia DC; 30-50MW in 2012</t>
  </si>
  <si>
    <t>Kastkærvej 100; announced Dec 2025</t>
  </si>
  <si>
    <t>Bakvretsgatan; Sweden Central; $3.2B expansion Jun 2024</t>
  </si>
  <si>
    <t>2015-2018</t>
  </si>
  <si>
    <t>Southeast Asia</t>
  </si>
  <si>
    <t>Singapore Woodlands Campus</t>
  </si>
  <si>
    <t>1 Woodlands Industrial Park E9; Southeast Asia region</t>
  </si>
  <si>
    <t>El Mirage Campus (PHX80-83)</t>
  </si>
  <si>
    <t>12901 W Olive Ave; PHX81 permitted/under construction; West US 3</t>
  </si>
  <si>
    <t>UK South</t>
  </si>
  <si>
    <t>Eggborough Campus (Leeds)</t>
  </si>
  <si>
    <t>Loverose Wy; Leeds, UK; campus listing</t>
  </si>
  <si>
    <t>2023-2024</t>
  </si>
  <si>
    <t>Loverose Wy; first Eggborough building</t>
  </si>
  <si>
    <t>2022-2024</t>
  </si>
  <si>
    <t>210 Tunstall Rd; South Hill, VA; ~48MW building</t>
  </si>
  <si>
    <t>2022-2024 (phased)</t>
  </si>
  <si>
    <t>Italy North</t>
  </si>
  <si>
    <t>Settala Campus (Milan)</t>
  </si>
  <si>
    <t>Strada Provinciale 415; Italy North region</t>
  </si>
  <si>
    <t>2016-2019</t>
  </si>
  <si>
    <t>Boydton Campus (BN)</t>
  </si>
  <si>
    <t>101 Herbert Dr; $2B+ invested; 1.1M sqft campus; East US</t>
  </si>
  <si>
    <t>Inclusion Ln / Ashburn Campus</t>
  </si>
  <si>
    <t>Ashburn VA; Azure East US 2; IAD campus</t>
  </si>
  <si>
    <t>644 Logistics Dr; Cheyenne, WY</t>
  </si>
  <si>
    <t>MWH02 North building; West US 2; 2M+ sqft campus</t>
  </si>
  <si>
    <t>2580 FM471 N campus listing; SAT89/90/81/80; $765M+ investment</t>
  </si>
  <si>
    <t>Pune Campus</t>
  </si>
  <si>
    <t>Morawadi Rd; India cloud expansion</t>
  </si>
  <si>
    <t>2019-2023</t>
  </si>
  <si>
    <t>Compass Creek Campus</t>
  </si>
  <si>
    <t>Leesburg VA; 323-acre campus; targeting 180MW total</t>
  </si>
  <si>
    <t>Prison Road Campus (Boydton adj.)</t>
  </si>
  <si>
    <t>960 Prison Rd; Boydton area expansion</t>
  </si>
  <si>
    <t>2023-2025</t>
  </si>
  <si>
    <t>Valbo Campus (GVX21-25)</t>
  </si>
  <si>
    <t>Farfarsvägen 1; Valbo near Gävle; Sweden Central</t>
  </si>
  <si>
    <t>101 Herbert Dr; East US; $2B+ campus</t>
  </si>
  <si>
    <t>2015+ (phased)</t>
  </si>
  <si>
    <t>West Europe</t>
  </si>
  <si>
    <t>Middenmeer Campus (AMS)</t>
  </si>
  <si>
    <t>Agriport 570; 13+ bldgs; 40x3.3MW generators; AMS6 retrofit for AI/HPC</t>
  </si>
  <si>
    <t>MWH03 building; West US 2; hydroelectric power</t>
  </si>
  <si>
    <t>MWH01 South; original Quincy campus</t>
  </si>
  <si>
    <t>2025-2028 (planned)</t>
  </si>
  <si>
    <t>Spain Central (planned)</t>
  </si>
  <si>
    <t>Zaragoza / Aragon Campus</t>
  </si>
  <si>
    <t>Pol. Ind. Centrovía; initial approval received; 150MW PPA Iberdrola</t>
  </si>
  <si>
    <t>Project Osmium Campus (SW Kerry)</t>
  </si>
  <si>
    <t>$255M permit Dec 2022; 5855 SW Kerry St; 5-bldg campus; 1.7M sqft</t>
  </si>
  <si>
    <t>4810 Stonewall Tell Rd; $1.8B campus</t>
  </si>
  <si>
    <t>Hyderabad Campus (HYD11)</t>
  </si>
  <si>
    <t>100 Feet Industrial Rd; India expansion</t>
  </si>
  <si>
    <t>2006 (est.)</t>
  </si>
  <si>
    <t>501-600 Port Industrial Way; campus listing; CO1-CO5 buildings</t>
  </si>
  <si>
    <t>Jigginstown; County Kildare; Microsoft planning phase</t>
  </si>
  <si>
    <t>East Wenatchee / Malaga Campus</t>
  </si>
  <si>
    <t>5375 Malaga Alcoa Hwy; Wenatchee WA area; developing</t>
  </si>
  <si>
    <t>Tinghoej Campus (Varde)</t>
  </si>
  <si>
    <t>Ringkøbingvej 169; N of Tinghøj, Varde; announced Dec 2025</t>
  </si>
  <si>
    <t>Bramming Campus (Esbjerg)</t>
  </si>
  <si>
    <t>Kirkebrovej 1; W of Bramming; announced Dec 2025; district heating</t>
  </si>
  <si>
    <t>2021-2025 (phased)</t>
  </si>
  <si>
    <t>Farfarsvägen 1, Valbo; campus listing</t>
  </si>
  <si>
    <t>2022-2025 (phased)</t>
  </si>
  <si>
    <t>East US 3 (support)</t>
  </si>
  <si>
    <t>Lyle Creek Campus (Hickory NC)</t>
  </si>
  <si>
    <t>1521 N NC 16 Hwy; Hickory, NC</t>
  </si>
  <si>
    <t>East US 3</t>
  </si>
  <si>
    <t>Project Rita Campus (Union City, GA)</t>
  </si>
  <si>
    <t>1960 GA State Route 74; Union City; $1.8B</t>
  </si>
  <si>
    <t>2025-2027 (planned)</t>
  </si>
  <si>
    <t>East US (planned)</t>
  </si>
  <si>
    <t>Columbus OH Campus</t>
  </si>
  <si>
    <t>Etna Pkwy, Columbus OH; new expansion market</t>
  </si>
  <si>
    <t>Järbovägen 103, Sandviken; campus listing</t>
  </si>
  <si>
    <t>Durand Ave; Kenosha, WI; Fairwater cluster</t>
  </si>
  <si>
    <t>Alviso-Milpitas Campus (SJC)</t>
  </si>
  <si>
    <t>1657 Alviso Milpitas Rd; campus listing; West US</t>
  </si>
  <si>
    <t>Project Alluvion Campus</t>
  </si>
  <si>
    <t>550 White Crane Rd; 8-bldg campus 1M+ sqft</t>
  </si>
  <si>
    <t>11100 Booneville Rd; West Des Moines</t>
  </si>
  <si>
    <t>Hoffman Estates Campus</t>
  </si>
  <si>
    <t>Lakewood Blvd; 4 bldgs; 53-acre site + 30-acre expansion 2023</t>
  </si>
  <si>
    <t>Project Mountain Campus</t>
  </si>
  <si>
    <t>8855 Grand Ave; S 88th St; 2nd building 2013</t>
  </si>
  <si>
    <t>Columbus OH; new expansion market</t>
  </si>
  <si>
    <t>2024-2027 (planned)</t>
  </si>
  <si>
    <t>North Central US (planned)</t>
  </si>
  <si>
    <t>Grand Rapids MI Campus</t>
  </si>
  <si>
    <t>7174 Patterson Ave; Grand Rapids MI area</t>
  </si>
  <si>
    <t>Goodyear Campus (3785 N Citrus)</t>
  </si>
  <si>
    <t>3785 N Citrus Rd; West US 3; 147-acre lot purchased 2019</t>
  </si>
  <si>
    <t>875 Urban Industrial Wy; Wenatchee WA; developing</t>
  </si>
  <si>
    <t>Spain Central</t>
  </si>
  <si>
    <t>Madrid Campus</t>
  </si>
  <si>
    <t>C. de La Torrecilla 28, Madrid; Spain Central region</t>
  </si>
  <si>
    <t>2019-2021</t>
  </si>
  <si>
    <t>5855 SW Kerry St; announced 2016; 1.7M sqft planned</t>
  </si>
  <si>
    <t>2021-2022</t>
  </si>
  <si>
    <t>5855 SW Kerry St; 3rd building</t>
  </si>
  <si>
    <t>5855 SW Kerry St; 5th/final building</t>
  </si>
  <si>
    <t>Australia East</t>
  </si>
  <si>
    <t>Seven Hills Campus (Sydney)</t>
  </si>
  <si>
    <t>57 Station Rd; Sydney; Australia East</t>
  </si>
  <si>
    <t>Germany West Central</t>
  </si>
  <si>
    <t>Cologne / Elsdorf Campus</t>
  </si>
  <si>
    <t>~1km S of Heppendorf; 26-hectare site; Rhein-Erft-Kreis</t>
  </si>
  <si>
    <t>1260 Old Maiden Rd; Maiden, NC</t>
  </si>
  <si>
    <t>MWH04 North; Azure West US 2; 2M+ sqft campus</t>
  </si>
  <si>
    <t>Farfarsvägen 1; Sweden Central</t>
  </si>
  <si>
    <t>144th Ave &amp; 14th St; Allegan County, MI area</t>
  </si>
  <si>
    <t>2023-2025 (phased)</t>
  </si>
  <si>
    <t>Indonesia Central</t>
  </si>
  <si>
    <t>Jakarta Campus</t>
  </si>
  <si>
    <t>Karawang GIIC Industrial City; Indonesia Central launched 2024</t>
  </si>
  <si>
    <t>2020-2022</t>
  </si>
  <si>
    <t>960 Prison Rd; 218-acre parcel</t>
  </si>
  <si>
    <t>2021-2023</t>
  </si>
  <si>
    <t>15000 Lambda Dr; TRP5 building</t>
  </si>
  <si>
    <t>2015-2019</t>
  </si>
  <si>
    <t>MWH06; newer generation Quincy building</t>
  </si>
  <si>
    <t>Durand Ave; Kenosha, WI</t>
  </si>
  <si>
    <t>875 Urban Industrial Wy; EAT04 building</t>
  </si>
  <si>
    <t>101 Herbert Dr; East US; 6th expansion</t>
  </si>
  <si>
    <t>925 Ridge Rd; Boydton area</t>
  </si>
  <si>
    <t>Agriport 570; AMS06-B building; West Europe</t>
  </si>
  <si>
    <t>101 Herbert Dr; continuing expansion</t>
  </si>
  <si>
    <t>2021-2024</t>
  </si>
  <si>
    <t>Manassas Campus (MNZ)</t>
  </si>
  <si>
    <t>11314 Balls Ford Rd; 46-acre plot; NOVEC substation</t>
  </si>
  <si>
    <t>Kenosha, WI cluster</t>
  </si>
  <si>
    <t>Project Ginger East Campus</t>
  </si>
  <si>
    <t>1475 SE Maffitt Lake Ct; approved Feb 2024</t>
  </si>
  <si>
    <t>Kemps Creek Campus (Sydney)</t>
  </si>
  <si>
    <t>769 Mamre Rd; Western Sydney; expanding</t>
  </si>
  <si>
    <t>MWH02 South; West US 2</t>
  </si>
  <si>
    <t>Wentworth Pl, Jigginstown; planning phase</t>
  </si>
  <si>
    <t>8844 Fm1957; Castroville area</t>
  </si>
  <si>
    <t>100 Feet Industrial Rd; HYD11 second building</t>
  </si>
  <si>
    <t>Sterling VA Campus</t>
  </si>
  <si>
    <t>Sterling, VA development; NVA area</t>
  </si>
  <si>
    <t>Farfarsvägen 1; Stackbo GVX21 campus</t>
  </si>
  <si>
    <t>2024-2026 (phased)</t>
  </si>
  <si>
    <t>East Point Campus (Fulton Co)</t>
  </si>
  <si>
    <t>4165 Ben Hill Rd; Fulton Co; ground broke Jul 2024</t>
  </si>
  <si>
    <t>13050 Hansen Farm Rd; Manassas VA area</t>
  </si>
  <si>
    <t>5375 Malaga Alcoa Hwy; EAT11 building</t>
  </si>
  <si>
    <t>Kawasan GIIC, Blok EB1; Indonesia Central</t>
  </si>
  <si>
    <t>Pol. Ind. Malpica; Aragon; initial approval received</t>
  </si>
  <si>
    <t>Grange Castle Campus (DUB)</t>
  </si>
  <si>
    <t>First MS DC outside US (2009 campus); 16MW per bldg (DUB11 ref)</t>
  </si>
  <si>
    <t>101 Herbert Dr; latest Boydton expansion</t>
  </si>
  <si>
    <t>Agriport 570; AMS08 building</t>
  </si>
  <si>
    <t>2044 GA State Route 74; $1.8B campus</t>
  </si>
  <si>
    <t>1657 Alviso Milpitas Rd; Bldg 2</t>
  </si>
  <si>
    <t>San Antonio Urban Campus</t>
  </si>
  <si>
    <t>3555 Westover Link; $215.9M; 245K sqft; Q1 2024 completion</t>
  </si>
  <si>
    <t>101 Herbert Dr; 5th expansion cycle</t>
  </si>
  <si>
    <t>W Broadway Rd; PHX15 building</t>
  </si>
  <si>
    <t>15000 Lambda Dr; SAT40; 153,230 sqft filed Mar 2023</t>
  </si>
  <si>
    <t>Alcalá de Henares Campus</t>
  </si>
  <si>
    <t>Av. de Madrid 15; Spain Central region</t>
  </si>
  <si>
    <t>within BEB61 Industrial Estate; Cologne area</t>
  </si>
  <si>
    <t>Kirkebrovej 1; Esbjerg; announced Dec 2025</t>
  </si>
  <si>
    <t>Ringkøbingvej 169; campus listing; Dec 2025 announcement</t>
  </si>
  <si>
    <t>Ringkøbingvej 169; multi-billion investment</t>
  </si>
  <si>
    <t>11100 Booneville Rd; first Ginger West building</t>
  </si>
  <si>
    <t>Kenosha, WI; multi-parcel</t>
  </si>
  <si>
    <t>210 Tunstall Rd; AVC01; South Hill VA</t>
  </si>
  <si>
    <t>Durand Ave / Braun Rd; AI DC announced for WI</t>
  </si>
  <si>
    <t>Järbovägen 103; GVX13</t>
  </si>
  <si>
    <t>2515 Orchard Pkwy; West US</t>
  </si>
  <si>
    <t>2010 (est.)</t>
  </si>
  <si>
    <t>101 Herbert Dr; campus listing; largest East Coast Azure; $2B+</t>
  </si>
  <si>
    <t>875 Urban Industrial Wy; campus listing</t>
  </si>
  <si>
    <t>Strada Provinciale 415; campus listing; Italy North</t>
  </si>
  <si>
    <t>Canada Central</t>
  </si>
  <si>
    <t>Toronto Campus (YTO14)</t>
  </si>
  <si>
    <t>171 Commerce Valley Drive E; YTO14 Bldg 1</t>
  </si>
  <si>
    <t>432,800 sqft; 96MW capacity; Oct 2025 start; Aug 2027 finish; $276.8M</t>
  </si>
  <si>
    <t>Strada Provinciale 415; MIL01 first building</t>
  </si>
  <si>
    <t>Elk Grove Campus</t>
  </si>
  <si>
    <t>36.6-acre Elk Grove Tech Park; 3 bldg potential; 400K sqft; $52M land 2020</t>
  </si>
  <si>
    <t>2021+ (phased)</t>
  </si>
  <si>
    <t>12901 W Olive Ave; campus listing; West US 3; PHX80-83</t>
  </si>
  <si>
    <t>Grange Castle Business Park; DUB09</t>
  </si>
  <si>
    <t>16MW capacity; DUB11</t>
  </si>
  <si>
    <t>Lakewood Blvd; first Hoffman Estates bldg</t>
  </si>
  <si>
    <t>Järbovägen 103; GVX11 first Sandviken bldg</t>
  </si>
  <si>
    <t>Agriport 570; AMS07-B</t>
  </si>
  <si>
    <t>Agriport 570; AMS07-A</t>
  </si>
  <si>
    <t>Agriport 570; AMS09</t>
  </si>
  <si>
    <t>Cultuurweg 11; 5 data halls; 11,750 sqm; 40x3.3MW generators</t>
  </si>
  <si>
    <t>W Broadway Rd; PHX11</t>
  </si>
  <si>
    <t>W Broadway Rd; PHX12</t>
  </si>
  <si>
    <t>W Broadway Rd; PHX13</t>
  </si>
  <si>
    <t>3785 N Citrus Rd; campus listing; 5 buildings planned; $48M land 2018</t>
  </si>
  <si>
    <t>3785 N Citrus Rd; PHX71</t>
  </si>
  <si>
    <t>UK West</t>
  </si>
  <si>
    <t>Newport Campus (Cardiff)</t>
  </si>
  <si>
    <t>NP10, Dyffryn Lane, Newport; UK West region</t>
  </si>
  <si>
    <t>5375 Malaga Alcoa Hwy; campus listing; West US 2 expansion</t>
  </si>
  <si>
    <t>Ringkøbingvej 169; announced Dec 2025</t>
  </si>
  <si>
    <t>2025-2027 (phased)</t>
  </si>
  <si>
    <t>11100 Booneville Rd; later phase building</t>
  </si>
  <si>
    <t>1475 SE Maffitt Lake Ct; approved 2024</t>
  </si>
  <si>
    <t>15000 Lambda Dr; SAT46/TRP3</t>
  </si>
  <si>
    <t>2012-2016</t>
  </si>
  <si>
    <t>101 Herbert Dr; Year Built 2016 per Baxtel</t>
  </si>
  <si>
    <t>925 Ridge Rd; Bldg 2</t>
  </si>
  <si>
    <t>960 Prison Rd; Bldg 2</t>
  </si>
  <si>
    <t>2024-2025</t>
  </si>
  <si>
    <t>Elk Grove Tech Park; 3rd building</t>
  </si>
  <si>
    <t>Orchard Pkwy Campus (SJC)</t>
  </si>
  <si>
    <t>370 W Trimble Rd; campus listing</t>
  </si>
  <si>
    <t>Lakewood Blvd; Bldg 3</t>
  </si>
  <si>
    <t>1601 N River Rd; campus listing; 4 bldg 980K sqft</t>
  </si>
  <si>
    <t>1601 N River Rd; Bldg 2</t>
  </si>
  <si>
    <t>171 Commerce Valley Drive E; campus listing</t>
  </si>
  <si>
    <t>1521 N NC 16 Hwy; Bldg 3</t>
  </si>
  <si>
    <t>Hortolandia Campus (Campinas)</t>
  </si>
  <si>
    <t>Rua Uirapuru 340; Brazil Southeast region</t>
  </si>
  <si>
    <t>2009-2012</t>
  </si>
  <si>
    <t>501 Port Industrial Way; CO2</t>
  </si>
  <si>
    <t>2024-2026</t>
  </si>
  <si>
    <t>Loverose Wy; Bldg 2</t>
  </si>
  <si>
    <t>1657 Alviso Milpitas Rd; Bldg 1</t>
  </si>
  <si>
    <t>Gainesville VA Campus</t>
  </si>
  <si>
    <t>5941 Wellington Rd / 13490 Univ Blvd; Gainesville VA; NVA expansion</t>
  </si>
  <si>
    <t>DUB15 newest; 303,200 sqft; 20 diesel generators</t>
  </si>
  <si>
    <t>101 Herbert Dr; original Boydton building; 2010</t>
  </si>
  <si>
    <t>5351/5309 Malaga Alcoa Hwy; EAT12</t>
  </si>
  <si>
    <t>Ringkøbingvej 169; Dec 2025 announcement</t>
  </si>
  <si>
    <t>2026-2027</t>
  </si>
  <si>
    <t>1601 N River Rd; 4th/final building</t>
  </si>
  <si>
    <t>1521 N NC 16 Hwy; campus listing</t>
  </si>
  <si>
    <t>Durand Ave; Kenosha WI</t>
  </si>
  <si>
    <t>2013-2015</t>
  </si>
  <si>
    <t>101 Herbert Dr; East US</t>
  </si>
  <si>
    <t>2015-2017</t>
  </si>
  <si>
    <t>Agriport 570; AMS05; older building</t>
  </si>
  <si>
    <t>550 White Crane Rd; Bldg 2</t>
  </si>
  <si>
    <t>2018-2021</t>
  </si>
  <si>
    <t>Durand Ave; DC2</t>
  </si>
  <si>
    <t>Farfarsvägen 1; GVX22</t>
  </si>
  <si>
    <t>1521 N NC 16 Hwy; Bldg 5</t>
  </si>
  <si>
    <t>11314 Balls Ford Rd; MNZ01</t>
  </si>
  <si>
    <t>Silver Springs Campus (Reno NV)</t>
  </si>
  <si>
    <t>1200 W Hwy 50; Nevada; West US expansion</t>
  </si>
  <si>
    <t>2020-2024 (phased)</t>
  </si>
  <si>
    <t>960 Prison Rd; campus listing</t>
  </si>
  <si>
    <t>Park Royal Campus (London)</t>
  </si>
  <si>
    <t>Volt Ave/Bashley Rd; London; UK South</t>
  </si>
  <si>
    <t>Korea South</t>
  </si>
  <si>
    <t>Busan Campus</t>
  </si>
  <si>
    <t>1278-5 Gurang-dong; Korea South region</t>
  </si>
  <si>
    <t>Bakvretsgatan; GVX03</t>
  </si>
  <si>
    <t>19515-19540 Compass Creek Pkwy; Leesburg VA; campus listing; 180MW target</t>
  </si>
  <si>
    <t>550 White Crane Rd; Bldg 7</t>
  </si>
  <si>
    <t>2017-2019</t>
  </si>
  <si>
    <t>Durand Ave; DC1 first building</t>
  </si>
  <si>
    <t>Cultuurweg 11; 5 data halls; AMS13+14 campus; 14.4 hectare site</t>
  </si>
  <si>
    <t>W Broadway Rd; PHX10 first building; West US 3 launched Jun 2021</t>
  </si>
  <si>
    <t>171 Commerce Valley Drive E; YTO14 Bldg 2</t>
  </si>
  <si>
    <t>8844 Fm1957; SAT80</t>
  </si>
  <si>
    <t>Elk Grove Tech Park; $123M first building</t>
  </si>
  <si>
    <t>W Broadway Rd; campus listing</t>
  </si>
  <si>
    <t>2018-2023 (phased)</t>
  </si>
  <si>
    <t>925 Ridge Rd; campus listing; 4 buildings</t>
  </si>
  <si>
    <t>Wentworth Pl; County Kildare; planning</t>
  </si>
  <si>
    <t>2015-2020</t>
  </si>
  <si>
    <t>5150 Rogers Rd; core SA facility</t>
  </si>
  <si>
    <t>2019-2022</t>
  </si>
  <si>
    <t>41700 Inclusion Ln; IAD6; Ashburn VA</t>
  </si>
  <si>
    <t>Grange Castle Business Park; DUB08</t>
  </si>
  <si>
    <t>12901 W Olive Ave; PHX80 completed and operational; first El Mirage bldg</t>
  </si>
  <si>
    <t>2012-2015</t>
  </si>
  <si>
    <t>Older DUB building; campus since 2009</t>
  </si>
  <si>
    <t>Høje Taastrup Campus (CPH02)</t>
  </si>
  <si>
    <t>Bohus Boulevard 2; waste heat to district heating</t>
  </si>
  <si>
    <t>Kawasan GIIC; JKT05; Indonesia Central</t>
  </si>
  <si>
    <t>2024-2026 (planned)</t>
  </si>
  <si>
    <t>129 N High St; Columbus OH</t>
  </si>
  <si>
    <t>2995 US Hwy 90 W; SAT89; $765M (SAT89+90); 489,400 sqft total</t>
  </si>
  <si>
    <t>2021-2026 (phased)</t>
  </si>
  <si>
    <t>Lakewood Blvd; campus listing; 53-acre + 30-acre expansion</t>
  </si>
  <si>
    <t>Bakvretsgatan; GVX05</t>
  </si>
  <si>
    <t>Durand Ave; DC8</t>
  </si>
  <si>
    <t>Grange Castle Business Park; DUB10</t>
  </si>
  <si>
    <t>Bakvretsgatan; GVX02</t>
  </si>
  <si>
    <t>Malaysia West</t>
  </si>
  <si>
    <t>Johor Campus (Nusa Cemerlang)</t>
  </si>
  <si>
    <t>Nusa Cemerlang Industrial Park; Johor Bahru; Malaysia West</t>
  </si>
  <si>
    <t>Lakewood Blvd; Bldg 2</t>
  </si>
  <si>
    <t>Durand Ave; DC9</t>
  </si>
  <si>
    <t>Leeds Campus</t>
  </si>
  <si>
    <t>West Rd &amp; Central Parade; Leeds</t>
  </si>
  <si>
    <t>Australia Southeast</t>
  </si>
  <si>
    <t>Melbourne Campus (MEL04)</t>
  </si>
  <si>
    <t>20-28 Cawley Rd; Melbourne; Australia Southeast</t>
  </si>
  <si>
    <t>Melbourne Campus (MEL07)</t>
  </si>
  <si>
    <t>70-90 Garden Drive; Melbourne</t>
  </si>
  <si>
    <t>15000 Lambda Dr; TRP4</t>
  </si>
  <si>
    <t>South Bend / Mishawaka Campus</t>
  </si>
  <si>
    <t>Cleveland Rd &amp; Bittersweet Rd; Indiana</t>
  </si>
  <si>
    <t>County Road 381, Medina TX; SAT93 filed with TDLR</t>
  </si>
  <si>
    <t>Norway East</t>
  </si>
  <si>
    <t>Oslo Campus</t>
  </si>
  <si>
    <t>Dronning Eufemias gate 71; Norway East region</t>
  </si>
  <si>
    <t>Durand Ave; DC7</t>
  </si>
  <si>
    <t>DUB14 newest; 302,100 sqft; 21 diesel generators; west of DUB9-13</t>
  </si>
  <si>
    <t>1601 N River Rd; Bldg 3</t>
  </si>
  <si>
    <t>Rda. Externa Anillar (Z-40); Aragon region initial approval</t>
  </si>
  <si>
    <t>3545 Wiseman Blvd; core SA facility</t>
  </si>
  <si>
    <t>Grange Castle Business Park; DUB13</t>
  </si>
  <si>
    <t>E of Cheyenne along HR Ranch Road; WY</t>
  </si>
  <si>
    <t>1475 SE Maffitt Lake Ct; campus listing; approved Feb 2024</t>
  </si>
  <si>
    <t>Bristow Campus (Prince William)</t>
  </si>
  <si>
    <t>8008 Devlin Rd; Bristow VA; 83-acre site; multi-phase</t>
  </si>
  <si>
    <t>Growth Mindset Campus (Aldie/Ashburn)</t>
  </si>
  <si>
    <t>42010 Growth Mindset Ln; Stone Ridge VA</t>
  </si>
  <si>
    <t>2016-2018</t>
  </si>
  <si>
    <t>Grange Castle Business Park; DUB07</t>
  </si>
  <si>
    <t>1521 N NC 16 Hwy; Bldg 4</t>
  </si>
  <si>
    <t>2025-2026</t>
  </si>
  <si>
    <t>PHX83; 245,500 sqft; approved Dec 2024; 5th bldg</t>
  </si>
  <si>
    <t>2025-2028</t>
  </si>
  <si>
    <t>Person County Mega Park (Roxboro NC)</t>
  </si>
  <si>
    <t>State Rd 1333; Roxboro NC; mega campus development</t>
  </si>
  <si>
    <t>1475 SE Maffitt Lake Ct; Bldg 1</t>
  </si>
  <si>
    <t>41730 Inclusion Ln; Ashburn VA; East US 2</t>
  </si>
  <si>
    <t>Kirkebrovej 1; campus listing; Dec 2025 announcement</t>
  </si>
  <si>
    <t>960 Prison Rd; Bldg 3</t>
  </si>
  <si>
    <t>Taquara Branca Campus (SP)</t>
  </si>
  <si>
    <t>Estr. Mun. Pedrina Guilherme; SP state; Brazil expansion</t>
  </si>
  <si>
    <t>5200 Rogers Rd; core SA Azure facility</t>
  </si>
  <si>
    <t>1960-2044 GA State Route 74; campus listing; $1.8B</t>
  </si>
  <si>
    <t>Elk Grove Tech Park; Bldg 2</t>
  </si>
  <si>
    <t>15000 Lambda Dr; TRP2</t>
  </si>
  <si>
    <t>La Porte Campus (IN)</t>
  </si>
  <si>
    <t>300 E Boyd Blvd, La Porte, IN</t>
  </si>
  <si>
    <t>Grange Castle Business Park; DUB06</t>
  </si>
  <si>
    <t>MWH01 North; original campus</t>
  </si>
  <si>
    <t>Køge Campus (CPH03)</t>
  </si>
  <si>
    <t>Egedesvej 17; Copenhagen area; Denmark East launching 2026</t>
  </si>
  <si>
    <t>12901 W Olive Ave; PHX82 under construction</t>
  </si>
  <si>
    <t>4165 Ben Hill Rd; campus listing; East US 3</t>
  </si>
  <si>
    <t>Farfarsvägen 1; GVX24</t>
  </si>
  <si>
    <t>550 White Crane Rd; Bldg 5</t>
  </si>
  <si>
    <t>4165 Ben Hill Rd; ATL06; East US 3</t>
  </si>
  <si>
    <t>2019-2024 (phased)</t>
  </si>
  <si>
    <t>5855 SW Kerry St; campus listing; 5-bldg 1.7M sqft</t>
  </si>
  <si>
    <t>960 Prison Rd; Bldg 4</t>
  </si>
  <si>
    <t>Wentworth Pl; planning phase</t>
  </si>
  <si>
    <t>11100 Booneville Rd; Bldg 4</t>
  </si>
  <si>
    <t>Taiwan North</t>
  </si>
  <si>
    <t>Luzhu Campus (Taoyuan)</t>
  </si>
  <si>
    <t>Lane 23, Nangong Rd; Taiwan North region</t>
  </si>
  <si>
    <t>Grange Castle Business Park; DUB12</t>
  </si>
  <si>
    <t>11314 Balls Ford Rd; campus listing; Manassas VA</t>
  </si>
  <si>
    <t>Project Nova Campus (Milwaukee)</t>
  </si>
  <si>
    <t>Douglas Ave &amp; Botting Rd; Milwaukee WI; planning</t>
  </si>
  <si>
    <t>Fernley Campus (Reno NV)</t>
  </si>
  <si>
    <t>Victory Logistics District, Gateway Dr; NV</t>
  </si>
  <si>
    <t>41840 Growth Mindset Ln; IAD11 campus; 244K sqft</t>
  </si>
  <si>
    <t>Grange Castle Business Park; DUB04</t>
  </si>
  <si>
    <t>5855 SW Kerry St; Bldg 2</t>
  </si>
  <si>
    <t>San Bovio Campus (Milan)</t>
  </si>
  <si>
    <t>Via Trieste 24; older Milan facility</t>
  </si>
  <si>
    <t>Hyderabad Campus (HYD01)</t>
  </si>
  <si>
    <t>Mekaguda Industrial Area; India Central</t>
  </si>
  <si>
    <t>15000 Lambda Dr; first TRP building; 159K sqft</t>
  </si>
  <si>
    <t>19515 Compass Creek Pkwy; Leesburg VA</t>
  </si>
  <si>
    <t>550 White Crane Rd; Bldg 8 final</t>
  </si>
  <si>
    <t>2011-2013</t>
  </si>
  <si>
    <t>8855 Grand Avenue; 2-bldg campus; first Iowa DC</t>
  </si>
  <si>
    <t>MWH05; newer generation building</t>
  </si>
  <si>
    <t>550 White Crane Rd; Bldg 3</t>
  </si>
  <si>
    <t>Cologne / INKA Campus</t>
  </si>
  <si>
    <t>within INKA :terra nova Industrial Park; Cologne area</t>
  </si>
  <si>
    <t>Southeast Asia 3 (planned)</t>
  </si>
  <si>
    <t>Kulai Campus (Johor)</t>
  </si>
  <si>
    <t>Eco Business Park VI; SE Asia 3 region</t>
  </si>
  <si>
    <t>Mukta Park, 81/B/54, MIDC; India</t>
  </si>
  <si>
    <t>210 Tunstall Road; campus listing; 3-bldg reduced plan</t>
  </si>
  <si>
    <t>2995 US Hwy 90 W; SAT90; part of $765M Castroville campus</t>
  </si>
  <si>
    <t>925 Ridge Rd; Bldg 3</t>
  </si>
  <si>
    <t>600 Port Industrial Way; CO5</t>
  </si>
  <si>
    <t>Woods Road Campus (Melbourne)</t>
  </si>
  <si>
    <t>281 Woods Rd; new development</t>
  </si>
  <si>
    <t>42031 Growth Mindset Ln; Stone Ridge VA</t>
  </si>
  <si>
    <t>2026-2027 (phased)</t>
  </si>
  <si>
    <t>1475 SE Maffitt Lake Ct; Bldg 4; later phase</t>
  </si>
  <si>
    <t>100 Feet Industrial Rd; campus listing</t>
  </si>
  <si>
    <t>2022 (first bldg)</t>
  </si>
  <si>
    <t>550 White Crane Rd; first Alluvion building; announced 2014</t>
  </si>
  <si>
    <t>Whenuapai Campus (Auckland)</t>
  </si>
  <si>
    <t>Whenuapai Business Park Lot 20; NZ expansion</t>
  </si>
  <si>
    <t>550 White Crane Rd; campus listing; 8-bldg; 1M+ sqft</t>
  </si>
  <si>
    <t>Agriport 570; campus listing; 13+ buildings; 50ha expansion end-2025</t>
  </si>
  <si>
    <t>4810 Stonewall Tell Rd; campus listing; $1.8B</t>
  </si>
  <si>
    <t>Covenant Business Park, 4687 Alden Nash Ave SE; Michigan</t>
  </si>
  <si>
    <t>501-600 Port Industrial Way; CO3</t>
  </si>
  <si>
    <t>550 White Crane Rd; Bldg 4</t>
  </si>
  <si>
    <t>Durand Ave; DC3</t>
  </si>
  <si>
    <t>Bornasco Campus (Milan)</t>
  </si>
  <si>
    <t>Via dei Pioppi &amp; Via Rimembranze; Milan area; new development</t>
  </si>
  <si>
    <t>Etobicoke Campus (Toronto)</t>
  </si>
  <si>
    <t>48 Lowe's Pl; Toronto; Canada Central</t>
  </si>
  <si>
    <t>Järbovägen 103; GVX12</t>
  </si>
  <si>
    <t>Kastkærvej 100; first Lunde building; Dec 2025</t>
  </si>
  <si>
    <t>Kirkebrovej 1; Esbjerg</t>
  </si>
  <si>
    <t>41840-42010 Growth Mindset Ln; campus listing</t>
  </si>
  <si>
    <t>Agriport 570; AMS12</t>
  </si>
  <si>
    <t>41700 Inclusion Ln; IAD4</t>
  </si>
  <si>
    <t>Taoyuan Campus</t>
  </si>
  <si>
    <t>Lane 525, Taoying Rd; Taiwan expansion</t>
  </si>
  <si>
    <t>Plano IL Campus</t>
  </si>
  <si>
    <t>Eldamain Rd &amp; Corneils Rd; 500+ acres acquired; major future development</t>
  </si>
  <si>
    <t>Thornwood Dr SW &amp; Hallie Ln Rd; Columbus OH</t>
  </si>
  <si>
    <t>Kirkebrovej 1; first Bramming building; Dec 2025</t>
  </si>
  <si>
    <t>Kirkebrovej 1; Dec 2025 announcement</t>
  </si>
  <si>
    <t>Wentworth Pl; first Naas building; County Kildare</t>
  </si>
  <si>
    <t>Agriport 570; AMS06-A</t>
  </si>
  <si>
    <t>2009 (est.)</t>
  </si>
  <si>
    <t>Campus listing; first MS DC outside US 2009; 15+ buildings; own power station planned</t>
  </si>
  <si>
    <t>Singapore Woodlands 2 Campus</t>
  </si>
  <si>
    <t>8-9 Woodlands Industrial Park E9; expanding SG campus</t>
  </si>
  <si>
    <t>8855 Grand Ave; first IA building; announced 2009</t>
  </si>
  <si>
    <t>County Road 381, Medina TX; SAT94 filed with TDLR</t>
  </si>
  <si>
    <t>875 Urban Industrial Wy; EAT03</t>
  </si>
  <si>
    <t>KIIC Lot VI, PD7-9; Indonesia Central</t>
  </si>
  <si>
    <t>1521 N NC 16 Hwy; first Lyle Creek building</t>
  </si>
  <si>
    <t>Hwy 85, Cheyenne WY; West Central US</t>
  </si>
  <si>
    <t>Azure Region</t>
  </si>
  <si>
    <t>Status Notes</t>
  </si>
  <si>
    <t>Location</t>
  </si>
  <si>
    <t>Operational Today</t>
  </si>
  <si>
    <t>Operational in 6 Months</t>
  </si>
  <si>
    <t>Operational in 12 Months</t>
  </si>
  <si>
    <t>Forward MW (12 Mo)</t>
  </si>
  <si>
    <t>MW Growth %</t>
  </si>
  <si>
    <t>Azure Capacity</t>
  </si>
  <si>
    <t>Total Operational</t>
  </si>
  <si>
    <t>Total Non Operational</t>
  </si>
  <si>
    <t>Forward MW 6 Months</t>
  </si>
  <si>
    <t>Average MW per Active DC</t>
  </si>
  <si>
    <t>Non Operational Data Centers</t>
  </si>
  <si>
    <t>Operational Date Centers</t>
  </si>
  <si>
    <t>Total MW</t>
  </si>
  <si>
    <t>FY 26 Q2</t>
  </si>
  <si>
    <t>FY 26 Q4</t>
  </si>
  <si>
    <t>FY 27 Q2</t>
  </si>
  <si>
    <t>Implied Azure Growth</t>
  </si>
  <si>
    <t>DC Type</t>
  </si>
  <si>
    <t>Traditional</t>
  </si>
  <si>
    <t>AI</t>
  </si>
  <si>
    <t>Total AI Data Centers</t>
  </si>
  <si>
    <t>Total Traditional Data Centers</t>
  </si>
  <si>
    <t>Total AI MW</t>
  </si>
  <si>
    <t>Total Traditional MW</t>
  </si>
  <si>
    <t>% growth YoY</t>
  </si>
  <si>
    <t>Sep '24</t>
  </si>
  <si>
    <t>Dec '24</t>
  </si>
  <si>
    <t>Mar '25</t>
  </si>
  <si>
    <t>Jun '25</t>
  </si>
  <si>
    <t>Sep '25</t>
  </si>
  <si>
    <t>Dec '25</t>
  </si>
  <si>
    <t>Mar '26E</t>
  </si>
  <si>
    <t>Jun '26E</t>
  </si>
  <si>
    <t>Sep '26E</t>
  </si>
  <si>
    <t>Dec '26E</t>
  </si>
  <si>
    <t>Mar '27E</t>
  </si>
  <si>
    <t xml:space="preserve">Q1  </t>
  </si>
  <si>
    <t xml:space="preserve">Q2  </t>
  </si>
  <si>
    <t xml:space="preserve">Q3  </t>
  </si>
  <si>
    <t xml:space="preserve">Q4  </t>
  </si>
  <si>
    <t>Sales - Product Line 1</t>
  </si>
  <si>
    <t>- Azure and other cloud services</t>
  </si>
  <si>
    <t>Operating Income</t>
  </si>
  <si>
    <t>Sales - Product Line 2</t>
  </si>
  <si>
    <t>Product</t>
  </si>
  <si>
    <t>Service and other</t>
  </si>
  <si>
    <t>Quarterly Product Segments</t>
  </si>
  <si>
    <t>FY 25</t>
  </si>
  <si>
    <t>FY 26</t>
  </si>
  <si>
    <t>FY 27</t>
  </si>
  <si>
    <t>% YoY</t>
  </si>
  <si>
    <t>% Margin</t>
  </si>
  <si>
    <t>Microsoft 365 Commercial Products and Cloud Services</t>
  </si>
  <si>
    <t>Asha Sharma</t>
  </si>
  <si>
    <t>Move to Productivity (PBP): Entra ID (this is EMS) and Windows 365/Azure Virtual Desktop (this is Windows Commercial). Both are now in PBP, not Personal Computing.</t>
  </si>
  <si>
    <t>Move to Intelligent Cloud (IC): GitHub, Azure DevOps, Visual Studio, and VS Code. Developer tools sit inside the Server Products and Cloud Services line, not Productivity.</t>
  </si>
  <si>
    <t>AI MW</t>
  </si>
  <si>
    <t>Legacy 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</si>
</sst>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43" formatCode="_(* #,##0.00_);_(* \(#,##0.00\);_(* &quot;-&quot;??_);_(@_)"/>
    <numFmt numFmtId="164" formatCode="&quot;$&quot;#,##0.00"/>
    <numFmt numFmtId="165" formatCode="&quot;$&quot;#,##0"/>
    <numFmt numFmtId="166" formatCode="0.0%"/>
    <numFmt numFmtId="167" formatCode="0.0"/>
    <numFmt numFmtId="168" formatCode="0.00%;\(0.00%\)"/>
    <numFmt numFmtId="169" formatCode="00\x"/>
    <numFmt numFmtId="170" formatCode="0.0%;\(0.0%\)"/>
  </numFmts>
  <fonts count="15" x14ac:knownFonts="1">
    <font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7" tint="-0.249977111117893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color theme="5" tint="-0.249977111117893"/>
      <name val="calibri"/>
      <family val="2"/>
    </font>
    <font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sz val="11"/>
      <color rgb="FF7030A0"/>
      <name val="calibri"/>
      <family val="2"/>
    </font>
    <font>
      <b/>
      <sz val="11"/>
      <color theme="7" tint="-0.249977111117893"/>
      <name val="Calibri"/>
      <family val="2"/>
    </font>
    <font>
      <i/>
      <sz val="11"/>
      <color rgb="FF595959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4">
    <xf numFmtId="0" fontId="0" fillId="0" borderId="0" xfId="0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right"/>
    </xf>
    <xf numFmtId="0" fontId="4" fillId="0" borderId="0" xfId="0" applyFont="1"/>
    <xf numFmtId="0" fontId="5" fillId="0" borderId="0" xfId="0" applyFont="1"/>
    <xf numFmtId="0" fontId="2" fillId="0" borderId="1" xfId="0" applyFont="1" applyBorder="1"/>
    <xf numFmtId="164" fontId="6" fillId="0" borderId="0" xfId="0" applyNumberFormat="1" applyFont="1" applyAlignment="1">
      <alignment horizontal="right"/>
    </xf>
    <xf numFmtId="3" fontId="2" fillId="0" borderId="0" xfId="0" applyNumberFormat="1" applyFont="1"/>
    <xf numFmtId="3" fontId="2" fillId="0" borderId="1" xfId="0" applyNumberFormat="1" applyFont="1" applyBorder="1"/>
    <xf numFmtId="10" fontId="2" fillId="0" borderId="0" xfId="0" applyNumberFormat="1" applyFont="1"/>
    <xf numFmtId="10" fontId="5" fillId="0" borderId="0" xfId="0" applyNumberFormat="1" applyFont="1"/>
    <xf numFmtId="3" fontId="6" fillId="0" borderId="0" xfId="0" applyNumberFormat="1" applyFont="1"/>
    <xf numFmtId="41" fontId="2" fillId="0" borderId="0" xfId="0" applyNumberFormat="1" applyFont="1"/>
    <xf numFmtId="10" fontId="2" fillId="0" borderId="0" xfId="0" applyNumberFormat="1" applyFont="1" applyAlignment="1">
      <alignment horizontal="center" vertical="center"/>
    </xf>
    <xf numFmtId="0" fontId="4" fillId="0" borderId="1" xfId="0" applyFont="1" applyBorder="1"/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7" fillId="0" borderId="1" xfId="0" applyFont="1" applyBorder="1"/>
    <xf numFmtId="165" fontId="2" fillId="0" borderId="0" xfId="0" applyNumberFormat="1" applyFont="1" applyAlignment="1">
      <alignment horizontal="center" vertical="center"/>
    </xf>
    <xf numFmtId="43" fontId="2" fillId="0" borderId="0" xfId="0" applyNumberFormat="1" applyFont="1"/>
    <xf numFmtId="0" fontId="8" fillId="0" borderId="0" xfId="0" applyFont="1"/>
    <xf numFmtId="0" fontId="2" fillId="0" borderId="0" xfId="0" quotePrefix="1" applyFont="1"/>
    <xf numFmtId="0" fontId="2" fillId="3" borderId="0" xfId="0" applyFont="1" applyFill="1"/>
    <xf numFmtId="0" fontId="3" fillId="3" borderId="0" xfId="0" applyFont="1" applyFill="1"/>
    <xf numFmtId="0" fontId="3" fillId="3" borderId="0" xfId="0" applyFont="1" applyFill="1" applyAlignment="1">
      <alignment horizontal="right"/>
    </xf>
    <xf numFmtId="3" fontId="9" fillId="0" borderId="0" xfId="0" applyNumberFormat="1" applyFont="1"/>
    <xf numFmtId="3" fontId="4" fillId="0" borderId="0" xfId="0" applyNumberFormat="1" applyFont="1"/>
    <xf numFmtId="4" fontId="2" fillId="0" borderId="0" xfId="0" applyNumberFormat="1" applyFont="1"/>
    <xf numFmtId="0" fontId="3" fillId="2" borderId="0" xfId="0" applyFont="1" applyFill="1" applyAlignment="1">
      <alignment horizontal="center"/>
    </xf>
    <xf numFmtId="14" fontId="2" fillId="0" borderId="0" xfId="0" applyNumberFormat="1" applyFont="1"/>
    <xf numFmtId="0" fontId="3" fillId="2" borderId="3" xfId="0" applyFont="1" applyFill="1" applyBorder="1"/>
    <xf numFmtId="0" fontId="3" fillId="2" borderId="2" xfId="0" applyFont="1" applyFill="1" applyBorder="1"/>
    <xf numFmtId="0" fontId="3" fillId="2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3" fontId="6" fillId="0" borderId="8" xfId="0" applyNumberFormat="1" applyFont="1" applyBorder="1"/>
    <xf numFmtId="0" fontId="10" fillId="0" borderId="0" xfId="0" applyFont="1"/>
    <xf numFmtId="166" fontId="5" fillId="0" borderId="0" xfId="0" applyNumberFormat="1" applyFont="1"/>
    <xf numFmtId="0" fontId="11" fillId="0" borderId="0" xfId="0" applyFont="1"/>
    <xf numFmtId="9" fontId="5" fillId="0" borderId="0" xfId="0" applyNumberFormat="1" applyFont="1"/>
    <xf numFmtId="0" fontId="2" fillId="0" borderId="0" xfId="0" applyFont="1" applyAlignment="1">
      <alignment horizontal="center" vertical="center"/>
    </xf>
    <xf numFmtId="0" fontId="2" fillId="0" borderId="0" xfId="0" quotePrefix="1" applyFont="1" applyAlignment="1">
      <alignment horizontal="left" indent="1"/>
    </xf>
    <xf numFmtId="0" fontId="5" fillId="0" borderId="0" xfId="0" quotePrefix="1" applyFont="1"/>
    <xf numFmtId="0" fontId="5" fillId="0" borderId="0" xfId="0" quotePrefix="1" applyFont="1" applyAlignment="1">
      <alignment horizontal="left" indent="1"/>
    </xf>
    <xf numFmtId="1" fontId="2" fillId="0" borderId="0" xfId="0" applyNumberFormat="1" applyFont="1"/>
    <xf numFmtId="167" fontId="2" fillId="0" borderId="0" xfId="0" applyNumberFormat="1" applyFont="1"/>
    <xf numFmtId="168" fontId="5" fillId="0" borderId="0" xfId="0" applyNumberFormat="1" applyFont="1"/>
    <xf numFmtId="166" fontId="2" fillId="0" borderId="0" xfId="0" applyNumberFormat="1" applyFont="1"/>
    <xf numFmtId="3" fontId="12" fillId="0" borderId="0" xfId="0" applyNumberFormat="1" applyFont="1"/>
    <xf numFmtId="0" fontId="4" fillId="0" borderId="9" xfId="0" applyFont="1" applyBorder="1"/>
    <xf numFmtId="0" fontId="2" fillId="0" borderId="9" xfId="0" applyFont="1" applyBorder="1"/>
    <xf numFmtId="3" fontId="6" fillId="0" borderId="9" xfId="0" applyNumberFormat="1" applyFont="1" applyBorder="1"/>
    <xf numFmtId="3" fontId="2" fillId="0" borderId="9" xfId="0" applyNumberFormat="1" applyFont="1" applyBorder="1"/>
    <xf numFmtId="0" fontId="4" fillId="0" borderId="10" xfId="0" quotePrefix="1" applyFont="1" applyBorder="1" applyAlignment="1">
      <alignment horizontal="left" indent="1"/>
    </xf>
    <xf numFmtId="3" fontId="2" fillId="0" borderId="11" xfId="0" applyNumberFormat="1" applyFont="1" applyBorder="1"/>
    <xf numFmtId="0" fontId="4" fillId="0" borderId="10" xfId="0" quotePrefix="1" applyFont="1" applyBorder="1"/>
    <xf numFmtId="0" fontId="4" fillId="0" borderId="10" xfId="0" applyFont="1" applyBorder="1"/>
    <xf numFmtId="3" fontId="4" fillId="0" borderId="9" xfId="0" applyNumberFormat="1" applyFont="1" applyBorder="1"/>
    <xf numFmtId="3" fontId="4" fillId="0" borderId="11" xfId="0" applyNumberFormat="1" applyFont="1" applyBorder="1"/>
    <xf numFmtId="0" fontId="4" fillId="4" borderId="0" xfId="0" applyFont="1" applyFill="1"/>
    <xf numFmtId="3" fontId="13" fillId="4" borderId="0" xfId="0" applyNumberFormat="1" applyFont="1" applyFill="1"/>
    <xf numFmtId="3" fontId="4" fillId="4" borderId="0" xfId="0" applyNumberFormat="1" applyFont="1" applyFill="1"/>
    <xf numFmtId="0" fontId="4" fillId="0" borderId="0" xfId="0" quotePrefix="1" applyFont="1"/>
    <xf numFmtId="0" fontId="7" fillId="4" borderId="0" xfId="0" applyFont="1" applyFill="1"/>
    <xf numFmtId="3" fontId="7" fillId="4" borderId="0" xfId="0" applyNumberFormat="1" applyFont="1" applyFill="1"/>
    <xf numFmtId="0" fontId="2" fillId="0" borderId="10" xfId="0" quotePrefix="1" applyFont="1" applyBorder="1"/>
    <xf numFmtId="10" fontId="6" fillId="0" borderId="0" xfId="0" applyNumberFormat="1" applyFont="1"/>
    <xf numFmtId="0" fontId="2" fillId="0" borderId="0" xfId="0" applyFont="1" applyAlignment="1">
      <alignment horizontal="left" indent="1"/>
    </xf>
    <xf numFmtId="0" fontId="2" fillId="0" borderId="10" xfId="0" applyFont="1" applyBorder="1"/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69" fontId="2" fillId="0" borderId="0" xfId="0" applyNumberFormat="1" applyFont="1"/>
    <xf numFmtId="165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0" fontId="2" fillId="0" borderId="0" xfId="0" applyNumberFormat="1" applyFont="1" applyAlignment="1">
      <alignment horizontal="center"/>
    </xf>
    <xf numFmtId="0" fontId="2" fillId="3" borderId="0" xfId="0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5" xfId="0" applyFont="1" applyBorder="1" applyAlignment="1">
      <alignment horizontal="center"/>
    </xf>
    <xf numFmtId="165" fontId="2" fillId="0" borderId="7" xfId="0" applyNumberFormat="1" applyFont="1" applyBorder="1" applyAlignment="1">
      <alignment horizontal="center"/>
    </xf>
    <xf numFmtId="10" fontId="2" fillId="0" borderId="7" xfId="0" applyNumberFormat="1" applyFont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4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wrapText="1" shrinkToFit="1"/>
    </xf>
    <xf numFmtId="0" fontId="8" fillId="3" borderId="0" xfId="0" applyFont="1" applyFill="1"/>
    <xf numFmtId="0" fontId="8" fillId="3" borderId="0" xfId="0" applyFont="1" applyFill="1" applyAlignment="1">
      <alignment horizontal="center"/>
    </xf>
    <xf numFmtId="1" fontId="8" fillId="3" borderId="0" xfId="0" applyNumberFormat="1" applyFont="1" applyFill="1" applyAlignment="1">
      <alignment horizontal="center"/>
    </xf>
    <xf numFmtId="0" fontId="8" fillId="3" borderId="0" xfId="0" applyFont="1" applyFill="1" applyAlignment="1">
      <alignment horizontal="left"/>
    </xf>
    <xf numFmtId="0" fontId="8" fillId="5" borderId="0" xfId="0" applyFont="1" applyFill="1"/>
    <xf numFmtId="0" fontId="8" fillId="5" borderId="0" xfId="0" applyFont="1" applyFill="1" applyAlignment="1">
      <alignment horizontal="left"/>
    </xf>
    <xf numFmtId="0" fontId="8" fillId="5" borderId="0" xfId="0" applyFont="1" applyFill="1" applyAlignment="1">
      <alignment horizontal="center"/>
    </xf>
    <xf numFmtId="1" fontId="8" fillId="5" borderId="0" xfId="0" applyNumberFormat="1" applyFont="1" applyFill="1" applyAlignment="1">
      <alignment horizontal="center"/>
    </xf>
    <xf numFmtId="10" fontId="8" fillId="3" borderId="0" xfId="0" applyNumberFormat="1" applyFont="1" applyFill="1" applyAlignment="1">
      <alignment horizontal="center"/>
    </xf>
    <xf numFmtId="3" fontId="8" fillId="3" borderId="0" xfId="0" applyNumberFormat="1" applyFont="1" applyFill="1" applyAlignment="1">
      <alignment horizontal="center"/>
    </xf>
    <xf numFmtId="2" fontId="3" fillId="2" borderId="0" xfId="0" applyNumberFormat="1" applyFont="1" applyFill="1" applyAlignment="1">
      <alignment horizontal="center" vertical="center" wrapText="1" shrinkToFit="1"/>
    </xf>
    <xf numFmtId="0" fontId="14" fillId="0" borderId="0" xfId="0" applyFont="1"/>
    <xf numFmtId="166" fontId="14" fillId="0" borderId="0" xfId="0" applyNumberFormat="1" applyFont="1"/>
    <xf numFmtId="3" fontId="13" fillId="0" borderId="0" xfId="0" applyNumberFormat="1" applyFont="1"/>
    <xf numFmtId="170" fontId="14" fillId="0" borderId="0" xfId="0" applyNumberFormat="1" applyFont="1"/>
    <xf numFmtId="168" fontId="5" fillId="0" borderId="0" xfId="1" applyNumberFormat="1" applyFont="1"/>
    <xf numFmtId="170" fontId="5" fillId="0" borderId="0" xfId="1" applyNumberFormat="1" applyFont="1"/>
    <xf numFmtId="0" fontId="3" fillId="2" borderId="7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2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3" fontId="2" fillId="0" borderId="2" xfId="0" applyNumberFormat="1" applyFont="1" applyBorder="1" applyAlignment="1">
      <alignment horizontal="right"/>
    </xf>
    <xf numFmtId="3" fontId="2" fillId="0" borderId="1" xfId="0" applyNumberFormat="1" applyFont="1" applyBorder="1" applyAlignment="1">
      <alignment horizontal="right"/>
    </xf>
    <xf numFmtId="0" fontId="2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4CAF50"/>
      <color rgb="FF2196F3"/>
      <color rgb="FFF44336"/>
      <color rgb="FFFFC107"/>
      <color rgb="FF7CBB00"/>
      <color rgb="FF00A1F1"/>
      <color rgb="FFF65314"/>
      <color rgb="FFF25022"/>
      <color rgb="FFFFBB00"/>
      <color rgb="FF00A4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Mix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Segments!$B$6</c:f>
              <c:strCache>
                <c:ptCount val="1"/>
                <c:pt idx="0">
                  <c:v>Productivity and Business Processes</c:v>
                </c:pt>
              </c:strCache>
            </c:strRef>
          </c:tx>
          <c:spPr>
            <a:solidFill>
              <a:srgbClr val="F4433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Segments!$G$4:$N$4</c15:sqref>
                  </c15:fullRef>
                </c:ext>
              </c:extLst>
              <c:f>Segments!$I$4:$N$4</c:f>
              <c:strCache>
                <c:ptCount val="6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  <c:pt idx="5">
                  <c:v>2028E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Segments!$G$6:$N$6</c15:sqref>
                  </c15:fullRef>
                </c:ext>
              </c:extLst>
              <c:f>Segments!$I$6:$N$6</c:f>
              <c:numCache>
                <c:formatCode>#,##0</c:formatCode>
                <c:ptCount val="6"/>
                <c:pt idx="0">
                  <c:v>94151</c:v>
                </c:pt>
                <c:pt idx="1">
                  <c:v>106820</c:v>
                </c:pt>
                <c:pt idx="2">
                  <c:v>120810</c:v>
                </c:pt>
                <c:pt idx="3">
                  <c:v>137367.18529173697</c:v>
                </c:pt>
                <c:pt idx="4">
                  <c:v>156173.88449085114</c:v>
                </c:pt>
                <c:pt idx="5">
                  <c:v>176027.33909354403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08-4444-A702-3371123B3340}"/>
            </c:ext>
          </c:extLst>
        </c:ser>
        <c:ser>
          <c:idx val="1"/>
          <c:order val="1"/>
          <c:tx>
            <c:strRef>
              <c:f>Segments!$B$38</c:f>
              <c:strCache>
                <c:ptCount val="1"/>
                <c:pt idx="0">
                  <c:v>Intelligent Cloud</c:v>
                </c:pt>
              </c:strCache>
            </c:strRef>
          </c:tx>
          <c:spPr>
            <a:solidFill>
              <a:srgbClr val="2196F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Segments!$G$4:$N$4</c15:sqref>
                  </c15:fullRef>
                </c:ext>
              </c:extLst>
              <c:f>Segments!$I$4:$N$4</c:f>
              <c:strCache>
                <c:ptCount val="6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  <c:pt idx="5">
                  <c:v>2028E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Segments!$G$38:$N$38</c15:sqref>
                  </c15:fullRef>
                </c:ext>
              </c:extLst>
              <c:f>Segments!$I$38:$N$38</c:f>
              <c:numCache>
                <c:formatCode>#,##0</c:formatCode>
                <c:ptCount val="6"/>
                <c:pt idx="0">
                  <c:v>72944</c:v>
                </c:pt>
                <c:pt idx="1">
                  <c:v>87464</c:v>
                </c:pt>
                <c:pt idx="2">
                  <c:v>106265</c:v>
                </c:pt>
                <c:pt idx="3">
                  <c:v>137961.25</c:v>
                </c:pt>
                <c:pt idx="4">
                  <c:v>179360.57999999996</c:v>
                </c:pt>
                <c:pt idx="5">
                  <c:v>226975.30379999997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08-4444-A702-3371123B3340}"/>
            </c:ext>
          </c:extLst>
        </c:ser>
        <c:ser>
          <c:idx val="2"/>
          <c:order val="2"/>
          <c:tx>
            <c:strRef>
              <c:f>Segments!$B$51</c:f>
              <c:strCache>
                <c:ptCount val="1"/>
                <c:pt idx="0">
                  <c:v>More Personal Computing</c:v>
                </c:pt>
              </c:strCache>
            </c:strRef>
          </c:tx>
          <c:spPr>
            <a:solidFill>
              <a:srgbClr val="FFC107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Segments!$G$4:$N$4</c15:sqref>
                  </c15:fullRef>
                </c:ext>
              </c:extLst>
              <c:f>Segments!$I$4:$N$4</c:f>
              <c:strCache>
                <c:ptCount val="6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  <c:pt idx="5">
                  <c:v>2028E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Segments!$G$51:$N$51</c15:sqref>
                  </c15:fullRef>
                </c:ext>
              </c:extLst>
              <c:f>Segments!$I$51:$N$51</c:f>
              <c:numCache>
                <c:formatCode>#,##0</c:formatCode>
                <c:ptCount val="6"/>
                <c:pt idx="0">
                  <c:v>44820</c:v>
                </c:pt>
                <c:pt idx="1">
                  <c:v>50838</c:v>
                </c:pt>
                <c:pt idx="2">
                  <c:v>54649</c:v>
                </c:pt>
                <c:pt idx="3">
                  <c:v>53338.15</c:v>
                </c:pt>
                <c:pt idx="4">
                  <c:v>53481.695599999999</c:v>
                </c:pt>
                <c:pt idx="5">
                  <c:v>54872.219685600001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08-4444-A702-3371123B33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954413135"/>
        <c:axId val="954421295"/>
      </c:barChart>
      <c:catAx>
        <c:axId val="95441313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21295"/>
        <c:crosses val="autoZero"/>
        <c:auto val="1"/>
        <c:lblAlgn val="ctr"/>
        <c:lblOffset val="100"/>
        <c:noMultiLvlLbl val="0"/>
      </c:catAx>
      <c:valAx>
        <c:axId val="954421295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1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Margin</a:t>
            </a:r>
            <a:r>
              <a:rPr lang="en-US" baseline="0"/>
              <a:t> Expansion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Main!$B$42</c:f>
              <c:strCache>
                <c:ptCount val="1"/>
                <c:pt idx="0">
                  <c:v>EBIT</c:v>
                </c:pt>
              </c:strCache>
            </c:strRef>
          </c:tx>
          <c:spPr>
            <a:solidFill>
              <a:srgbClr val="2196F3"/>
            </a:solidFill>
            <a:ln w="38100">
              <a:solidFill>
                <a:srgbClr val="2196F3"/>
              </a:solidFill>
            </a:ln>
            <a:effectLst/>
          </c:spPr>
          <c:invertIfNegative val="0"/>
          <c:cat>
            <c:numRef>
              <c:f>Main!$E$25:$I$25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Main!$E$42:$I$42</c:f>
              <c:numCache>
                <c:formatCode>#,##0</c:formatCode>
                <c:ptCount val="5"/>
                <c:pt idx="0">
                  <c:v>69916</c:v>
                </c:pt>
                <c:pt idx="1">
                  <c:v>83383</c:v>
                </c:pt>
                <c:pt idx="2">
                  <c:v>88523</c:v>
                </c:pt>
                <c:pt idx="3">
                  <c:v>109433</c:v>
                </c:pt>
                <c:pt idx="4">
                  <c:v>128528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6E-44B3-B791-91BB9422B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0"/>
        <c:axId val="1064493855"/>
        <c:axId val="1064497695"/>
      </c:barChart>
      <c:lineChart>
        <c:grouping val="standard"/>
        <c:varyColors val="0"/>
        <c:ser>
          <c:idx val="1"/>
          <c:order val="1"/>
          <c:tx>
            <c:v>Margin %</c:v>
          </c:tx>
          <c:spPr>
            <a:ln w="31750" cap="rnd">
              <a:solidFill>
                <a:srgbClr val="F44336"/>
              </a:solidFill>
              <a:round/>
            </a:ln>
            <a:effectLst/>
          </c:spPr>
          <c:marker>
            <c:symbol val="none"/>
          </c:marker>
          <c:val>
            <c:numRef>
              <c:f>Main!$E$43:$I$43</c:f>
              <c:numCache>
                <c:formatCode>0.00%</c:formatCode>
                <c:ptCount val="5"/>
                <c:pt idx="0">
                  <c:v>0.41594878872971303</c:v>
                </c:pt>
                <c:pt idx="1">
                  <c:v>0.4205527815604983</c:v>
                </c:pt>
                <c:pt idx="2">
                  <c:v>0.41772880636104098</c:v>
                </c:pt>
                <c:pt idx="3">
                  <c:v>0.44644299573273716</c:v>
                </c:pt>
                <c:pt idx="4">
                  <c:v>0.45621956240859851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56E-44B3-B791-91BB9422B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2513664"/>
        <c:axId val="792518944"/>
      </c:lineChart>
      <c:catAx>
        <c:axId val="1064493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497695"/>
        <c:crosses val="autoZero"/>
        <c:auto val="1"/>
        <c:lblAlgn val="ctr"/>
        <c:lblOffset val="100"/>
        <c:noMultiLvlLbl val="0"/>
      </c:catAx>
      <c:valAx>
        <c:axId val="10644976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493855"/>
        <c:crosses val="autoZero"/>
        <c:crossBetween val="between"/>
      </c:valAx>
      <c:valAx>
        <c:axId val="792518944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3664"/>
        <c:crosses val="max"/>
        <c:crossBetween val="between"/>
      </c:valAx>
      <c:catAx>
        <c:axId val="792513664"/>
        <c:scaling>
          <c:orientation val="minMax"/>
        </c:scaling>
        <c:delete val="1"/>
        <c:axPos val="b"/>
        <c:majorTickMark val="out"/>
        <c:minorTickMark val="none"/>
        <c:tickLblPos val="nextTo"/>
        <c:crossAx val="7925189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Reinvestment Rate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Extras!$B$4</c:f>
              <c:strCache>
                <c:ptCount val="1"/>
                <c:pt idx="0">
                  <c:v>CapEx</c:v>
                </c:pt>
              </c:strCache>
            </c:strRef>
          </c:tx>
          <c:spPr>
            <a:solidFill>
              <a:srgbClr val="4CAF50"/>
            </a:solidFill>
            <a:ln w="38100">
              <a:solidFill>
                <a:srgbClr val="4CAF50"/>
              </a:solidFill>
            </a:ln>
            <a:effectLst/>
          </c:spPr>
          <c:invertIfNegative val="0"/>
          <c:cat>
            <c:strRef>
              <c:f>Extras!$E$2:$L$2</c:f>
              <c:strCache>
                <c:ptCount val="8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2026E</c:v>
                </c:pt>
                <c:pt idx="6">
                  <c:v>2027E</c:v>
                </c:pt>
                <c:pt idx="7">
                  <c:v>2028E</c:v>
                </c:pt>
              </c:strCache>
            </c:strRef>
          </c:cat>
          <c:val>
            <c:numRef>
              <c:f>Extras!$E$4:$L$4</c:f>
              <c:numCache>
                <c:formatCode>#,##0</c:formatCode>
                <c:ptCount val="8"/>
                <c:pt idx="0">
                  <c:v>20622</c:v>
                </c:pt>
                <c:pt idx="1">
                  <c:v>23886</c:v>
                </c:pt>
                <c:pt idx="2">
                  <c:v>28107</c:v>
                </c:pt>
                <c:pt idx="3">
                  <c:v>44477</c:v>
                </c:pt>
                <c:pt idx="4">
                  <c:v>64551</c:v>
                </c:pt>
                <c:pt idx="5">
                  <c:v>110000</c:v>
                </c:pt>
                <c:pt idx="6">
                  <c:v>170000</c:v>
                </c:pt>
                <c:pt idx="7">
                  <c:v>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4-45A0-AD32-6288FD165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6"/>
        <c:axId val="1064536095"/>
        <c:axId val="1064538975"/>
      </c:barChart>
      <c:lineChart>
        <c:grouping val="standard"/>
        <c:varyColors val="0"/>
        <c:ser>
          <c:idx val="1"/>
          <c:order val="1"/>
          <c:tx>
            <c:strRef>
              <c:f>Extras!$B$6</c:f>
              <c:strCache>
                <c:ptCount val="1"/>
                <c:pt idx="0">
                  <c:v>CapEx % of OCF</c:v>
                </c:pt>
              </c:strCache>
            </c:strRef>
          </c:tx>
          <c:spPr>
            <a:ln w="31750" cap="rnd">
              <a:solidFill>
                <a:srgbClr val="F44336"/>
              </a:solidFill>
              <a:round/>
            </a:ln>
            <a:effectLst/>
          </c:spPr>
          <c:marker>
            <c:symbol val="none"/>
          </c:marker>
          <c:cat>
            <c:numRef>
              <c:f>Extras!$E$2:$I$2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Extras!$E$6:$L$6</c:f>
              <c:numCache>
                <c:formatCode>0%</c:formatCode>
                <c:ptCount val="8"/>
                <c:pt idx="0">
                  <c:v>0.29114370826333102</c:v>
                </c:pt>
                <c:pt idx="1">
                  <c:v>0.27356124377254765</c:v>
                </c:pt>
                <c:pt idx="2">
                  <c:v>0.33845913009970618</c:v>
                </c:pt>
                <c:pt idx="3">
                  <c:v>0.39052937509329261</c:v>
                </c:pt>
                <c:pt idx="4">
                  <c:v>0.47626460866485659</c:v>
                </c:pt>
                <c:pt idx="5">
                  <c:v>0.63897278126303925</c:v>
                </c:pt>
                <c:pt idx="6">
                  <c:v>0.75985441273877807</c:v>
                </c:pt>
                <c:pt idx="7">
                  <c:v>0.74724728024799836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AC4-45A0-AD32-6288FD165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4422735"/>
        <c:axId val="954433775"/>
      </c:lineChart>
      <c:catAx>
        <c:axId val="106453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538975"/>
        <c:crosses val="autoZero"/>
        <c:auto val="1"/>
        <c:lblAlgn val="ctr"/>
        <c:lblOffset val="100"/>
        <c:noMultiLvlLbl val="0"/>
      </c:catAx>
      <c:valAx>
        <c:axId val="106453897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536095"/>
        <c:crosses val="autoZero"/>
        <c:crossBetween val="between"/>
      </c:valAx>
      <c:valAx>
        <c:axId val="954433775"/>
        <c:scaling>
          <c:orientation val="minMax"/>
          <c:min val="0.2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22735"/>
        <c:crosses val="max"/>
        <c:crossBetween val="between"/>
        <c:majorUnit val="5.000000000000001E-2"/>
      </c:valAx>
      <c:catAx>
        <c:axId val="9544227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544337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 sz="1400" b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rPr lang="en-US" sz="1400" b="0">
                <a:solidFill>
                  <a:schemeClr val="tx1">
                    <a:lumMod val="65000"/>
                    <a:lumOff val="35000"/>
                  </a:schemeClr>
                </a:solidFill>
              </a:rPr>
              <a:t>Copilot Revenue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Segments!$B$22</c:f>
              <c:strCache>
                <c:ptCount val="1"/>
                <c:pt idx="0">
                  <c:v>Copilot Revenue</c:v>
                </c:pt>
              </c:strCache>
            </c:strRef>
          </c:tx>
          <c:spPr>
            <a:solidFill>
              <a:srgbClr val="4CAF50"/>
            </a:solidFill>
            <a:ln w="38100">
              <a:solidFill>
                <a:srgbClr val="4CAF50"/>
              </a:solidFill>
            </a:ln>
            <a:effectLst/>
          </c:spPr>
          <c:invertIfNegative val="0"/>
          <c:cat>
            <c:strRef>
              <c:f>Segments!$J$4:$P$4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2026E</c:v>
                </c:pt>
                <c:pt idx="3">
                  <c:v>2027E</c:v>
                </c:pt>
                <c:pt idx="4">
                  <c:v>2028E</c:v>
                </c:pt>
                <c:pt idx="5">
                  <c:v>2029E</c:v>
                </c:pt>
                <c:pt idx="6">
                  <c:v>2030E</c:v>
                </c:pt>
              </c:strCache>
            </c:strRef>
          </c:cat>
          <c:val>
            <c:numRef>
              <c:f>Segments!$J$22:$P$22</c:f>
              <c:numCache>
                <c:formatCode>#,##0</c:formatCode>
                <c:ptCount val="7"/>
                <c:pt idx="0">
                  <c:v>206.00495999999998</c:v>
                </c:pt>
                <c:pt idx="1">
                  <c:v>1598.0834771999998</c:v>
                </c:pt>
                <c:pt idx="2">
                  <c:v>5685.7920759000026</c:v>
                </c:pt>
                <c:pt idx="3">
                  <c:v>10446.695307453601</c:v>
                </c:pt>
                <c:pt idx="4">
                  <c:v>17812.954819119605</c:v>
                </c:pt>
                <c:pt idx="5">
                  <c:v>26578.803638002151</c:v>
                </c:pt>
                <c:pt idx="6">
                  <c:v>31737.060344044043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3D4-491D-916C-5844B09D3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064536095"/>
        <c:axId val="1064538975"/>
      </c:barChart>
      <c:lineChart>
        <c:grouping val="standard"/>
        <c:varyColors val="0"/>
        <c:ser>
          <c:idx val="1"/>
          <c:order val="1"/>
          <c:tx>
            <c:strRef>
              <c:f>Segments!$B$23</c:f>
              <c:strCache>
                <c:ptCount val="1"/>
                <c:pt idx="0">
                  <c:v>% of total productivity</c:v>
                </c:pt>
              </c:strCache>
            </c:strRef>
          </c:tx>
          <c:spPr>
            <a:ln w="31750">
              <a:solidFill>
                <a:srgbClr val="FF0000"/>
              </a:solidFill>
            </a:ln>
          </c:spPr>
          <c:marker>
            <c:symbol val="none"/>
          </c:marker>
          <c:val>
            <c:numRef>
              <c:f>Segments!$J$23:$P$23</c:f>
              <c:numCache>
                <c:formatCode>0.00%</c:formatCode>
                <c:ptCount val="7"/>
                <c:pt idx="0">
                  <c:v>1.9285242463958059E-3</c:v>
                </c:pt>
                <c:pt idx="1">
                  <c:v>1.322807281847529E-2</c:v>
                </c:pt>
                <c:pt idx="2">
                  <c:v>4.1391195894599282E-2</c:v>
                </c:pt>
                <c:pt idx="3">
                  <c:v>6.6891435411953151E-2</c:v>
                </c:pt>
                <c:pt idx="4">
                  <c:v>0.10119425147734289</c:v>
                </c:pt>
                <c:pt idx="5">
                  <c:v>0.13514755372083623</c:v>
                </c:pt>
                <c:pt idx="6">
                  <c:v>0.14973712819640989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33D4-491D-916C-5844B09D3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0316608"/>
        <c:axId val="970304128"/>
      </c:lineChart>
      <c:catAx>
        <c:axId val="106453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64538975"/>
        <c:crosses val="autoZero"/>
        <c:auto val="1"/>
        <c:lblAlgn val="ctr"/>
        <c:lblOffset val="100"/>
        <c:noMultiLvlLbl val="0"/>
      </c:catAx>
      <c:valAx>
        <c:axId val="106453897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endParaRPr lang="en-US"/>
          </a:p>
        </c:txPr>
        <c:crossAx val="1064536095"/>
        <c:crosses val="autoZero"/>
        <c:crossBetween val="between"/>
      </c:valAx>
      <c:valAx>
        <c:axId val="970304128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extTo"/>
        <c:spPr>
          <a:noFill/>
          <a:ln w="0">
            <a:noFill/>
          </a:ln>
        </c:spPr>
        <c:txPr>
          <a:bodyPr/>
          <a:lstStyle/>
          <a:p>
            <a:pPr>
              <a:defRPr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endParaRPr lang="en-US"/>
          </a:p>
        </c:txPr>
        <c:crossAx val="970316608"/>
        <c:crosses val="max"/>
        <c:crossBetween val="between"/>
      </c:valAx>
      <c:catAx>
        <c:axId val="970316608"/>
        <c:scaling>
          <c:orientation val="minMax"/>
        </c:scaling>
        <c:delete val="1"/>
        <c:axPos val="b"/>
        <c:majorTickMark val="out"/>
        <c:minorTickMark val="none"/>
        <c:tickLblPos val="nextTo"/>
        <c:crossAx val="970304128"/>
        <c:crosses val="autoZero"/>
        <c:auto val="1"/>
        <c:lblAlgn val="ctr"/>
        <c:lblOffset val="100"/>
        <c:noMultiLvlLbl val="0"/>
      </c:catAx>
      <c:spPr>
        <a:ln>
          <a:noFill/>
        </a:ln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>
          <a:ln>
            <a:noFill/>
          </a:ln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 sz="1400" b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rPr lang="en-US" sz="1400" b="0" baseline="0">
                <a:solidFill>
                  <a:schemeClr val="tx1">
                    <a:lumMod val="65000"/>
                    <a:lumOff val="35000"/>
                  </a:schemeClr>
                </a:solidFill>
              </a:rPr>
              <a:t>Commercial M365 r</a:t>
            </a:r>
            <a:r>
              <a:rPr lang="en-US" sz="1400" b="0">
                <a:solidFill>
                  <a:schemeClr val="tx1">
                    <a:lumMod val="65000"/>
                    <a:lumOff val="35000"/>
                  </a:schemeClr>
                </a:solidFill>
              </a:rPr>
              <a:t>evenue per seat ex Copilot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Segments!$B$13</c:f>
              <c:strCache>
                <c:ptCount val="1"/>
                <c:pt idx="0">
                  <c:v>Revenue per seat ex Copilot</c:v>
                </c:pt>
              </c:strCache>
            </c:strRef>
          </c:tx>
          <c:spPr>
            <a:solidFill>
              <a:srgbClr val="FFC107"/>
            </a:solidFill>
            <a:ln w="38100">
              <a:solidFill>
                <a:srgbClr val="FFC107">
                  <a:alpha val="99000"/>
                </a:srgbClr>
              </a:solidFill>
            </a:ln>
            <a:effectLst/>
          </c:spPr>
          <c:invertIfNegative val="0"/>
          <c:cat>
            <c:strRef>
              <c:f>Segments!$J$4:$P$4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2026E</c:v>
                </c:pt>
                <c:pt idx="3">
                  <c:v>2027E</c:v>
                </c:pt>
                <c:pt idx="4">
                  <c:v>2028E</c:v>
                </c:pt>
                <c:pt idx="5">
                  <c:v>2029E</c:v>
                </c:pt>
                <c:pt idx="6">
                  <c:v>2030E</c:v>
                </c:pt>
              </c:strCache>
            </c:strRef>
          </c:cat>
          <c:val>
            <c:numRef>
              <c:f>Segments!$J$13:$P$13</c:f>
              <c:numCache>
                <c:formatCode>#,##0</c:formatCode>
                <c:ptCount val="7"/>
                <c:pt idx="0">
                  <c:v>195.14359994128296</c:v>
                </c:pt>
                <c:pt idx="1">
                  <c:v>197.02426404281405</c:v>
                </c:pt>
                <c:pt idx="2">
                  <c:v>199.97962800345627</c:v>
                </c:pt>
                <c:pt idx="3">
                  <c:v>207.31060134185961</c:v>
                </c:pt>
                <c:pt idx="4">
                  <c:v>213.1152981794317</c:v>
                </c:pt>
                <c:pt idx="5">
                  <c:v>217.37760414302033</c:v>
                </c:pt>
                <c:pt idx="6">
                  <c:v>220.20351299687957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30-4EA7-81CD-53B55DE4B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064536095"/>
        <c:axId val="1064538975"/>
      </c:barChart>
      <c:lineChart>
        <c:grouping val="standard"/>
        <c:varyColors val="0"/>
        <c:ser>
          <c:idx val="1"/>
          <c:order val="1"/>
          <c:tx>
            <c:strRef>
              <c:f>Segments!$B$112</c:f>
              <c:strCache>
                <c:ptCount val="1"/>
                <c:pt idx="0">
                  <c:v>Blended Price Annual</c:v>
                </c:pt>
              </c:strCache>
            </c:strRef>
          </c:tx>
          <c:spPr>
            <a:ln>
              <a:solidFill>
                <a:srgbClr val="4CAF50"/>
              </a:solidFill>
            </a:ln>
          </c:spPr>
          <c:marker>
            <c:symbol val="none"/>
          </c:marker>
          <c:val>
            <c:numRef>
              <c:f>Segments!$J$112:$P$112</c:f>
              <c:numCache>
                <c:formatCode>#,##0</c:formatCode>
                <c:ptCount val="7"/>
                <c:pt idx="0">
                  <c:v>285.14999999999998</c:v>
                </c:pt>
                <c:pt idx="1">
                  <c:v>285.14999999999998</c:v>
                </c:pt>
                <c:pt idx="2">
                  <c:v>285.14999999999998</c:v>
                </c:pt>
                <c:pt idx="3">
                  <c:v>307.9199999999999</c:v>
                </c:pt>
                <c:pt idx="4">
                  <c:v>307.9199999999999</c:v>
                </c:pt>
                <c:pt idx="5">
                  <c:v>307.9199999999999</c:v>
                </c:pt>
                <c:pt idx="6">
                  <c:v>307.9199999999999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930-4EA7-81CD-53B55DE4B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0316608"/>
        <c:axId val="970304128"/>
      </c:lineChart>
      <c:catAx>
        <c:axId val="106453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64538975"/>
        <c:crosses val="autoZero"/>
        <c:auto val="1"/>
        <c:lblAlgn val="ctr"/>
        <c:lblOffset val="100"/>
        <c:noMultiLvlLbl val="0"/>
      </c:catAx>
      <c:valAx>
        <c:axId val="106453897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endParaRPr lang="en-US"/>
          </a:p>
        </c:txPr>
        <c:crossAx val="1064536095"/>
        <c:crosses val="autoZero"/>
        <c:crossBetween val="between"/>
      </c:valAx>
      <c:valAx>
        <c:axId val="970304128"/>
        <c:scaling>
          <c:orientation val="minMax"/>
        </c:scaling>
        <c:delete val="0"/>
        <c:axPos val="r"/>
        <c:numFmt formatCode="#,##0" sourceLinked="1"/>
        <c:majorTickMark val="none"/>
        <c:minorTickMark val="none"/>
        <c:tickLblPos val="nextTo"/>
        <c:spPr>
          <a:noFill/>
          <a:ln w="0">
            <a:noFill/>
          </a:ln>
        </c:spPr>
        <c:txPr>
          <a:bodyPr/>
          <a:lstStyle/>
          <a:p>
            <a:pPr>
              <a:defRPr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endParaRPr lang="en-US"/>
          </a:p>
        </c:txPr>
        <c:crossAx val="970316608"/>
        <c:crosses val="max"/>
        <c:crossBetween val="between"/>
      </c:valAx>
      <c:catAx>
        <c:axId val="970316608"/>
        <c:scaling>
          <c:orientation val="minMax"/>
        </c:scaling>
        <c:delete val="1"/>
        <c:axPos val="b"/>
        <c:majorTickMark val="out"/>
        <c:minorTickMark val="none"/>
        <c:tickLblPos val="nextTo"/>
        <c:crossAx val="970304128"/>
        <c:crosses val="autoZero"/>
        <c:auto val="1"/>
        <c:lblAlgn val="ctr"/>
        <c:lblOffset val="100"/>
        <c:noMultiLvlLbl val="0"/>
      </c:catAx>
      <c:spPr>
        <a:ln>
          <a:noFill/>
        </a:ln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>
          <a:ln>
            <a:noFill/>
          </a:ln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2</xdr:col>
      <xdr:colOff>304800</xdr:colOff>
      <xdr:row>2</xdr:row>
      <xdr:rowOff>121920</xdr:rowOff>
    </xdr:to>
    <xdr:sp macro="" textlink="">
      <xdr:nvSpPr>
        <xdr:cNvPr id="1025" name="AutoShape 1" descr="Microsoft Logo Icon Vector, Microsoft, Azure, Word PNG and Vector with  Transparent Background for Free Download">
          <a:extLst>
            <a:ext uri="{FF2B5EF4-FFF2-40B4-BE49-F238E27FC236}">
              <a16:creationId xmlns:a16="http://schemas.microsoft.com/office/drawing/2014/main" id="{5FC3D2D1-38EB-BCCB-8044-D022D4FC59F3}"/>
            </a:ext>
          </a:extLst>
        </xdr:cNvPr>
        <xdr:cNvSpPr>
          <a:spLocks noChangeAspect="1" noChangeArrowheads="1"/>
        </xdr:cNvSpPr>
      </xdr:nvSpPr>
      <xdr:spPr bwMode="auto">
        <a:xfrm>
          <a:off x="1325880" y="18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121920</xdr:rowOff>
    </xdr:to>
    <xdr:sp macro="" textlink="">
      <xdr:nvSpPr>
        <xdr:cNvPr id="1026" name="AutoShape 2" descr="Microsoft Logo Icon Vector, Microsoft, Azure, Word PNG and Vector with  Transparent Background for Free Download">
          <a:extLst>
            <a:ext uri="{FF2B5EF4-FFF2-40B4-BE49-F238E27FC236}">
              <a16:creationId xmlns:a16="http://schemas.microsoft.com/office/drawing/2014/main" id="{118B2431-ACF5-B23A-F620-D5FB9A0F0379}"/>
            </a:ext>
          </a:extLst>
        </xdr:cNvPr>
        <xdr:cNvSpPr>
          <a:spLocks noChangeAspect="1" noChangeArrowheads="1"/>
        </xdr:cNvSpPr>
      </xdr:nvSpPr>
      <xdr:spPr bwMode="auto">
        <a:xfrm>
          <a:off x="662940" y="18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19</xdr:col>
      <xdr:colOff>0</xdr:colOff>
      <xdr:row>27</xdr:row>
      <xdr:rowOff>0</xdr:rowOff>
    </xdr:from>
    <xdr:to>
      <xdr:col>19</xdr:col>
      <xdr:colOff>304800</xdr:colOff>
      <xdr:row>28</xdr:row>
      <xdr:rowOff>121920</xdr:rowOff>
    </xdr:to>
    <xdr:sp macro="" textlink="">
      <xdr:nvSpPr>
        <xdr:cNvPr id="1028" name="AutoShape 4" descr="Microsoft Logo PNG Vector (EPS) Free Download">
          <a:extLst>
            <a:ext uri="{FF2B5EF4-FFF2-40B4-BE49-F238E27FC236}">
              <a16:creationId xmlns:a16="http://schemas.microsoft.com/office/drawing/2014/main" id="{ABBD38CA-2D10-A584-BCE7-0C6FD0BE426D}"/>
            </a:ext>
          </a:extLst>
        </xdr:cNvPr>
        <xdr:cNvSpPr>
          <a:spLocks noChangeAspect="1" noChangeArrowheads="1"/>
        </xdr:cNvSpPr>
      </xdr:nvSpPr>
      <xdr:spPr bwMode="auto">
        <a:xfrm>
          <a:off x="12900660" y="438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7620</xdr:colOff>
      <xdr:row>0</xdr:row>
      <xdr:rowOff>114301</xdr:rowOff>
    </xdr:from>
    <xdr:to>
      <xdr:col>3</xdr:col>
      <xdr:colOff>252597</xdr:colOff>
      <xdr:row>2</xdr:row>
      <xdr:rowOff>83821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A9BD48D-51CA-451F-B9C0-5BF3341366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0560" y="114301"/>
          <a:ext cx="1570857" cy="3352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14</xdr:col>
      <xdr:colOff>389793</xdr:colOff>
      <xdr:row>25</xdr:row>
      <xdr:rowOff>4102</xdr:rowOff>
    </xdr:from>
    <xdr:to>
      <xdr:col>21</xdr:col>
      <xdr:colOff>325316</xdr:colOff>
      <xdr:row>40</xdr:row>
      <xdr:rowOff>181121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FA98D-FF64-46AF-B7FF-0123822B43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392430</xdr:colOff>
      <xdr:row>41</xdr:row>
      <xdr:rowOff>179070</xdr:rowOff>
    </xdr:from>
    <xdr:to>
      <xdr:col>21</xdr:col>
      <xdr:colOff>323850</xdr:colOff>
      <xdr:row>58</xdr:row>
      <xdr:rowOff>156210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CE1530-5173-E52F-EB46-193A90332A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338866</xdr:colOff>
      <xdr:row>58</xdr:row>
      <xdr:rowOff>95922</xdr:rowOff>
    </xdr:from>
    <xdr:to>
      <xdr:col>28</xdr:col>
      <xdr:colOff>188260</xdr:colOff>
      <xdr:row>82</xdr:row>
      <xdr:rowOff>134471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EE4AEB8-893F-4B60-BF1C-ABB8162749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555812</xdr:colOff>
      <xdr:row>25</xdr:row>
      <xdr:rowOff>8964</xdr:rowOff>
    </xdr:from>
    <xdr:to>
      <xdr:col>28</xdr:col>
      <xdr:colOff>251012</xdr:colOff>
      <xdr:row>41</xdr:row>
      <xdr:rowOff>35858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EDF1F89-2199-43CE-89AF-412A94AA4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582707</xdr:colOff>
      <xdr:row>41</xdr:row>
      <xdr:rowOff>125505</xdr:rowOff>
    </xdr:from>
    <xdr:to>
      <xdr:col>28</xdr:col>
      <xdr:colOff>277907</xdr:colOff>
      <xdr:row>57</xdr:row>
      <xdr:rowOff>152399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EE377B3-B296-4396-8537-228D07A680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Kerem Odabasi" id="{F4B24668-1B18-43C7-A98C-6E4C7C705157}" userId="fe4885f5b5840770" providerId="Windows Live"/>
</personList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FF"/>
      </a:accent4>
      <a:accent5>
        <a:srgbClr val="4472C4"/>
      </a:accent5>
      <a:accent6>
        <a:srgbClr val="FF6600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Finance">
    <a:dk1>
      <a:sysClr val="windowText" lastClr="000000"/>
    </a:dk1>
    <a:lt1>
      <a:sysClr val="window" lastClr="FFFFFF"/>
    </a:lt1>
    <a:dk2>
      <a:srgbClr val="1F497D"/>
    </a:dk2>
    <a:lt2>
      <a:srgbClr val="D9D9D9"/>
    </a:lt2>
    <a:accent1>
      <a:srgbClr val="0066CC"/>
    </a:accent1>
    <a:accent2>
      <a:srgbClr val="00B050"/>
    </a:accent2>
    <a:accent3>
      <a:srgbClr val="E6E6E6"/>
    </a:accent3>
    <a:accent4>
      <a:srgbClr val="0000FF"/>
    </a:accent4>
    <a:accent5>
      <a:srgbClr val="4472C4"/>
    </a:accent5>
    <a:accent6>
      <a:srgbClr val="FF6600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Finance">
    <a:dk1>
      <a:sysClr val="windowText" lastClr="000000"/>
    </a:dk1>
    <a:lt1>
      <a:sysClr val="window" lastClr="FFFFFF"/>
    </a:lt1>
    <a:dk2>
      <a:srgbClr val="1F497D"/>
    </a:dk2>
    <a:lt2>
      <a:srgbClr val="D9D9D9"/>
    </a:lt2>
    <a:accent1>
      <a:srgbClr val="0066CC"/>
    </a:accent1>
    <a:accent2>
      <a:srgbClr val="00B050"/>
    </a:accent2>
    <a:accent3>
      <a:srgbClr val="E6E6E6"/>
    </a:accent3>
    <a:accent4>
      <a:srgbClr val="0000FF"/>
    </a:accent4>
    <a:accent5>
      <a:srgbClr val="4472C4"/>
    </a:accent5>
    <a:accent6>
      <a:srgbClr val="FF6600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1" dT="2026-02-15T09:47:44.90" personId="{F4B24668-1B18-43C7-A98C-6E4C7C705157}" id="{E2950F7F-6957-4DB7-A1BE-128DE5E5B417}">
    <text>Surpassed 300 million Dec 2021</text>
  </threadedComment>
  <threadedComment ref="I11" dT="2026-02-15T09:50:23.10" personId="{F4B24668-1B18-43C7-A98C-6E4C7C705157}" id="{DA47686C-E3BE-471D-BB60-52AC86D0127A}">
    <text>382 million Q3 FY23</text>
  </threadedComment>
  <threadedComment ref="J11" dT="2026-02-15T09:39:36.63" personId="{F4B24668-1B18-43C7-A98C-6E4C7C705157}" id="{838027C6-C4DA-40BB-AA1C-1ED18FC577F8}">
    <text>Surpassed 400 million seats in FY 24 Q2, Grew 7% FY 24 10K</text>
  </threadedComment>
  <threadedComment ref="K11" dT="2026-02-15T09:52:28.23" personId="{F4B24668-1B18-43C7-A98C-6E4C7C705157}" id="{FF38A39E-D0A8-493F-B353-D99010EBD62E}">
    <text>Grew 7% FY25 Q2</text>
  </threadedComment>
  <threadedComment ref="G27" dT="2026-02-15T09:43:25.81" personId="{F4B24668-1B18-43C7-A98C-6E4C7C705157}" id="{E2FB93AD-3AB8-46E5-AE3C-AAA9FE85B94F}">
    <text>51.9 FY21 10K</text>
  </threadedComment>
  <threadedComment ref="H27" dT="2026-02-15T09:45:27.20" personId="{F4B24668-1B18-43C7-A98C-6E4C7C705157}" id="{F8DC3DFF-BC47-4A7F-B53C-E3433576388A}">
    <text>51.9 FY21 10K</text>
  </threadedComment>
  <threadedComment ref="I27" dT="2026-02-15T09:46:19.48" personId="{F4B24668-1B18-43C7-A98C-6E4C7C705157}" id="{FA65D073-0912-40BA-88B1-A6FD41061D93}">
    <text>Grew 12% to 67 million FY23 10K</text>
  </threadedComment>
  <threadedComment ref="J27" dT="2026-02-15T09:39:52.61" personId="{F4B24668-1B18-43C7-A98C-6E4C7C705157}" id="{74BBC8CA-EF8E-46EB-9A76-07FCF5F54EDF}">
    <text>Grew 10% to 82.5 million FY 24 10K</text>
  </threadedComment>
  <threadedComment ref="K27" dT="2026-02-15T09:40:19.97" personId="{F4B24668-1B18-43C7-A98C-6E4C7C705157}" id="{2D10753F-E4E2-4EAD-A2C6-2F41C5AA87CA}">
    <text>86.3 on Q2 FY25</text>
  </threadedComment>
  <threadedComment ref="J32" dT="2026-02-15T10:04:10.67" personId="{F4B24668-1B18-43C7-A98C-6E4C7C705157}" id="{8A82520B-1E9D-4093-8C1B-3775585F23DC}">
    <text>$20/month add-on</text>
  </threadedComment>
  <threadedComment ref="K32" dT="2026-02-15T10:04:19.59" personId="{F4B24668-1B18-43C7-A98C-6E4C7C705157}" id="{C2B35E33-EC14-4BFA-B062-57AC9617D21B}">
    <text>New tier 2025</text>
  </threadedComment>
  <threadedComment ref="L83" dT="2026-01-03T08:36:22.51" personId="{F4B24668-1B18-43C7-A98C-6E4C7C705157}" id="{0AEE88EF-F5A5-4222-8D90-AB39EF908C53}">
    <text>Q1 2026 392B
Expected to recognize 40% over NTM</text>
  </threadedComment>
  <threadedComment ref="L83" dT="2026-02-16T01:12:52.16" personId="{F4B24668-1B18-43C7-A98C-6E4C7C705157}" id="{328E4903-24FF-4627-96F2-561D78A12AF3}" parentId="{0AEE88EF-F5A5-4222-8D90-AB39EF908C53}">
    <text xml:space="preserve">Q2 2026 625B
Expected to recognize 25% over NTM
</text>
  </threadedComment>
  <threadedComment ref="L88" dT="2026-01-03T08:44:52.88" personId="{F4B24668-1B18-43C7-A98C-6E4C7C705157}" id="{6E9EEE48-010B-419D-88AA-8E2878DCB24F}">
    <text>SemiAnalysis expects growth over 40%. Up to 53% in December 2026
Q1 2026 Growth: %40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F9E150-0837-48A7-9315-EFD32F36373C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6BA9-FD26-46A5-A630-9D65D6C233D8}">
  <dimension ref="A2:AN96"/>
  <sheetViews>
    <sheetView showGridLines="0" tabSelected="1" topLeftCell="A4" zoomScale="85" zoomScaleNormal="85" workbookViewId="0">
      <selection activeCell="AH14" sqref="AH14"/>
    </sheetView>
  </sheetViews>
  <sheetFormatPr defaultColWidth="8.69921875" defaultRowHeight="14.4" customHeight="1" x14ac:dyDescent="0.3"/>
  <cols>
    <col min="1" max="3" width="8.69921875" style="1"/>
    <col min="4" max="4" width="11.5" style="1" bestFit="1" customWidth="1"/>
    <col min="5" max="5" width="9.8984375" style="1" bestFit="1" customWidth="1"/>
    <col min="6" max="7" width="8.69921875" style="1"/>
    <col min="8" max="8" width="9" style="1" bestFit="1" customWidth="1"/>
    <col min="9" max="15" width="8.69921875" style="1"/>
    <col min="16" max="16" width="8.8984375" style="1" bestFit="1" customWidth="1"/>
    <col min="17" max="23" width="8.69921875" style="1"/>
    <col min="24" max="24" width="11.796875" style="1" bestFit="1" customWidth="1"/>
    <col min="25" max="16384" width="8.69921875" style="1"/>
  </cols>
  <sheetData>
    <row r="2" spans="1:40" ht="14.4" customHeight="1" x14ac:dyDescent="0.3">
      <c r="B2"/>
      <c r="C2"/>
      <c r="R2" s="5" t="s">
        <v>51</v>
      </c>
    </row>
    <row r="3" spans="1:40" ht="14.4" customHeight="1" x14ac:dyDescent="0.3">
      <c r="B3" s="5"/>
    </row>
    <row r="4" spans="1:40" ht="14.4" customHeight="1" x14ac:dyDescent="0.3">
      <c r="A4" s="16" t="s">
        <v>73</v>
      </c>
      <c r="B4" s="2" t="s">
        <v>54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</row>
    <row r="5" spans="1:40" s="23" customFormat="1" ht="1.95" customHeight="1" x14ac:dyDescent="0.3">
      <c r="B5" s="24"/>
      <c r="C5" s="24"/>
      <c r="D5" s="24"/>
      <c r="E5" s="24"/>
      <c r="F5" s="24"/>
      <c r="G5" s="24"/>
      <c r="H5" s="24"/>
      <c r="I5" s="24"/>
      <c r="J5" s="24"/>
      <c r="K5" s="24"/>
      <c r="L5" s="25"/>
      <c r="M5" s="25"/>
      <c r="N5" s="25"/>
      <c r="O5" s="25"/>
      <c r="P5" s="25"/>
    </row>
    <row r="6" spans="1:40" ht="14.4" customHeight="1" x14ac:dyDescent="0.3">
      <c r="B6" s="15" t="s">
        <v>55</v>
      </c>
      <c r="C6" s="6"/>
      <c r="D6" s="6"/>
      <c r="E6" s="6"/>
      <c r="G6" s="15" t="s">
        <v>56</v>
      </c>
      <c r="H6" s="6"/>
      <c r="I6" s="6"/>
      <c r="J6" s="6"/>
      <c r="K6" s="6"/>
      <c r="M6" s="18" t="s">
        <v>46</v>
      </c>
      <c r="N6" s="18"/>
      <c r="O6" s="18"/>
      <c r="P6" s="6"/>
      <c r="R6" s="18" t="s">
        <v>45</v>
      </c>
      <c r="S6" s="18"/>
      <c r="T6" s="18"/>
      <c r="U6" s="6"/>
      <c r="W6" s="15" t="s">
        <v>330</v>
      </c>
      <c r="X6" s="6"/>
      <c r="Y6" s="6"/>
      <c r="AA6" s="15" t="s">
        <v>351</v>
      </c>
      <c r="AB6" s="6"/>
      <c r="AC6" s="73" t="s">
        <v>353</v>
      </c>
      <c r="AD6" s="73" t="s">
        <v>352</v>
      </c>
      <c r="AF6" s="15" t="s">
        <v>354</v>
      </c>
      <c r="AG6" s="6"/>
      <c r="AH6" s="73" t="s">
        <v>353</v>
      </c>
      <c r="AI6" s="73" t="s">
        <v>352</v>
      </c>
    </row>
    <row r="7" spans="1:40" ht="14.4" customHeight="1" x14ac:dyDescent="0.3">
      <c r="B7" s="1" t="s">
        <v>0</v>
      </c>
      <c r="E7" s="16" t="s">
        <v>1</v>
      </c>
      <c r="G7" s="1" t="s">
        <v>57</v>
      </c>
      <c r="I7" s="109">
        <v>228000</v>
      </c>
      <c r="J7" s="109"/>
      <c r="K7" s="109"/>
      <c r="M7" s="1" t="s">
        <v>47</v>
      </c>
      <c r="P7" s="8">
        <f>SUM(J88:N88)</f>
        <v>342651.39111027005</v>
      </c>
      <c r="R7" s="1" t="s">
        <v>35</v>
      </c>
      <c r="U7" s="10">
        <f>U23</f>
        <v>8.4941756800000018E-2</v>
      </c>
      <c r="W7" s="1" t="s">
        <v>328</v>
      </c>
      <c r="Y7" s="8">
        <f>SUM(J88:N88)+SUM(Y21:AD21)</f>
        <v>1103045.1943611586</v>
      </c>
      <c r="AA7" s="1" t="s">
        <v>119</v>
      </c>
      <c r="AC7" s="8">
        <f>Segments!L62*AD7</f>
        <v>1265536.4046557143</v>
      </c>
      <c r="AD7" s="74">
        <v>16</v>
      </c>
      <c r="AF7" s="1" t="s">
        <v>119</v>
      </c>
      <c r="AH7" s="8">
        <f>Segments!L62*AI7</f>
        <v>2372880.7587294644</v>
      </c>
      <c r="AI7" s="74">
        <v>30</v>
      </c>
    </row>
    <row r="8" spans="1:40" ht="14.4" customHeight="1" x14ac:dyDescent="0.3">
      <c r="B8" s="1" t="s">
        <v>2</v>
      </c>
      <c r="E8" s="19">
        <f>AVERAGE(Y11, ((P13+P10)/P12))</f>
        <v>574.24464446158242</v>
      </c>
      <c r="G8" s="1" t="s">
        <v>58</v>
      </c>
      <c r="I8" s="110">
        <v>27488</v>
      </c>
      <c r="J8" s="110"/>
      <c r="K8" s="110"/>
      <c r="M8" s="1" t="s">
        <v>48</v>
      </c>
      <c r="P8" s="8">
        <f>(N65*U8)</f>
        <v>5768365.0925525939</v>
      </c>
      <c r="R8" s="1" t="s">
        <v>52</v>
      </c>
      <c r="U8" s="21">
        <v>20</v>
      </c>
      <c r="W8" s="1" t="s">
        <v>48</v>
      </c>
      <c r="Y8" s="8">
        <f>AD21*(1+0.035)/($U$7-0.035)</f>
        <v>3041396.4695119807</v>
      </c>
      <c r="AA8" s="1" t="s">
        <v>70</v>
      </c>
      <c r="AC8" s="8">
        <f>Segments!L65*AD8</f>
        <v>1244410.4749999999</v>
      </c>
      <c r="AD8" s="74">
        <v>22</v>
      </c>
      <c r="AF8" s="1" t="s">
        <v>70</v>
      </c>
      <c r="AH8" s="8">
        <f>Segments!L65*AI8</f>
        <v>2262564.5</v>
      </c>
      <c r="AI8" s="74">
        <v>40</v>
      </c>
    </row>
    <row r="9" spans="1:40" ht="14.4" customHeight="1" x14ac:dyDescent="0.3">
      <c r="B9" s="1" t="s">
        <v>3</v>
      </c>
      <c r="E9" s="19">
        <v>400</v>
      </c>
      <c r="G9" s="1" t="s">
        <v>59</v>
      </c>
      <c r="I9" s="113" t="s">
        <v>300</v>
      </c>
      <c r="J9" s="113"/>
      <c r="K9" s="113"/>
      <c r="M9" s="1" t="s">
        <v>53</v>
      </c>
      <c r="P9" s="8">
        <f>-(PV(U7,4.5,0,P8))</f>
        <v>3996905.036962789</v>
      </c>
      <c r="W9" s="1" t="s">
        <v>33</v>
      </c>
      <c r="Y9" s="8">
        <f>P10</f>
        <v>2711</v>
      </c>
      <c r="AA9" s="1" t="s">
        <v>136</v>
      </c>
      <c r="AC9" s="8">
        <f>Segments!L68*AD9</f>
        <v>130678.4675</v>
      </c>
      <c r="AD9" s="74">
        <v>10</v>
      </c>
      <c r="AF9" s="1" t="s">
        <v>136</v>
      </c>
      <c r="AH9" s="8">
        <f>Segments!L68*AI9</f>
        <v>261356.935</v>
      </c>
      <c r="AI9" s="74">
        <v>20</v>
      </c>
    </row>
    <row r="10" spans="1:40" ht="14.4" customHeight="1" x14ac:dyDescent="0.3">
      <c r="B10" s="1" t="s">
        <v>4</v>
      </c>
      <c r="E10" s="14">
        <f>E8/E9-1</f>
        <v>0.43561161115395608</v>
      </c>
      <c r="G10" s="1" t="s">
        <v>60</v>
      </c>
      <c r="I10" s="113" t="s">
        <v>62</v>
      </c>
      <c r="J10" s="113"/>
      <c r="K10" s="113"/>
      <c r="M10" s="1" t="s">
        <v>33</v>
      </c>
      <c r="P10" s="8">
        <f>J22-J21</f>
        <v>2711</v>
      </c>
      <c r="R10" s="18" t="s">
        <v>35</v>
      </c>
      <c r="S10" s="18"/>
      <c r="T10" s="18"/>
      <c r="U10" s="6"/>
      <c r="W10" s="6" t="s">
        <v>44</v>
      </c>
      <c r="X10" s="6"/>
      <c r="Y10" s="9">
        <f>Y7+Y8+Y9</f>
        <v>4147152.6638731393</v>
      </c>
      <c r="AA10" s="6" t="s">
        <v>111</v>
      </c>
      <c r="AB10" s="6"/>
      <c r="AC10" s="9">
        <f>300000*0.27</f>
        <v>81000</v>
      </c>
      <c r="AD10" s="9">
        <v>300000</v>
      </c>
      <c r="AF10" s="6" t="s">
        <v>111</v>
      </c>
      <c r="AG10" s="6"/>
      <c r="AH10" s="9">
        <f>AI10*0.25</f>
        <v>250000</v>
      </c>
      <c r="AI10" s="9">
        <v>1000000</v>
      </c>
    </row>
    <row r="11" spans="1:40" ht="14.4" customHeight="1" x14ac:dyDescent="0.3">
      <c r="G11" s="1" t="s">
        <v>61</v>
      </c>
      <c r="I11" s="113" t="s">
        <v>301</v>
      </c>
      <c r="J11" s="113"/>
      <c r="K11" s="113"/>
      <c r="M11" s="1" t="s">
        <v>106</v>
      </c>
      <c r="P11" s="8">
        <f>500000*0.27</f>
        <v>135000</v>
      </c>
      <c r="R11" s="1" t="s">
        <v>28</v>
      </c>
      <c r="T11" s="111">
        <v>3012960</v>
      </c>
      <c r="U11" s="111"/>
      <c r="W11" s="1" t="s">
        <v>329</v>
      </c>
      <c r="Y11" s="19">
        <f>Y10/P12</f>
        <v>552.438079642086</v>
      </c>
      <c r="AA11" s="1" t="s">
        <v>329</v>
      </c>
      <c r="AC11" s="19">
        <f>SUM(AC7:AC10)/$P$12</f>
        <v>362.54500428343067</v>
      </c>
      <c r="AD11" s="74">
        <f>AVERAGE(AD7:AD9)</f>
        <v>16</v>
      </c>
      <c r="AF11" s="1" t="s">
        <v>329</v>
      </c>
      <c r="AH11" s="19">
        <f>SUM(AH7:AH10)/$P$12</f>
        <v>685.60039879172291</v>
      </c>
      <c r="AI11" s="74">
        <f>AVERAGE(AI7:AI9)</f>
        <v>30</v>
      </c>
      <c r="AM11" s="19"/>
      <c r="AN11" s="74"/>
    </row>
    <row r="12" spans="1:40" ht="14.4" customHeight="1" x14ac:dyDescent="0.3">
      <c r="B12" s="1" t="s">
        <v>68</v>
      </c>
      <c r="E12" s="17">
        <v>46068</v>
      </c>
      <c r="G12" s="1" t="s">
        <v>63</v>
      </c>
      <c r="I12" s="110">
        <v>46203</v>
      </c>
      <c r="J12" s="110"/>
      <c r="K12" s="110"/>
      <c r="M12" s="1" t="s">
        <v>49</v>
      </c>
      <c r="P12" s="8">
        <v>7507</v>
      </c>
      <c r="R12" s="1" t="s">
        <v>36</v>
      </c>
      <c r="U12" s="10">
        <v>0.98680000000000001</v>
      </c>
      <c r="Y12" s="14"/>
      <c r="AC12" s="14"/>
    </row>
    <row r="13" spans="1:40" ht="14.4" customHeight="1" x14ac:dyDescent="0.3">
      <c r="I13" s="10"/>
      <c r="M13" s="1" t="s">
        <v>50</v>
      </c>
      <c r="P13" s="8">
        <f>P9+P7-P10+P11</f>
        <v>4471845.4280730588</v>
      </c>
      <c r="R13" s="1" t="s">
        <v>37</v>
      </c>
      <c r="U13" s="10">
        <f>U14+(U15*U17)</f>
        <v>8.5546000000000011E-2</v>
      </c>
      <c r="W13" s="107" t="s">
        <v>331</v>
      </c>
      <c r="X13" s="108"/>
      <c r="Y13" s="3">
        <v>2031</v>
      </c>
      <c r="Z13" s="3">
        <f>Y13+1</f>
        <v>2032</v>
      </c>
      <c r="AA13" s="3">
        <f>Z13+1</f>
        <v>2033</v>
      </c>
      <c r="AB13" s="3">
        <f>AA13+1</f>
        <v>2034</v>
      </c>
      <c r="AC13" s="3">
        <f>AB13+1</f>
        <v>2035</v>
      </c>
      <c r="AD13" s="3">
        <f>AC13+1</f>
        <v>2036</v>
      </c>
      <c r="AF13" s="6"/>
      <c r="AG13" s="80" t="s">
        <v>355</v>
      </c>
      <c r="AH13" s="73" t="s">
        <v>356</v>
      </c>
      <c r="AI13" s="73" t="s">
        <v>357</v>
      </c>
    </row>
    <row r="14" spans="1:40" ht="14.4" customHeight="1" x14ac:dyDescent="0.3">
      <c r="R14" s="1" t="s">
        <v>38</v>
      </c>
      <c r="U14" s="10">
        <v>4.0500000000000001E-2</v>
      </c>
      <c r="W14" s="1" t="s">
        <v>11</v>
      </c>
      <c r="Y14" s="8">
        <f>N62*1.1</f>
        <v>672855.6923135597</v>
      </c>
      <c r="Z14" s="8">
        <f>Y14*1.09</f>
        <v>733412.70462178008</v>
      </c>
      <c r="AA14" s="8">
        <f>Z14*1.08</f>
        <v>792085.72099152254</v>
      </c>
      <c r="AB14" s="8">
        <f>AA14*1.07</f>
        <v>847531.72146092914</v>
      </c>
      <c r="AC14" s="8">
        <f>AB14*1.06</f>
        <v>898383.62474858493</v>
      </c>
      <c r="AD14" s="8">
        <f>AC14*1.05</f>
        <v>943302.80598601419</v>
      </c>
      <c r="AF14" s="76" t="s">
        <v>55</v>
      </c>
      <c r="AG14" s="81">
        <f>AC11</f>
        <v>362.54500428343067</v>
      </c>
      <c r="AH14" s="75">
        <f>E8</f>
        <v>574.24464446158242</v>
      </c>
      <c r="AI14" s="75">
        <f>AH11</f>
        <v>685.60039879172291</v>
      </c>
    </row>
    <row r="15" spans="1:40" ht="14.4" customHeight="1" x14ac:dyDescent="0.3">
      <c r="A15" s="16" t="s">
        <v>73</v>
      </c>
      <c r="B15" s="2" t="s">
        <v>26</v>
      </c>
      <c r="C15" s="2"/>
      <c r="D15" s="2"/>
      <c r="E15" s="2">
        <v>2021</v>
      </c>
      <c r="F15" s="2">
        <f>E15+1</f>
        <v>2022</v>
      </c>
      <c r="G15" s="2">
        <f>F15+1</f>
        <v>2023</v>
      </c>
      <c r="H15" s="2">
        <f>G15+1</f>
        <v>2024</v>
      </c>
      <c r="I15" s="2">
        <f>H15+1</f>
        <v>2025</v>
      </c>
      <c r="J15" s="3" t="s">
        <v>6</v>
      </c>
      <c r="K15" s="3" t="s">
        <v>7</v>
      </c>
      <c r="M15" s="18" t="s">
        <v>104</v>
      </c>
      <c r="N15" s="18"/>
      <c r="O15" s="18"/>
      <c r="P15" s="6"/>
      <c r="R15" s="1" t="s">
        <v>39</v>
      </c>
      <c r="U15" s="1">
        <v>1.01</v>
      </c>
      <c r="W15" s="1" t="s">
        <v>12</v>
      </c>
      <c r="Y15" s="11">
        <f>(Y14-N62)/N62</f>
        <v>0.1</v>
      </c>
      <c r="Z15" s="11">
        <f>(Z14-Y14)/Y14</f>
        <v>9.0000000000000011E-2</v>
      </c>
      <c r="AA15" s="11">
        <f>(AA14-Z14)/Z14</f>
        <v>8.0000000000000071E-2</v>
      </c>
      <c r="AB15" s="11">
        <f>(AB14-AA14)/AA14</f>
        <v>7.0000000000000034E-2</v>
      </c>
      <c r="AC15" s="11">
        <f>(AC14-AB14)/AB14</f>
        <v>6.0000000000000046E-2</v>
      </c>
      <c r="AD15" s="11">
        <f>(AD14-AC14)/AC14</f>
        <v>5.0000000000000017E-2</v>
      </c>
      <c r="AF15" s="1" t="s">
        <v>358</v>
      </c>
      <c r="AG15" s="82">
        <v>0.25</v>
      </c>
      <c r="AH15" s="77">
        <v>0.6</v>
      </c>
      <c r="AI15" s="77">
        <v>0.15</v>
      </c>
    </row>
    <row r="16" spans="1:40" s="23" customFormat="1" ht="1.95" customHeight="1" x14ac:dyDescent="0.3"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1"/>
      <c r="M16" s="1" t="s">
        <v>47</v>
      </c>
      <c r="N16" s="1"/>
      <c r="O16" s="1"/>
      <c r="P16" s="8">
        <f>SUM(J97:N97)</f>
        <v>0</v>
      </c>
      <c r="Y16" s="1"/>
      <c r="Z16" s="1"/>
      <c r="AA16" s="1"/>
      <c r="AB16" s="1"/>
      <c r="AC16" s="1"/>
      <c r="AD16" s="1"/>
      <c r="AG16" s="83"/>
      <c r="AH16" s="78"/>
      <c r="AI16" s="78"/>
    </row>
    <row r="17" spans="1:35" ht="14.4" customHeight="1" x14ac:dyDescent="0.3">
      <c r="B17" s="1" t="s">
        <v>27</v>
      </c>
      <c r="E17" s="7">
        <v>270.89999999999998</v>
      </c>
      <c r="F17" s="7">
        <v>256.83</v>
      </c>
      <c r="G17" s="7">
        <v>350.54</v>
      </c>
      <c r="H17" s="7">
        <v>446.95</v>
      </c>
      <c r="I17" s="7">
        <v>497.41</v>
      </c>
      <c r="J17" s="7">
        <f>NPV($U$7,K85:N85)/J18+(J21/J18)-(J22/J18)+(-((PV($U$7,4,0,$P$8))/J18))+(J85/J18)+(P11/J18)</f>
        <v>618.78161606412402</v>
      </c>
      <c r="K17" s="7" cm="1">
        <f t="array" ref="K17">NPV($U$7,L85:N85)/K18+(K21/K18)-(K22/K18)+(-((PV($U$7,3,0,$P$8))/K18))+(SUM(J85:K85/K18))+(P11/K18)</f>
        <v>669.72178461409317</v>
      </c>
      <c r="M17" s="1" t="s">
        <v>28</v>
      </c>
      <c r="P17" s="8">
        <v>3012960</v>
      </c>
      <c r="R17" s="1" t="s">
        <v>40</v>
      </c>
      <c r="U17" s="10">
        <v>4.4600000000000001E-2</v>
      </c>
      <c r="AF17" s="1" t="s">
        <v>359</v>
      </c>
      <c r="AG17" s="84">
        <f>AG14*AG15</f>
        <v>90.636251070857668</v>
      </c>
      <c r="AH17" s="79">
        <f t="shared" ref="AH17:AI17" si="0">AH14*AH15</f>
        <v>344.54678667694947</v>
      </c>
      <c r="AI17" s="79">
        <f t="shared" si="0"/>
        <v>102.84005981875843</v>
      </c>
    </row>
    <row r="18" spans="1:35" ht="14.4" customHeight="1" x14ac:dyDescent="0.3">
      <c r="B18" s="1" t="s">
        <v>32</v>
      </c>
      <c r="E18" s="12">
        <v>7608</v>
      </c>
      <c r="F18" s="12">
        <v>7540</v>
      </c>
      <c r="G18" s="12">
        <v>7472</v>
      </c>
      <c r="H18" s="12">
        <v>7469</v>
      </c>
      <c r="I18" s="12">
        <v>7466</v>
      </c>
      <c r="J18" s="12">
        <v>7507</v>
      </c>
      <c r="K18" s="12">
        <v>7500</v>
      </c>
      <c r="M18" s="1" t="s">
        <v>31</v>
      </c>
      <c r="P18" s="8">
        <f>P17+P10</f>
        <v>3015671</v>
      </c>
      <c r="R18" s="1" t="s">
        <v>30</v>
      </c>
      <c r="U18" s="8">
        <v>60590</v>
      </c>
      <c r="W18" s="1" t="s">
        <v>24</v>
      </c>
      <c r="Y18" s="8">
        <f t="shared" ref="Y18:AD18" si="1">Y14*0.22</f>
        <v>148028.25230898312</v>
      </c>
      <c r="Z18" s="8">
        <f t="shared" si="1"/>
        <v>161350.79501679161</v>
      </c>
      <c r="AA18" s="8">
        <f t="shared" si="1"/>
        <v>174258.85861813495</v>
      </c>
      <c r="AB18" s="8">
        <f t="shared" si="1"/>
        <v>186456.97872140442</v>
      </c>
      <c r="AC18" s="8">
        <f t="shared" si="1"/>
        <v>197644.39744468869</v>
      </c>
      <c r="AD18" s="8">
        <f t="shared" si="1"/>
        <v>207526.61731692313</v>
      </c>
    </row>
    <row r="19" spans="1:35" ht="14.4" customHeight="1" x14ac:dyDescent="0.3">
      <c r="M19" s="1" t="s">
        <v>101</v>
      </c>
      <c r="P19" s="28">
        <v>33.65</v>
      </c>
      <c r="R19" s="1" t="s">
        <v>41</v>
      </c>
      <c r="U19" s="10">
        <v>1.32E-2</v>
      </c>
      <c r="W19" s="5" t="s">
        <v>16</v>
      </c>
      <c r="Y19" s="11">
        <f t="shared" ref="Y19:AD19" si="2">Y18/Y14</f>
        <v>0.21999999999999997</v>
      </c>
      <c r="Z19" s="11">
        <f t="shared" si="2"/>
        <v>0.22</v>
      </c>
      <c r="AA19" s="11">
        <f t="shared" si="2"/>
        <v>0.22</v>
      </c>
      <c r="AB19" s="11">
        <f t="shared" si="2"/>
        <v>0.22</v>
      </c>
      <c r="AC19" s="11">
        <f t="shared" si="2"/>
        <v>0.22</v>
      </c>
      <c r="AD19" s="11">
        <f t="shared" si="2"/>
        <v>0.22</v>
      </c>
      <c r="AF19" s="1" t="s">
        <v>44</v>
      </c>
      <c r="AG19" s="79">
        <f>AG17+AH17+AI17</f>
        <v>538.02309756656553</v>
      </c>
    </row>
    <row r="20" spans="1:35" ht="14.4" customHeight="1" x14ac:dyDescent="0.3">
      <c r="B20" s="1" t="s">
        <v>28</v>
      </c>
      <c r="E20" s="8">
        <f>E18*E17</f>
        <v>2061007.1999999997</v>
      </c>
      <c r="F20" s="8">
        <f>F18*F17</f>
        <v>1936498.2</v>
      </c>
      <c r="G20" s="8">
        <f>G18*G17</f>
        <v>2619234.8800000004</v>
      </c>
      <c r="H20" s="8">
        <f>H18*H17</f>
        <v>3338269.55</v>
      </c>
      <c r="I20" s="8">
        <f>I18*I17</f>
        <v>3713663.06</v>
      </c>
      <c r="J20" s="8">
        <f>J17*J18</f>
        <v>4645193.5917933788</v>
      </c>
      <c r="K20" s="8">
        <f>K17*K18</f>
        <v>5022913.3846056983</v>
      </c>
      <c r="M20" s="1" t="s">
        <v>105</v>
      </c>
      <c r="P20" s="28">
        <v>28.45</v>
      </c>
      <c r="R20" s="1" t="s">
        <v>42</v>
      </c>
      <c r="U20" s="10">
        <v>4.8500000000000001E-2</v>
      </c>
      <c r="AF20" s="1" t="s">
        <v>360</v>
      </c>
      <c r="AG20" s="14">
        <f>AG19/$E$9-1</f>
        <v>0.34505774391641375</v>
      </c>
    </row>
    <row r="21" spans="1:35" ht="14.4" customHeight="1" x14ac:dyDescent="0.3">
      <c r="B21" s="1" t="s">
        <v>29</v>
      </c>
      <c r="E21" s="12">
        <v>130256</v>
      </c>
      <c r="F21" s="12">
        <v>104749</v>
      </c>
      <c r="G21" s="12">
        <v>111256</v>
      </c>
      <c r="H21" s="12">
        <v>75543</v>
      </c>
      <c r="I21" s="12">
        <v>94565</v>
      </c>
      <c r="J21" s="12">
        <v>102012</v>
      </c>
      <c r="K21" s="12">
        <v>102012</v>
      </c>
      <c r="M21" s="1" t="s">
        <v>103</v>
      </c>
      <c r="P21" s="28">
        <v>12.02</v>
      </c>
      <c r="R21" s="1" t="s">
        <v>43</v>
      </c>
      <c r="U21" s="10">
        <v>0.18</v>
      </c>
      <c r="W21" s="1" t="s">
        <v>25</v>
      </c>
      <c r="Y21" s="8">
        <f t="shared" ref="Y21:AD21" si="3">Y18/(1+$U$7)^4.25</f>
        <v>104680.86621346373</v>
      </c>
      <c r="Z21" s="8">
        <f t="shared" si="3"/>
        <v>114102.14417267547</v>
      </c>
      <c r="AA21" s="8">
        <f t="shared" si="3"/>
        <v>123230.31570648952</v>
      </c>
      <c r="AB21" s="8">
        <f t="shared" si="3"/>
        <v>131856.4378059438</v>
      </c>
      <c r="AC21" s="8">
        <f t="shared" si="3"/>
        <v>139767.82407430044</v>
      </c>
      <c r="AD21" s="8">
        <f t="shared" si="3"/>
        <v>146756.21527801547</v>
      </c>
    </row>
    <row r="22" spans="1:35" ht="14.4" customHeight="1" x14ac:dyDescent="0.3">
      <c r="B22" s="6" t="s">
        <v>30</v>
      </c>
      <c r="C22" s="6"/>
      <c r="D22" s="6"/>
      <c r="E22" s="9">
        <f>50084+21379</f>
        <v>71463</v>
      </c>
      <c r="F22" s="9">
        <f>47032+25331</f>
        <v>72363</v>
      </c>
      <c r="G22" s="9">
        <f>41990+28598</f>
        <v>70588</v>
      </c>
      <c r="H22" s="9">
        <f>42688+40293+6693</f>
        <v>89674</v>
      </c>
      <c r="I22" s="9">
        <f>40152+60437</f>
        <v>100589</v>
      </c>
      <c r="J22" s="9">
        <f>35376+69347</f>
        <v>104723</v>
      </c>
      <c r="K22" s="9">
        <f>35376+69347</f>
        <v>104723</v>
      </c>
      <c r="M22" s="1" t="s">
        <v>102</v>
      </c>
      <c r="P22" s="28">
        <f>P18/175768</f>
        <v>17.157110509307724</v>
      </c>
      <c r="R22" s="6" t="s">
        <v>44</v>
      </c>
      <c r="S22" s="6"/>
      <c r="T22" s="112">
        <f>T11+U18</f>
        <v>3073550</v>
      </c>
      <c r="U22" s="112"/>
    </row>
    <row r="23" spans="1:35" ht="14.4" customHeight="1" x14ac:dyDescent="0.3">
      <c r="B23" s="1" t="s">
        <v>31</v>
      </c>
      <c r="E23" s="8">
        <f t="shared" ref="E23:I23" si="4">E20-E21+E22</f>
        <v>2002214.1999999997</v>
      </c>
      <c r="F23" s="8">
        <f t="shared" si="4"/>
        <v>1904112.2</v>
      </c>
      <c r="G23" s="8">
        <f t="shared" si="4"/>
        <v>2578566.8800000004</v>
      </c>
      <c r="H23" s="8">
        <f t="shared" si="4"/>
        <v>3352400.55</v>
      </c>
      <c r="I23" s="8">
        <f t="shared" si="4"/>
        <v>3719687.06</v>
      </c>
      <c r="J23" s="8">
        <f>J20-J21+J22</f>
        <v>4647904.5917933788</v>
      </c>
      <c r="K23" s="8">
        <f t="shared" ref="K23" si="5">K20-K21+K22</f>
        <v>5025624.3846056983</v>
      </c>
      <c r="R23" s="1" t="s">
        <v>35</v>
      </c>
      <c r="U23" s="10">
        <f>(U12*U13)+(U19*U20*(1-U21))</f>
        <v>8.4941756800000018E-2</v>
      </c>
    </row>
    <row r="25" spans="1:35" ht="14.4" customHeight="1" x14ac:dyDescent="0.3">
      <c r="A25" s="16" t="s">
        <v>73</v>
      </c>
      <c r="B25" s="2" t="s">
        <v>5</v>
      </c>
      <c r="C25" s="2"/>
      <c r="D25" s="2"/>
      <c r="E25" s="2">
        <v>2021</v>
      </c>
      <c r="F25" s="2">
        <f>E25+1</f>
        <v>2022</v>
      </c>
      <c r="G25" s="2">
        <f>F25+1</f>
        <v>2023</v>
      </c>
      <c r="H25" s="2">
        <f>G25+1</f>
        <v>2024</v>
      </c>
      <c r="I25" s="2">
        <f>H25+1</f>
        <v>2025</v>
      </c>
      <c r="J25" s="3" t="s">
        <v>6</v>
      </c>
      <c r="K25" s="3" t="s">
        <v>7</v>
      </c>
      <c r="L25" s="3" t="s">
        <v>8</v>
      </c>
      <c r="M25" s="3" t="s">
        <v>9</v>
      </c>
      <c r="N25" s="3" t="s">
        <v>10</v>
      </c>
    </row>
    <row r="26" spans="1:35" s="23" customFormat="1" ht="1.95" customHeight="1" x14ac:dyDescent="0.3"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5"/>
      <c r="M26" s="25"/>
      <c r="N26" s="25"/>
      <c r="O26" s="25"/>
      <c r="P26" s="25"/>
      <c r="W26" s="1"/>
      <c r="X26" s="1"/>
      <c r="Y26" s="1"/>
      <c r="Z26" s="1"/>
      <c r="AA26" s="1"/>
      <c r="AB26" s="1"/>
    </row>
    <row r="27" spans="1:35" ht="14.4" customHeight="1" x14ac:dyDescent="0.3">
      <c r="B27" s="1" t="s">
        <v>11</v>
      </c>
      <c r="E27" s="12">
        <v>168088</v>
      </c>
      <c r="F27" s="12">
        <v>198270</v>
      </c>
      <c r="G27" s="12">
        <v>211915</v>
      </c>
      <c r="H27" s="12">
        <v>245122</v>
      </c>
      <c r="I27" s="12">
        <v>281724</v>
      </c>
      <c r="J27" s="26">
        <f>Segments!L58</f>
        <v>328666.58529173699</v>
      </c>
      <c r="K27" s="26">
        <f>Segments!M58</f>
        <v>389016.16009085113</v>
      </c>
      <c r="L27" s="26">
        <f>Segments!N58</f>
        <v>457874.86257914396</v>
      </c>
      <c r="M27" s="26">
        <f>Segments!O58</f>
        <v>534807.80699729046</v>
      </c>
      <c r="N27" s="26">
        <f>Segments!P58</f>
        <v>611686.993012327</v>
      </c>
    </row>
    <row r="28" spans="1:35" ht="14.4" customHeight="1" x14ac:dyDescent="0.3">
      <c r="B28" s="5" t="s">
        <v>12</v>
      </c>
      <c r="C28" s="5"/>
      <c r="D28" s="5"/>
      <c r="E28" s="11">
        <f>(E27-143015)/143015</f>
        <v>0.175317274411775</v>
      </c>
      <c r="F28" s="11">
        <f>(F27-E27)/E27</f>
        <v>0.17956070629670173</v>
      </c>
      <c r="G28" s="11">
        <f t="shared" ref="G28:N28" si="6">(G27-F27)/F27</f>
        <v>6.8820295556564284E-2</v>
      </c>
      <c r="H28" s="11">
        <f t="shared" si="6"/>
        <v>0.15669962013071279</v>
      </c>
      <c r="I28" s="11">
        <f t="shared" si="6"/>
        <v>0.14932156232406721</v>
      </c>
      <c r="J28" s="11">
        <f>(J27-I27)/I27</f>
        <v>0.16662614932251776</v>
      </c>
      <c r="K28" s="11">
        <f t="shared" si="6"/>
        <v>0.1836194414030424</v>
      </c>
      <c r="L28" s="11">
        <f t="shared" si="6"/>
        <v>0.17700730600037673</v>
      </c>
      <c r="M28" s="11">
        <f t="shared" si="6"/>
        <v>0.16802176905889565</v>
      </c>
      <c r="N28" s="11">
        <f t="shared" si="6"/>
        <v>0.14375105413415559</v>
      </c>
      <c r="T28"/>
    </row>
    <row r="29" spans="1:35" ht="14.4" customHeight="1" x14ac:dyDescent="0.3">
      <c r="B29" s="5"/>
      <c r="C29" s="5"/>
      <c r="D29" s="5"/>
      <c r="E29" s="11"/>
      <c r="F29" s="11"/>
      <c r="G29" s="11"/>
      <c r="H29" s="11"/>
      <c r="I29" s="11"/>
      <c r="J29" s="11"/>
      <c r="K29" s="11"/>
      <c r="L29" s="11"/>
      <c r="M29" s="11"/>
      <c r="N29" s="11"/>
      <c r="T29"/>
    </row>
    <row r="30" spans="1:35" ht="14.4" customHeight="1" x14ac:dyDescent="0.3">
      <c r="B30" s="1" t="s">
        <v>64</v>
      </c>
      <c r="E30" s="12">
        <v>52232</v>
      </c>
      <c r="F30" s="12">
        <v>62650</v>
      </c>
      <c r="G30" s="12">
        <v>65863</v>
      </c>
      <c r="H30" s="12">
        <v>74114</v>
      </c>
      <c r="I30" s="12">
        <v>87831</v>
      </c>
      <c r="J30" s="8">
        <f>J27-J33</f>
        <v>104345.28613365532</v>
      </c>
      <c r="K30" s="8">
        <f t="shared" ref="K30:N30" si="7">K27-K33</f>
        <v>125465.57074462454</v>
      </c>
      <c r="L30" s="8">
        <f t="shared" si="7"/>
        <v>148307.84920786822</v>
      </c>
      <c r="M30" s="8">
        <f t="shared" si="7"/>
        <v>172738.95715854072</v>
      </c>
      <c r="N30" s="8">
        <f t="shared" si="7"/>
        <v>197872.90481717023</v>
      </c>
    </row>
    <row r="31" spans="1:35" ht="14.4" customHeight="1" x14ac:dyDescent="0.3">
      <c r="B31" s="5" t="s">
        <v>16</v>
      </c>
      <c r="E31" s="11">
        <f>E30/E27</f>
        <v>0.31074199228975297</v>
      </c>
      <c r="F31" s="11">
        <f t="shared" ref="F31:I31" si="8">F30/F27</f>
        <v>0.31598325515710901</v>
      </c>
      <c r="G31" s="11">
        <f t="shared" si="8"/>
        <v>0.31079914116508978</v>
      </c>
      <c r="H31" s="11">
        <f t="shared" si="8"/>
        <v>0.30235556172028621</v>
      </c>
      <c r="I31" s="11">
        <f t="shared" si="8"/>
        <v>0.31176257613834818</v>
      </c>
      <c r="J31" s="11">
        <f>J30/J27</f>
        <v>0.31748066521893142</v>
      </c>
      <c r="K31" s="11">
        <f>K30/K27</f>
        <v>0.32252020254203118</v>
      </c>
      <c r="L31" s="11">
        <f>L30/L27</f>
        <v>0.32390476378736149</v>
      </c>
      <c r="M31" s="11">
        <f t="shared" ref="M31" si="9">M30/M27</f>
        <v>0.32299258705364392</v>
      </c>
      <c r="N31" s="11">
        <f t="shared" ref="N31" si="10">N30/N27</f>
        <v>0.32348718720128583</v>
      </c>
    </row>
    <row r="33" spans="1:16" ht="14.4" customHeight="1" x14ac:dyDescent="0.3">
      <c r="B33" s="1" t="s">
        <v>65</v>
      </c>
      <c r="E33" s="8">
        <f t="shared" ref="E33:H33" si="11">E27-E30</f>
        <v>115856</v>
      </c>
      <c r="F33" s="8">
        <f t="shared" si="11"/>
        <v>135620</v>
      </c>
      <c r="G33" s="8">
        <f t="shared" si="11"/>
        <v>146052</v>
      </c>
      <c r="H33" s="8">
        <f t="shared" si="11"/>
        <v>171008</v>
      </c>
      <c r="I33" s="8">
        <f>I27-I30</f>
        <v>193893</v>
      </c>
      <c r="J33" s="8">
        <f>J42+J39+J36</f>
        <v>224321.29915808167</v>
      </c>
      <c r="K33" s="8">
        <f t="shared" ref="K33:N33" si="12">K42+K39+K36</f>
        <v>263550.5893462266</v>
      </c>
      <c r="L33" s="8">
        <f t="shared" si="12"/>
        <v>309567.01337127574</v>
      </c>
      <c r="M33" s="8">
        <f t="shared" si="12"/>
        <v>362068.84983874974</v>
      </c>
      <c r="N33" s="8">
        <f t="shared" si="12"/>
        <v>413814.08819515677</v>
      </c>
    </row>
    <row r="34" spans="1:16" ht="14.4" customHeight="1" x14ac:dyDescent="0.3">
      <c r="B34" s="5" t="s">
        <v>16</v>
      </c>
      <c r="E34" s="11">
        <f>E33/E27</f>
        <v>0.68925800771024703</v>
      </c>
      <c r="F34" s="11">
        <f t="shared" ref="F34:N34" si="13">F33/F27</f>
        <v>0.68401674484289099</v>
      </c>
      <c r="G34" s="11">
        <f t="shared" si="13"/>
        <v>0.68920085883491022</v>
      </c>
      <c r="H34" s="11">
        <f t="shared" si="13"/>
        <v>0.69764443827971379</v>
      </c>
      <c r="I34" s="11">
        <f t="shared" si="13"/>
        <v>0.68823742386165188</v>
      </c>
      <c r="J34" s="11">
        <f t="shared" si="13"/>
        <v>0.68251933478106863</v>
      </c>
      <c r="K34" s="11">
        <f t="shared" si="13"/>
        <v>0.67747979745796882</v>
      </c>
      <c r="L34" s="11">
        <f t="shared" si="13"/>
        <v>0.67609523621263856</v>
      </c>
      <c r="M34" s="11">
        <f t="shared" si="13"/>
        <v>0.67700741294635614</v>
      </c>
      <c r="N34" s="11">
        <f t="shared" si="13"/>
        <v>0.67651281279871422</v>
      </c>
    </row>
    <row r="36" spans="1:16" ht="14.4" customHeight="1" x14ac:dyDescent="0.3">
      <c r="B36" s="1" t="s">
        <v>66</v>
      </c>
      <c r="E36" s="12">
        <v>25224</v>
      </c>
      <c r="F36" s="12">
        <v>27725</v>
      </c>
      <c r="G36" s="12">
        <v>30334</v>
      </c>
      <c r="H36" s="12">
        <v>32065</v>
      </c>
      <c r="I36" s="12">
        <v>32877</v>
      </c>
      <c r="J36" s="8">
        <f>J27*0.12</f>
        <v>39439.990235008438</v>
      </c>
      <c r="K36" s="8">
        <f>K27*0.11</f>
        <v>42791.777609993624</v>
      </c>
      <c r="L36" s="8">
        <f>L27*0.105</f>
        <v>48076.860570810117</v>
      </c>
      <c r="M36" s="8">
        <f>M27*0.105</f>
        <v>56154.8197347155</v>
      </c>
      <c r="N36" s="8">
        <f>N27*0.105</f>
        <v>64227.134266294335</v>
      </c>
    </row>
    <row r="37" spans="1:16" ht="14.4" customHeight="1" x14ac:dyDescent="0.3">
      <c r="B37" s="5" t="s">
        <v>16</v>
      </c>
      <c r="E37" s="11">
        <f>E36/E27</f>
        <v>0.15006425205844556</v>
      </c>
      <c r="F37" s="11">
        <f t="shared" ref="F37:I37" si="14">F36/F27</f>
        <v>0.13983456902204064</v>
      </c>
      <c r="G37" s="11">
        <f t="shared" si="14"/>
        <v>0.14314229761932851</v>
      </c>
      <c r="H37" s="11">
        <f t="shared" si="14"/>
        <v>0.13081241177862452</v>
      </c>
      <c r="I37" s="11">
        <f t="shared" si="14"/>
        <v>0.11669932274140649</v>
      </c>
      <c r="J37" s="11">
        <f t="shared" ref="J37" si="15">J36/J27</f>
        <v>0.12</v>
      </c>
      <c r="K37" s="11">
        <f t="shared" ref="K37" si="16">K36/K27</f>
        <v>0.11</v>
      </c>
      <c r="L37" s="11">
        <f t="shared" ref="L37" si="17">L36/L27</f>
        <v>0.10500000000000001</v>
      </c>
      <c r="M37" s="11">
        <f t="shared" ref="M37" si="18">M36/M27</f>
        <v>0.105</v>
      </c>
      <c r="N37" s="11">
        <f t="shared" ref="N37" si="19">N36/N27</f>
        <v>0.105</v>
      </c>
    </row>
    <row r="39" spans="1:16" ht="14.4" customHeight="1" x14ac:dyDescent="0.3">
      <c r="B39" s="1" t="s">
        <v>67</v>
      </c>
      <c r="E39" s="12">
        <v>20716</v>
      </c>
      <c r="F39" s="12">
        <v>24512</v>
      </c>
      <c r="G39" s="12">
        <v>27195</v>
      </c>
      <c r="H39" s="12">
        <v>29510</v>
      </c>
      <c r="I39" s="12">
        <v>32488</v>
      </c>
      <c r="J39" s="8">
        <f>J27*0.11</f>
        <v>36153.324382091072</v>
      </c>
      <c r="K39" s="8">
        <f>K27*0.11</f>
        <v>42791.777609993624</v>
      </c>
      <c r="L39" s="8">
        <f>L27*0.105</f>
        <v>48076.860570810117</v>
      </c>
      <c r="M39" s="8">
        <f t="shared" ref="M39:N39" si="20">M27*0.1</f>
        <v>53480.780699729046</v>
      </c>
      <c r="N39" s="8">
        <f t="shared" si="20"/>
        <v>61168.6993012327</v>
      </c>
      <c r="P39" s="8"/>
    </row>
    <row r="40" spans="1:16" ht="14.4" customHeight="1" x14ac:dyDescent="0.3">
      <c r="B40" s="5" t="s">
        <v>16</v>
      </c>
      <c r="E40" s="11">
        <f>E39/E27</f>
        <v>0.12324496692208843</v>
      </c>
      <c r="F40" s="11">
        <f t="shared" ref="F40:I40" si="21">F39/F27</f>
        <v>0.12362939426035205</v>
      </c>
      <c r="G40" s="11">
        <f t="shared" si="21"/>
        <v>0.12832975485454073</v>
      </c>
      <c r="H40" s="11">
        <f t="shared" si="21"/>
        <v>0.12038903076835208</v>
      </c>
      <c r="I40" s="11">
        <f t="shared" si="21"/>
        <v>0.11531853871164686</v>
      </c>
      <c r="J40" s="11">
        <f t="shared" ref="J40" si="22">J39/J27</f>
        <v>0.11000000000000001</v>
      </c>
      <c r="K40" s="11">
        <f t="shared" ref="K40" si="23">K39/K27</f>
        <v>0.11</v>
      </c>
      <c r="L40" s="11">
        <f t="shared" ref="L40" si="24">L39/L27</f>
        <v>0.10500000000000001</v>
      </c>
      <c r="M40" s="11">
        <f t="shared" ref="M40" si="25">M39/M27</f>
        <v>0.1</v>
      </c>
      <c r="N40" s="11">
        <f t="shared" ref="N40" si="26">N39/N27</f>
        <v>0.1</v>
      </c>
    </row>
    <row r="42" spans="1:16" ht="14.4" customHeight="1" x14ac:dyDescent="0.3">
      <c r="B42" s="1" t="s">
        <v>13</v>
      </c>
      <c r="E42" s="8">
        <f t="shared" ref="E42:H42" si="27">E33-E36-E39</f>
        <v>69916</v>
      </c>
      <c r="F42" s="8">
        <f t="shared" si="27"/>
        <v>83383</v>
      </c>
      <c r="G42" s="8">
        <f t="shared" si="27"/>
        <v>88523</v>
      </c>
      <c r="H42" s="8">
        <f t="shared" si="27"/>
        <v>109433</v>
      </c>
      <c r="I42" s="8">
        <f>I33-I36-I39</f>
        <v>128528</v>
      </c>
      <c r="J42" s="26">
        <f>Segments!L71</f>
        <v>148727.98454098214</v>
      </c>
      <c r="K42" s="26">
        <f>Segments!M71</f>
        <v>177967.03412623936</v>
      </c>
      <c r="L42" s="26">
        <f>Segments!N71</f>
        <v>213413.29222965552</v>
      </c>
      <c r="M42" s="26">
        <f>Segments!O71</f>
        <v>252433.24940430516</v>
      </c>
      <c r="N42" s="26">
        <f>Segments!P71</f>
        <v>288418.25462762971</v>
      </c>
    </row>
    <row r="43" spans="1:16" ht="14.4" customHeight="1" x14ac:dyDescent="0.3">
      <c r="B43" s="5" t="s">
        <v>16</v>
      </c>
      <c r="E43" s="11">
        <f t="shared" ref="E43:N43" si="28">E42/E27</f>
        <v>0.41594878872971303</v>
      </c>
      <c r="F43" s="11">
        <f t="shared" si="28"/>
        <v>0.4205527815604983</v>
      </c>
      <c r="G43" s="11">
        <f t="shared" si="28"/>
        <v>0.41772880636104098</v>
      </c>
      <c r="H43" s="11">
        <f t="shared" si="28"/>
        <v>0.44644299573273716</v>
      </c>
      <c r="I43" s="11">
        <f t="shared" si="28"/>
        <v>0.45621956240859851</v>
      </c>
      <c r="J43" s="11">
        <f t="shared" si="28"/>
        <v>0.45251933478106854</v>
      </c>
      <c r="K43" s="11">
        <f t="shared" si="28"/>
        <v>0.45747979745796885</v>
      </c>
      <c r="L43" s="11">
        <f t="shared" si="28"/>
        <v>0.46609523621263854</v>
      </c>
      <c r="M43" s="11">
        <f t="shared" si="28"/>
        <v>0.47200741294635601</v>
      </c>
      <c r="N43" s="11">
        <f t="shared" si="28"/>
        <v>0.47151281279871415</v>
      </c>
    </row>
    <row r="45" spans="1:16" ht="14.4" customHeight="1" x14ac:dyDescent="0.3">
      <c r="B45" s="1" t="s">
        <v>14</v>
      </c>
      <c r="E45" s="12">
        <v>9831</v>
      </c>
      <c r="F45" s="12">
        <v>10978</v>
      </c>
      <c r="G45" s="12">
        <v>16950</v>
      </c>
      <c r="H45" s="12">
        <v>19651</v>
      </c>
      <c r="I45" s="12">
        <v>21795</v>
      </c>
      <c r="J45" s="8">
        <f>J42*0.185</f>
        <v>27514.677140081698</v>
      </c>
      <c r="K45" s="8">
        <f>K42*0.185</f>
        <v>32923.901313354283</v>
      </c>
      <c r="L45" s="8">
        <f>L42*0.19</f>
        <v>40548.525523634547</v>
      </c>
      <c r="M45" s="8">
        <f>M42*0.2</f>
        <v>50486.649880861034</v>
      </c>
      <c r="N45" s="8">
        <f>N42*0.21</f>
        <v>60567.833471802238</v>
      </c>
    </row>
    <row r="46" spans="1:16" ht="14.4" customHeight="1" x14ac:dyDescent="0.3">
      <c r="B46" s="5" t="s">
        <v>15</v>
      </c>
      <c r="E46" s="11">
        <f>E45/E42</f>
        <v>0.14061159105211968</v>
      </c>
      <c r="F46" s="11">
        <f t="shared" ref="F46:I46" si="29">F45/F42</f>
        <v>0.13165753211086192</v>
      </c>
      <c r="G46" s="11">
        <f t="shared" si="29"/>
        <v>0.19147566169244151</v>
      </c>
      <c r="H46" s="11">
        <f t="shared" si="29"/>
        <v>0.17957106174554294</v>
      </c>
      <c r="I46" s="11">
        <f t="shared" si="29"/>
        <v>0.16957394497697001</v>
      </c>
      <c r="J46" s="11">
        <f t="shared" ref="J46" si="30">J45/J42</f>
        <v>0.185</v>
      </c>
      <c r="K46" s="11">
        <f t="shared" ref="K46" si="31">K45/K42</f>
        <v>0.185</v>
      </c>
      <c r="L46" s="11">
        <f t="shared" ref="L46" si="32">L45/L42</f>
        <v>0.19</v>
      </c>
      <c r="M46" s="11">
        <f t="shared" ref="M46" si="33">M45/M42</f>
        <v>0.2</v>
      </c>
      <c r="N46" s="11">
        <f t="shared" ref="N46" si="34">N45/N42</f>
        <v>0.21</v>
      </c>
    </row>
    <row r="48" spans="1:16" ht="14.4" customHeight="1" x14ac:dyDescent="0.3">
      <c r="A48" s="16" t="s">
        <v>73</v>
      </c>
      <c r="B48" s="2" t="s">
        <v>17</v>
      </c>
      <c r="C48" s="2"/>
      <c r="D48" s="2"/>
      <c r="E48" s="2">
        <v>2021</v>
      </c>
      <c r="F48" s="2">
        <f>E48+1</f>
        <v>2022</v>
      </c>
      <c r="G48" s="2">
        <f>F48+1</f>
        <v>2023</v>
      </c>
      <c r="H48" s="2">
        <f>G48+1</f>
        <v>2024</v>
      </c>
      <c r="I48" s="2">
        <f>H48+1</f>
        <v>2025</v>
      </c>
      <c r="J48" s="3" t="s">
        <v>6</v>
      </c>
      <c r="K48" s="3" t="s">
        <v>7</v>
      </c>
      <c r="L48" s="3" t="s">
        <v>8</v>
      </c>
      <c r="M48" s="3" t="s">
        <v>9</v>
      </c>
      <c r="N48" s="3" t="s">
        <v>10</v>
      </c>
    </row>
    <row r="49" spans="1:28" s="23" customFormat="1" ht="1.95" customHeight="1" x14ac:dyDescent="0.3"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5"/>
      <c r="M49" s="25"/>
      <c r="N49" s="25"/>
      <c r="O49" s="25"/>
      <c r="P49" s="25"/>
    </row>
    <row r="50" spans="1:28" ht="14.4" customHeight="1" x14ac:dyDescent="0.3">
      <c r="B50" s="1" t="s">
        <v>18</v>
      </c>
      <c r="E50" s="12">
        <v>11686</v>
      </c>
      <c r="F50" s="12">
        <v>14460</v>
      </c>
      <c r="G50" s="12">
        <v>13861</v>
      </c>
      <c r="H50" s="12">
        <v>22287</v>
      </c>
      <c r="I50" s="12">
        <v>34153</v>
      </c>
      <c r="J50" s="8">
        <f>J54*0.481</f>
        <v>52910</v>
      </c>
      <c r="K50" s="8">
        <f>K54*0.472</f>
        <v>80240</v>
      </c>
      <c r="L50" s="8">
        <f>L54*0.4785</f>
        <v>95700</v>
      </c>
      <c r="M50" s="8">
        <f>M54*0.4785</f>
        <v>92829</v>
      </c>
      <c r="N50" s="8">
        <f>N54*0.4785</f>
        <v>90972.42</v>
      </c>
    </row>
    <row r="51" spans="1:28" ht="14.4" customHeight="1" x14ac:dyDescent="0.3">
      <c r="B51" s="1" t="s">
        <v>16</v>
      </c>
      <c r="E51" s="11">
        <f t="shared" ref="E51:N51" si="35">E50/E27</f>
        <v>6.9523106943981727E-2</v>
      </c>
      <c r="F51" s="11">
        <f t="shared" si="35"/>
        <v>7.2930851868663937E-2</v>
      </c>
      <c r="G51" s="11">
        <f t="shared" si="35"/>
        <v>6.5408300497841118E-2</v>
      </c>
      <c r="H51" s="11">
        <f t="shared" si="35"/>
        <v>9.0922071458294243E-2</v>
      </c>
      <c r="I51" s="11">
        <f t="shared" si="35"/>
        <v>0.12122857832488534</v>
      </c>
      <c r="J51" s="11">
        <f t="shared" si="35"/>
        <v>0.16098381267762607</v>
      </c>
      <c r="K51" s="11">
        <f t="shared" si="35"/>
        <v>0.20626392482322761</v>
      </c>
      <c r="L51" s="11">
        <f t="shared" si="35"/>
        <v>0.20900907173836869</v>
      </c>
      <c r="M51" s="11">
        <f t="shared" si="35"/>
        <v>0.17357450430874191</v>
      </c>
      <c r="N51" s="11">
        <f t="shared" si="35"/>
        <v>0.14872380979035577</v>
      </c>
    </row>
    <row r="52" spans="1:28" ht="14.4" customHeight="1" x14ac:dyDescent="0.3">
      <c r="B52" s="1" t="s">
        <v>34</v>
      </c>
      <c r="E52" s="11">
        <f>E50/E54</f>
        <v>0.56667636504703711</v>
      </c>
      <c r="F52" s="11">
        <f t="shared" ref="F52:I52" si="36">F50/F54</f>
        <v>0.60537553378548103</v>
      </c>
      <c r="G52" s="11">
        <f t="shared" si="36"/>
        <v>0.49315117230583128</v>
      </c>
      <c r="H52" s="11">
        <f t="shared" si="36"/>
        <v>0.50109045124446339</v>
      </c>
      <c r="I52" s="11">
        <f t="shared" si="36"/>
        <v>0.52908552927142882</v>
      </c>
      <c r="J52" s="11">
        <f t="shared" ref="J52:N52" si="37">J50/J54</f>
        <v>0.48099999999999998</v>
      </c>
      <c r="K52" s="11">
        <f t="shared" si="37"/>
        <v>0.47199999999999998</v>
      </c>
      <c r="L52" s="11">
        <f t="shared" si="37"/>
        <v>0.47849999999999998</v>
      </c>
      <c r="M52" s="11">
        <f t="shared" si="37"/>
        <v>0.47849999999999998</v>
      </c>
      <c r="N52" s="11">
        <f t="shared" si="37"/>
        <v>0.47849999999999998</v>
      </c>
    </row>
    <row r="54" spans="1:28" ht="14.4" customHeight="1" x14ac:dyDescent="0.3">
      <c r="B54" s="1" t="s">
        <v>19</v>
      </c>
      <c r="E54" s="12">
        <v>20622</v>
      </c>
      <c r="F54" s="12">
        <v>23886</v>
      </c>
      <c r="G54" s="12">
        <v>28107</v>
      </c>
      <c r="H54" s="12">
        <v>44477</v>
      </c>
      <c r="I54" s="12">
        <v>64551</v>
      </c>
      <c r="J54" s="12">
        <v>110000</v>
      </c>
      <c r="K54" s="12">
        <v>170000</v>
      </c>
      <c r="L54" s="12">
        <v>200000</v>
      </c>
      <c r="M54" s="8">
        <f>L54*0.97</f>
        <v>194000</v>
      </c>
      <c r="N54" s="8">
        <f>M54*0.98</f>
        <v>190120</v>
      </c>
    </row>
    <row r="55" spans="1:28" ht="14.4" customHeight="1" x14ac:dyDescent="0.3">
      <c r="B55" s="1" t="s">
        <v>99</v>
      </c>
      <c r="E55" s="12"/>
      <c r="F55" s="12"/>
      <c r="G55" s="12"/>
      <c r="H55" s="12"/>
      <c r="I55" s="12"/>
      <c r="J55" s="12"/>
      <c r="K55" s="12"/>
      <c r="L55" s="8"/>
      <c r="M55" s="8"/>
      <c r="N55" s="8"/>
    </row>
    <row r="57" spans="1:28" ht="14.4" customHeight="1" x14ac:dyDescent="0.3">
      <c r="B57" s="1" t="s">
        <v>20</v>
      </c>
      <c r="E57" s="13">
        <f>-0.94*1000</f>
        <v>-940</v>
      </c>
      <c r="F57" s="13">
        <f>0.45*1000</f>
        <v>450</v>
      </c>
      <c r="G57" s="13">
        <f>-2.39*1000</f>
        <v>-2390</v>
      </c>
      <c r="H57" s="13">
        <f>1.82*1000</f>
        <v>1820</v>
      </c>
      <c r="I57" s="13">
        <f>-5.35*1000</f>
        <v>-5350</v>
      </c>
      <c r="J57" s="13">
        <f>J27*-0.006</f>
        <v>-1971.999511750422</v>
      </c>
      <c r="K57" s="13">
        <f>K27*-0.004</f>
        <v>-1556.0646403634046</v>
      </c>
      <c r="L57" s="13">
        <f>L27*-0.002</f>
        <v>-915.7497251582879</v>
      </c>
      <c r="M57" s="13">
        <f>M27*-0.002</f>
        <v>-1069.6156139945811</v>
      </c>
      <c r="N57" s="13">
        <f>N27*0.001</f>
        <v>611.68699301232698</v>
      </c>
    </row>
    <row r="58" spans="1:28" ht="14.4" customHeight="1" x14ac:dyDescent="0.3">
      <c r="B58" s="1" t="s">
        <v>16</v>
      </c>
      <c r="E58" s="106">
        <f t="shared" ref="E58:N58" si="38">E57/E27</f>
        <v>-5.5923087906334778E-3</v>
      </c>
      <c r="F58" s="106">
        <f t="shared" si="38"/>
        <v>2.2696323195642307E-3</v>
      </c>
      <c r="G58" s="106">
        <f t="shared" si="38"/>
        <v>-1.1278106788099002E-2</v>
      </c>
      <c r="H58" s="106">
        <f t="shared" si="38"/>
        <v>7.4248741443036529E-3</v>
      </c>
      <c r="I58" s="106">
        <f t="shared" si="38"/>
        <v>-1.8990217375871421E-2</v>
      </c>
      <c r="J58" s="106">
        <f t="shared" si="38"/>
        <v>-6.0000000000000001E-3</v>
      </c>
      <c r="K58" s="106">
        <f t="shared" si="38"/>
        <v>-4.0000000000000001E-3</v>
      </c>
      <c r="L58" s="106">
        <f t="shared" si="38"/>
        <v>-2E-3</v>
      </c>
      <c r="M58" s="106">
        <f t="shared" si="38"/>
        <v>-2E-3</v>
      </c>
      <c r="N58" s="106">
        <f t="shared" si="38"/>
        <v>1E-3</v>
      </c>
    </row>
    <row r="59" spans="1:28" ht="14.4" customHeight="1" x14ac:dyDescent="0.3">
      <c r="B59" s="1" t="s">
        <v>21</v>
      </c>
      <c r="E59" s="106">
        <f t="shared" ref="E59:N59" si="39">E57/(E27-D27)</f>
        <v>-5.5923087906334778E-3</v>
      </c>
      <c r="F59" s="106">
        <f t="shared" si="39"/>
        <v>1.4909548737658207E-2</v>
      </c>
      <c r="G59" s="106">
        <f t="shared" si="39"/>
        <v>-0.17515573470135581</v>
      </c>
      <c r="H59" s="106">
        <f t="shared" si="39"/>
        <v>5.4807721263589002E-2</v>
      </c>
      <c r="I59" s="106">
        <f t="shared" si="39"/>
        <v>-0.14616687612698759</v>
      </c>
      <c r="J59" s="106">
        <f t="shared" si="39"/>
        <v>-4.2008753874438629E-2</v>
      </c>
      <c r="K59" s="106">
        <f t="shared" si="39"/>
        <v>-2.5784185647423082E-2</v>
      </c>
      <c r="L59" s="106">
        <f t="shared" si="39"/>
        <v>-1.3298968642547124E-2</v>
      </c>
      <c r="M59" s="106">
        <f t="shared" si="39"/>
        <v>-1.3903219512579661E-2</v>
      </c>
      <c r="N59" s="106">
        <f t="shared" si="39"/>
        <v>7.9564707265850753E-3</v>
      </c>
    </row>
    <row r="61" spans="1:28" ht="14.4" customHeight="1" x14ac:dyDescent="0.3">
      <c r="A61" s="16" t="s">
        <v>73</v>
      </c>
      <c r="B61" s="2" t="s">
        <v>22</v>
      </c>
      <c r="C61" s="2"/>
      <c r="D61" s="2"/>
      <c r="E61" s="2">
        <v>2021</v>
      </c>
      <c r="F61" s="2">
        <f>E61+1</f>
        <v>2022</v>
      </c>
      <c r="G61" s="2">
        <f>F61+1</f>
        <v>2023</v>
      </c>
      <c r="H61" s="2">
        <f>G61+1</f>
        <v>2024</v>
      </c>
      <c r="I61" s="2">
        <f>H61+1</f>
        <v>2025</v>
      </c>
      <c r="J61" s="3" t="s">
        <v>6</v>
      </c>
      <c r="K61" s="3" t="s">
        <v>7</v>
      </c>
      <c r="L61" s="3" t="s">
        <v>8</v>
      </c>
      <c r="M61" s="3" t="s">
        <v>9</v>
      </c>
      <c r="N61" s="3" t="s">
        <v>10</v>
      </c>
    </row>
    <row r="62" spans="1:28" ht="14.4" customHeight="1" x14ac:dyDescent="0.3">
      <c r="B62" s="1" t="s">
        <v>11</v>
      </c>
      <c r="E62" s="8">
        <f t="shared" ref="E62:N62" si="40">E27</f>
        <v>168088</v>
      </c>
      <c r="F62" s="8">
        <f t="shared" si="40"/>
        <v>198270</v>
      </c>
      <c r="G62" s="8">
        <f t="shared" si="40"/>
        <v>211915</v>
      </c>
      <c r="H62" s="8">
        <f t="shared" si="40"/>
        <v>245122</v>
      </c>
      <c r="I62" s="8">
        <f t="shared" si="40"/>
        <v>281724</v>
      </c>
      <c r="J62" s="8">
        <f t="shared" si="40"/>
        <v>328666.58529173699</v>
      </c>
      <c r="K62" s="8">
        <f t="shared" si="40"/>
        <v>389016.16009085113</v>
      </c>
      <c r="L62" s="8">
        <f t="shared" si="40"/>
        <v>457874.86257914396</v>
      </c>
      <c r="M62" s="8">
        <f t="shared" si="40"/>
        <v>534807.80699729046</v>
      </c>
      <c r="N62" s="8">
        <f t="shared" si="40"/>
        <v>611686.993012327</v>
      </c>
      <c r="X62" s="8"/>
      <c r="Y62" s="8"/>
      <c r="Z62" s="8"/>
      <c r="AA62" s="8"/>
      <c r="AB62" s="8"/>
    </row>
    <row r="63" spans="1:28" ht="14.4" customHeight="1" x14ac:dyDescent="0.3">
      <c r="B63" s="5" t="s">
        <v>12</v>
      </c>
      <c r="C63" s="5"/>
      <c r="D63" s="5"/>
      <c r="E63" s="11">
        <f>(E62-143015)/143015</f>
        <v>0.175317274411775</v>
      </c>
      <c r="F63" s="11">
        <f t="shared" ref="F63:N63" si="41">(F62-E62)/E62</f>
        <v>0.17956070629670173</v>
      </c>
      <c r="G63" s="11">
        <f t="shared" si="41"/>
        <v>6.8820295556564284E-2</v>
      </c>
      <c r="H63" s="11">
        <f t="shared" si="41"/>
        <v>0.15669962013071279</v>
      </c>
      <c r="I63" s="11">
        <f t="shared" si="41"/>
        <v>0.14932156232406721</v>
      </c>
      <c r="J63" s="11">
        <f t="shared" si="41"/>
        <v>0.16662614932251776</v>
      </c>
      <c r="K63" s="11">
        <f t="shared" si="41"/>
        <v>0.1836194414030424</v>
      </c>
      <c r="L63" s="11">
        <f t="shared" si="41"/>
        <v>0.17700730600037673</v>
      </c>
      <c r="M63" s="11">
        <f t="shared" si="41"/>
        <v>0.16802176905889565</v>
      </c>
      <c r="N63" s="11">
        <f t="shared" si="41"/>
        <v>0.14375105413415559</v>
      </c>
      <c r="X63" s="11"/>
      <c r="Y63" s="11"/>
      <c r="Z63" s="11"/>
      <c r="AA63" s="11"/>
      <c r="AB63" s="11"/>
    </row>
    <row r="64" spans="1:28" ht="14.4" customHeight="1" x14ac:dyDescent="0.3">
      <c r="E64" s="8"/>
      <c r="F64" s="8"/>
      <c r="G64" s="8"/>
      <c r="H64" s="8"/>
      <c r="I64" s="8"/>
      <c r="J64" s="8"/>
      <c r="K64" s="8"/>
      <c r="L64" s="8"/>
      <c r="M64" s="8"/>
      <c r="N64" s="8"/>
    </row>
    <row r="65" spans="2:14" ht="14.4" customHeight="1" x14ac:dyDescent="0.3">
      <c r="B65" s="1" t="s">
        <v>13</v>
      </c>
      <c r="E65" s="8">
        <f t="shared" ref="E65:N65" si="42">E42</f>
        <v>69916</v>
      </c>
      <c r="F65" s="8">
        <f t="shared" si="42"/>
        <v>83383</v>
      </c>
      <c r="G65" s="8">
        <f t="shared" si="42"/>
        <v>88523</v>
      </c>
      <c r="H65" s="8">
        <f t="shared" si="42"/>
        <v>109433</v>
      </c>
      <c r="I65" s="8">
        <f t="shared" si="42"/>
        <v>128528</v>
      </c>
      <c r="J65" s="8">
        <f>J42</f>
        <v>148727.98454098214</v>
      </c>
      <c r="K65" s="8">
        <f t="shared" si="42"/>
        <v>177967.03412623936</v>
      </c>
      <c r="L65" s="8">
        <f t="shared" si="42"/>
        <v>213413.29222965552</v>
      </c>
      <c r="M65" s="8">
        <f t="shared" si="42"/>
        <v>252433.24940430516</v>
      </c>
      <c r="N65" s="8">
        <f t="shared" si="42"/>
        <v>288418.25462762971</v>
      </c>
    </row>
    <row r="66" spans="2:14" ht="14.4" customHeight="1" x14ac:dyDescent="0.3">
      <c r="B66" s="5" t="s">
        <v>16</v>
      </c>
      <c r="C66" s="5"/>
      <c r="D66" s="5"/>
      <c r="E66" s="11">
        <f t="shared" ref="E66:N66" si="43">E65/E62</f>
        <v>0.41594878872971303</v>
      </c>
      <c r="F66" s="11">
        <f t="shared" si="43"/>
        <v>0.4205527815604983</v>
      </c>
      <c r="G66" s="11">
        <f t="shared" si="43"/>
        <v>0.41772880636104098</v>
      </c>
      <c r="H66" s="11">
        <f t="shared" si="43"/>
        <v>0.44644299573273716</v>
      </c>
      <c r="I66" s="11">
        <f t="shared" si="43"/>
        <v>0.45621956240859851</v>
      </c>
      <c r="J66" s="11">
        <f t="shared" si="43"/>
        <v>0.45251933478106854</v>
      </c>
      <c r="K66" s="11">
        <f t="shared" si="43"/>
        <v>0.45747979745796885</v>
      </c>
      <c r="L66" s="11">
        <f t="shared" si="43"/>
        <v>0.46609523621263854</v>
      </c>
      <c r="M66" s="11">
        <f t="shared" si="43"/>
        <v>0.47200741294635601</v>
      </c>
      <c r="N66" s="11">
        <f t="shared" si="43"/>
        <v>0.47151281279871415</v>
      </c>
    </row>
    <row r="67" spans="2:14" ht="14.4" customHeight="1" x14ac:dyDescent="0.3">
      <c r="J67" s="8"/>
      <c r="K67" s="8"/>
      <c r="L67" s="8"/>
      <c r="M67" s="8"/>
      <c r="N67" s="8"/>
    </row>
    <row r="68" spans="2:14" ht="14.4" customHeight="1" x14ac:dyDescent="0.3">
      <c r="B68" s="1" t="s">
        <v>14</v>
      </c>
      <c r="E68" s="8">
        <f t="shared" ref="E68:N68" si="44">E45</f>
        <v>9831</v>
      </c>
      <c r="F68" s="8">
        <f t="shared" si="44"/>
        <v>10978</v>
      </c>
      <c r="G68" s="8">
        <f t="shared" si="44"/>
        <v>16950</v>
      </c>
      <c r="H68" s="8">
        <f t="shared" si="44"/>
        <v>19651</v>
      </c>
      <c r="I68" s="8">
        <f t="shared" si="44"/>
        <v>21795</v>
      </c>
      <c r="J68" s="8">
        <f t="shared" si="44"/>
        <v>27514.677140081698</v>
      </c>
      <c r="K68" s="8">
        <f t="shared" si="44"/>
        <v>32923.901313354283</v>
      </c>
      <c r="L68" s="8">
        <f t="shared" si="44"/>
        <v>40548.525523634547</v>
      </c>
      <c r="M68" s="8">
        <f t="shared" si="44"/>
        <v>50486.649880861034</v>
      </c>
      <c r="N68" s="8">
        <f t="shared" si="44"/>
        <v>60567.833471802238</v>
      </c>
    </row>
    <row r="69" spans="2:14" ht="14.4" customHeight="1" x14ac:dyDescent="0.3">
      <c r="B69" s="5" t="s">
        <v>15</v>
      </c>
      <c r="C69" s="5"/>
      <c r="D69" s="5"/>
      <c r="E69" s="11">
        <f t="shared" ref="E69:N69" si="45">E68/E65</f>
        <v>0.14061159105211968</v>
      </c>
      <c r="F69" s="11">
        <f t="shared" si="45"/>
        <v>0.13165753211086192</v>
      </c>
      <c r="G69" s="11">
        <f t="shared" si="45"/>
        <v>0.19147566169244151</v>
      </c>
      <c r="H69" s="11">
        <f t="shared" si="45"/>
        <v>0.17957106174554294</v>
      </c>
      <c r="I69" s="11">
        <f t="shared" si="45"/>
        <v>0.16957394497697001</v>
      </c>
      <c r="J69" s="11">
        <f t="shared" si="45"/>
        <v>0.185</v>
      </c>
      <c r="K69" s="11">
        <f t="shared" si="45"/>
        <v>0.185</v>
      </c>
      <c r="L69" s="11">
        <f t="shared" si="45"/>
        <v>0.19</v>
      </c>
      <c r="M69" s="11">
        <f t="shared" si="45"/>
        <v>0.2</v>
      </c>
      <c r="N69" s="11">
        <f t="shared" si="45"/>
        <v>0.21</v>
      </c>
    </row>
    <row r="71" spans="2:14" ht="14.4" customHeight="1" x14ac:dyDescent="0.3">
      <c r="B71" s="71" t="s">
        <v>23</v>
      </c>
      <c r="C71" s="53"/>
      <c r="D71" s="53"/>
      <c r="E71" s="55">
        <f t="shared" ref="E71:N71" si="46">E65-E68</f>
        <v>60085</v>
      </c>
      <c r="F71" s="55">
        <f t="shared" si="46"/>
        <v>72405</v>
      </c>
      <c r="G71" s="55">
        <f t="shared" si="46"/>
        <v>71573</v>
      </c>
      <c r="H71" s="55">
        <f t="shared" si="46"/>
        <v>89782</v>
      </c>
      <c r="I71" s="55">
        <f t="shared" si="46"/>
        <v>106733</v>
      </c>
      <c r="J71" s="55">
        <f t="shared" si="46"/>
        <v>121213.30740090045</v>
      </c>
      <c r="K71" s="55">
        <f t="shared" si="46"/>
        <v>145043.13281288507</v>
      </c>
      <c r="L71" s="55">
        <f t="shared" si="46"/>
        <v>172864.76670602098</v>
      </c>
      <c r="M71" s="55">
        <f t="shared" si="46"/>
        <v>201946.59952344414</v>
      </c>
      <c r="N71" s="57">
        <f t="shared" si="46"/>
        <v>227850.42115582747</v>
      </c>
    </row>
    <row r="73" spans="2:14" ht="14.4" customHeight="1" x14ac:dyDescent="0.3">
      <c r="B73" s="1" t="s">
        <v>18</v>
      </c>
      <c r="E73" s="8">
        <f t="shared" ref="E73:N73" si="47">E50</f>
        <v>11686</v>
      </c>
      <c r="F73" s="8">
        <f t="shared" si="47"/>
        <v>14460</v>
      </c>
      <c r="G73" s="8">
        <f t="shared" si="47"/>
        <v>13861</v>
      </c>
      <c r="H73" s="8">
        <f t="shared" si="47"/>
        <v>22287</v>
      </c>
      <c r="I73" s="8">
        <f t="shared" si="47"/>
        <v>34153</v>
      </c>
      <c r="J73" s="8">
        <f t="shared" si="47"/>
        <v>52910</v>
      </c>
      <c r="K73" s="8">
        <f t="shared" si="47"/>
        <v>80240</v>
      </c>
      <c r="L73" s="8">
        <f t="shared" si="47"/>
        <v>95700</v>
      </c>
      <c r="M73" s="8">
        <f t="shared" si="47"/>
        <v>92829</v>
      </c>
      <c r="N73" s="8">
        <f t="shared" si="47"/>
        <v>90972.42</v>
      </c>
    </row>
    <row r="74" spans="2:14" ht="14.4" customHeight="1" x14ac:dyDescent="0.3">
      <c r="B74" s="5" t="s">
        <v>16</v>
      </c>
      <c r="C74" s="5"/>
      <c r="D74" s="5"/>
      <c r="E74" s="11">
        <f t="shared" ref="E74:N74" si="48">E73/E62</f>
        <v>6.9523106943981727E-2</v>
      </c>
      <c r="F74" s="11">
        <f t="shared" si="48"/>
        <v>7.2930851868663937E-2</v>
      </c>
      <c r="G74" s="11">
        <f t="shared" si="48"/>
        <v>6.5408300497841118E-2</v>
      </c>
      <c r="H74" s="11">
        <f t="shared" si="48"/>
        <v>9.0922071458294243E-2</v>
      </c>
      <c r="I74" s="11">
        <f t="shared" si="48"/>
        <v>0.12122857832488534</v>
      </c>
      <c r="J74" s="11">
        <f t="shared" si="48"/>
        <v>0.16098381267762607</v>
      </c>
      <c r="K74" s="11">
        <f t="shared" si="48"/>
        <v>0.20626392482322761</v>
      </c>
      <c r="L74" s="11">
        <f t="shared" si="48"/>
        <v>0.20900907173836869</v>
      </c>
      <c r="M74" s="11">
        <f t="shared" si="48"/>
        <v>0.17357450430874191</v>
      </c>
      <c r="N74" s="11">
        <f t="shared" si="48"/>
        <v>0.14872380979035577</v>
      </c>
    </row>
    <row r="76" spans="2:14" ht="14.4" customHeight="1" x14ac:dyDescent="0.3">
      <c r="B76" s="1" t="s">
        <v>19</v>
      </c>
      <c r="E76" s="8">
        <f t="shared" ref="E76:N76" si="49">E54</f>
        <v>20622</v>
      </c>
      <c r="F76" s="8">
        <f t="shared" si="49"/>
        <v>23886</v>
      </c>
      <c r="G76" s="8">
        <f t="shared" si="49"/>
        <v>28107</v>
      </c>
      <c r="H76" s="8">
        <f t="shared" si="49"/>
        <v>44477</v>
      </c>
      <c r="I76" s="8">
        <f t="shared" si="49"/>
        <v>64551</v>
      </c>
      <c r="J76" s="8">
        <f t="shared" si="49"/>
        <v>110000</v>
      </c>
      <c r="K76" s="8">
        <f t="shared" si="49"/>
        <v>170000</v>
      </c>
      <c r="L76" s="8">
        <f t="shared" si="49"/>
        <v>200000</v>
      </c>
      <c r="M76" s="8">
        <f t="shared" si="49"/>
        <v>194000</v>
      </c>
      <c r="N76" s="8">
        <f t="shared" si="49"/>
        <v>190120</v>
      </c>
    </row>
    <row r="77" spans="2:14" ht="14.4" customHeight="1" x14ac:dyDescent="0.3">
      <c r="B77" s="5" t="s">
        <v>16</v>
      </c>
      <c r="C77" s="5"/>
      <c r="D77" s="5"/>
      <c r="E77" s="11">
        <f t="shared" ref="E77:N77" si="50">E76/E62</f>
        <v>0.12268573604302509</v>
      </c>
      <c r="F77" s="11">
        <f t="shared" si="50"/>
        <v>0.12047208352246935</v>
      </c>
      <c r="G77" s="11">
        <f t="shared" si="50"/>
        <v>0.13263336715192411</v>
      </c>
      <c r="H77" s="11">
        <f t="shared" si="50"/>
        <v>0.18144842160230415</v>
      </c>
      <c r="I77" s="11">
        <f t="shared" si="50"/>
        <v>0.22912850875324786</v>
      </c>
      <c r="J77" s="11">
        <f t="shared" si="50"/>
        <v>0.33468568124246584</v>
      </c>
      <c r="K77" s="11">
        <f t="shared" si="50"/>
        <v>0.43699984072717718</v>
      </c>
      <c r="L77" s="11">
        <f t="shared" si="50"/>
        <v>0.4368005678962773</v>
      </c>
      <c r="M77" s="11">
        <f t="shared" si="50"/>
        <v>0.36274713544146686</v>
      </c>
      <c r="N77" s="11">
        <f t="shared" si="50"/>
        <v>0.31081255964546661</v>
      </c>
    </row>
    <row r="79" spans="2:14" ht="14.4" customHeight="1" x14ac:dyDescent="0.3">
      <c r="B79" s="1" t="s">
        <v>20</v>
      </c>
      <c r="E79" s="13">
        <f t="shared" ref="E79:N79" si="51">E57</f>
        <v>-940</v>
      </c>
      <c r="F79" s="13">
        <f t="shared" si="51"/>
        <v>450</v>
      </c>
      <c r="G79" s="13">
        <f t="shared" si="51"/>
        <v>-2390</v>
      </c>
      <c r="H79" s="13">
        <f t="shared" si="51"/>
        <v>1820</v>
      </c>
      <c r="I79" s="13">
        <f t="shared" si="51"/>
        <v>-5350</v>
      </c>
      <c r="J79" s="13">
        <f t="shared" si="51"/>
        <v>-1971.999511750422</v>
      </c>
      <c r="K79" s="13">
        <f t="shared" si="51"/>
        <v>-1556.0646403634046</v>
      </c>
      <c r="L79" s="13">
        <f t="shared" si="51"/>
        <v>-915.7497251582879</v>
      </c>
      <c r="M79" s="13">
        <f t="shared" si="51"/>
        <v>-1069.6156139945811</v>
      </c>
      <c r="N79" s="13">
        <f t="shared" si="51"/>
        <v>611.68699301232698</v>
      </c>
    </row>
    <row r="80" spans="2:14" ht="14.4" customHeight="1" x14ac:dyDescent="0.3">
      <c r="B80" s="5" t="s">
        <v>16</v>
      </c>
      <c r="C80" s="5"/>
      <c r="D80" s="5"/>
      <c r="E80" s="105">
        <f t="shared" ref="E80:N80" si="52">E79/E62</f>
        <v>-5.5923087906334778E-3</v>
      </c>
      <c r="F80" s="105">
        <f t="shared" si="52"/>
        <v>2.2696323195642307E-3</v>
      </c>
      <c r="G80" s="105">
        <f t="shared" si="52"/>
        <v>-1.1278106788099002E-2</v>
      </c>
      <c r="H80" s="105">
        <f t="shared" si="52"/>
        <v>7.4248741443036529E-3</v>
      </c>
      <c r="I80" s="105">
        <f t="shared" si="52"/>
        <v>-1.8990217375871421E-2</v>
      </c>
      <c r="J80" s="105">
        <f t="shared" si="52"/>
        <v>-6.0000000000000001E-3</v>
      </c>
      <c r="K80" s="105">
        <f t="shared" si="52"/>
        <v>-4.0000000000000001E-3</v>
      </c>
      <c r="L80" s="105">
        <f t="shared" si="52"/>
        <v>-2E-3</v>
      </c>
      <c r="M80" s="105">
        <f t="shared" si="52"/>
        <v>-2E-3</v>
      </c>
      <c r="N80" s="105">
        <f t="shared" si="52"/>
        <v>1E-3</v>
      </c>
    </row>
    <row r="81" spans="1:14" ht="14.4" customHeight="1" x14ac:dyDescent="0.3">
      <c r="B81" s="5"/>
      <c r="C81" s="5"/>
      <c r="D81" s="5"/>
      <c r="E81" s="11"/>
      <c r="F81" s="11"/>
      <c r="G81" s="11"/>
      <c r="H81" s="11"/>
      <c r="I81" s="11"/>
      <c r="J81" s="11"/>
      <c r="K81" s="11"/>
      <c r="L81" s="11"/>
      <c r="M81" s="11"/>
      <c r="N81" s="11"/>
    </row>
    <row r="82" spans="1:14" ht="14.4" customHeight="1" x14ac:dyDescent="0.3">
      <c r="B82" s="1" t="s">
        <v>108</v>
      </c>
      <c r="E82" s="13">
        <v>6118</v>
      </c>
      <c r="F82" s="13">
        <v>7502</v>
      </c>
      <c r="G82" s="13">
        <v>9611</v>
      </c>
      <c r="H82" s="13">
        <v>10734</v>
      </c>
      <c r="I82" s="13">
        <v>11974</v>
      </c>
      <c r="J82" s="13">
        <f>J62*0.038</f>
        <v>12489.330241086005</v>
      </c>
      <c r="K82" s="13">
        <f>K62*0.038</f>
        <v>14782.614083452343</v>
      </c>
      <c r="L82" s="13">
        <f>L62*0.038</f>
        <v>17399.244778007469</v>
      </c>
      <c r="M82" s="13">
        <f>M62*0.038</f>
        <v>20322.696665897038</v>
      </c>
      <c r="N82" s="13">
        <f>N62*0.038</f>
        <v>23244.105734468427</v>
      </c>
    </row>
    <row r="83" spans="1:14" ht="14.4" customHeight="1" x14ac:dyDescent="0.3">
      <c r="B83" s="5" t="s">
        <v>16</v>
      </c>
      <c r="C83" s="5"/>
      <c r="D83" s="5"/>
      <c r="E83" s="11">
        <f>E82/E62</f>
        <v>3.6397601256484696E-2</v>
      </c>
      <c r="F83" s="11">
        <f t="shared" ref="F83:I83" si="53">F82/F62</f>
        <v>3.7837292580824126E-2</v>
      </c>
      <c r="G83" s="11">
        <f t="shared" si="53"/>
        <v>4.5353089682183892E-2</v>
      </c>
      <c r="H83" s="11">
        <f t="shared" si="53"/>
        <v>4.3790439046678793E-2</v>
      </c>
      <c r="I83" s="11">
        <f t="shared" si="53"/>
        <v>4.2502591188539135E-2</v>
      </c>
      <c r="J83" s="11">
        <f t="shared" ref="J83" si="54">J82/J62</f>
        <v>3.7999999999999999E-2</v>
      </c>
      <c r="K83" s="11">
        <f t="shared" ref="K83" si="55">K82/K62</f>
        <v>3.7999999999999999E-2</v>
      </c>
      <c r="L83" s="11">
        <f t="shared" ref="L83" si="56">L82/L62</f>
        <v>3.7999999999999999E-2</v>
      </c>
      <c r="M83" s="11">
        <f t="shared" ref="M83" si="57">M82/M62</f>
        <v>3.7999999999999999E-2</v>
      </c>
      <c r="N83" s="11">
        <f t="shared" ref="N83" si="58">N82/N62</f>
        <v>3.7999999999999999E-2</v>
      </c>
    </row>
    <row r="85" spans="1:14" ht="14.4" customHeight="1" x14ac:dyDescent="0.3">
      <c r="B85" s="1" t="s">
        <v>350</v>
      </c>
      <c r="E85" s="12">
        <v>56120</v>
      </c>
      <c r="F85" s="12">
        <v>65150</v>
      </c>
      <c r="G85" s="12">
        <v>59480</v>
      </c>
      <c r="H85" s="12">
        <v>74070</v>
      </c>
      <c r="I85" s="12">
        <v>71610</v>
      </c>
      <c r="J85" s="8">
        <f>J71+J73-J76-(J79)</f>
        <v>66095.306912650878</v>
      </c>
      <c r="K85" s="8">
        <f t="shared" ref="K85:N85" si="59">K71+K73-K76-(K79)</f>
        <v>56839.197453248475</v>
      </c>
      <c r="L85" s="8">
        <f t="shared" si="59"/>
        <v>69480.516431179261</v>
      </c>
      <c r="M85" s="8">
        <f t="shared" si="59"/>
        <v>101845.21513743872</v>
      </c>
      <c r="N85" s="8">
        <f t="shared" si="59"/>
        <v>128091.15416281513</v>
      </c>
    </row>
    <row r="86" spans="1:14" ht="14.4" customHeight="1" x14ac:dyDescent="0.3">
      <c r="B86" s="5" t="s">
        <v>16</v>
      </c>
      <c r="C86" s="5"/>
      <c r="D86" s="5"/>
      <c r="E86" s="11">
        <f>E85/E62</f>
        <v>0.33387273333016038</v>
      </c>
      <c r="F86" s="11">
        <f t="shared" ref="F86:N86" si="60">F85/F62</f>
        <v>0.32859232359913249</v>
      </c>
      <c r="G86" s="11">
        <f t="shared" si="60"/>
        <v>0.28067857395653917</v>
      </c>
      <c r="H86" s="11">
        <f t="shared" si="60"/>
        <v>0.30217605926844593</v>
      </c>
      <c r="I86" s="11">
        <f t="shared" si="60"/>
        <v>0.25418494696937427</v>
      </c>
      <c r="J86" s="11">
        <f t="shared" si="60"/>
        <v>0.2011013892817311</v>
      </c>
      <c r="K86" s="11">
        <f t="shared" si="60"/>
        <v>0.14611011902429505</v>
      </c>
      <c r="L86" s="11">
        <f t="shared" si="60"/>
        <v>0.15174564517432862</v>
      </c>
      <c r="M86" s="11">
        <f t="shared" si="60"/>
        <v>0.19043329922435986</v>
      </c>
      <c r="N86" s="11">
        <f t="shared" si="60"/>
        <v>0.20940637225587333</v>
      </c>
    </row>
    <row r="88" spans="1:14" ht="14.4" customHeight="1" x14ac:dyDescent="0.3">
      <c r="A88" s="16" t="s">
        <v>73</v>
      </c>
      <c r="B88" s="1" t="s">
        <v>25</v>
      </c>
      <c r="J88" s="8">
        <f>J85/(1+$U$7)^0.25</f>
        <v>64761.815858508096</v>
      </c>
      <c r="K88" s="8">
        <f>K85/(1+$U$7)^1.25</f>
        <v>51332.20342231157</v>
      </c>
      <c r="L88" s="8">
        <f>L85/(1+$U$7)^2.25</f>
        <v>57836.044436643417</v>
      </c>
      <c r="M88" s="8">
        <f>M85/(1+$U$7)^3.25</f>
        <v>78139.342110311627</v>
      </c>
      <c r="N88" s="8">
        <f>N85/(1+$U$7)^4.25</f>
        <v>90581.985282495298</v>
      </c>
    </row>
    <row r="90" spans="1:14" ht="14.4" customHeight="1" x14ac:dyDescent="0.3">
      <c r="H90" s="28"/>
      <c r="J90" s="8"/>
      <c r="K90" s="8"/>
    </row>
    <row r="96" spans="1:14" ht="14.4" customHeight="1" x14ac:dyDescent="0.3">
      <c r="J96" s="13"/>
    </row>
  </sheetData>
  <mergeCells count="9">
    <mergeCell ref="W13:X13"/>
    <mergeCell ref="I7:K7"/>
    <mergeCell ref="I12:K12"/>
    <mergeCell ref="T11:U11"/>
    <mergeCell ref="T22:U22"/>
    <mergeCell ref="I11:K11"/>
    <mergeCell ref="I10:K10"/>
    <mergeCell ref="I9:K9"/>
    <mergeCell ref="I8:K8"/>
  </mergeCells>
  <pageMargins left="0.7" right="0.7" top="0.75" bottom="0.75" header="0.3" footer="0.3"/>
  <pageSetup orientation="portrait" r:id="rId1"/>
  <ignoredErrors>
    <ignoredError sqref="AD11 AI11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755C1-F80B-4C2F-AFEE-9D4756B0A66A}">
  <dimension ref="A2:XFD137"/>
  <sheetViews>
    <sheetView showGridLines="0" zoomScaleNormal="100" zoomScaleSheetLayoutView="100" workbookViewId="0">
      <selection activeCell="L93" sqref="L93"/>
    </sheetView>
  </sheetViews>
  <sheetFormatPr defaultColWidth="8.69921875" defaultRowHeight="14.4" customHeight="1" x14ac:dyDescent="0.3"/>
  <cols>
    <col min="1" max="4" width="8.69921875" style="1"/>
    <col min="5" max="5" width="8.69921875" style="1" customWidth="1"/>
    <col min="6" max="11" width="8.69921875" style="1"/>
    <col min="12" max="12" width="9.69921875" style="1" bestFit="1" customWidth="1"/>
    <col min="13" max="14" width="8.796875" style="1" bestFit="1" customWidth="1"/>
    <col min="15" max="16384" width="8.69921875" style="1"/>
  </cols>
  <sheetData>
    <row r="2" spans="1:20 16384:16384" ht="14.4" customHeight="1" x14ac:dyDescent="0.3">
      <c r="B2" s="1" t="s">
        <v>87</v>
      </c>
      <c r="C2" s="1" t="s">
        <v>88</v>
      </c>
      <c r="M2" s="5" t="s">
        <v>51</v>
      </c>
    </row>
    <row r="4" spans="1:20 16384:16384" ht="14.4" customHeight="1" x14ac:dyDescent="0.3">
      <c r="A4" s="43" t="s">
        <v>73</v>
      </c>
      <c r="B4" s="2" t="s">
        <v>72</v>
      </c>
      <c r="C4" s="2"/>
      <c r="D4" s="2"/>
      <c r="E4" s="2"/>
      <c r="F4" s="2"/>
      <c r="G4" s="2">
        <v>2021</v>
      </c>
      <c r="H4" s="2">
        <f>G4+1</f>
        <v>2022</v>
      </c>
      <c r="I4" s="2">
        <f>H4+1</f>
        <v>2023</v>
      </c>
      <c r="J4" s="2">
        <f>I4+1</f>
        <v>2024</v>
      </c>
      <c r="K4" s="2">
        <f>J4+1</f>
        <v>2025</v>
      </c>
      <c r="L4" s="3" t="s">
        <v>6</v>
      </c>
      <c r="M4" s="3" t="s">
        <v>7</v>
      </c>
      <c r="N4" s="3" t="s">
        <v>8</v>
      </c>
      <c r="O4" s="3" t="s">
        <v>9</v>
      </c>
      <c r="P4" s="3" t="s">
        <v>10</v>
      </c>
      <c r="Q4" s="8"/>
      <c r="S4" s="12"/>
    </row>
    <row r="5" spans="1:20 16384:16384" s="23" customFormat="1" ht="1.95" customHeight="1" x14ac:dyDescent="0.3">
      <c r="B5" s="24"/>
      <c r="C5" s="24"/>
      <c r="D5" s="24"/>
      <c r="E5" s="24"/>
      <c r="F5" s="24"/>
      <c r="G5" s="24"/>
      <c r="H5" s="24"/>
      <c r="I5" s="24"/>
      <c r="J5" s="24"/>
      <c r="K5" s="24"/>
      <c r="L5" s="25"/>
      <c r="M5" s="25"/>
      <c r="N5" s="25"/>
      <c r="O5" s="25"/>
      <c r="P5" s="25"/>
    </row>
    <row r="6" spans="1:20 16384:16384" ht="14.4" customHeight="1" x14ac:dyDescent="0.3">
      <c r="B6" s="62" t="s">
        <v>71</v>
      </c>
      <c r="C6" s="62"/>
      <c r="D6" s="62"/>
      <c r="E6" s="62"/>
      <c r="F6" s="62"/>
      <c r="G6" s="63">
        <v>53915</v>
      </c>
      <c r="H6" s="63">
        <v>63364</v>
      </c>
      <c r="I6" s="63">
        <v>94151</v>
      </c>
      <c r="J6" s="63">
        <v>106820</v>
      </c>
      <c r="K6" s="63">
        <v>120810</v>
      </c>
      <c r="L6" s="64">
        <f>L9+L25+L34+L36</f>
        <v>137367.18529173697</v>
      </c>
      <c r="M6" s="64">
        <f>M9+M25+M34+M36</f>
        <v>156173.88449085114</v>
      </c>
      <c r="N6" s="64">
        <f>N9+N25+N34+N36</f>
        <v>176027.33909354403</v>
      </c>
      <c r="O6" s="64">
        <f>O9+O25+O34+O36</f>
        <v>196665.0738858649</v>
      </c>
      <c r="P6" s="64">
        <f>P9+P25+P34+P36</f>
        <v>211951.84338258847</v>
      </c>
      <c r="T6" s="8"/>
    </row>
    <row r="7" spans="1:20 16384:16384" ht="14.4" customHeight="1" x14ac:dyDescent="0.3">
      <c r="B7" s="5" t="s">
        <v>12</v>
      </c>
      <c r="G7" s="11">
        <f>(G6-46398)/46398</f>
        <v>0.16201129359024097</v>
      </c>
      <c r="H7" s="11">
        <f t="shared" ref="H7:P7" si="0">(H6-G6)/G6</f>
        <v>0.17525734953167021</v>
      </c>
      <c r="I7" s="11">
        <f t="shared" si="0"/>
        <v>0.48587526040022727</v>
      </c>
      <c r="J7" s="11">
        <f t="shared" si="0"/>
        <v>0.13456044014402396</v>
      </c>
      <c r="K7" s="11">
        <f t="shared" si="0"/>
        <v>0.13096798352368472</v>
      </c>
      <c r="L7" s="11">
        <f t="shared" si="0"/>
        <v>0.13705144683169415</v>
      </c>
      <c r="M7" s="11">
        <f t="shared" si="0"/>
        <v>0.13690823728514911</v>
      </c>
      <c r="N7" s="11">
        <f t="shared" si="0"/>
        <v>0.12712403656615154</v>
      </c>
      <c r="O7" s="11">
        <f t="shared" si="0"/>
        <v>0.1172416449546716</v>
      </c>
      <c r="P7" s="11">
        <f t="shared" si="0"/>
        <v>7.7729965950107088E-2</v>
      </c>
      <c r="T7" s="8"/>
    </row>
    <row r="8" spans="1:20 16384:16384" ht="14.4" customHeight="1" x14ac:dyDescent="0.3">
      <c r="S8" s="8"/>
    </row>
    <row r="9" spans="1:20 16384:16384" ht="14.4" customHeight="1" x14ac:dyDescent="0.3">
      <c r="A9" s="16"/>
      <c r="B9" s="58" t="s">
        <v>74</v>
      </c>
      <c r="C9" s="53"/>
      <c r="D9" s="53"/>
      <c r="E9" s="53"/>
      <c r="F9" s="53"/>
      <c r="G9" s="54">
        <f>(39872)*0.91</f>
        <v>36283.520000000004</v>
      </c>
      <c r="H9" s="54">
        <f>(44862)*0.91</f>
        <v>40824.42</v>
      </c>
      <c r="I9" s="54">
        <v>66949</v>
      </c>
      <c r="J9" s="54">
        <v>79969</v>
      </c>
      <c r="K9" s="54">
        <v>87767</v>
      </c>
      <c r="L9" s="55">
        <f>L15+L22</f>
        <v>99269.54386548695</v>
      </c>
      <c r="M9" s="55">
        <f t="shared" ref="M9:P9" si="1">M15+M22</f>
        <v>113281.96056022611</v>
      </c>
      <c r="N9" s="55">
        <f t="shared" si="1"/>
        <v>128813.34013296229</v>
      </c>
      <c r="O9" s="55">
        <f t="shared" si="1"/>
        <v>145460.21630912766</v>
      </c>
      <c r="P9" s="57">
        <f t="shared" si="1"/>
        <v>156981.00622132816</v>
      </c>
      <c r="Q9" s="10"/>
      <c r="R9" s="8"/>
      <c r="S9" s="10"/>
    </row>
    <row r="10" spans="1:20 16384:16384" ht="14.4" customHeight="1" x14ac:dyDescent="0.3">
      <c r="A10" s="16"/>
      <c r="B10" s="45" t="s">
        <v>305</v>
      </c>
      <c r="G10" s="11"/>
      <c r="H10" s="11">
        <f>(H9-G9)/G9</f>
        <v>0.12515048154093081</v>
      </c>
      <c r="I10" s="11">
        <f>(I9-H9)/H9</f>
        <v>0.63992531920845419</v>
      </c>
      <c r="J10" s="11">
        <f>(J9-I9)/I9</f>
        <v>0.19447639247785628</v>
      </c>
      <c r="K10" s="11">
        <f>(K9-J9)/J9</f>
        <v>9.7512786204654298E-2</v>
      </c>
      <c r="L10" s="11">
        <f t="shared" ref="L10" si="2">(L9-K9)/K9</f>
        <v>0.13105773087250278</v>
      </c>
      <c r="M10" s="11">
        <f t="shared" ref="M10" si="3">(M9-L9)/L9</f>
        <v>0.14115524408701208</v>
      </c>
      <c r="N10" s="11">
        <f t="shared" ref="N10" si="4">(N9-M9)/M9</f>
        <v>0.13710373210286159</v>
      </c>
      <c r="O10" s="11">
        <f t="shared" ref="O10" si="5">(O9-N9)/N9</f>
        <v>0.12923254811172755</v>
      </c>
      <c r="P10" s="11">
        <f t="shared" ref="P10" si="6">(P9-O9)/O9</f>
        <v>7.9202342774720408E-2</v>
      </c>
      <c r="Q10" s="10"/>
      <c r="R10" s="8"/>
      <c r="S10" s="10"/>
    </row>
    <row r="11" spans="1:20 16384:16384" ht="14.4" customHeight="1" x14ac:dyDescent="0.3">
      <c r="A11" s="72"/>
      <c r="B11" s="44" t="s">
        <v>303</v>
      </c>
      <c r="G11" s="12">
        <v>300</v>
      </c>
      <c r="H11" s="8">
        <f>AVERAGE(G11,I11)</f>
        <v>341</v>
      </c>
      <c r="I11" s="12">
        <v>382</v>
      </c>
      <c r="J11" s="8">
        <f>I11*1.07</f>
        <v>408.74</v>
      </c>
      <c r="K11" s="12">
        <f>J11*1.07</f>
        <v>437.35180000000003</v>
      </c>
      <c r="L11" s="8">
        <f>K11*1.07</f>
        <v>467.96642600000007</v>
      </c>
      <c r="M11" s="8">
        <f>L11*1.06</f>
        <v>496.04441156000007</v>
      </c>
      <c r="N11" s="8">
        <f>M11*1.05</f>
        <v>520.84663213800013</v>
      </c>
      <c r="O11" s="8">
        <f>N11*1.05</f>
        <v>546.88896374490014</v>
      </c>
      <c r="P11" s="8">
        <f>O11*1.04</f>
        <v>568.76452229469612</v>
      </c>
      <c r="Q11" s="10"/>
      <c r="R11" s="8"/>
      <c r="S11" s="10"/>
      <c r="XFD11" s="1" t="s">
        <v>310</v>
      </c>
    </row>
    <row r="12" spans="1:20 16384:16384" ht="14.4" customHeight="1" x14ac:dyDescent="0.3">
      <c r="A12" s="16"/>
      <c r="B12" s="46" t="s">
        <v>305</v>
      </c>
      <c r="G12" s="11"/>
      <c r="H12" s="11">
        <f>(H11-G11)/G11</f>
        <v>0.13666666666666666</v>
      </c>
      <c r="I12" s="11">
        <f>(I11-H11)/H11</f>
        <v>0.12023460410557185</v>
      </c>
      <c r="J12" s="11">
        <f>(J11-I11)/I11</f>
        <v>7.0000000000000021E-2</v>
      </c>
      <c r="K12" s="11">
        <f>(K11-J11)/J11</f>
        <v>7.0000000000000034E-2</v>
      </c>
      <c r="L12" s="11">
        <f t="shared" ref="L12:P12" si="7">(L11-K11)/K11</f>
        <v>7.000000000000009E-2</v>
      </c>
      <c r="M12" s="11">
        <f t="shared" si="7"/>
        <v>0.06</v>
      </c>
      <c r="N12" s="11">
        <f t="shared" si="7"/>
        <v>5.0000000000000114E-2</v>
      </c>
      <c r="O12" s="11">
        <f t="shared" si="7"/>
        <v>0.05</v>
      </c>
      <c r="P12" s="11">
        <f t="shared" si="7"/>
        <v>3.9999999999999959E-2</v>
      </c>
      <c r="Q12" s="10"/>
      <c r="R12" s="10"/>
      <c r="S12" s="10"/>
    </row>
    <row r="13" spans="1:20 16384:16384" ht="14.4" customHeight="1" x14ac:dyDescent="0.3">
      <c r="A13" s="72"/>
      <c r="B13" s="44" t="s">
        <v>314</v>
      </c>
      <c r="G13" s="8">
        <f>G9/G11</f>
        <v>120.94506666666668</v>
      </c>
      <c r="H13" s="8">
        <f>H9/H11</f>
        <v>119.71970674486803</v>
      </c>
      <c r="I13" s="8">
        <f>I9/I11</f>
        <v>175.25916230366491</v>
      </c>
      <c r="J13" s="8">
        <f>(J9-J22)/J11</f>
        <v>195.14359994128296</v>
      </c>
      <c r="K13" s="8">
        <f>(K9-(K22))/K11</f>
        <v>197.02426404281405</v>
      </c>
      <c r="L13" s="51">
        <f>L113</f>
        <v>199.97962800345627</v>
      </c>
      <c r="M13" s="51">
        <f t="shared" ref="M13:P13" si="8">M113</f>
        <v>207.31060134185961</v>
      </c>
      <c r="N13" s="51">
        <f t="shared" si="8"/>
        <v>213.1152981794317</v>
      </c>
      <c r="O13" s="51">
        <f t="shared" si="8"/>
        <v>217.37760414302033</v>
      </c>
      <c r="P13" s="51">
        <f t="shared" si="8"/>
        <v>220.20351299687957</v>
      </c>
      <c r="Q13" s="10"/>
      <c r="R13" s="10"/>
      <c r="S13" s="10"/>
    </row>
    <row r="14" spans="1:20 16384:16384" ht="14.4" customHeight="1" x14ac:dyDescent="0.3">
      <c r="A14" s="72"/>
      <c r="B14" s="46" t="s">
        <v>305</v>
      </c>
      <c r="G14" s="11"/>
      <c r="H14" s="49">
        <f>(H13-G13)/G13</f>
        <v>-1.0131541166336468E-2</v>
      </c>
      <c r="I14" s="11">
        <f>(I13-H13)/H13</f>
        <v>0.46391239227770376</v>
      </c>
      <c r="J14" s="11">
        <f>(J13-I13)/I13</f>
        <v>0.1134573358462426</v>
      </c>
      <c r="K14" s="11">
        <f>(K13-J13)/J13</f>
        <v>9.6373342610107209E-3</v>
      </c>
      <c r="L14" s="11">
        <f t="shared" ref="L14:N14" si="9">(L13-K13)/K13</f>
        <v>1.5000000000000029E-2</v>
      </c>
      <c r="M14" s="11">
        <f t="shared" si="9"/>
        <v>3.6658600736454203E-2</v>
      </c>
      <c r="N14" s="11">
        <f t="shared" si="9"/>
        <v>2.8000000000000125E-2</v>
      </c>
      <c r="O14" s="11">
        <f t="shared" ref="O14" si="10">(O13-N13)/N13</f>
        <v>1.9999999999999983E-2</v>
      </c>
      <c r="P14" s="11">
        <f t="shared" ref="P14" si="11">(P13-O13)/O13</f>
        <v>1.2999999999999852E-2</v>
      </c>
      <c r="Q14" s="10"/>
      <c r="R14" s="10"/>
      <c r="S14" s="10"/>
    </row>
    <row r="15" spans="1:20 16384:16384" ht="14.4" customHeight="1" x14ac:dyDescent="0.3">
      <c r="A15" s="72"/>
      <c r="B15" s="56" t="s">
        <v>345</v>
      </c>
      <c r="C15" s="53"/>
      <c r="D15" s="53"/>
      <c r="E15" s="53"/>
      <c r="F15" s="53"/>
      <c r="G15" s="55">
        <f t="shared" ref="G15:P15" si="12">G11*G13</f>
        <v>36283.520000000004</v>
      </c>
      <c r="H15" s="55">
        <f t="shared" si="12"/>
        <v>40824.42</v>
      </c>
      <c r="I15" s="55">
        <f t="shared" si="12"/>
        <v>66949</v>
      </c>
      <c r="J15" s="55">
        <f t="shared" si="12"/>
        <v>79762.995039999994</v>
      </c>
      <c r="K15" s="55">
        <f t="shared" si="12"/>
        <v>86168.916522800006</v>
      </c>
      <c r="L15" s="55">
        <f t="shared" si="12"/>
        <v>93583.751789586953</v>
      </c>
      <c r="M15" s="55">
        <f t="shared" si="12"/>
        <v>102835.26525277251</v>
      </c>
      <c r="N15" s="55">
        <f t="shared" si="12"/>
        <v>111000.38531384268</v>
      </c>
      <c r="O15" s="55">
        <f t="shared" si="12"/>
        <v>118881.41267112551</v>
      </c>
      <c r="P15" s="57">
        <f t="shared" si="12"/>
        <v>125243.94587728412</v>
      </c>
      <c r="Q15" s="10"/>
      <c r="R15" s="10"/>
      <c r="S15" s="10"/>
    </row>
    <row r="16" spans="1:20 16384:16384" ht="14.4" customHeight="1" x14ac:dyDescent="0.3">
      <c r="A16" s="72"/>
      <c r="B16" s="46" t="s">
        <v>305</v>
      </c>
      <c r="G16" s="11"/>
      <c r="H16" s="49">
        <f>(H15-G15)/G15</f>
        <v>0.12515048154093081</v>
      </c>
      <c r="I16" s="11">
        <f>(I15-H15)/H15</f>
        <v>0.63992531920845419</v>
      </c>
      <c r="J16" s="11">
        <f>(J15-I15)/I15</f>
        <v>0.19139934935547945</v>
      </c>
      <c r="K16" s="11">
        <f>(K15-J15)/J15</f>
        <v>8.0311947659281527E-2</v>
      </c>
      <c r="L16" s="11">
        <f t="shared" ref="L16" si="13">(L15-K15)/K15</f>
        <v>8.6050000000000085E-2</v>
      </c>
      <c r="M16" s="11">
        <f t="shared" ref="M16" si="14">(M15-L15)/L15</f>
        <v>9.8858116780641575E-2</v>
      </c>
      <c r="N16" s="11">
        <f t="shared" ref="N16" si="15">(N15-M15)/M15</f>
        <v>7.9400000000000248E-2</v>
      </c>
      <c r="O16" s="11">
        <f t="shared" ref="O16" si="16">(O15-N15)/N15</f>
        <v>7.0999999999999994E-2</v>
      </c>
      <c r="P16" s="11">
        <f t="shared" ref="P16" si="17">(P15-O15)/O15</f>
        <v>5.3519999999999762E-2</v>
      </c>
      <c r="Q16" s="10"/>
      <c r="R16" s="10"/>
      <c r="S16" s="10"/>
    </row>
    <row r="17" spans="1:19" ht="14.4" customHeight="1" x14ac:dyDescent="0.3">
      <c r="A17" s="72"/>
      <c r="B17" s="46"/>
      <c r="G17" s="11"/>
      <c r="H17" s="11"/>
      <c r="I17" s="11"/>
      <c r="J17" s="11"/>
      <c r="K17" s="11"/>
      <c r="L17" s="11"/>
      <c r="M17" s="11"/>
      <c r="N17" s="11"/>
      <c r="P17" s="10"/>
      <c r="Q17" s="10"/>
      <c r="R17" s="10"/>
      <c r="S17" s="10"/>
    </row>
    <row r="18" spans="1:19" ht="14.4" customHeight="1" x14ac:dyDescent="0.3">
      <c r="A18" s="72"/>
      <c r="B18" s="44" t="s">
        <v>324</v>
      </c>
      <c r="G18" s="48"/>
      <c r="H18" s="48"/>
      <c r="I18" s="48"/>
      <c r="J18" s="48">
        <f t="shared" ref="J18:P18" si="18">J11*J19</f>
        <v>1.63496</v>
      </c>
      <c r="K18" s="47">
        <f t="shared" si="18"/>
        <v>10.933795000000002</v>
      </c>
      <c r="L18" s="47">
        <f>L11*L19</f>
        <v>23.398321300000006</v>
      </c>
      <c r="M18" s="47">
        <f t="shared" si="18"/>
        <v>39.683552924800004</v>
      </c>
      <c r="N18" s="47">
        <f t="shared" si="18"/>
        <v>62.501595856560016</v>
      </c>
      <c r="O18" s="47">
        <f t="shared" si="18"/>
        <v>82.033344561735021</v>
      </c>
      <c r="P18" s="47">
        <f t="shared" si="18"/>
        <v>91.002323567151379</v>
      </c>
      <c r="Q18" s="10"/>
      <c r="R18" s="10"/>
      <c r="S18" s="10"/>
    </row>
    <row r="19" spans="1:19" ht="14.4" customHeight="1" x14ac:dyDescent="0.3">
      <c r="A19" s="72"/>
      <c r="B19" s="44" t="s">
        <v>311</v>
      </c>
      <c r="G19" s="8"/>
      <c r="H19" s="8"/>
      <c r="I19" s="8"/>
      <c r="J19" s="69">
        <v>4.0000000000000001E-3</v>
      </c>
      <c r="K19" s="69">
        <v>2.5000000000000001E-2</v>
      </c>
      <c r="L19" s="69">
        <v>0.05</v>
      </c>
      <c r="M19" s="69">
        <v>0.08</v>
      </c>
      <c r="N19" s="69">
        <v>0.12</v>
      </c>
      <c r="O19" s="69">
        <v>0.15</v>
      </c>
      <c r="P19" s="69">
        <v>0.16</v>
      </c>
      <c r="Q19" s="10"/>
      <c r="R19" s="10"/>
      <c r="S19" s="10"/>
    </row>
    <row r="20" spans="1:19" ht="14.4" customHeight="1" x14ac:dyDescent="0.3">
      <c r="A20" s="72"/>
      <c r="B20" s="44" t="s">
        <v>325</v>
      </c>
      <c r="G20" s="8"/>
      <c r="H20" s="8"/>
      <c r="I20" s="8"/>
      <c r="J20" s="10">
        <f>(AVERAGE(J19,))*0.7</f>
        <v>1.4E-3</v>
      </c>
      <c r="K20" s="10">
        <f>(AVERAGE(K19,J19))*0.7</f>
        <v>1.0149999999999999E-2</v>
      </c>
      <c r="L20" s="10">
        <f>(AVERAGE(L19,K19))*0.9</f>
        <v>3.3750000000000009E-2</v>
      </c>
      <c r="M20" s="10">
        <f>(AVERAGE(M19,L19))*0.9</f>
        <v>5.8500000000000003E-2</v>
      </c>
      <c r="N20" s="10">
        <f>(AVERAGE(N19,M19))*0.95</f>
        <v>9.5000000000000001E-2</v>
      </c>
      <c r="O20" s="10">
        <f>(AVERAGE(O19,N19))</f>
        <v>0.13500000000000001</v>
      </c>
      <c r="P20" s="10">
        <f>(AVERAGE(P19,O19))</f>
        <v>0.155</v>
      </c>
      <c r="Q20" s="10"/>
      <c r="R20" s="10"/>
      <c r="S20" s="10"/>
    </row>
    <row r="21" spans="1:19" ht="14.4" customHeight="1" x14ac:dyDescent="0.3">
      <c r="A21" s="72"/>
      <c r="B21" s="44" t="s">
        <v>312</v>
      </c>
      <c r="G21" s="8"/>
      <c r="H21" s="8"/>
      <c r="I21" s="8"/>
      <c r="J21" s="8">
        <v>360</v>
      </c>
      <c r="K21" s="8">
        <v>360</v>
      </c>
      <c r="L21" s="8">
        <v>360</v>
      </c>
      <c r="M21" s="8">
        <v>360</v>
      </c>
      <c r="N21" s="8">
        <v>360</v>
      </c>
      <c r="O21" s="8">
        <v>360</v>
      </c>
      <c r="P21" s="8">
        <v>360</v>
      </c>
      <c r="Q21" s="10"/>
      <c r="R21" s="10"/>
      <c r="S21" s="10"/>
    </row>
    <row r="22" spans="1:19" ht="14.4" customHeight="1" x14ac:dyDescent="0.3">
      <c r="A22" s="72"/>
      <c r="B22" s="56" t="s">
        <v>313</v>
      </c>
      <c r="C22" s="53"/>
      <c r="D22" s="53"/>
      <c r="E22" s="53"/>
      <c r="F22" s="53"/>
      <c r="G22" s="55"/>
      <c r="H22" s="55"/>
      <c r="I22" s="55"/>
      <c r="J22" s="55">
        <f t="shared" ref="J22:P22" si="19">J21*(J11*J20)</f>
        <v>206.00495999999998</v>
      </c>
      <c r="K22" s="55">
        <f t="shared" si="19"/>
        <v>1598.0834771999998</v>
      </c>
      <c r="L22" s="55">
        <f t="shared" si="19"/>
        <v>5685.7920759000026</v>
      </c>
      <c r="M22" s="55">
        <f t="shared" si="19"/>
        <v>10446.695307453601</v>
      </c>
      <c r="N22" s="55">
        <f t="shared" si="19"/>
        <v>17812.954819119605</v>
      </c>
      <c r="O22" s="55">
        <f t="shared" si="19"/>
        <v>26578.803638002151</v>
      </c>
      <c r="P22" s="57">
        <f t="shared" si="19"/>
        <v>31737.060344044043</v>
      </c>
      <c r="Q22" s="10"/>
      <c r="R22" s="10"/>
      <c r="S22" s="10"/>
    </row>
    <row r="23" spans="1:19" ht="14.4" customHeight="1" x14ac:dyDescent="0.3">
      <c r="B23" s="70" t="s">
        <v>349</v>
      </c>
      <c r="J23" s="11">
        <f>J22/J6</f>
        <v>1.9285242463958059E-3</v>
      </c>
      <c r="K23" s="11">
        <f t="shared" ref="K23:P23" si="20">K22/K6</f>
        <v>1.322807281847529E-2</v>
      </c>
      <c r="L23" s="11">
        <f t="shared" si="20"/>
        <v>4.1391195894599282E-2</v>
      </c>
      <c r="M23" s="11">
        <f t="shared" si="20"/>
        <v>6.6891435411953151E-2</v>
      </c>
      <c r="N23" s="11">
        <f t="shared" si="20"/>
        <v>0.10119425147734289</v>
      </c>
      <c r="O23" s="11">
        <f t="shared" si="20"/>
        <v>0.13514755372083623</v>
      </c>
      <c r="P23" s="11">
        <f t="shared" si="20"/>
        <v>0.14973712819640989</v>
      </c>
      <c r="Q23" s="10"/>
      <c r="R23" s="10"/>
      <c r="S23" s="10"/>
    </row>
    <row r="24" spans="1:19" ht="14.4" customHeight="1" x14ac:dyDescent="0.3">
      <c r="B24" s="70"/>
      <c r="L24" s="11"/>
      <c r="M24" s="11"/>
      <c r="N24" s="11"/>
      <c r="P24" s="10"/>
      <c r="Q24" s="10"/>
      <c r="R24" s="10"/>
      <c r="S24" s="10"/>
    </row>
    <row r="25" spans="1:19" ht="14.4" customHeight="1" x14ac:dyDescent="0.3">
      <c r="B25" s="58" t="s">
        <v>76</v>
      </c>
      <c r="C25" s="53"/>
      <c r="D25" s="53"/>
      <c r="E25" s="53"/>
      <c r="F25" s="53"/>
      <c r="G25" s="54">
        <f>(39872)*0.09</f>
        <v>3588.48</v>
      </c>
      <c r="H25" s="54">
        <f>(44862)*0.09</f>
        <v>4037.58</v>
      </c>
      <c r="I25" s="54">
        <v>6417</v>
      </c>
      <c r="J25" s="54">
        <v>6648</v>
      </c>
      <c r="K25" s="54">
        <v>7404</v>
      </c>
      <c r="L25" s="55">
        <f>L27*L29</f>
        <v>9592.4514262500034</v>
      </c>
      <c r="M25" s="55">
        <f>M27*M29</f>
        <v>11191.193330625003</v>
      </c>
      <c r="N25" s="55">
        <f t="shared" ref="N25:P25" si="21">N27*N29</f>
        <v>12244.439269581753</v>
      </c>
      <c r="O25" s="55">
        <f t="shared" si="21"/>
        <v>12961.613569657255</v>
      </c>
      <c r="P25" s="57">
        <f t="shared" si="21"/>
        <v>13650.625659412717</v>
      </c>
    </row>
    <row r="26" spans="1:19" ht="14.4" customHeight="1" x14ac:dyDescent="0.3">
      <c r="B26" s="45" t="s">
        <v>305</v>
      </c>
      <c r="G26" s="11"/>
      <c r="H26" s="11">
        <f>(H25-G25)/G25</f>
        <v>0.12515048154093095</v>
      </c>
      <c r="I26" s="11">
        <f>(I25-H25)/H25</f>
        <v>0.5893183540635728</v>
      </c>
      <c r="J26" s="11">
        <f>(J25-I25)/I25</f>
        <v>3.5998129967274424E-2</v>
      </c>
      <c r="K26" s="11">
        <f>(K25-J25)/J25</f>
        <v>0.11371841155234658</v>
      </c>
      <c r="L26" s="11">
        <f t="shared" ref="L26" si="22">(L25-K25)/K25</f>
        <v>0.29557690792139429</v>
      </c>
      <c r="M26" s="11">
        <f t="shared" ref="M26" si="23">(M25-L25)/L25</f>
        <v>0.16666666666666657</v>
      </c>
      <c r="N26" s="11">
        <f t="shared" ref="N26" si="24">(N25-M25)/M25</f>
        <v>9.4113818592921117E-2</v>
      </c>
      <c r="O26" s="11">
        <f t="shared" ref="O26" si="25">(O25-N25)/N25</f>
        <v>5.8571428571428462E-2</v>
      </c>
      <c r="P26" s="11">
        <f t="shared" ref="P26" si="26">(P25-O25)/O25</f>
        <v>5.3157894736841946E-2</v>
      </c>
    </row>
    <row r="27" spans="1:19" ht="14.4" customHeight="1" x14ac:dyDescent="0.3">
      <c r="B27" s="44" t="s">
        <v>304</v>
      </c>
      <c r="G27" s="12">
        <v>51.9</v>
      </c>
      <c r="H27" s="12">
        <v>59.7</v>
      </c>
      <c r="I27" s="8">
        <v>67</v>
      </c>
      <c r="J27" s="12">
        <v>82.5</v>
      </c>
      <c r="K27" s="8">
        <f>J27*1.07</f>
        <v>88.275000000000006</v>
      </c>
      <c r="L27" s="8">
        <f>K27*1.05</f>
        <v>92.688750000000013</v>
      </c>
      <c r="M27" s="8">
        <f>L27*1.05</f>
        <v>97.323187500000017</v>
      </c>
      <c r="N27" s="8">
        <f>M27*1.045</f>
        <v>101.70273093750001</v>
      </c>
      <c r="O27" s="8">
        <f>N27*1.04</f>
        <v>105.77084017500002</v>
      </c>
      <c r="P27" s="8">
        <f>O27*1.035</f>
        <v>109.47281958112501</v>
      </c>
    </row>
    <row r="28" spans="1:19" ht="14.4" customHeight="1" x14ac:dyDescent="0.3">
      <c r="B28" s="46" t="s">
        <v>305</v>
      </c>
      <c r="G28" s="11"/>
      <c r="H28" s="11">
        <f t="shared" ref="H28:M28" si="27">(H27-G27)/G27</f>
        <v>0.15028901734104055</v>
      </c>
      <c r="I28" s="11">
        <f t="shared" si="27"/>
        <v>0.12227805695142373</v>
      </c>
      <c r="J28" s="11">
        <f t="shared" si="27"/>
        <v>0.23134328358208955</v>
      </c>
      <c r="K28" s="11">
        <f t="shared" si="27"/>
        <v>7.0000000000000062E-2</v>
      </c>
      <c r="L28" s="11">
        <f t="shared" si="27"/>
        <v>5.0000000000000079E-2</v>
      </c>
      <c r="M28" s="11">
        <f t="shared" si="27"/>
        <v>5.0000000000000037E-2</v>
      </c>
      <c r="N28" s="11">
        <f t="shared" ref="N28:P28" si="28">(N27-M27)/M27</f>
        <v>4.4999999999999887E-2</v>
      </c>
      <c r="O28" s="11">
        <f t="shared" si="28"/>
        <v>4.0000000000000098E-2</v>
      </c>
      <c r="P28" s="11">
        <f t="shared" si="28"/>
        <v>3.4999999999999913E-2</v>
      </c>
    </row>
    <row r="29" spans="1:19" ht="14.4" customHeight="1" x14ac:dyDescent="0.3">
      <c r="B29" s="44" t="s">
        <v>306</v>
      </c>
      <c r="G29" s="8">
        <f>G25/G27</f>
        <v>69.14219653179191</v>
      </c>
      <c r="H29" s="8">
        <f>H25/H27</f>
        <v>67.631155778894467</v>
      </c>
      <c r="I29" s="8">
        <f>I25/I27</f>
        <v>95.776119402985074</v>
      </c>
      <c r="J29" s="8">
        <f>J25/J27</f>
        <v>80.581818181818178</v>
      </c>
      <c r="K29" s="8">
        <f>K25/K27</f>
        <v>83.874256584536951</v>
      </c>
      <c r="L29" s="8">
        <f>(K30+K31)*0.45</f>
        <v>103.49100000000001</v>
      </c>
      <c r="M29" s="8">
        <f>(L30+L31)*0.5</f>
        <v>114.99000000000001</v>
      </c>
      <c r="N29" s="8">
        <f>SUM(N30:N32)*0.28</f>
        <v>120.39440000000002</v>
      </c>
      <c r="O29" s="8">
        <f>SUM(O30:O32)*0.285</f>
        <v>122.54429999999999</v>
      </c>
      <c r="P29" s="8">
        <f>SUM(P30:P32)*0.29</f>
        <v>124.6942</v>
      </c>
    </row>
    <row r="30" spans="1:19" ht="14.4" customHeight="1" x14ac:dyDescent="0.3">
      <c r="B30" s="44" t="s">
        <v>307</v>
      </c>
      <c r="G30" s="12">
        <v>69.989999999999995</v>
      </c>
      <c r="H30" s="12">
        <v>69.989999999999995</v>
      </c>
      <c r="I30" s="12">
        <v>69.989999999999995</v>
      </c>
      <c r="J30" s="12">
        <v>69.989999999999995</v>
      </c>
      <c r="K30" s="12">
        <v>99.99</v>
      </c>
      <c r="L30" s="12">
        <v>99.99</v>
      </c>
      <c r="M30" s="12">
        <v>99.99</v>
      </c>
      <c r="N30" s="12">
        <v>99.99</v>
      </c>
      <c r="O30" s="12">
        <v>99.99</v>
      </c>
      <c r="P30" s="12">
        <v>99.99</v>
      </c>
    </row>
    <row r="31" spans="1:19" ht="14.4" customHeight="1" x14ac:dyDescent="0.3">
      <c r="B31" s="44" t="s">
        <v>308</v>
      </c>
      <c r="G31" s="12">
        <v>99.99</v>
      </c>
      <c r="H31" s="12">
        <v>99.99</v>
      </c>
      <c r="I31" s="12">
        <v>99.99</v>
      </c>
      <c r="J31" s="12">
        <v>99.99</v>
      </c>
      <c r="K31" s="12">
        <v>129.99</v>
      </c>
      <c r="L31" s="12">
        <v>129.99</v>
      </c>
      <c r="M31" s="12">
        <v>129.99</v>
      </c>
      <c r="N31" s="12">
        <v>129.99</v>
      </c>
      <c r="O31" s="12">
        <v>129.99</v>
      </c>
      <c r="P31" s="12">
        <v>129.99</v>
      </c>
    </row>
    <row r="32" spans="1:19" ht="14.4" customHeight="1" x14ac:dyDescent="0.3">
      <c r="B32" s="44" t="s">
        <v>309</v>
      </c>
      <c r="G32" s="12"/>
      <c r="H32" s="12"/>
      <c r="I32" s="12"/>
      <c r="J32" s="12">
        <v>240</v>
      </c>
      <c r="K32" s="12">
        <v>199.99</v>
      </c>
      <c r="L32" s="12">
        <v>200</v>
      </c>
      <c r="M32" s="12">
        <v>200</v>
      </c>
      <c r="N32" s="12">
        <v>200</v>
      </c>
      <c r="O32" s="12">
        <v>200</v>
      </c>
      <c r="P32" s="12">
        <v>200</v>
      </c>
    </row>
    <row r="33" spans="1:16" ht="14.4" customHeight="1" x14ac:dyDescent="0.3">
      <c r="B33" s="46"/>
      <c r="G33" s="11"/>
      <c r="H33" s="11"/>
      <c r="I33" s="11"/>
      <c r="J33" s="11"/>
      <c r="K33" s="11"/>
      <c r="L33" s="11"/>
      <c r="M33" s="11"/>
      <c r="N33" s="8"/>
    </row>
    <row r="34" spans="1:16" ht="14.4" customHeight="1" x14ac:dyDescent="0.3">
      <c r="B34" s="58" t="s">
        <v>77</v>
      </c>
      <c r="C34" s="53"/>
      <c r="D34" s="53"/>
      <c r="E34" s="53"/>
      <c r="F34" s="53"/>
      <c r="G34" s="54">
        <v>3754</v>
      </c>
      <c r="H34" s="54">
        <v>4687</v>
      </c>
      <c r="I34" s="54">
        <v>5796</v>
      </c>
      <c r="J34" s="54">
        <v>6831</v>
      </c>
      <c r="K34" s="54">
        <v>7827</v>
      </c>
      <c r="L34" s="55">
        <f>K34*1.15</f>
        <v>9001.0499999999993</v>
      </c>
      <c r="M34" s="55">
        <f>L34*1.16</f>
        <v>10441.217999999999</v>
      </c>
      <c r="N34" s="55">
        <f>M34*1.14</f>
        <v>11902.988519999997</v>
      </c>
      <c r="O34" s="55">
        <f>N34*1.12</f>
        <v>13331.347142399998</v>
      </c>
      <c r="P34" s="57">
        <f>O34*1.1</f>
        <v>14664.481856639999</v>
      </c>
    </row>
    <row r="35" spans="1:16" ht="14.4" customHeight="1" x14ac:dyDescent="0.3">
      <c r="B35" s="65"/>
      <c r="G35" s="12"/>
      <c r="H35" s="12"/>
      <c r="I35" s="12"/>
      <c r="J35" s="12"/>
      <c r="K35" s="12"/>
      <c r="L35" s="8"/>
      <c r="M35" s="8"/>
      <c r="N35" s="8"/>
      <c r="O35" s="8"/>
      <c r="P35" s="8"/>
    </row>
    <row r="36" spans="1:16" ht="14.4" customHeight="1" x14ac:dyDescent="0.3">
      <c r="B36" s="58" t="s">
        <v>78</v>
      </c>
      <c r="C36" s="53"/>
      <c r="D36" s="53"/>
      <c r="E36" s="53"/>
      <c r="F36" s="53"/>
      <c r="G36" s="54">
        <v>10289</v>
      </c>
      <c r="H36" s="54">
        <v>13816</v>
      </c>
      <c r="I36" s="54">
        <v>14989</v>
      </c>
      <c r="J36" s="54">
        <v>16372</v>
      </c>
      <c r="K36" s="54">
        <v>17812</v>
      </c>
      <c r="L36" s="55">
        <f>K36*1.095</f>
        <v>19504.14</v>
      </c>
      <c r="M36" s="55">
        <f>L36*1.09</f>
        <v>21259.512600000002</v>
      </c>
      <c r="N36" s="55">
        <f>M36*1.085</f>
        <v>23066.571171</v>
      </c>
      <c r="O36" s="55">
        <f>N36*1.08</f>
        <v>24911.896864680002</v>
      </c>
      <c r="P36" s="57">
        <f>O36*1.07</f>
        <v>26655.729645207604</v>
      </c>
    </row>
    <row r="37" spans="1:16" ht="14.4" customHeight="1" x14ac:dyDescent="0.3">
      <c r="L37" s="8"/>
      <c r="M37" s="8"/>
      <c r="N37" s="8"/>
      <c r="P37" s="8"/>
    </row>
    <row r="38" spans="1:16" ht="14.4" customHeight="1" x14ac:dyDescent="0.3">
      <c r="A38" s="43" t="s">
        <v>73</v>
      </c>
      <c r="B38" s="66" t="s">
        <v>70</v>
      </c>
      <c r="C38" s="66"/>
      <c r="D38" s="66"/>
      <c r="E38" s="66"/>
      <c r="F38" s="66"/>
      <c r="G38" s="67">
        <v>60080</v>
      </c>
      <c r="H38" s="67">
        <v>74965</v>
      </c>
      <c r="I38" s="67">
        <v>72944</v>
      </c>
      <c r="J38" s="67">
        <f>J41+J42+42</f>
        <v>87464</v>
      </c>
      <c r="K38" s="67">
        <f>K41+K42+70</f>
        <v>106265</v>
      </c>
      <c r="L38" s="67">
        <f>L44+L47</f>
        <v>137961.25</v>
      </c>
      <c r="M38" s="67">
        <f>M44+M47</f>
        <v>179360.57999999996</v>
      </c>
      <c r="N38" s="67">
        <f>N44+N47</f>
        <v>226975.30379999997</v>
      </c>
      <c r="O38" s="67">
        <f>O44+O47</f>
        <v>281843.83571399993</v>
      </c>
      <c r="P38" s="67">
        <f>P44+P47</f>
        <v>341972.48089997994</v>
      </c>
    </row>
    <row r="39" spans="1:16" ht="14.4" customHeight="1" x14ac:dyDescent="0.3">
      <c r="B39" s="5" t="s">
        <v>12</v>
      </c>
      <c r="G39" s="49">
        <f>(G38-51700)/51700</f>
        <v>0.16208897485493229</v>
      </c>
      <c r="H39" s="49">
        <f t="shared" ref="H39:P39" si="29">(H38-G38)/G38</f>
        <v>0.24775299600532624</v>
      </c>
      <c r="I39" s="49">
        <f t="shared" si="29"/>
        <v>-2.6959247648902823E-2</v>
      </c>
      <c r="J39" s="49">
        <f t="shared" si="29"/>
        <v>0.19905681070410178</v>
      </c>
      <c r="K39" s="49">
        <f t="shared" si="29"/>
        <v>0.21495701088447819</v>
      </c>
      <c r="L39" s="49">
        <f t="shared" si="29"/>
        <v>0.29827553757116643</v>
      </c>
      <c r="M39" s="49">
        <f t="shared" si="29"/>
        <v>0.30007940635504504</v>
      </c>
      <c r="N39" s="49">
        <f t="shared" si="29"/>
        <v>0.26546927870103909</v>
      </c>
      <c r="O39" s="49">
        <f t="shared" si="29"/>
        <v>0.24173789392676637</v>
      </c>
      <c r="P39" s="49">
        <f t="shared" si="29"/>
        <v>0.21334028836804275</v>
      </c>
    </row>
    <row r="41" spans="1:16" ht="14.4" customHeight="1" x14ac:dyDescent="0.3">
      <c r="B41" s="22" t="s">
        <v>79</v>
      </c>
      <c r="G41" s="12">
        <v>52589</v>
      </c>
      <c r="H41" s="12">
        <v>67350</v>
      </c>
      <c r="I41" s="12">
        <v>65007</v>
      </c>
      <c r="J41" s="12">
        <v>79828</v>
      </c>
      <c r="K41" s="12">
        <v>98435</v>
      </c>
      <c r="L41" s="8">
        <v>126629</v>
      </c>
      <c r="M41" s="8">
        <v>162267</v>
      </c>
      <c r="N41" s="8">
        <v>208714</v>
      </c>
    </row>
    <row r="42" spans="1:16" ht="14.4" customHeight="1" x14ac:dyDescent="0.3">
      <c r="B42" s="22" t="s">
        <v>80</v>
      </c>
      <c r="G42" s="12">
        <v>6943</v>
      </c>
      <c r="H42" s="12">
        <v>7407</v>
      </c>
      <c r="I42" s="12">
        <v>7722</v>
      </c>
      <c r="J42" s="12">
        <v>7594</v>
      </c>
      <c r="K42" s="12">
        <v>7760</v>
      </c>
      <c r="L42" s="8">
        <v>8096</v>
      </c>
      <c r="M42" s="8">
        <v>8358.33</v>
      </c>
    </row>
    <row r="43" spans="1:16" ht="14.4" customHeight="1" x14ac:dyDescent="0.3">
      <c r="B43" s="22"/>
      <c r="G43" s="12"/>
      <c r="H43" s="12"/>
      <c r="I43" s="12"/>
      <c r="J43" s="12"/>
      <c r="K43" s="12"/>
      <c r="L43" s="8"/>
      <c r="M43" s="8"/>
    </row>
    <row r="44" spans="1:16" ht="14.4" customHeight="1" x14ac:dyDescent="0.3">
      <c r="B44" s="68" t="s">
        <v>326</v>
      </c>
      <c r="C44" s="53"/>
      <c r="D44" s="53"/>
      <c r="E44" s="53"/>
      <c r="F44" s="53"/>
      <c r="G44" s="54"/>
      <c r="H44" s="54"/>
      <c r="I44" s="54"/>
      <c r="J44" s="54"/>
      <c r="K44" s="54">
        <v>75380</v>
      </c>
      <c r="L44" s="55">
        <f>K44*(1+L88)</f>
        <v>105532</v>
      </c>
      <c r="M44" s="55">
        <f>L44*(1+M88)</f>
        <v>145634.15999999997</v>
      </c>
      <c r="N44" s="55">
        <f>M44*(1+N88)</f>
        <v>192237.09119999997</v>
      </c>
      <c r="O44" s="55">
        <f>N44*1.28</f>
        <v>246063.47673599995</v>
      </c>
      <c r="P44" s="57">
        <f>O44*1.24</f>
        <v>305118.71115263994</v>
      </c>
    </row>
    <row r="45" spans="1:16" ht="14.4" customHeight="1" x14ac:dyDescent="0.3">
      <c r="B45" s="5" t="s">
        <v>12</v>
      </c>
      <c r="G45" s="11"/>
      <c r="H45" s="11"/>
      <c r="I45" s="11"/>
      <c r="J45" s="11"/>
      <c r="K45" s="11"/>
      <c r="L45" s="11">
        <f>(L44-K44)/K44</f>
        <v>0.4</v>
      </c>
      <c r="M45" s="11">
        <f>(M44-L44)/L44</f>
        <v>0.37999999999999978</v>
      </c>
      <c r="N45" s="11">
        <f>(N44-M44)/M44</f>
        <v>0.32</v>
      </c>
      <c r="O45" s="11">
        <f>(O44-N44)/N44</f>
        <v>0.27999999999999997</v>
      </c>
      <c r="P45" s="11">
        <f>(P44-O44)/O44</f>
        <v>0.24</v>
      </c>
    </row>
    <row r="47" spans="1:16" ht="14.4" customHeight="1" x14ac:dyDescent="0.3">
      <c r="B47" s="22" t="s">
        <v>327</v>
      </c>
      <c r="G47" s="12"/>
      <c r="H47" s="12"/>
      <c r="I47" s="12"/>
      <c r="J47" s="12"/>
      <c r="K47" s="8">
        <f>K38-K44</f>
        <v>30885</v>
      </c>
      <c r="L47" s="8">
        <f>K47*1.05</f>
        <v>32429.25</v>
      </c>
      <c r="M47" s="8">
        <f>L47*1.04</f>
        <v>33726.42</v>
      </c>
      <c r="N47" s="8">
        <f>M47*1.03</f>
        <v>34738.212599999999</v>
      </c>
      <c r="O47" s="8">
        <f>N47*1.03</f>
        <v>35780.358977999997</v>
      </c>
      <c r="P47" s="8">
        <f>O47*1.03</f>
        <v>36853.769747339997</v>
      </c>
    </row>
    <row r="48" spans="1:16" ht="14.4" customHeight="1" x14ac:dyDescent="0.3">
      <c r="B48" s="5" t="s">
        <v>12</v>
      </c>
      <c r="G48" s="11"/>
      <c r="H48" s="11"/>
      <c r="I48" s="11"/>
      <c r="J48" s="11"/>
      <c r="K48" s="11"/>
      <c r="L48" s="11">
        <f t="shared" ref="L48" si="30">(L47-K47)/K47</f>
        <v>0.05</v>
      </c>
      <c r="M48" s="11">
        <f t="shared" ref="M48" si="31">(M47-L47)/L47</f>
        <v>3.9999999999999945E-2</v>
      </c>
      <c r="N48" s="11">
        <f>(N47-M47)/M47</f>
        <v>3.0000000000000023E-2</v>
      </c>
      <c r="O48" s="11">
        <f t="shared" ref="O48" si="32">(O47-N47)/N47</f>
        <v>2.9999999999999933E-2</v>
      </c>
      <c r="P48" s="11">
        <f t="shared" ref="P48" si="33">(P47-O47)/O47</f>
        <v>3.0000000000000006E-2</v>
      </c>
    </row>
    <row r="50" spans="1:16" ht="14.4" customHeight="1" x14ac:dyDescent="0.3">
      <c r="B50" s="5"/>
      <c r="G50" s="11"/>
      <c r="H50" s="11"/>
      <c r="I50" s="11"/>
      <c r="J50" s="11"/>
      <c r="K50" s="11"/>
      <c r="L50" s="11"/>
      <c r="M50" s="11"/>
      <c r="N50" s="11"/>
      <c r="O50" s="11"/>
      <c r="P50" s="11"/>
    </row>
    <row r="51" spans="1:16" ht="14.4" customHeight="1" x14ac:dyDescent="0.3">
      <c r="A51" s="43" t="s">
        <v>73</v>
      </c>
      <c r="B51" s="62" t="s">
        <v>81</v>
      </c>
      <c r="C51" s="62"/>
      <c r="D51" s="62"/>
      <c r="E51" s="62"/>
      <c r="F51" s="62"/>
      <c r="G51" s="63">
        <v>54093</v>
      </c>
      <c r="H51" s="63">
        <v>59941</v>
      </c>
      <c r="I51" s="63">
        <v>44820</v>
      </c>
      <c r="J51" s="64">
        <f>J54+J55+J56+3</f>
        <v>50838</v>
      </c>
      <c r="K51" s="64">
        <f>K54+K55+K56+2</f>
        <v>54649</v>
      </c>
      <c r="L51" s="64">
        <f>SUM(L54:L56)</f>
        <v>53338.15</v>
      </c>
      <c r="M51" s="64">
        <f>SUM(M54:M56)</f>
        <v>53481.695599999999</v>
      </c>
      <c r="N51" s="64">
        <f>M51*1.026</f>
        <v>54872.219685600001</v>
      </c>
      <c r="O51" s="64">
        <f t="shared" ref="O51:P51" si="34">N51*1.026</f>
        <v>56298.897397425601</v>
      </c>
      <c r="P51" s="64">
        <f t="shared" si="34"/>
        <v>57762.668729758669</v>
      </c>
    </row>
    <row r="52" spans="1:16" ht="14.4" customHeight="1" x14ac:dyDescent="0.3">
      <c r="B52" s="5" t="s">
        <v>12</v>
      </c>
      <c r="G52" s="49">
        <f>(G51-48251)/48251</f>
        <v>0.12107521087645852</v>
      </c>
      <c r="H52" s="49">
        <f t="shared" ref="H52:P52" si="35">(H51-G51)/G51</f>
        <v>0.10811010666814561</v>
      </c>
      <c r="I52" s="49">
        <f t="shared" si="35"/>
        <v>-0.25226472698153185</v>
      </c>
      <c r="J52" s="49">
        <f t="shared" si="35"/>
        <v>0.13427041499330655</v>
      </c>
      <c r="K52" s="49">
        <f t="shared" si="35"/>
        <v>7.4963609898107714E-2</v>
      </c>
      <c r="L52" s="49">
        <f t="shared" si="35"/>
        <v>-2.3986715218942682E-2</v>
      </c>
      <c r="M52" s="49">
        <f t="shared" si="35"/>
        <v>2.6912369476631199E-3</v>
      </c>
      <c r="N52" s="49">
        <f t="shared" si="35"/>
        <v>2.6000000000000034E-2</v>
      </c>
      <c r="O52" s="49">
        <f t="shared" si="35"/>
        <v>2.5999999999999992E-2</v>
      </c>
      <c r="P52" s="49">
        <f t="shared" si="35"/>
        <v>2.6000000000000044E-2</v>
      </c>
    </row>
    <row r="54" spans="1:16" ht="14.4" customHeight="1" x14ac:dyDescent="0.3">
      <c r="B54" s="22" t="s">
        <v>82</v>
      </c>
      <c r="G54" s="12">
        <f>22488+7143</f>
        <v>29631</v>
      </c>
      <c r="H54" s="12">
        <f>24732+4687</f>
        <v>29419</v>
      </c>
      <c r="I54" s="12">
        <v>17147</v>
      </c>
      <c r="J54" s="12">
        <v>17026</v>
      </c>
      <c r="K54" s="12">
        <v>17314</v>
      </c>
      <c r="L54" s="8">
        <f>K54*0.92</f>
        <v>15928.880000000001</v>
      </c>
      <c r="M54" s="8">
        <f>L54*0.97</f>
        <v>15451.0136</v>
      </c>
      <c r="N54" s="8">
        <f>M54*0.97</f>
        <v>14987.483192</v>
      </c>
      <c r="O54" s="8">
        <f>N54*1.02</f>
        <v>15287.23285584</v>
      </c>
      <c r="P54" s="8">
        <f>O54*1.04</f>
        <v>15898.722170073601</v>
      </c>
    </row>
    <row r="55" spans="1:16" ht="14.4" customHeight="1" x14ac:dyDescent="0.3">
      <c r="B55" s="22" t="s">
        <v>83</v>
      </c>
      <c r="G55" s="12">
        <v>7407</v>
      </c>
      <c r="H55" s="12">
        <v>7722</v>
      </c>
      <c r="I55" s="12">
        <v>12125</v>
      </c>
      <c r="J55" s="12">
        <v>12306</v>
      </c>
      <c r="K55" s="12">
        <v>13878</v>
      </c>
      <c r="L55" s="8">
        <f>K55*1.09</f>
        <v>15127.02</v>
      </c>
      <c r="M55" s="8">
        <f>L55*1.1</f>
        <v>16639.722000000002</v>
      </c>
      <c r="N55" s="8">
        <f>M55*1.09</f>
        <v>18137.296980000003</v>
      </c>
      <c r="O55" s="8">
        <f>N55*1.08</f>
        <v>19588.280738400004</v>
      </c>
      <c r="P55" s="8">
        <f>O55*1.07</f>
        <v>20959.460390088007</v>
      </c>
    </row>
    <row r="56" spans="1:16" ht="14.4" customHeight="1" x14ac:dyDescent="0.3">
      <c r="B56" s="22" t="s">
        <v>84</v>
      </c>
      <c r="G56" s="12">
        <v>15370</v>
      </c>
      <c r="H56" s="12">
        <v>16230</v>
      </c>
      <c r="I56" s="12">
        <v>15466</v>
      </c>
      <c r="J56" s="12">
        <v>21503</v>
      </c>
      <c r="K56" s="12">
        <v>23455</v>
      </c>
      <c r="L56" s="8">
        <f>K56*0.95</f>
        <v>22282.25</v>
      </c>
      <c r="M56" s="8">
        <f>L56*0.96</f>
        <v>21390.959999999999</v>
      </c>
      <c r="N56" s="8">
        <f>M56*1.08</f>
        <v>23102.236799999999</v>
      </c>
      <c r="O56" s="8">
        <f>N56*1.07</f>
        <v>24719.393376</v>
      </c>
      <c r="P56" s="8">
        <f>O56*1.05</f>
        <v>25955.3630448</v>
      </c>
    </row>
    <row r="57" spans="1:16" ht="14.4" customHeight="1" x14ac:dyDescent="0.3">
      <c r="B57" s="22"/>
      <c r="G57" s="12"/>
      <c r="H57" s="12"/>
      <c r="I57" s="12"/>
      <c r="J57" s="12"/>
      <c r="K57" s="12"/>
      <c r="L57" s="49"/>
      <c r="M57" s="49"/>
      <c r="N57" s="49"/>
      <c r="O57" s="49"/>
      <c r="P57" s="49"/>
    </row>
    <row r="58" spans="1:16" ht="14.4" customHeight="1" x14ac:dyDescent="0.3">
      <c r="B58" s="59" t="s">
        <v>97</v>
      </c>
      <c r="C58" s="52"/>
      <c r="D58" s="52"/>
      <c r="E58" s="52"/>
      <c r="F58" s="52"/>
      <c r="G58" s="60">
        <f t="shared" ref="G58:P58" si="36">G51+G38+G6</f>
        <v>168088</v>
      </c>
      <c r="H58" s="60">
        <f t="shared" si="36"/>
        <v>198270</v>
      </c>
      <c r="I58" s="60">
        <f t="shared" si="36"/>
        <v>211915</v>
      </c>
      <c r="J58" s="60">
        <f t="shared" si="36"/>
        <v>245122</v>
      </c>
      <c r="K58" s="60">
        <f t="shared" si="36"/>
        <v>281724</v>
      </c>
      <c r="L58" s="60">
        <f t="shared" si="36"/>
        <v>328666.58529173699</v>
      </c>
      <c r="M58" s="60">
        <f t="shared" si="36"/>
        <v>389016.16009085113</v>
      </c>
      <c r="N58" s="60">
        <f t="shared" si="36"/>
        <v>457874.86257914396</v>
      </c>
      <c r="O58" s="60">
        <f t="shared" si="36"/>
        <v>534807.80699729046</v>
      </c>
      <c r="P58" s="61">
        <f t="shared" si="36"/>
        <v>611686.993012327</v>
      </c>
    </row>
    <row r="59" spans="1:16" ht="14.4" customHeight="1" x14ac:dyDescent="0.3">
      <c r="L59" s="8"/>
    </row>
    <row r="60" spans="1:16" ht="14.4" customHeight="1" x14ac:dyDescent="0.3">
      <c r="A60" s="43" t="s">
        <v>73</v>
      </c>
      <c r="B60" s="2" t="s">
        <v>85</v>
      </c>
      <c r="C60" s="2"/>
      <c r="D60" s="2"/>
      <c r="E60" s="2"/>
      <c r="F60" s="2"/>
      <c r="G60" s="2">
        <v>2021</v>
      </c>
      <c r="H60" s="2">
        <f>G60+1</f>
        <v>2022</v>
      </c>
      <c r="I60" s="2">
        <f>H60+1</f>
        <v>2023</v>
      </c>
      <c r="J60" s="2">
        <f>I60+1</f>
        <v>2024</v>
      </c>
      <c r="K60" s="2">
        <f>J60+1</f>
        <v>2025</v>
      </c>
      <c r="L60" s="3" t="s">
        <v>6</v>
      </c>
      <c r="M60" s="3" t="s">
        <v>7</v>
      </c>
      <c r="N60" s="3" t="s">
        <v>8</v>
      </c>
      <c r="O60" s="3" t="s">
        <v>9</v>
      </c>
      <c r="P60" s="3" t="s">
        <v>10</v>
      </c>
    </row>
    <row r="61" spans="1:16" s="23" customFormat="1" ht="1.95" customHeight="1" x14ac:dyDescent="0.3"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5"/>
      <c r="M61" s="25"/>
      <c r="N61" s="25"/>
      <c r="O61" s="25"/>
      <c r="P61" s="25"/>
    </row>
    <row r="62" spans="1:16" ht="14.4" customHeight="1" x14ac:dyDescent="0.3">
      <c r="B62" s="1" t="s">
        <v>71</v>
      </c>
      <c r="G62" s="12">
        <v>24351</v>
      </c>
      <c r="H62" s="12">
        <v>29690</v>
      </c>
      <c r="I62" s="12">
        <v>50074</v>
      </c>
      <c r="J62" s="12">
        <v>59661</v>
      </c>
      <c r="K62" s="12">
        <v>69773</v>
      </c>
      <c r="L62" s="8">
        <f>L6*0.5758</f>
        <v>79096.025290982143</v>
      </c>
      <c r="M62" s="8">
        <f>M6*0.575</f>
        <v>89799.983582239394</v>
      </c>
      <c r="N62" s="8">
        <f>N6*0.58</f>
        <v>102095.85667425553</v>
      </c>
      <c r="O62" s="8">
        <f t="shared" ref="O62:P62" si="37">O6*0.58</f>
        <v>114065.74285380164</v>
      </c>
      <c r="P62" s="8">
        <f t="shared" si="37"/>
        <v>122932.06916190131</v>
      </c>
    </row>
    <row r="63" spans="1:16" ht="14.4" customHeight="1" x14ac:dyDescent="0.3">
      <c r="B63" s="5" t="s">
        <v>86</v>
      </c>
      <c r="G63" s="11">
        <f t="shared" ref="G63:N63" si="38">G62/G6</f>
        <v>0.45165538347398682</v>
      </c>
      <c r="H63" s="11">
        <f t="shared" si="38"/>
        <v>0.46856259074553375</v>
      </c>
      <c r="I63" s="11">
        <f t="shared" si="38"/>
        <v>0.53184777644422254</v>
      </c>
      <c r="J63" s="11">
        <f t="shared" si="38"/>
        <v>0.55851900393184795</v>
      </c>
      <c r="K63" s="11">
        <f t="shared" si="38"/>
        <v>0.57754324973098259</v>
      </c>
      <c r="L63" s="11">
        <f t="shared" si="38"/>
        <v>0.57579999999999998</v>
      </c>
      <c r="M63" s="11">
        <f t="shared" si="38"/>
        <v>0.57499999999999996</v>
      </c>
      <c r="N63" s="11">
        <f t="shared" si="38"/>
        <v>0.57999999999999996</v>
      </c>
      <c r="O63" s="11">
        <f t="shared" ref="O63" si="39">O62/O6</f>
        <v>0.57999999999999996</v>
      </c>
      <c r="P63" s="11">
        <f t="shared" ref="P63" si="40">P62/P6</f>
        <v>0.57999999999999996</v>
      </c>
    </row>
    <row r="65" spans="1:16" ht="14.4" customHeight="1" x14ac:dyDescent="0.3">
      <c r="B65" s="1" t="s">
        <v>70</v>
      </c>
      <c r="G65" s="12">
        <v>26126</v>
      </c>
      <c r="H65" s="12">
        <v>33203</v>
      </c>
      <c r="I65" s="12">
        <v>28411</v>
      </c>
      <c r="J65" s="12">
        <v>37813</v>
      </c>
      <c r="K65" s="12">
        <v>44589</v>
      </c>
      <c r="L65" s="8">
        <f>L38*0.41</f>
        <v>56564.112499999996</v>
      </c>
      <c r="M65" s="8">
        <f>M38*0.42</f>
        <v>75331.443599999984</v>
      </c>
      <c r="N65" s="8">
        <f>N38*0.43</f>
        <v>97599.380633999986</v>
      </c>
      <c r="O65" s="8">
        <f>O38*0.44</f>
        <v>124011.28771415997</v>
      </c>
      <c r="P65" s="8">
        <f>P38*0.44</f>
        <v>150467.89159599118</v>
      </c>
    </row>
    <row r="66" spans="1:16" ht="14.4" customHeight="1" x14ac:dyDescent="0.3">
      <c r="B66" s="5" t="s">
        <v>86</v>
      </c>
      <c r="G66" s="11">
        <f t="shared" ref="G66:P66" si="41">G65/G38</f>
        <v>0.43485352862849536</v>
      </c>
      <c r="H66" s="11">
        <f t="shared" si="41"/>
        <v>0.44291335956779831</v>
      </c>
      <c r="I66" s="11">
        <f t="shared" si="41"/>
        <v>0.38949056810704102</v>
      </c>
      <c r="J66" s="11">
        <f t="shared" si="41"/>
        <v>0.43232644287935607</v>
      </c>
      <c r="K66" s="11">
        <f t="shared" si="41"/>
        <v>0.41960193854985178</v>
      </c>
      <c r="L66" s="11">
        <f t="shared" si="41"/>
        <v>0.41</v>
      </c>
      <c r="M66" s="11">
        <f t="shared" si="41"/>
        <v>0.42</v>
      </c>
      <c r="N66" s="11">
        <f t="shared" si="41"/>
        <v>0.43</v>
      </c>
      <c r="O66" s="11">
        <f t="shared" si="41"/>
        <v>0.44</v>
      </c>
      <c r="P66" s="11">
        <f t="shared" si="41"/>
        <v>0.44</v>
      </c>
    </row>
    <row r="68" spans="1:16" ht="14.4" customHeight="1" x14ac:dyDescent="0.3">
      <c r="B68" s="1" t="s">
        <v>81</v>
      </c>
      <c r="G68" s="12">
        <v>19439</v>
      </c>
      <c r="H68" s="12">
        <v>20490</v>
      </c>
      <c r="I68" s="12">
        <v>10038</v>
      </c>
      <c r="J68" s="12">
        <v>11959</v>
      </c>
      <c r="K68" s="12">
        <v>14166</v>
      </c>
      <c r="L68" s="8">
        <f>L51*0.245</f>
        <v>13067.846750000001</v>
      </c>
      <c r="M68" s="8">
        <f>M51*0.24</f>
        <v>12835.606943999999</v>
      </c>
      <c r="N68" s="8">
        <f>N51*0.25</f>
        <v>13718.0549214</v>
      </c>
      <c r="O68" s="8">
        <f>O51*0.255</f>
        <v>14356.218836343529</v>
      </c>
      <c r="P68" s="8">
        <f t="shared" ref="P68" si="42">P51*0.26</f>
        <v>15018.293869737254</v>
      </c>
    </row>
    <row r="69" spans="1:16" ht="14.4" customHeight="1" x14ac:dyDescent="0.3">
      <c r="B69" s="5" t="s">
        <v>86</v>
      </c>
      <c r="G69" s="11">
        <f t="shared" ref="G69:P69" si="43">G68/G51</f>
        <v>0.359362579261642</v>
      </c>
      <c r="H69" s="11">
        <f t="shared" si="43"/>
        <v>0.34183613886988873</v>
      </c>
      <c r="I69" s="11">
        <f t="shared" si="43"/>
        <v>0.22396251673360107</v>
      </c>
      <c r="J69" s="11">
        <f t="shared" si="43"/>
        <v>0.23523742082694049</v>
      </c>
      <c r="K69" s="11">
        <f t="shared" si="43"/>
        <v>0.25921791798569049</v>
      </c>
      <c r="L69" s="11">
        <f t="shared" si="43"/>
        <v>0.245</v>
      </c>
      <c r="M69" s="11">
        <f t="shared" si="43"/>
        <v>0.24</v>
      </c>
      <c r="N69" s="11">
        <f t="shared" si="43"/>
        <v>0.25</v>
      </c>
      <c r="O69" s="11">
        <f t="shared" si="43"/>
        <v>0.255</v>
      </c>
      <c r="P69" s="11">
        <f t="shared" si="43"/>
        <v>0.26</v>
      </c>
    </row>
    <row r="70" spans="1:16" ht="14.4" customHeight="1" x14ac:dyDescent="0.3">
      <c r="B70" s="5"/>
      <c r="G70" s="11"/>
      <c r="H70" s="11"/>
      <c r="I70" s="11"/>
      <c r="J70" s="11"/>
      <c r="K70" s="11"/>
      <c r="L70" s="11"/>
      <c r="M70" s="11"/>
      <c r="N70" s="11"/>
    </row>
    <row r="71" spans="1:16" ht="14.4" customHeight="1" x14ac:dyDescent="0.3">
      <c r="B71" s="4" t="s">
        <v>98</v>
      </c>
      <c r="C71" s="4"/>
      <c r="D71" s="4"/>
      <c r="E71" s="4"/>
      <c r="F71" s="4"/>
      <c r="G71" s="27">
        <f>G62+G65+G68</f>
        <v>69916</v>
      </c>
      <c r="H71" s="27">
        <f t="shared" ref="H71:P71" si="44">H62+H65+H68</f>
        <v>83383</v>
      </c>
      <c r="I71" s="27">
        <f t="shared" si="44"/>
        <v>88523</v>
      </c>
      <c r="J71" s="27">
        <f t="shared" si="44"/>
        <v>109433</v>
      </c>
      <c r="K71" s="27">
        <f t="shared" si="44"/>
        <v>128528</v>
      </c>
      <c r="L71" s="27">
        <f t="shared" si="44"/>
        <v>148727.98454098214</v>
      </c>
      <c r="M71" s="27">
        <f t="shared" si="44"/>
        <v>177967.03412623936</v>
      </c>
      <c r="N71" s="27">
        <f t="shared" si="44"/>
        <v>213413.29222965552</v>
      </c>
      <c r="O71" s="27">
        <f t="shared" si="44"/>
        <v>252433.24940430516</v>
      </c>
      <c r="P71" s="27">
        <f t="shared" si="44"/>
        <v>288418.25462762971</v>
      </c>
    </row>
    <row r="73" spans="1:16" ht="14.4" customHeight="1" x14ac:dyDescent="0.3">
      <c r="A73" s="43" t="s">
        <v>73</v>
      </c>
      <c r="B73" s="2" t="s">
        <v>91</v>
      </c>
      <c r="C73" s="2"/>
      <c r="D73" s="2"/>
      <c r="E73" s="2"/>
      <c r="F73" s="2"/>
      <c r="G73" s="2">
        <v>2021</v>
      </c>
      <c r="H73" s="2">
        <f>G73+1</f>
        <v>2022</v>
      </c>
      <c r="I73" s="2">
        <f>H73+1</f>
        <v>2023</v>
      </c>
      <c r="J73" s="2">
        <f>I73+1</f>
        <v>2024</v>
      </c>
      <c r="K73" s="2">
        <f>J73+1</f>
        <v>2025</v>
      </c>
      <c r="L73" s="3" t="s">
        <v>6</v>
      </c>
      <c r="M73" s="3" t="s">
        <v>7</v>
      </c>
      <c r="N73" s="3" t="s">
        <v>8</v>
      </c>
      <c r="O73" s="3" t="s">
        <v>9</v>
      </c>
      <c r="P73" s="3" t="s">
        <v>10</v>
      </c>
    </row>
    <row r="74" spans="1:16" s="23" customFormat="1" ht="1.95" customHeight="1" x14ac:dyDescent="0.3"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5"/>
      <c r="M74" s="25"/>
      <c r="N74" s="25"/>
      <c r="O74" s="25"/>
      <c r="P74" s="25"/>
    </row>
    <row r="75" spans="1:16" ht="14.4" customHeight="1" x14ac:dyDescent="0.3">
      <c r="B75" s="1" t="s">
        <v>89</v>
      </c>
      <c r="G75" s="12">
        <v>83953</v>
      </c>
      <c r="H75" s="12">
        <v>100218</v>
      </c>
      <c r="I75" s="12">
        <v>106744</v>
      </c>
      <c r="J75" s="12">
        <v>124704</v>
      </c>
      <c r="K75" s="12">
        <v>144546</v>
      </c>
    </row>
    <row r="76" spans="1:16" ht="14.4" customHeight="1" x14ac:dyDescent="0.3">
      <c r="B76" s="5" t="s">
        <v>12</v>
      </c>
      <c r="G76" s="11">
        <f>(G75-73160)/73160</f>
        <v>0.14752597047566976</v>
      </c>
      <c r="H76" s="11">
        <f>(H75-G75)/G75</f>
        <v>0.19373935416244803</v>
      </c>
      <c r="I76" s="11">
        <f t="shared" ref="I76:K76" si="45">(I75-H75)/H75</f>
        <v>6.5118042666985967E-2</v>
      </c>
      <c r="J76" s="11">
        <f t="shared" si="45"/>
        <v>0.16825301656299183</v>
      </c>
      <c r="K76" s="11">
        <f t="shared" si="45"/>
        <v>0.159112779060816</v>
      </c>
      <c r="L76" s="11"/>
      <c r="M76" s="11"/>
    </row>
    <row r="77" spans="1:16" ht="14.4" customHeight="1" x14ac:dyDescent="0.3">
      <c r="B77" s="1" t="s">
        <v>90</v>
      </c>
      <c r="G77" s="12">
        <v>84135</v>
      </c>
      <c r="H77" s="12">
        <v>98052</v>
      </c>
      <c r="I77" s="12">
        <v>105171</v>
      </c>
      <c r="J77" s="12">
        <v>120518</v>
      </c>
      <c r="K77" s="12">
        <v>137178</v>
      </c>
    </row>
    <row r="78" spans="1:16" ht="14.4" customHeight="1" x14ac:dyDescent="0.3">
      <c r="B78" s="5" t="s">
        <v>12</v>
      </c>
      <c r="G78" s="11">
        <f>(G77-69855)/69855</f>
        <v>0.20442344857204209</v>
      </c>
      <c r="H78" s="11">
        <f t="shared" ref="H78:K78" si="46">(H77-G77)/G77</f>
        <v>0.1654127295418078</v>
      </c>
      <c r="I78" s="11">
        <f t="shared" si="46"/>
        <v>7.260433239505569E-2</v>
      </c>
      <c r="J78" s="11">
        <f t="shared" si="46"/>
        <v>0.14592425668672923</v>
      </c>
      <c r="K78" s="11">
        <f t="shared" si="46"/>
        <v>0.13823661195837966</v>
      </c>
      <c r="L78" s="11"/>
      <c r="M78" s="11"/>
    </row>
    <row r="80" spans="1:16" ht="14.4" customHeight="1" x14ac:dyDescent="0.3">
      <c r="A80" s="43" t="s">
        <v>73</v>
      </c>
      <c r="B80" s="2" t="s">
        <v>69</v>
      </c>
      <c r="C80" s="2"/>
      <c r="D80" s="2"/>
      <c r="E80" s="2"/>
      <c r="F80" s="2"/>
      <c r="G80" s="2">
        <v>2021</v>
      </c>
      <c r="H80" s="2">
        <f>G80+1</f>
        <v>2022</v>
      </c>
      <c r="I80" s="2">
        <f>H80+1</f>
        <v>2023</v>
      </c>
      <c r="J80" s="2">
        <f>I80+1</f>
        <v>2024</v>
      </c>
      <c r="K80" s="2">
        <f>J80+1</f>
        <v>2025</v>
      </c>
      <c r="L80" s="3" t="s">
        <v>6</v>
      </c>
      <c r="M80" s="3" t="s">
        <v>7</v>
      </c>
      <c r="N80" s="3" t="s">
        <v>8</v>
      </c>
      <c r="O80" s="3" t="s">
        <v>9</v>
      </c>
      <c r="P80" s="3" t="s">
        <v>10</v>
      </c>
    </row>
    <row r="81" spans="2:17" s="23" customFormat="1" ht="1.95" customHeight="1" x14ac:dyDescent="0.3"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5"/>
      <c r="M81" s="25"/>
      <c r="N81" s="25"/>
      <c r="O81" s="25"/>
      <c r="P81" s="25"/>
    </row>
    <row r="82" spans="2:17" ht="14.4" customHeight="1" x14ac:dyDescent="0.3">
      <c r="B82" s="1" t="s">
        <v>92</v>
      </c>
      <c r="C82" s="24"/>
      <c r="D82" s="24"/>
      <c r="E82" s="24"/>
      <c r="F82" s="24"/>
      <c r="G82" s="12">
        <v>173049</v>
      </c>
      <c r="H82" s="12">
        <v>202537</v>
      </c>
      <c r="I82" s="12">
        <v>217320</v>
      </c>
      <c r="J82" s="12">
        <v>268695</v>
      </c>
      <c r="K82" s="12">
        <v>288805</v>
      </c>
      <c r="L82" s="25">
        <v>333705</v>
      </c>
      <c r="M82" s="25" t="s">
        <v>75</v>
      </c>
      <c r="N82" s="25" t="s">
        <v>75</v>
      </c>
      <c r="O82" s="25"/>
      <c r="P82" s="25"/>
    </row>
    <row r="83" spans="2:17" ht="14.4" customHeight="1" x14ac:dyDescent="0.3">
      <c r="B83" s="1" t="s">
        <v>96</v>
      </c>
      <c r="G83" s="12">
        <v>141000</v>
      </c>
      <c r="H83" s="12">
        <v>189000</v>
      </c>
      <c r="I83" s="12">
        <v>224000</v>
      </c>
      <c r="J83" s="12">
        <v>269000</v>
      </c>
      <c r="K83" s="12">
        <v>368000</v>
      </c>
      <c r="L83" s="12">
        <v>625000</v>
      </c>
    </row>
    <row r="84" spans="2:17" ht="14.4" customHeight="1" x14ac:dyDescent="0.3">
      <c r="B84" s="1" t="s">
        <v>346</v>
      </c>
      <c r="G84" s="8">
        <f>G83*0.5</f>
        <v>70500</v>
      </c>
      <c r="H84" s="8">
        <f>H83*0.45</f>
        <v>85050</v>
      </c>
      <c r="I84" s="8">
        <f>I83*0.45</f>
        <v>100800</v>
      </c>
      <c r="J84" s="8">
        <f>J83*0.45</f>
        <v>121050</v>
      </c>
      <c r="K84" s="8">
        <f>K83*0.4</f>
        <v>147200</v>
      </c>
      <c r="L84" s="8">
        <f>L83*0.25</f>
        <v>156250</v>
      </c>
    </row>
    <row r="85" spans="2:17" ht="14.4" customHeight="1" x14ac:dyDescent="0.3">
      <c r="B85" s="1" t="s">
        <v>336</v>
      </c>
      <c r="G85" s="12"/>
      <c r="H85" s="12"/>
      <c r="I85" s="12"/>
      <c r="J85" s="12"/>
      <c r="K85" s="12"/>
      <c r="L85" s="8">
        <f>L83*0.45</f>
        <v>281250</v>
      </c>
    </row>
    <row r="86" spans="2:17" ht="14.4" customHeight="1" x14ac:dyDescent="0.3">
      <c r="B86" s="1" t="s">
        <v>337</v>
      </c>
      <c r="G86" s="12"/>
      <c r="H86" s="12"/>
      <c r="I86" s="12"/>
      <c r="J86" s="12"/>
      <c r="K86" s="12">
        <f>L86/(1+L87)</f>
        <v>268554.6875</v>
      </c>
      <c r="L86" s="8">
        <f>L83*0.55</f>
        <v>343750</v>
      </c>
      <c r="M86" s="8"/>
      <c r="N86" s="8"/>
      <c r="O86" s="8"/>
      <c r="P86" s="8"/>
    </row>
    <row r="87" spans="2:17" ht="14.4" customHeight="1" x14ac:dyDescent="0.3">
      <c r="B87" s="5" t="s">
        <v>338</v>
      </c>
      <c r="G87" s="11"/>
      <c r="H87" s="11"/>
      <c r="I87" s="11"/>
      <c r="J87" s="11"/>
      <c r="K87" s="11"/>
      <c r="L87" s="11">
        <v>0.28000000000000003</v>
      </c>
      <c r="M87" s="11"/>
      <c r="N87" s="11"/>
    </row>
    <row r="88" spans="2:17" ht="14.4" customHeight="1" x14ac:dyDescent="0.3">
      <c r="B88" s="5" t="s">
        <v>93</v>
      </c>
      <c r="G88" s="11">
        <v>0.498</v>
      </c>
      <c r="H88" s="11">
        <v>0.45</v>
      </c>
      <c r="I88" s="11">
        <v>0.28999999999999998</v>
      </c>
      <c r="J88" s="11">
        <v>0.3</v>
      </c>
      <c r="K88" s="11">
        <v>0.34200000000000003</v>
      </c>
      <c r="L88" s="11">
        <v>0.4</v>
      </c>
      <c r="M88" s="11">
        <v>0.38</v>
      </c>
      <c r="N88" s="11">
        <v>0.32</v>
      </c>
    </row>
    <row r="89" spans="2:17" ht="14.4" customHeight="1" x14ac:dyDescent="0.3">
      <c r="B89" s="5" t="s">
        <v>94</v>
      </c>
      <c r="G89" s="11"/>
      <c r="H89" s="11">
        <v>0.47</v>
      </c>
      <c r="I89" s="11">
        <v>0.34</v>
      </c>
      <c r="J89" s="11">
        <v>0.28999999999999998</v>
      </c>
      <c r="K89" s="11">
        <v>0.34699999999999998</v>
      </c>
      <c r="L89" s="11">
        <v>0.39</v>
      </c>
      <c r="M89" s="11"/>
      <c r="N89" s="11"/>
      <c r="Q89" s="43"/>
    </row>
    <row r="90" spans="2:17" ht="14.4" customHeight="1" x14ac:dyDescent="0.3">
      <c r="B90" s="1" t="s">
        <v>95</v>
      </c>
      <c r="G90" s="12"/>
      <c r="H90" s="12"/>
      <c r="I90" s="12">
        <v>31900</v>
      </c>
      <c r="J90" s="12">
        <v>55700</v>
      </c>
      <c r="K90" s="12">
        <v>88200</v>
      </c>
      <c r="L90" s="8">
        <f>K90*1.62</f>
        <v>142884</v>
      </c>
      <c r="M90" s="8">
        <f>L90*1.116</f>
        <v>159458.54400000002</v>
      </c>
      <c r="N90" s="8">
        <f>M90*1.045</f>
        <v>166634.17848</v>
      </c>
    </row>
    <row r="91" spans="2:17" ht="14.4" customHeight="1" x14ac:dyDescent="0.3">
      <c r="B91" s="1" t="s">
        <v>212</v>
      </c>
      <c r="L91" s="8">
        <f>Main!J27*L93</f>
        <v>248669.13843172824</v>
      </c>
      <c r="M91" s="8">
        <f>Main!K27*M93</f>
        <v>297130.5430773921</v>
      </c>
      <c r="N91" s="8">
        <f>Main!L27*N93</f>
        <v>351831.0444058142</v>
      </c>
    </row>
    <row r="92" spans="2:17" ht="14.4" customHeight="1" x14ac:dyDescent="0.3">
      <c r="B92" s="1" t="s">
        <v>213</v>
      </c>
      <c r="L92" s="8">
        <f>Main!J27-L91</f>
        <v>79997.446860008757</v>
      </c>
      <c r="M92" s="8">
        <f>Main!K27-M91</f>
        <v>91885.617013459036</v>
      </c>
      <c r="N92" s="8">
        <f>Main!L27-N91</f>
        <v>106043.81817332975</v>
      </c>
    </row>
    <row r="93" spans="2:17" ht="14.4" customHeight="1" x14ac:dyDescent="0.3">
      <c r="B93" s="5" t="s">
        <v>214</v>
      </c>
      <c r="C93" s="5"/>
      <c r="D93" s="5"/>
      <c r="E93" s="5"/>
      <c r="F93" s="5"/>
      <c r="G93" s="5"/>
      <c r="H93" s="5"/>
      <c r="I93" s="5"/>
      <c r="J93" s="5"/>
      <c r="K93" s="5"/>
      <c r="L93" s="11">
        <v>0.75660000000000005</v>
      </c>
      <c r="M93" s="11">
        <v>0.76380000000000003</v>
      </c>
      <c r="N93" s="11">
        <v>0.76839999999999997</v>
      </c>
    </row>
    <row r="94" spans="2:17" ht="14.4" customHeight="1" x14ac:dyDescent="0.3">
      <c r="B94" s="1" t="s">
        <v>242</v>
      </c>
      <c r="L94" s="13">
        <f>-40000*0.27</f>
        <v>-10800</v>
      </c>
      <c r="M94" s="13">
        <f>-27500*0.27</f>
        <v>-7425.0000000000009</v>
      </c>
      <c r="N94" s="13">
        <f>-12500*0.27</f>
        <v>-3375</v>
      </c>
      <c r="O94" s="13"/>
      <c r="P94" s="13"/>
    </row>
    <row r="95" spans="2:17" ht="14.4" customHeight="1" x14ac:dyDescent="0.3">
      <c r="B95" s="1" t="s">
        <v>332</v>
      </c>
      <c r="D95" s="11"/>
      <c r="E95" s="11"/>
      <c r="F95" s="11"/>
      <c r="G95" s="11"/>
      <c r="H95" s="11"/>
      <c r="I95" s="11"/>
      <c r="J95" s="11"/>
      <c r="K95" s="11"/>
      <c r="L95" s="11">
        <v>4.4499999999999998E-2</v>
      </c>
      <c r="M95" s="11"/>
      <c r="N95" s="11"/>
      <c r="O95" s="13"/>
      <c r="P95" s="13"/>
    </row>
    <row r="96" spans="2:17" ht="14.4" customHeight="1" x14ac:dyDescent="0.3">
      <c r="B96" s="1" t="s">
        <v>333</v>
      </c>
      <c r="D96" s="11"/>
      <c r="E96" s="11"/>
      <c r="F96" s="11"/>
      <c r="G96" s="11"/>
      <c r="H96" s="11"/>
      <c r="I96" s="11"/>
      <c r="J96" s="11"/>
      <c r="K96" s="11"/>
      <c r="L96" s="11">
        <v>0.27600000000000002</v>
      </c>
      <c r="M96" s="11"/>
      <c r="N96" s="11"/>
      <c r="O96" s="13"/>
      <c r="P96" s="13"/>
    </row>
    <row r="97" spans="1:16" ht="14.4" customHeight="1" x14ac:dyDescent="0.3">
      <c r="B97" s="1" t="s">
        <v>334</v>
      </c>
      <c r="L97" s="8">
        <v>35</v>
      </c>
    </row>
    <row r="98" spans="1:16" ht="14.4" customHeight="1" x14ac:dyDescent="0.3">
      <c r="B98" s="1" t="s">
        <v>335</v>
      </c>
      <c r="L98" s="11">
        <v>0.05</v>
      </c>
    </row>
    <row r="100" spans="1:16" ht="14.4" customHeight="1" x14ac:dyDescent="0.3">
      <c r="A100" s="43" t="s">
        <v>73</v>
      </c>
      <c r="B100" s="2" t="s">
        <v>315</v>
      </c>
      <c r="C100" s="2"/>
      <c r="D100" s="2"/>
      <c r="E100" s="2" t="s">
        <v>348</v>
      </c>
      <c r="F100" s="2"/>
      <c r="G100" s="2">
        <v>2021</v>
      </c>
      <c r="H100" s="2">
        <f>G100+1</f>
        <v>2022</v>
      </c>
      <c r="I100" s="2">
        <f>H100+1</f>
        <v>2023</v>
      </c>
      <c r="J100" s="2">
        <f>I100+1</f>
        <v>2024</v>
      </c>
      <c r="K100" s="2">
        <f>J100+1</f>
        <v>2025</v>
      </c>
      <c r="L100" s="3" t="s">
        <v>6</v>
      </c>
      <c r="M100" s="3" t="s">
        <v>7</v>
      </c>
      <c r="N100" s="3" t="s">
        <v>8</v>
      </c>
      <c r="O100" s="3" t="s">
        <v>9</v>
      </c>
      <c r="P100" s="3" t="s">
        <v>10</v>
      </c>
    </row>
    <row r="101" spans="1:16" s="23" customFormat="1" ht="1.95" customHeight="1" x14ac:dyDescent="0.3"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5"/>
      <c r="M101" s="25"/>
      <c r="N101" s="25"/>
      <c r="O101" s="25"/>
      <c r="P101" s="25"/>
    </row>
    <row r="102" spans="1:16" ht="14.4" customHeight="1" x14ac:dyDescent="0.3">
      <c r="B102" s="1" t="s">
        <v>316</v>
      </c>
      <c r="E102" s="10">
        <v>0.22</v>
      </c>
      <c r="G102" s="1">
        <v>32</v>
      </c>
      <c r="H102" s="1">
        <v>36</v>
      </c>
      <c r="I102" s="1">
        <v>36</v>
      </c>
      <c r="J102" s="1">
        <v>36</v>
      </c>
      <c r="K102" s="1">
        <v>36</v>
      </c>
      <c r="L102" s="1">
        <v>36</v>
      </c>
      <c r="M102" s="1">
        <v>39</v>
      </c>
      <c r="N102" s="1">
        <v>39</v>
      </c>
      <c r="O102" s="1">
        <v>39</v>
      </c>
      <c r="P102" s="1">
        <v>39</v>
      </c>
    </row>
    <row r="103" spans="1:16" ht="14.4" customHeight="1" x14ac:dyDescent="0.3">
      <c r="B103" s="1" t="s">
        <v>321</v>
      </c>
      <c r="E103" s="10">
        <v>0.14000000000000001</v>
      </c>
      <c r="G103" s="1">
        <v>8</v>
      </c>
      <c r="H103" s="1">
        <v>8</v>
      </c>
      <c r="I103" s="1">
        <v>8</v>
      </c>
      <c r="J103" s="1">
        <v>8</v>
      </c>
      <c r="K103" s="1">
        <v>8</v>
      </c>
      <c r="L103" s="1">
        <v>8</v>
      </c>
      <c r="M103" s="1">
        <v>10</v>
      </c>
      <c r="N103" s="1">
        <v>10</v>
      </c>
      <c r="O103" s="1">
        <v>10</v>
      </c>
      <c r="P103" s="1">
        <v>10</v>
      </c>
    </row>
    <row r="104" spans="1:16" ht="14.4" customHeight="1" x14ac:dyDescent="0.3">
      <c r="B104" s="1" t="s">
        <v>317</v>
      </c>
      <c r="E104" s="10">
        <v>0.16</v>
      </c>
      <c r="G104" s="1">
        <v>57</v>
      </c>
      <c r="H104" s="1">
        <v>57</v>
      </c>
      <c r="I104" s="1">
        <v>57</v>
      </c>
      <c r="J104" s="1">
        <v>57</v>
      </c>
      <c r="K104" s="1">
        <v>57</v>
      </c>
      <c r="L104" s="1">
        <v>57</v>
      </c>
      <c r="M104" s="1">
        <v>60</v>
      </c>
      <c r="N104" s="1">
        <v>60</v>
      </c>
      <c r="O104" s="1">
        <v>60</v>
      </c>
      <c r="P104" s="1">
        <v>60</v>
      </c>
    </row>
    <row r="105" spans="1:16" ht="14.4" customHeight="1" x14ac:dyDescent="0.3">
      <c r="B105" s="1" t="s">
        <v>318</v>
      </c>
      <c r="E105" s="10">
        <v>0.1</v>
      </c>
      <c r="G105" s="1">
        <v>12.5</v>
      </c>
      <c r="H105" s="1">
        <v>12.5</v>
      </c>
      <c r="I105" s="1">
        <v>12.5</v>
      </c>
      <c r="J105" s="1">
        <v>12.5</v>
      </c>
      <c r="K105" s="1">
        <v>12.5</v>
      </c>
      <c r="L105" s="1">
        <v>12.5</v>
      </c>
      <c r="M105" s="1">
        <v>14</v>
      </c>
      <c r="N105" s="1">
        <v>14</v>
      </c>
      <c r="O105" s="1">
        <v>14</v>
      </c>
      <c r="P105" s="1">
        <v>14</v>
      </c>
    </row>
    <row r="106" spans="1:16" ht="14.4" customHeight="1" x14ac:dyDescent="0.3">
      <c r="B106" s="1" t="s">
        <v>320</v>
      </c>
      <c r="E106" s="10">
        <v>0.09</v>
      </c>
      <c r="G106" s="1">
        <v>2.25</v>
      </c>
      <c r="H106" s="1">
        <v>2.25</v>
      </c>
      <c r="I106" s="1">
        <v>2.25</v>
      </c>
      <c r="J106" s="1">
        <v>2.25</v>
      </c>
      <c r="K106" s="1">
        <v>2.25</v>
      </c>
      <c r="L106" s="1">
        <v>2.25</v>
      </c>
      <c r="M106" s="1">
        <v>3</v>
      </c>
      <c r="N106" s="1">
        <v>3</v>
      </c>
      <c r="O106" s="1">
        <v>3</v>
      </c>
      <c r="P106" s="1">
        <v>3</v>
      </c>
    </row>
    <row r="107" spans="1:16" ht="14.4" customHeight="1" x14ac:dyDescent="0.3">
      <c r="B107" s="1" t="s">
        <v>319</v>
      </c>
      <c r="E107" s="10">
        <v>0.08</v>
      </c>
      <c r="G107" s="1">
        <v>5</v>
      </c>
      <c r="H107" s="1">
        <v>6</v>
      </c>
      <c r="I107" s="1">
        <v>6</v>
      </c>
      <c r="J107" s="1">
        <v>6</v>
      </c>
      <c r="K107" s="1">
        <v>6</v>
      </c>
      <c r="L107" s="1">
        <v>6</v>
      </c>
      <c r="M107" s="1">
        <v>7</v>
      </c>
      <c r="N107" s="1">
        <v>7</v>
      </c>
      <c r="O107" s="1">
        <v>7</v>
      </c>
      <c r="P107" s="1">
        <v>7</v>
      </c>
    </row>
    <row r="108" spans="1:16" ht="14.4" customHeight="1" x14ac:dyDescent="0.3">
      <c r="B108" s="1" t="s">
        <v>322</v>
      </c>
      <c r="E108" s="10">
        <v>0.05</v>
      </c>
      <c r="G108" s="1">
        <v>20</v>
      </c>
      <c r="H108" s="1">
        <v>23</v>
      </c>
      <c r="I108" s="1">
        <v>23</v>
      </c>
      <c r="J108" s="1">
        <v>23</v>
      </c>
      <c r="K108" s="1">
        <v>23</v>
      </c>
      <c r="L108" s="1">
        <v>23</v>
      </c>
      <c r="M108" s="1">
        <v>25</v>
      </c>
      <c r="N108" s="1">
        <v>25</v>
      </c>
      <c r="O108" s="1">
        <v>25</v>
      </c>
      <c r="P108" s="1">
        <v>25</v>
      </c>
    </row>
    <row r="109" spans="1:16" ht="14.4" customHeight="1" x14ac:dyDescent="0.3">
      <c r="B109" s="1" t="s">
        <v>339</v>
      </c>
      <c r="E109" s="10">
        <v>0.05</v>
      </c>
      <c r="G109" s="1">
        <v>10</v>
      </c>
      <c r="H109" s="1">
        <v>10</v>
      </c>
      <c r="I109" s="1">
        <v>10</v>
      </c>
      <c r="J109" s="1">
        <v>10</v>
      </c>
      <c r="K109" s="1">
        <v>10</v>
      </c>
      <c r="L109" s="1">
        <v>10</v>
      </c>
      <c r="M109" s="1">
        <v>10</v>
      </c>
      <c r="N109" s="1">
        <v>10</v>
      </c>
      <c r="O109" s="1">
        <v>10</v>
      </c>
      <c r="P109" s="1">
        <v>10</v>
      </c>
    </row>
    <row r="110" spans="1:16" ht="14.4" customHeight="1" x14ac:dyDescent="0.3">
      <c r="B110" s="1" t="s">
        <v>341</v>
      </c>
      <c r="E110" s="10">
        <v>7.0000000000000007E-2</v>
      </c>
      <c r="G110" s="1">
        <v>22</v>
      </c>
      <c r="H110" s="1">
        <v>22</v>
      </c>
      <c r="I110" s="1">
        <v>22</v>
      </c>
      <c r="J110" s="1">
        <v>22</v>
      </c>
      <c r="K110" s="1">
        <v>22</v>
      </c>
      <c r="L110" s="1">
        <v>22</v>
      </c>
      <c r="M110" s="1">
        <v>22</v>
      </c>
      <c r="N110" s="1">
        <v>22</v>
      </c>
      <c r="O110" s="1">
        <v>22</v>
      </c>
      <c r="P110" s="1">
        <v>22</v>
      </c>
    </row>
    <row r="111" spans="1:16" ht="14.4" customHeight="1" x14ac:dyDescent="0.3">
      <c r="B111" s="1" t="s">
        <v>340</v>
      </c>
      <c r="E111" s="10">
        <v>0.04</v>
      </c>
      <c r="G111" s="1">
        <v>12</v>
      </c>
      <c r="H111" s="1">
        <v>12</v>
      </c>
      <c r="I111" s="1">
        <v>12</v>
      </c>
      <c r="J111" s="1">
        <v>12</v>
      </c>
      <c r="K111" s="1">
        <v>12</v>
      </c>
      <c r="L111" s="1">
        <v>12</v>
      </c>
      <c r="M111" s="1">
        <v>14</v>
      </c>
      <c r="N111" s="1">
        <v>14</v>
      </c>
      <c r="O111" s="1">
        <v>14</v>
      </c>
      <c r="P111" s="1">
        <v>14</v>
      </c>
    </row>
    <row r="112" spans="1:16" ht="14.4" customHeight="1" x14ac:dyDescent="0.3">
      <c r="B112" s="1" t="s">
        <v>342</v>
      </c>
      <c r="E112" s="10"/>
      <c r="G112" s="8">
        <f t="shared" ref="G112:L112" si="47">SUMPRODUCT($E$102:$E$111, G102:G111)*12</f>
        <v>271.83</v>
      </c>
      <c r="H112" s="8">
        <f t="shared" si="47"/>
        <v>285.14999999999998</v>
      </c>
      <c r="I112" s="8">
        <f t="shared" si="47"/>
        <v>285.14999999999998</v>
      </c>
      <c r="J112" s="8">
        <f t="shared" si="47"/>
        <v>285.14999999999998</v>
      </c>
      <c r="K112" s="8">
        <f t="shared" si="47"/>
        <v>285.14999999999998</v>
      </c>
      <c r="L112" s="8">
        <f t="shared" si="47"/>
        <v>285.14999999999998</v>
      </c>
      <c r="M112" s="8">
        <f>SUMPRODUCT($E$102:$E$111, M102:M111)*12</f>
        <v>307.9199999999999</v>
      </c>
      <c r="N112" s="8">
        <f t="shared" ref="N112:P112" si="48">SUMPRODUCT($E$102:$E$111, N102:N111)*12</f>
        <v>307.9199999999999</v>
      </c>
      <c r="O112" s="8">
        <f t="shared" si="48"/>
        <v>307.9199999999999</v>
      </c>
      <c r="P112" s="8">
        <f t="shared" si="48"/>
        <v>307.9199999999999</v>
      </c>
    </row>
    <row r="113" spans="1:16" ht="14.4" customHeight="1" x14ac:dyDescent="0.3">
      <c r="B113" s="1" t="s">
        <v>343</v>
      </c>
      <c r="E113" s="10"/>
      <c r="G113" s="51">
        <v>120.94506666666668</v>
      </c>
      <c r="H113" s="51">
        <v>119.71970674486803</v>
      </c>
      <c r="I113" s="51">
        <v>175.25916230366491</v>
      </c>
      <c r="J113" s="51">
        <v>195.14359994128296</v>
      </c>
      <c r="K113" s="51">
        <v>197.02426404281405</v>
      </c>
      <c r="L113" s="8">
        <f>L112*L114</f>
        <v>199.97962800345627</v>
      </c>
      <c r="M113" s="8">
        <f t="shared" ref="M113:P113" si="49">M112*M114</f>
        <v>207.31060134185961</v>
      </c>
      <c r="N113" s="8">
        <f t="shared" si="49"/>
        <v>213.1152981794317</v>
      </c>
      <c r="O113" s="8">
        <f t="shared" si="49"/>
        <v>217.37760414302033</v>
      </c>
      <c r="P113" s="8">
        <f t="shared" si="49"/>
        <v>220.20351299687957</v>
      </c>
    </row>
    <row r="114" spans="1:16" ht="14.4" customHeight="1" x14ac:dyDescent="0.3">
      <c r="B114" s="1" t="s">
        <v>344</v>
      </c>
      <c r="E114" s="10"/>
      <c r="G114" s="10">
        <f>G113/G112</f>
        <v>0.44492906105531649</v>
      </c>
      <c r="H114" s="10">
        <f t="shared" ref="H114:K114" si="50">H113/H112</f>
        <v>0.41984817375019479</v>
      </c>
      <c r="I114" s="10">
        <f t="shared" si="50"/>
        <v>0.61462094442807269</v>
      </c>
      <c r="J114" s="10">
        <f t="shared" si="50"/>
        <v>0.68435419933818331</v>
      </c>
      <c r="K114" s="10">
        <f t="shared" si="50"/>
        <v>0.69094954951013177</v>
      </c>
      <c r="L114" s="10">
        <f>K114*1.015</f>
        <v>0.70131379275278372</v>
      </c>
      <c r="M114" s="10">
        <f>L114*0.96</f>
        <v>0.67326124104267238</v>
      </c>
      <c r="N114" s="10">
        <f>M114*1.028</f>
        <v>0.69211255579186726</v>
      </c>
      <c r="O114" s="10">
        <f>N114*1.02</f>
        <v>0.70595480690770462</v>
      </c>
      <c r="P114" s="10">
        <f>O114*1.013</f>
        <v>0.71513221939750471</v>
      </c>
    </row>
    <row r="115" spans="1:16" ht="14.4" customHeight="1" x14ac:dyDescent="0.3">
      <c r="B115" s="5" t="s">
        <v>323</v>
      </c>
      <c r="C115" s="5"/>
      <c r="D115" s="5"/>
      <c r="E115" s="10"/>
      <c r="F115" s="5"/>
      <c r="G115" s="11"/>
      <c r="H115" s="11">
        <f t="shared" ref="H115:L115" si="51">(SUMPRODUCT($E$102:$E$111, H102:H111) / SUMPRODUCT($E$102:$E$111, G102:G111)) - 1</f>
        <v>4.9001213994040338E-2</v>
      </c>
      <c r="I115" s="11">
        <f t="shared" si="51"/>
        <v>0</v>
      </c>
      <c r="J115" s="11">
        <f t="shared" si="51"/>
        <v>0</v>
      </c>
      <c r="K115" s="11">
        <f t="shared" si="51"/>
        <v>0</v>
      </c>
      <c r="L115" s="11">
        <f t="shared" si="51"/>
        <v>0</v>
      </c>
      <c r="M115" s="11">
        <f>(SUMPRODUCT($E$102:$E$111, M102:M111) / SUMPRODUCT($E$102:$E$111, L102:L111)) - 1</f>
        <v>7.9852709100473263E-2</v>
      </c>
      <c r="N115" s="11">
        <f t="shared" ref="N115:P115" si="52">(SUMPRODUCT($E$102:$E$111, N102:N111) / SUMPRODUCT($E$102:$E$111, M102:M111)) - 1</f>
        <v>0</v>
      </c>
      <c r="O115" s="11">
        <f t="shared" si="52"/>
        <v>0</v>
      </c>
      <c r="P115" s="11">
        <f t="shared" si="52"/>
        <v>0</v>
      </c>
    </row>
    <row r="117" spans="1:16" ht="14.4" customHeight="1" x14ac:dyDescent="0.3">
      <c r="A117" s="43" t="s">
        <v>73</v>
      </c>
      <c r="B117" s="2" t="s">
        <v>1106</v>
      </c>
      <c r="C117" s="2"/>
      <c r="D117" s="2"/>
      <c r="E117" s="2"/>
      <c r="F117" s="2"/>
      <c r="G117" s="2" t="s">
        <v>1114</v>
      </c>
      <c r="H117" s="2" t="s">
        <v>1115</v>
      </c>
      <c r="I117" s="2" t="s">
        <v>1116</v>
      </c>
      <c r="J117" s="2"/>
      <c r="K117" s="2"/>
      <c r="L117" s="3"/>
      <c r="M117" s="3"/>
      <c r="N117" s="3"/>
      <c r="O117" s="3"/>
      <c r="P117" s="3"/>
    </row>
    <row r="118" spans="1:16" s="23" customFormat="1" ht="1.95" customHeight="1" x14ac:dyDescent="0.3"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5"/>
      <c r="M118" s="25"/>
      <c r="N118" s="25"/>
      <c r="O118" s="25"/>
      <c r="P118" s="25"/>
    </row>
    <row r="119" spans="1:16" ht="14.4" customHeight="1" x14ac:dyDescent="0.3">
      <c r="B119" s="90" t="s">
        <v>1112</v>
      </c>
      <c r="G119" s="26">
        <f>'Date Centers'!D335</f>
        <v>249</v>
      </c>
      <c r="H119" s="26">
        <f>'Date Centers'!F335</f>
        <v>262</v>
      </c>
      <c r="I119" s="26">
        <f>'Date Centers'!H335</f>
        <v>296</v>
      </c>
    </row>
    <row r="120" spans="1:16" ht="14.4" customHeight="1" x14ac:dyDescent="0.3">
      <c r="B120" s="90" t="s">
        <v>12</v>
      </c>
      <c r="H120" s="11">
        <f t="shared" ref="H120" si="53">(H119-G119)/G119</f>
        <v>5.2208835341365459E-2</v>
      </c>
      <c r="I120" s="11">
        <f t="shared" ref="I120" si="54">(I119-H119)/H119</f>
        <v>0.12977099236641221</v>
      </c>
    </row>
    <row r="121" spans="1:16" ht="14.4" customHeight="1" x14ac:dyDescent="0.3">
      <c r="B121" s="90" t="s">
        <v>1125</v>
      </c>
      <c r="H121" s="11"/>
      <c r="I121" s="11"/>
    </row>
    <row r="122" spans="1:16" ht="14.4" customHeight="1" x14ac:dyDescent="0.3">
      <c r="B122" s="94" t="s">
        <v>1111</v>
      </c>
      <c r="G122" s="26">
        <f>'Date Centers'!D336</f>
        <v>83</v>
      </c>
      <c r="H122" s="26">
        <f>'Date Centers'!F336</f>
        <v>70</v>
      </c>
      <c r="I122" s="26">
        <f>'Date Centers'!H336</f>
        <v>36</v>
      </c>
    </row>
    <row r="123" spans="1:16" ht="14.4" customHeight="1" x14ac:dyDescent="0.3">
      <c r="B123" s="94"/>
      <c r="G123" s="8"/>
      <c r="H123" s="8"/>
      <c r="I123" s="8"/>
    </row>
    <row r="124" spans="1:16" ht="14.4" customHeight="1" x14ac:dyDescent="0.3">
      <c r="B124" s="94" t="s">
        <v>1113</v>
      </c>
      <c r="G124" s="26">
        <f>'Date Centers'!E335</f>
        <v>8198</v>
      </c>
      <c r="H124" s="26">
        <f>'Date Centers'!G335</f>
        <v>9630</v>
      </c>
      <c r="I124" s="26">
        <f>'Date Centers'!I335</f>
        <v>11925</v>
      </c>
    </row>
    <row r="125" spans="1:16" ht="14.4" customHeight="1" x14ac:dyDescent="0.3">
      <c r="B125" s="94" t="s">
        <v>12</v>
      </c>
      <c r="H125" s="11">
        <f t="shared" ref="H125" si="55">(H124-G124)/G124</f>
        <v>0.1746767504269334</v>
      </c>
      <c r="I125" s="11">
        <f t="shared" ref="I125" si="56">(I124-H124)/H124</f>
        <v>0.23831775700934579</v>
      </c>
    </row>
    <row r="126" spans="1:16" ht="14.4" customHeight="1" x14ac:dyDescent="0.3">
      <c r="B126" s="90" t="s">
        <v>1125</v>
      </c>
      <c r="H126" s="11"/>
      <c r="I126" s="11">
        <f>(I124-G124)/G124</f>
        <v>0.45462307879970726</v>
      </c>
    </row>
    <row r="127" spans="1:16" ht="14.4" customHeight="1" x14ac:dyDescent="0.3">
      <c r="B127" s="94" t="s">
        <v>1110</v>
      </c>
      <c r="G127" s="8">
        <f t="shared" ref="G127" si="57">G124/G119</f>
        <v>32.923694779116467</v>
      </c>
      <c r="H127" s="8">
        <f>H124/H119</f>
        <v>36.755725190839698</v>
      </c>
      <c r="I127" s="8">
        <f>I124/I119</f>
        <v>40.287162162162161</v>
      </c>
    </row>
    <row r="128" spans="1:16" ht="14.4" customHeight="1" x14ac:dyDescent="0.3">
      <c r="B128" s="94"/>
      <c r="G128" s="8"/>
      <c r="H128" s="8"/>
      <c r="I128" s="8"/>
    </row>
    <row r="129" spans="2:9" ht="14.4" customHeight="1" x14ac:dyDescent="0.3">
      <c r="B129" s="94" t="s">
        <v>1158</v>
      </c>
      <c r="G129" s="8">
        <f>G124-G133</f>
        <v>6838</v>
      </c>
      <c r="H129" s="8">
        <f t="shared" ref="H129:I129" si="58">H124-H133</f>
        <v>8020</v>
      </c>
      <c r="I129" s="8">
        <f t="shared" si="58"/>
        <v>9825</v>
      </c>
    </row>
    <row r="130" spans="2:9" ht="14.4" customHeight="1" x14ac:dyDescent="0.3">
      <c r="B130" s="94" t="s">
        <v>12</v>
      </c>
      <c r="H130" s="11">
        <f t="shared" ref="H130" si="59">(H129-G129)/G129</f>
        <v>0.17285756069026031</v>
      </c>
      <c r="I130" s="11">
        <f t="shared" ref="I130" si="60">(I129-H129)/H129</f>
        <v>0.22506234413965087</v>
      </c>
    </row>
    <row r="131" spans="2:9" ht="14.4" customHeight="1" x14ac:dyDescent="0.3">
      <c r="B131" s="90" t="s">
        <v>1125</v>
      </c>
      <c r="H131" s="11"/>
      <c r="I131" s="11">
        <f>(I129-G129)/G129</f>
        <v>0.43682363264112312</v>
      </c>
    </row>
    <row r="132" spans="2:9" ht="14.4" customHeight="1" x14ac:dyDescent="0.3">
      <c r="B132" s="94"/>
      <c r="G132" s="8"/>
      <c r="H132" s="8"/>
      <c r="I132" s="8"/>
    </row>
    <row r="133" spans="2:9" ht="14.4" customHeight="1" x14ac:dyDescent="0.3">
      <c r="B133" s="1" t="s">
        <v>1157</v>
      </c>
      <c r="G133" s="26">
        <f>'Date Centers'!D341</f>
        <v>1360</v>
      </c>
      <c r="H133" s="26">
        <f>'Date Centers'!G339</f>
        <v>1610</v>
      </c>
      <c r="I133" s="26">
        <f>'Date Centers'!I339</f>
        <v>2100</v>
      </c>
    </row>
    <row r="134" spans="2:9" ht="14.4" customHeight="1" x14ac:dyDescent="0.3">
      <c r="B134" s="94" t="s">
        <v>12</v>
      </c>
      <c r="H134" s="11">
        <f t="shared" ref="H134" si="61">(H133-G133)/G133</f>
        <v>0.18382352941176472</v>
      </c>
      <c r="I134" s="11">
        <f t="shared" ref="I134" si="62">(I133-H133)/H133</f>
        <v>0.30434782608695654</v>
      </c>
    </row>
    <row r="135" spans="2:9" ht="14.4" customHeight="1" x14ac:dyDescent="0.3">
      <c r="B135" s="90" t="s">
        <v>1125</v>
      </c>
      <c r="H135" s="11"/>
      <c r="I135" s="11">
        <f>(I133-G133)/G133</f>
        <v>0.54411764705882348</v>
      </c>
    </row>
    <row r="136" spans="2:9" ht="14.4" customHeight="1" x14ac:dyDescent="0.3">
      <c r="B136" s="90"/>
      <c r="H136" s="11"/>
      <c r="I136" s="11"/>
    </row>
    <row r="137" spans="2:9" ht="14.4" customHeight="1" x14ac:dyDescent="0.3">
      <c r="B137" s="1" t="s">
        <v>1117</v>
      </c>
      <c r="H137" s="10"/>
      <c r="I137" s="10">
        <f>(I131*0.6263)+(I135*0.3737)</f>
        <v>0.47691940582901771</v>
      </c>
    </row>
  </sheetData>
  <sortState xmlns:xlrd2="http://schemas.microsoft.com/office/spreadsheetml/2017/richdata2" ref="B102:P111">
    <sortCondition descending="1" ref="E102:E111"/>
  </sortState>
  <pageMargins left="0.7" right="0.7" top="0.75" bottom="0.75" header="0.3" footer="0.3"/>
  <pageSetup orientation="portrait" r:id="rId1"/>
  <ignoredErrors>
    <ignoredError sqref="H115 G112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82438-1AC1-43DF-96FD-76E4B45DFDBC}">
  <dimension ref="B2:AK85"/>
  <sheetViews>
    <sheetView showGridLines="0" topLeftCell="A30" zoomScaleNormal="100" workbookViewId="0">
      <selection activeCell="B8" sqref="B8:H69"/>
    </sheetView>
  </sheetViews>
  <sheetFormatPr defaultColWidth="8.69921875" defaultRowHeight="14.4" x14ac:dyDescent="0.3"/>
  <cols>
    <col min="1" max="5" width="8.69921875" style="1"/>
    <col min="6" max="6" width="9.796875" style="1" bestFit="1" customWidth="1"/>
    <col min="7" max="16384" width="8.69921875" style="1"/>
  </cols>
  <sheetData>
    <row r="2" spans="2:37" x14ac:dyDescent="0.3">
      <c r="B2" s="2" t="s">
        <v>107</v>
      </c>
      <c r="C2" s="2"/>
      <c r="D2" s="2"/>
      <c r="E2" s="2">
        <v>2021</v>
      </c>
      <c r="F2" s="2">
        <v>2022</v>
      </c>
      <c r="G2" s="2">
        <v>2023</v>
      </c>
      <c r="H2" s="2">
        <v>2024</v>
      </c>
      <c r="I2" s="2">
        <v>2025</v>
      </c>
      <c r="J2" s="3" t="s">
        <v>6</v>
      </c>
      <c r="K2" s="3" t="s">
        <v>7</v>
      </c>
      <c r="L2" s="3" t="s">
        <v>8</v>
      </c>
      <c r="M2" s="3" t="s">
        <v>9</v>
      </c>
      <c r="N2" s="3" t="s">
        <v>10</v>
      </c>
      <c r="P2" s="2" t="s">
        <v>302</v>
      </c>
      <c r="Q2" s="2"/>
      <c r="R2" s="2" t="s">
        <v>215</v>
      </c>
      <c r="S2" s="2" t="s">
        <v>216</v>
      </c>
      <c r="T2" s="2" t="s">
        <v>217</v>
      </c>
      <c r="U2" s="2" t="s">
        <v>218</v>
      </c>
      <c r="V2" s="2" t="s">
        <v>219</v>
      </c>
      <c r="W2" s="2" t="s">
        <v>220</v>
      </c>
      <c r="X2" s="2" t="s">
        <v>221</v>
      </c>
      <c r="Y2" s="2" t="s">
        <v>222</v>
      </c>
      <c r="Z2" s="2" t="s">
        <v>223</v>
      </c>
      <c r="AA2" s="2" t="s">
        <v>224</v>
      </c>
      <c r="AB2" s="2" t="s">
        <v>225</v>
      </c>
      <c r="AC2" s="2" t="s">
        <v>226</v>
      </c>
      <c r="AD2" s="2" t="s">
        <v>227</v>
      </c>
      <c r="AE2" s="2" t="s">
        <v>228</v>
      </c>
      <c r="AF2" s="2" t="s">
        <v>229</v>
      </c>
      <c r="AG2" s="2" t="s">
        <v>230</v>
      </c>
      <c r="AH2" s="2" t="s">
        <v>231</v>
      </c>
      <c r="AI2" s="2" t="s">
        <v>232</v>
      </c>
      <c r="AJ2" s="2" t="s">
        <v>233</v>
      </c>
      <c r="AK2" s="2" t="s">
        <v>234</v>
      </c>
    </row>
    <row r="3" spans="2:37" ht="15.6" x14ac:dyDescent="0.3">
      <c r="B3" s="1" t="s">
        <v>24</v>
      </c>
      <c r="E3" s="26">
        <f>Main!$N$85</f>
        <v>128091.15416281513</v>
      </c>
      <c r="F3" s="26">
        <f>Main!$N$85</f>
        <v>128091.15416281513</v>
      </c>
      <c r="G3" s="26">
        <f>Main!$N$85</f>
        <v>128091.15416281513</v>
      </c>
      <c r="H3" s="26">
        <f>Main!$N$85</f>
        <v>128091.15416281513</v>
      </c>
      <c r="I3" s="26">
        <f>Main!$N$85</f>
        <v>128091.15416281513</v>
      </c>
      <c r="J3" s="26">
        <f>Main!$N$85</f>
        <v>128091.15416281513</v>
      </c>
      <c r="K3" s="26">
        <f>Main!$N$85</f>
        <v>128091.15416281513</v>
      </c>
      <c r="L3" s="26">
        <f>Main!$N$85</f>
        <v>128091.15416281513</v>
      </c>
      <c r="M3" s="26">
        <f>Main!$N$85</f>
        <v>128091.15416281513</v>
      </c>
      <c r="N3" s="26">
        <f>Main!$N$85</f>
        <v>128091.15416281513</v>
      </c>
      <c r="P3" s="1" t="s">
        <v>235</v>
      </c>
      <c r="Q3" s="39"/>
      <c r="R3" s="20">
        <v>1.95</v>
      </c>
      <c r="S3" s="20">
        <v>2.17</v>
      </c>
      <c r="T3" s="20">
        <v>2.27</v>
      </c>
      <c r="U3" s="20">
        <v>2.48</v>
      </c>
      <c r="V3" s="20">
        <v>2.2200000000000002</v>
      </c>
      <c r="W3" s="20">
        <v>2.23</v>
      </c>
      <c r="X3" s="20">
        <v>2.35</v>
      </c>
      <c r="Y3" s="20">
        <v>2.3199999999999998</v>
      </c>
      <c r="Z3" s="20">
        <v>2.4500000000000002</v>
      </c>
      <c r="AA3" s="20">
        <v>2.69</v>
      </c>
      <c r="AB3" s="20">
        <v>2.99</v>
      </c>
      <c r="AC3" s="20">
        <v>2.93</v>
      </c>
      <c r="AD3" s="20">
        <v>2.94</v>
      </c>
      <c r="AE3" s="20">
        <v>2.95</v>
      </c>
      <c r="AF3" s="20">
        <v>3.3</v>
      </c>
      <c r="AG3" s="20">
        <v>3.23</v>
      </c>
      <c r="AH3" s="20">
        <v>3.46</v>
      </c>
      <c r="AI3" s="20">
        <v>3.65</v>
      </c>
      <c r="AJ3" s="20">
        <v>4.13</v>
      </c>
      <c r="AK3" s="1">
        <v>4.1399999999999997</v>
      </c>
    </row>
    <row r="4" spans="2:37" ht="15.6" x14ac:dyDescent="0.3">
      <c r="B4" s="1" t="s">
        <v>19</v>
      </c>
      <c r="E4" s="26">
        <f>Main!E54</f>
        <v>20622</v>
      </c>
      <c r="F4" s="26">
        <f>Main!F54</f>
        <v>23886</v>
      </c>
      <c r="G4" s="26">
        <f>Main!G54</f>
        <v>28107</v>
      </c>
      <c r="H4" s="26">
        <f>Main!H54</f>
        <v>44477</v>
      </c>
      <c r="I4" s="26">
        <f>Main!I54</f>
        <v>64551</v>
      </c>
      <c r="J4" s="26">
        <f>Main!J54</f>
        <v>110000</v>
      </c>
      <c r="K4" s="26">
        <f>Main!K54</f>
        <v>170000</v>
      </c>
      <c r="L4" s="26">
        <f>Main!L54</f>
        <v>200000</v>
      </c>
      <c r="M4" s="26">
        <f>Main!M54</f>
        <v>194000</v>
      </c>
      <c r="N4" s="26">
        <f>Main!N54</f>
        <v>190120</v>
      </c>
      <c r="P4" s="1" t="s">
        <v>236</v>
      </c>
      <c r="Q4" s="39"/>
      <c r="R4" s="20">
        <v>1.7813000000000001</v>
      </c>
      <c r="S4" s="20">
        <v>1.9180200000000001</v>
      </c>
      <c r="T4" s="20">
        <v>2.07687</v>
      </c>
      <c r="U4" s="20">
        <v>2.3189600000000001</v>
      </c>
      <c r="V4" s="20">
        <v>2.18879</v>
      </c>
      <c r="W4" s="20">
        <v>2.2922400000000001</v>
      </c>
      <c r="X4" s="20">
        <v>2.3045900000000001</v>
      </c>
      <c r="Y4" s="20">
        <v>2.29332</v>
      </c>
      <c r="Z4" s="20">
        <v>2.2391000000000001</v>
      </c>
      <c r="AA4" s="20">
        <v>2.55063</v>
      </c>
      <c r="AB4" s="20">
        <v>2.65401</v>
      </c>
      <c r="AC4" s="20">
        <v>2.7713199999999998</v>
      </c>
      <c r="AD4" s="20">
        <v>2.82464</v>
      </c>
      <c r="AE4" s="20">
        <v>2.9375</v>
      </c>
      <c r="AF4" s="20">
        <v>3.1012200000000001</v>
      </c>
      <c r="AG4" s="20">
        <v>3.1194899999999999</v>
      </c>
      <c r="AH4" s="20">
        <v>3.2222200000000001</v>
      </c>
      <c r="AI4" s="20">
        <v>3.3747099999999999</v>
      </c>
      <c r="AJ4" s="20">
        <v>3.6715599999999999</v>
      </c>
      <c r="AK4" s="1">
        <v>3.91</v>
      </c>
    </row>
    <row r="5" spans="2:37" ht="15.6" x14ac:dyDescent="0.3">
      <c r="B5" s="1" t="s">
        <v>347</v>
      </c>
      <c r="E5" s="13">
        <f>Main!E71+Main!E73+Main!E79</f>
        <v>70831</v>
      </c>
      <c r="F5" s="13">
        <f>Main!F71+Main!F73+Main!F79</f>
        <v>87315</v>
      </c>
      <c r="G5" s="13">
        <f>Main!G71+Main!G73+Main!G79</f>
        <v>83044</v>
      </c>
      <c r="H5" s="13">
        <f>Main!H71+Main!H73+Main!H79</f>
        <v>113889</v>
      </c>
      <c r="I5" s="13">
        <f>Main!I71+Main!I73+Main!I79</f>
        <v>135536</v>
      </c>
      <c r="J5" s="13">
        <f>Main!J71+Main!J73+Main!J79</f>
        <v>172151.30788915005</v>
      </c>
      <c r="K5" s="13">
        <f>Main!K71+Main!K73+Main!K79</f>
        <v>223727.06817252166</v>
      </c>
      <c r="L5" s="13">
        <f>Main!L71+Main!L73+Main!L79</f>
        <v>267649.01698086271</v>
      </c>
      <c r="M5" s="13">
        <f>Main!M71+Main!M73+Main!M79</f>
        <v>293705.98390944954</v>
      </c>
      <c r="N5" s="13">
        <f>Main!N71+Main!N73+Main!N79</f>
        <v>319434.52814883977</v>
      </c>
      <c r="P5" s="1" t="s">
        <v>237</v>
      </c>
      <c r="Q5" s="41"/>
      <c r="R5" s="50">
        <f t="shared" ref="R5:AK5" si="0">R3/R4-1</f>
        <v>9.4706113512603052E-2</v>
      </c>
      <c r="S5" s="50">
        <f t="shared" si="0"/>
        <v>0.13137506386794717</v>
      </c>
      <c r="T5" s="50">
        <f t="shared" si="0"/>
        <v>9.299089495250068E-2</v>
      </c>
      <c r="U5" s="50">
        <f t="shared" si="0"/>
        <v>6.944492358643517E-2</v>
      </c>
      <c r="V5" s="50">
        <f t="shared" si="0"/>
        <v>1.4259019823738228E-2</v>
      </c>
      <c r="W5" s="50">
        <f t="shared" si="0"/>
        <v>-2.7152479670540686E-2</v>
      </c>
      <c r="X5" s="50">
        <f t="shared" si="0"/>
        <v>1.9704155619871599E-2</v>
      </c>
      <c r="Y5" s="50">
        <f t="shared" si="0"/>
        <v>1.1633788568538028E-2</v>
      </c>
      <c r="Z5" s="50">
        <f t="shared" si="0"/>
        <v>9.4189629761957994E-2</v>
      </c>
      <c r="AA5" s="50">
        <f t="shared" si="0"/>
        <v>5.4641402320211085E-2</v>
      </c>
      <c r="AB5" s="50">
        <f t="shared" si="0"/>
        <v>0.1265971115406499</v>
      </c>
      <c r="AC5" s="50">
        <f t="shared" si="0"/>
        <v>5.7257913196599564E-2</v>
      </c>
      <c r="AD5" s="50">
        <f t="shared" si="0"/>
        <v>4.0840602696272876E-2</v>
      </c>
      <c r="AE5" s="50">
        <f t="shared" si="0"/>
        <v>4.2553191489362874E-3</v>
      </c>
      <c r="AF5" s="50">
        <f t="shared" si="0"/>
        <v>6.4097355234391529E-2</v>
      </c>
      <c r="AG5" s="50">
        <f t="shared" si="0"/>
        <v>3.5425662528169699E-2</v>
      </c>
      <c r="AH5" s="50">
        <f t="shared" si="0"/>
        <v>7.3793843995754393E-2</v>
      </c>
      <c r="AI5" s="50">
        <f t="shared" si="0"/>
        <v>8.1574416764699897E-2</v>
      </c>
      <c r="AJ5" s="50">
        <f t="shared" si="0"/>
        <v>0.12486245628561154</v>
      </c>
      <c r="AK5" s="50">
        <f t="shared" si="0"/>
        <v>5.8823529411764497E-2</v>
      </c>
    </row>
    <row r="6" spans="2:37" ht="15.6" x14ac:dyDescent="0.3">
      <c r="B6" s="5" t="s">
        <v>100</v>
      </c>
      <c r="C6" s="5"/>
      <c r="D6" s="5"/>
      <c r="E6" s="42">
        <f t="shared" ref="E6:N6" si="1">E4/E5</f>
        <v>0.29114370826333102</v>
      </c>
      <c r="F6" s="42">
        <f t="shared" si="1"/>
        <v>0.27356124377254765</v>
      </c>
      <c r="G6" s="42">
        <f t="shared" si="1"/>
        <v>0.33845913009970618</v>
      </c>
      <c r="H6" s="42">
        <f t="shared" si="1"/>
        <v>0.39052937509329261</v>
      </c>
      <c r="I6" s="42">
        <f t="shared" si="1"/>
        <v>0.47626460866485659</v>
      </c>
      <c r="J6" s="42">
        <f t="shared" si="1"/>
        <v>0.63897278126303925</v>
      </c>
      <c r="K6" s="42">
        <f t="shared" si="1"/>
        <v>0.75985441273877807</v>
      </c>
      <c r="L6" s="42">
        <f t="shared" si="1"/>
        <v>0.74724728024799836</v>
      </c>
      <c r="M6" s="42">
        <f t="shared" si="1"/>
        <v>0.66052450623481607</v>
      </c>
      <c r="N6" s="42">
        <f t="shared" si="1"/>
        <v>0.59517673653429859</v>
      </c>
      <c r="P6" s="1" t="s">
        <v>238</v>
      </c>
      <c r="Q6" s="39"/>
      <c r="R6" s="13">
        <v>41706</v>
      </c>
      <c r="S6" s="13">
        <v>46152</v>
      </c>
      <c r="T6" s="13">
        <v>45317</v>
      </c>
      <c r="U6" s="13">
        <v>51728</v>
      </c>
      <c r="V6" s="13">
        <v>49360</v>
      </c>
      <c r="W6" s="13">
        <v>51865</v>
      </c>
      <c r="X6" s="13">
        <v>50122</v>
      </c>
      <c r="Y6" s="13">
        <v>52747</v>
      </c>
      <c r="Z6" s="13">
        <v>52857</v>
      </c>
      <c r="AA6" s="13">
        <v>56189</v>
      </c>
      <c r="AB6" s="13">
        <v>56517</v>
      </c>
      <c r="AC6" s="13">
        <v>62020</v>
      </c>
      <c r="AD6" s="13">
        <v>61858</v>
      </c>
      <c r="AE6" s="13">
        <v>64727</v>
      </c>
      <c r="AF6" s="13">
        <v>65585</v>
      </c>
      <c r="AG6" s="13">
        <v>69632</v>
      </c>
      <c r="AH6" s="13">
        <v>70066</v>
      </c>
      <c r="AI6" s="13">
        <v>76441</v>
      </c>
      <c r="AJ6" s="13">
        <v>77673</v>
      </c>
      <c r="AK6" s="13">
        <v>81273</v>
      </c>
    </row>
    <row r="7" spans="2:37" ht="15.6" x14ac:dyDescent="0.3">
      <c r="P7" s="1" t="s">
        <v>239</v>
      </c>
      <c r="Q7" s="39"/>
      <c r="R7" s="13">
        <v>41035.5</v>
      </c>
      <c r="S7" s="13">
        <v>44260.4</v>
      </c>
      <c r="T7" s="13">
        <v>44011.8</v>
      </c>
      <c r="U7" s="13">
        <v>50745.5</v>
      </c>
      <c r="V7" s="13">
        <v>49022.6</v>
      </c>
      <c r="W7" s="13">
        <v>52384.3</v>
      </c>
      <c r="X7" s="13">
        <v>49609.2</v>
      </c>
      <c r="Y7" s="13">
        <v>52986.7</v>
      </c>
      <c r="Z7" s="13">
        <v>51018.6</v>
      </c>
      <c r="AA7" s="13">
        <v>55485.4</v>
      </c>
      <c r="AB7" s="13">
        <v>54523.4</v>
      </c>
      <c r="AC7" s="13">
        <v>61140.9</v>
      </c>
      <c r="AD7" s="13">
        <v>60846</v>
      </c>
      <c r="AE7" s="13">
        <v>64382.3</v>
      </c>
      <c r="AF7" s="13">
        <v>64562.400000000001</v>
      </c>
      <c r="AG7" s="13">
        <v>68816.7</v>
      </c>
      <c r="AH7" s="13">
        <v>68439.899999999994</v>
      </c>
      <c r="AI7" s="13">
        <v>73961.100000000006</v>
      </c>
      <c r="AJ7" s="13">
        <v>75494.7</v>
      </c>
      <c r="AK7" s="13">
        <v>77673</v>
      </c>
    </row>
    <row r="8" spans="2:37" ht="15.6" x14ac:dyDescent="0.3">
      <c r="B8" s="2" t="s">
        <v>109</v>
      </c>
      <c r="C8" s="2"/>
      <c r="D8" s="2"/>
      <c r="E8" s="108" t="s">
        <v>45</v>
      </c>
      <c r="F8" s="108"/>
      <c r="G8" s="108"/>
      <c r="H8" s="13"/>
      <c r="I8" s="13"/>
      <c r="J8" s="31" t="s">
        <v>160</v>
      </c>
      <c r="K8" s="32"/>
      <c r="L8" s="32"/>
      <c r="M8" s="32"/>
      <c r="N8" s="33"/>
      <c r="P8" s="1" t="s">
        <v>237</v>
      </c>
      <c r="Q8" s="41"/>
      <c r="R8" s="50">
        <f t="shared" ref="R8:AK8" si="2">R6/R7-1</f>
        <v>1.633951091128405E-2</v>
      </c>
      <c r="S8" s="50">
        <f t="shared" si="2"/>
        <v>4.2737977966760266E-2</v>
      </c>
      <c r="T8" s="50">
        <f t="shared" si="2"/>
        <v>2.9655683248583253E-2</v>
      </c>
      <c r="U8" s="50">
        <f t="shared" si="2"/>
        <v>1.9361322678858262E-2</v>
      </c>
      <c r="V8" s="50">
        <f t="shared" si="2"/>
        <v>6.8825398897651713E-3</v>
      </c>
      <c r="W8" s="50">
        <f t="shared" si="2"/>
        <v>-9.9132755424813368E-3</v>
      </c>
      <c r="X8" s="50">
        <f t="shared" si="2"/>
        <v>1.0336792369157299E-2</v>
      </c>
      <c r="Y8" s="50">
        <f t="shared" si="2"/>
        <v>-4.5237767213280877E-3</v>
      </c>
      <c r="Z8" s="50">
        <f t="shared" si="2"/>
        <v>3.6033917042020081E-2</v>
      </c>
      <c r="AA8" s="50">
        <f t="shared" si="2"/>
        <v>1.2680813331074514E-2</v>
      </c>
      <c r="AB8" s="50">
        <f t="shared" si="2"/>
        <v>3.6564117424812137E-2</v>
      </c>
      <c r="AC8" s="50">
        <f t="shared" si="2"/>
        <v>1.4378263977141259E-2</v>
      </c>
      <c r="AD8" s="50">
        <f t="shared" si="2"/>
        <v>1.6632153305065289E-2</v>
      </c>
      <c r="AE8" s="50">
        <f t="shared" si="2"/>
        <v>5.353955978584235E-3</v>
      </c>
      <c r="AF8" s="50">
        <f t="shared" si="2"/>
        <v>1.5838940312008276E-2</v>
      </c>
      <c r="AG8" s="50">
        <f t="shared" si="2"/>
        <v>1.184741494433772E-2</v>
      </c>
      <c r="AH8" s="50">
        <f t="shared" si="2"/>
        <v>2.3759532085815493E-2</v>
      </c>
      <c r="AI8" s="50">
        <f t="shared" si="2"/>
        <v>3.3529787956101176E-2</v>
      </c>
      <c r="AJ8" s="50">
        <f t="shared" si="2"/>
        <v>2.8853681119336949E-2</v>
      </c>
      <c r="AK8" s="50">
        <f t="shared" si="2"/>
        <v>4.6348151867444232E-2</v>
      </c>
    </row>
    <row r="9" spans="2:37" x14ac:dyDescent="0.3">
      <c r="B9" s="1" t="s">
        <v>110</v>
      </c>
      <c r="E9" s="113" t="s">
        <v>243</v>
      </c>
      <c r="F9" s="113"/>
      <c r="G9" s="113"/>
      <c r="J9" s="34" t="s">
        <v>300</v>
      </c>
      <c r="K9" s="6"/>
      <c r="L9" s="6" t="s">
        <v>59</v>
      </c>
      <c r="M9" s="6"/>
      <c r="N9" s="35"/>
    </row>
    <row r="10" spans="2:37" x14ac:dyDescent="0.3">
      <c r="B10" s="1" t="s">
        <v>188</v>
      </c>
      <c r="E10" s="16"/>
      <c r="F10" s="16"/>
      <c r="G10" s="16"/>
      <c r="J10" s="36" t="s">
        <v>165</v>
      </c>
      <c r="L10" s="1" t="s">
        <v>186</v>
      </c>
      <c r="N10" s="37"/>
      <c r="P10" s="1" t="s">
        <v>240</v>
      </c>
      <c r="S10" s="40">
        <f>AVERAGE(R5:AJ5)</f>
        <v>6.1289325986018314E-2</v>
      </c>
    </row>
    <row r="11" spans="2:37" x14ac:dyDescent="0.3">
      <c r="B11" s="1" t="s">
        <v>189</v>
      </c>
      <c r="E11" s="16"/>
      <c r="F11" s="16"/>
      <c r="G11" s="16"/>
      <c r="J11" s="36" t="s">
        <v>161</v>
      </c>
      <c r="L11" s="1" t="s">
        <v>166</v>
      </c>
      <c r="N11" s="38"/>
      <c r="O11" s="12"/>
      <c r="P11" s="1" t="s">
        <v>296</v>
      </c>
      <c r="S11" s="40">
        <f>MAX(R5:AJ5)</f>
        <v>0.13137506386794717</v>
      </c>
      <c r="T11" s="8"/>
      <c r="U11" s="8"/>
      <c r="V11" s="8"/>
    </row>
    <row r="12" spans="2:37" ht="15.6" customHeight="1" x14ac:dyDescent="0.3">
      <c r="B12" s="1" t="s">
        <v>190</v>
      </c>
      <c r="E12" s="113" t="s">
        <v>244</v>
      </c>
      <c r="F12" s="113"/>
      <c r="G12" s="113"/>
      <c r="J12" s="34" t="s">
        <v>175</v>
      </c>
      <c r="K12" s="6"/>
      <c r="L12" s="6" t="s">
        <v>179</v>
      </c>
      <c r="M12" s="6"/>
      <c r="N12" s="35"/>
      <c r="P12" s="1" t="s">
        <v>298</v>
      </c>
      <c r="S12" s="40">
        <f>MIN(R5:AJ5)</f>
        <v>-2.7152479670540686E-2</v>
      </c>
    </row>
    <row r="13" spans="2:37" ht="15.6" customHeight="1" x14ac:dyDescent="0.3">
      <c r="B13" s="1" t="s">
        <v>210</v>
      </c>
      <c r="E13" s="113" t="s">
        <v>211</v>
      </c>
      <c r="F13" s="113"/>
      <c r="G13" s="113"/>
      <c r="J13" s="36" t="s">
        <v>176</v>
      </c>
      <c r="L13" s="1" t="s">
        <v>180</v>
      </c>
      <c r="N13" s="37"/>
      <c r="P13" s="1" t="s">
        <v>241</v>
      </c>
      <c r="Q13" s="12"/>
      <c r="R13" s="12"/>
      <c r="S13" s="40">
        <f>AVERAGE(R8:AJ8)</f>
        <v>1.8228913277731369E-2</v>
      </c>
    </row>
    <row r="14" spans="2:37" ht="15.6" customHeight="1" x14ac:dyDescent="0.3">
      <c r="B14" s="1" t="s">
        <v>191</v>
      </c>
      <c r="E14" s="113" t="s">
        <v>245</v>
      </c>
      <c r="F14" s="113"/>
      <c r="G14" s="113"/>
      <c r="J14" s="36" t="s">
        <v>1154</v>
      </c>
      <c r="L14" s="1" t="s">
        <v>181</v>
      </c>
      <c r="N14" s="37"/>
      <c r="P14" s="1" t="s">
        <v>297</v>
      </c>
      <c r="S14" s="40">
        <f>MAX(R8:AJ8)</f>
        <v>4.2737977966760266E-2</v>
      </c>
    </row>
    <row r="15" spans="2:37" x14ac:dyDescent="0.3">
      <c r="B15" s="1" t="s">
        <v>111</v>
      </c>
      <c r="E15" s="113" t="s">
        <v>246</v>
      </c>
      <c r="F15" s="113"/>
      <c r="G15" s="113"/>
      <c r="J15" s="34" t="s">
        <v>184</v>
      </c>
      <c r="K15" s="6"/>
      <c r="L15" s="6" t="s">
        <v>185</v>
      </c>
      <c r="M15" s="6"/>
      <c r="N15" s="35"/>
      <c r="P15" s="1" t="s">
        <v>299</v>
      </c>
      <c r="S15" s="40">
        <f>MIN(R8:AJ8)</f>
        <v>-9.9132755424813368E-3</v>
      </c>
    </row>
    <row r="16" spans="2:37" ht="15.6" customHeight="1" x14ac:dyDescent="0.3">
      <c r="B16" s="1" t="s">
        <v>112</v>
      </c>
      <c r="E16" s="113" t="s">
        <v>248</v>
      </c>
      <c r="F16" s="113"/>
      <c r="G16" s="113"/>
      <c r="J16" s="36" t="s">
        <v>177</v>
      </c>
      <c r="L16" s="1" t="s">
        <v>182</v>
      </c>
      <c r="N16" s="37"/>
    </row>
    <row r="17" spans="2:30" x14ac:dyDescent="0.3">
      <c r="B17" s="1" t="s">
        <v>113</v>
      </c>
      <c r="E17" s="113" t="s">
        <v>114</v>
      </c>
      <c r="F17" s="113"/>
      <c r="G17" s="113"/>
      <c r="J17" s="36" t="s">
        <v>178</v>
      </c>
      <c r="L17" s="1" t="s">
        <v>183</v>
      </c>
      <c r="N17" s="37"/>
    </row>
    <row r="18" spans="2:30" ht="15.6" customHeight="1" x14ac:dyDescent="0.3">
      <c r="B18" s="1" t="s">
        <v>115</v>
      </c>
      <c r="E18" s="113" t="s">
        <v>247</v>
      </c>
      <c r="F18" s="113"/>
      <c r="G18" s="113"/>
      <c r="J18" s="36" t="s">
        <v>162</v>
      </c>
      <c r="L18" s="1" t="s">
        <v>167</v>
      </c>
      <c r="N18" s="37"/>
      <c r="P18" s="8"/>
    </row>
    <row r="19" spans="2:30" ht="15.6" customHeight="1" x14ac:dyDescent="0.3">
      <c r="B19" s="1" t="s">
        <v>116</v>
      </c>
      <c r="J19" s="36" t="s">
        <v>163</v>
      </c>
      <c r="L19" s="1" t="s">
        <v>168</v>
      </c>
      <c r="N19" s="37"/>
    </row>
    <row r="20" spans="2:30" ht="15.6" customHeight="1" x14ac:dyDescent="0.3">
      <c r="B20" s="1" t="s">
        <v>117</v>
      </c>
      <c r="E20" s="113" t="s">
        <v>249</v>
      </c>
      <c r="F20" s="113"/>
      <c r="G20" s="113"/>
      <c r="J20" s="34" t="s">
        <v>164</v>
      </c>
      <c r="K20" s="6"/>
      <c r="L20" s="6" t="s">
        <v>174</v>
      </c>
      <c r="M20" s="6"/>
      <c r="N20" s="35"/>
    </row>
    <row r="21" spans="2:30" ht="15.6" customHeight="1" x14ac:dyDescent="0.3">
      <c r="B21" s="1" t="s">
        <v>118</v>
      </c>
      <c r="E21" s="113" t="s">
        <v>250</v>
      </c>
      <c r="F21" s="113"/>
      <c r="G21" s="113"/>
    </row>
    <row r="22" spans="2:30" ht="15.6" customHeight="1" x14ac:dyDescent="0.3"/>
    <row r="23" spans="2:30" ht="15.6" customHeight="1" x14ac:dyDescent="0.3">
      <c r="B23" s="2" t="s">
        <v>119</v>
      </c>
      <c r="C23" s="2"/>
      <c r="D23" s="2"/>
      <c r="E23" s="108" t="s">
        <v>45</v>
      </c>
      <c r="F23" s="108"/>
      <c r="G23" s="108"/>
      <c r="J23" s="2" t="s">
        <v>1153</v>
      </c>
      <c r="K23" s="2"/>
      <c r="L23" s="2"/>
      <c r="M23" s="2"/>
      <c r="N23" s="2"/>
    </row>
    <row r="24" spans="2:30" ht="15.6" customHeight="1" x14ac:dyDescent="0.3">
      <c r="B24" s="1" t="s">
        <v>192</v>
      </c>
      <c r="E24" s="113" t="s">
        <v>251</v>
      </c>
      <c r="F24" s="113"/>
      <c r="G24" s="113"/>
      <c r="M24" s="113"/>
      <c r="N24" s="113"/>
      <c r="O24" s="113"/>
      <c r="T24" s="113"/>
      <c r="U24" s="113"/>
      <c r="V24" s="113"/>
      <c r="Z24" s="113"/>
      <c r="AA24" s="113"/>
      <c r="AB24" s="113"/>
      <c r="AC24" s="113"/>
      <c r="AD24" s="113"/>
    </row>
    <row r="25" spans="2:30" ht="15.6" customHeight="1" x14ac:dyDescent="0.3">
      <c r="B25" s="1" t="s">
        <v>193</v>
      </c>
      <c r="E25" s="113" t="s">
        <v>252</v>
      </c>
      <c r="F25" s="113"/>
      <c r="G25" s="113"/>
      <c r="M25" s="16"/>
      <c r="N25" s="16"/>
      <c r="O25" s="16"/>
      <c r="T25" s="113"/>
      <c r="U25" s="113"/>
      <c r="V25" s="113"/>
    </row>
    <row r="26" spans="2:30" ht="15.6" customHeight="1" x14ac:dyDescent="0.3">
      <c r="B26" s="1" t="s">
        <v>194</v>
      </c>
      <c r="E26" s="113" t="s">
        <v>253</v>
      </c>
      <c r="F26" s="113"/>
      <c r="G26" s="113"/>
      <c r="M26" s="16"/>
      <c r="N26" s="16"/>
      <c r="O26" s="16"/>
      <c r="T26" s="113"/>
      <c r="U26" s="113"/>
      <c r="V26" s="113"/>
    </row>
    <row r="27" spans="2:30" ht="15.6" customHeight="1" x14ac:dyDescent="0.3">
      <c r="B27" s="1" t="s">
        <v>195</v>
      </c>
      <c r="E27" s="113" t="s">
        <v>254</v>
      </c>
      <c r="F27" s="113"/>
      <c r="G27" s="113"/>
      <c r="M27" s="113"/>
      <c r="N27" s="113"/>
      <c r="O27" s="113"/>
      <c r="T27" s="113"/>
      <c r="U27" s="113"/>
      <c r="V27" s="113"/>
      <c r="AA27" s="113"/>
      <c r="AB27" s="113"/>
      <c r="AC27" s="113"/>
    </row>
    <row r="28" spans="2:30" x14ac:dyDescent="0.3">
      <c r="B28" s="1" t="s">
        <v>196</v>
      </c>
      <c r="E28" s="113" t="s">
        <v>257</v>
      </c>
      <c r="F28" s="113"/>
      <c r="G28" s="113"/>
      <c r="M28" s="113"/>
      <c r="N28" s="113"/>
      <c r="O28" s="113"/>
      <c r="T28" s="113"/>
      <c r="U28" s="113"/>
      <c r="V28" s="113"/>
      <c r="AA28" s="113"/>
      <c r="AB28" s="113"/>
      <c r="AC28" s="113"/>
    </row>
    <row r="29" spans="2:30" ht="15.6" customHeight="1" x14ac:dyDescent="0.3">
      <c r="B29" s="1" t="s">
        <v>120</v>
      </c>
      <c r="E29" s="113" t="s">
        <v>255</v>
      </c>
      <c r="F29" s="113"/>
      <c r="G29" s="113"/>
      <c r="M29" s="113"/>
      <c r="N29" s="113"/>
      <c r="O29" s="113"/>
      <c r="T29" s="113"/>
      <c r="U29" s="113"/>
      <c r="V29" s="113"/>
      <c r="AA29" s="113"/>
      <c r="AB29" s="113"/>
      <c r="AC29" s="113"/>
    </row>
    <row r="30" spans="2:30" ht="15.6" customHeight="1" x14ac:dyDescent="0.3">
      <c r="B30" s="1" t="s">
        <v>187</v>
      </c>
      <c r="E30" s="1" t="s">
        <v>256</v>
      </c>
      <c r="M30" s="113"/>
      <c r="N30" s="113"/>
      <c r="O30" s="113"/>
      <c r="AA30" s="113"/>
      <c r="AB30" s="113"/>
      <c r="AC30" s="113"/>
    </row>
    <row r="31" spans="2:30" ht="15.6" customHeight="1" x14ac:dyDescent="0.3">
      <c r="B31" s="1" t="s">
        <v>121</v>
      </c>
      <c r="E31" s="1" t="s">
        <v>258</v>
      </c>
      <c r="M31" s="113"/>
      <c r="N31" s="113"/>
      <c r="O31" s="113"/>
      <c r="AA31" s="113"/>
      <c r="AB31" s="113"/>
      <c r="AC31" s="113"/>
    </row>
    <row r="32" spans="2:30" ht="15.6" customHeight="1" x14ac:dyDescent="0.3">
      <c r="B32" s="1" t="s">
        <v>122</v>
      </c>
      <c r="E32" s="113" t="s">
        <v>259</v>
      </c>
      <c r="F32" s="113"/>
      <c r="G32" s="113"/>
      <c r="M32" s="113"/>
      <c r="N32" s="113"/>
      <c r="O32" s="113"/>
      <c r="T32" s="113"/>
      <c r="U32" s="113"/>
      <c r="V32" s="113"/>
    </row>
    <row r="33" spans="2:30" x14ac:dyDescent="0.3">
      <c r="B33" s="1" t="s">
        <v>123</v>
      </c>
      <c r="E33" s="113" t="s">
        <v>157</v>
      </c>
      <c r="F33" s="113"/>
      <c r="G33" s="113"/>
      <c r="M33" s="113"/>
      <c r="N33" s="113"/>
      <c r="O33" s="113"/>
      <c r="T33" s="113"/>
      <c r="U33" s="113"/>
      <c r="V33" s="113"/>
      <c r="AA33" s="113"/>
      <c r="AB33" s="113"/>
      <c r="AC33" s="113"/>
    </row>
    <row r="34" spans="2:30" x14ac:dyDescent="0.3">
      <c r="B34" s="1" t="s">
        <v>124</v>
      </c>
      <c r="E34" s="113" t="s">
        <v>260</v>
      </c>
      <c r="F34" s="113"/>
      <c r="G34" s="113"/>
      <c r="T34" s="113"/>
      <c r="U34" s="113"/>
      <c r="V34" s="113"/>
      <c r="AA34" s="113"/>
      <c r="AB34" s="113"/>
      <c r="AC34" s="113"/>
    </row>
    <row r="35" spans="2:30" x14ac:dyDescent="0.3">
      <c r="B35" s="1" t="s">
        <v>125</v>
      </c>
      <c r="E35" s="113" t="s">
        <v>126</v>
      </c>
      <c r="F35" s="113"/>
      <c r="G35" s="113"/>
      <c r="M35" s="113"/>
      <c r="N35" s="113"/>
      <c r="O35" s="113"/>
      <c r="T35" s="113"/>
      <c r="U35" s="113"/>
      <c r="V35" s="113"/>
      <c r="AA35" s="113"/>
      <c r="AB35" s="113"/>
      <c r="AC35" s="113"/>
    </row>
    <row r="36" spans="2:30" x14ac:dyDescent="0.3">
      <c r="B36" s="1" t="s">
        <v>127</v>
      </c>
      <c r="E36" s="113" t="s">
        <v>156</v>
      </c>
      <c r="F36" s="113"/>
      <c r="G36" s="113"/>
      <c r="T36" s="113"/>
      <c r="U36" s="113"/>
      <c r="V36" s="113"/>
      <c r="AA36" s="16"/>
      <c r="AB36" s="16"/>
      <c r="AC36" s="16"/>
    </row>
    <row r="37" spans="2:30" ht="15.6" customHeight="1" x14ac:dyDescent="0.3">
      <c r="B37" s="1" t="s">
        <v>128</v>
      </c>
      <c r="E37" s="113" t="s">
        <v>261</v>
      </c>
      <c r="F37" s="113"/>
      <c r="G37" s="113"/>
      <c r="T37" s="113"/>
      <c r="U37" s="113"/>
      <c r="V37" s="113"/>
      <c r="Z37" s="113"/>
      <c r="AA37" s="113"/>
      <c r="AB37" s="113"/>
      <c r="AC37" s="113"/>
      <c r="AD37" s="113"/>
    </row>
    <row r="38" spans="2:30" ht="15.6" customHeight="1" x14ac:dyDescent="0.3">
      <c r="B38" s="1" t="s">
        <v>129</v>
      </c>
      <c r="E38" s="113" t="s">
        <v>262</v>
      </c>
      <c r="F38" s="113"/>
      <c r="G38" s="113"/>
      <c r="T38" s="113"/>
      <c r="U38" s="113"/>
      <c r="V38" s="113"/>
      <c r="AA38" s="16"/>
      <c r="AB38" s="16"/>
      <c r="AC38" s="16"/>
    </row>
    <row r="39" spans="2:30" ht="15.6" customHeight="1" x14ac:dyDescent="0.3">
      <c r="B39" s="1" t="s">
        <v>197</v>
      </c>
      <c r="E39" s="113" t="s">
        <v>263</v>
      </c>
      <c r="F39" s="113"/>
      <c r="G39" s="113"/>
      <c r="T39" s="113"/>
      <c r="U39" s="113"/>
      <c r="V39" s="113"/>
      <c r="AA39" s="113"/>
      <c r="AB39" s="113"/>
      <c r="AC39" s="113"/>
    </row>
    <row r="40" spans="2:30" ht="15.6" customHeight="1" x14ac:dyDescent="0.3">
      <c r="B40" s="1" t="s">
        <v>198</v>
      </c>
      <c r="E40" s="113" t="s">
        <v>264</v>
      </c>
      <c r="F40" s="113"/>
      <c r="G40" s="113"/>
      <c r="T40" s="113"/>
      <c r="U40" s="113"/>
      <c r="V40" s="113"/>
    </row>
    <row r="41" spans="2:30" ht="15.6" customHeight="1" x14ac:dyDescent="0.3">
      <c r="B41" s="1" t="s">
        <v>199</v>
      </c>
      <c r="E41" s="113" t="s">
        <v>265</v>
      </c>
      <c r="F41" s="113"/>
      <c r="G41" s="113"/>
      <c r="T41" s="113"/>
      <c r="U41" s="113"/>
      <c r="V41" s="113"/>
    </row>
    <row r="42" spans="2:30" ht="15.6" customHeight="1" x14ac:dyDescent="0.3">
      <c r="B42" s="1" t="s">
        <v>200</v>
      </c>
      <c r="E42" s="113" t="s">
        <v>266</v>
      </c>
      <c r="F42" s="113"/>
      <c r="G42" s="113"/>
      <c r="T42" s="113"/>
      <c r="U42" s="113"/>
      <c r="V42" s="113"/>
    </row>
    <row r="43" spans="2:30" ht="15.6" customHeight="1" x14ac:dyDescent="0.3">
      <c r="B43" s="1" t="s">
        <v>201</v>
      </c>
      <c r="E43" s="113" t="s">
        <v>267</v>
      </c>
      <c r="F43" s="113"/>
      <c r="G43" s="113"/>
      <c r="T43" s="113"/>
      <c r="U43" s="113"/>
      <c r="V43" s="113"/>
    </row>
    <row r="44" spans="2:30" x14ac:dyDescent="0.3">
      <c r="B44" s="1" t="s">
        <v>202</v>
      </c>
      <c r="F44" s="1" t="s">
        <v>268</v>
      </c>
    </row>
    <row r="45" spans="2:30" x14ac:dyDescent="0.3">
      <c r="B45" s="1" t="s">
        <v>130</v>
      </c>
      <c r="F45" s="1" t="s">
        <v>269</v>
      </c>
    </row>
    <row r="46" spans="2:30" ht="15.6" customHeight="1" x14ac:dyDescent="0.3">
      <c r="B46" s="1" t="s">
        <v>131</v>
      </c>
      <c r="E46" s="113" t="s">
        <v>270</v>
      </c>
      <c r="F46" s="113"/>
      <c r="G46" s="113"/>
      <c r="T46" s="113"/>
      <c r="U46" s="113"/>
      <c r="V46" s="113"/>
    </row>
    <row r="47" spans="2:30" ht="15.6" customHeight="1" x14ac:dyDescent="0.3">
      <c r="B47" s="1" t="s">
        <v>132</v>
      </c>
      <c r="E47" s="113" t="s">
        <v>271</v>
      </c>
      <c r="F47" s="113"/>
      <c r="G47" s="113"/>
      <c r="T47" s="113"/>
      <c r="U47" s="113"/>
      <c r="V47" s="113"/>
    </row>
    <row r="48" spans="2:30" ht="15.6" customHeight="1" x14ac:dyDescent="0.3">
      <c r="B48" s="1" t="s">
        <v>133</v>
      </c>
      <c r="E48" s="113" t="s">
        <v>272</v>
      </c>
      <c r="F48" s="113"/>
      <c r="G48" s="113"/>
      <c r="T48" s="113"/>
      <c r="U48" s="113"/>
      <c r="V48" s="113"/>
    </row>
    <row r="49" spans="2:22" x14ac:dyDescent="0.3">
      <c r="B49" s="1" t="s">
        <v>134</v>
      </c>
      <c r="E49" s="113" t="s">
        <v>273</v>
      </c>
      <c r="F49" s="113"/>
      <c r="G49" s="113"/>
      <c r="T49" s="113"/>
      <c r="U49" s="113"/>
      <c r="V49" s="113"/>
    </row>
    <row r="50" spans="2:22" x14ac:dyDescent="0.3">
      <c r="B50" s="1" t="s">
        <v>135</v>
      </c>
      <c r="E50" s="113" t="s">
        <v>145</v>
      </c>
      <c r="F50" s="113"/>
      <c r="G50" s="113"/>
      <c r="T50" s="113"/>
      <c r="U50" s="113"/>
      <c r="V50" s="113"/>
    </row>
    <row r="51" spans="2:22" x14ac:dyDescent="0.3">
      <c r="B51" s="1" t="s">
        <v>158</v>
      </c>
      <c r="E51" s="16"/>
      <c r="F51" s="16" t="s">
        <v>159</v>
      </c>
      <c r="G51" s="16"/>
      <c r="T51" s="16"/>
      <c r="U51" s="16"/>
      <c r="V51" s="16"/>
    </row>
    <row r="53" spans="2:22" x14ac:dyDescent="0.3">
      <c r="B53" s="2" t="s">
        <v>136</v>
      </c>
      <c r="C53" s="2"/>
      <c r="D53" s="2"/>
      <c r="E53" s="108" t="s">
        <v>45</v>
      </c>
      <c r="F53" s="108"/>
      <c r="G53" s="108"/>
    </row>
    <row r="54" spans="2:22" ht="15.6" customHeight="1" x14ac:dyDescent="0.3">
      <c r="B54" s="1" t="s">
        <v>137</v>
      </c>
      <c r="E54" s="1" t="s">
        <v>274</v>
      </c>
    </row>
    <row r="55" spans="2:22" ht="15.6" customHeight="1" x14ac:dyDescent="0.3">
      <c r="B55" s="1" t="s">
        <v>142</v>
      </c>
      <c r="E55" s="113" t="s">
        <v>275</v>
      </c>
      <c r="F55" s="113"/>
      <c r="G55" s="113"/>
    </row>
    <row r="56" spans="2:22" x14ac:dyDescent="0.3">
      <c r="B56" s="1" t="s">
        <v>144</v>
      </c>
      <c r="E56" s="1" t="s">
        <v>146</v>
      </c>
    </row>
    <row r="57" spans="2:22" ht="15.6" customHeight="1" x14ac:dyDescent="0.3">
      <c r="B57" s="1" t="s">
        <v>138</v>
      </c>
      <c r="E57" s="113" t="s">
        <v>276</v>
      </c>
      <c r="F57" s="113"/>
      <c r="G57" s="113"/>
    </row>
    <row r="58" spans="2:22" ht="15.6" customHeight="1" x14ac:dyDescent="0.3">
      <c r="B58" s="1" t="s">
        <v>139</v>
      </c>
      <c r="E58" s="113" t="s">
        <v>277</v>
      </c>
      <c r="F58" s="113"/>
      <c r="G58" s="113"/>
    </row>
    <row r="59" spans="2:22" ht="15.6" customHeight="1" x14ac:dyDescent="0.3">
      <c r="B59" s="1" t="s">
        <v>140</v>
      </c>
      <c r="E59" s="113" t="s">
        <v>278</v>
      </c>
      <c r="F59" s="113"/>
      <c r="G59" s="113"/>
    </row>
    <row r="60" spans="2:22" x14ac:dyDescent="0.3">
      <c r="B60" s="1" t="s">
        <v>141</v>
      </c>
      <c r="E60" s="113" t="s">
        <v>280</v>
      </c>
      <c r="F60" s="113"/>
      <c r="G60" s="113"/>
    </row>
    <row r="61" spans="2:22" x14ac:dyDescent="0.3">
      <c r="B61" s="1" t="s">
        <v>208</v>
      </c>
      <c r="E61" s="113" t="s">
        <v>209</v>
      </c>
      <c r="F61" s="113"/>
      <c r="G61" s="113"/>
    </row>
    <row r="62" spans="2:22" x14ac:dyDescent="0.3">
      <c r="B62" s="1" t="s">
        <v>207</v>
      </c>
      <c r="E62" s="1" t="s">
        <v>279</v>
      </c>
    </row>
    <row r="63" spans="2:22" ht="15.6" customHeight="1" x14ac:dyDescent="0.3">
      <c r="B63" s="1" t="s">
        <v>143</v>
      </c>
      <c r="E63" s="113" t="s">
        <v>281</v>
      </c>
      <c r="F63" s="113"/>
      <c r="G63" s="113"/>
    </row>
    <row r="64" spans="2:22" x14ac:dyDescent="0.3">
      <c r="B64" s="1" t="s">
        <v>169</v>
      </c>
      <c r="E64" s="113" t="s">
        <v>282</v>
      </c>
      <c r="F64" s="113"/>
      <c r="G64" s="113"/>
    </row>
    <row r="65" spans="2:8" x14ac:dyDescent="0.3">
      <c r="B65" s="1" t="s">
        <v>203</v>
      </c>
      <c r="E65" s="113" t="s">
        <v>283</v>
      </c>
      <c r="F65" s="113"/>
      <c r="G65" s="113"/>
    </row>
    <row r="66" spans="2:8" x14ac:dyDescent="0.3">
      <c r="B66" s="1" t="s">
        <v>204</v>
      </c>
      <c r="E66" s="16"/>
      <c r="F66" s="16" t="s">
        <v>284</v>
      </c>
      <c r="G66" s="16"/>
    </row>
    <row r="67" spans="2:8" ht="15.6" customHeight="1" x14ac:dyDescent="0.3">
      <c r="B67" s="1" t="s">
        <v>205</v>
      </c>
      <c r="D67" s="113" t="s">
        <v>285</v>
      </c>
      <c r="E67" s="113"/>
      <c r="F67" s="113"/>
      <c r="G67" s="113"/>
      <c r="H67" s="113"/>
    </row>
    <row r="68" spans="2:8" x14ac:dyDescent="0.3">
      <c r="B68" s="1" t="s">
        <v>206</v>
      </c>
      <c r="E68" s="16"/>
      <c r="F68" s="16" t="s">
        <v>286</v>
      </c>
      <c r="G68" s="16"/>
    </row>
    <row r="69" spans="2:8" ht="15.6" customHeight="1" x14ac:dyDescent="0.3">
      <c r="B69" s="1" t="s">
        <v>170</v>
      </c>
      <c r="E69" s="113" t="s">
        <v>287</v>
      </c>
      <c r="F69" s="113"/>
      <c r="G69" s="113"/>
    </row>
    <row r="71" spans="2:8" x14ac:dyDescent="0.3">
      <c r="B71" s="2" t="s">
        <v>171</v>
      </c>
      <c r="C71" s="2"/>
      <c r="D71" s="2"/>
      <c r="E71" s="29" t="s">
        <v>172</v>
      </c>
      <c r="F71" s="29" t="s">
        <v>173</v>
      </c>
    </row>
    <row r="72" spans="2:8" x14ac:dyDescent="0.3">
      <c r="B72" s="1" t="s">
        <v>147</v>
      </c>
      <c r="E72" s="43" t="s">
        <v>148</v>
      </c>
      <c r="F72" s="30">
        <v>45212</v>
      </c>
    </row>
    <row r="73" spans="2:8" x14ac:dyDescent="0.3">
      <c r="B73" s="1" t="s">
        <v>288</v>
      </c>
      <c r="E73" s="43" t="s">
        <v>289</v>
      </c>
      <c r="F73" s="30">
        <v>44949</v>
      </c>
    </row>
    <row r="74" spans="2:8" x14ac:dyDescent="0.3">
      <c r="B74" s="1" t="s">
        <v>149</v>
      </c>
      <c r="E74" s="43" t="s">
        <v>154</v>
      </c>
      <c r="F74" s="30">
        <v>44677</v>
      </c>
    </row>
    <row r="75" spans="2:8" x14ac:dyDescent="0.3">
      <c r="B75" s="1" t="s">
        <v>150</v>
      </c>
      <c r="E75" s="43" t="s">
        <v>155</v>
      </c>
      <c r="F75" s="30">
        <v>44624</v>
      </c>
    </row>
    <row r="76" spans="2:8" x14ac:dyDescent="0.3">
      <c r="B76" s="1" t="s">
        <v>151</v>
      </c>
      <c r="E76" s="43" t="s">
        <v>152</v>
      </c>
      <c r="F76" s="30">
        <v>44264</v>
      </c>
    </row>
    <row r="77" spans="2:8" x14ac:dyDescent="0.3">
      <c r="B77" s="1" t="s">
        <v>292</v>
      </c>
      <c r="E77" s="43" t="s">
        <v>293</v>
      </c>
      <c r="F77" s="30">
        <v>43668</v>
      </c>
    </row>
    <row r="78" spans="2:8" x14ac:dyDescent="0.3">
      <c r="B78" s="1" t="s">
        <v>290</v>
      </c>
      <c r="E78" s="43" t="s">
        <v>291</v>
      </c>
      <c r="F78" s="30">
        <v>43399</v>
      </c>
    </row>
    <row r="79" spans="2:8" x14ac:dyDescent="0.3">
      <c r="B79" s="1" t="s">
        <v>294</v>
      </c>
      <c r="E79" s="43" t="s">
        <v>295</v>
      </c>
      <c r="F79" s="30">
        <v>41897</v>
      </c>
    </row>
    <row r="80" spans="2:8" x14ac:dyDescent="0.3">
      <c r="B80" s="1" t="s">
        <v>153</v>
      </c>
      <c r="E80" s="16"/>
      <c r="F80" s="1">
        <v>2014</v>
      </c>
    </row>
    <row r="82" spans="2:2" x14ac:dyDescent="0.3">
      <c r="B82" s="1" t="s">
        <v>87</v>
      </c>
    </row>
    <row r="83" spans="2:2" x14ac:dyDescent="0.3">
      <c r="B83" s="1" t="s">
        <v>1155</v>
      </c>
    </row>
    <row r="85" spans="2:2" x14ac:dyDescent="0.3">
      <c r="B85" s="1" t="s">
        <v>1156</v>
      </c>
    </row>
  </sheetData>
  <sortState xmlns:xlrd2="http://schemas.microsoft.com/office/spreadsheetml/2017/richdata2" ref="B72:F80">
    <sortCondition descending="1" ref="F72:F80"/>
  </sortState>
  <mergeCells count="90">
    <mergeCell ref="E69:G69"/>
    <mergeCell ref="E60:G60"/>
    <mergeCell ref="E63:G63"/>
    <mergeCell ref="E65:G65"/>
    <mergeCell ref="D67:H67"/>
    <mergeCell ref="E64:G64"/>
    <mergeCell ref="E61:G61"/>
    <mergeCell ref="E55:G55"/>
    <mergeCell ref="E57:G57"/>
    <mergeCell ref="E58:G58"/>
    <mergeCell ref="E59:G59"/>
    <mergeCell ref="E42:G42"/>
    <mergeCell ref="E43:G43"/>
    <mergeCell ref="E46:G46"/>
    <mergeCell ref="E47:G47"/>
    <mergeCell ref="E48:G48"/>
    <mergeCell ref="E32:G32"/>
    <mergeCell ref="E34:G34"/>
    <mergeCell ref="E24:G24"/>
    <mergeCell ref="E25:G25"/>
    <mergeCell ref="E26:G26"/>
    <mergeCell ref="E27:G27"/>
    <mergeCell ref="E29:G29"/>
    <mergeCell ref="E28:G28"/>
    <mergeCell ref="E36:G36"/>
    <mergeCell ref="E49:G49"/>
    <mergeCell ref="E50:G50"/>
    <mergeCell ref="E53:G53"/>
    <mergeCell ref="E33:G33"/>
    <mergeCell ref="E35:G35"/>
    <mergeCell ref="E37:G37"/>
    <mergeCell ref="E38:G38"/>
    <mergeCell ref="E39:G39"/>
    <mergeCell ref="E40:G40"/>
    <mergeCell ref="E41:G41"/>
    <mergeCell ref="E8:G8"/>
    <mergeCell ref="E17:G17"/>
    <mergeCell ref="E9:G9"/>
    <mergeCell ref="E15:G15"/>
    <mergeCell ref="E23:G23"/>
    <mergeCell ref="E12:G12"/>
    <mergeCell ref="E21:G21"/>
    <mergeCell ref="E13:G13"/>
    <mergeCell ref="E16:G16"/>
    <mergeCell ref="E14:G14"/>
    <mergeCell ref="E18:G18"/>
    <mergeCell ref="E20:G20"/>
    <mergeCell ref="M32:O32"/>
    <mergeCell ref="M33:O33"/>
    <mergeCell ref="M35:O35"/>
    <mergeCell ref="M24:O24"/>
    <mergeCell ref="M27:O27"/>
    <mergeCell ref="M28:O28"/>
    <mergeCell ref="M29:O29"/>
    <mergeCell ref="T24:V24"/>
    <mergeCell ref="T25:V25"/>
    <mergeCell ref="T26:V26"/>
    <mergeCell ref="M30:O30"/>
    <mergeCell ref="M31:O31"/>
    <mergeCell ref="T27:V27"/>
    <mergeCell ref="T28:V28"/>
    <mergeCell ref="T29:V29"/>
    <mergeCell ref="T32:V32"/>
    <mergeCell ref="T33:V33"/>
    <mergeCell ref="T34:V34"/>
    <mergeCell ref="T35:V35"/>
    <mergeCell ref="T36:V36"/>
    <mergeCell ref="T47:V47"/>
    <mergeCell ref="T48:V48"/>
    <mergeCell ref="T37:V37"/>
    <mergeCell ref="T38:V38"/>
    <mergeCell ref="T39:V39"/>
    <mergeCell ref="T40:V40"/>
    <mergeCell ref="T41:V41"/>
    <mergeCell ref="T49:V49"/>
    <mergeCell ref="T50:V50"/>
    <mergeCell ref="Z37:AD37"/>
    <mergeCell ref="AA39:AC39"/>
    <mergeCell ref="Z24:AD24"/>
    <mergeCell ref="AA30:AC30"/>
    <mergeCell ref="AA31:AC31"/>
    <mergeCell ref="AA33:AC33"/>
    <mergeCell ref="AA34:AC34"/>
    <mergeCell ref="AA35:AC35"/>
    <mergeCell ref="AA27:AC27"/>
    <mergeCell ref="AA28:AC28"/>
    <mergeCell ref="AA29:AC29"/>
    <mergeCell ref="T42:V42"/>
    <mergeCell ref="T43:V43"/>
    <mergeCell ref="T46:V46"/>
  </mergeCells>
  <conditionalFormatting sqref="R5:AK5">
    <cfRule type="colorScale" priority="3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R8:AK8">
    <cfRule type="colorScale" priority="2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S10:S15">
    <cfRule type="colorScale" priority="6">
      <colorScale>
        <cfvo type="min"/>
        <cfvo type="num" val="0"/>
        <cfvo type="max"/>
        <color rgb="FFFF0000"/>
        <color theme="2"/>
        <color rgb="FF00B05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52C1E-B168-4319-BB43-66E46BE284F3}">
  <dimension ref="A1:AG342"/>
  <sheetViews>
    <sheetView showGridLines="0" zoomScale="55" zoomScaleNormal="55" workbookViewId="0">
      <pane ySplit="1" topLeftCell="A257" activePane="bottomLeft" state="frozen"/>
      <selection pane="bottomLeft" activeCell="B1" sqref="B1:N333"/>
    </sheetView>
  </sheetViews>
  <sheetFormatPr defaultColWidth="8.69921875" defaultRowHeight="14.4" customHeight="1" x14ac:dyDescent="0.3"/>
  <cols>
    <col min="2" max="2" width="35.59765625" customWidth="1"/>
    <col min="3" max="3" width="18.296875" bestFit="1" customWidth="1"/>
    <col min="4" max="4" width="10.09765625" customWidth="1"/>
    <col min="6" max="6" width="10.8984375" customWidth="1"/>
    <col min="7" max="7" width="12" customWidth="1"/>
    <col min="8" max="8" width="11.69921875" customWidth="1"/>
    <col min="9" max="9" width="13.3984375" customWidth="1"/>
    <col min="10" max="10" width="16.69921875" customWidth="1"/>
    <col min="11" max="11" width="27.296875" bestFit="1" customWidth="1"/>
    <col min="12" max="12" width="62.796875" bestFit="1" customWidth="1"/>
    <col min="13" max="13" width="33.59765625" bestFit="1" customWidth="1"/>
    <col min="14" max="14" width="29.8984375" bestFit="1" customWidth="1"/>
  </cols>
  <sheetData>
    <row r="1" spans="1:33" s="86" customFormat="1" ht="33.6" customHeight="1" x14ac:dyDescent="0.3">
      <c r="A1" s="89"/>
      <c r="B1" s="100" t="s">
        <v>361</v>
      </c>
      <c r="C1" s="100" t="s">
        <v>561</v>
      </c>
      <c r="D1" s="100" t="s">
        <v>1101</v>
      </c>
      <c r="E1" s="100" t="s">
        <v>563</v>
      </c>
      <c r="F1" s="100" t="s">
        <v>1102</v>
      </c>
      <c r="G1" s="100" t="s">
        <v>1109</v>
      </c>
      <c r="H1" s="100" t="s">
        <v>1103</v>
      </c>
      <c r="I1" s="100" t="s">
        <v>1104</v>
      </c>
      <c r="J1" s="100" t="s">
        <v>1118</v>
      </c>
      <c r="K1" s="100" t="s">
        <v>1098</v>
      </c>
      <c r="L1" s="100" t="s">
        <v>1099</v>
      </c>
      <c r="M1" s="100" t="s">
        <v>362</v>
      </c>
      <c r="N1" s="100" t="s">
        <v>1100</v>
      </c>
      <c r="O1" s="87"/>
      <c r="P1" s="88"/>
      <c r="Q1" s="88"/>
      <c r="R1" s="88"/>
      <c r="S1" s="88"/>
      <c r="T1" s="88"/>
      <c r="U1" s="88"/>
      <c r="V1" s="88"/>
      <c r="W1" s="88"/>
      <c r="Y1" s="88"/>
      <c r="Z1" s="88"/>
      <c r="AA1" s="88"/>
      <c r="AB1" s="88"/>
      <c r="AC1" s="88"/>
      <c r="AE1" s="88"/>
      <c r="AF1" s="88"/>
      <c r="AG1" s="88"/>
    </row>
    <row r="2" spans="1:33" ht="14.4" customHeight="1" x14ac:dyDescent="0.3">
      <c r="B2" s="90" t="s">
        <v>660</v>
      </c>
      <c r="C2" s="93" t="s">
        <v>659</v>
      </c>
      <c r="D2" s="91" t="s">
        <v>568</v>
      </c>
      <c r="E2" s="92">
        <v>40</v>
      </c>
      <c r="F2" s="91" t="s">
        <v>568</v>
      </c>
      <c r="G2" s="92">
        <v>40</v>
      </c>
      <c r="H2" s="91" t="s">
        <v>568</v>
      </c>
      <c r="I2" s="92">
        <v>40</v>
      </c>
      <c r="J2" s="96" t="s">
        <v>1119</v>
      </c>
      <c r="K2" s="91" t="s">
        <v>596</v>
      </c>
      <c r="L2" s="91" t="s">
        <v>661</v>
      </c>
      <c r="M2" s="90" t="s">
        <v>363</v>
      </c>
      <c r="N2" s="93" t="s">
        <v>364</v>
      </c>
      <c r="AE2" s="85"/>
      <c r="AF2" s="85"/>
      <c r="AG2" s="85"/>
    </row>
    <row r="3" spans="1:33" ht="14.4" customHeight="1" x14ac:dyDescent="0.3">
      <c r="B3" s="94" t="s">
        <v>660</v>
      </c>
      <c r="C3" s="95">
        <v>2006</v>
      </c>
      <c r="D3" s="96" t="s">
        <v>568</v>
      </c>
      <c r="E3" s="97">
        <v>40</v>
      </c>
      <c r="F3" s="96" t="s">
        <v>568</v>
      </c>
      <c r="G3" s="97">
        <v>40</v>
      </c>
      <c r="H3" s="96" t="s">
        <v>568</v>
      </c>
      <c r="I3" s="97">
        <v>40</v>
      </c>
      <c r="J3" s="96" t="s">
        <v>1119</v>
      </c>
      <c r="K3" s="96" t="s">
        <v>596</v>
      </c>
      <c r="L3" s="96" t="s">
        <v>662</v>
      </c>
      <c r="M3" s="94" t="s">
        <v>365</v>
      </c>
      <c r="N3" s="95" t="s">
        <v>366</v>
      </c>
      <c r="AE3" s="85"/>
      <c r="AF3" s="85"/>
      <c r="AG3" s="85"/>
    </row>
    <row r="4" spans="1:33" ht="14.4" customHeight="1" x14ac:dyDescent="0.3">
      <c r="B4" s="90" t="s">
        <v>660</v>
      </c>
      <c r="C4" s="90" t="s">
        <v>716</v>
      </c>
      <c r="D4" s="91" t="s">
        <v>568</v>
      </c>
      <c r="E4" s="92">
        <v>40</v>
      </c>
      <c r="F4" s="91" t="s">
        <v>568</v>
      </c>
      <c r="G4" s="92">
        <v>40</v>
      </c>
      <c r="H4" s="91" t="s">
        <v>568</v>
      </c>
      <c r="I4" s="92">
        <v>40</v>
      </c>
      <c r="J4" s="96" t="s">
        <v>1119</v>
      </c>
      <c r="K4" s="91" t="s">
        <v>596</v>
      </c>
      <c r="L4" s="91" t="s">
        <v>717</v>
      </c>
      <c r="M4" s="90" t="s">
        <v>367</v>
      </c>
      <c r="N4" s="93" t="s">
        <v>368</v>
      </c>
      <c r="AE4" s="85"/>
      <c r="AF4" s="85"/>
      <c r="AG4" s="85"/>
    </row>
    <row r="5" spans="1:33" ht="14.4" customHeight="1" x14ac:dyDescent="0.3">
      <c r="B5" s="94" t="s">
        <v>565</v>
      </c>
      <c r="C5" s="94" t="s">
        <v>564</v>
      </c>
      <c r="D5" s="96" t="s">
        <v>568</v>
      </c>
      <c r="E5" s="97">
        <v>40</v>
      </c>
      <c r="F5" s="96" t="s">
        <v>568</v>
      </c>
      <c r="G5" s="97">
        <v>40</v>
      </c>
      <c r="H5" s="96" t="s">
        <v>568</v>
      </c>
      <c r="I5" s="97">
        <v>40</v>
      </c>
      <c r="J5" s="96" t="s">
        <v>1119</v>
      </c>
      <c r="K5" s="96" t="s">
        <v>596</v>
      </c>
      <c r="L5" s="96" t="s">
        <v>566</v>
      </c>
      <c r="M5" s="94" t="s">
        <v>369</v>
      </c>
      <c r="N5" s="95" t="s">
        <v>370</v>
      </c>
      <c r="AE5" s="85"/>
      <c r="AF5" s="85"/>
      <c r="AG5" s="85"/>
    </row>
    <row r="6" spans="1:33" ht="14.4" customHeight="1" x14ac:dyDescent="0.3">
      <c r="B6" s="90" t="s">
        <v>565</v>
      </c>
      <c r="C6" s="90" t="s">
        <v>564</v>
      </c>
      <c r="D6" s="91" t="s">
        <v>568</v>
      </c>
      <c r="E6" s="92">
        <v>40</v>
      </c>
      <c r="F6" s="91" t="s">
        <v>568</v>
      </c>
      <c r="G6" s="92">
        <v>40</v>
      </c>
      <c r="H6" s="91" t="s">
        <v>568</v>
      </c>
      <c r="I6" s="92">
        <v>40</v>
      </c>
      <c r="J6" s="96" t="s">
        <v>1119</v>
      </c>
      <c r="K6" s="91" t="s">
        <v>596</v>
      </c>
      <c r="L6" s="91" t="s">
        <v>597</v>
      </c>
      <c r="M6" s="90" t="s">
        <v>371</v>
      </c>
      <c r="N6" s="93" t="s">
        <v>372</v>
      </c>
      <c r="AE6" s="85"/>
      <c r="AF6" s="85"/>
      <c r="AG6" s="85"/>
    </row>
    <row r="7" spans="1:33" ht="14.4" customHeight="1" x14ac:dyDescent="0.3">
      <c r="B7" s="94" t="s">
        <v>565</v>
      </c>
      <c r="C7" s="94" t="s">
        <v>564</v>
      </c>
      <c r="D7" s="96" t="s">
        <v>568</v>
      </c>
      <c r="E7" s="97">
        <v>40</v>
      </c>
      <c r="F7" s="96" t="s">
        <v>568</v>
      </c>
      <c r="G7" s="97">
        <v>40</v>
      </c>
      <c r="H7" s="96" t="s">
        <v>568</v>
      </c>
      <c r="I7" s="97">
        <v>40</v>
      </c>
      <c r="J7" s="96" t="s">
        <v>1119</v>
      </c>
      <c r="K7" s="96" t="s">
        <v>596</v>
      </c>
      <c r="L7" s="96" t="s">
        <v>688</v>
      </c>
      <c r="M7" s="94" t="s">
        <v>373</v>
      </c>
      <c r="N7" s="95" t="s">
        <v>374</v>
      </c>
      <c r="AE7" s="85"/>
      <c r="AF7" s="85"/>
      <c r="AG7" s="85"/>
    </row>
    <row r="8" spans="1:33" ht="14.4" customHeight="1" x14ac:dyDescent="0.3">
      <c r="B8" s="90" t="s">
        <v>565</v>
      </c>
      <c r="C8" s="90" t="s">
        <v>564</v>
      </c>
      <c r="D8" s="91" t="s">
        <v>568</v>
      </c>
      <c r="E8" s="92">
        <v>40</v>
      </c>
      <c r="F8" s="91" t="s">
        <v>568</v>
      </c>
      <c r="G8" s="92">
        <v>40</v>
      </c>
      <c r="H8" s="91" t="s">
        <v>568</v>
      </c>
      <c r="I8" s="92">
        <v>40</v>
      </c>
      <c r="J8" s="96" t="s">
        <v>1119</v>
      </c>
      <c r="K8" s="91" t="s">
        <v>596</v>
      </c>
      <c r="L8" s="91" t="s">
        <v>705</v>
      </c>
      <c r="M8" s="90" t="s">
        <v>375</v>
      </c>
      <c r="N8" s="93" t="s">
        <v>376</v>
      </c>
      <c r="AE8" s="85"/>
      <c r="AF8" s="85"/>
      <c r="AG8" s="85"/>
    </row>
    <row r="9" spans="1:33" ht="14.4" customHeight="1" x14ac:dyDescent="0.3">
      <c r="B9" s="94" t="s">
        <v>565</v>
      </c>
      <c r="C9" s="94" t="s">
        <v>564</v>
      </c>
      <c r="D9" s="96" t="s">
        <v>568</v>
      </c>
      <c r="E9" s="97">
        <v>40</v>
      </c>
      <c r="F9" s="96" t="s">
        <v>568</v>
      </c>
      <c r="G9" s="97">
        <v>40</v>
      </c>
      <c r="H9" s="96" t="s">
        <v>568</v>
      </c>
      <c r="I9" s="97">
        <v>40</v>
      </c>
      <c r="J9" s="96" t="s">
        <v>1119</v>
      </c>
      <c r="K9" s="96" t="s">
        <v>596</v>
      </c>
      <c r="L9" s="96" t="s">
        <v>706</v>
      </c>
      <c r="M9" s="94" t="s">
        <v>377</v>
      </c>
      <c r="N9" s="95" t="s">
        <v>368</v>
      </c>
      <c r="AE9" s="85"/>
      <c r="AF9" s="85"/>
      <c r="AG9" s="85"/>
    </row>
    <row r="10" spans="1:33" ht="14.4" customHeight="1" x14ac:dyDescent="0.3">
      <c r="B10" s="90" t="s">
        <v>565</v>
      </c>
      <c r="C10" s="90" t="s">
        <v>564</v>
      </c>
      <c r="D10" s="91" t="s">
        <v>568</v>
      </c>
      <c r="E10" s="92">
        <v>40</v>
      </c>
      <c r="F10" s="91" t="s">
        <v>568</v>
      </c>
      <c r="G10" s="92">
        <v>40</v>
      </c>
      <c r="H10" s="91" t="s">
        <v>568</v>
      </c>
      <c r="I10" s="92">
        <v>40</v>
      </c>
      <c r="J10" s="96" t="s">
        <v>1119</v>
      </c>
      <c r="K10" s="91" t="s">
        <v>596</v>
      </c>
      <c r="L10" s="91" t="s">
        <v>772</v>
      </c>
      <c r="M10" s="90" t="s">
        <v>373</v>
      </c>
      <c r="N10" s="93" t="s">
        <v>374</v>
      </c>
      <c r="AE10" s="85"/>
      <c r="AF10" s="85"/>
      <c r="AG10" s="85"/>
    </row>
    <row r="11" spans="1:33" ht="14.4" customHeight="1" x14ac:dyDescent="0.3">
      <c r="B11" s="94" t="s">
        <v>565</v>
      </c>
      <c r="C11" s="94" t="s">
        <v>564</v>
      </c>
      <c r="D11" s="96" t="s">
        <v>568</v>
      </c>
      <c r="E11" s="97">
        <v>40</v>
      </c>
      <c r="F11" s="96" t="s">
        <v>568</v>
      </c>
      <c r="G11" s="97">
        <v>40</v>
      </c>
      <c r="H11" s="96" t="s">
        <v>568</v>
      </c>
      <c r="I11" s="97">
        <v>40</v>
      </c>
      <c r="J11" s="96" t="s">
        <v>1119</v>
      </c>
      <c r="K11" s="96" t="s">
        <v>596</v>
      </c>
      <c r="L11" s="96" t="s">
        <v>799</v>
      </c>
      <c r="M11" s="94" t="s">
        <v>363</v>
      </c>
      <c r="N11" s="95" t="s">
        <v>364</v>
      </c>
      <c r="AE11" s="85"/>
      <c r="AF11" s="85"/>
      <c r="AG11" s="85"/>
    </row>
    <row r="12" spans="1:33" ht="14.4" customHeight="1" x14ac:dyDescent="0.3">
      <c r="B12" s="90" t="s">
        <v>660</v>
      </c>
      <c r="C12" s="90" t="s">
        <v>886</v>
      </c>
      <c r="D12" s="91" t="s">
        <v>568</v>
      </c>
      <c r="E12" s="92">
        <v>40</v>
      </c>
      <c r="F12" s="91" t="s">
        <v>568</v>
      </c>
      <c r="G12" s="92">
        <v>40</v>
      </c>
      <c r="H12" s="91" t="s">
        <v>568</v>
      </c>
      <c r="I12" s="92">
        <v>40</v>
      </c>
      <c r="J12" s="96" t="s">
        <v>1119</v>
      </c>
      <c r="K12" s="91" t="s">
        <v>596</v>
      </c>
      <c r="L12" s="91" t="s">
        <v>887</v>
      </c>
      <c r="M12" s="90" t="s">
        <v>378</v>
      </c>
      <c r="N12" s="93" t="s">
        <v>370</v>
      </c>
      <c r="AE12" s="85"/>
      <c r="AF12" s="85"/>
      <c r="AG12" s="85"/>
    </row>
    <row r="13" spans="1:33" ht="14.4" customHeight="1" x14ac:dyDescent="0.3">
      <c r="B13" s="94" t="s">
        <v>565</v>
      </c>
      <c r="C13" s="94" t="s">
        <v>564</v>
      </c>
      <c r="D13" s="96" t="s">
        <v>568</v>
      </c>
      <c r="E13" s="97">
        <v>40</v>
      </c>
      <c r="F13" s="96" t="s">
        <v>568</v>
      </c>
      <c r="G13" s="97">
        <v>40</v>
      </c>
      <c r="H13" s="96" t="s">
        <v>568</v>
      </c>
      <c r="I13" s="97">
        <v>40</v>
      </c>
      <c r="J13" s="96" t="s">
        <v>1119</v>
      </c>
      <c r="K13" s="96" t="s">
        <v>596</v>
      </c>
      <c r="L13" s="96" t="s">
        <v>1006</v>
      </c>
      <c r="M13" s="94" t="s">
        <v>379</v>
      </c>
      <c r="N13" s="95" t="s">
        <v>380</v>
      </c>
      <c r="AE13" s="85"/>
      <c r="AF13" s="85"/>
      <c r="AG13" s="85"/>
    </row>
    <row r="14" spans="1:33" ht="14.4" customHeight="1" x14ac:dyDescent="0.3">
      <c r="B14" s="90" t="s">
        <v>813</v>
      </c>
      <c r="C14" s="90" t="s">
        <v>1088</v>
      </c>
      <c r="D14" s="91" t="s">
        <v>568</v>
      </c>
      <c r="E14" s="92">
        <v>23</v>
      </c>
      <c r="F14" s="91" t="s">
        <v>568</v>
      </c>
      <c r="G14" s="92">
        <v>25</v>
      </c>
      <c r="H14" s="91" t="s">
        <v>568</v>
      </c>
      <c r="I14" s="92">
        <v>25</v>
      </c>
      <c r="J14" s="96" t="s">
        <v>1119</v>
      </c>
      <c r="K14" s="91" t="s">
        <v>656</v>
      </c>
      <c r="L14" s="91" t="s">
        <v>1089</v>
      </c>
      <c r="M14" s="90" t="s">
        <v>381</v>
      </c>
      <c r="N14" s="93" t="s">
        <v>382</v>
      </c>
      <c r="AE14" s="85"/>
      <c r="AF14" s="85"/>
      <c r="AG14" s="85"/>
    </row>
    <row r="15" spans="1:33" ht="14.4" customHeight="1" x14ac:dyDescent="0.3">
      <c r="B15" s="94" t="s">
        <v>614</v>
      </c>
      <c r="C15" s="94" t="s">
        <v>613</v>
      </c>
      <c r="D15" s="96" t="s">
        <v>568</v>
      </c>
      <c r="E15" s="97">
        <v>158</v>
      </c>
      <c r="F15" s="96" t="s">
        <v>568</v>
      </c>
      <c r="G15" s="97">
        <v>158</v>
      </c>
      <c r="H15" s="96" t="s">
        <v>568</v>
      </c>
      <c r="I15" s="97">
        <v>158</v>
      </c>
      <c r="J15" s="96" t="s">
        <v>1119</v>
      </c>
      <c r="K15" s="96" t="s">
        <v>569</v>
      </c>
      <c r="L15" s="96" t="s">
        <v>615</v>
      </c>
      <c r="M15" s="94" t="s">
        <v>383</v>
      </c>
      <c r="N15" s="95" t="s">
        <v>384</v>
      </c>
      <c r="AE15" s="85"/>
      <c r="AF15" s="85"/>
      <c r="AG15" s="85"/>
    </row>
    <row r="16" spans="1:33" ht="14.4" customHeight="1" x14ac:dyDescent="0.3">
      <c r="B16" s="90" t="s">
        <v>683</v>
      </c>
      <c r="C16" s="90" t="s">
        <v>836</v>
      </c>
      <c r="D16" s="91" t="s">
        <v>568</v>
      </c>
      <c r="E16" s="92">
        <v>35</v>
      </c>
      <c r="F16" s="91" t="s">
        <v>568</v>
      </c>
      <c r="G16" s="92">
        <v>35</v>
      </c>
      <c r="H16" s="91" t="s">
        <v>568</v>
      </c>
      <c r="I16" s="92">
        <v>35</v>
      </c>
      <c r="J16" s="96" t="s">
        <v>1119</v>
      </c>
      <c r="K16" s="91" t="s">
        <v>589</v>
      </c>
      <c r="L16" s="91" t="s">
        <v>837</v>
      </c>
      <c r="M16" s="90" t="s">
        <v>385</v>
      </c>
      <c r="N16" s="93" t="s">
        <v>386</v>
      </c>
      <c r="AE16" s="85"/>
      <c r="AF16" s="85"/>
      <c r="AG16" s="85"/>
    </row>
    <row r="17" spans="2:33" ht="14.4" customHeight="1" x14ac:dyDescent="0.3">
      <c r="B17" s="94" t="s">
        <v>683</v>
      </c>
      <c r="C17" s="94" t="s">
        <v>836</v>
      </c>
      <c r="D17" s="96" t="s">
        <v>568</v>
      </c>
      <c r="E17" s="97">
        <v>35</v>
      </c>
      <c r="F17" s="96" t="s">
        <v>568</v>
      </c>
      <c r="G17" s="97">
        <v>35</v>
      </c>
      <c r="H17" s="96" t="s">
        <v>568</v>
      </c>
      <c r="I17" s="97">
        <v>35</v>
      </c>
      <c r="J17" s="96" t="s">
        <v>1119</v>
      </c>
      <c r="K17" s="96" t="s">
        <v>589</v>
      </c>
      <c r="L17" s="96" t="s">
        <v>894</v>
      </c>
      <c r="M17" s="94" t="s">
        <v>378</v>
      </c>
      <c r="N17" s="95" t="s">
        <v>370</v>
      </c>
      <c r="AE17" s="85"/>
      <c r="AF17" s="85"/>
      <c r="AG17" s="85"/>
    </row>
    <row r="18" spans="2:33" ht="14.4" customHeight="1" x14ac:dyDescent="0.3">
      <c r="B18" s="90" t="s">
        <v>747</v>
      </c>
      <c r="C18" s="90" t="s">
        <v>1038</v>
      </c>
      <c r="D18" s="91" t="s">
        <v>568</v>
      </c>
      <c r="E18" s="92">
        <v>35</v>
      </c>
      <c r="F18" s="91" t="s">
        <v>568</v>
      </c>
      <c r="G18" s="92">
        <v>35</v>
      </c>
      <c r="H18" s="91" t="s">
        <v>568</v>
      </c>
      <c r="I18" s="92">
        <v>35</v>
      </c>
      <c r="J18" s="96" t="s">
        <v>1120</v>
      </c>
      <c r="K18" s="91" t="s">
        <v>602</v>
      </c>
      <c r="L18" s="91" t="s">
        <v>1039</v>
      </c>
      <c r="M18" s="90" t="s">
        <v>387</v>
      </c>
      <c r="N18" s="93" t="s">
        <v>388</v>
      </c>
      <c r="AE18" s="85"/>
      <c r="AF18" s="85"/>
      <c r="AG18" s="85"/>
    </row>
    <row r="19" spans="2:33" ht="14.4" customHeight="1" x14ac:dyDescent="0.3">
      <c r="B19" s="94" t="s">
        <v>747</v>
      </c>
      <c r="C19" s="95">
        <v>2011</v>
      </c>
      <c r="D19" s="96" t="s">
        <v>568</v>
      </c>
      <c r="E19" s="97">
        <v>35</v>
      </c>
      <c r="F19" s="96" t="s">
        <v>568</v>
      </c>
      <c r="G19" s="97">
        <v>35</v>
      </c>
      <c r="H19" s="96" t="s">
        <v>568</v>
      </c>
      <c r="I19" s="97">
        <v>35</v>
      </c>
      <c r="J19" s="96" t="s">
        <v>1120</v>
      </c>
      <c r="K19" s="96" t="s">
        <v>602</v>
      </c>
      <c r="L19" s="96" t="s">
        <v>1092</v>
      </c>
      <c r="M19" s="94" t="s">
        <v>389</v>
      </c>
      <c r="N19" s="95" t="s">
        <v>390</v>
      </c>
      <c r="AE19" s="85"/>
      <c r="AF19" s="85"/>
      <c r="AG19" s="85"/>
    </row>
    <row r="20" spans="2:33" ht="14.4" customHeight="1" x14ac:dyDescent="0.3">
      <c r="B20" s="90" t="s">
        <v>683</v>
      </c>
      <c r="C20" s="90" t="s">
        <v>871</v>
      </c>
      <c r="D20" s="91" t="s">
        <v>568</v>
      </c>
      <c r="E20" s="92">
        <v>35</v>
      </c>
      <c r="F20" s="91" t="s">
        <v>568</v>
      </c>
      <c r="G20" s="92">
        <v>35</v>
      </c>
      <c r="H20" s="91" t="s">
        <v>568</v>
      </c>
      <c r="I20" s="92">
        <v>35</v>
      </c>
      <c r="J20" s="96" t="s">
        <v>1119</v>
      </c>
      <c r="K20" s="91" t="s">
        <v>589</v>
      </c>
      <c r="L20" s="91" t="s">
        <v>872</v>
      </c>
      <c r="M20" s="90" t="s">
        <v>391</v>
      </c>
      <c r="N20" s="93" t="s">
        <v>392</v>
      </c>
      <c r="AE20" s="85"/>
      <c r="AF20" s="85"/>
      <c r="AG20" s="85"/>
    </row>
    <row r="21" spans="2:33" ht="14.4" customHeight="1" x14ac:dyDescent="0.3">
      <c r="B21" s="94" t="s">
        <v>813</v>
      </c>
      <c r="C21" s="94" t="s">
        <v>940</v>
      </c>
      <c r="D21" s="96" t="s">
        <v>568</v>
      </c>
      <c r="E21" s="97">
        <v>23</v>
      </c>
      <c r="F21" s="96" t="s">
        <v>568</v>
      </c>
      <c r="G21" s="97">
        <v>25</v>
      </c>
      <c r="H21" s="96" t="s">
        <v>568</v>
      </c>
      <c r="I21" s="97">
        <v>25</v>
      </c>
      <c r="J21" s="96" t="s">
        <v>1119</v>
      </c>
      <c r="K21" s="96" t="s">
        <v>656</v>
      </c>
      <c r="L21" s="96" t="s">
        <v>941</v>
      </c>
      <c r="M21" s="94" t="s">
        <v>393</v>
      </c>
      <c r="N21" s="95" t="s">
        <v>394</v>
      </c>
      <c r="AE21" s="85"/>
      <c r="AF21" s="85"/>
      <c r="AG21" s="85"/>
    </row>
    <row r="22" spans="2:33" ht="14.4" customHeight="1" x14ac:dyDescent="0.3">
      <c r="B22" s="90" t="s">
        <v>660</v>
      </c>
      <c r="C22" s="90" t="s">
        <v>940</v>
      </c>
      <c r="D22" s="91" t="s">
        <v>568</v>
      </c>
      <c r="E22" s="92">
        <v>40</v>
      </c>
      <c r="F22" s="91" t="s">
        <v>568</v>
      </c>
      <c r="G22" s="92">
        <v>40</v>
      </c>
      <c r="H22" s="91" t="s">
        <v>568</v>
      </c>
      <c r="I22" s="92">
        <v>40</v>
      </c>
      <c r="J22" s="96" t="s">
        <v>1119</v>
      </c>
      <c r="K22" s="91" t="s">
        <v>596</v>
      </c>
      <c r="L22" s="91" t="s">
        <v>1066</v>
      </c>
      <c r="M22" s="90" t="s">
        <v>379</v>
      </c>
      <c r="N22" s="93" t="s">
        <v>380</v>
      </c>
      <c r="AE22" s="85"/>
      <c r="AF22" s="85"/>
      <c r="AG22" s="85"/>
    </row>
    <row r="23" spans="2:33" ht="14.4" customHeight="1" x14ac:dyDescent="0.3">
      <c r="B23" s="94" t="s">
        <v>747</v>
      </c>
      <c r="C23" s="95">
        <v>2013</v>
      </c>
      <c r="D23" s="96" t="s">
        <v>568</v>
      </c>
      <c r="E23" s="97">
        <v>35</v>
      </c>
      <c r="F23" s="96" t="s">
        <v>568</v>
      </c>
      <c r="G23" s="97">
        <v>35</v>
      </c>
      <c r="H23" s="96" t="s">
        <v>568</v>
      </c>
      <c r="I23" s="97">
        <v>35</v>
      </c>
      <c r="J23" s="96" t="s">
        <v>1120</v>
      </c>
      <c r="K23" s="96" t="s">
        <v>602</v>
      </c>
      <c r="L23" s="96" t="s">
        <v>748</v>
      </c>
      <c r="M23" s="94" t="s">
        <v>562</v>
      </c>
      <c r="N23" s="95" t="s">
        <v>395</v>
      </c>
      <c r="AE23" s="85"/>
      <c r="AF23" s="85"/>
      <c r="AG23" s="85"/>
    </row>
    <row r="24" spans="2:33" ht="14.4" customHeight="1" x14ac:dyDescent="0.3">
      <c r="B24" s="90" t="s">
        <v>683</v>
      </c>
      <c r="C24" s="90" t="s">
        <v>901</v>
      </c>
      <c r="D24" s="91" t="s">
        <v>568</v>
      </c>
      <c r="E24" s="92">
        <v>35</v>
      </c>
      <c r="F24" s="91" t="s">
        <v>568</v>
      </c>
      <c r="G24" s="92">
        <v>35</v>
      </c>
      <c r="H24" s="91" t="s">
        <v>568</v>
      </c>
      <c r="I24" s="92">
        <v>35</v>
      </c>
      <c r="J24" s="96" t="s">
        <v>1119</v>
      </c>
      <c r="K24" s="91" t="s">
        <v>589</v>
      </c>
      <c r="L24" s="91" t="s">
        <v>902</v>
      </c>
      <c r="M24" s="90" t="s">
        <v>396</v>
      </c>
      <c r="N24" s="93" t="s">
        <v>368</v>
      </c>
      <c r="AE24" s="85"/>
      <c r="AF24" s="85"/>
      <c r="AG24" s="85"/>
    </row>
    <row r="25" spans="2:33" ht="14.4" customHeight="1" x14ac:dyDescent="0.3">
      <c r="B25" s="94" t="s">
        <v>813</v>
      </c>
      <c r="C25" s="94" t="s">
        <v>901</v>
      </c>
      <c r="D25" s="96" t="s">
        <v>568</v>
      </c>
      <c r="E25" s="97">
        <v>23</v>
      </c>
      <c r="F25" s="96" t="s">
        <v>568</v>
      </c>
      <c r="G25" s="97">
        <v>25</v>
      </c>
      <c r="H25" s="96" t="s">
        <v>568</v>
      </c>
      <c r="I25" s="97">
        <v>25</v>
      </c>
      <c r="J25" s="96" t="s">
        <v>1119</v>
      </c>
      <c r="K25" s="96" t="s">
        <v>656</v>
      </c>
      <c r="L25" s="96" t="s">
        <v>1029</v>
      </c>
      <c r="M25" s="94" t="s">
        <v>377</v>
      </c>
      <c r="N25" s="95" t="s">
        <v>368</v>
      </c>
      <c r="AE25" s="85"/>
      <c r="AF25" s="85"/>
      <c r="AG25" s="85"/>
    </row>
    <row r="26" spans="2:33" ht="14.4" customHeight="1" x14ac:dyDescent="0.3">
      <c r="B26" s="90" t="s">
        <v>643</v>
      </c>
      <c r="C26" s="90" t="s">
        <v>641</v>
      </c>
      <c r="D26" s="91" t="s">
        <v>568</v>
      </c>
      <c r="E26" s="92">
        <v>25</v>
      </c>
      <c r="F26" s="91" t="s">
        <v>568</v>
      </c>
      <c r="G26" s="92">
        <v>25</v>
      </c>
      <c r="H26" s="91" t="s">
        <v>568</v>
      </c>
      <c r="I26" s="92">
        <v>25</v>
      </c>
      <c r="J26" s="96" t="s">
        <v>1119</v>
      </c>
      <c r="K26" s="91" t="s">
        <v>642</v>
      </c>
      <c r="L26" s="91" t="s">
        <v>644</v>
      </c>
      <c r="M26" s="90" t="s">
        <v>397</v>
      </c>
      <c r="N26" s="93" t="s">
        <v>376</v>
      </c>
      <c r="AE26" s="85"/>
      <c r="AF26" s="85"/>
      <c r="AG26" s="85"/>
    </row>
    <row r="27" spans="2:33" ht="14.4" customHeight="1" x14ac:dyDescent="0.3">
      <c r="B27" s="94" t="s">
        <v>683</v>
      </c>
      <c r="C27" s="94" t="s">
        <v>641</v>
      </c>
      <c r="D27" s="96" t="s">
        <v>568</v>
      </c>
      <c r="E27" s="97">
        <v>35</v>
      </c>
      <c r="F27" s="96" t="s">
        <v>568</v>
      </c>
      <c r="G27" s="97">
        <v>35</v>
      </c>
      <c r="H27" s="96" t="s">
        <v>568</v>
      </c>
      <c r="I27" s="97">
        <v>35</v>
      </c>
      <c r="J27" s="96" t="s">
        <v>1119</v>
      </c>
      <c r="K27" s="96" t="s">
        <v>589</v>
      </c>
      <c r="L27" s="96" t="s">
        <v>700</v>
      </c>
      <c r="M27" s="94" t="s">
        <v>398</v>
      </c>
      <c r="N27" s="95" t="s">
        <v>399</v>
      </c>
      <c r="AE27" s="85"/>
      <c r="AF27" s="85"/>
      <c r="AG27" s="85"/>
    </row>
    <row r="28" spans="2:33" ht="14.4" customHeight="1" x14ac:dyDescent="0.3">
      <c r="B28" s="90" t="s">
        <v>650</v>
      </c>
      <c r="C28" s="90" t="s">
        <v>648</v>
      </c>
      <c r="D28" s="91" t="s">
        <v>568</v>
      </c>
      <c r="E28" s="92">
        <v>23</v>
      </c>
      <c r="F28" s="91" t="s">
        <v>568</v>
      </c>
      <c r="G28" s="92">
        <v>25</v>
      </c>
      <c r="H28" s="91" t="s">
        <v>568</v>
      </c>
      <c r="I28" s="92">
        <v>25</v>
      </c>
      <c r="J28" s="96" t="s">
        <v>1119</v>
      </c>
      <c r="K28" s="91" t="s">
        <v>649</v>
      </c>
      <c r="L28" s="91" t="s">
        <v>651</v>
      </c>
      <c r="M28" s="90" t="s">
        <v>400</v>
      </c>
      <c r="N28" s="93" t="s">
        <v>401</v>
      </c>
      <c r="AE28" s="85"/>
      <c r="AF28" s="85"/>
      <c r="AG28" s="85"/>
    </row>
    <row r="29" spans="2:33" ht="14.4" customHeight="1" x14ac:dyDescent="0.3">
      <c r="B29" s="94" t="s">
        <v>667</v>
      </c>
      <c r="C29" s="94" t="s">
        <v>665</v>
      </c>
      <c r="D29" s="96" t="s">
        <v>568</v>
      </c>
      <c r="E29" s="97">
        <v>25</v>
      </c>
      <c r="F29" s="96" t="s">
        <v>568</v>
      </c>
      <c r="G29" s="97">
        <v>25</v>
      </c>
      <c r="H29" s="96" t="s">
        <v>568</v>
      </c>
      <c r="I29" s="97">
        <v>25</v>
      </c>
      <c r="J29" s="96" t="s">
        <v>1119</v>
      </c>
      <c r="K29" s="96" t="s">
        <v>666</v>
      </c>
      <c r="L29" s="96" t="s">
        <v>668</v>
      </c>
      <c r="M29" s="94" t="s">
        <v>402</v>
      </c>
      <c r="N29" s="95" t="s">
        <v>403</v>
      </c>
      <c r="AE29" s="85"/>
      <c r="AF29" s="85"/>
      <c r="AG29" s="85"/>
    </row>
    <row r="30" spans="2:33" ht="14.4" customHeight="1" x14ac:dyDescent="0.3">
      <c r="B30" s="90" t="s">
        <v>703</v>
      </c>
      <c r="C30" s="90" t="s">
        <v>701</v>
      </c>
      <c r="D30" s="91" t="s">
        <v>568</v>
      </c>
      <c r="E30" s="92">
        <v>30</v>
      </c>
      <c r="F30" s="91" t="s">
        <v>568</v>
      </c>
      <c r="G30" s="92">
        <v>40</v>
      </c>
      <c r="H30" s="91" t="s">
        <v>568</v>
      </c>
      <c r="I30" s="92">
        <v>50</v>
      </c>
      <c r="J30" s="96" t="s">
        <v>1120</v>
      </c>
      <c r="K30" s="91" t="s">
        <v>702</v>
      </c>
      <c r="L30" s="91" t="s">
        <v>704</v>
      </c>
      <c r="M30" s="90" t="s">
        <v>404</v>
      </c>
      <c r="N30" s="93" t="s">
        <v>382</v>
      </c>
      <c r="AE30" s="85"/>
      <c r="AF30" s="85"/>
      <c r="AG30" s="85"/>
    </row>
    <row r="31" spans="2:33" ht="14.4" customHeight="1" x14ac:dyDescent="0.3">
      <c r="B31" s="94" t="s">
        <v>565</v>
      </c>
      <c r="C31" s="94" t="s">
        <v>783</v>
      </c>
      <c r="D31" s="96" t="s">
        <v>568</v>
      </c>
      <c r="E31" s="97">
        <v>40</v>
      </c>
      <c r="F31" s="96" t="s">
        <v>568</v>
      </c>
      <c r="G31" s="97">
        <v>40</v>
      </c>
      <c r="H31" s="96" t="s">
        <v>568</v>
      </c>
      <c r="I31" s="97">
        <v>40</v>
      </c>
      <c r="J31" s="96" t="s">
        <v>1119</v>
      </c>
      <c r="K31" s="96" t="s">
        <v>596</v>
      </c>
      <c r="L31" s="96" t="s">
        <v>784</v>
      </c>
      <c r="M31" s="94" t="s">
        <v>405</v>
      </c>
      <c r="N31" s="95" t="s">
        <v>406</v>
      </c>
      <c r="AE31" s="85"/>
      <c r="AF31" s="85"/>
      <c r="AG31" s="85"/>
    </row>
    <row r="32" spans="2:33" ht="14.4" customHeight="1" x14ac:dyDescent="0.3">
      <c r="B32" s="90" t="s">
        <v>703</v>
      </c>
      <c r="C32" s="90" t="s">
        <v>701</v>
      </c>
      <c r="D32" s="91" t="s">
        <v>568</v>
      </c>
      <c r="E32" s="92">
        <v>30</v>
      </c>
      <c r="F32" s="91" t="s">
        <v>568</v>
      </c>
      <c r="G32" s="92">
        <v>40</v>
      </c>
      <c r="H32" s="91" t="s">
        <v>568</v>
      </c>
      <c r="I32" s="92">
        <v>50</v>
      </c>
      <c r="J32" s="96" t="s">
        <v>1119</v>
      </c>
      <c r="K32" s="91" t="s">
        <v>702</v>
      </c>
      <c r="L32" s="91" t="s">
        <v>789</v>
      </c>
      <c r="M32" s="90" t="s">
        <v>407</v>
      </c>
      <c r="N32" s="93" t="s">
        <v>364</v>
      </c>
      <c r="AE32" s="85"/>
      <c r="AF32" s="85"/>
      <c r="AG32" s="85"/>
    </row>
    <row r="33" spans="2:33" ht="14.4" customHeight="1" x14ac:dyDescent="0.3">
      <c r="B33" s="94" t="s">
        <v>813</v>
      </c>
      <c r="C33" s="94" t="s">
        <v>665</v>
      </c>
      <c r="D33" s="96" t="s">
        <v>568</v>
      </c>
      <c r="E33" s="97">
        <v>23</v>
      </c>
      <c r="F33" s="96" t="s">
        <v>568</v>
      </c>
      <c r="G33" s="97">
        <v>25</v>
      </c>
      <c r="H33" s="96" t="s">
        <v>568</v>
      </c>
      <c r="I33" s="97">
        <v>25</v>
      </c>
      <c r="J33" s="96" t="s">
        <v>1119</v>
      </c>
      <c r="K33" s="96" t="s">
        <v>656</v>
      </c>
      <c r="L33" s="96" t="s">
        <v>814</v>
      </c>
      <c r="M33" s="94" t="s">
        <v>408</v>
      </c>
      <c r="N33" s="95" t="s">
        <v>364</v>
      </c>
      <c r="AE33" s="85"/>
      <c r="AF33" s="85"/>
      <c r="AG33" s="85"/>
    </row>
    <row r="34" spans="2:33" ht="14.4" customHeight="1" x14ac:dyDescent="0.3">
      <c r="B34" s="90" t="s">
        <v>703</v>
      </c>
      <c r="C34" s="90" t="s">
        <v>701</v>
      </c>
      <c r="D34" s="91" t="s">
        <v>568</v>
      </c>
      <c r="E34" s="92">
        <v>30</v>
      </c>
      <c r="F34" s="91" t="s">
        <v>568</v>
      </c>
      <c r="G34" s="92">
        <v>40</v>
      </c>
      <c r="H34" s="91" t="s">
        <v>568</v>
      </c>
      <c r="I34" s="92">
        <v>50</v>
      </c>
      <c r="J34" s="96" t="s">
        <v>1119</v>
      </c>
      <c r="K34" s="91" t="s">
        <v>702</v>
      </c>
      <c r="L34" s="91" t="s">
        <v>816</v>
      </c>
      <c r="M34" s="90" t="s">
        <v>373</v>
      </c>
      <c r="N34" s="93" t="s">
        <v>374</v>
      </c>
      <c r="AE34" s="85"/>
      <c r="AF34" s="85"/>
      <c r="AG34" s="85"/>
    </row>
    <row r="35" spans="2:33" ht="14.4" customHeight="1" x14ac:dyDescent="0.3">
      <c r="B35" s="94" t="s">
        <v>703</v>
      </c>
      <c r="C35" s="94" t="s">
        <v>701</v>
      </c>
      <c r="D35" s="96" t="s">
        <v>568</v>
      </c>
      <c r="E35" s="97">
        <v>30</v>
      </c>
      <c r="F35" s="96" t="s">
        <v>568</v>
      </c>
      <c r="G35" s="97">
        <v>40</v>
      </c>
      <c r="H35" s="96" t="s">
        <v>568</v>
      </c>
      <c r="I35" s="97">
        <v>50</v>
      </c>
      <c r="J35" s="96" t="s">
        <v>1119</v>
      </c>
      <c r="K35" s="96" t="s">
        <v>702</v>
      </c>
      <c r="L35" s="96" t="s">
        <v>853</v>
      </c>
      <c r="M35" s="94" t="s">
        <v>378</v>
      </c>
      <c r="N35" s="95" t="s">
        <v>370</v>
      </c>
      <c r="AE35" s="85"/>
      <c r="AF35" s="85"/>
      <c r="AG35" s="85"/>
    </row>
    <row r="36" spans="2:33" ht="14.4" customHeight="1" x14ac:dyDescent="0.3">
      <c r="B36" s="90" t="s">
        <v>703</v>
      </c>
      <c r="C36" s="90" t="s">
        <v>701</v>
      </c>
      <c r="D36" s="91" t="s">
        <v>568</v>
      </c>
      <c r="E36" s="92">
        <v>30</v>
      </c>
      <c r="F36" s="91" t="s">
        <v>568</v>
      </c>
      <c r="G36" s="92">
        <v>40</v>
      </c>
      <c r="H36" s="91" t="s">
        <v>568</v>
      </c>
      <c r="I36" s="92">
        <v>50</v>
      </c>
      <c r="J36" s="96" t="s">
        <v>1119</v>
      </c>
      <c r="K36" s="91" t="s">
        <v>702</v>
      </c>
      <c r="L36" s="91" t="s">
        <v>854</v>
      </c>
      <c r="M36" s="90" t="s">
        <v>409</v>
      </c>
      <c r="N36" s="93" t="s">
        <v>410</v>
      </c>
      <c r="AE36" s="85"/>
      <c r="AF36" s="85"/>
      <c r="AG36" s="85"/>
    </row>
    <row r="37" spans="2:33" ht="14.4" customHeight="1" x14ac:dyDescent="0.3">
      <c r="B37" s="94" t="s">
        <v>703</v>
      </c>
      <c r="C37" s="94" t="s">
        <v>903</v>
      </c>
      <c r="D37" s="96" t="s">
        <v>568</v>
      </c>
      <c r="E37" s="97">
        <v>30</v>
      </c>
      <c r="F37" s="96" t="s">
        <v>568</v>
      </c>
      <c r="G37" s="97">
        <v>40</v>
      </c>
      <c r="H37" s="96" t="s">
        <v>568</v>
      </c>
      <c r="I37" s="97">
        <v>50</v>
      </c>
      <c r="J37" s="96" t="s">
        <v>1119</v>
      </c>
      <c r="K37" s="96" t="s">
        <v>702</v>
      </c>
      <c r="L37" s="96" t="s">
        <v>904</v>
      </c>
      <c r="M37" s="94" t="s">
        <v>411</v>
      </c>
      <c r="N37" s="95" t="s">
        <v>401</v>
      </c>
      <c r="AE37" s="85"/>
      <c r="AF37" s="85"/>
      <c r="AG37" s="85"/>
    </row>
    <row r="38" spans="2:33" ht="14.4" customHeight="1" x14ac:dyDescent="0.3">
      <c r="B38" s="90" t="s">
        <v>915</v>
      </c>
      <c r="C38" s="90" t="s">
        <v>665</v>
      </c>
      <c r="D38" s="91" t="s">
        <v>568</v>
      </c>
      <c r="E38" s="92">
        <v>25</v>
      </c>
      <c r="F38" s="91" t="s">
        <v>568</v>
      </c>
      <c r="G38" s="92">
        <v>25</v>
      </c>
      <c r="H38" s="91" t="s">
        <v>568</v>
      </c>
      <c r="I38" s="92">
        <v>25</v>
      </c>
      <c r="J38" s="96" t="s">
        <v>1119</v>
      </c>
      <c r="K38" s="91" t="s">
        <v>671</v>
      </c>
      <c r="L38" s="91" t="s">
        <v>916</v>
      </c>
      <c r="M38" s="90" t="s">
        <v>412</v>
      </c>
      <c r="N38" s="93" t="s">
        <v>413</v>
      </c>
      <c r="AE38" s="85"/>
      <c r="AF38" s="85"/>
      <c r="AG38" s="85"/>
    </row>
    <row r="39" spans="2:33" ht="14.4" customHeight="1" x14ac:dyDescent="0.3">
      <c r="B39" s="94" t="s">
        <v>819</v>
      </c>
      <c r="C39" s="94" t="s">
        <v>934</v>
      </c>
      <c r="D39" s="96" t="s">
        <v>568</v>
      </c>
      <c r="E39" s="97">
        <v>25</v>
      </c>
      <c r="F39" s="96" t="s">
        <v>568</v>
      </c>
      <c r="G39" s="97">
        <v>30</v>
      </c>
      <c r="H39" s="96" t="s">
        <v>568</v>
      </c>
      <c r="I39" s="97">
        <v>30</v>
      </c>
      <c r="J39" s="96" t="s">
        <v>1119</v>
      </c>
      <c r="K39" s="96" t="s">
        <v>606</v>
      </c>
      <c r="L39" s="96" t="s">
        <v>935</v>
      </c>
      <c r="M39" s="94" t="s">
        <v>412</v>
      </c>
      <c r="N39" s="95" t="s">
        <v>413</v>
      </c>
      <c r="AE39" s="85"/>
      <c r="AF39" s="85"/>
      <c r="AG39" s="85"/>
    </row>
    <row r="40" spans="2:33" ht="14.4" customHeight="1" x14ac:dyDescent="0.3">
      <c r="B40" s="90" t="s">
        <v>819</v>
      </c>
      <c r="C40" s="90" t="s">
        <v>665</v>
      </c>
      <c r="D40" s="91" t="s">
        <v>568</v>
      </c>
      <c r="E40" s="92">
        <v>25</v>
      </c>
      <c r="F40" s="91" t="s">
        <v>568</v>
      </c>
      <c r="G40" s="92">
        <v>28</v>
      </c>
      <c r="H40" s="91" t="s">
        <v>568</v>
      </c>
      <c r="I40" s="92">
        <v>30</v>
      </c>
      <c r="J40" s="96" t="s">
        <v>1119</v>
      </c>
      <c r="K40" s="91" t="s">
        <v>606</v>
      </c>
      <c r="L40" s="91" t="s">
        <v>977</v>
      </c>
      <c r="M40" s="90" t="s">
        <v>397</v>
      </c>
      <c r="N40" s="93" t="s">
        <v>376</v>
      </c>
      <c r="AE40" s="85"/>
      <c r="AF40" s="85"/>
      <c r="AG40" s="85"/>
    </row>
    <row r="41" spans="2:33" ht="14.4" customHeight="1" x14ac:dyDescent="0.3">
      <c r="B41" s="94" t="s">
        <v>819</v>
      </c>
      <c r="C41" s="94" t="s">
        <v>934</v>
      </c>
      <c r="D41" s="96" t="s">
        <v>568</v>
      </c>
      <c r="E41" s="97">
        <v>25</v>
      </c>
      <c r="F41" s="96" t="s">
        <v>568</v>
      </c>
      <c r="G41" s="97">
        <v>30</v>
      </c>
      <c r="H41" s="96" t="s">
        <v>568</v>
      </c>
      <c r="I41" s="97">
        <v>30</v>
      </c>
      <c r="J41" s="96" t="s">
        <v>1119</v>
      </c>
      <c r="K41" s="96" t="s">
        <v>606</v>
      </c>
      <c r="L41" s="96" t="s">
        <v>999</v>
      </c>
      <c r="M41" s="94" t="s">
        <v>414</v>
      </c>
      <c r="N41" s="95" t="s">
        <v>415</v>
      </c>
      <c r="AE41" s="85"/>
      <c r="AF41" s="85"/>
      <c r="AG41" s="85"/>
    </row>
    <row r="42" spans="2:33" ht="14.4" customHeight="1" x14ac:dyDescent="0.3">
      <c r="B42" s="90" t="s">
        <v>813</v>
      </c>
      <c r="C42" s="90" t="s">
        <v>903</v>
      </c>
      <c r="D42" s="91" t="s">
        <v>568</v>
      </c>
      <c r="E42" s="92">
        <v>23</v>
      </c>
      <c r="F42" s="91" t="s">
        <v>568</v>
      </c>
      <c r="G42" s="92">
        <v>25</v>
      </c>
      <c r="H42" s="91" t="s">
        <v>568</v>
      </c>
      <c r="I42" s="92">
        <v>25</v>
      </c>
      <c r="J42" s="96" t="s">
        <v>1119</v>
      </c>
      <c r="K42" s="91" t="s">
        <v>656</v>
      </c>
      <c r="L42" s="91" t="s">
        <v>1005</v>
      </c>
      <c r="M42" s="90" t="s">
        <v>416</v>
      </c>
      <c r="N42" s="93" t="s">
        <v>376</v>
      </c>
      <c r="AE42" s="85"/>
      <c r="AF42" s="85"/>
      <c r="AG42" s="85"/>
    </row>
    <row r="43" spans="2:33" ht="14.4" customHeight="1" x14ac:dyDescent="0.3">
      <c r="B43" s="94" t="s">
        <v>1033</v>
      </c>
      <c r="C43" s="94" t="s">
        <v>665</v>
      </c>
      <c r="D43" s="96" t="s">
        <v>568</v>
      </c>
      <c r="E43" s="97">
        <v>23</v>
      </c>
      <c r="F43" s="96" t="s">
        <v>568</v>
      </c>
      <c r="G43" s="97">
        <v>25</v>
      </c>
      <c r="H43" s="96" t="s">
        <v>568</v>
      </c>
      <c r="I43" s="97">
        <v>25</v>
      </c>
      <c r="J43" s="96" t="s">
        <v>1119</v>
      </c>
      <c r="K43" s="96" t="s">
        <v>649</v>
      </c>
      <c r="L43" s="96" t="s">
        <v>1034</v>
      </c>
      <c r="M43" s="94" t="s">
        <v>417</v>
      </c>
      <c r="N43" s="95" t="s">
        <v>418</v>
      </c>
      <c r="AE43" s="85"/>
      <c r="AF43" s="85"/>
      <c r="AG43" s="85"/>
    </row>
    <row r="44" spans="2:33" ht="14.4" customHeight="1" x14ac:dyDescent="0.3">
      <c r="B44" s="90" t="s">
        <v>565</v>
      </c>
      <c r="C44" s="90" t="s">
        <v>665</v>
      </c>
      <c r="D44" s="91" t="s">
        <v>568</v>
      </c>
      <c r="E44" s="92">
        <v>40</v>
      </c>
      <c r="F44" s="91" t="s">
        <v>568</v>
      </c>
      <c r="G44" s="92">
        <v>40</v>
      </c>
      <c r="H44" s="91" t="s">
        <v>568</v>
      </c>
      <c r="I44" s="92">
        <v>40</v>
      </c>
      <c r="J44" s="96" t="s">
        <v>1119</v>
      </c>
      <c r="K44" s="91" t="s">
        <v>596</v>
      </c>
      <c r="L44" s="91" t="s">
        <v>1040</v>
      </c>
      <c r="M44" s="90" t="s">
        <v>419</v>
      </c>
      <c r="N44" s="93" t="s">
        <v>395</v>
      </c>
      <c r="AE44" s="85"/>
      <c r="AF44" s="85"/>
      <c r="AG44" s="85"/>
    </row>
    <row r="45" spans="2:33" ht="14.4" customHeight="1" x14ac:dyDescent="0.3">
      <c r="B45" s="94" t="s">
        <v>660</v>
      </c>
      <c r="C45" s="94" t="s">
        <v>665</v>
      </c>
      <c r="D45" s="96" t="s">
        <v>568</v>
      </c>
      <c r="E45" s="97">
        <v>40</v>
      </c>
      <c r="F45" s="96" t="s">
        <v>568</v>
      </c>
      <c r="G45" s="97">
        <v>40</v>
      </c>
      <c r="H45" s="96" t="s">
        <v>568</v>
      </c>
      <c r="I45" s="97">
        <v>40</v>
      </c>
      <c r="J45" s="96" t="s">
        <v>1119</v>
      </c>
      <c r="K45" s="96" t="s">
        <v>596</v>
      </c>
      <c r="L45" s="96" t="s">
        <v>1051</v>
      </c>
      <c r="M45" s="94" t="s">
        <v>363</v>
      </c>
      <c r="N45" s="95" t="s">
        <v>364</v>
      </c>
      <c r="AE45" s="85"/>
      <c r="AF45" s="85"/>
      <c r="AG45" s="85"/>
    </row>
    <row r="46" spans="2:33" ht="14.4" customHeight="1" x14ac:dyDescent="0.3">
      <c r="B46" s="90" t="s">
        <v>703</v>
      </c>
      <c r="C46" s="90" t="s">
        <v>701</v>
      </c>
      <c r="D46" s="91" t="s">
        <v>568</v>
      </c>
      <c r="E46" s="92">
        <v>30</v>
      </c>
      <c r="F46" s="91" t="s">
        <v>568</v>
      </c>
      <c r="G46" s="92">
        <v>40</v>
      </c>
      <c r="H46" s="91" t="s">
        <v>568</v>
      </c>
      <c r="I46" s="92">
        <v>50</v>
      </c>
      <c r="J46" s="96" t="s">
        <v>1119</v>
      </c>
      <c r="K46" s="91" t="s">
        <v>702</v>
      </c>
      <c r="L46" s="91" t="s">
        <v>1063</v>
      </c>
      <c r="M46" s="90" t="s">
        <v>420</v>
      </c>
      <c r="N46" s="93" t="s">
        <v>382</v>
      </c>
      <c r="AE46" s="85"/>
      <c r="AF46" s="85"/>
      <c r="AG46" s="85"/>
    </row>
    <row r="47" spans="2:33" ht="14.4" customHeight="1" x14ac:dyDescent="0.3">
      <c r="B47" s="94" t="s">
        <v>703</v>
      </c>
      <c r="C47" s="94" t="s">
        <v>903</v>
      </c>
      <c r="D47" s="96" t="s">
        <v>568</v>
      </c>
      <c r="E47" s="97">
        <v>30</v>
      </c>
      <c r="F47" s="96" t="s">
        <v>568</v>
      </c>
      <c r="G47" s="97">
        <v>40</v>
      </c>
      <c r="H47" s="96" t="s">
        <v>568</v>
      </c>
      <c r="I47" s="97">
        <v>50</v>
      </c>
      <c r="J47" s="96" t="s">
        <v>1119</v>
      </c>
      <c r="K47" s="96" t="s">
        <v>702</v>
      </c>
      <c r="L47" s="96" t="s">
        <v>1087</v>
      </c>
      <c r="M47" s="94" t="s">
        <v>421</v>
      </c>
      <c r="N47" s="95" t="s">
        <v>422</v>
      </c>
      <c r="AE47" s="85"/>
      <c r="AF47" s="85"/>
      <c r="AG47" s="85"/>
    </row>
    <row r="48" spans="2:33" ht="14.4" customHeight="1" x14ac:dyDescent="0.3">
      <c r="B48" s="90" t="s">
        <v>632</v>
      </c>
      <c r="C48" s="90" t="s">
        <v>630</v>
      </c>
      <c r="D48" s="91" t="s">
        <v>568</v>
      </c>
      <c r="E48" s="92">
        <v>25</v>
      </c>
      <c r="F48" s="91" t="s">
        <v>568</v>
      </c>
      <c r="G48" s="92">
        <v>28</v>
      </c>
      <c r="H48" s="91" t="s">
        <v>568</v>
      </c>
      <c r="I48" s="92">
        <v>30</v>
      </c>
      <c r="J48" s="96" t="s">
        <v>1119</v>
      </c>
      <c r="K48" s="91" t="s">
        <v>631</v>
      </c>
      <c r="L48" s="91" t="s">
        <v>633</v>
      </c>
      <c r="M48" s="90" t="s">
        <v>423</v>
      </c>
      <c r="N48" s="93" t="s">
        <v>418</v>
      </c>
      <c r="AE48" s="85"/>
      <c r="AF48" s="85"/>
      <c r="AG48" s="85"/>
    </row>
    <row r="49" spans="2:33" ht="14.4" customHeight="1" x14ac:dyDescent="0.3">
      <c r="B49" s="94" t="s">
        <v>683</v>
      </c>
      <c r="C49" s="94" t="s">
        <v>682</v>
      </c>
      <c r="D49" s="96" t="s">
        <v>568</v>
      </c>
      <c r="E49" s="97">
        <v>35</v>
      </c>
      <c r="F49" s="96" t="s">
        <v>568</v>
      </c>
      <c r="G49" s="97">
        <v>35</v>
      </c>
      <c r="H49" s="96" t="s">
        <v>568</v>
      </c>
      <c r="I49" s="97">
        <v>35</v>
      </c>
      <c r="J49" s="96" t="s">
        <v>1119</v>
      </c>
      <c r="K49" s="96" t="s">
        <v>589</v>
      </c>
      <c r="L49" s="96" t="s">
        <v>684</v>
      </c>
      <c r="M49" s="94" t="s">
        <v>424</v>
      </c>
      <c r="N49" s="95" t="s">
        <v>376</v>
      </c>
      <c r="AE49" s="85"/>
      <c r="AF49" s="85"/>
      <c r="AG49" s="85"/>
    </row>
    <row r="50" spans="2:33" ht="14.4" customHeight="1" x14ac:dyDescent="0.3">
      <c r="B50" s="90" t="s">
        <v>632</v>
      </c>
      <c r="C50" s="90" t="s">
        <v>630</v>
      </c>
      <c r="D50" s="91" t="s">
        <v>568</v>
      </c>
      <c r="E50" s="92">
        <v>25</v>
      </c>
      <c r="F50" s="91" t="s">
        <v>568</v>
      </c>
      <c r="G50" s="92">
        <v>28</v>
      </c>
      <c r="H50" s="91" t="s">
        <v>568</v>
      </c>
      <c r="I50" s="92">
        <v>30</v>
      </c>
      <c r="J50" s="96" t="s">
        <v>1119</v>
      </c>
      <c r="K50" s="91" t="s">
        <v>631</v>
      </c>
      <c r="L50" s="91" t="s">
        <v>687</v>
      </c>
      <c r="M50" s="90" t="s">
        <v>425</v>
      </c>
      <c r="N50" s="93" t="s">
        <v>370</v>
      </c>
      <c r="AE50" s="85"/>
      <c r="AF50" s="85"/>
      <c r="AG50" s="85"/>
    </row>
    <row r="51" spans="2:33" ht="14.4" customHeight="1" x14ac:dyDescent="0.3">
      <c r="B51" s="94" t="s">
        <v>813</v>
      </c>
      <c r="C51" s="94" t="s">
        <v>985</v>
      </c>
      <c r="D51" s="96" t="s">
        <v>568</v>
      </c>
      <c r="E51" s="97">
        <v>23</v>
      </c>
      <c r="F51" s="96" t="s">
        <v>568</v>
      </c>
      <c r="G51" s="97">
        <v>25</v>
      </c>
      <c r="H51" s="96" t="s">
        <v>568</v>
      </c>
      <c r="I51" s="97">
        <v>25</v>
      </c>
      <c r="J51" s="96" t="s">
        <v>1119</v>
      </c>
      <c r="K51" s="96" t="s">
        <v>656</v>
      </c>
      <c r="L51" s="96" t="s">
        <v>986</v>
      </c>
      <c r="M51" s="94" t="s">
        <v>416</v>
      </c>
      <c r="N51" s="95" t="s">
        <v>376</v>
      </c>
      <c r="AE51" s="85"/>
      <c r="AF51" s="85"/>
      <c r="AG51" s="85"/>
    </row>
    <row r="52" spans="2:33" ht="14.4" customHeight="1" x14ac:dyDescent="0.3">
      <c r="B52" s="90" t="s">
        <v>570</v>
      </c>
      <c r="C52" s="90" t="s">
        <v>923</v>
      </c>
      <c r="D52" s="91" t="s">
        <v>568</v>
      </c>
      <c r="E52" s="92">
        <v>30</v>
      </c>
      <c r="F52" s="91" t="s">
        <v>568</v>
      </c>
      <c r="G52" s="92">
        <v>40</v>
      </c>
      <c r="H52" s="91" t="s">
        <v>568</v>
      </c>
      <c r="I52" s="92">
        <v>45</v>
      </c>
      <c r="J52" s="96" t="s">
        <v>1120</v>
      </c>
      <c r="K52" s="91" t="s">
        <v>569</v>
      </c>
      <c r="L52" s="91" t="s">
        <v>924</v>
      </c>
      <c r="M52" s="90" t="s">
        <v>426</v>
      </c>
      <c r="N52" s="93" t="s">
        <v>427</v>
      </c>
      <c r="AE52" s="85"/>
      <c r="AF52" s="85"/>
      <c r="AG52" s="85"/>
    </row>
    <row r="53" spans="2:33" ht="14.4" customHeight="1" x14ac:dyDescent="0.3">
      <c r="B53" s="94" t="s">
        <v>813</v>
      </c>
      <c r="C53" s="94" t="s">
        <v>923</v>
      </c>
      <c r="D53" s="96" t="s">
        <v>568</v>
      </c>
      <c r="E53" s="97">
        <v>23</v>
      </c>
      <c r="F53" s="96" t="s">
        <v>568</v>
      </c>
      <c r="G53" s="97">
        <v>25</v>
      </c>
      <c r="H53" s="96" t="s">
        <v>568</v>
      </c>
      <c r="I53" s="97">
        <v>25</v>
      </c>
      <c r="J53" s="96" t="s">
        <v>1119</v>
      </c>
      <c r="K53" s="96" t="s">
        <v>656</v>
      </c>
      <c r="L53" s="96" t="s">
        <v>938</v>
      </c>
      <c r="M53" s="94" t="s">
        <v>363</v>
      </c>
      <c r="N53" s="95" t="s">
        <v>364</v>
      </c>
      <c r="AE53" s="85"/>
      <c r="AF53" s="85"/>
      <c r="AG53" s="85"/>
    </row>
    <row r="54" spans="2:33" ht="14.4" customHeight="1" x14ac:dyDescent="0.3">
      <c r="B54" s="90" t="s">
        <v>683</v>
      </c>
      <c r="C54" s="90" t="s">
        <v>923</v>
      </c>
      <c r="D54" s="91" t="s">
        <v>568</v>
      </c>
      <c r="E54" s="92">
        <v>35</v>
      </c>
      <c r="F54" s="91" t="s">
        <v>568</v>
      </c>
      <c r="G54" s="92">
        <v>35</v>
      </c>
      <c r="H54" s="91" t="s">
        <v>568</v>
      </c>
      <c r="I54" s="92">
        <v>35</v>
      </c>
      <c r="J54" s="96" t="s">
        <v>1119</v>
      </c>
      <c r="K54" s="91" t="s">
        <v>589</v>
      </c>
      <c r="L54" s="91" t="s">
        <v>902</v>
      </c>
      <c r="M54" s="90" t="s">
        <v>363</v>
      </c>
      <c r="N54" s="93" t="s">
        <v>364</v>
      </c>
      <c r="AE54" s="85"/>
      <c r="AF54" s="85"/>
      <c r="AG54" s="85"/>
    </row>
    <row r="55" spans="2:33" ht="14.4" customHeight="1" x14ac:dyDescent="0.3">
      <c r="B55" s="94" t="s">
        <v>590</v>
      </c>
      <c r="C55" s="94" t="s">
        <v>588</v>
      </c>
      <c r="D55" s="96" t="s">
        <v>568</v>
      </c>
      <c r="E55" s="97">
        <v>44</v>
      </c>
      <c r="F55" s="96" t="s">
        <v>568</v>
      </c>
      <c r="G55" s="97">
        <v>44</v>
      </c>
      <c r="H55" s="96" t="s">
        <v>568</v>
      </c>
      <c r="I55" s="97">
        <v>44</v>
      </c>
      <c r="J55" s="96" t="s">
        <v>1119</v>
      </c>
      <c r="K55" s="96" t="s">
        <v>589</v>
      </c>
      <c r="L55" s="96" t="s">
        <v>591</v>
      </c>
      <c r="M55" s="94" t="s">
        <v>428</v>
      </c>
      <c r="N55" s="95" t="s">
        <v>429</v>
      </c>
      <c r="AE55" s="85"/>
      <c r="AF55" s="85"/>
      <c r="AG55" s="85"/>
    </row>
    <row r="56" spans="2:33" ht="14.4" customHeight="1" x14ac:dyDescent="0.3">
      <c r="B56" s="90" t="s">
        <v>624</v>
      </c>
      <c r="C56" s="90" t="s">
        <v>622</v>
      </c>
      <c r="D56" s="91" t="s">
        <v>568</v>
      </c>
      <c r="E56" s="92">
        <v>25</v>
      </c>
      <c r="F56" s="91" t="s">
        <v>568</v>
      </c>
      <c r="G56" s="92">
        <v>25</v>
      </c>
      <c r="H56" s="91" t="s">
        <v>568</v>
      </c>
      <c r="I56" s="92">
        <v>25</v>
      </c>
      <c r="J56" s="96" t="s">
        <v>1119</v>
      </c>
      <c r="K56" s="91" t="s">
        <v>623</v>
      </c>
      <c r="L56" s="91" t="s">
        <v>625</v>
      </c>
      <c r="M56" s="90" t="s">
        <v>430</v>
      </c>
      <c r="N56" s="93" t="s">
        <v>380</v>
      </c>
      <c r="AE56" s="85"/>
      <c r="AF56" s="85"/>
      <c r="AG56" s="85"/>
    </row>
    <row r="57" spans="2:33" ht="14.4" customHeight="1" x14ac:dyDescent="0.3">
      <c r="B57" s="94" t="s">
        <v>653</v>
      </c>
      <c r="C57" s="94" t="s">
        <v>652</v>
      </c>
      <c r="D57" s="96" t="s">
        <v>568</v>
      </c>
      <c r="E57" s="97">
        <v>25</v>
      </c>
      <c r="F57" s="96" t="s">
        <v>568</v>
      </c>
      <c r="G57" s="97">
        <v>30</v>
      </c>
      <c r="H57" s="96" t="s">
        <v>568</v>
      </c>
      <c r="I57" s="97">
        <v>35</v>
      </c>
      <c r="J57" s="96" t="s">
        <v>1119</v>
      </c>
      <c r="K57" s="96" t="s">
        <v>606</v>
      </c>
      <c r="L57" s="96" t="s">
        <v>654</v>
      </c>
      <c r="M57" s="94" t="s">
        <v>377</v>
      </c>
      <c r="N57" s="95" t="s">
        <v>368</v>
      </c>
      <c r="AE57" s="85"/>
      <c r="AF57" s="85"/>
      <c r="AG57" s="85"/>
    </row>
    <row r="58" spans="2:33" ht="14.4" customHeight="1" x14ac:dyDescent="0.3">
      <c r="B58" s="90" t="s">
        <v>685</v>
      </c>
      <c r="C58" s="90" t="s">
        <v>588</v>
      </c>
      <c r="D58" s="91" t="s">
        <v>568</v>
      </c>
      <c r="E58" s="92">
        <v>45</v>
      </c>
      <c r="F58" s="91" t="s">
        <v>568</v>
      </c>
      <c r="G58" s="92">
        <v>45</v>
      </c>
      <c r="H58" s="91" t="s">
        <v>568</v>
      </c>
      <c r="I58" s="92">
        <v>55</v>
      </c>
      <c r="J58" s="96" t="s">
        <v>1119</v>
      </c>
      <c r="K58" s="91" t="s">
        <v>638</v>
      </c>
      <c r="L58" s="91" t="s">
        <v>686</v>
      </c>
      <c r="M58" s="90" t="s">
        <v>431</v>
      </c>
      <c r="N58" s="93" t="s">
        <v>403</v>
      </c>
      <c r="AE58" s="85"/>
      <c r="AF58" s="85"/>
      <c r="AG58" s="85"/>
    </row>
    <row r="59" spans="2:33" ht="14.4" customHeight="1" x14ac:dyDescent="0.3">
      <c r="B59" s="94" t="s">
        <v>690</v>
      </c>
      <c r="C59" s="94" t="s">
        <v>588</v>
      </c>
      <c r="D59" s="96" t="s">
        <v>568</v>
      </c>
      <c r="E59" s="97">
        <v>20</v>
      </c>
      <c r="F59" s="96" t="s">
        <v>568</v>
      </c>
      <c r="G59" s="97">
        <v>25</v>
      </c>
      <c r="H59" s="96" t="s">
        <v>568</v>
      </c>
      <c r="I59" s="97">
        <v>25</v>
      </c>
      <c r="J59" s="96" t="s">
        <v>1119</v>
      </c>
      <c r="K59" s="96" t="s">
        <v>649</v>
      </c>
      <c r="L59" s="96" t="s">
        <v>691</v>
      </c>
      <c r="M59" s="94" t="s">
        <v>432</v>
      </c>
      <c r="N59" s="95" t="s">
        <v>364</v>
      </c>
      <c r="AE59" s="85"/>
      <c r="AF59" s="85"/>
      <c r="AG59" s="85"/>
    </row>
    <row r="60" spans="2:33" ht="14.4" customHeight="1" x14ac:dyDescent="0.3">
      <c r="B60" s="90" t="s">
        <v>766</v>
      </c>
      <c r="C60" s="90" t="s">
        <v>622</v>
      </c>
      <c r="D60" s="91" t="s">
        <v>568</v>
      </c>
      <c r="E60" s="92">
        <v>25</v>
      </c>
      <c r="F60" s="91" t="s">
        <v>568</v>
      </c>
      <c r="G60" s="92">
        <v>25</v>
      </c>
      <c r="H60" s="91" t="s">
        <v>568</v>
      </c>
      <c r="I60" s="92">
        <v>25</v>
      </c>
      <c r="J60" s="96" t="s">
        <v>1119</v>
      </c>
      <c r="K60" s="91" t="s">
        <v>765</v>
      </c>
      <c r="L60" s="91" t="s">
        <v>767</v>
      </c>
      <c r="M60" s="90" t="s">
        <v>405</v>
      </c>
      <c r="N60" s="93" t="s">
        <v>406</v>
      </c>
      <c r="AE60" s="85"/>
      <c r="AF60" s="85"/>
      <c r="AG60" s="85"/>
    </row>
    <row r="61" spans="2:33" ht="14.4" customHeight="1" x14ac:dyDescent="0.3">
      <c r="B61" s="94" t="s">
        <v>683</v>
      </c>
      <c r="C61" s="94" t="s">
        <v>622</v>
      </c>
      <c r="D61" s="96" t="s">
        <v>568</v>
      </c>
      <c r="E61" s="97">
        <v>35</v>
      </c>
      <c r="F61" s="96" t="s">
        <v>568</v>
      </c>
      <c r="G61" s="97">
        <v>35</v>
      </c>
      <c r="H61" s="96" t="s">
        <v>568</v>
      </c>
      <c r="I61" s="97">
        <v>35</v>
      </c>
      <c r="J61" s="96" t="s">
        <v>1119</v>
      </c>
      <c r="K61" s="96" t="s">
        <v>589</v>
      </c>
      <c r="L61" s="96" t="s">
        <v>821</v>
      </c>
      <c r="M61" s="94" t="s">
        <v>433</v>
      </c>
      <c r="N61" s="95" t="s">
        <v>434</v>
      </c>
      <c r="AE61" s="85"/>
      <c r="AF61" s="85"/>
      <c r="AG61" s="85"/>
    </row>
    <row r="62" spans="2:33" ht="14.4" customHeight="1" x14ac:dyDescent="0.3">
      <c r="B62" s="90" t="s">
        <v>813</v>
      </c>
      <c r="C62" s="90" t="s">
        <v>622</v>
      </c>
      <c r="D62" s="91" t="s">
        <v>568</v>
      </c>
      <c r="E62" s="92">
        <v>23</v>
      </c>
      <c r="F62" s="91" t="s">
        <v>568</v>
      </c>
      <c r="G62" s="92">
        <v>25</v>
      </c>
      <c r="H62" s="91" t="s">
        <v>568</v>
      </c>
      <c r="I62" s="92">
        <v>25</v>
      </c>
      <c r="J62" s="96" t="s">
        <v>1119</v>
      </c>
      <c r="K62" s="91" t="s">
        <v>656</v>
      </c>
      <c r="L62" s="91" t="s">
        <v>849</v>
      </c>
      <c r="M62" s="90" t="s">
        <v>435</v>
      </c>
      <c r="N62" s="93" t="s">
        <v>374</v>
      </c>
      <c r="AE62" s="85"/>
      <c r="AF62" s="85"/>
      <c r="AG62" s="85"/>
    </row>
    <row r="63" spans="2:33" ht="14.4" customHeight="1" x14ac:dyDescent="0.3">
      <c r="B63" s="94" t="s">
        <v>877</v>
      </c>
      <c r="C63" s="94" t="s">
        <v>588</v>
      </c>
      <c r="D63" s="96" t="s">
        <v>568</v>
      </c>
      <c r="E63" s="97">
        <v>25</v>
      </c>
      <c r="F63" s="96" t="s">
        <v>568</v>
      </c>
      <c r="G63" s="97">
        <v>25</v>
      </c>
      <c r="H63" s="96" t="s">
        <v>568</v>
      </c>
      <c r="I63" s="97">
        <v>25</v>
      </c>
      <c r="J63" s="96" t="s">
        <v>1119</v>
      </c>
      <c r="K63" s="96" t="s">
        <v>623</v>
      </c>
      <c r="L63" s="96" t="s">
        <v>878</v>
      </c>
      <c r="M63" s="94" t="s">
        <v>436</v>
      </c>
      <c r="N63" s="95" t="s">
        <v>437</v>
      </c>
      <c r="AE63" s="85"/>
      <c r="AF63" s="85"/>
      <c r="AG63" s="85"/>
    </row>
    <row r="64" spans="2:33" ht="14.4" customHeight="1" x14ac:dyDescent="0.3">
      <c r="B64" s="90" t="s">
        <v>570</v>
      </c>
      <c r="C64" s="90" t="s">
        <v>906</v>
      </c>
      <c r="D64" s="91" t="s">
        <v>568</v>
      </c>
      <c r="E64" s="92">
        <v>30</v>
      </c>
      <c r="F64" s="91" t="s">
        <v>568</v>
      </c>
      <c r="G64" s="92">
        <v>40</v>
      </c>
      <c r="H64" s="91" t="s">
        <v>568</v>
      </c>
      <c r="I64" s="92">
        <v>45</v>
      </c>
      <c r="J64" s="96" t="s">
        <v>1120</v>
      </c>
      <c r="K64" s="91" t="s">
        <v>569</v>
      </c>
      <c r="L64" s="91" t="s">
        <v>907</v>
      </c>
      <c r="M64" s="90" t="s">
        <v>425</v>
      </c>
      <c r="N64" s="93" t="s">
        <v>370</v>
      </c>
      <c r="AE64" s="85"/>
      <c r="AF64" s="85"/>
      <c r="AG64" s="85"/>
    </row>
    <row r="65" spans="2:33" ht="14.4" customHeight="1" x14ac:dyDescent="0.3">
      <c r="B65" s="94" t="s">
        <v>590</v>
      </c>
      <c r="C65" s="94" t="s">
        <v>931</v>
      </c>
      <c r="D65" s="96" t="s">
        <v>568</v>
      </c>
      <c r="E65" s="97">
        <v>44</v>
      </c>
      <c r="F65" s="96" t="s">
        <v>568</v>
      </c>
      <c r="G65" s="97">
        <v>44</v>
      </c>
      <c r="H65" s="96" t="s">
        <v>568</v>
      </c>
      <c r="I65" s="97">
        <v>44</v>
      </c>
      <c r="J65" s="96" t="s">
        <v>1119</v>
      </c>
      <c r="K65" s="96" t="s">
        <v>589</v>
      </c>
      <c r="L65" s="96" t="s">
        <v>932</v>
      </c>
      <c r="M65" s="94" t="s">
        <v>438</v>
      </c>
      <c r="N65" s="95" t="s">
        <v>439</v>
      </c>
      <c r="AE65" s="85"/>
      <c r="AF65" s="85"/>
      <c r="AG65" s="85"/>
    </row>
    <row r="66" spans="2:33" ht="14.4" customHeight="1" x14ac:dyDescent="0.3">
      <c r="B66" s="90" t="s">
        <v>653</v>
      </c>
      <c r="C66" s="90" t="s">
        <v>622</v>
      </c>
      <c r="D66" s="91" t="s">
        <v>568</v>
      </c>
      <c r="E66" s="92">
        <v>25</v>
      </c>
      <c r="F66" s="91" t="s">
        <v>568</v>
      </c>
      <c r="G66" s="92">
        <v>30</v>
      </c>
      <c r="H66" s="91" t="s">
        <v>568</v>
      </c>
      <c r="I66" s="92">
        <v>35</v>
      </c>
      <c r="J66" s="96" t="s">
        <v>1119</v>
      </c>
      <c r="K66" s="91" t="s">
        <v>606</v>
      </c>
      <c r="L66" s="91" t="s">
        <v>1035</v>
      </c>
      <c r="M66" s="90" t="s">
        <v>440</v>
      </c>
      <c r="N66" s="93" t="s">
        <v>368</v>
      </c>
      <c r="AE66" s="85"/>
      <c r="AF66" s="85"/>
      <c r="AG66" s="85"/>
    </row>
    <row r="67" spans="2:33" ht="14.4" customHeight="1" x14ac:dyDescent="0.3">
      <c r="B67" s="94" t="s">
        <v>690</v>
      </c>
      <c r="C67" s="94" t="s">
        <v>588</v>
      </c>
      <c r="D67" s="96" t="s">
        <v>568</v>
      </c>
      <c r="E67" s="97">
        <v>20</v>
      </c>
      <c r="F67" s="96" t="s">
        <v>568</v>
      </c>
      <c r="G67" s="97">
        <v>25</v>
      </c>
      <c r="H67" s="96" t="s">
        <v>568</v>
      </c>
      <c r="I67" s="97">
        <v>25</v>
      </c>
      <c r="J67" s="96" t="s">
        <v>1119</v>
      </c>
      <c r="K67" s="96" t="s">
        <v>649</v>
      </c>
      <c r="L67" s="96" t="s">
        <v>1047</v>
      </c>
      <c r="M67" s="94" t="s">
        <v>441</v>
      </c>
      <c r="N67" s="95" t="s">
        <v>442</v>
      </c>
      <c r="AE67" s="85"/>
      <c r="AF67" s="85"/>
      <c r="AG67" s="85"/>
    </row>
    <row r="68" spans="2:33" ht="14.4" customHeight="1" x14ac:dyDescent="0.3">
      <c r="B68" s="90" t="s">
        <v>685</v>
      </c>
      <c r="C68" s="90" t="s">
        <v>906</v>
      </c>
      <c r="D68" s="91" t="s">
        <v>568</v>
      </c>
      <c r="E68" s="92">
        <v>45</v>
      </c>
      <c r="F68" s="91" t="s">
        <v>568</v>
      </c>
      <c r="G68" s="92">
        <v>45</v>
      </c>
      <c r="H68" s="91" t="s">
        <v>568</v>
      </c>
      <c r="I68" s="92">
        <v>55</v>
      </c>
      <c r="J68" s="96" t="s">
        <v>1119</v>
      </c>
      <c r="K68" s="91" t="s">
        <v>638</v>
      </c>
      <c r="L68" s="91" t="s">
        <v>1078</v>
      </c>
      <c r="M68" s="90" t="s">
        <v>369</v>
      </c>
      <c r="N68" s="93" t="s">
        <v>370</v>
      </c>
      <c r="AE68" s="85"/>
      <c r="AF68" s="85"/>
      <c r="AG68" s="85"/>
    </row>
    <row r="69" spans="2:33" ht="14.4" customHeight="1" x14ac:dyDescent="0.3">
      <c r="B69" s="94" t="s">
        <v>693</v>
      </c>
      <c r="C69" s="94" t="s">
        <v>692</v>
      </c>
      <c r="D69" s="96" t="s">
        <v>568</v>
      </c>
      <c r="E69" s="97">
        <v>50</v>
      </c>
      <c r="F69" s="96" t="s">
        <v>568</v>
      </c>
      <c r="G69" s="97">
        <v>60</v>
      </c>
      <c r="H69" s="96" t="s">
        <v>568</v>
      </c>
      <c r="I69" s="97">
        <v>60</v>
      </c>
      <c r="J69" s="96" t="s">
        <v>1119</v>
      </c>
      <c r="K69" s="96" t="s">
        <v>638</v>
      </c>
      <c r="L69" s="96" t="s">
        <v>694</v>
      </c>
      <c r="M69" s="94" t="s">
        <v>443</v>
      </c>
      <c r="N69" s="95" t="s">
        <v>366</v>
      </c>
      <c r="AE69" s="85"/>
      <c r="AF69" s="85"/>
      <c r="AG69" s="85"/>
    </row>
    <row r="70" spans="2:33" ht="14.4" customHeight="1" x14ac:dyDescent="0.3">
      <c r="B70" s="90" t="s">
        <v>711</v>
      </c>
      <c r="C70" s="90" t="s">
        <v>760</v>
      </c>
      <c r="D70" s="91" t="s">
        <v>568</v>
      </c>
      <c r="E70" s="92">
        <v>35</v>
      </c>
      <c r="F70" s="91" t="s">
        <v>568</v>
      </c>
      <c r="G70" s="92">
        <v>35</v>
      </c>
      <c r="H70" s="91" t="s">
        <v>568</v>
      </c>
      <c r="I70" s="92">
        <v>35</v>
      </c>
      <c r="J70" s="96" t="s">
        <v>1120</v>
      </c>
      <c r="K70" s="91" t="s">
        <v>602</v>
      </c>
      <c r="L70" s="91" t="s">
        <v>761</v>
      </c>
      <c r="M70" s="90" t="s">
        <v>444</v>
      </c>
      <c r="N70" s="93" t="s">
        <v>392</v>
      </c>
      <c r="AE70" s="85"/>
      <c r="AF70" s="85"/>
      <c r="AG70" s="85"/>
    </row>
    <row r="71" spans="2:33" ht="14.4" customHeight="1" x14ac:dyDescent="0.3">
      <c r="B71" s="94" t="s">
        <v>683</v>
      </c>
      <c r="C71" s="94" t="s">
        <v>760</v>
      </c>
      <c r="D71" s="96" t="s">
        <v>568</v>
      </c>
      <c r="E71" s="97">
        <v>35</v>
      </c>
      <c r="F71" s="96" t="s">
        <v>568</v>
      </c>
      <c r="G71" s="97">
        <v>35</v>
      </c>
      <c r="H71" s="96" t="s">
        <v>568</v>
      </c>
      <c r="I71" s="97">
        <v>35</v>
      </c>
      <c r="J71" s="96" t="s">
        <v>1119</v>
      </c>
      <c r="K71" s="96" t="s">
        <v>589</v>
      </c>
      <c r="L71" s="96" t="s">
        <v>790</v>
      </c>
      <c r="M71" s="94" t="s">
        <v>445</v>
      </c>
      <c r="N71" s="95" t="s">
        <v>380</v>
      </c>
      <c r="AE71" s="85"/>
      <c r="AF71" s="85"/>
      <c r="AG71" s="85"/>
    </row>
    <row r="72" spans="2:33" ht="14.4" customHeight="1" x14ac:dyDescent="0.3">
      <c r="B72" s="90" t="s">
        <v>813</v>
      </c>
      <c r="C72" s="90" t="s">
        <v>760</v>
      </c>
      <c r="D72" s="91" t="s">
        <v>568</v>
      </c>
      <c r="E72" s="92">
        <v>16</v>
      </c>
      <c r="F72" s="91" t="s">
        <v>568</v>
      </c>
      <c r="G72" s="92">
        <v>18</v>
      </c>
      <c r="H72" s="91" t="s">
        <v>568</v>
      </c>
      <c r="I72" s="92">
        <v>20</v>
      </c>
      <c r="J72" s="96" t="s">
        <v>1119</v>
      </c>
      <c r="K72" s="91" t="s">
        <v>656</v>
      </c>
      <c r="L72" s="91" t="s">
        <v>850</v>
      </c>
      <c r="M72" s="90" t="s">
        <v>379</v>
      </c>
      <c r="N72" s="93" t="s">
        <v>380</v>
      </c>
      <c r="AE72" s="85"/>
      <c r="AF72" s="85"/>
      <c r="AG72" s="85"/>
    </row>
    <row r="73" spans="2:33" ht="14.4" customHeight="1" x14ac:dyDescent="0.3">
      <c r="B73" s="94" t="s">
        <v>703</v>
      </c>
      <c r="C73" s="94" t="s">
        <v>760</v>
      </c>
      <c r="D73" s="96" t="s">
        <v>568</v>
      </c>
      <c r="E73" s="97">
        <v>30</v>
      </c>
      <c r="F73" s="96" t="s">
        <v>568</v>
      </c>
      <c r="G73" s="97">
        <v>40</v>
      </c>
      <c r="H73" s="96" t="s">
        <v>568</v>
      </c>
      <c r="I73" s="97">
        <v>50</v>
      </c>
      <c r="J73" s="96" t="s">
        <v>1119</v>
      </c>
      <c r="K73" s="96" t="s">
        <v>702</v>
      </c>
      <c r="L73" s="96" t="s">
        <v>855</v>
      </c>
      <c r="M73" s="94" t="s">
        <v>446</v>
      </c>
      <c r="N73" s="95" t="s">
        <v>386</v>
      </c>
      <c r="AE73" s="85"/>
      <c r="AF73" s="85"/>
      <c r="AG73" s="85"/>
    </row>
    <row r="74" spans="2:33" ht="14.4" customHeight="1" x14ac:dyDescent="0.3">
      <c r="B74" s="90" t="s">
        <v>590</v>
      </c>
      <c r="C74" s="90" t="s">
        <v>760</v>
      </c>
      <c r="D74" s="91" t="s">
        <v>568</v>
      </c>
      <c r="E74" s="92">
        <v>44</v>
      </c>
      <c r="F74" s="91" t="s">
        <v>568</v>
      </c>
      <c r="G74" s="92">
        <v>44</v>
      </c>
      <c r="H74" s="91" t="s">
        <v>568</v>
      </c>
      <c r="I74" s="92">
        <v>44</v>
      </c>
      <c r="J74" s="96" t="s">
        <v>1119</v>
      </c>
      <c r="K74" s="91" t="s">
        <v>589</v>
      </c>
      <c r="L74" s="91" t="s">
        <v>873</v>
      </c>
      <c r="M74" s="90" t="s">
        <v>447</v>
      </c>
      <c r="N74" s="93" t="s">
        <v>380</v>
      </c>
      <c r="AE74" s="85"/>
      <c r="AF74" s="85"/>
      <c r="AG74" s="85"/>
    </row>
    <row r="75" spans="2:33" ht="14.4" customHeight="1" x14ac:dyDescent="0.3">
      <c r="B75" s="94" t="s">
        <v>693</v>
      </c>
      <c r="C75" s="94" t="s">
        <v>692</v>
      </c>
      <c r="D75" s="96" t="s">
        <v>568</v>
      </c>
      <c r="E75" s="97">
        <v>50</v>
      </c>
      <c r="F75" s="96" t="s">
        <v>568</v>
      </c>
      <c r="G75" s="97">
        <v>60</v>
      </c>
      <c r="H75" s="96" t="s">
        <v>568</v>
      </c>
      <c r="I75" s="97">
        <v>60</v>
      </c>
      <c r="J75" s="96" t="s">
        <v>1119</v>
      </c>
      <c r="K75" s="96" t="s">
        <v>638</v>
      </c>
      <c r="L75" s="96" t="s">
        <v>921</v>
      </c>
      <c r="M75" s="94" t="s">
        <v>448</v>
      </c>
      <c r="N75" s="95" t="s">
        <v>442</v>
      </c>
      <c r="AE75" s="85"/>
      <c r="AF75" s="85"/>
      <c r="AG75" s="85"/>
    </row>
    <row r="76" spans="2:33" ht="14.4" customHeight="1" x14ac:dyDescent="0.3">
      <c r="B76" s="90" t="s">
        <v>685</v>
      </c>
      <c r="C76" s="90" t="s">
        <v>936</v>
      </c>
      <c r="D76" s="91" t="s">
        <v>568</v>
      </c>
      <c r="E76" s="92">
        <v>45</v>
      </c>
      <c r="F76" s="91" t="s">
        <v>568</v>
      </c>
      <c r="G76" s="92">
        <v>45</v>
      </c>
      <c r="H76" s="91" t="s">
        <v>568</v>
      </c>
      <c r="I76" s="92">
        <v>55</v>
      </c>
      <c r="J76" s="96" t="s">
        <v>1119</v>
      </c>
      <c r="K76" s="91" t="s">
        <v>638</v>
      </c>
      <c r="L76" s="91" t="s">
        <v>937</v>
      </c>
      <c r="M76" s="90" t="s">
        <v>449</v>
      </c>
      <c r="N76" s="93" t="s">
        <v>450</v>
      </c>
      <c r="AE76" s="85"/>
      <c r="AF76" s="85"/>
      <c r="AG76" s="85"/>
    </row>
    <row r="77" spans="2:33" ht="14.4" customHeight="1" x14ac:dyDescent="0.3">
      <c r="B77" s="94" t="s">
        <v>813</v>
      </c>
      <c r="C77" s="94" t="s">
        <v>760</v>
      </c>
      <c r="D77" s="96" t="s">
        <v>568</v>
      </c>
      <c r="E77" s="97">
        <v>23</v>
      </c>
      <c r="F77" s="96" t="s">
        <v>568</v>
      </c>
      <c r="G77" s="97">
        <v>25</v>
      </c>
      <c r="H77" s="96" t="s">
        <v>568</v>
      </c>
      <c r="I77" s="97">
        <v>25</v>
      </c>
      <c r="J77" s="96" t="s">
        <v>1119</v>
      </c>
      <c r="K77" s="96" t="s">
        <v>656</v>
      </c>
      <c r="L77" s="96" t="s">
        <v>952</v>
      </c>
      <c r="M77" s="94" t="s">
        <v>451</v>
      </c>
      <c r="N77" s="95" t="s">
        <v>401</v>
      </c>
      <c r="AE77" s="85"/>
      <c r="AF77" s="85"/>
      <c r="AG77" s="85"/>
    </row>
    <row r="78" spans="2:33" ht="14.4" customHeight="1" x14ac:dyDescent="0.3">
      <c r="B78" s="90" t="s">
        <v>653</v>
      </c>
      <c r="C78" s="90" t="s">
        <v>760</v>
      </c>
      <c r="D78" s="91" t="s">
        <v>568</v>
      </c>
      <c r="E78" s="92">
        <v>25</v>
      </c>
      <c r="F78" s="91" t="s">
        <v>568</v>
      </c>
      <c r="G78" s="92">
        <v>30</v>
      </c>
      <c r="H78" s="91" t="s">
        <v>568</v>
      </c>
      <c r="I78" s="92">
        <v>35</v>
      </c>
      <c r="J78" s="96" t="s">
        <v>1119</v>
      </c>
      <c r="K78" s="91" t="s">
        <v>606</v>
      </c>
      <c r="L78" s="91" t="s">
        <v>1002</v>
      </c>
      <c r="M78" s="90" t="s">
        <v>452</v>
      </c>
      <c r="N78" s="93" t="s">
        <v>434</v>
      </c>
      <c r="AE78" s="85"/>
      <c r="AF78" s="85"/>
      <c r="AG78" s="85"/>
    </row>
    <row r="79" spans="2:33" ht="14.4" customHeight="1" x14ac:dyDescent="0.3">
      <c r="B79" s="94" t="s">
        <v>711</v>
      </c>
      <c r="C79" s="94" t="s">
        <v>1014</v>
      </c>
      <c r="D79" s="96" t="s">
        <v>568</v>
      </c>
      <c r="E79" s="97">
        <v>35</v>
      </c>
      <c r="F79" s="96" t="s">
        <v>568</v>
      </c>
      <c r="G79" s="97">
        <v>35</v>
      </c>
      <c r="H79" s="96" t="s">
        <v>568</v>
      </c>
      <c r="I79" s="97">
        <v>35</v>
      </c>
      <c r="J79" s="96" t="s">
        <v>1120</v>
      </c>
      <c r="K79" s="96" t="s">
        <v>602</v>
      </c>
      <c r="L79" s="96" t="s">
        <v>1015</v>
      </c>
      <c r="M79" s="94" t="s">
        <v>453</v>
      </c>
      <c r="N79" s="95" t="s">
        <v>454</v>
      </c>
      <c r="AE79" s="85"/>
      <c r="AF79" s="85"/>
      <c r="AG79" s="85"/>
    </row>
    <row r="80" spans="2:33" ht="14.4" customHeight="1" x14ac:dyDescent="0.3">
      <c r="B80" s="90" t="s">
        <v>693</v>
      </c>
      <c r="C80" s="90" t="s">
        <v>936</v>
      </c>
      <c r="D80" s="91" t="s">
        <v>568</v>
      </c>
      <c r="E80" s="92">
        <v>50</v>
      </c>
      <c r="F80" s="91" t="s">
        <v>568</v>
      </c>
      <c r="G80" s="92">
        <v>60</v>
      </c>
      <c r="H80" s="91" t="s">
        <v>568</v>
      </c>
      <c r="I80" s="92">
        <v>60</v>
      </c>
      <c r="J80" s="96" t="s">
        <v>1119</v>
      </c>
      <c r="K80" s="91" t="s">
        <v>638</v>
      </c>
      <c r="L80" s="91" t="s">
        <v>1036</v>
      </c>
      <c r="M80" s="90" t="s">
        <v>430</v>
      </c>
      <c r="N80" s="93" t="s">
        <v>380</v>
      </c>
      <c r="AE80" s="85"/>
      <c r="AF80" s="85"/>
      <c r="AG80" s="85"/>
    </row>
    <row r="81" spans="2:33" ht="14.4" customHeight="1" x14ac:dyDescent="0.3">
      <c r="B81" s="94" t="s">
        <v>683</v>
      </c>
      <c r="C81" s="94" t="s">
        <v>760</v>
      </c>
      <c r="D81" s="96" t="s">
        <v>568</v>
      </c>
      <c r="E81" s="97">
        <v>35</v>
      </c>
      <c r="F81" s="96" t="s">
        <v>568</v>
      </c>
      <c r="G81" s="97">
        <v>35</v>
      </c>
      <c r="H81" s="96" t="s">
        <v>568</v>
      </c>
      <c r="I81" s="97">
        <v>35</v>
      </c>
      <c r="J81" s="96" t="s">
        <v>1119</v>
      </c>
      <c r="K81" s="96" t="s">
        <v>589</v>
      </c>
      <c r="L81" s="96" t="s">
        <v>902</v>
      </c>
      <c r="M81" s="94" t="s">
        <v>430</v>
      </c>
      <c r="N81" s="95" t="s">
        <v>380</v>
      </c>
      <c r="AE81" s="85"/>
      <c r="AF81" s="85"/>
      <c r="AG81" s="85"/>
    </row>
    <row r="82" spans="2:33" ht="14.4" customHeight="1" x14ac:dyDescent="0.3">
      <c r="B82" s="90" t="s">
        <v>570</v>
      </c>
      <c r="C82" s="90" t="s">
        <v>936</v>
      </c>
      <c r="D82" s="91" t="s">
        <v>568</v>
      </c>
      <c r="E82" s="92">
        <v>30</v>
      </c>
      <c r="F82" s="91" t="s">
        <v>568</v>
      </c>
      <c r="G82" s="92">
        <v>40</v>
      </c>
      <c r="H82" s="91" t="s">
        <v>568</v>
      </c>
      <c r="I82" s="92">
        <v>45</v>
      </c>
      <c r="J82" s="96" t="s">
        <v>1120</v>
      </c>
      <c r="K82" s="91" t="s">
        <v>569</v>
      </c>
      <c r="L82" s="91" t="s">
        <v>1068</v>
      </c>
      <c r="M82" s="90" t="s">
        <v>430</v>
      </c>
      <c r="N82" s="93" t="s">
        <v>380</v>
      </c>
      <c r="AE82" s="85"/>
      <c r="AF82" s="85"/>
      <c r="AG82" s="85"/>
    </row>
    <row r="83" spans="2:33" ht="14.4" customHeight="1" x14ac:dyDescent="0.3">
      <c r="B83" s="94" t="s">
        <v>570</v>
      </c>
      <c r="C83" s="94" t="s">
        <v>567</v>
      </c>
      <c r="D83" s="96" t="s">
        <v>568</v>
      </c>
      <c r="E83" s="97">
        <v>30</v>
      </c>
      <c r="F83" s="96" t="s">
        <v>568</v>
      </c>
      <c r="G83" s="97">
        <v>40</v>
      </c>
      <c r="H83" s="96" t="s">
        <v>568</v>
      </c>
      <c r="I83" s="97">
        <v>45</v>
      </c>
      <c r="J83" s="96" t="s">
        <v>1120</v>
      </c>
      <c r="K83" s="96" t="s">
        <v>569</v>
      </c>
      <c r="L83" s="96" t="s">
        <v>571</v>
      </c>
      <c r="M83" s="94" t="s">
        <v>455</v>
      </c>
      <c r="N83" s="95" t="s">
        <v>456</v>
      </c>
      <c r="AE83" s="85"/>
      <c r="AF83" s="85"/>
      <c r="AG83" s="85"/>
    </row>
    <row r="84" spans="2:33" ht="14.4" customHeight="1" x14ac:dyDescent="0.3">
      <c r="B84" s="90" t="s">
        <v>582</v>
      </c>
      <c r="C84" s="90" t="s">
        <v>567</v>
      </c>
      <c r="D84" s="91" t="s">
        <v>568</v>
      </c>
      <c r="E84" s="92">
        <v>35</v>
      </c>
      <c r="F84" s="91" t="s">
        <v>568</v>
      </c>
      <c r="G84" s="92">
        <v>40</v>
      </c>
      <c r="H84" s="91" t="s">
        <v>568</v>
      </c>
      <c r="I84" s="92">
        <v>40</v>
      </c>
      <c r="J84" s="96" t="s">
        <v>1119</v>
      </c>
      <c r="K84" s="91" t="s">
        <v>581</v>
      </c>
      <c r="L84" s="91" t="s">
        <v>583</v>
      </c>
      <c r="M84" s="90" t="s">
        <v>457</v>
      </c>
      <c r="N84" s="93" t="s">
        <v>458</v>
      </c>
      <c r="AE84" s="85"/>
      <c r="AF84" s="85"/>
      <c r="AG84" s="85"/>
    </row>
    <row r="85" spans="2:33" ht="14.4" customHeight="1" x14ac:dyDescent="0.3">
      <c r="B85" s="94" t="s">
        <v>714</v>
      </c>
      <c r="C85" s="94" t="s">
        <v>567</v>
      </c>
      <c r="D85" s="96" t="s">
        <v>568</v>
      </c>
      <c r="E85" s="97">
        <v>23</v>
      </c>
      <c r="F85" s="96" t="s">
        <v>568</v>
      </c>
      <c r="G85" s="97">
        <v>25</v>
      </c>
      <c r="H85" s="96" t="s">
        <v>568</v>
      </c>
      <c r="I85" s="97">
        <v>25</v>
      </c>
      <c r="J85" s="96" t="s">
        <v>1119</v>
      </c>
      <c r="K85" s="96" t="s">
        <v>649</v>
      </c>
      <c r="L85" s="96" t="s">
        <v>715</v>
      </c>
      <c r="M85" s="94" t="s">
        <v>459</v>
      </c>
      <c r="N85" s="95" t="s">
        <v>372</v>
      </c>
      <c r="AE85" s="85"/>
      <c r="AF85" s="85"/>
      <c r="AG85" s="85"/>
    </row>
    <row r="86" spans="2:33" ht="14.4" customHeight="1" x14ac:dyDescent="0.3">
      <c r="B86" s="90" t="s">
        <v>740</v>
      </c>
      <c r="C86" s="90" t="s">
        <v>567</v>
      </c>
      <c r="D86" s="91" t="s">
        <v>568</v>
      </c>
      <c r="E86" s="92">
        <v>25</v>
      </c>
      <c r="F86" s="91" t="s">
        <v>568</v>
      </c>
      <c r="G86" s="92">
        <v>28</v>
      </c>
      <c r="H86" s="91" t="s">
        <v>568</v>
      </c>
      <c r="I86" s="92">
        <v>30</v>
      </c>
      <c r="J86" s="96" t="s">
        <v>1119</v>
      </c>
      <c r="K86" s="91" t="s">
        <v>623</v>
      </c>
      <c r="L86" s="91" t="s">
        <v>741</v>
      </c>
      <c r="M86" s="90" t="s">
        <v>363</v>
      </c>
      <c r="N86" s="93" t="s">
        <v>364</v>
      </c>
      <c r="AE86" s="85"/>
      <c r="AF86" s="85"/>
      <c r="AG86" s="85"/>
    </row>
    <row r="87" spans="2:33" ht="14.4" customHeight="1" x14ac:dyDescent="0.3">
      <c r="B87" s="94" t="s">
        <v>582</v>
      </c>
      <c r="C87" s="94" t="s">
        <v>567</v>
      </c>
      <c r="D87" s="96" t="s">
        <v>568</v>
      </c>
      <c r="E87" s="97">
        <v>35</v>
      </c>
      <c r="F87" s="96" t="s">
        <v>568</v>
      </c>
      <c r="G87" s="97">
        <v>40</v>
      </c>
      <c r="H87" s="96" t="s">
        <v>568</v>
      </c>
      <c r="I87" s="97">
        <v>40</v>
      </c>
      <c r="J87" s="96" t="s">
        <v>1119</v>
      </c>
      <c r="K87" s="96" t="s">
        <v>581</v>
      </c>
      <c r="L87" s="96" t="s">
        <v>771</v>
      </c>
      <c r="M87" s="94" t="s">
        <v>425</v>
      </c>
      <c r="N87" s="95" t="s">
        <v>370</v>
      </c>
      <c r="AE87" s="85"/>
      <c r="AF87" s="85"/>
      <c r="AG87" s="85"/>
    </row>
    <row r="88" spans="2:33" ht="14.4" customHeight="1" x14ac:dyDescent="0.3">
      <c r="B88" s="90" t="s">
        <v>695</v>
      </c>
      <c r="C88" s="90" t="s">
        <v>779</v>
      </c>
      <c r="D88" s="91" t="s">
        <v>568</v>
      </c>
      <c r="E88" s="92">
        <v>44</v>
      </c>
      <c r="F88" s="91" t="s">
        <v>568</v>
      </c>
      <c r="G88" s="92">
        <v>48</v>
      </c>
      <c r="H88" s="91" t="s">
        <v>568</v>
      </c>
      <c r="I88" s="92">
        <v>48</v>
      </c>
      <c r="J88" s="96" t="s">
        <v>1119</v>
      </c>
      <c r="K88" s="91" t="s">
        <v>589</v>
      </c>
      <c r="L88" s="91" t="s">
        <v>780</v>
      </c>
      <c r="M88" s="90" t="s">
        <v>460</v>
      </c>
      <c r="N88" s="93" t="s">
        <v>450</v>
      </c>
      <c r="AE88" s="85"/>
      <c r="AF88" s="85"/>
      <c r="AG88" s="85"/>
    </row>
    <row r="89" spans="2:33" ht="14.4" customHeight="1" x14ac:dyDescent="0.3">
      <c r="B89" s="94" t="s">
        <v>683</v>
      </c>
      <c r="C89" s="94" t="s">
        <v>779</v>
      </c>
      <c r="D89" s="96" t="s">
        <v>568</v>
      </c>
      <c r="E89" s="97">
        <v>35</v>
      </c>
      <c r="F89" s="96" t="s">
        <v>568</v>
      </c>
      <c r="G89" s="97">
        <v>35</v>
      </c>
      <c r="H89" s="96" t="s">
        <v>568</v>
      </c>
      <c r="I89" s="97">
        <v>35</v>
      </c>
      <c r="J89" s="96" t="s">
        <v>1119</v>
      </c>
      <c r="K89" s="96" t="s">
        <v>589</v>
      </c>
      <c r="L89" s="96" t="s">
        <v>787</v>
      </c>
      <c r="M89" s="94" t="s">
        <v>461</v>
      </c>
      <c r="N89" s="95" t="s">
        <v>462</v>
      </c>
      <c r="AE89" s="85"/>
      <c r="AF89" s="85"/>
      <c r="AG89" s="85"/>
    </row>
    <row r="90" spans="2:33" ht="14.4" customHeight="1" x14ac:dyDescent="0.3">
      <c r="B90" s="90" t="s">
        <v>570</v>
      </c>
      <c r="C90" s="90" t="s">
        <v>567</v>
      </c>
      <c r="D90" s="91" t="s">
        <v>568</v>
      </c>
      <c r="E90" s="92">
        <v>30</v>
      </c>
      <c r="F90" s="91" t="s">
        <v>568</v>
      </c>
      <c r="G90" s="92">
        <v>40</v>
      </c>
      <c r="H90" s="91" t="s">
        <v>568</v>
      </c>
      <c r="I90" s="92">
        <v>45</v>
      </c>
      <c r="J90" s="96" t="s">
        <v>1120</v>
      </c>
      <c r="K90" s="91" t="s">
        <v>569</v>
      </c>
      <c r="L90" s="91" t="s">
        <v>794</v>
      </c>
      <c r="M90" s="90" t="s">
        <v>424</v>
      </c>
      <c r="N90" s="93" t="s">
        <v>376</v>
      </c>
      <c r="AE90" s="85"/>
      <c r="AF90" s="85"/>
      <c r="AG90" s="85"/>
    </row>
    <row r="91" spans="2:33" ht="14.4" customHeight="1" x14ac:dyDescent="0.3">
      <c r="B91" s="94" t="s">
        <v>570</v>
      </c>
      <c r="C91" s="94" t="s">
        <v>567</v>
      </c>
      <c r="D91" s="96" t="s">
        <v>568</v>
      </c>
      <c r="E91" s="97">
        <v>30</v>
      </c>
      <c r="F91" s="96" t="s">
        <v>568</v>
      </c>
      <c r="G91" s="97">
        <v>40</v>
      </c>
      <c r="H91" s="96" t="s">
        <v>568</v>
      </c>
      <c r="I91" s="97">
        <v>45</v>
      </c>
      <c r="J91" s="96" t="s">
        <v>1120</v>
      </c>
      <c r="K91" s="96" t="s">
        <v>569</v>
      </c>
      <c r="L91" s="96" t="s">
        <v>831</v>
      </c>
      <c r="M91" s="94" t="s">
        <v>404</v>
      </c>
      <c r="N91" s="95" t="s">
        <v>382</v>
      </c>
      <c r="AE91" s="85"/>
      <c r="AF91" s="85"/>
      <c r="AG91" s="85"/>
    </row>
    <row r="92" spans="2:33" ht="14.4" customHeight="1" x14ac:dyDescent="0.3">
      <c r="B92" s="90" t="s">
        <v>624</v>
      </c>
      <c r="C92" s="90" t="s">
        <v>779</v>
      </c>
      <c r="D92" s="91" t="s">
        <v>568</v>
      </c>
      <c r="E92" s="92">
        <v>25</v>
      </c>
      <c r="F92" s="91" t="s">
        <v>568</v>
      </c>
      <c r="G92" s="92">
        <v>25</v>
      </c>
      <c r="H92" s="91" t="s">
        <v>568</v>
      </c>
      <c r="I92" s="92">
        <v>25</v>
      </c>
      <c r="J92" s="96" t="s">
        <v>1119</v>
      </c>
      <c r="K92" s="91" t="s">
        <v>623</v>
      </c>
      <c r="L92" s="91" t="s">
        <v>835</v>
      </c>
      <c r="M92" s="90" t="s">
        <v>363</v>
      </c>
      <c r="N92" s="93" t="s">
        <v>364</v>
      </c>
      <c r="AE92" s="85"/>
      <c r="AF92" s="85"/>
      <c r="AG92" s="85"/>
    </row>
    <row r="93" spans="2:33" ht="14.4" customHeight="1" x14ac:dyDescent="0.3">
      <c r="B93" s="94" t="s">
        <v>653</v>
      </c>
      <c r="C93" s="94" t="s">
        <v>779</v>
      </c>
      <c r="D93" s="96" t="s">
        <v>568</v>
      </c>
      <c r="E93" s="97">
        <v>25</v>
      </c>
      <c r="F93" s="96" t="s">
        <v>568</v>
      </c>
      <c r="G93" s="97">
        <v>30</v>
      </c>
      <c r="H93" s="96" t="s">
        <v>568</v>
      </c>
      <c r="I93" s="97">
        <v>35</v>
      </c>
      <c r="J93" s="96" t="s">
        <v>1119</v>
      </c>
      <c r="K93" s="96" t="s">
        <v>606</v>
      </c>
      <c r="L93" s="96" t="s">
        <v>870</v>
      </c>
      <c r="M93" s="94" t="s">
        <v>443</v>
      </c>
      <c r="N93" s="95" t="s">
        <v>366</v>
      </c>
      <c r="AE93" s="85"/>
      <c r="AF93" s="85"/>
      <c r="AG93" s="85"/>
    </row>
    <row r="94" spans="2:33" ht="14.4" customHeight="1" x14ac:dyDescent="0.3">
      <c r="B94" s="90" t="s">
        <v>884</v>
      </c>
      <c r="C94" s="90" t="s">
        <v>779</v>
      </c>
      <c r="D94" s="91" t="s">
        <v>568</v>
      </c>
      <c r="E94" s="92">
        <v>25</v>
      </c>
      <c r="F94" s="91" t="s">
        <v>568</v>
      </c>
      <c r="G94" s="92">
        <v>25</v>
      </c>
      <c r="H94" s="91" t="s">
        <v>568</v>
      </c>
      <c r="I94" s="92">
        <v>25</v>
      </c>
      <c r="J94" s="96" t="s">
        <v>1119</v>
      </c>
      <c r="K94" s="91" t="s">
        <v>642</v>
      </c>
      <c r="L94" s="91" t="s">
        <v>885</v>
      </c>
      <c r="M94" s="90" t="s">
        <v>452</v>
      </c>
      <c r="N94" s="93" t="s">
        <v>434</v>
      </c>
      <c r="AE94" s="85"/>
      <c r="AF94" s="85"/>
      <c r="AG94" s="85"/>
    </row>
    <row r="95" spans="2:33" ht="14.4" customHeight="1" x14ac:dyDescent="0.3">
      <c r="B95" s="94" t="s">
        <v>740</v>
      </c>
      <c r="C95" s="94" t="s">
        <v>779</v>
      </c>
      <c r="D95" s="96" t="s">
        <v>568</v>
      </c>
      <c r="E95" s="97">
        <v>25</v>
      </c>
      <c r="F95" s="96" t="s">
        <v>568</v>
      </c>
      <c r="G95" s="97">
        <v>28</v>
      </c>
      <c r="H95" s="96" t="s">
        <v>568</v>
      </c>
      <c r="I95" s="97">
        <v>30</v>
      </c>
      <c r="J95" s="96" t="s">
        <v>1119</v>
      </c>
      <c r="K95" s="96" t="s">
        <v>623</v>
      </c>
      <c r="L95" s="96" t="s">
        <v>890</v>
      </c>
      <c r="M95" s="94" t="s">
        <v>416</v>
      </c>
      <c r="N95" s="95" t="s">
        <v>376</v>
      </c>
      <c r="AE95" s="85"/>
      <c r="AF95" s="85"/>
      <c r="AG95" s="85"/>
    </row>
    <row r="96" spans="2:33" ht="14.4" customHeight="1" x14ac:dyDescent="0.3">
      <c r="B96" s="90" t="s">
        <v>792</v>
      </c>
      <c r="C96" s="90" t="s">
        <v>779</v>
      </c>
      <c r="D96" s="91" t="s">
        <v>568</v>
      </c>
      <c r="E96" s="92">
        <v>50</v>
      </c>
      <c r="F96" s="91" t="s">
        <v>568</v>
      </c>
      <c r="G96" s="92">
        <v>60</v>
      </c>
      <c r="H96" s="91" t="s">
        <v>568</v>
      </c>
      <c r="I96" s="92">
        <v>70</v>
      </c>
      <c r="J96" s="96" t="s">
        <v>1119</v>
      </c>
      <c r="K96" s="91" t="s">
        <v>638</v>
      </c>
      <c r="L96" s="91" t="s">
        <v>910</v>
      </c>
      <c r="M96" s="90" t="s">
        <v>375</v>
      </c>
      <c r="N96" s="93" t="s">
        <v>376</v>
      </c>
      <c r="AE96" s="85"/>
      <c r="AF96" s="85"/>
      <c r="AG96" s="85"/>
    </row>
    <row r="97" spans="2:33" ht="14.4" customHeight="1" x14ac:dyDescent="0.3">
      <c r="B97" s="94" t="s">
        <v>695</v>
      </c>
      <c r="C97" s="94" t="s">
        <v>913</v>
      </c>
      <c r="D97" s="96" t="s">
        <v>568</v>
      </c>
      <c r="E97" s="97">
        <v>44</v>
      </c>
      <c r="F97" s="96" t="s">
        <v>568</v>
      </c>
      <c r="G97" s="97">
        <v>48</v>
      </c>
      <c r="H97" s="96" t="s">
        <v>568</v>
      </c>
      <c r="I97" s="97">
        <v>48</v>
      </c>
      <c r="J97" s="96" t="s">
        <v>1119</v>
      </c>
      <c r="K97" s="96" t="s">
        <v>589</v>
      </c>
      <c r="L97" s="96" t="s">
        <v>914</v>
      </c>
      <c r="M97" s="94" t="s">
        <v>426</v>
      </c>
      <c r="N97" s="95" t="s">
        <v>427</v>
      </c>
      <c r="AE97" s="85"/>
      <c r="AF97" s="85"/>
      <c r="AG97" s="85"/>
    </row>
    <row r="98" spans="2:33" ht="14.4" customHeight="1" x14ac:dyDescent="0.3">
      <c r="B98" s="90" t="s">
        <v>653</v>
      </c>
      <c r="C98" s="90" t="s">
        <v>779</v>
      </c>
      <c r="D98" s="91" t="s">
        <v>568</v>
      </c>
      <c r="E98" s="92">
        <v>25</v>
      </c>
      <c r="F98" s="91" t="s">
        <v>568</v>
      </c>
      <c r="G98" s="92">
        <v>30</v>
      </c>
      <c r="H98" s="91" t="s">
        <v>568</v>
      </c>
      <c r="I98" s="92">
        <v>35</v>
      </c>
      <c r="J98" s="96" t="s">
        <v>1119</v>
      </c>
      <c r="K98" s="91" t="s">
        <v>606</v>
      </c>
      <c r="L98" s="91" t="s">
        <v>966</v>
      </c>
      <c r="M98" s="90" t="s">
        <v>416</v>
      </c>
      <c r="N98" s="93" t="s">
        <v>376</v>
      </c>
      <c r="AE98" s="85"/>
      <c r="AF98" s="85"/>
      <c r="AG98" s="85"/>
    </row>
    <row r="99" spans="2:33" ht="14.4" customHeight="1" x14ac:dyDescent="0.3">
      <c r="B99" s="94" t="s">
        <v>685</v>
      </c>
      <c r="C99" s="94" t="s">
        <v>567</v>
      </c>
      <c r="D99" s="96" t="s">
        <v>568</v>
      </c>
      <c r="E99" s="97">
        <v>45</v>
      </c>
      <c r="F99" s="96" t="s">
        <v>568</v>
      </c>
      <c r="G99" s="97">
        <v>45</v>
      </c>
      <c r="H99" s="96" t="s">
        <v>568</v>
      </c>
      <c r="I99" s="97">
        <v>55</v>
      </c>
      <c r="J99" s="96" t="s">
        <v>1119</v>
      </c>
      <c r="K99" s="96" t="s">
        <v>638</v>
      </c>
      <c r="L99" s="96" t="s">
        <v>994</v>
      </c>
      <c r="M99" s="94" t="s">
        <v>463</v>
      </c>
      <c r="N99" s="95" t="s">
        <v>464</v>
      </c>
      <c r="AE99" s="85"/>
      <c r="AF99" s="85"/>
      <c r="AG99" s="85"/>
    </row>
    <row r="100" spans="2:33" ht="14.4" customHeight="1" x14ac:dyDescent="0.3">
      <c r="B100" s="90" t="s">
        <v>813</v>
      </c>
      <c r="C100" s="90" t="s">
        <v>779</v>
      </c>
      <c r="D100" s="91" t="s">
        <v>568</v>
      </c>
      <c r="E100" s="92">
        <v>23</v>
      </c>
      <c r="F100" s="91" t="s">
        <v>568</v>
      </c>
      <c r="G100" s="92">
        <v>25</v>
      </c>
      <c r="H100" s="91" t="s">
        <v>568</v>
      </c>
      <c r="I100" s="92">
        <v>25</v>
      </c>
      <c r="J100" s="96" t="s">
        <v>1119</v>
      </c>
      <c r="K100" s="91" t="s">
        <v>656</v>
      </c>
      <c r="L100" s="91" t="s">
        <v>1022</v>
      </c>
      <c r="M100" s="90" t="s">
        <v>465</v>
      </c>
      <c r="N100" s="93" t="s">
        <v>366</v>
      </c>
      <c r="AE100" s="85"/>
      <c r="AF100" s="85"/>
      <c r="AG100" s="85"/>
    </row>
    <row r="101" spans="2:33" ht="14.4" customHeight="1" x14ac:dyDescent="0.3">
      <c r="B101" s="94" t="s">
        <v>711</v>
      </c>
      <c r="C101" s="94" t="s">
        <v>779</v>
      </c>
      <c r="D101" s="96" t="s">
        <v>568</v>
      </c>
      <c r="E101" s="97">
        <v>35</v>
      </c>
      <c r="F101" s="96" t="s">
        <v>568</v>
      </c>
      <c r="G101" s="97">
        <v>35</v>
      </c>
      <c r="H101" s="96" t="s">
        <v>568</v>
      </c>
      <c r="I101" s="97">
        <v>35</v>
      </c>
      <c r="J101" s="96" t="s">
        <v>1120</v>
      </c>
      <c r="K101" s="96" t="s">
        <v>602</v>
      </c>
      <c r="L101" s="96" t="s">
        <v>1030</v>
      </c>
      <c r="M101" s="94" t="s">
        <v>466</v>
      </c>
      <c r="N101" s="95" t="s">
        <v>380</v>
      </c>
      <c r="AE101" s="85"/>
      <c r="AF101" s="85"/>
      <c r="AG101" s="85"/>
    </row>
    <row r="102" spans="2:33" ht="14.4" customHeight="1" x14ac:dyDescent="0.3">
      <c r="B102" s="90" t="s">
        <v>1031</v>
      </c>
      <c r="C102" s="90" t="s">
        <v>779</v>
      </c>
      <c r="D102" s="91" t="s">
        <v>568</v>
      </c>
      <c r="E102" s="92">
        <v>20</v>
      </c>
      <c r="F102" s="91" t="s">
        <v>568</v>
      </c>
      <c r="G102" s="92">
        <v>25</v>
      </c>
      <c r="H102" s="91" t="s">
        <v>568</v>
      </c>
      <c r="I102" s="92">
        <v>25</v>
      </c>
      <c r="J102" s="96" t="s">
        <v>1119</v>
      </c>
      <c r="K102" s="91" t="s">
        <v>679</v>
      </c>
      <c r="L102" s="91" t="s">
        <v>1032</v>
      </c>
      <c r="M102" s="90" t="s">
        <v>467</v>
      </c>
      <c r="N102" s="93" t="s">
        <v>456</v>
      </c>
      <c r="AE102" s="85"/>
      <c r="AF102" s="85"/>
      <c r="AG102" s="85"/>
    </row>
    <row r="103" spans="2:33" ht="14.4" customHeight="1" x14ac:dyDescent="0.3">
      <c r="B103" s="94" t="s">
        <v>590</v>
      </c>
      <c r="C103" s="94" t="s">
        <v>779</v>
      </c>
      <c r="D103" s="96" t="s">
        <v>568</v>
      </c>
      <c r="E103" s="97">
        <v>44</v>
      </c>
      <c r="F103" s="96" t="s">
        <v>568</v>
      </c>
      <c r="G103" s="97">
        <v>44</v>
      </c>
      <c r="H103" s="96" t="s">
        <v>568</v>
      </c>
      <c r="I103" s="97">
        <v>44</v>
      </c>
      <c r="J103" s="96" t="s">
        <v>1119</v>
      </c>
      <c r="K103" s="96" t="s">
        <v>589</v>
      </c>
      <c r="L103" s="96" t="s">
        <v>1050</v>
      </c>
      <c r="M103" s="94" t="s">
        <v>363</v>
      </c>
      <c r="N103" s="95" t="s">
        <v>364</v>
      </c>
      <c r="AE103" s="85"/>
      <c r="AF103" s="85"/>
      <c r="AG103" s="85"/>
    </row>
    <row r="104" spans="2:33" ht="14.4" customHeight="1" x14ac:dyDescent="0.3">
      <c r="B104" s="90" t="s">
        <v>714</v>
      </c>
      <c r="C104" s="90" t="s">
        <v>913</v>
      </c>
      <c r="D104" s="91" t="s">
        <v>568</v>
      </c>
      <c r="E104" s="92">
        <v>23</v>
      </c>
      <c r="F104" s="91" t="s">
        <v>568</v>
      </c>
      <c r="G104" s="92">
        <v>25</v>
      </c>
      <c r="H104" s="91" t="s">
        <v>568</v>
      </c>
      <c r="I104" s="92">
        <v>25</v>
      </c>
      <c r="J104" s="96" t="s">
        <v>1119</v>
      </c>
      <c r="K104" s="91" t="s">
        <v>649</v>
      </c>
      <c r="L104" s="91" t="s">
        <v>1057</v>
      </c>
      <c r="M104" s="90" t="s">
        <v>405</v>
      </c>
      <c r="N104" s="93" t="s">
        <v>406</v>
      </c>
      <c r="AE104" s="85"/>
      <c r="AF104" s="85"/>
      <c r="AG104" s="85"/>
    </row>
    <row r="105" spans="2:33" ht="14.4" customHeight="1" x14ac:dyDescent="0.3">
      <c r="B105" s="94" t="s">
        <v>1071</v>
      </c>
      <c r="C105" s="94" t="s">
        <v>567</v>
      </c>
      <c r="D105" s="96" t="s">
        <v>568</v>
      </c>
      <c r="E105" s="97">
        <v>20</v>
      </c>
      <c r="F105" s="96" t="s">
        <v>568</v>
      </c>
      <c r="G105" s="97">
        <v>23</v>
      </c>
      <c r="H105" s="96" t="s">
        <v>568</v>
      </c>
      <c r="I105" s="97">
        <v>25</v>
      </c>
      <c r="J105" s="96" t="s">
        <v>1119</v>
      </c>
      <c r="K105" s="96" t="s">
        <v>840</v>
      </c>
      <c r="L105" s="96" t="s">
        <v>1072</v>
      </c>
      <c r="M105" s="94" t="s">
        <v>468</v>
      </c>
      <c r="N105" s="95" t="s">
        <v>382</v>
      </c>
      <c r="AE105" s="85"/>
      <c r="AF105" s="85"/>
      <c r="AG105" s="85"/>
    </row>
    <row r="106" spans="2:33" ht="14.4" customHeight="1" x14ac:dyDescent="0.3">
      <c r="B106" s="90" t="s">
        <v>579</v>
      </c>
      <c r="C106" s="90" t="s">
        <v>577</v>
      </c>
      <c r="D106" s="91" t="s">
        <v>568</v>
      </c>
      <c r="E106" s="92">
        <v>30</v>
      </c>
      <c r="F106" s="91" t="s">
        <v>568</v>
      </c>
      <c r="G106" s="92">
        <v>40</v>
      </c>
      <c r="H106" s="91" t="s">
        <v>568</v>
      </c>
      <c r="I106" s="92">
        <v>50</v>
      </c>
      <c r="J106" s="96" t="s">
        <v>1119</v>
      </c>
      <c r="K106" s="91" t="s">
        <v>578</v>
      </c>
      <c r="L106" s="91" t="s">
        <v>580</v>
      </c>
      <c r="M106" s="90" t="s">
        <v>431</v>
      </c>
      <c r="N106" s="93" t="s">
        <v>403</v>
      </c>
      <c r="AE106" s="85"/>
      <c r="AF106" s="85"/>
      <c r="AG106" s="85"/>
    </row>
    <row r="107" spans="2:33" ht="14.4" customHeight="1" x14ac:dyDescent="0.3">
      <c r="B107" s="94" t="s">
        <v>599</v>
      </c>
      <c r="C107" s="94" t="s">
        <v>598</v>
      </c>
      <c r="D107" s="96" t="s">
        <v>568</v>
      </c>
      <c r="E107" s="97">
        <v>30</v>
      </c>
      <c r="F107" s="96" t="s">
        <v>568</v>
      </c>
      <c r="G107" s="97">
        <v>40</v>
      </c>
      <c r="H107" s="96" t="s">
        <v>568</v>
      </c>
      <c r="I107" s="97">
        <v>50</v>
      </c>
      <c r="J107" s="96" t="s">
        <v>1120</v>
      </c>
      <c r="K107" s="96" t="s">
        <v>578</v>
      </c>
      <c r="L107" s="96" t="s">
        <v>600</v>
      </c>
      <c r="M107" s="94" t="s">
        <v>469</v>
      </c>
      <c r="N107" s="95" t="s">
        <v>470</v>
      </c>
      <c r="AE107" s="85"/>
      <c r="AF107" s="85"/>
      <c r="AG107" s="85"/>
    </row>
    <row r="108" spans="2:33" ht="14.4" customHeight="1" x14ac:dyDescent="0.3">
      <c r="B108" s="90" t="s">
        <v>599</v>
      </c>
      <c r="C108" s="90" t="s">
        <v>598</v>
      </c>
      <c r="D108" s="91" t="s">
        <v>568</v>
      </c>
      <c r="E108" s="92">
        <v>30</v>
      </c>
      <c r="F108" s="91" t="s">
        <v>568</v>
      </c>
      <c r="G108" s="92">
        <v>40</v>
      </c>
      <c r="H108" s="91" t="s">
        <v>568</v>
      </c>
      <c r="I108" s="92">
        <v>50</v>
      </c>
      <c r="J108" s="96" t="s">
        <v>1119</v>
      </c>
      <c r="K108" s="91" t="s">
        <v>578</v>
      </c>
      <c r="L108" s="91" t="s">
        <v>616</v>
      </c>
      <c r="M108" s="90" t="s">
        <v>425</v>
      </c>
      <c r="N108" s="93" t="s">
        <v>370</v>
      </c>
      <c r="AE108" s="85"/>
      <c r="AF108" s="85"/>
      <c r="AG108" s="85"/>
    </row>
    <row r="109" spans="2:33" ht="14.4" customHeight="1" x14ac:dyDescent="0.3">
      <c r="B109" s="94" t="s">
        <v>617</v>
      </c>
      <c r="C109" s="95">
        <v>2021</v>
      </c>
      <c r="D109" s="96" t="s">
        <v>568</v>
      </c>
      <c r="E109" s="97">
        <v>20</v>
      </c>
      <c r="F109" s="96" t="s">
        <v>568</v>
      </c>
      <c r="G109" s="97">
        <v>20</v>
      </c>
      <c r="H109" s="96" t="s">
        <v>568</v>
      </c>
      <c r="I109" s="97">
        <v>20</v>
      </c>
      <c r="J109" s="96" t="s">
        <v>1119</v>
      </c>
      <c r="K109" s="96" t="s">
        <v>578</v>
      </c>
      <c r="L109" s="96" t="s">
        <v>618</v>
      </c>
      <c r="M109" s="94" t="s">
        <v>471</v>
      </c>
      <c r="N109" s="95" t="s">
        <v>368</v>
      </c>
      <c r="AE109" s="85"/>
      <c r="AF109" s="85"/>
      <c r="AG109" s="85"/>
    </row>
    <row r="110" spans="2:33" ht="14.4" customHeight="1" x14ac:dyDescent="0.3">
      <c r="B110" s="90" t="s">
        <v>646</v>
      </c>
      <c r="C110" s="90" t="s">
        <v>577</v>
      </c>
      <c r="D110" s="91" t="s">
        <v>568</v>
      </c>
      <c r="E110" s="92">
        <v>35</v>
      </c>
      <c r="F110" s="91" t="s">
        <v>568</v>
      </c>
      <c r="G110" s="92">
        <v>40</v>
      </c>
      <c r="H110" s="91" t="s">
        <v>568</v>
      </c>
      <c r="I110" s="92">
        <v>40</v>
      </c>
      <c r="J110" s="96" t="s">
        <v>1119</v>
      </c>
      <c r="K110" s="91" t="s">
        <v>645</v>
      </c>
      <c r="L110" s="91" t="s">
        <v>647</v>
      </c>
      <c r="M110" s="90" t="s">
        <v>472</v>
      </c>
      <c r="N110" s="93" t="s">
        <v>464</v>
      </c>
      <c r="AE110" s="85"/>
      <c r="AF110" s="85"/>
      <c r="AG110" s="85"/>
    </row>
    <row r="111" spans="2:33" ht="14.4" customHeight="1" x14ac:dyDescent="0.3">
      <c r="B111" s="94" t="s">
        <v>599</v>
      </c>
      <c r="C111" s="94" t="s">
        <v>577</v>
      </c>
      <c r="D111" s="96" t="s">
        <v>568</v>
      </c>
      <c r="E111" s="97">
        <v>30</v>
      </c>
      <c r="F111" s="96" t="s">
        <v>568</v>
      </c>
      <c r="G111" s="97">
        <v>40</v>
      </c>
      <c r="H111" s="96" t="s">
        <v>568</v>
      </c>
      <c r="I111" s="97">
        <v>50</v>
      </c>
      <c r="J111" s="96" t="s">
        <v>1119</v>
      </c>
      <c r="K111" s="96" t="s">
        <v>578</v>
      </c>
      <c r="L111" s="96" t="s">
        <v>664</v>
      </c>
      <c r="M111" s="94" t="s">
        <v>433</v>
      </c>
      <c r="N111" s="95" t="s">
        <v>434</v>
      </c>
      <c r="AE111" s="85"/>
      <c r="AF111" s="85"/>
      <c r="AG111" s="85"/>
    </row>
    <row r="112" spans="2:33" ht="14.4" customHeight="1" x14ac:dyDescent="0.3">
      <c r="B112" s="90" t="s">
        <v>698</v>
      </c>
      <c r="C112" s="90" t="s">
        <v>725</v>
      </c>
      <c r="D112" s="91" t="s">
        <v>568</v>
      </c>
      <c r="E112" s="92">
        <v>30</v>
      </c>
      <c r="F112" s="91" t="s">
        <v>568</v>
      </c>
      <c r="G112" s="92">
        <v>40</v>
      </c>
      <c r="H112" s="91" t="s">
        <v>568</v>
      </c>
      <c r="I112" s="92">
        <v>50</v>
      </c>
      <c r="J112" s="96" t="s">
        <v>1119</v>
      </c>
      <c r="K112" s="91" t="s">
        <v>578</v>
      </c>
      <c r="L112" s="91" t="s">
        <v>726</v>
      </c>
      <c r="M112" s="90" t="s">
        <v>473</v>
      </c>
      <c r="N112" s="93" t="s">
        <v>462</v>
      </c>
      <c r="AE112" s="85"/>
      <c r="AF112" s="85"/>
      <c r="AG112" s="85"/>
    </row>
    <row r="113" spans="2:33" ht="14.4" customHeight="1" x14ac:dyDescent="0.3">
      <c r="B113" s="94" t="s">
        <v>579</v>
      </c>
      <c r="C113" s="94" t="s">
        <v>577</v>
      </c>
      <c r="D113" s="96" t="s">
        <v>568</v>
      </c>
      <c r="E113" s="97">
        <v>30</v>
      </c>
      <c r="F113" s="96" t="s">
        <v>568</v>
      </c>
      <c r="G113" s="97">
        <v>40</v>
      </c>
      <c r="H113" s="96" t="s">
        <v>568</v>
      </c>
      <c r="I113" s="97">
        <v>50</v>
      </c>
      <c r="J113" s="96" t="s">
        <v>1119</v>
      </c>
      <c r="K113" s="96" t="s">
        <v>578</v>
      </c>
      <c r="L113" s="96" t="s">
        <v>738</v>
      </c>
      <c r="M113" s="94" t="s">
        <v>474</v>
      </c>
      <c r="N113" s="95" t="s">
        <v>429</v>
      </c>
      <c r="AE113" s="85"/>
      <c r="AF113" s="85"/>
      <c r="AG113" s="85"/>
    </row>
    <row r="114" spans="2:33" ht="14.4" customHeight="1" x14ac:dyDescent="0.3">
      <c r="B114" s="90" t="s">
        <v>570</v>
      </c>
      <c r="C114" s="90" t="s">
        <v>577</v>
      </c>
      <c r="D114" s="91" t="s">
        <v>568</v>
      </c>
      <c r="E114" s="92">
        <v>30</v>
      </c>
      <c r="F114" s="91" t="s">
        <v>568</v>
      </c>
      <c r="G114" s="92">
        <v>40</v>
      </c>
      <c r="H114" s="91" t="s">
        <v>568</v>
      </c>
      <c r="I114" s="92">
        <v>45</v>
      </c>
      <c r="J114" s="96" t="s">
        <v>1120</v>
      </c>
      <c r="K114" s="91" t="s">
        <v>569</v>
      </c>
      <c r="L114" s="91" t="s">
        <v>739</v>
      </c>
      <c r="M114" s="90" t="s">
        <v>475</v>
      </c>
      <c r="N114" s="93" t="s">
        <v>476</v>
      </c>
      <c r="AE114" s="85"/>
      <c r="AF114" s="85"/>
      <c r="AG114" s="85"/>
    </row>
    <row r="115" spans="2:33" ht="14.4" customHeight="1" x14ac:dyDescent="0.3">
      <c r="B115" s="94" t="s">
        <v>711</v>
      </c>
      <c r="C115" s="94" t="s">
        <v>762</v>
      </c>
      <c r="D115" s="96" t="s">
        <v>568</v>
      </c>
      <c r="E115" s="97">
        <v>35</v>
      </c>
      <c r="F115" s="96" t="s">
        <v>568</v>
      </c>
      <c r="G115" s="97">
        <v>35</v>
      </c>
      <c r="H115" s="96" t="s">
        <v>568</v>
      </c>
      <c r="I115" s="97">
        <v>35</v>
      </c>
      <c r="J115" s="96" t="s">
        <v>1120</v>
      </c>
      <c r="K115" s="96" t="s">
        <v>602</v>
      </c>
      <c r="L115" s="96" t="s">
        <v>763</v>
      </c>
      <c r="M115" s="94" t="s">
        <v>416</v>
      </c>
      <c r="N115" s="95" t="s">
        <v>376</v>
      </c>
      <c r="AE115" s="85"/>
      <c r="AF115" s="85"/>
      <c r="AG115" s="85"/>
    </row>
    <row r="116" spans="2:33" ht="14.4" customHeight="1" x14ac:dyDescent="0.3">
      <c r="B116" s="90" t="s">
        <v>653</v>
      </c>
      <c r="C116" s="90" t="s">
        <v>781</v>
      </c>
      <c r="D116" s="91" t="s">
        <v>568</v>
      </c>
      <c r="E116" s="92">
        <v>25</v>
      </c>
      <c r="F116" s="91" t="s">
        <v>568</v>
      </c>
      <c r="G116" s="92">
        <v>30</v>
      </c>
      <c r="H116" s="91" t="s">
        <v>568</v>
      </c>
      <c r="I116" s="92">
        <v>35</v>
      </c>
      <c r="J116" s="96" t="s">
        <v>1119</v>
      </c>
      <c r="K116" s="91" t="s">
        <v>606</v>
      </c>
      <c r="L116" s="91" t="s">
        <v>782</v>
      </c>
      <c r="M116" s="90" t="s">
        <v>373</v>
      </c>
      <c r="N116" s="93" t="s">
        <v>374</v>
      </c>
      <c r="AE116" s="85"/>
      <c r="AF116" s="85"/>
      <c r="AG116" s="85"/>
    </row>
    <row r="117" spans="2:33" ht="14.4" customHeight="1" x14ac:dyDescent="0.3">
      <c r="B117" s="94" t="s">
        <v>570</v>
      </c>
      <c r="C117" s="94" t="s">
        <v>577</v>
      </c>
      <c r="D117" s="96" t="s">
        <v>568</v>
      </c>
      <c r="E117" s="97">
        <v>30</v>
      </c>
      <c r="F117" s="96" t="s">
        <v>568</v>
      </c>
      <c r="G117" s="97">
        <v>40</v>
      </c>
      <c r="H117" s="96" t="s">
        <v>568</v>
      </c>
      <c r="I117" s="97">
        <v>45</v>
      </c>
      <c r="J117" s="96" t="s">
        <v>1120</v>
      </c>
      <c r="K117" s="96" t="s">
        <v>569</v>
      </c>
      <c r="L117" s="96" t="s">
        <v>785</v>
      </c>
      <c r="M117" s="94" t="s">
        <v>426</v>
      </c>
      <c r="N117" s="95" t="s">
        <v>427</v>
      </c>
      <c r="AE117" s="85"/>
      <c r="AF117" s="85"/>
      <c r="AG117" s="85"/>
    </row>
    <row r="118" spans="2:33" ht="14.4" customHeight="1" x14ac:dyDescent="0.3">
      <c r="B118" s="90" t="s">
        <v>590</v>
      </c>
      <c r="C118" s="90" t="s">
        <v>781</v>
      </c>
      <c r="D118" s="91" t="s">
        <v>568</v>
      </c>
      <c r="E118" s="92">
        <v>44</v>
      </c>
      <c r="F118" s="91" t="s">
        <v>568</v>
      </c>
      <c r="G118" s="92">
        <v>44</v>
      </c>
      <c r="H118" s="91" t="s">
        <v>568</v>
      </c>
      <c r="I118" s="92">
        <v>44</v>
      </c>
      <c r="J118" s="96" t="s">
        <v>1119</v>
      </c>
      <c r="K118" s="91" t="s">
        <v>589</v>
      </c>
      <c r="L118" s="91" t="s">
        <v>788</v>
      </c>
      <c r="M118" s="90" t="s">
        <v>477</v>
      </c>
      <c r="N118" s="93" t="s">
        <v>368</v>
      </c>
      <c r="AE118" s="85"/>
      <c r="AF118" s="85"/>
      <c r="AG118" s="85"/>
    </row>
    <row r="119" spans="2:33" ht="14.4" customHeight="1" x14ac:dyDescent="0.3">
      <c r="B119" s="94" t="s">
        <v>792</v>
      </c>
      <c r="C119" s="94" t="s">
        <v>791</v>
      </c>
      <c r="D119" s="96" t="s">
        <v>568</v>
      </c>
      <c r="E119" s="97">
        <v>50</v>
      </c>
      <c r="F119" s="96" t="s">
        <v>568</v>
      </c>
      <c r="G119" s="97">
        <v>60</v>
      </c>
      <c r="H119" s="96" t="s">
        <v>568</v>
      </c>
      <c r="I119" s="97">
        <v>70</v>
      </c>
      <c r="J119" s="96" t="s">
        <v>1119</v>
      </c>
      <c r="K119" s="96" t="s">
        <v>638</v>
      </c>
      <c r="L119" s="96" t="s">
        <v>793</v>
      </c>
      <c r="M119" s="94" t="s">
        <v>444</v>
      </c>
      <c r="N119" s="95" t="s">
        <v>392</v>
      </c>
      <c r="AE119" s="85"/>
      <c r="AF119" s="85"/>
      <c r="AG119" s="85"/>
    </row>
    <row r="120" spans="2:33" ht="14.4" customHeight="1" x14ac:dyDescent="0.3">
      <c r="B120" s="90" t="s">
        <v>698</v>
      </c>
      <c r="C120" s="90" t="s">
        <v>781</v>
      </c>
      <c r="D120" s="91" t="s">
        <v>568</v>
      </c>
      <c r="E120" s="92">
        <v>30</v>
      </c>
      <c r="F120" s="91" t="s">
        <v>568</v>
      </c>
      <c r="G120" s="92">
        <v>40</v>
      </c>
      <c r="H120" s="91" t="s">
        <v>568</v>
      </c>
      <c r="I120" s="92">
        <v>50</v>
      </c>
      <c r="J120" s="96" t="s">
        <v>1119</v>
      </c>
      <c r="K120" s="91" t="s">
        <v>578</v>
      </c>
      <c r="L120" s="91" t="s">
        <v>805</v>
      </c>
      <c r="M120" s="90" t="s">
        <v>478</v>
      </c>
      <c r="N120" s="93" t="s">
        <v>382</v>
      </c>
      <c r="AE120" s="85"/>
      <c r="AF120" s="85"/>
      <c r="AG120" s="85"/>
    </row>
    <row r="121" spans="2:33" ht="14.4" customHeight="1" x14ac:dyDescent="0.3">
      <c r="B121" s="94" t="s">
        <v>792</v>
      </c>
      <c r="C121" s="94" t="s">
        <v>791</v>
      </c>
      <c r="D121" s="96" t="s">
        <v>568</v>
      </c>
      <c r="E121" s="97">
        <v>50</v>
      </c>
      <c r="F121" s="96" t="s">
        <v>568</v>
      </c>
      <c r="G121" s="97">
        <v>60</v>
      </c>
      <c r="H121" s="96" t="s">
        <v>568</v>
      </c>
      <c r="I121" s="97">
        <v>70</v>
      </c>
      <c r="J121" s="96" t="s">
        <v>1119</v>
      </c>
      <c r="K121" s="96" t="s">
        <v>638</v>
      </c>
      <c r="L121" s="96" t="s">
        <v>809</v>
      </c>
      <c r="M121" s="94" t="s">
        <v>416</v>
      </c>
      <c r="N121" s="95" t="s">
        <v>376</v>
      </c>
      <c r="AE121" s="85"/>
      <c r="AF121" s="85"/>
      <c r="AG121" s="85"/>
    </row>
    <row r="122" spans="2:33" ht="14.4" customHeight="1" x14ac:dyDescent="0.3">
      <c r="B122" s="90" t="s">
        <v>683</v>
      </c>
      <c r="C122" s="90" t="s">
        <v>781</v>
      </c>
      <c r="D122" s="91" t="s">
        <v>568</v>
      </c>
      <c r="E122" s="92">
        <v>35</v>
      </c>
      <c r="F122" s="91" t="s">
        <v>568</v>
      </c>
      <c r="G122" s="92">
        <v>35</v>
      </c>
      <c r="H122" s="91" t="s">
        <v>568</v>
      </c>
      <c r="I122" s="92">
        <v>35</v>
      </c>
      <c r="J122" s="96" t="s">
        <v>1119</v>
      </c>
      <c r="K122" s="91" t="s">
        <v>589</v>
      </c>
      <c r="L122" s="91" t="s">
        <v>815</v>
      </c>
      <c r="M122" s="90" t="s">
        <v>400</v>
      </c>
      <c r="N122" s="93" t="s">
        <v>401</v>
      </c>
      <c r="AE122" s="85"/>
      <c r="AF122" s="85"/>
      <c r="AG122" s="85"/>
    </row>
    <row r="123" spans="2:33" ht="14.4" customHeight="1" x14ac:dyDescent="0.3">
      <c r="B123" s="94" t="s">
        <v>740</v>
      </c>
      <c r="C123" s="94" t="s">
        <v>781</v>
      </c>
      <c r="D123" s="96" t="s">
        <v>568</v>
      </c>
      <c r="E123" s="97">
        <v>25</v>
      </c>
      <c r="F123" s="96" t="s">
        <v>568</v>
      </c>
      <c r="G123" s="97">
        <v>28</v>
      </c>
      <c r="H123" s="96" t="s">
        <v>568</v>
      </c>
      <c r="I123" s="97">
        <v>30</v>
      </c>
      <c r="J123" s="96" t="s">
        <v>1119</v>
      </c>
      <c r="K123" s="96" t="s">
        <v>623</v>
      </c>
      <c r="L123" s="96" t="s">
        <v>818</v>
      </c>
      <c r="M123" s="94" t="s">
        <v>404</v>
      </c>
      <c r="N123" s="95" t="s">
        <v>382</v>
      </c>
      <c r="AE123" s="85"/>
      <c r="AF123" s="85"/>
      <c r="AG123" s="85"/>
    </row>
    <row r="124" spans="2:33" ht="14.4" customHeight="1" x14ac:dyDescent="0.3">
      <c r="B124" s="90" t="s">
        <v>639</v>
      </c>
      <c r="C124" s="90" t="s">
        <v>781</v>
      </c>
      <c r="D124" s="91" t="s">
        <v>568</v>
      </c>
      <c r="E124" s="92">
        <v>38</v>
      </c>
      <c r="F124" s="91" t="s">
        <v>568</v>
      </c>
      <c r="G124" s="92">
        <v>48</v>
      </c>
      <c r="H124" s="91" t="s">
        <v>568</v>
      </c>
      <c r="I124" s="92">
        <v>48</v>
      </c>
      <c r="J124" s="96" t="s">
        <v>1119</v>
      </c>
      <c r="K124" s="91" t="s">
        <v>638</v>
      </c>
      <c r="L124" s="91" t="s">
        <v>832</v>
      </c>
      <c r="M124" s="90" t="s">
        <v>479</v>
      </c>
      <c r="N124" s="93" t="s">
        <v>454</v>
      </c>
      <c r="AE124" s="85"/>
      <c r="AF124" s="85"/>
      <c r="AG124" s="85"/>
    </row>
    <row r="125" spans="2:33" ht="14.4" customHeight="1" x14ac:dyDescent="0.3">
      <c r="B125" s="94" t="s">
        <v>570</v>
      </c>
      <c r="C125" s="94" t="s">
        <v>791</v>
      </c>
      <c r="D125" s="96" t="s">
        <v>568</v>
      </c>
      <c r="E125" s="97">
        <v>30</v>
      </c>
      <c r="F125" s="96" t="s">
        <v>568</v>
      </c>
      <c r="G125" s="97">
        <v>40</v>
      </c>
      <c r="H125" s="96" t="s">
        <v>568</v>
      </c>
      <c r="I125" s="97">
        <v>45</v>
      </c>
      <c r="J125" s="96" t="s">
        <v>1120</v>
      </c>
      <c r="K125" s="96" t="s">
        <v>569</v>
      </c>
      <c r="L125" s="96" t="s">
        <v>833</v>
      </c>
      <c r="M125" s="94" t="s">
        <v>480</v>
      </c>
      <c r="N125" s="95" t="s">
        <v>458</v>
      </c>
      <c r="AE125" s="85"/>
      <c r="AF125" s="85"/>
      <c r="AG125" s="85"/>
    </row>
    <row r="126" spans="2:33" ht="14.4" customHeight="1" x14ac:dyDescent="0.3">
      <c r="B126" s="90" t="s">
        <v>680</v>
      </c>
      <c r="C126" s="90" t="s">
        <v>781</v>
      </c>
      <c r="D126" s="91" t="s">
        <v>568</v>
      </c>
      <c r="E126" s="92">
        <v>25</v>
      </c>
      <c r="F126" s="91" t="s">
        <v>568</v>
      </c>
      <c r="G126" s="92">
        <v>30</v>
      </c>
      <c r="H126" s="91" t="s">
        <v>568</v>
      </c>
      <c r="I126" s="92">
        <v>30</v>
      </c>
      <c r="J126" s="96" t="s">
        <v>1119</v>
      </c>
      <c r="K126" s="91" t="s">
        <v>679</v>
      </c>
      <c r="L126" s="91" t="s">
        <v>844</v>
      </c>
      <c r="M126" s="90" t="s">
        <v>436</v>
      </c>
      <c r="N126" s="93" t="s">
        <v>437</v>
      </c>
      <c r="AE126" s="85"/>
      <c r="AF126" s="85"/>
      <c r="AG126" s="85"/>
    </row>
    <row r="127" spans="2:33" ht="14.4" customHeight="1" x14ac:dyDescent="0.3">
      <c r="B127" s="94" t="s">
        <v>669</v>
      </c>
      <c r="C127" s="94" t="s">
        <v>847</v>
      </c>
      <c r="D127" s="96" t="s">
        <v>568</v>
      </c>
      <c r="E127" s="97">
        <v>35</v>
      </c>
      <c r="F127" s="96" t="s">
        <v>568</v>
      </c>
      <c r="G127" s="97">
        <v>40</v>
      </c>
      <c r="H127" s="96" t="s">
        <v>568</v>
      </c>
      <c r="I127" s="97">
        <v>50</v>
      </c>
      <c r="J127" s="96" t="s">
        <v>1119</v>
      </c>
      <c r="K127" s="96" t="s">
        <v>645</v>
      </c>
      <c r="L127" s="96" t="s">
        <v>848</v>
      </c>
      <c r="M127" s="94" t="s">
        <v>435</v>
      </c>
      <c r="N127" s="95" t="s">
        <v>374</v>
      </c>
      <c r="AE127" s="85"/>
      <c r="AF127" s="85"/>
      <c r="AG127" s="85"/>
    </row>
    <row r="128" spans="2:33" ht="14.4" customHeight="1" x14ac:dyDescent="0.3">
      <c r="B128" s="90" t="s">
        <v>745</v>
      </c>
      <c r="C128" s="90" t="s">
        <v>781</v>
      </c>
      <c r="D128" s="91" t="s">
        <v>568</v>
      </c>
      <c r="E128" s="92">
        <v>35</v>
      </c>
      <c r="F128" s="91" t="s">
        <v>568</v>
      </c>
      <c r="G128" s="92">
        <v>40</v>
      </c>
      <c r="H128" s="91" t="s">
        <v>568</v>
      </c>
      <c r="I128" s="92">
        <v>45</v>
      </c>
      <c r="J128" s="96" t="s">
        <v>1119</v>
      </c>
      <c r="K128" s="91" t="s">
        <v>569</v>
      </c>
      <c r="L128" s="91" t="s">
        <v>851</v>
      </c>
      <c r="M128" s="90" t="s">
        <v>435</v>
      </c>
      <c r="N128" s="93" t="s">
        <v>374</v>
      </c>
      <c r="AE128" s="85"/>
      <c r="AF128" s="85"/>
      <c r="AG128" s="85"/>
    </row>
    <row r="129" spans="2:33" ht="14.4" customHeight="1" x14ac:dyDescent="0.3">
      <c r="B129" s="94" t="s">
        <v>579</v>
      </c>
      <c r="C129" s="94" t="s">
        <v>781</v>
      </c>
      <c r="D129" s="96" t="s">
        <v>568</v>
      </c>
      <c r="E129" s="97">
        <v>30</v>
      </c>
      <c r="F129" s="96" t="s">
        <v>568</v>
      </c>
      <c r="G129" s="97">
        <v>40</v>
      </c>
      <c r="H129" s="96" t="s">
        <v>568</v>
      </c>
      <c r="I129" s="97">
        <v>50</v>
      </c>
      <c r="J129" s="96" t="s">
        <v>1119</v>
      </c>
      <c r="K129" s="96" t="s">
        <v>578</v>
      </c>
      <c r="L129" s="96" t="s">
        <v>852</v>
      </c>
      <c r="M129" s="94" t="s">
        <v>379</v>
      </c>
      <c r="N129" s="95" t="s">
        <v>380</v>
      </c>
      <c r="AE129" s="85"/>
      <c r="AF129" s="85"/>
      <c r="AG129" s="85"/>
    </row>
    <row r="130" spans="2:33" ht="14.4" customHeight="1" x14ac:dyDescent="0.3">
      <c r="B130" s="90" t="s">
        <v>646</v>
      </c>
      <c r="C130" s="90" t="s">
        <v>762</v>
      </c>
      <c r="D130" s="91" t="s">
        <v>568</v>
      </c>
      <c r="E130" s="92">
        <v>35</v>
      </c>
      <c r="F130" s="91" t="s">
        <v>568</v>
      </c>
      <c r="G130" s="92">
        <v>40</v>
      </c>
      <c r="H130" s="91" t="s">
        <v>568</v>
      </c>
      <c r="I130" s="92">
        <v>40</v>
      </c>
      <c r="J130" s="96" t="s">
        <v>1119</v>
      </c>
      <c r="K130" s="91" t="s">
        <v>645</v>
      </c>
      <c r="L130" s="91" t="s">
        <v>857</v>
      </c>
      <c r="M130" s="90" t="s">
        <v>481</v>
      </c>
      <c r="N130" s="93" t="s">
        <v>366</v>
      </c>
      <c r="AE130" s="85"/>
      <c r="AF130" s="85"/>
      <c r="AG130" s="85"/>
    </row>
    <row r="131" spans="2:33" ht="14.4" customHeight="1" x14ac:dyDescent="0.3">
      <c r="B131" s="94" t="s">
        <v>695</v>
      </c>
      <c r="C131" s="94" t="s">
        <v>781</v>
      </c>
      <c r="D131" s="96" t="s">
        <v>568</v>
      </c>
      <c r="E131" s="97">
        <v>44</v>
      </c>
      <c r="F131" s="96" t="s">
        <v>568</v>
      </c>
      <c r="G131" s="97">
        <v>48</v>
      </c>
      <c r="H131" s="96" t="s">
        <v>568</v>
      </c>
      <c r="I131" s="97">
        <v>48</v>
      </c>
      <c r="J131" s="96" t="s">
        <v>1119</v>
      </c>
      <c r="K131" s="96" t="s">
        <v>589</v>
      </c>
      <c r="L131" s="96" t="s">
        <v>874</v>
      </c>
      <c r="M131" s="94" t="s">
        <v>397</v>
      </c>
      <c r="N131" s="95" t="s">
        <v>376</v>
      </c>
      <c r="AE131" s="85"/>
      <c r="AF131" s="85"/>
      <c r="AG131" s="85"/>
    </row>
    <row r="132" spans="2:33" ht="14.4" customHeight="1" x14ac:dyDescent="0.3">
      <c r="B132" s="90" t="s">
        <v>570</v>
      </c>
      <c r="C132" s="90" t="s">
        <v>577</v>
      </c>
      <c r="D132" s="91" t="s">
        <v>568</v>
      </c>
      <c r="E132" s="92">
        <v>30</v>
      </c>
      <c r="F132" s="91" t="s">
        <v>568</v>
      </c>
      <c r="G132" s="92">
        <v>40</v>
      </c>
      <c r="H132" s="91" t="s">
        <v>568</v>
      </c>
      <c r="I132" s="92">
        <v>45</v>
      </c>
      <c r="J132" s="96" t="s">
        <v>1120</v>
      </c>
      <c r="K132" s="91" t="s">
        <v>569</v>
      </c>
      <c r="L132" s="91" t="s">
        <v>900</v>
      </c>
      <c r="M132" s="90" t="s">
        <v>482</v>
      </c>
      <c r="N132" s="93" t="s">
        <v>366</v>
      </c>
      <c r="AE132" s="85"/>
      <c r="AF132" s="85"/>
      <c r="AG132" s="85"/>
    </row>
    <row r="133" spans="2:33" ht="14.4" customHeight="1" x14ac:dyDescent="0.3">
      <c r="B133" s="94" t="s">
        <v>918</v>
      </c>
      <c r="C133" s="94" t="s">
        <v>781</v>
      </c>
      <c r="D133" s="96" t="s">
        <v>568</v>
      </c>
      <c r="E133" s="97">
        <v>20</v>
      </c>
      <c r="F133" s="96" t="s">
        <v>568</v>
      </c>
      <c r="G133" s="97">
        <v>23</v>
      </c>
      <c r="H133" s="96" t="s">
        <v>568</v>
      </c>
      <c r="I133" s="97">
        <v>25</v>
      </c>
      <c r="J133" s="96" t="s">
        <v>1119</v>
      </c>
      <c r="K133" s="96" t="s">
        <v>917</v>
      </c>
      <c r="L133" s="96" t="s">
        <v>919</v>
      </c>
      <c r="M133" s="94" t="s">
        <v>369</v>
      </c>
      <c r="N133" s="95" t="s">
        <v>370</v>
      </c>
      <c r="AE133" s="85"/>
      <c r="AF133" s="85"/>
      <c r="AG133" s="85"/>
    </row>
    <row r="134" spans="2:33" ht="14.4" customHeight="1" x14ac:dyDescent="0.3">
      <c r="B134" s="90" t="s">
        <v>599</v>
      </c>
      <c r="C134" s="90" t="s">
        <v>781</v>
      </c>
      <c r="D134" s="91" t="s">
        <v>568</v>
      </c>
      <c r="E134" s="92">
        <v>30</v>
      </c>
      <c r="F134" s="91" t="s">
        <v>568</v>
      </c>
      <c r="G134" s="92">
        <v>40</v>
      </c>
      <c r="H134" s="91" t="s">
        <v>568</v>
      </c>
      <c r="I134" s="92">
        <v>50</v>
      </c>
      <c r="J134" s="96" t="s">
        <v>1119</v>
      </c>
      <c r="K134" s="91" t="s">
        <v>578</v>
      </c>
      <c r="L134" s="91" t="s">
        <v>920</v>
      </c>
      <c r="M134" s="90" t="s">
        <v>391</v>
      </c>
      <c r="N134" s="93" t="s">
        <v>392</v>
      </c>
      <c r="AE134" s="85"/>
      <c r="AF134" s="85"/>
      <c r="AG134" s="85"/>
    </row>
    <row r="135" spans="2:33" ht="14.4" customHeight="1" x14ac:dyDescent="0.3">
      <c r="B135" s="94" t="s">
        <v>646</v>
      </c>
      <c r="C135" s="94" t="s">
        <v>762</v>
      </c>
      <c r="D135" s="96" t="s">
        <v>568</v>
      </c>
      <c r="E135" s="97">
        <v>35</v>
      </c>
      <c r="F135" s="96" t="s">
        <v>568</v>
      </c>
      <c r="G135" s="97">
        <v>40</v>
      </c>
      <c r="H135" s="96" t="s">
        <v>568</v>
      </c>
      <c r="I135" s="97">
        <v>40</v>
      </c>
      <c r="J135" s="96" t="s">
        <v>1119</v>
      </c>
      <c r="K135" s="96" t="s">
        <v>645</v>
      </c>
      <c r="L135" s="96" t="s">
        <v>926</v>
      </c>
      <c r="M135" s="94" t="s">
        <v>416</v>
      </c>
      <c r="N135" s="95" t="s">
        <v>376</v>
      </c>
      <c r="AE135" s="85"/>
      <c r="AF135" s="85"/>
      <c r="AG135" s="85"/>
    </row>
    <row r="136" spans="2:33" ht="14.4" customHeight="1" x14ac:dyDescent="0.3">
      <c r="B136" s="90" t="s">
        <v>646</v>
      </c>
      <c r="C136" s="90" t="s">
        <v>577</v>
      </c>
      <c r="D136" s="91" t="s">
        <v>568</v>
      </c>
      <c r="E136" s="92">
        <v>35</v>
      </c>
      <c r="F136" s="91" t="s">
        <v>568</v>
      </c>
      <c r="G136" s="92">
        <v>40</v>
      </c>
      <c r="H136" s="91" t="s">
        <v>568</v>
      </c>
      <c r="I136" s="92">
        <v>40</v>
      </c>
      <c r="J136" s="96" t="s">
        <v>1119</v>
      </c>
      <c r="K136" s="91" t="s">
        <v>645</v>
      </c>
      <c r="L136" s="91" t="s">
        <v>930</v>
      </c>
      <c r="M136" s="90" t="s">
        <v>452</v>
      </c>
      <c r="N136" s="93" t="s">
        <v>434</v>
      </c>
      <c r="AE136" s="85"/>
      <c r="AF136" s="85"/>
      <c r="AG136" s="85"/>
    </row>
    <row r="137" spans="2:33" ht="14.4" customHeight="1" x14ac:dyDescent="0.3">
      <c r="B137" s="94" t="s">
        <v>669</v>
      </c>
      <c r="C137" s="95">
        <v>2021</v>
      </c>
      <c r="D137" s="96" t="s">
        <v>568</v>
      </c>
      <c r="E137" s="97">
        <v>35</v>
      </c>
      <c r="F137" s="96" t="s">
        <v>568</v>
      </c>
      <c r="G137" s="97">
        <v>40</v>
      </c>
      <c r="H137" s="96" t="s">
        <v>568</v>
      </c>
      <c r="I137" s="97">
        <v>48</v>
      </c>
      <c r="J137" s="96" t="s">
        <v>1119</v>
      </c>
      <c r="K137" s="96" t="s">
        <v>645</v>
      </c>
      <c r="L137" s="96" t="s">
        <v>939</v>
      </c>
      <c r="M137" s="94" t="s">
        <v>414</v>
      </c>
      <c r="N137" s="95" t="s">
        <v>415</v>
      </c>
      <c r="AE137" s="85"/>
      <c r="AF137" s="85"/>
      <c r="AG137" s="85"/>
    </row>
    <row r="138" spans="2:33" ht="14.4" customHeight="1" x14ac:dyDescent="0.3">
      <c r="B138" s="90" t="s">
        <v>745</v>
      </c>
      <c r="C138" s="90" t="s">
        <v>948</v>
      </c>
      <c r="D138" s="91" t="s">
        <v>568</v>
      </c>
      <c r="E138" s="92">
        <v>35</v>
      </c>
      <c r="F138" s="91" t="s">
        <v>568</v>
      </c>
      <c r="G138" s="92">
        <v>40</v>
      </c>
      <c r="H138" s="91" t="s">
        <v>568</v>
      </c>
      <c r="I138" s="92">
        <v>45</v>
      </c>
      <c r="J138" s="96" t="s">
        <v>1119</v>
      </c>
      <c r="K138" s="91" t="s">
        <v>569</v>
      </c>
      <c r="L138" s="91" t="s">
        <v>949</v>
      </c>
      <c r="M138" s="90" t="s">
        <v>483</v>
      </c>
      <c r="N138" s="93" t="s">
        <v>484</v>
      </c>
      <c r="AE138" s="85"/>
      <c r="AF138" s="85"/>
      <c r="AG138" s="85"/>
    </row>
    <row r="139" spans="2:33" ht="14.4" customHeight="1" x14ac:dyDescent="0.3">
      <c r="B139" s="94" t="s">
        <v>599</v>
      </c>
      <c r="C139" s="94" t="s">
        <v>762</v>
      </c>
      <c r="D139" s="96" t="s">
        <v>568</v>
      </c>
      <c r="E139" s="97">
        <v>30</v>
      </c>
      <c r="F139" s="96" t="s">
        <v>568</v>
      </c>
      <c r="G139" s="97">
        <v>40</v>
      </c>
      <c r="H139" s="96" t="s">
        <v>568</v>
      </c>
      <c r="I139" s="97">
        <v>50</v>
      </c>
      <c r="J139" s="96" t="s">
        <v>1119</v>
      </c>
      <c r="K139" s="96" t="s">
        <v>578</v>
      </c>
      <c r="L139" s="96" t="s">
        <v>953</v>
      </c>
      <c r="M139" s="94" t="s">
        <v>404</v>
      </c>
      <c r="N139" s="95" t="s">
        <v>382</v>
      </c>
      <c r="AE139" s="85"/>
      <c r="AF139" s="85"/>
      <c r="AG139" s="85"/>
    </row>
    <row r="140" spans="2:33" ht="14.4" customHeight="1" x14ac:dyDescent="0.3">
      <c r="B140" s="90" t="s">
        <v>813</v>
      </c>
      <c r="C140" s="90" t="s">
        <v>781</v>
      </c>
      <c r="D140" s="91" t="s">
        <v>568</v>
      </c>
      <c r="E140" s="92">
        <v>23</v>
      </c>
      <c r="F140" s="91" t="s">
        <v>568</v>
      </c>
      <c r="G140" s="92">
        <v>25</v>
      </c>
      <c r="H140" s="91" t="s">
        <v>568</v>
      </c>
      <c r="I140" s="92">
        <v>25</v>
      </c>
      <c r="J140" s="96" t="s">
        <v>1119</v>
      </c>
      <c r="K140" s="91" t="s">
        <v>656</v>
      </c>
      <c r="L140" s="91" t="s">
        <v>978</v>
      </c>
      <c r="M140" s="90" t="s">
        <v>414</v>
      </c>
      <c r="N140" s="93" t="s">
        <v>415</v>
      </c>
      <c r="AE140" s="85"/>
      <c r="AF140" s="85"/>
      <c r="AG140" s="85"/>
    </row>
    <row r="141" spans="2:33" ht="14.4" customHeight="1" x14ac:dyDescent="0.3">
      <c r="B141" s="94" t="s">
        <v>695</v>
      </c>
      <c r="C141" s="94" t="s">
        <v>781</v>
      </c>
      <c r="D141" s="96" t="s">
        <v>568</v>
      </c>
      <c r="E141" s="97">
        <v>44</v>
      </c>
      <c r="F141" s="96" t="s">
        <v>568</v>
      </c>
      <c r="G141" s="97">
        <v>48</v>
      </c>
      <c r="H141" s="96" t="s">
        <v>568</v>
      </c>
      <c r="I141" s="97">
        <v>48</v>
      </c>
      <c r="J141" s="96" t="s">
        <v>1119</v>
      </c>
      <c r="K141" s="96" t="s">
        <v>589</v>
      </c>
      <c r="L141" s="96" t="s">
        <v>996</v>
      </c>
      <c r="M141" s="94" t="s">
        <v>485</v>
      </c>
      <c r="N141" s="95" t="s">
        <v>386</v>
      </c>
      <c r="AE141" s="85"/>
      <c r="AF141" s="85"/>
      <c r="AG141" s="85"/>
    </row>
    <row r="142" spans="2:33" ht="14.4" customHeight="1" x14ac:dyDescent="0.3">
      <c r="B142" s="90" t="s">
        <v>792</v>
      </c>
      <c r="C142" s="90" t="s">
        <v>791</v>
      </c>
      <c r="D142" s="91" t="s">
        <v>568</v>
      </c>
      <c r="E142" s="92">
        <v>50</v>
      </c>
      <c r="F142" s="91" t="s">
        <v>568</v>
      </c>
      <c r="G142" s="92">
        <v>60</v>
      </c>
      <c r="H142" s="91" t="s">
        <v>568</v>
      </c>
      <c r="I142" s="92">
        <v>70</v>
      </c>
      <c r="J142" s="96" t="s">
        <v>1119</v>
      </c>
      <c r="K142" s="91" t="s">
        <v>638</v>
      </c>
      <c r="L142" s="91" t="s">
        <v>1023</v>
      </c>
      <c r="M142" s="90" t="s">
        <v>411</v>
      </c>
      <c r="N142" s="93" t="s">
        <v>401</v>
      </c>
      <c r="AE142" s="85"/>
      <c r="AF142" s="85"/>
      <c r="AG142" s="85"/>
    </row>
    <row r="143" spans="2:33" ht="14.4" customHeight="1" x14ac:dyDescent="0.3">
      <c r="B143" s="94" t="s">
        <v>639</v>
      </c>
      <c r="C143" s="94" t="s">
        <v>725</v>
      </c>
      <c r="D143" s="96" t="s">
        <v>568</v>
      </c>
      <c r="E143" s="97">
        <v>38</v>
      </c>
      <c r="F143" s="96" t="s">
        <v>568</v>
      </c>
      <c r="G143" s="97">
        <v>48</v>
      </c>
      <c r="H143" s="96" t="s">
        <v>568</v>
      </c>
      <c r="I143" s="97">
        <v>48</v>
      </c>
      <c r="J143" s="96" t="s">
        <v>1119</v>
      </c>
      <c r="K143" s="96" t="s">
        <v>638</v>
      </c>
      <c r="L143" s="96" t="s">
        <v>1048</v>
      </c>
      <c r="M143" s="94" t="s">
        <v>475</v>
      </c>
      <c r="N143" s="95" t="s">
        <v>476</v>
      </c>
      <c r="AE143" s="85"/>
      <c r="AF143" s="85"/>
      <c r="AG143" s="85"/>
    </row>
    <row r="144" spans="2:33" ht="14.4" customHeight="1" x14ac:dyDescent="0.3">
      <c r="B144" s="90" t="s">
        <v>703</v>
      </c>
      <c r="C144" s="90" t="s">
        <v>781</v>
      </c>
      <c r="D144" s="91" t="s">
        <v>568</v>
      </c>
      <c r="E144" s="92">
        <v>30</v>
      </c>
      <c r="F144" s="91" t="s">
        <v>568</v>
      </c>
      <c r="G144" s="92">
        <v>40</v>
      </c>
      <c r="H144" s="91" t="s">
        <v>568</v>
      </c>
      <c r="I144" s="92">
        <v>50</v>
      </c>
      <c r="J144" s="96" t="s">
        <v>1119</v>
      </c>
      <c r="K144" s="91" t="s">
        <v>702</v>
      </c>
      <c r="L144" s="91" t="s">
        <v>1077</v>
      </c>
      <c r="M144" s="90" t="s">
        <v>475</v>
      </c>
      <c r="N144" s="93" t="s">
        <v>476</v>
      </c>
      <c r="AE144" s="85"/>
      <c r="AF144" s="85"/>
      <c r="AG144" s="85"/>
    </row>
    <row r="145" spans="2:33" ht="14.4" customHeight="1" x14ac:dyDescent="0.3">
      <c r="B145" s="94" t="s">
        <v>611</v>
      </c>
      <c r="C145" s="94" t="s">
        <v>609</v>
      </c>
      <c r="D145" s="96" t="s">
        <v>568</v>
      </c>
      <c r="E145" s="97">
        <v>20</v>
      </c>
      <c r="F145" s="96" t="s">
        <v>568</v>
      </c>
      <c r="G145" s="97">
        <v>20</v>
      </c>
      <c r="H145" s="96" t="s">
        <v>568</v>
      </c>
      <c r="I145" s="97">
        <v>20</v>
      </c>
      <c r="J145" s="96" t="s">
        <v>1119</v>
      </c>
      <c r="K145" s="96" t="s">
        <v>610</v>
      </c>
      <c r="L145" s="96" t="s">
        <v>612</v>
      </c>
      <c r="M145" s="94" t="s">
        <v>446</v>
      </c>
      <c r="N145" s="95" t="s">
        <v>386</v>
      </c>
      <c r="AE145" s="85"/>
      <c r="AF145" s="85"/>
      <c r="AG145" s="85"/>
    </row>
    <row r="146" spans="2:33" ht="14.4" customHeight="1" x14ac:dyDescent="0.3">
      <c r="B146" s="90" t="s">
        <v>620</v>
      </c>
      <c r="C146" s="90" t="s">
        <v>609</v>
      </c>
      <c r="D146" s="91" t="s">
        <v>568</v>
      </c>
      <c r="E146" s="92">
        <v>25</v>
      </c>
      <c r="F146" s="91" t="s">
        <v>568</v>
      </c>
      <c r="G146" s="92">
        <v>25</v>
      </c>
      <c r="H146" s="91" t="s">
        <v>568</v>
      </c>
      <c r="I146" s="92">
        <v>25</v>
      </c>
      <c r="J146" s="96" t="s">
        <v>1119</v>
      </c>
      <c r="K146" s="91" t="s">
        <v>619</v>
      </c>
      <c r="L146" s="91" t="s">
        <v>621</v>
      </c>
      <c r="M146" s="90" t="s">
        <v>369</v>
      </c>
      <c r="N146" s="93" t="s">
        <v>370</v>
      </c>
      <c r="AE146" s="85"/>
      <c r="AF146" s="85"/>
      <c r="AG146" s="85"/>
    </row>
    <row r="147" spans="2:33" ht="14.4" customHeight="1" x14ac:dyDescent="0.3">
      <c r="B147" s="94" t="s">
        <v>639</v>
      </c>
      <c r="C147" s="94" t="s">
        <v>637</v>
      </c>
      <c r="D147" s="96" t="s">
        <v>568</v>
      </c>
      <c r="E147" s="97">
        <v>38</v>
      </c>
      <c r="F147" s="96" t="s">
        <v>568</v>
      </c>
      <c r="G147" s="97">
        <v>48</v>
      </c>
      <c r="H147" s="96" t="s">
        <v>568</v>
      </c>
      <c r="I147" s="97">
        <v>48</v>
      </c>
      <c r="J147" s="96" t="s">
        <v>1119</v>
      </c>
      <c r="K147" s="96" t="s">
        <v>638</v>
      </c>
      <c r="L147" s="96" t="s">
        <v>640</v>
      </c>
      <c r="M147" s="94" t="s">
        <v>426</v>
      </c>
      <c r="N147" s="95" t="s">
        <v>427</v>
      </c>
      <c r="AE147" s="85"/>
      <c r="AF147" s="85"/>
      <c r="AG147" s="85"/>
    </row>
    <row r="148" spans="2:33" ht="14.4" customHeight="1" x14ac:dyDescent="0.3">
      <c r="B148" s="90" t="s">
        <v>669</v>
      </c>
      <c r="C148" s="90" t="s">
        <v>609</v>
      </c>
      <c r="D148" s="91" t="s">
        <v>568</v>
      </c>
      <c r="E148" s="92">
        <v>35</v>
      </c>
      <c r="F148" s="91" t="s">
        <v>568</v>
      </c>
      <c r="G148" s="92">
        <v>40</v>
      </c>
      <c r="H148" s="91" t="s">
        <v>568</v>
      </c>
      <c r="I148" s="92">
        <v>48</v>
      </c>
      <c r="J148" s="96" t="s">
        <v>1119</v>
      </c>
      <c r="K148" s="91" t="s">
        <v>645</v>
      </c>
      <c r="L148" s="91" t="s">
        <v>670</v>
      </c>
      <c r="M148" s="90" t="s">
        <v>426</v>
      </c>
      <c r="N148" s="93" t="s">
        <v>427</v>
      </c>
      <c r="AE148" s="85"/>
      <c r="AF148" s="85"/>
      <c r="AG148" s="85"/>
    </row>
    <row r="149" spans="2:33" ht="14.4" customHeight="1" x14ac:dyDescent="0.3">
      <c r="B149" s="94" t="s">
        <v>639</v>
      </c>
      <c r="C149" s="94" t="s">
        <v>676</v>
      </c>
      <c r="D149" s="96" t="s">
        <v>568</v>
      </c>
      <c r="E149" s="97">
        <v>38</v>
      </c>
      <c r="F149" s="96" t="s">
        <v>568</v>
      </c>
      <c r="G149" s="97">
        <v>48</v>
      </c>
      <c r="H149" s="96" t="s">
        <v>568</v>
      </c>
      <c r="I149" s="97">
        <v>48</v>
      </c>
      <c r="J149" s="96" t="s">
        <v>1119</v>
      </c>
      <c r="K149" s="96" t="s">
        <v>638</v>
      </c>
      <c r="L149" s="96" t="s">
        <v>677</v>
      </c>
      <c r="M149" s="94" t="s">
        <v>426</v>
      </c>
      <c r="N149" s="95" t="s">
        <v>427</v>
      </c>
      <c r="AE149" s="85"/>
      <c r="AF149" s="85"/>
      <c r="AG149" s="85"/>
    </row>
    <row r="150" spans="2:33" ht="14.4" customHeight="1" x14ac:dyDescent="0.3">
      <c r="B150" s="90" t="s">
        <v>680</v>
      </c>
      <c r="C150" s="90" t="s">
        <v>678</v>
      </c>
      <c r="D150" s="91" t="s">
        <v>568</v>
      </c>
      <c r="E150" s="92">
        <v>25</v>
      </c>
      <c r="F150" s="91" t="s">
        <v>568</v>
      </c>
      <c r="G150" s="92">
        <v>30</v>
      </c>
      <c r="H150" s="91" t="s">
        <v>568</v>
      </c>
      <c r="I150" s="92">
        <v>30</v>
      </c>
      <c r="J150" s="96" t="s">
        <v>1119</v>
      </c>
      <c r="K150" s="91" t="s">
        <v>679</v>
      </c>
      <c r="L150" s="91" t="s">
        <v>681</v>
      </c>
      <c r="M150" s="90" t="s">
        <v>486</v>
      </c>
      <c r="N150" s="93" t="s">
        <v>427</v>
      </c>
      <c r="AE150" s="85"/>
      <c r="AF150" s="85"/>
      <c r="AG150" s="85"/>
    </row>
    <row r="151" spans="2:33" ht="14.4" customHeight="1" x14ac:dyDescent="0.3">
      <c r="B151" s="94" t="s">
        <v>695</v>
      </c>
      <c r="C151" s="94" t="s">
        <v>637</v>
      </c>
      <c r="D151" s="96" t="s">
        <v>568</v>
      </c>
      <c r="E151" s="97">
        <v>44</v>
      </c>
      <c r="F151" s="96" t="s">
        <v>568</v>
      </c>
      <c r="G151" s="97">
        <v>48</v>
      </c>
      <c r="H151" s="96" t="s">
        <v>568</v>
      </c>
      <c r="I151" s="97">
        <v>48</v>
      </c>
      <c r="J151" s="96" t="s">
        <v>1119</v>
      </c>
      <c r="K151" s="96" t="s">
        <v>589</v>
      </c>
      <c r="L151" s="96" t="s">
        <v>696</v>
      </c>
      <c r="M151" s="94" t="s">
        <v>400</v>
      </c>
      <c r="N151" s="95" t="s">
        <v>401</v>
      </c>
      <c r="AE151" s="85"/>
      <c r="AF151" s="85"/>
      <c r="AG151" s="85"/>
    </row>
    <row r="152" spans="2:33" ht="14.4" customHeight="1" x14ac:dyDescent="0.3">
      <c r="B152" s="90" t="s">
        <v>711</v>
      </c>
      <c r="C152" s="90" t="s">
        <v>609</v>
      </c>
      <c r="D152" s="91" t="s">
        <v>568</v>
      </c>
      <c r="E152" s="92">
        <v>35</v>
      </c>
      <c r="F152" s="91" t="s">
        <v>568</v>
      </c>
      <c r="G152" s="92">
        <v>35</v>
      </c>
      <c r="H152" s="91" t="s">
        <v>568</v>
      </c>
      <c r="I152" s="92">
        <v>35</v>
      </c>
      <c r="J152" s="96" t="s">
        <v>1120</v>
      </c>
      <c r="K152" s="91" t="s">
        <v>602</v>
      </c>
      <c r="L152" s="91" t="s">
        <v>712</v>
      </c>
      <c r="M152" s="90" t="s">
        <v>400</v>
      </c>
      <c r="N152" s="93" t="s">
        <v>401</v>
      </c>
      <c r="AE152" s="85"/>
      <c r="AF152" s="85"/>
      <c r="AG152" s="85"/>
    </row>
    <row r="153" spans="2:33" ht="14.4" customHeight="1" x14ac:dyDescent="0.3">
      <c r="B153" s="94" t="s">
        <v>719</v>
      </c>
      <c r="C153" s="94" t="s">
        <v>676</v>
      </c>
      <c r="D153" s="96" t="s">
        <v>568</v>
      </c>
      <c r="E153" s="97">
        <v>35</v>
      </c>
      <c r="F153" s="96" t="s">
        <v>568</v>
      </c>
      <c r="G153" s="97">
        <v>45</v>
      </c>
      <c r="H153" s="96" t="s">
        <v>568</v>
      </c>
      <c r="I153" s="97">
        <v>55</v>
      </c>
      <c r="J153" s="96" t="s">
        <v>1119</v>
      </c>
      <c r="K153" s="96" t="s">
        <v>596</v>
      </c>
      <c r="L153" s="96" t="s">
        <v>720</v>
      </c>
      <c r="M153" s="94" t="s">
        <v>400</v>
      </c>
      <c r="N153" s="95" t="s">
        <v>401</v>
      </c>
      <c r="AE153" s="85"/>
      <c r="AF153" s="85"/>
      <c r="AG153" s="85"/>
    </row>
    <row r="154" spans="2:33" ht="14.4" customHeight="1" x14ac:dyDescent="0.3">
      <c r="B154" s="90" t="s">
        <v>729</v>
      </c>
      <c r="C154" s="90" t="s">
        <v>727</v>
      </c>
      <c r="D154" s="91" t="s">
        <v>568</v>
      </c>
      <c r="E154" s="92">
        <v>35</v>
      </c>
      <c r="F154" s="91" t="s">
        <v>568</v>
      </c>
      <c r="G154" s="92">
        <v>40</v>
      </c>
      <c r="H154" s="91" t="s">
        <v>568</v>
      </c>
      <c r="I154" s="92">
        <v>45</v>
      </c>
      <c r="J154" s="96" t="s">
        <v>1119</v>
      </c>
      <c r="K154" s="91" t="s">
        <v>728</v>
      </c>
      <c r="L154" s="91" t="s">
        <v>730</v>
      </c>
      <c r="M154" s="90" t="s">
        <v>451</v>
      </c>
      <c r="N154" s="93" t="s">
        <v>401</v>
      </c>
      <c r="AE154" s="85"/>
      <c r="AF154" s="85"/>
      <c r="AG154" s="85"/>
    </row>
    <row r="155" spans="2:33" ht="14.4" customHeight="1" x14ac:dyDescent="0.3">
      <c r="B155" s="94" t="s">
        <v>742</v>
      </c>
      <c r="C155" s="94" t="s">
        <v>678</v>
      </c>
      <c r="D155" s="96" t="s">
        <v>568</v>
      </c>
      <c r="E155" s="97">
        <v>35</v>
      </c>
      <c r="F155" s="96" t="s">
        <v>568</v>
      </c>
      <c r="G155" s="97">
        <v>35</v>
      </c>
      <c r="H155" s="96" t="s">
        <v>568</v>
      </c>
      <c r="I155" s="97">
        <v>35</v>
      </c>
      <c r="J155" s="96" t="s">
        <v>1120</v>
      </c>
      <c r="K155" s="96" t="s">
        <v>602</v>
      </c>
      <c r="L155" s="96" t="s">
        <v>743</v>
      </c>
      <c r="M155" s="94" t="s">
        <v>451</v>
      </c>
      <c r="N155" s="95" t="s">
        <v>401</v>
      </c>
      <c r="AE155" s="85"/>
      <c r="AF155" s="85"/>
      <c r="AG155" s="85"/>
    </row>
    <row r="156" spans="2:33" ht="14.4" customHeight="1" x14ac:dyDescent="0.3">
      <c r="B156" s="90" t="s">
        <v>754</v>
      </c>
      <c r="C156" s="90" t="s">
        <v>676</v>
      </c>
      <c r="D156" s="91" t="s">
        <v>568</v>
      </c>
      <c r="E156" s="92">
        <v>45</v>
      </c>
      <c r="F156" s="91" t="s">
        <v>568</v>
      </c>
      <c r="G156" s="92">
        <v>50</v>
      </c>
      <c r="H156" s="91" t="s">
        <v>568</v>
      </c>
      <c r="I156" s="92">
        <v>50</v>
      </c>
      <c r="J156" s="96" t="s">
        <v>1119</v>
      </c>
      <c r="K156" s="91" t="s">
        <v>645</v>
      </c>
      <c r="L156" s="91" t="s">
        <v>755</v>
      </c>
      <c r="M156" s="90" t="s">
        <v>487</v>
      </c>
      <c r="N156" s="93" t="s">
        <v>488</v>
      </c>
      <c r="AE156" s="85"/>
      <c r="AF156" s="85"/>
      <c r="AG156" s="85"/>
    </row>
    <row r="157" spans="2:33" ht="14.4" customHeight="1" x14ac:dyDescent="0.3">
      <c r="B157" s="94" t="s">
        <v>719</v>
      </c>
      <c r="C157" s="94" t="s">
        <v>676</v>
      </c>
      <c r="D157" s="96" t="s">
        <v>568</v>
      </c>
      <c r="E157" s="97">
        <v>35</v>
      </c>
      <c r="F157" s="96" t="s">
        <v>568</v>
      </c>
      <c r="G157" s="97">
        <v>45</v>
      </c>
      <c r="H157" s="96" t="s">
        <v>568</v>
      </c>
      <c r="I157" s="97">
        <v>55</v>
      </c>
      <c r="J157" s="96" t="s">
        <v>1119</v>
      </c>
      <c r="K157" s="96" t="s">
        <v>596</v>
      </c>
      <c r="L157" s="96" t="s">
        <v>756</v>
      </c>
      <c r="M157" s="94" t="s">
        <v>433</v>
      </c>
      <c r="N157" s="95" t="s">
        <v>434</v>
      </c>
      <c r="AE157" s="85"/>
      <c r="AF157" s="85"/>
      <c r="AG157" s="85"/>
    </row>
    <row r="158" spans="2:33" ht="14.4" customHeight="1" x14ac:dyDescent="0.3">
      <c r="B158" s="90" t="s">
        <v>758</v>
      </c>
      <c r="C158" s="90" t="s">
        <v>609</v>
      </c>
      <c r="D158" s="91" t="s">
        <v>568</v>
      </c>
      <c r="E158" s="92">
        <v>25</v>
      </c>
      <c r="F158" s="91" t="s">
        <v>568</v>
      </c>
      <c r="G158" s="92">
        <v>25</v>
      </c>
      <c r="H158" s="91" t="s">
        <v>568</v>
      </c>
      <c r="I158" s="92">
        <v>25</v>
      </c>
      <c r="J158" s="96" t="s">
        <v>1119</v>
      </c>
      <c r="K158" s="91" t="s">
        <v>757</v>
      </c>
      <c r="L158" s="91" t="s">
        <v>759</v>
      </c>
      <c r="M158" s="90" t="s">
        <v>435</v>
      </c>
      <c r="N158" s="93" t="s">
        <v>374</v>
      </c>
      <c r="AE158" s="85"/>
      <c r="AF158" s="85"/>
      <c r="AG158" s="85"/>
    </row>
    <row r="159" spans="2:33" ht="14.4" customHeight="1" x14ac:dyDescent="0.3">
      <c r="B159" s="94" t="s">
        <v>698</v>
      </c>
      <c r="C159" s="94" t="s">
        <v>676</v>
      </c>
      <c r="D159" s="96" t="s">
        <v>568</v>
      </c>
      <c r="E159" s="97">
        <v>30</v>
      </c>
      <c r="F159" s="96" t="s">
        <v>568</v>
      </c>
      <c r="G159" s="97">
        <v>40</v>
      </c>
      <c r="H159" s="96" t="s">
        <v>568</v>
      </c>
      <c r="I159" s="97">
        <v>50</v>
      </c>
      <c r="J159" s="96" t="s">
        <v>1119</v>
      </c>
      <c r="K159" s="96" t="s">
        <v>578</v>
      </c>
      <c r="L159" s="96" t="s">
        <v>773</v>
      </c>
      <c r="M159" s="94" t="s">
        <v>379</v>
      </c>
      <c r="N159" s="95" t="s">
        <v>380</v>
      </c>
      <c r="AE159" s="85"/>
      <c r="AF159" s="85"/>
      <c r="AG159" s="85"/>
    </row>
    <row r="160" spans="2:33" ht="14.4" customHeight="1" x14ac:dyDescent="0.3">
      <c r="B160" s="90" t="s">
        <v>797</v>
      </c>
      <c r="C160" s="90" t="s">
        <v>676</v>
      </c>
      <c r="D160" s="91" t="s">
        <v>568</v>
      </c>
      <c r="E160" s="92">
        <v>35</v>
      </c>
      <c r="F160" s="91" t="s">
        <v>568</v>
      </c>
      <c r="G160" s="92">
        <v>40</v>
      </c>
      <c r="H160" s="91" t="s">
        <v>568</v>
      </c>
      <c r="I160" s="92">
        <v>45</v>
      </c>
      <c r="J160" s="96" t="s">
        <v>1119</v>
      </c>
      <c r="K160" s="91" t="s">
        <v>765</v>
      </c>
      <c r="L160" s="91" t="s">
        <v>798</v>
      </c>
      <c r="M160" s="90" t="s">
        <v>466</v>
      </c>
      <c r="N160" s="93" t="s">
        <v>380</v>
      </c>
      <c r="AE160" s="85"/>
      <c r="AF160" s="85"/>
      <c r="AG160" s="85"/>
    </row>
    <row r="161" spans="2:33" ht="14.4" customHeight="1" x14ac:dyDescent="0.3">
      <c r="B161" s="94" t="s">
        <v>714</v>
      </c>
      <c r="C161" s="94" t="s">
        <v>676</v>
      </c>
      <c r="D161" s="96" t="s">
        <v>568</v>
      </c>
      <c r="E161" s="97">
        <v>23</v>
      </c>
      <c r="F161" s="96" t="s">
        <v>568</v>
      </c>
      <c r="G161" s="97">
        <v>25</v>
      </c>
      <c r="H161" s="96" t="s">
        <v>568</v>
      </c>
      <c r="I161" s="97">
        <v>25</v>
      </c>
      <c r="J161" s="96" t="s">
        <v>1119</v>
      </c>
      <c r="K161" s="96" t="s">
        <v>649</v>
      </c>
      <c r="L161" s="96" t="s">
        <v>802</v>
      </c>
      <c r="M161" s="94" t="s">
        <v>404</v>
      </c>
      <c r="N161" s="95" t="s">
        <v>382</v>
      </c>
      <c r="AE161" s="85"/>
      <c r="AF161" s="85"/>
      <c r="AG161" s="85"/>
    </row>
    <row r="162" spans="2:33" ht="14.4" customHeight="1" x14ac:dyDescent="0.3">
      <c r="B162" s="90" t="s">
        <v>719</v>
      </c>
      <c r="C162" s="90" t="s">
        <v>676</v>
      </c>
      <c r="D162" s="91" t="s">
        <v>568</v>
      </c>
      <c r="E162" s="92">
        <v>35</v>
      </c>
      <c r="F162" s="91" t="s">
        <v>568</v>
      </c>
      <c r="G162" s="92">
        <v>45</v>
      </c>
      <c r="H162" s="91" t="s">
        <v>568</v>
      </c>
      <c r="I162" s="92">
        <v>55</v>
      </c>
      <c r="J162" s="96" t="s">
        <v>1119</v>
      </c>
      <c r="K162" s="91" t="s">
        <v>596</v>
      </c>
      <c r="L162" s="91" t="s">
        <v>810</v>
      </c>
      <c r="M162" s="90" t="s">
        <v>416</v>
      </c>
      <c r="N162" s="93" t="s">
        <v>376</v>
      </c>
      <c r="AE162" s="85"/>
      <c r="AF162" s="85"/>
      <c r="AG162" s="85"/>
    </row>
    <row r="163" spans="2:33" ht="14.4" customHeight="1" x14ac:dyDescent="0.3">
      <c r="B163" s="94" t="s">
        <v>819</v>
      </c>
      <c r="C163" s="94" t="s">
        <v>676</v>
      </c>
      <c r="D163" s="96" t="s">
        <v>568</v>
      </c>
      <c r="E163" s="97">
        <v>25</v>
      </c>
      <c r="F163" s="96" t="s">
        <v>568</v>
      </c>
      <c r="G163" s="97">
        <v>30</v>
      </c>
      <c r="H163" s="96" t="s">
        <v>568</v>
      </c>
      <c r="I163" s="97">
        <v>30</v>
      </c>
      <c r="J163" s="96" t="s">
        <v>1119</v>
      </c>
      <c r="K163" s="96" t="s">
        <v>606</v>
      </c>
      <c r="L163" s="96" t="s">
        <v>820</v>
      </c>
      <c r="M163" s="94" t="s">
        <v>375</v>
      </c>
      <c r="N163" s="95" t="s">
        <v>376</v>
      </c>
      <c r="AE163" s="85"/>
      <c r="AF163" s="85"/>
      <c r="AG163" s="85"/>
    </row>
    <row r="164" spans="2:33" ht="14.4" customHeight="1" x14ac:dyDescent="0.3">
      <c r="B164" s="90" t="s">
        <v>646</v>
      </c>
      <c r="C164" s="90" t="s">
        <v>676</v>
      </c>
      <c r="D164" s="91" t="s">
        <v>568</v>
      </c>
      <c r="E164" s="92">
        <v>35</v>
      </c>
      <c r="F164" s="91" t="s">
        <v>568</v>
      </c>
      <c r="G164" s="92">
        <v>40</v>
      </c>
      <c r="H164" s="91" t="s">
        <v>568</v>
      </c>
      <c r="I164" s="92">
        <v>40</v>
      </c>
      <c r="J164" s="96" t="s">
        <v>1119</v>
      </c>
      <c r="K164" s="91" t="s">
        <v>645</v>
      </c>
      <c r="L164" s="91" t="s">
        <v>822</v>
      </c>
      <c r="M164" s="90" t="s">
        <v>424</v>
      </c>
      <c r="N164" s="93" t="s">
        <v>376</v>
      </c>
      <c r="AE164" s="85"/>
      <c r="AF164" s="85"/>
      <c r="AG164" s="85"/>
    </row>
    <row r="165" spans="2:33" ht="14.4" customHeight="1" x14ac:dyDescent="0.3">
      <c r="B165" s="94" t="s">
        <v>579</v>
      </c>
      <c r="C165" s="94" t="s">
        <v>678</v>
      </c>
      <c r="D165" s="96" t="s">
        <v>568</v>
      </c>
      <c r="E165" s="97">
        <v>30</v>
      </c>
      <c r="F165" s="96" t="s">
        <v>568</v>
      </c>
      <c r="G165" s="97">
        <v>40</v>
      </c>
      <c r="H165" s="96" t="s">
        <v>568</v>
      </c>
      <c r="I165" s="97">
        <v>50</v>
      </c>
      <c r="J165" s="96" t="s">
        <v>1119</v>
      </c>
      <c r="K165" s="96" t="s">
        <v>578</v>
      </c>
      <c r="L165" s="96" t="s">
        <v>834</v>
      </c>
      <c r="M165" s="94" t="s">
        <v>485</v>
      </c>
      <c r="N165" s="95" t="s">
        <v>386</v>
      </c>
      <c r="AE165" s="85"/>
      <c r="AF165" s="85"/>
      <c r="AG165" s="85"/>
    </row>
    <row r="166" spans="2:33" ht="14.4" customHeight="1" x14ac:dyDescent="0.3">
      <c r="B166" s="90" t="s">
        <v>719</v>
      </c>
      <c r="C166" s="90" t="s">
        <v>676</v>
      </c>
      <c r="D166" s="91" t="s">
        <v>568</v>
      </c>
      <c r="E166" s="92">
        <v>35</v>
      </c>
      <c r="F166" s="91" t="s">
        <v>568</v>
      </c>
      <c r="G166" s="92">
        <v>45</v>
      </c>
      <c r="H166" s="91" t="s">
        <v>568</v>
      </c>
      <c r="I166" s="92">
        <v>55</v>
      </c>
      <c r="J166" s="96" t="s">
        <v>1119</v>
      </c>
      <c r="K166" s="91" t="s">
        <v>596</v>
      </c>
      <c r="L166" s="91" t="s">
        <v>838</v>
      </c>
      <c r="M166" s="90" t="s">
        <v>489</v>
      </c>
      <c r="N166" s="93" t="s">
        <v>392</v>
      </c>
      <c r="AE166" s="85"/>
      <c r="AF166" s="85"/>
      <c r="AG166" s="85"/>
    </row>
    <row r="167" spans="2:33" ht="14.4" customHeight="1" x14ac:dyDescent="0.3">
      <c r="B167" s="94" t="s">
        <v>680</v>
      </c>
      <c r="C167" s="94" t="s">
        <v>678</v>
      </c>
      <c r="D167" s="96" t="s">
        <v>568</v>
      </c>
      <c r="E167" s="97">
        <v>25</v>
      </c>
      <c r="F167" s="96" t="s">
        <v>568</v>
      </c>
      <c r="G167" s="97">
        <v>30</v>
      </c>
      <c r="H167" s="96" t="s">
        <v>568</v>
      </c>
      <c r="I167" s="97">
        <v>30</v>
      </c>
      <c r="J167" s="96" t="s">
        <v>1119</v>
      </c>
      <c r="K167" s="96" t="s">
        <v>679</v>
      </c>
      <c r="L167" s="96" t="s">
        <v>839</v>
      </c>
      <c r="M167" s="94" t="s">
        <v>446</v>
      </c>
      <c r="N167" s="95" t="s">
        <v>386</v>
      </c>
      <c r="AE167" s="85"/>
      <c r="AF167" s="85"/>
      <c r="AG167" s="85"/>
    </row>
    <row r="168" spans="2:33" ht="14.4" customHeight="1" x14ac:dyDescent="0.3">
      <c r="B168" s="90" t="s">
        <v>841</v>
      </c>
      <c r="C168" s="90" t="s">
        <v>678</v>
      </c>
      <c r="D168" s="91" t="s">
        <v>568</v>
      </c>
      <c r="E168" s="92">
        <v>25</v>
      </c>
      <c r="F168" s="91" t="s">
        <v>568</v>
      </c>
      <c r="G168" s="92">
        <v>28</v>
      </c>
      <c r="H168" s="91" t="s">
        <v>568</v>
      </c>
      <c r="I168" s="92">
        <v>30</v>
      </c>
      <c r="J168" s="96" t="s">
        <v>1119</v>
      </c>
      <c r="K168" s="91" t="s">
        <v>840</v>
      </c>
      <c r="L168" s="91" t="s">
        <v>842</v>
      </c>
      <c r="M168" s="90" t="s">
        <v>367</v>
      </c>
      <c r="N168" s="93" t="s">
        <v>368</v>
      </c>
      <c r="AE168" s="85"/>
      <c r="AF168" s="85"/>
      <c r="AG168" s="85"/>
    </row>
    <row r="169" spans="2:33" ht="14.4" customHeight="1" x14ac:dyDescent="0.3">
      <c r="B169" s="94" t="s">
        <v>845</v>
      </c>
      <c r="C169" s="94" t="s">
        <v>727</v>
      </c>
      <c r="D169" s="96" t="s">
        <v>568</v>
      </c>
      <c r="E169" s="97">
        <v>35</v>
      </c>
      <c r="F169" s="96" t="s">
        <v>568</v>
      </c>
      <c r="G169" s="97">
        <v>40</v>
      </c>
      <c r="H169" s="96" t="s">
        <v>568</v>
      </c>
      <c r="I169" s="97">
        <v>45</v>
      </c>
      <c r="J169" s="96" t="s">
        <v>1119</v>
      </c>
      <c r="K169" s="96" t="s">
        <v>569</v>
      </c>
      <c r="L169" s="96" t="s">
        <v>846</v>
      </c>
      <c r="M169" s="94" t="s">
        <v>367</v>
      </c>
      <c r="N169" s="95" t="s">
        <v>368</v>
      </c>
      <c r="AE169" s="85"/>
      <c r="AF169" s="85"/>
      <c r="AG169" s="85"/>
    </row>
    <row r="170" spans="2:33" ht="14.4" customHeight="1" x14ac:dyDescent="0.3">
      <c r="B170" s="90" t="s">
        <v>703</v>
      </c>
      <c r="C170" s="90" t="s">
        <v>676</v>
      </c>
      <c r="D170" s="91" t="s">
        <v>568</v>
      </c>
      <c r="E170" s="92">
        <v>30</v>
      </c>
      <c r="F170" s="91" t="s">
        <v>568</v>
      </c>
      <c r="G170" s="92">
        <v>40</v>
      </c>
      <c r="H170" s="91" t="s">
        <v>568</v>
      </c>
      <c r="I170" s="92">
        <v>50</v>
      </c>
      <c r="J170" s="96" t="s">
        <v>1119</v>
      </c>
      <c r="K170" s="91" t="s">
        <v>702</v>
      </c>
      <c r="L170" s="91" t="s">
        <v>856</v>
      </c>
      <c r="M170" s="90" t="s">
        <v>483</v>
      </c>
      <c r="N170" s="93" t="s">
        <v>484</v>
      </c>
      <c r="AE170" s="85"/>
      <c r="AF170" s="85"/>
      <c r="AG170" s="85"/>
    </row>
    <row r="171" spans="2:33" ht="14.4" customHeight="1" x14ac:dyDescent="0.3">
      <c r="B171" s="94" t="s">
        <v>646</v>
      </c>
      <c r="C171" s="94" t="s">
        <v>609</v>
      </c>
      <c r="D171" s="96" t="s">
        <v>568</v>
      </c>
      <c r="E171" s="97">
        <v>35</v>
      </c>
      <c r="F171" s="96" t="s">
        <v>568</v>
      </c>
      <c r="G171" s="97">
        <v>40</v>
      </c>
      <c r="H171" s="96" t="s">
        <v>568</v>
      </c>
      <c r="I171" s="97">
        <v>40</v>
      </c>
      <c r="J171" s="96" t="s">
        <v>1119</v>
      </c>
      <c r="K171" s="96" t="s">
        <v>645</v>
      </c>
      <c r="L171" s="96" t="s">
        <v>858</v>
      </c>
      <c r="M171" s="94" t="s">
        <v>438</v>
      </c>
      <c r="N171" s="95" t="s">
        <v>439</v>
      </c>
      <c r="AE171" s="85"/>
      <c r="AF171" s="85"/>
      <c r="AG171" s="85"/>
    </row>
    <row r="172" spans="2:33" ht="14.4" customHeight="1" x14ac:dyDescent="0.3">
      <c r="B172" s="90" t="s">
        <v>754</v>
      </c>
      <c r="C172" s="90" t="s">
        <v>676</v>
      </c>
      <c r="D172" s="91" t="s">
        <v>568</v>
      </c>
      <c r="E172" s="92">
        <v>45</v>
      </c>
      <c r="F172" s="91" t="s">
        <v>568</v>
      </c>
      <c r="G172" s="92">
        <v>50</v>
      </c>
      <c r="H172" s="91" t="s">
        <v>568</v>
      </c>
      <c r="I172" s="92">
        <v>50</v>
      </c>
      <c r="J172" s="96" t="s">
        <v>1119</v>
      </c>
      <c r="K172" s="91" t="s">
        <v>645</v>
      </c>
      <c r="L172" s="91" t="s">
        <v>860</v>
      </c>
      <c r="M172" s="90" t="s">
        <v>490</v>
      </c>
      <c r="N172" s="93" t="s">
        <v>399</v>
      </c>
      <c r="AE172" s="85"/>
      <c r="AF172" s="85"/>
      <c r="AG172" s="85"/>
    </row>
    <row r="173" spans="2:33" ht="14.4" customHeight="1" x14ac:dyDescent="0.3">
      <c r="B173" s="94" t="s">
        <v>863</v>
      </c>
      <c r="C173" s="94" t="s">
        <v>676</v>
      </c>
      <c r="D173" s="96" t="s">
        <v>568</v>
      </c>
      <c r="E173" s="97">
        <v>25</v>
      </c>
      <c r="F173" s="96" t="s">
        <v>568</v>
      </c>
      <c r="G173" s="97">
        <v>30</v>
      </c>
      <c r="H173" s="96" t="s">
        <v>568</v>
      </c>
      <c r="I173" s="97">
        <v>30</v>
      </c>
      <c r="J173" s="96" t="s">
        <v>1119</v>
      </c>
      <c r="K173" s="96" t="s">
        <v>862</v>
      </c>
      <c r="L173" s="96" t="s">
        <v>864</v>
      </c>
      <c r="M173" s="94" t="s">
        <v>408</v>
      </c>
      <c r="N173" s="95" t="s">
        <v>364</v>
      </c>
      <c r="AE173" s="85"/>
      <c r="AF173" s="85"/>
      <c r="AG173" s="85"/>
    </row>
    <row r="174" spans="2:33" ht="14.4" customHeight="1" x14ac:dyDescent="0.3">
      <c r="B174" s="90" t="s">
        <v>719</v>
      </c>
      <c r="C174" s="90" t="s">
        <v>676</v>
      </c>
      <c r="D174" s="91" t="s">
        <v>568</v>
      </c>
      <c r="E174" s="92">
        <v>35</v>
      </c>
      <c r="F174" s="91" t="s">
        <v>568</v>
      </c>
      <c r="G174" s="92">
        <v>45</v>
      </c>
      <c r="H174" s="91" t="s">
        <v>568</v>
      </c>
      <c r="I174" s="92">
        <v>55</v>
      </c>
      <c r="J174" s="96" t="s">
        <v>1119</v>
      </c>
      <c r="K174" s="91" t="s">
        <v>596</v>
      </c>
      <c r="L174" s="91" t="s">
        <v>865</v>
      </c>
      <c r="M174" s="90" t="s">
        <v>412</v>
      </c>
      <c r="N174" s="93" t="s">
        <v>413</v>
      </c>
      <c r="AE174" s="85"/>
      <c r="AF174" s="85"/>
      <c r="AG174" s="85"/>
    </row>
    <row r="175" spans="2:33" ht="14.4" customHeight="1" x14ac:dyDescent="0.3">
      <c r="B175" s="94" t="s">
        <v>745</v>
      </c>
      <c r="C175" s="94" t="s">
        <v>676</v>
      </c>
      <c r="D175" s="96" t="s">
        <v>568</v>
      </c>
      <c r="E175" s="97">
        <v>35</v>
      </c>
      <c r="F175" s="96" t="s">
        <v>568</v>
      </c>
      <c r="G175" s="97">
        <v>40</v>
      </c>
      <c r="H175" s="96" t="s">
        <v>568</v>
      </c>
      <c r="I175" s="97">
        <v>45</v>
      </c>
      <c r="J175" s="96" t="s">
        <v>1119</v>
      </c>
      <c r="K175" s="96" t="s">
        <v>569</v>
      </c>
      <c r="L175" s="96" t="s">
        <v>879</v>
      </c>
      <c r="M175" s="94" t="s">
        <v>444</v>
      </c>
      <c r="N175" s="95" t="s">
        <v>392</v>
      </c>
      <c r="AE175" s="85"/>
      <c r="AF175" s="85"/>
      <c r="AG175" s="85"/>
    </row>
    <row r="176" spans="2:33" ht="14.4" customHeight="1" x14ac:dyDescent="0.3">
      <c r="B176" s="90" t="s">
        <v>841</v>
      </c>
      <c r="C176" s="90" t="s">
        <v>678</v>
      </c>
      <c r="D176" s="91" t="s">
        <v>568</v>
      </c>
      <c r="E176" s="92">
        <v>25</v>
      </c>
      <c r="F176" s="91" t="s">
        <v>568</v>
      </c>
      <c r="G176" s="92">
        <v>28</v>
      </c>
      <c r="H176" s="91" t="s">
        <v>568</v>
      </c>
      <c r="I176" s="92">
        <v>30</v>
      </c>
      <c r="J176" s="96" t="s">
        <v>1119</v>
      </c>
      <c r="K176" s="91" t="s">
        <v>840</v>
      </c>
      <c r="L176" s="91" t="s">
        <v>882</v>
      </c>
      <c r="M176" s="90" t="s">
        <v>491</v>
      </c>
      <c r="N176" s="93" t="s">
        <v>492</v>
      </c>
      <c r="AE176" s="85"/>
      <c r="AF176" s="85"/>
      <c r="AG176" s="85"/>
    </row>
    <row r="177" spans="2:33" ht="14.4" customHeight="1" x14ac:dyDescent="0.3">
      <c r="B177" s="94" t="s">
        <v>813</v>
      </c>
      <c r="C177" s="94" t="s">
        <v>676</v>
      </c>
      <c r="D177" s="96" t="s">
        <v>568</v>
      </c>
      <c r="E177" s="97">
        <v>25</v>
      </c>
      <c r="F177" s="96" t="s">
        <v>568</v>
      </c>
      <c r="G177" s="97">
        <v>28</v>
      </c>
      <c r="H177" s="96" t="s">
        <v>568</v>
      </c>
      <c r="I177" s="97">
        <v>30</v>
      </c>
      <c r="J177" s="96" t="s">
        <v>1119</v>
      </c>
      <c r="K177" s="96" t="s">
        <v>656</v>
      </c>
      <c r="L177" s="96" t="s">
        <v>893</v>
      </c>
      <c r="M177" s="94" t="s">
        <v>493</v>
      </c>
      <c r="N177" s="95" t="s">
        <v>442</v>
      </c>
      <c r="AE177" s="85"/>
      <c r="AF177" s="85"/>
      <c r="AG177" s="85"/>
    </row>
    <row r="178" spans="2:33" ht="14.4" customHeight="1" x14ac:dyDescent="0.3">
      <c r="B178" s="90" t="s">
        <v>729</v>
      </c>
      <c r="C178" s="90" t="s">
        <v>727</v>
      </c>
      <c r="D178" s="91" t="s">
        <v>568</v>
      </c>
      <c r="E178" s="92">
        <v>35</v>
      </c>
      <c r="F178" s="91" t="s">
        <v>568</v>
      </c>
      <c r="G178" s="92">
        <v>40</v>
      </c>
      <c r="H178" s="91" t="s">
        <v>568</v>
      </c>
      <c r="I178" s="92">
        <v>45</v>
      </c>
      <c r="J178" s="96" t="s">
        <v>1119</v>
      </c>
      <c r="K178" s="91" t="s">
        <v>728</v>
      </c>
      <c r="L178" s="91" t="s">
        <v>899</v>
      </c>
      <c r="M178" s="90" t="s">
        <v>475</v>
      </c>
      <c r="N178" s="93" t="s">
        <v>476</v>
      </c>
      <c r="AE178" s="85"/>
      <c r="AF178" s="85"/>
      <c r="AG178" s="85"/>
    </row>
    <row r="179" spans="2:33" ht="14.4" customHeight="1" x14ac:dyDescent="0.3">
      <c r="B179" s="94" t="s">
        <v>742</v>
      </c>
      <c r="C179" s="94" t="s">
        <v>678</v>
      </c>
      <c r="D179" s="96" t="s">
        <v>568</v>
      </c>
      <c r="E179" s="97">
        <v>35</v>
      </c>
      <c r="F179" s="96" t="s">
        <v>568</v>
      </c>
      <c r="G179" s="97">
        <v>35</v>
      </c>
      <c r="H179" s="96" t="s">
        <v>568</v>
      </c>
      <c r="I179" s="97">
        <v>35</v>
      </c>
      <c r="J179" s="96" t="s">
        <v>1120</v>
      </c>
      <c r="K179" s="96" t="s">
        <v>602</v>
      </c>
      <c r="L179" s="96" t="s">
        <v>905</v>
      </c>
      <c r="M179" s="94" t="s">
        <v>416</v>
      </c>
      <c r="N179" s="95" t="s">
        <v>376</v>
      </c>
      <c r="AE179" s="85"/>
      <c r="AF179" s="85"/>
      <c r="AG179" s="85"/>
    </row>
    <row r="180" spans="2:33" ht="14.4" customHeight="1" x14ac:dyDescent="0.3">
      <c r="B180" s="90" t="s">
        <v>698</v>
      </c>
      <c r="C180" s="90" t="s">
        <v>676</v>
      </c>
      <c r="D180" s="91" t="s">
        <v>568</v>
      </c>
      <c r="E180" s="92">
        <v>30</v>
      </c>
      <c r="F180" s="91" t="s">
        <v>568</v>
      </c>
      <c r="G180" s="92">
        <v>40</v>
      </c>
      <c r="H180" s="91" t="s">
        <v>568</v>
      </c>
      <c r="I180" s="92">
        <v>50</v>
      </c>
      <c r="J180" s="96" t="s">
        <v>1119</v>
      </c>
      <c r="K180" s="91" t="s">
        <v>578</v>
      </c>
      <c r="L180" s="91" t="s">
        <v>908</v>
      </c>
      <c r="M180" s="90" t="s">
        <v>494</v>
      </c>
      <c r="N180" s="93" t="s">
        <v>434</v>
      </c>
      <c r="AE180" s="85"/>
      <c r="AF180" s="85"/>
      <c r="AG180" s="85"/>
    </row>
    <row r="181" spans="2:33" ht="14.4" customHeight="1" x14ac:dyDescent="0.3">
      <c r="B181" s="94" t="s">
        <v>911</v>
      </c>
      <c r="C181" s="94" t="s">
        <v>676</v>
      </c>
      <c r="D181" s="96" t="s">
        <v>568</v>
      </c>
      <c r="E181" s="97">
        <v>25</v>
      </c>
      <c r="F181" s="96" t="s">
        <v>568</v>
      </c>
      <c r="G181" s="97">
        <v>28</v>
      </c>
      <c r="H181" s="96" t="s">
        <v>568</v>
      </c>
      <c r="I181" s="97">
        <v>30</v>
      </c>
      <c r="J181" s="96" t="s">
        <v>1119</v>
      </c>
      <c r="K181" s="96" t="s">
        <v>623</v>
      </c>
      <c r="L181" s="96" t="s">
        <v>912</v>
      </c>
      <c r="M181" s="94" t="s">
        <v>435</v>
      </c>
      <c r="N181" s="95" t="s">
        <v>374</v>
      </c>
      <c r="AE181" s="85"/>
      <c r="AF181" s="85"/>
      <c r="AG181" s="85"/>
    </row>
    <row r="182" spans="2:33" ht="14.4" customHeight="1" x14ac:dyDescent="0.3">
      <c r="B182" s="90" t="s">
        <v>703</v>
      </c>
      <c r="C182" s="90" t="s">
        <v>676</v>
      </c>
      <c r="D182" s="91" t="s">
        <v>568</v>
      </c>
      <c r="E182" s="92">
        <v>30</v>
      </c>
      <c r="F182" s="91" t="s">
        <v>568</v>
      </c>
      <c r="G182" s="92">
        <v>40</v>
      </c>
      <c r="H182" s="91" t="s">
        <v>568</v>
      </c>
      <c r="I182" s="92">
        <v>50</v>
      </c>
      <c r="J182" s="96" t="s">
        <v>1119</v>
      </c>
      <c r="K182" s="91" t="s">
        <v>702</v>
      </c>
      <c r="L182" s="91" t="s">
        <v>925</v>
      </c>
      <c r="M182" s="90" t="s">
        <v>367</v>
      </c>
      <c r="N182" s="93" t="s">
        <v>368</v>
      </c>
      <c r="AE182" s="85"/>
      <c r="AF182" s="85"/>
      <c r="AG182" s="85"/>
    </row>
    <row r="183" spans="2:33" ht="14.4" customHeight="1" x14ac:dyDescent="0.3">
      <c r="B183" s="94" t="s">
        <v>845</v>
      </c>
      <c r="C183" s="94" t="s">
        <v>609</v>
      </c>
      <c r="D183" s="96" t="s">
        <v>568</v>
      </c>
      <c r="E183" s="97">
        <v>35</v>
      </c>
      <c r="F183" s="96" t="s">
        <v>568</v>
      </c>
      <c r="G183" s="97">
        <v>40</v>
      </c>
      <c r="H183" s="96" t="s">
        <v>568</v>
      </c>
      <c r="I183" s="97">
        <v>45</v>
      </c>
      <c r="J183" s="96" t="s">
        <v>1119</v>
      </c>
      <c r="K183" s="96" t="s">
        <v>569</v>
      </c>
      <c r="L183" s="96" t="s">
        <v>929</v>
      </c>
      <c r="M183" s="94" t="s">
        <v>438</v>
      </c>
      <c r="N183" s="95" t="s">
        <v>439</v>
      </c>
      <c r="AE183" s="85"/>
      <c r="AF183" s="85"/>
      <c r="AG183" s="85"/>
    </row>
    <row r="184" spans="2:33" ht="14.4" customHeight="1" x14ac:dyDescent="0.3">
      <c r="B184" s="90" t="s">
        <v>599</v>
      </c>
      <c r="C184" s="90" t="s">
        <v>676</v>
      </c>
      <c r="D184" s="91" t="s">
        <v>568</v>
      </c>
      <c r="E184" s="92">
        <v>30</v>
      </c>
      <c r="F184" s="91" t="s">
        <v>568</v>
      </c>
      <c r="G184" s="92">
        <v>40</v>
      </c>
      <c r="H184" s="91" t="s">
        <v>568</v>
      </c>
      <c r="I184" s="92">
        <v>50</v>
      </c>
      <c r="J184" s="96" t="s">
        <v>1119</v>
      </c>
      <c r="K184" s="91" t="s">
        <v>578</v>
      </c>
      <c r="L184" s="91" t="s">
        <v>950</v>
      </c>
      <c r="M184" s="90" t="s">
        <v>443</v>
      </c>
      <c r="N184" s="93" t="s">
        <v>366</v>
      </c>
      <c r="AE184" s="85"/>
      <c r="AF184" s="85"/>
      <c r="AG184" s="85"/>
    </row>
    <row r="185" spans="2:33" ht="14.4" customHeight="1" x14ac:dyDescent="0.3">
      <c r="B185" s="94" t="s">
        <v>570</v>
      </c>
      <c r="C185" s="94" t="s">
        <v>676</v>
      </c>
      <c r="D185" s="96" t="s">
        <v>568</v>
      </c>
      <c r="E185" s="97">
        <v>30</v>
      </c>
      <c r="F185" s="96" t="s">
        <v>568</v>
      </c>
      <c r="G185" s="97">
        <v>40</v>
      </c>
      <c r="H185" s="96" t="s">
        <v>568</v>
      </c>
      <c r="I185" s="97">
        <v>45</v>
      </c>
      <c r="J185" s="96" t="s">
        <v>1120</v>
      </c>
      <c r="K185" s="96" t="s">
        <v>569</v>
      </c>
      <c r="L185" s="96" t="s">
        <v>951</v>
      </c>
      <c r="M185" s="94" t="s">
        <v>416</v>
      </c>
      <c r="N185" s="95" t="s">
        <v>376</v>
      </c>
      <c r="AE185" s="85"/>
      <c r="AF185" s="85"/>
      <c r="AG185" s="85"/>
    </row>
    <row r="186" spans="2:33" ht="14.4" customHeight="1" x14ac:dyDescent="0.3">
      <c r="B186" s="90" t="s">
        <v>745</v>
      </c>
      <c r="C186" s="90" t="s">
        <v>676</v>
      </c>
      <c r="D186" s="91" t="s">
        <v>568</v>
      </c>
      <c r="E186" s="92">
        <v>35</v>
      </c>
      <c r="F186" s="91" t="s">
        <v>568</v>
      </c>
      <c r="G186" s="92">
        <v>40</v>
      </c>
      <c r="H186" s="91" t="s">
        <v>568</v>
      </c>
      <c r="I186" s="92">
        <v>45</v>
      </c>
      <c r="J186" s="96" t="s">
        <v>1119</v>
      </c>
      <c r="K186" s="91" t="s">
        <v>569</v>
      </c>
      <c r="L186" s="91" t="s">
        <v>957</v>
      </c>
      <c r="M186" s="90" t="s">
        <v>426</v>
      </c>
      <c r="N186" s="93" t="s">
        <v>427</v>
      </c>
      <c r="AE186" s="85"/>
      <c r="AF186" s="85"/>
      <c r="AG186" s="85"/>
    </row>
    <row r="187" spans="2:33" ht="14.4" customHeight="1" x14ac:dyDescent="0.3">
      <c r="B187" s="94" t="s">
        <v>962</v>
      </c>
      <c r="C187" s="94" t="s">
        <v>676</v>
      </c>
      <c r="D187" s="96" t="s">
        <v>568</v>
      </c>
      <c r="E187" s="97">
        <v>25</v>
      </c>
      <c r="F187" s="96" t="s">
        <v>568</v>
      </c>
      <c r="G187" s="97">
        <v>30</v>
      </c>
      <c r="H187" s="96" t="s">
        <v>568</v>
      </c>
      <c r="I187" s="97">
        <v>30</v>
      </c>
      <c r="J187" s="96" t="s">
        <v>1119</v>
      </c>
      <c r="K187" s="96" t="s">
        <v>961</v>
      </c>
      <c r="L187" s="96" t="s">
        <v>963</v>
      </c>
      <c r="M187" s="94" t="s">
        <v>445</v>
      </c>
      <c r="N187" s="95" t="s">
        <v>380</v>
      </c>
      <c r="AE187" s="85"/>
      <c r="AF187" s="85"/>
      <c r="AG187" s="85"/>
    </row>
    <row r="188" spans="2:33" ht="14.4" customHeight="1" x14ac:dyDescent="0.3">
      <c r="B188" s="90" t="s">
        <v>570</v>
      </c>
      <c r="C188" s="90" t="s">
        <v>676</v>
      </c>
      <c r="D188" s="91" t="s">
        <v>568</v>
      </c>
      <c r="E188" s="92">
        <v>30</v>
      </c>
      <c r="F188" s="91" t="s">
        <v>568</v>
      </c>
      <c r="G188" s="92">
        <v>40</v>
      </c>
      <c r="H188" s="91" t="s">
        <v>568</v>
      </c>
      <c r="I188" s="92">
        <v>45</v>
      </c>
      <c r="J188" s="96" t="s">
        <v>1120</v>
      </c>
      <c r="K188" s="91" t="s">
        <v>569</v>
      </c>
      <c r="L188" s="91" t="s">
        <v>973</v>
      </c>
      <c r="M188" s="90" t="s">
        <v>443</v>
      </c>
      <c r="N188" s="93" t="s">
        <v>366</v>
      </c>
      <c r="AE188" s="85"/>
      <c r="AF188" s="85"/>
      <c r="AG188" s="85"/>
    </row>
    <row r="189" spans="2:33" ht="14.4" customHeight="1" x14ac:dyDescent="0.3">
      <c r="B189" s="94" t="s">
        <v>813</v>
      </c>
      <c r="C189" s="94" t="s">
        <v>676</v>
      </c>
      <c r="D189" s="96" t="s">
        <v>568</v>
      </c>
      <c r="E189" s="97">
        <v>30</v>
      </c>
      <c r="F189" s="96" t="s">
        <v>568</v>
      </c>
      <c r="G189" s="97">
        <v>33</v>
      </c>
      <c r="H189" s="96" t="s">
        <v>568</v>
      </c>
      <c r="I189" s="97">
        <v>35</v>
      </c>
      <c r="J189" s="96" t="s">
        <v>1119</v>
      </c>
      <c r="K189" s="96" t="s">
        <v>656</v>
      </c>
      <c r="L189" s="96" t="s">
        <v>974</v>
      </c>
      <c r="M189" s="94" t="s">
        <v>425</v>
      </c>
      <c r="N189" s="95" t="s">
        <v>370</v>
      </c>
      <c r="AE189" s="85"/>
      <c r="AF189" s="85"/>
      <c r="AG189" s="85"/>
    </row>
    <row r="190" spans="2:33" ht="14.4" customHeight="1" x14ac:dyDescent="0.3">
      <c r="B190" s="90" t="s">
        <v>632</v>
      </c>
      <c r="C190" s="90" t="s">
        <v>637</v>
      </c>
      <c r="D190" s="91" t="s">
        <v>568</v>
      </c>
      <c r="E190" s="92">
        <v>25</v>
      </c>
      <c r="F190" s="91" t="s">
        <v>568</v>
      </c>
      <c r="G190" s="92">
        <v>28</v>
      </c>
      <c r="H190" s="91" t="s">
        <v>568</v>
      </c>
      <c r="I190" s="92">
        <v>30</v>
      </c>
      <c r="J190" s="96" t="s">
        <v>1119</v>
      </c>
      <c r="K190" s="91" t="s">
        <v>631</v>
      </c>
      <c r="L190" s="91" t="s">
        <v>979</v>
      </c>
      <c r="M190" s="90" t="s">
        <v>438</v>
      </c>
      <c r="N190" s="93" t="s">
        <v>439</v>
      </c>
      <c r="AE190" s="85"/>
      <c r="AF190" s="85"/>
      <c r="AG190" s="85"/>
    </row>
    <row r="191" spans="2:33" ht="14.4" customHeight="1" x14ac:dyDescent="0.3">
      <c r="B191" s="94" t="s">
        <v>983</v>
      </c>
      <c r="C191" s="94" t="s">
        <v>637</v>
      </c>
      <c r="D191" s="96" t="s">
        <v>568</v>
      </c>
      <c r="E191" s="97">
        <v>45</v>
      </c>
      <c r="F191" s="96" t="s">
        <v>568</v>
      </c>
      <c r="G191" s="97">
        <v>50</v>
      </c>
      <c r="H191" s="96" t="s">
        <v>568</v>
      </c>
      <c r="I191" s="97">
        <v>55</v>
      </c>
      <c r="J191" s="96" t="s">
        <v>1119</v>
      </c>
      <c r="K191" s="96" t="s">
        <v>638</v>
      </c>
      <c r="L191" s="96" t="s">
        <v>984</v>
      </c>
      <c r="M191" s="94" t="s">
        <v>463</v>
      </c>
      <c r="N191" s="95" t="s">
        <v>464</v>
      </c>
      <c r="AE191" s="85"/>
      <c r="AF191" s="85"/>
      <c r="AG191" s="85"/>
    </row>
    <row r="192" spans="2:33" ht="14.4" customHeight="1" x14ac:dyDescent="0.3">
      <c r="B192" s="90" t="s">
        <v>695</v>
      </c>
      <c r="C192" s="90" t="s">
        <v>676</v>
      </c>
      <c r="D192" s="91" t="s">
        <v>568</v>
      </c>
      <c r="E192" s="92">
        <v>44</v>
      </c>
      <c r="F192" s="91" t="s">
        <v>568</v>
      </c>
      <c r="G192" s="92">
        <v>48</v>
      </c>
      <c r="H192" s="91" t="s">
        <v>568</v>
      </c>
      <c r="I192" s="92">
        <v>48</v>
      </c>
      <c r="J192" s="96" t="s">
        <v>1119</v>
      </c>
      <c r="K192" s="91" t="s">
        <v>589</v>
      </c>
      <c r="L192" s="91" t="s">
        <v>1016</v>
      </c>
      <c r="M192" s="90" t="s">
        <v>495</v>
      </c>
      <c r="N192" s="93" t="s">
        <v>496</v>
      </c>
      <c r="AE192" s="85"/>
      <c r="AF192" s="85"/>
      <c r="AG192" s="85"/>
    </row>
    <row r="193" spans="2:33" ht="14.4" customHeight="1" x14ac:dyDescent="0.3">
      <c r="B193" s="94" t="s">
        <v>983</v>
      </c>
      <c r="C193" s="94" t="s">
        <v>637</v>
      </c>
      <c r="D193" s="96" t="s">
        <v>568</v>
      </c>
      <c r="E193" s="97">
        <v>45</v>
      </c>
      <c r="F193" s="96" t="s">
        <v>568</v>
      </c>
      <c r="G193" s="97">
        <v>50</v>
      </c>
      <c r="H193" s="96" t="s">
        <v>568</v>
      </c>
      <c r="I193" s="97">
        <v>55</v>
      </c>
      <c r="J193" s="96" t="s">
        <v>1119</v>
      </c>
      <c r="K193" s="96" t="s">
        <v>638</v>
      </c>
      <c r="L193" s="96" t="s">
        <v>1028</v>
      </c>
      <c r="M193" s="94" t="s">
        <v>424</v>
      </c>
      <c r="N193" s="95" t="s">
        <v>376</v>
      </c>
      <c r="AE193" s="85"/>
      <c r="AF193" s="85"/>
      <c r="AG193" s="85"/>
    </row>
    <row r="194" spans="2:33" ht="14.4" customHeight="1" x14ac:dyDescent="0.3">
      <c r="B194" s="90" t="s">
        <v>742</v>
      </c>
      <c r="C194" s="90" t="s">
        <v>609</v>
      </c>
      <c r="D194" s="91" t="s">
        <v>568</v>
      </c>
      <c r="E194" s="92">
        <v>35</v>
      </c>
      <c r="F194" s="91" t="s">
        <v>568</v>
      </c>
      <c r="G194" s="92">
        <v>35</v>
      </c>
      <c r="H194" s="91" t="s">
        <v>568</v>
      </c>
      <c r="I194" s="92">
        <v>35</v>
      </c>
      <c r="J194" s="96" t="s">
        <v>1120</v>
      </c>
      <c r="K194" s="91" t="s">
        <v>602</v>
      </c>
      <c r="L194" s="91" t="s">
        <v>1041</v>
      </c>
      <c r="M194" s="90" t="s">
        <v>497</v>
      </c>
      <c r="N194" s="93" t="s">
        <v>498</v>
      </c>
      <c r="AE194" s="85"/>
      <c r="AF194" s="85"/>
      <c r="AG194" s="85"/>
    </row>
    <row r="195" spans="2:33" ht="14.4" customHeight="1" x14ac:dyDescent="0.3">
      <c r="B195" s="94" t="s">
        <v>742</v>
      </c>
      <c r="C195" s="94" t="s">
        <v>1058</v>
      </c>
      <c r="D195" s="96" t="s">
        <v>568</v>
      </c>
      <c r="E195" s="97">
        <v>35</v>
      </c>
      <c r="F195" s="96" t="s">
        <v>568</v>
      </c>
      <c r="G195" s="97">
        <v>35</v>
      </c>
      <c r="H195" s="96" t="s">
        <v>568</v>
      </c>
      <c r="I195" s="97">
        <v>35</v>
      </c>
      <c r="J195" s="96" t="s">
        <v>1120</v>
      </c>
      <c r="K195" s="96" t="s">
        <v>602</v>
      </c>
      <c r="L195" s="96" t="s">
        <v>1059</v>
      </c>
      <c r="M195" s="94" t="s">
        <v>499</v>
      </c>
      <c r="N195" s="95" t="s">
        <v>500</v>
      </c>
      <c r="AE195" s="85"/>
      <c r="AF195" s="85"/>
      <c r="AG195" s="85"/>
    </row>
    <row r="196" spans="2:33" ht="14.4" customHeight="1" x14ac:dyDescent="0.3">
      <c r="B196" s="90" t="s">
        <v>742</v>
      </c>
      <c r="C196" s="90" t="s">
        <v>727</v>
      </c>
      <c r="D196" s="91" t="s">
        <v>568</v>
      </c>
      <c r="E196" s="92">
        <v>35</v>
      </c>
      <c r="F196" s="91" t="s">
        <v>568</v>
      </c>
      <c r="G196" s="92">
        <v>35</v>
      </c>
      <c r="H196" s="91" t="s">
        <v>568</v>
      </c>
      <c r="I196" s="92">
        <v>35</v>
      </c>
      <c r="J196" s="96" t="s">
        <v>1120</v>
      </c>
      <c r="K196" s="91" t="s">
        <v>602</v>
      </c>
      <c r="L196" s="91" t="s">
        <v>1062</v>
      </c>
      <c r="M196" s="90" t="s">
        <v>378</v>
      </c>
      <c r="N196" s="93" t="s">
        <v>370</v>
      </c>
      <c r="AE196" s="85"/>
      <c r="AF196" s="85"/>
      <c r="AG196" s="85"/>
    </row>
    <row r="197" spans="2:33" ht="14.4" customHeight="1" x14ac:dyDescent="0.3">
      <c r="B197" s="94" t="s">
        <v>742</v>
      </c>
      <c r="C197" s="94" t="s">
        <v>609</v>
      </c>
      <c r="D197" s="96" t="s">
        <v>568</v>
      </c>
      <c r="E197" s="97">
        <v>35</v>
      </c>
      <c r="F197" s="96" t="s">
        <v>568</v>
      </c>
      <c r="G197" s="97">
        <v>35</v>
      </c>
      <c r="H197" s="96" t="s">
        <v>568</v>
      </c>
      <c r="I197" s="97">
        <v>35</v>
      </c>
      <c r="J197" s="96" t="s">
        <v>1120</v>
      </c>
      <c r="K197" s="96" t="s">
        <v>602</v>
      </c>
      <c r="L197" s="96" t="s">
        <v>1067</v>
      </c>
      <c r="M197" s="94" t="s">
        <v>501</v>
      </c>
      <c r="N197" s="95" t="s">
        <v>418</v>
      </c>
      <c r="AE197" s="85"/>
      <c r="AF197" s="85"/>
      <c r="AG197" s="85"/>
    </row>
    <row r="198" spans="2:33" ht="14.4" customHeight="1" x14ac:dyDescent="0.3">
      <c r="B198" s="90" t="s">
        <v>579</v>
      </c>
      <c r="C198" s="90" t="s">
        <v>676</v>
      </c>
      <c r="D198" s="91" t="s">
        <v>568</v>
      </c>
      <c r="E198" s="92">
        <v>30</v>
      </c>
      <c r="F198" s="91" t="s">
        <v>568</v>
      </c>
      <c r="G198" s="92">
        <v>40</v>
      </c>
      <c r="H198" s="91" t="s">
        <v>568</v>
      </c>
      <c r="I198" s="92">
        <v>50</v>
      </c>
      <c r="J198" s="96" t="s">
        <v>1119</v>
      </c>
      <c r="K198" s="91" t="s">
        <v>578</v>
      </c>
      <c r="L198" s="91" t="s">
        <v>1073</v>
      </c>
      <c r="M198" s="90" t="s">
        <v>445</v>
      </c>
      <c r="N198" s="93" t="s">
        <v>380</v>
      </c>
      <c r="AE198" s="85"/>
      <c r="AF198" s="85"/>
      <c r="AG198" s="85"/>
    </row>
    <row r="199" spans="2:33" ht="14.4" customHeight="1" x14ac:dyDescent="0.3">
      <c r="B199" s="94" t="s">
        <v>983</v>
      </c>
      <c r="C199" s="94" t="s">
        <v>727</v>
      </c>
      <c r="D199" s="96" t="s">
        <v>568</v>
      </c>
      <c r="E199" s="97">
        <v>45</v>
      </c>
      <c r="F199" s="96" t="s">
        <v>568</v>
      </c>
      <c r="G199" s="97">
        <v>50</v>
      </c>
      <c r="H199" s="96" t="s">
        <v>568</v>
      </c>
      <c r="I199" s="97">
        <v>55</v>
      </c>
      <c r="J199" s="96" t="s">
        <v>1119</v>
      </c>
      <c r="K199" s="96" t="s">
        <v>638</v>
      </c>
      <c r="L199" s="96" t="s">
        <v>1076</v>
      </c>
      <c r="M199" s="94" t="s">
        <v>443</v>
      </c>
      <c r="N199" s="95" t="s">
        <v>366</v>
      </c>
      <c r="AE199" s="85"/>
      <c r="AF199" s="85"/>
      <c r="AG199" s="85"/>
    </row>
    <row r="200" spans="2:33" ht="14.4" customHeight="1" x14ac:dyDescent="0.3">
      <c r="B200" s="90" t="s">
        <v>1090</v>
      </c>
      <c r="C200" s="90" t="s">
        <v>676</v>
      </c>
      <c r="D200" s="91" t="s">
        <v>568</v>
      </c>
      <c r="E200" s="92">
        <v>25</v>
      </c>
      <c r="F200" s="91" t="s">
        <v>568</v>
      </c>
      <c r="G200" s="92">
        <v>30</v>
      </c>
      <c r="H200" s="91" t="s">
        <v>568</v>
      </c>
      <c r="I200" s="92">
        <v>30</v>
      </c>
      <c r="J200" s="96" t="s">
        <v>1119</v>
      </c>
      <c r="K200" s="91" t="s">
        <v>666</v>
      </c>
      <c r="L200" s="91" t="s">
        <v>1091</v>
      </c>
      <c r="M200" s="90" t="s">
        <v>486</v>
      </c>
      <c r="N200" s="93" t="s">
        <v>427</v>
      </c>
      <c r="AE200" s="85"/>
      <c r="AF200" s="85"/>
      <c r="AG200" s="85"/>
    </row>
    <row r="201" spans="2:33" ht="14.4" customHeight="1" x14ac:dyDescent="0.3">
      <c r="B201" s="94" t="s">
        <v>729</v>
      </c>
      <c r="C201" s="94" t="s">
        <v>609</v>
      </c>
      <c r="D201" s="96" t="s">
        <v>568</v>
      </c>
      <c r="E201" s="97">
        <v>35</v>
      </c>
      <c r="F201" s="96" t="s">
        <v>568</v>
      </c>
      <c r="G201" s="97">
        <v>40</v>
      </c>
      <c r="H201" s="96" t="s">
        <v>568</v>
      </c>
      <c r="I201" s="97">
        <v>45</v>
      </c>
      <c r="J201" s="96" t="s">
        <v>1119</v>
      </c>
      <c r="K201" s="96" t="s">
        <v>728</v>
      </c>
      <c r="L201" s="96" t="s">
        <v>1096</v>
      </c>
      <c r="M201" s="94" t="s">
        <v>400</v>
      </c>
      <c r="N201" s="95" t="s">
        <v>401</v>
      </c>
      <c r="AE201" s="85"/>
      <c r="AF201" s="85"/>
      <c r="AG201" s="85"/>
    </row>
    <row r="202" spans="2:33" ht="14.4" customHeight="1" x14ac:dyDescent="0.3">
      <c r="B202" s="90" t="s">
        <v>632</v>
      </c>
      <c r="C202" s="90" t="s">
        <v>637</v>
      </c>
      <c r="D202" s="91" t="s">
        <v>568</v>
      </c>
      <c r="E202" s="92">
        <v>25</v>
      </c>
      <c r="F202" s="91" t="s">
        <v>568</v>
      </c>
      <c r="G202" s="92">
        <v>28</v>
      </c>
      <c r="H202" s="91" t="s">
        <v>568</v>
      </c>
      <c r="I202" s="92">
        <v>30</v>
      </c>
      <c r="J202" s="96" t="s">
        <v>1119</v>
      </c>
      <c r="K202" s="91" t="s">
        <v>631</v>
      </c>
      <c r="L202" s="91" t="s">
        <v>1097</v>
      </c>
      <c r="M202" s="90" t="s">
        <v>483</v>
      </c>
      <c r="N202" s="93" t="s">
        <v>484</v>
      </c>
      <c r="AE202" s="85"/>
      <c r="AF202" s="85"/>
      <c r="AG202" s="85"/>
    </row>
    <row r="203" spans="2:33" ht="14.4" customHeight="1" x14ac:dyDescent="0.3">
      <c r="B203" s="94" t="s">
        <v>603</v>
      </c>
      <c r="C203" s="94" t="s">
        <v>601</v>
      </c>
      <c r="D203" s="96" t="s">
        <v>568</v>
      </c>
      <c r="E203" s="97">
        <v>35</v>
      </c>
      <c r="F203" s="96" t="s">
        <v>568</v>
      </c>
      <c r="G203" s="97">
        <v>45</v>
      </c>
      <c r="H203" s="96" t="s">
        <v>568</v>
      </c>
      <c r="I203" s="97">
        <v>50</v>
      </c>
      <c r="J203" s="96" t="s">
        <v>1120</v>
      </c>
      <c r="K203" s="96" t="s">
        <v>602</v>
      </c>
      <c r="L203" s="96" t="s">
        <v>604</v>
      </c>
      <c r="M203" s="94" t="s">
        <v>468</v>
      </c>
      <c r="N203" s="95" t="s">
        <v>382</v>
      </c>
      <c r="AE203" s="85"/>
      <c r="AF203" s="85"/>
      <c r="AG203" s="85"/>
    </row>
    <row r="204" spans="2:33" ht="14.4" customHeight="1" x14ac:dyDescent="0.3">
      <c r="B204" s="90" t="s">
        <v>627</v>
      </c>
      <c r="C204" s="93">
        <v>2023</v>
      </c>
      <c r="D204" s="91" t="s">
        <v>568</v>
      </c>
      <c r="E204" s="92">
        <v>20</v>
      </c>
      <c r="F204" s="91" t="s">
        <v>568</v>
      </c>
      <c r="G204" s="92">
        <v>23</v>
      </c>
      <c r="H204" s="91" t="s">
        <v>568</v>
      </c>
      <c r="I204" s="92">
        <v>25</v>
      </c>
      <c r="J204" s="96" t="s">
        <v>1119</v>
      </c>
      <c r="K204" s="91" t="s">
        <v>626</v>
      </c>
      <c r="L204" s="91" t="s">
        <v>628</v>
      </c>
      <c r="M204" s="90" t="s">
        <v>485</v>
      </c>
      <c r="N204" s="93" t="s">
        <v>386</v>
      </c>
      <c r="AE204" s="85"/>
      <c r="AF204" s="85"/>
      <c r="AG204" s="85"/>
    </row>
    <row r="205" spans="2:33" ht="14.4" customHeight="1" x14ac:dyDescent="0.3">
      <c r="B205" s="94" t="s">
        <v>603</v>
      </c>
      <c r="C205" s="94" t="s">
        <v>601</v>
      </c>
      <c r="D205" s="96" t="s">
        <v>568</v>
      </c>
      <c r="E205" s="97">
        <v>35</v>
      </c>
      <c r="F205" s="96" t="s">
        <v>568</v>
      </c>
      <c r="G205" s="97">
        <v>45</v>
      </c>
      <c r="H205" s="96" t="s">
        <v>568</v>
      </c>
      <c r="I205" s="97">
        <v>50</v>
      </c>
      <c r="J205" s="96" t="s">
        <v>1120</v>
      </c>
      <c r="K205" s="96" t="s">
        <v>602</v>
      </c>
      <c r="L205" s="96" t="s">
        <v>629</v>
      </c>
      <c r="M205" s="94" t="s">
        <v>400</v>
      </c>
      <c r="N205" s="95" t="s">
        <v>401</v>
      </c>
      <c r="AE205" s="85"/>
      <c r="AF205" s="85"/>
      <c r="AG205" s="85"/>
    </row>
    <row r="206" spans="2:33" ht="14.4" customHeight="1" x14ac:dyDescent="0.3">
      <c r="B206" s="90" t="s">
        <v>672</v>
      </c>
      <c r="C206" s="90" t="s">
        <v>601</v>
      </c>
      <c r="D206" s="91" t="s">
        <v>568</v>
      </c>
      <c r="E206" s="92">
        <v>35</v>
      </c>
      <c r="F206" s="91" t="s">
        <v>568</v>
      </c>
      <c r="G206" s="92">
        <v>40</v>
      </c>
      <c r="H206" s="91" t="s">
        <v>568</v>
      </c>
      <c r="I206" s="92">
        <v>45</v>
      </c>
      <c r="J206" s="96" t="s">
        <v>1119</v>
      </c>
      <c r="K206" s="91" t="s">
        <v>671</v>
      </c>
      <c r="L206" s="91" t="s">
        <v>673</v>
      </c>
      <c r="M206" s="90" t="s">
        <v>375</v>
      </c>
      <c r="N206" s="93" t="s">
        <v>376</v>
      </c>
      <c r="AE206" s="85"/>
      <c r="AF206" s="85"/>
      <c r="AG206" s="85"/>
    </row>
    <row r="207" spans="2:33" ht="14.4" customHeight="1" x14ac:dyDescent="0.3">
      <c r="B207" s="94" t="s">
        <v>672</v>
      </c>
      <c r="C207" s="94" t="s">
        <v>674</v>
      </c>
      <c r="D207" s="96" t="s">
        <v>568</v>
      </c>
      <c r="E207" s="97">
        <v>35</v>
      </c>
      <c r="F207" s="96" t="s">
        <v>568</v>
      </c>
      <c r="G207" s="97">
        <v>40</v>
      </c>
      <c r="H207" s="96" t="s">
        <v>568</v>
      </c>
      <c r="I207" s="97">
        <v>40</v>
      </c>
      <c r="J207" s="96" t="s">
        <v>1119</v>
      </c>
      <c r="K207" s="96" t="s">
        <v>671</v>
      </c>
      <c r="L207" s="96" t="s">
        <v>675</v>
      </c>
      <c r="M207" s="94" t="s">
        <v>405</v>
      </c>
      <c r="N207" s="95" t="s">
        <v>406</v>
      </c>
      <c r="AE207" s="85"/>
      <c r="AF207" s="85"/>
      <c r="AG207" s="85"/>
    </row>
    <row r="208" spans="2:33" ht="14.4" customHeight="1" x14ac:dyDescent="0.3">
      <c r="B208" s="90" t="s">
        <v>698</v>
      </c>
      <c r="C208" s="90" t="s">
        <v>697</v>
      </c>
      <c r="D208" s="91" t="s">
        <v>568</v>
      </c>
      <c r="E208" s="92">
        <v>30</v>
      </c>
      <c r="F208" s="91" t="s">
        <v>568</v>
      </c>
      <c r="G208" s="92">
        <v>40</v>
      </c>
      <c r="H208" s="91" t="s">
        <v>568</v>
      </c>
      <c r="I208" s="92">
        <v>50</v>
      </c>
      <c r="J208" s="96" t="s">
        <v>1119</v>
      </c>
      <c r="K208" s="91" t="s">
        <v>578</v>
      </c>
      <c r="L208" s="91" t="s">
        <v>699</v>
      </c>
      <c r="M208" s="90" t="s">
        <v>502</v>
      </c>
      <c r="N208" s="93" t="s">
        <v>382</v>
      </c>
      <c r="AE208" s="85"/>
      <c r="AF208" s="85"/>
      <c r="AG208" s="85"/>
    </row>
    <row r="209" spans="2:33" ht="14.4" customHeight="1" x14ac:dyDescent="0.3">
      <c r="B209" s="94" t="s">
        <v>732</v>
      </c>
      <c r="C209" s="94" t="s">
        <v>697</v>
      </c>
      <c r="D209" s="96" t="s">
        <v>568</v>
      </c>
      <c r="E209" s="97">
        <v>35</v>
      </c>
      <c r="F209" s="96" t="s">
        <v>568</v>
      </c>
      <c r="G209" s="97">
        <v>40</v>
      </c>
      <c r="H209" s="96" t="s">
        <v>568</v>
      </c>
      <c r="I209" s="97">
        <v>40</v>
      </c>
      <c r="J209" s="96" t="s">
        <v>1120</v>
      </c>
      <c r="K209" s="96" t="s">
        <v>731</v>
      </c>
      <c r="L209" s="96" t="s">
        <v>733</v>
      </c>
      <c r="M209" s="94" t="s">
        <v>503</v>
      </c>
      <c r="N209" s="95" t="s">
        <v>418</v>
      </c>
      <c r="AE209" s="85"/>
      <c r="AF209" s="85"/>
      <c r="AG209" s="85"/>
    </row>
    <row r="210" spans="2:33" ht="14.4" customHeight="1" x14ac:dyDescent="0.3">
      <c r="B210" s="90" t="s">
        <v>603</v>
      </c>
      <c r="C210" s="90" t="s">
        <v>601</v>
      </c>
      <c r="D210" s="91" t="s">
        <v>568</v>
      </c>
      <c r="E210" s="92">
        <v>35</v>
      </c>
      <c r="F210" s="91" t="s">
        <v>568</v>
      </c>
      <c r="G210" s="92">
        <v>45</v>
      </c>
      <c r="H210" s="91" t="s">
        <v>568</v>
      </c>
      <c r="I210" s="92">
        <v>50</v>
      </c>
      <c r="J210" s="96" t="s">
        <v>1120</v>
      </c>
      <c r="K210" s="91" t="s">
        <v>602</v>
      </c>
      <c r="L210" s="91" t="s">
        <v>744</v>
      </c>
      <c r="M210" s="90" t="s">
        <v>475</v>
      </c>
      <c r="N210" s="93" t="s">
        <v>476</v>
      </c>
      <c r="AE210" s="85"/>
      <c r="AF210" s="85"/>
      <c r="AG210" s="85"/>
    </row>
    <row r="211" spans="2:33" ht="14.4" customHeight="1" x14ac:dyDescent="0.3">
      <c r="B211" s="94" t="s">
        <v>745</v>
      </c>
      <c r="C211" s="94" t="s">
        <v>601</v>
      </c>
      <c r="D211" s="96" t="s">
        <v>568</v>
      </c>
      <c r="E211" s="97">
        <v>35</v>
      </c>
      <c r="F211" s="96" t="s">
        <v>568</v>
      </c>
      <c r="G211" s="97">
        <v>40</v>
      </c>
      <c r="H211" s="96" t="s">
        <v>568</v>
      </c>
      <c r="I211" s="97">
        <v>45</v>
      </c>
      <c r="J211" s="96" t="s">
        <v>1119</v>
      </c>
      <c r="K211" s="96" t="s">
        <v>569</v>
      </c>
      <c r="L211" s="96" t="s">
        <v>746</v>
      </c>
      <c r="M211" s="94" t="s">
        <v>411</v>
      </c>
      <c r="N211" s="95" t="s">
        <v>401</v>
      </c>
      <c r="AE211" s="85"/>
      <c r="AF211" s="85"/>
      <c r="AG211" s="85"/>
    </row>
    <row r="212" spans="2:33" ht="14.4" customHeight="1" x14ac:dyDescent="0.3">
      <c r="B212" s="90" t="s">
        <v>711</v>
      </c>
      <c r="C212" s="90" t="s">
        <v>674</v>
      </c>
      <c r="D212" s="91" t="s">
        <v>568</v>
      </c>
      <c r="E212" s="92">
        <v>35</v>
      </c>
      <c r="F212" s="91" t="s">
        <v>568</v>
      </c>
      <c r="G212" s="92">
        <v>35</v>
      </c>
      <c r="H212" s="91" t="s">
        <v>568</v>
      </c>
      <c r="I212" s="92">
        <v>35</v>
      </c>
      <c r="J212" s="96" t="s">
        <v>1120</v>
      </c>
      <c r="K212" s="91" t="s">
        <v>602</v>
      </c>
      <c r="L212" s="91" t="s">
        <v>764</v>
      </c>
      <c r="M212" s="90" t="s">
        <v>475</v>
      </c>
      <c r="N212" s="93" t="s">
        <v>476</v>
      </c>
      <c r="AE212" s="85"/>
      <c r="AF212" s="85"/>
      <c r="AG212" s="85"/>
    </row>
    <row r="213" spans="2:33" ht="14.4" customHeight="1" x14ac:dyDescent="0.3">
      <c r="B213" s="94" t="s">
        <v>777</v>
      </c>
      <c r="C213" s="94" t="s">
        <v>775</v>
      </c>
      <c r="D213" s="96" t="s">
        <v>568</v>
      </c>
      <c r="E213" s="97">
        <v>25</v>
      </c>
      <c r="F213" s="96" t="s">
        <v>568</v>
      </c>
      <c r="G213" s="97">
        <v>25</v>
      </c>
      <c r="H213" s="96" t="s">
        <v>568</v>
      </c>
      <c r="I213" s="97">
        <v>25</v>
      </c>
      <c r="J213" s="96" t="s">
        <v>1119</v>
      </c>
      <c r="K213" s="96" t="s">
        <v>776</v>
      </c>
      <c r="L213" s="96" t="s">
        <v>778</v>
      </c>
      <c r="M213" s="94" t="s">
        <v>504</v>
      </c>
      <c r="N213" s="95" t="s">
        <v>390</v>
      </c>
      <c r="AE213" s="85"/>
      <c r="AF213" s="85"/>
      <c r="AG213" s="85"/>
    </row>
    <row r="214" spans="2:33" ht="14.4" customHeight="1" x14ac:dyDescent="0.3">
      <c r="B214" s="90" t="s">
        <v>719</v>
      </c>
      <c r="C214" s="90" t="s">
        <v>697</v>
      </c>
      <c r="D214" s="91" t="s">
        <v>568</v>
      </c>
      <c r="E214" s="92">
        <v>35</v>
      </c>
      <c r="F214" s="91" t="s">
        <v>568</v>
      </c>
      <c r="G214" s="92">
        <v>45</v>
      </c>
      <c r="H214" s="91" t="s">
        <v>568</v>
      </c>
      <c r="I214" s="92">
        <v>55</v>
      </c>
      <c r="J214" s="96" t="s">
        <v>1119</v>
      </c>
      <c r="K214" s="91" t="s">
        <v>596</v>
      </c>
      <c r="L214" s="91" t="s">
        <v>786</v>
      </c>
      <c r="M214" s="90" t="s">
        <v>473</v>
      </c>
      <c r="N214" s="93" t="s">
        <v>462</v>
      </c>
      <c r="AE214" s="85"/>
      <c r="AF214" s="85"/>
      <c r="AG214" s="85"/>
    </row>
    <row r="215" spans="2:33" ht="14.4" customHeight="1" x14ac:dyDescent="0.3">
      <c r="B215" s="94" t="s">
        <v>803</v>
      </c>
      <c r="C215" s="94" t="s">
        <v>697</v>
      </c>
      <c r="D215" s="96" t="s">
        <v>568</v>
      </c>
      <c r="E215" s="97">
        <v>35</v>
      </c>
      <c r="F215" s="96" t="s">
        <v>568</v>
      </c>
      <c r="G215" s="97">
        <v>40</v>
      </c>
      <c r="H215" s="96" t="s">
        <v>568</v>
      </c>
      <c r="I215" s="97">
        <v>40</v>
      </c>
      <c r="J215" s="96" t="s">
        <v>1119</v>
      </c>
      <c r="K215" s="96" t="s">
        <v>638</v>
      </c>
      <c r="L215" s="96" t="s">
        <v>804</v>
      </c>
      <c r="M215" s="94" t="s">
        <v>505</v>
      </c>
      <c r="N215" s="95" t="s">
        <v>442</v>
      </c>
      <c r="AE215" s="85"/>
      <c r="AF215" s="85"/>
      <c r="AG215" s="85"/>
    </row>
    <row r="216" spans="2:33" ht="14.4" customHeight="1" x14ac:dyDescent="0.3">
      <c r="B216" s="90" t="s">
        <v>777</v>
      </c>
      <c r="C216" s="90" t="s">
        <v>775</v>
      </c>
      <c r="D216" s="91" t="s">
        <v>568</v>
      </c>
      <c r="E216" s="92">
        <v>25</v>
      </c>
      <c r="F216" s="91" t="s">
        <v>568</v>
      </c>
      <c r="G216" s="92">
        <v>25</v>
      </c>
      <c r="H216" s="91" t="s">
        <v>568</v>
      </c>
      <c r="I216" s="92">
        <v>25</v>
      </c>
      <c r="J216" s="96" t="s">
        <v>1119</v>
      </c>
      <c r="K216" s="91" t="s">
        <v>776</v>
      </c>
      <c r="L216" s="91" t="s">
        <v>811</v>
      </c>
      <c r="M216" s="90" t="s">
        <v>506</v>
      </c>
      <c r="N216" s="93" t="s">
        <v>382</v>
      </c>
      <c r="AE216" s="85"/>
      <c r="AF216" s="85"/>
      <c r="AG216" s="85"/>
    </row>
    <row r="217" spans="2:33" ht="14.4" customHeight="1" x14ac:dyDescent="0.3">
      <c r="B217" s="94" t="s">
        <v>732</v>
      </c>
      <c r="C217" s="94" t="s">
        <v>697</v>
      </c>
      <c r="D217" s="96" t="s">
        <v>568</v>
      </c>
      <c r="E217" s="97">
        <v>35</v>
      </c>
      <c r="F217" s="96" t="s">
        <v>568</v>
      </c>
      <c r="G217" s="97">
        <v>40</v>
      </c>
      <c r="H217" s="96" t="s">
        <v>568</v>
      </c>
      <c r="I217" s="97">
        <v>40</v>
      </c>
      <c r="J217" s="96" t="s">
        <v>1120</v>
      </c>
      <c r="K217" s="96" t="s">
        <v>731</v>
      </c>
      <c r="L217" s="96" t="s">
        <v>817</v>
      </c>
      <c r="M217" s="94" t="s">
        <v>446</v>
      </c>
      <c r="N217" s="95" t="s">
        <v>386</v>
      </c>
      <c r="AE217" s="85"/>
      <c r="AF217" s="85"/>
      <c r="AG217" s="85"/>
    </row>
    <row r="218" spans="2:33" ht="14.4" customHeight="1" x14ac:dyDescent="0.3">
      <c r="B218" s="90" t="s">
        <v>653</v>
      </c>
      <c r="C218" s="90" t="s">
        <v>674</v>
      </c>
      <c r="D218" s="91" t="s">
        <v>568</v>
      </c>
      <c r="E218" s="92">
        <v>20</v>
      </c>
      <c r="F218" s="91" t="s">
        <v>568</v>
      </c>
      <c r="G218" s="92">
        <v>25</v>
      </c>
      <c r="H218" s="91" t="s">
        <v>568</v>
      </c>
      <c r="I218" s="92">
        <v>28</v>
      </c>
      <c r="J218" s="96" t="s">
        <v>1119</v>
      </c>
      <c r="K218" s="91" t="s">
        <v>606</v>
      </c>
      <c r="L218" s="91" t="s">
        <v>823</v>
      </c>
      <c r="M218" s="90" t="s">
        <v>378</v>
      </c>
      <c r="N218" s="93" t="s">
        <v>370</v>
      </c>
      <c r="AE218" s="85"/>
      <c r="AF218" s="85"/>
      <c r="AG218" s="85"/>
    </row>
    <row r="219" spans="2:33" ht="14.4" customHeight="1" x14ac:dyDescent="0.3">
      <c r="B219" s="94" t="s">
        <v>824</v>
      </c>
      <c r="C219" s="94" t="s">
        <v>697</v>
      </c>
      <c r="D219" s="96" t="s">
        <v>568</v>
      </c>
      <c r="E219" s="97">
        <v>25</v>
      </c>
      <c r="F219" s="96" t="s">
        <v>568</v>
      </c>
      <c r="G219" s="97">
        <v>30</v>
      </c>
      <c r="H219" s="96" t="s">
        <v>568</v>
      </c>
      <c r="I219" s="97">
        <v>30</v>
      </c>
      <c r="J219" s="96" t="s">
        <v>1119</v>
      </c>
      <c r="K219" s="96" t="s">
        <v>757</v>
      </c>
      <c r="L219" s="96" t="s">
        <v>825</v>
      </c>
      <c r="M219" s="94" t="s">
        <v>443</v>
      </c>
      <c r="N219" s="95" t="s">
        <v>366</v>
      </c>
      <c r="AE219" s="85"/>
      <c r="AF219" s="85"/>
      <c r="AG219" s="85"/>
    </row>
    <row r="220" spans="2:33" ht="14.4" customHeight="1" x14ac:dyDescent="0.3">
      <c r="B220" s="90" t="s">
        <v>603</v>
      </c>
      <c r="C220" s="90" t="s">
        <v>697</v>
      </c>
      <c r="D220" s="91" t="s">
        <v>568</v>
      </c>
      <c r="E220" s="92">
        <v>35</v>
      </c>
      <c r="F220" s="91" t="s">
        <v>568</v>
      </c>
      <c r="G220" s="92">
        <v>45</v>
      </c>
      <c r="H220" s="91" t="s">
        <v>568</v>
      </c>
      <c r="I220" s="92">
        <v>50</v>
      </c>
      <c r="J220" s="96" t="s">
        <v>1120</v>
      </c>
      <c r="K220" s="91" t="s">
        <v>602</v>
      </c>
      <c r="L220" s="91" t="s">
        <v>830</v>
      </c>
      <c r="M220" s="90" t="s">
        <v>475</v>
      </c>
      <c r="N220" s="93" t="s">
        <v>476</v>
      </c>
      <c r="AE220" s="85"/>
      <c r="AF220" s="85"/>
      <c r="AG220" s="85"/>
    </row>
    <row r="221" spans="2:33" ht="14.4" customHeight="1" x14ac:dyDescent="0.3">
      <c r="B221" s="94" t="s">
        <v>646</v>
      </c>
      <c r="C221" s="94" t="s">
        <v>674</v>
      </c>
      <c r="D221" s="96" t="s">
        <v>568</v>
      </c>
      <c r="E221" s="97">
        <v>35</v>
      </c>
      <c r="F221" s="96" t="s">
        <v>568</v>
      </c>
      <c r="G221" s="97">
        <v>40</v>
      </c>
      <c r="H221" s="96" t="s">
        <v>568</v>
      </c>
      <c r="I221" s="97">
        <v>40</v>
      </c>
      <c r="J221" s="96" t="s">
        <v>1119</v>
      </c>
      <c r="K221" s="96" t="s">
        <v>645</v>
      </c>
      <c r="L221" s="96" t="s">
        <v>859</v>
      </c>
      <c r="M221" s="94" t="s">
        <v>507</v>
      </c>
      <c r="N221" s="95" t="s">
        <v>492</v>
      </c>
      <c r="AE221" s="85"/>
      <c r="AF221" s="85"/>
      <c r="AG221" s="85"/>
    </row>
    <row r="222" spans="2:33" ht="14.4" customHeight="1" x14ac:dyDescent="0.3">
      <c r="B222" s="90" t="s">
        <v>754</v>
      </c>
      <c r="C222" s="90" t="s">
        <v>697</v>
      </c>
      <c r="D222" s="91" t="s">
        <v>568</v>
      </c>
      <c r="E222" s="92">
        <v>45</v>
      </c>
      <c r="F222" s="91" t="s">
        <v>568</v>
      </c>
      <c r="G222" s="92">
        <v>50</v>
      </c>
      <c r="H222" s="91" t="s">
        <v>568</v>
      </c>
      <c r="I222" s="92">
        <v>50</v>
      </c>
      <c r="J222" s="96" t="s">
        <v>1119</v>
      </c>
      <c r="K222" s="91" t="s">
        <v>645</v>
      </c>
      <c r="L222" s="91" t="s">
        <v>861</v>
      </c>
      <c r="M222" s="90" t="s">
        <v>378</v>
      </c>
      <c r="N222" s="93" t="s">
        <v>370</v>
      </c>
      <c r="AE222" s="85"/>
      <c r="AF222" s="85"/>
      <c r="AG222" s="85"/>
    </row>
    <row r="223" spans="2:33" ht="14.4" customHeight="1" x14ac:dyDescent="0.3">
      <c r="B223" s="94" t="s">
        <v>729</v>
      </c>
      <c r="C223" s="94" t="s">
        <v>697</v>
      </c>
      <c r="D223" s="96" t="s">
        <v>568</v>
      </c>
      <c r="E223" s="97">
        <v>35</v>
      </c>
      <c r="F223" s="96" t="s">
        <v>568</v>
      </c>
      <c r="G223" s="97">
        <v>40</v>
      </c>
      <c r="H223" s="96" t="s">
        <v>568</v>
      </c>
      <c r="I223" s="97">
        <v>45</v>
      </c>
      <c r="J223" s="96" t="s">
        <v>1119</v>
      </c>
      <c r="K223" s="96" t="s">
        <v>728</v>
      </c>
      <c r="L223" s="96" t="s">
        <v>883</v>
      </c>
      <c r="M223" s="94" t="s">
        <v>508</v>
      </c>
      <c r="N223" s="95" t="s">
        <v>509</v>
      </c>
      <c r="AE223" s="85"/>
      <c r="AF223" s="85"/>
      <c r="AG223" s="85"/>
    </row>
    <row r="224" spans="2:33" ht="14.4" customHeight="1" x14ac:dyDescent="0.3">
      <c r="B224" s="90" t="s">
        <v>719</v>
      </c>
      <c r="C224" s="90" t="s">
        <v>697</v>
      </c>
      <c r="D224" s="91" t="s">
        <v>568</v>
      </c>
      <c r="E224" s="92">
        <v>35</v>
      </c>
      <c r="F224" s="91" t="s">
        <v>568</v>
      </c>
      <c r="G224" s="92">
        <v>45</v>
      </c>
      <c r="H224" s="91" t="s">
        <v>568</v>
      </c>
      <c r="I224" s="92">
        <v>55</v>
      </c>
      <c r="J224" s="96" t="s">
        <v>1119</v>
      </c>
      <c r="K224" s="91" t="s">
        <v>596</v>
      </c>
      <c r="L224" s="91" t="s">
        <v>895</v>
      </c>
      <c r="M224" s="90" t="s">
        <v>446</v>
      </c>
      <c r="N224" s="93" t="s">
        <v>386</v>
      </c>
      <c r="AE224" s="85"/>
      <c r="AF224" s="85"/>
      <c r="AG224" s="85"/>
    </row>
    <row r="225" spans="2:33" ht="14.4" customHeight="1" x14ac:dyDescent="0.3">
      <c r="B225" s="94" t="s">
        <v>742</v>
      </c>
      <c r="C225" s="94" t="s">
        <v>674</v>
      </c>
      <c r="D225" s="96" t="s">
        <v>568</v>
      </c>
      <c r="E225" s="97">
        <v>35</v>
      </c>
      <c r="F225" s="96" t="s">
        <v>568</v>
      </c>
      <c r="G225" s="97">
        <v>35</v>
      </c>
      <c r="H225" s="96" t="s">
        <v>568</v>
      </c>
      <c r="I225" s="97">
        <v>35</v>
      </c>
      <c r="J225" s="96" t="s">
        <v>1120</v>
      </c>
      <c r="K225" s="96" t="s">
        <v>602</v>
      </c>
      <c r="L225" s="96" t="s">
        <v>922</v>
      </c>
      <c r="M225" s="94" t="s">
        <v>443</v>
      </c>
      <c r="N225" s="95" t="s">
        <v>366</v>
      </c>
      <c r="AE225" s="85"/>
      <c r="AF225" s="85"/>
      <c r="AG225" s="85"/>
    </row>
    <row r="226" spans="2:33" ht="14.4" customHeight="1" x14ac:dyDescent="0.3">
      <c r="B226" s="90" t="s">
        <v>841</v>
      </c>
      <c r="C226" s="90" t="s">
        <v>697</v>
      </c>
      <c r="D226" s="91" t="s">
        <v>568</v>
      </c>
      <c r="E226" s="92">
        <v>25</v>
      </c>
      <c r="F226" s="91" t="s">
        <v>568</v>
      </c>
      <c r="G226" s="92">
        <v>28</v>
      </c>
      <c r="H226" s="91" t="s">
        <v>568</v>
      </c>
      <c r="I226" s="92">
        <v>30</v>
      </c>
      <c r="J226" s="96" t="s">
        <v>1119</v>
      </c>
      <c r="K226" s="91" t="s">
        <v>840</v>
      </c>
      <c r="L226" s="91" t="s">
        <v>927</v>
      </c>
      <c r="M226" s="90" t="s">
        <v>510</v>
      </c>
      <c r="N226" s="93" t="s">
        <v>413</v>
      </c>
      <c r="AE226" s="85"/>
      <c r="AF226" s="85"/>
      <c r="AG226" s="85"/>
    </row>
    <row r="227" spans="2:33" ht="14.4" customHeight="1" x14ac:dyDescent="0.3">
      <c r="B227" s="94" t="s">
        <v>777</v>
      </c>
      <c r="C227" s="94" t="s">
        <v>775</v>
      </c>
      <c r="D227" s="96" t="s">
        <v>568</v>
      </c>
      <c r="E227" s="97">
        <v>25</v>
      </c>
      <c r="F227" s="96" t="s">
        <v>568</v>
      </c>
      <c r="G227" s="97">
        <v>25</v>
      </c>
      <c r="H227" s="96" t="s">
        <v>568</v>
      </c>
      <c r="I227" s="97">
        <v>25</v>
      </c>
      <c r="J227" s="96" t="s">
        <v>1119</v>
      </c>
      <c r="K227" s="96" t="s">
        <v>776</v>
      </c>
      <c r="L227" s="96" t="s">
        <v>944</v>
      </c>
      <c r="M227" s="94" t="s">
        <v>511</v>
      </c>
      <c r="N227" s="95" t="s">
        <v>512</v>
      </c>
      <c r="AE227" s="85"/>
      <c r="AF227" s="85"/>
      <c r="AG227" s="85"/>
    </row>
    <row r="228" spans="2:33" ht="14.4" customHeight="1" x14ac:dyDescent="0.3">
      <c r="B228" s="90" t="s">
        <v>955</v>
      </c>
      <c r="C228" s="90" t="s">
        <v>697</v>
      </c>
      <c r="D228" s="91" t="s">
        <v>568</v>
      </c>
      <c r="E228" s="92">
        <v>25</v>
      </c>
      <c r="F228" s="91" t="s">
        <v>568</v>
      </c>
      <c r="G228" s="92">
        <v>30</v>
      </c>
      <c r="H228" s="91" t="s">
        <v>568</v>
      </c>
      <c r="I228" s="92">
        <v>30</v>
      </c>
      <c r="J228" s="96" t="s">
        <v>1119</v>
      </c>
      <c r="K228" s="91" t="s">
        <v>954</v>
      </c>
      <c r="L228" s="91" t="s">
        <v>956</v>
      </c>
      <c r="M228" s="90" t="s">
        <v>513</v>
      </c>
      <c r="N228" s="93" t="s">
        <v>512</v>
      </c>
      <c r="AE228" s="85"/>
      <c r="AF228" s="85"/>
      <c r="AG228" s="85"/>
    </row>
    <row r="229" spans="2:33" ht="14.4" customHeight="1" x14ac:dyDescent="0.3">
      <c r="B229" s="94" t="s">
        <v>570</v>
      </c>
      <c r="C229" s="94" t="s">
        <v>697</v>
      </c>
      <c r="D229" s="96" t="s">
        <v>568</v>
      </c>
      <c r="E229" s="97">
        <v>30</v>
      </c>
      <c r="F229" s="96" t="s">
        <v>568</v>
      </c>
      <c r="G229" s="97">
        <v>40</v>
      </c>
      <c r="H229" s="96" t="s">
        <v>568</v>
      </c>
      <c r="I229" s="97">
        <v>45</v>
      </c>
      <c r="J229" s="96" t="s">
        <v>1120</v>
      </c>
      <c r="K229" s="96" t="s">
        <v>569</v>
      </c>
      <c r="L229" s="96" t="s">
        <v>958</v>
      </c>
      <c r="M229" s="94" t="s">
        <v>404</v>
      </c>
      <c r="N229" s="95" t="s">
        <v>382</v>
      </c>
      <c r="AE229" s="85"/>
      <c r="AF229" s="85"/>
      <c r="AG229" s="85"/>
    </row>
    <row r="230" spans="2:33" ht="14.4" customHeight="1" x14ac:dyDescent="0.3">
      <c r="B230" s="90" t="s">
        <v>959</v>
      </c>
      <c r="C230" s="90" t="s">
        <v>697</v>
      </c>
      <c r="D230" s="91" t="s">
        <v>568</v>
      </c>
      <c r="E230" s="92">
        <v>25</v>
      </c>
      <c r="F230" s="91" t="s">
        <v>568</v>
      </c>
      <c r="G230" s="92">
        <v>30</v>
      </c>
      <c r="H230" s="91" t="s">
        <v>568</v>
      </c>
      <c r="I230" s="92">
        <v>30</v>
      </c>
      <c r="J230" s="96" t="s">
        <v>1119</v>
      </c>
      <c r="K230" s="91" t="s">
        <v>671</v>
      </c>
      <c r="L230" s="91" t="s">
        <v>960</v>
      </c>
      <c r="M230" s="90" t="s">
        <v>514</v>
      </c>
      <c r="N230" s="93" t="s">
        <v>515</v>
      </c>
      <c r="AE230" s="85"/>
      <c r="AF230" s="85"/>
      <c r="AG230" s="85"/>
    </row>
    <row r="231" spans="2:33" ht="14.4" customHeight="1" x14ac:dyDescent="0.3">
      <c r="B231" s="94" t="s">
        <v>964</v>
      </c>
      <c r="C231" s="94" t="s">
        <v>697</v>
      </c>
      <c r="D231" s="96" t="s">
        <v>568</v>
      </c>
      <c r="E231" s="97">
        <v>25</v>
      </c>
      <c r="F231" s="96" t="s">
        <v>568</v>
      </c>
      <c r="G231" s="97">
        <v>30</v>
      </c>
      <c r="H231" s="96" t="s">
        <v>568</v>
      </c>
      <c r="I231" s="97">
        <v>30</v>
      </c>
      <c r="J231" s="96" t="s">
        <v>1119</v>
      </c>
      <c r="K231" s="96" t="s">
        <v>961</v>
      </c>
      <c r="L231" s="96" t="s">
        <v>965</v>
      </c>
      <c r="M231" s="94" t="s">
        <v>516</v>
      </c>
      <c r="N231" s="95" t="s">
        <v>382</v>
      </c>
      <c r="AE231" s="85"/>
      <c r="AF231" s="85"/>
      <c r="AG231" s="85"/>
    </row>
    <row r="232" spans="2:33" ht="14.4" customHeight="1" x14ac:dyDescent="0.3">
      <c r="B232" s="90" t="s">
        <v>971</v>
      </c>
      <c r="C232" s="90" t="s">
        <v>674</v>
      </c>
      <c r="D232" s="91" t="s">
        <v>568</v>
      </c>
      <c r="E232" s="92">
        <v>25</v>
      </c>
      <c r="F232" s="91" t="s">
        <v>568</v>
      </c>
      <c r="G232" s="92">
        <v>25</v>
      </c>
      <c r="H232" s="91" t="s">
        <v>568</v>
      </c>
      <c r="I232" s="92">
        <v>25</v>
      </c>
      <c r="J232" s="96" t="s">
        <v>1119</v>
      </c>
      <c r="K232" s="91" t="s">
        <v>970</v>
      </c>
      <c r="L232" s="91" t="s">
        <v>972</v>
      </c>
      <c r="M232" s="90" t="s">
        <v>405</v>
      </c>
      <c r="N232" s="93" t="s">
        <v>406</v>
      </c>
      <c r="AE232" s="85"/>
      <c r="AF232" s="85"/>
      <c r="AG232" s="85"/>
    </row>
    <row r="233" spans="2:33" ht="14.4" customHeight="1" x14ac:dyDescent="0.3">
      <c r="B233" s="94" t="s">
        <v>981</v>
      </c>
      <c r="C233" s="94" t="s">
        <v>697</v>
      </c>
      <c r="D233" s="96" t="s">
        <v>568</v>
      </c>
      <c r="E233" s="97">
        <v>50</v>
      </c>
      <c r="F233" s="96" t="s">
        <v>568</v>
      </c>
      <c r="G233" s="97">
        <v>60</v>
      </c>
      <c r="H233" s="96" t="s">
        <v>568</v>
      </c>
      <c r="I233" s="97">
        <v>60</v>
      </c>
      <c r="J233" s="96" t="s">
        <v>1119</v>
      </c>
      <c r="K233" s="96" t="s">
        <v>638</v>
      </c>
      <c r="L233" s="96" t="s">
        <v>982</v>
      </c>
      <c r="M233" s="94" t="s">
        <v>517</v>
      </c>
      <c r="N233" s="95" t="s">
        <v>518</v>
      </c>
      <c r="AE233" s="85"/>
      <c r="AF233" s="85"/>
      <c r="AG233" s="85"/>
    </row>
    <row r="234" spans="2:33" ht="14.4" customHeight="1" x14ac:dyDescent="0.3">
      <c r="B234" s="90" t="s">
        <v>729</v>
      </c>
      <c r="C234" s="90" t="s">
        <v>697</v>
      </c>
      <c r="D234" s="91" t="s">
        <v>568</v>
      </c>
      <c r="E234" s="92">
        <v>35</v>
      </c>
      <c r="F234" s="91" t="s">
        <v>568</v>
      </c>
      <c r="G234" s="92">
        <v>40</v>
      </c>
      <c r="H234" s="91" t="s">
        <v>568</v>
      </c>
      <c r="I234" s="92">
        <v>45</v>
      </c>
      <c r="J234" s="96" t="s">
        <v>1119</v>
      </c>
      <c r="K234" s="91" t="s">
        <v>728</v>
      </c>
      <c r="L234" s="91" t="s">
        <v>987</v>
      </c>
      <c r="M234" s="90" t="s">
        <v>443</v>
      </c>
      <c r="N234" s="93" t="s">
        <v>366</v>
      </c>
      <c r="AE234" s="85"/>
      <c r="AF234" s="85"/>
      <c r="AG234" s="85"/>
    </row>
    <row r="235" spans="2:33" ht="14.4" customHeight="1" x14ac:dyDescent="0.3">
      <c r="B235" s="94" t="s">
        <v>997</v>
      </c>
      <c r="C235" s="94" t="s">
        <v>697</v>
      </c>
      <c r="D235" s="96" t="s">
        <v>568</v>
      </c>
      <c r="E235" s="97">
        <v>25</v>
      </c>
      <c r="F235" s="96" t="s">
        <v>568</v>
      </c>
      <c r="G235" s="97">
        <v>30</v>
      </c>
      <c r="H235" s="96" t="s">
        <v>568</v>
      </c>
      <c r="I235" s="97">
        <v>30</v>
      </c>
      <c r="J235" s="96" t="s">
        <v>1119</v>
      </c>
      <c r="K235" s="96" t="s">
        <v>642</v>
      </c>
      <c r="L235" s="96" t="s">
        <v>998</v>
      </c>
      <c r="M235" s="94" t="s">
        <v>475</v>
      </c>
      <c r="N235" s="95" t="s">
        <v>476</v>
      </c>
      <c r="AE235" s="85"/>
      <c r="AF235" s="85"/>
      <c r="AG235" s="85"/>
    </row>
    <row r="236" spans="2:33" ht="14.4" customHeight="1" x14ac:dyDescent="0.3">
      <c r="B236" s="90" t="s">
        <v>732</v>
      </c>
      <c r="C236" s="90" t="s">
        <v>697</v>
      </c>
      <c r="D236" s="91" t="s">
        <v>568</v>
      </c>
      <c r="E236" s="92">
        <v>35</v>
      </c>
      <c r="F236" s="91" t="s">
        <v>568</v>
      </c>
      <c r="G236" s="92">
        <v>40</v>
      </c>
      <c r="H236" s="91" t="s">
        <v>568</v>
      </c>
      <c r="I236" s="92">
        <v>40</v>
      </c>
      <c r="J236" s="96" t="s">
        <v>1120</v>
      </c>
      <c r="K236" s="91" t="s">
        <v>731</v>
      </c>
      <c r="L236" s="91" t="s">
        <v>1000</v>
      </c>
      <c r="M236" s="90" t="s">
        <v>367</v>
      </c>
      <c r="N236" s="93" t="s">
        <v>368</v>
      </c>
      <c r="AE236" s="85"/>
      <c r="AF236" s="85"/>
      <c r="AG236" s="85"/>
    </row>
    <row r="237" spans="2:33" ht="14.4" customHeight="1" x14ac:dyDescent="0.3">
      <c r="B237" s="94" t="s">
        <v>845</v>
      </c>
      <c r="C237" s="94" t="s">
        <v>674</v>
      </c>
      <c r="D237" s="96" t="s">
        <v>568</v>
      </c>
      <c r="E237" s="97">
        <v>35</v>
      </c>
      <c r="F237" s="96" t="s">
        <v>568</v>
      </c>
      <c r="G237" s="97">
        <v>40</v>
      </c>
      <c r="H237" s="96" t="s">
        <v>568</v>
      </c>
      <c r="I237" s="97">
        <v>45</v>
      </c>
      <c r="J237" s="96" t="s">
        <v>1119</v>
      </c>
      <c r="K237" s="96" t="s">
        <v>569</v>
      </c>
      <c r="L237" s="96" t="s">
        <v>1001</v>
      </c>
      <c r="M237" s="94" t="s">
        <v>435</v>
      </c>
      <c r="N237" s="95" t="s">
        <v>374</v>
      </c>
      <c r="AE237" s="85"/>
      <c r="AF237" s="85"/>
      <c r="AG237" s="85"/>
    </row>
    <row r="238" spans="2:33" ht="14.4" customHeight="1" x14ac:dyDescent="0.3">
      <c r="B238" s="90" t="s">
        <v>669</v>
      </c>
      <c r="C238" s="90" t="s">
        <v>697</v>
      </c>
      <c r="D238" s="91" t="s">
        <v>568</v>
      </c>
      <c r="E238" s="92">
        <v>35</v>
      </c>
      <c r="F238" s="91" t="s">
        <v>568</v>
      </c>
      <c r="G238" s="92">
        <v>40</v>
      </c>
      <c r="H238" s="91" t="s">
        <v>568</v>
      </c>
      <c r="I238" s="92">
        <v>48</v>
      </c>
      <c r="J238" s="96" t="s">
        <v>1119</v>
      </c>
      <c r="K238" s="91" t="s">
        <v>645</v>
      </c>
      <c r="L238" s="91" t="s">
        <v>1009</v>
      </c>
      <c r="M238" s="90" t="s">
        <v>519</v>
      </c>
      <c r="N238" s="93" t="s">
        <v>429</v>
      </c>
      <c r="AE238" s="85"/>
      <c r="AF238" s="85"/>
      <c r="AG238" s="85"/>
    </row>
    <row r="239" spans="2:33" ht="14.4" customHeight="1" x14ac:dyDescent="0.3">
      <c r="B239" s="94" t="s">
        <v>698</v>
      </c>
      <c r="C239" s="94" t="s">
        <v>697</v>
      </c>
      <c r="D239" s="96" t="s">
        <v>568</v>
      </c>
      <c r="E239" s="97">
        <v>30</v>
      </c>
      <c r="F239" s="96" t="s">
        <v>568</v>
      </c>
      <c r="G239" s="97">
        <v>40</v>
      </c>
      <c r="H239" s="96" t="s">
        <v>568</v>
      </c>
      <c r="I239" s="97">
        <v>50</v>
      </c>
      <c r="J239" s="96" t="s">
        <v>1119</v>
      </c>
      <c r="K239" s="96" t="s">
        <v>578</v>
      </c>
      <c r="L239" s="96" t="s">
        <v>1011</v>
      </c>
      <c r="M239" s="94" t="s">
        <v>520</v>
      </c>
      <c r="N239" s="95" t="s">
        <v>382</v>
      </c>
      <c r="AE239" s="85"/>
      <c r="AF239" s="85"/>
      <c r="AG239" s="85"/>
    </row>
    <row r="240" spans="2:33" ht="14.4" customHeight="1" x14ac:dyDescent="0.3">
      <c r="B240" s="90" t="s">
        <v>742</v>
      </c>
      <c r="C240" s="90" t="s">
        <v>674</v>
      </c>
      <c r="D240" s="91" t="s">
        <v>568</v>
      </c>
      <c r="E240" s="92">
        <v>35</v>
      </c>
      <c r="F240" s="91" t="s">
        <v>568</v>
      </c>
      <c r="G240" s="92">
        <v>35</v>
      </c>
      <c r="H240" s="91" t="s">
        <v>568</v>
      </c>
      <c r="I240" s="92">
        <v>35</v>
      </c>
      <c r="J240" s="96" t="s">
        <v>1120</v>
      </c>
      <c r="K240" s="91" t="s">
        <v>602</v>
      </c>
      <c r="L240" s="91" t="s">
        <v>1012</v>
      </c>
      <c r="M240" s="90" t="s">
        <v>475</v>
      </c>
      <c r="N240" s="93" t="s">
        <v>476</v>
      </c>
      <c r="AE240" s="85"/>
      <c r="AF240" s="85"/>
      <c r="AG240" s="85"/>
    </row>
    <row r="241" spans="2:33" ht="14.4" customHeight="1" x14ac:dyDescent="0.3">
      <c r="B241" s="94" t="s">
        <v>1020</v>
      </c>
      <c r="C241" s="94" t="s">
        <v>674</v>
      </c>
      <c r="D241" s="96" t="s">
        <v>568</v>
      </c>
      <c r="E241" s="97">
        <v>25</v>
      </c>
      <c r="F241" s="96" t="s">
        <v>568</v>
      </c>
      <c r="G241" s="97">
        <v>28</v>
      </c>
      <c r="H241" s="96" t="s">
        <v>568</v>
      </c>
      <c r="I241" s="97">
        <v>30</v>
      </c>
      <c r="J241" s="96" t="s">
        <v>1119</v>
      </c>
      <c r="K241" s="96" t="s">
        <v>1019</v>
      </c>
      <c r="L241" s="96" t="s">
        <v>1021</v>
      </c>
      <c r="M241" s="94" t="s">
        <v>521</v>
      </c>
      <c r="N241" s="95" t="s">
        <v>395</v>
      </c>
      <c r="AE241" s="85"/>
      <c r="AF241" s="85"/>
      <c r="AG241" s="85"/>
    </row>
    <row r="242" spans="2:33" ht="14.4" customHeight="1" x14ac:dyDescent="0.3">
      <c r="B242" s="90" t="s">
        <v>983</v>
      </c>
      <c r="C242" s="90" t="s">
        <v>697</v>
      </c>
      <c r="D242" s="91" t="s">
        <v>568</v>
      </c>
      <c r="E242" s="92">
        <v>45</v>
      </c>
      <c r="F242" s="91" t="s">
        <v>568</v>
      </c>
      <c r="G242" s="92">
        <v>50</v>
      </c>
      <c r="H242" s="91" t="s">
        <v>568</v>
      </c>
      <c r="I242" s="92">
        <v>55</v>
      </c>
      <c r="J242" s="96" t="s">
        <v>1119</v>
      </c>
      <c r="K242" s="91" t="s">
        <v>638</v>
      </c>
      <c r="L242" s="91" t="s">
        <v>1054</v>
      </c>
      <c r="M242" s="90" t="s">
        <v>466</v>
      </c>
      <c r="N242" s="93" t="s">
        <v>380</v>
      </c>
      <c r="AE242" s="85"/>
      <c r="AF242" s="85"/>
      <c r="AG242" s="85"/>
    </row>
    <row r="243" spans="2:33" ht="14.4" customHeight="1" x14ac:dyDescent="0.3">
      <c r="B243" s="94" t="s">
        <v>719</v>
      </c>
      <c r="C243" s="94" t="s">
        <v>697</v>
      </c>
      <c r="D243" s="96" t="s">
        <v>568</v>
      </c>
      <c r="E243" s="97">
        <v>35</v>
      </c>
      <c r="F243" s="96" t="s">
        <v>568</v>
      </c>
      <c r="G243" s="97">
        <v>45</v>
      </c>
      <c r="H243" s="96" t="s">
        <v>568</v>
      </c>
      <c r="I243" s="97">
        <v>55</v>
      </c>
      <c r="J243" s="96" t="s">
        <v>1119</v>
      </c>
      <c r="K243" s="96" t="s">
        <v>596</v>
      </c>
      <c r="L243" s="96" t="s">
        <v>1094</v>
      </c>
      <c r="M243" s="94" t="s">
        <v>522</v>
      </c>
      <c r="N243" s="95" t="s">
        <v>523</v>
      </c>
      <c r="AE243" s="85"/>
      <c r="AF243" s="85"/>
      <c r="AG243" s="85"/>
    </row>
    <row r="244" spans="2:33" ht="14.4" customHeight="1" x14ac:dyDescent="0.3">
      <c r="B244" s="90" t="s">
        <v>575</v>
      </c>
      <c r="C244" s="90" t="s">
        <v>572</v>
      </c>
      <c r="D244" s="91" t="s">
        <v>573</v>
      </c>
      <c r="E244" s="92">
        <v>0</v>
      </c>
      <c r="F244" s="91" t="s">
        <v>573</v>
      </c>
      <c r="G244" s="92">
        <v>0</v>
      </c>
      <c r="H244" s="91" t="s">
        <v>568</v>
      </c>
      <c r="I244" s="92">
        <v>50</v>
      </c>
      <c r="J244" s="96" t="s">
        <v>1119</v>
      </c>
      <c r="K244" s="91" t="s">
        <v>574</v>
      </c>
      <c r="L244" s="91" t="s">
        <v>576</v>
      </c>
      <c r="M244" s="90" t="s">
        <v>524</v>
      </c>
      <c r="N244" s="93" t="s">
        <v>470</v>
      </c>
      <c r="AE244" s="85"/>
      <c r="AF244" s="85"/>
      <c r="AG244" s="85"/>
    </row>
    <row r="245" spans="2:33" ht="14.4" customHeight="1" x14ac:dyDescent="0.3">
      <c r="B245" s="94" t="s">
        <v>657</v>
      </c>
      <c r="C245" s="94" t="s">
        <v>655</v>
      </c>
      <c r="D245" s="96" t="s">
        <v>573</v>
      </c>
      <c r="E245" s="97">
        <v>0</v>
      </c>
      <c r="F245" s="96" t="s">
        <v>573</v>
      </c>
      <c r="G245" s="97">
        <v>0</v>
      </c>
      <c r="H245" s="96" t="s">
        <v>573</v>
      </c>
      <c r="I245" s="97">
        <v>0</v>
      </c>
      <c r="J245" s="96" t="s">
        <v>1119</v>
      </c>
      <c r="K245" s="96" t="s">
        <v>656</v>
      </c>
      <c r="L245" s="96" t="s">
        <v>658</v>
      </c>
      <c r="M245" s="94" t="s">
        <v>475</v>
      </c>
      <c r="N245" s="95" t="s">
        <v>476</v>
      </c>
      <c r="AE245" s="85"/>
      <c r="AF245" s="85"/>
      <c r="AG245" s="85"/>
    </row>
    <row r="246" spans="2:33" ht="14.4" customHeight="1" x14ac:dyDescent="0.3">
      <c r="B246" s="90" t="s">
        <v>657</v>
      </c>
      <c r="C246" s="90" t="s">
        <v>655</v>
      </c>
      <c r="D246" s="91" t="s">
        <v>573</v>
      </c>
      <c r="E246" s="92">
        <v>0</v>
      </c>
      <c r="F246" s="91" t="s">
        <v>573</v>
      </c>
      <c r="G246" s="92">
        <v>0</v>
      </c>
      <c r="H246" s="91" t="s">
        <v>573</v>
      </c>
      <c r="I246" s="92">
        <v>0</v>
      </c>
      <c r="J246" s="96" t="s">
        <v>1119</v>
      </c>
      <c r="K246" s="91" t="s">
        <v>656</v>
      </c>
      <c r="L246" s="91" t="s">
        <v>718</v>
      </c>
      <c r="M246" s="90" t="s">
        <v>438</v>
      </c>
      <c r="N246" s="93" t="s">
        <v>439</v>
      </c>
      <c r="AE246" s="85"/>
      <c r="AF246" s="85"/>
      <c r="AG246" s="85"/>
    </row>
    <row r="247" spans="2:33" ht="14.4" customHeight="1" x14ac:dyDescent="0.3">
      <c r="B247" s="94" t="s">
        <v>752</v>
      </c>
      <c r="C247" s="94" t="s">
        <v>750</v>
      </c>
      <c r="D247" s="96" t="s">
        <v>573</v>
      </c>
      <c r="E247" s="97">
        <v>0</v>
      </c>
      <c r="F247" s="96" t="s">
        <v>573</v>
      </c>
      <c r="G247" s="97">
        <v>0</v>
      </c>
      <c r="H247" s="96" t="s">
        <v>568</v>
      </c>
      <c r="I247" s="97">
        <v>35</v>
      </c>
      <c r="J247" s="96" t="s">
        <v>1119</v>
      </c>
      <c r="K247" s="96" t="s">
        <v>751</v>
      </c>
      <c r="L247" s="96" t="s">
        <v>753</v>
      </c>
      <c r="M247" s="94" t="s">
        <v>411</v>
      </c>
      <c r="N247" s="95" t="s">
        <v>401</v>
      </c>
      <c r="AE247" s="85"/>
      <c r="AF247" s="85"/>
      <c r="AG247" s="85"/>
    </row>
    <row r="248" spans="2:33" ht="14.4" customHeight="1" x14ac:dyDescent="0.3">
      <c r="B248" s="90" t="s">
        <v>752</v>
      </c>
      <c r="C248" s="90" t="s">
        <v>750</v>
      </c>
      <c r="D248" s="91" t="s">
        <v>573</v>
      </c>
      <c r="E248" s="92">
        <v>0</v>
      </c>
      <c r="F248" s="91" t="s">
        <v>573</v>
      </c>
      <c r="G248" s="92">
        <v>0</v>
      </c>
      <c r="H248" s="91" t="s">
        <v>568</v>
      </c>
      <c r="I248" s="92">
        <v>35</v>
      </c>
      <c r="J248" s="96" t="s">
        <v>1119</v>
      </c>
      <c r="K248" s="91" t="s">
        <v>751</v>
      </c>
      <c r="L248" s="91" t="s">
        <v>774</v>
      </c>
      <c r="M248" s="90" t="s">
        <v>525</v>
      </c>
      <c r="N248" s="93" t="s">
        <v>526</v>
      </c>
      <c r="AE248" s="85"/>
      <c r="AF248" s="85"/>
      <c r="AG248" s="85"/>
    </row>
    <row r="249" spans="2:33" ht="14.4" customHeight="1" x14ac:dyDescent="0.3">
      <c r="B249" s="94" t="s">
        <v>795</v>
      </c>
      <c r="C249" s="94" t="s">
        <v>572</v>
      </c>
      <c r="D249" s="96" t="s">
        <v>573</v>
      </c>
      <c r="E249" s="97">
        <v>0</v>
      </c>
      <c r="F249" s="96" t="s">
        <v>573</v>
      </c>
      <c r="G249" s="97">
        <v>0</v>
      </c>
      <c r="H249" s="96" t="s">
        <v>568</v>
      </c>
      <c r="I249" s="97">
        <v>35</v>
      </c>
      <c r="J249" s="96" t="s">
        <v>1120</v>
      </c>
      <c r="K249" s="96" t="s">
        <v>602</v>
      </c>
      <c r="L249" s="96" t="s">
        <v>796</v>
      </c>
      <c r="M249" s="94" t="s">
        <v>466</v>
      </c>
      <c r="N249" s="95" t="s">
        <v>380</v>
      </c>
      <c r="AE249" s="85"/>
      <c r="AF249" s="85"/>
      <c r="AG249" s="85"/>
    </row>
    <row r="250" spans="2:33" ht="14.4" customHeight="1" x14ac:dyDescent="0.3">
      <c r="B250" s="90" t="s">
        <v>657</v>
      </c>
      <c r="C250" s="90" t="s">
        <v>655</v>
      </c>
      <c r="D250" s="91" t="s">
        <v>573</v>
      </c>
      <c r="E250" s="92">
        <v>0</v>
      </c>
      <c r="F250" s="91" t="s">
        <v>573</v>
      </c>
      <c r="G250" s="92">
        <v>0</v>
      </c>
      <c r="H250" s="91" t="s">
        <v>573</v>
      </c>
      <c r="I250" s="92">
        <v>0</v>
      </c>
      <c r="J250" s="96" t="s">
        <v>1119</v>
      </c>
      <c r="K250" s="91" t="s">
        <v>656</v>
      </c>
      <c r="L250" s="91" t="s">
        <v>800</v>
      </c>
      <c r="M250" s="90" t="s">
        <v>527</v>
      </c>
      <c r="N250" s="93" t="s">
        <v>418</v>
      </c>
      <c r="AE250" s="85"/>
      <c r="AF250" s="85"/>
      <c r="AG250" s="85"/>
    </row>
    <row r="251" spans="2:33" ht="14.4" customHeight="1" x14ac:dyDescent="0.3">
      <c r="B251" s="94" t="s">
        <v>807</v>
      </c>
      <c r="C251" s="94" t="s">
        <v>806</v>
      </c>
      <c r="D251" s="96" t="s">
        <v>573</v>
      </c>
      <c r="E251" s="97">
        <v>0</v>
      </c>
      <c r="F251" s="96" t="s">
        <v>573</v>
      </c>
      <c r="G251" s="97">
        <v>0</v>
      </c>
      <c r="H251" s="96" t="s">
        <v>568</v>
      </c>
      <c r="I251" s="97">
        <v>35</v>
      </c>
      <c r="J251" s="96" t="s">
        <v>1119</v>
      </c>
      <c r="K251" s="96" t="s">
        <v>574</v>
      </c>
      <c r="L251" s="96" t="s">
        <v>808</v>
      </c>
      <c r="M251" s="94" t="s">
        <v>436</v>
      </c>
      <c r="N251" s="95" t="s">
        <v>437</v>
      </c>
      <c r="AE251" s="85"/>
      <c r="AF251" s="85"/>
      <c r="AG251" s="85"/>
    </row>
    <row r="252" spans="2:33" ht="14.4" customHeight="1" x14ac:dyDescent="0.3">
      <c r="B252" s="90" t="s">
        <v>845</v>
      </c>
      <c r="C252" s="90" t="s">
        <v>875</v>
      </c>
      <c r="D252" s="91" t="s">
        <v>568</v>
      </c>
      <c r="E252" s="92">
        <v>35</v>
      </c>
      <c r="F252" s="91" t="s">
        <v>568</v>
      </c>
      <c r="G252" s="92">
        <v>40</v>
      </c>
      <c r="H252" s="91" t="s">
        <v>568</v>
      </c>
      <c r="I252" s="92">
        <v>45</v>
      </c>
      <c r="J252" s="96" t="s">
        <v>1119</v>
      </c>
      <c r="K252" s="91" t="s">
        <v>569</v>
      </c>
      <c r="L252" s="91" t="s">
        <v>876</v>
      </c>
      <c r="M252" s="90" t="s">
        <v>424</v>
      </c>
      <c r="N252" s="93" t="s">
        <v>376</v>
      </c>
      <c r="AE252" s="85"/>
      <c r="AF252" s="85"/>
      <c r="AG252" s="85"/>
    </row>
    <row r="253" spans="2:33" ht="14.4" customHeight="1" x14ac:dyDescent="0.3">
      <c r="B253" s="94" t="s">
        <v>575</v>
      </c>
      <c r="C253" s="94" t="s">
        <v>572</v>
      </c>
      <c r="D253" s="96" t="s">
        <v>573</v>
      </c>
      <c r="E253" s="97">
        <v>0</v>
      </c>
      <c r="F253" s="96" t="s">
        <v>573</v>
      </c>
      <c r="G253" s="97">
        <v>0</v>
      </c>
      <c r="H253" s="96" t="s">
        <v>568</v>
      </c>
      <c r="I253" s="97">
        <v>50</v>
      </c>
      <c r="J253" s="96" t="s">
        <v>1119</v>
      </c>
      <c r="K253" s="96" t="s">
        <v>574</v>
      </c>
      <c r="L253" s="96" t="s">
        <v>880</v>
      </c>
      <c r="M253" s="94" t="s">
        <v>528</v>
      </c>
      <c r="N253" s="95" t="s">
        <v>399</v>
      </c>
      <c r="AE253" s="85"/>
      <c r="AF253" s="85"/>
      <c r="AG253" s="85"/>
    </row>
    <row r="254" spans="2:33" ht="14.4" customHeight="1" x14ac:dyDescent="0.3">
      <c r="B254" s="90" t="s">
        <v>672</v>
      </c>
      <c r="C254" s="90" t="s">
        <v>888</v>
      </c>
      <c r="D254" s="91" t="s">
        <v>568</v>
      </c>
      <c r="E254" s="92">
        <v>35</v>
      </c>
      <c r="F254" s="91" t="s">
        <v>568</v>
      </c>
      <c r="G254" s="92">
        <v>40</v>
      </c>
      <c r="H254" s="91" t="s">
        <v>568</v>
      </c>
      <c r="I254" s="92">
        <v>45</v>
      </c>
      <c r="J254" s="96" t="s">
        <v>1119</v>
      </c>
      <c r="K254" s="91" t="s">
        <v>671</v>
      </c>
      <c r="L254" s="91" t="s">
        <v>889</v>
      </c>
      <c r="M254" s="90" t="s">
        <v>529</v>
      </c>
      <c r="N254" s="93" t="s">
        <v>382</v>
      </c>
      <c r="AE254" s="85"/>
      <c r="AF254" s="85"/>
      <c r="AG254" s="85"/>
    </row>
    <row r="255" spans="2:33" ht="14.4" customHeight="1" x14ac:dyDescent="0.3">
      <c r="B255" s="94" t="s">
        <v>891</v>
      </c>
      <c r="C255" s="94" t="s">
        <v>888</v>
      </c>
      <c r="D255" s="96" t="s">
        <v>573</v>
      </c>
      <c r="E255" s="97">
        <v>0</v>
      </c>
      <c r="F255" s="96" t="s">
        <v>568</v>
      </c>
      <c r="G255" s="97">
        <v>30</v>
      </c>
      <c r="H255" s="96" t="s">
        <v>568</v>
      </c>
      <c r="I255" s="97">
        <v>40</v>
      </c>
      <c r="J255" s="96" t="s">
        <v>1119</v>
      </c>
      <c r="K255" s="96" t="s">
        <v>638</v>
      </c>
      <c r="L255" s="96" t="s">
        <v>892</v>
      </c>
      <c r="M255" s="94" t="s">
        <v>530</v>
      </c>
      <c r="N255" s="95" t="s">
        <v>368</v>
      </c>
      <c r="AE255" s="85"/>
      <c r="AF255" s="85"/>
      <c r="AG255" s="85"/>
    </row>
    <row r="256" spans="2:33" ht="14.4" customHeight="1" x14ac:dyDescent="0.3">
      <c r="B256" s="90" t="s">
        <v>729</v>
      </c>
      <c r="C256" s="90" t="s">
        <v>888</v>
      </c>
      <c r="D256" s="91" t="s">
        <v>568</v>
      </c>
      <c r="E256" s="92">
        <v>35</v>
      </c>
      <c r="F256" s="91" t="s">
        <v>568</v>
      </c>
      <c r="G256" s="92">
        <v>40</v>
      </c>
      <c r="H256" s="91" t="s">
        <v>568</v>
      </c>
      <c r="I256" s="92">
        <v>45</v>
      </c>
      <c r="J256" s="96" t="s">
        <v>1119</v>
      </c>
      <c r="K256" s="91" t="s">
        <v>728</v>
      </c>
      <c r="L256" s="91" t="s">
        <v>909</v>
      </c>
      <c r="M256" s="90" t="s">
        <v>485</v>
      </c>
      <c r="N256" s="93" t="s">
        <v>386</v>
      </c>
      <c r="AE256" s="85"/>
      <c r="AF256" s="85"/>
      <c r="AG256" s="85"/>
    </row>
    <row r="257" spans="2:33" ht="14.4" customHeight="1" x14ac:dyDescent="0.3">
      <c r="B257" s="94" t="s">
        <v>607</v>
      </c>
      <c r="C257" s="94" t="s">
        <v>888</v>
      </c>
      <c r="D257" s="96" t="s">
        <v>573</v>
      </c>
      <c r="E257" s="97">
        <v>0</v>
      </c>
      <c r="F257" s="96" t="s">
        <v>568</v>
      </c>
      <c r="G257" s="97">
        <v>30</v>
      </c>
      <c r="H257" s="96" t="s">
        <v>568</v>
      </c>
      <c r="I257" s="97">
        <v>45</v>
      </c>
      <c r="J257" s="96" t="s">
        <v>1119</v>
      </c>
      <c r="K257" s="96" t="s">
        <v>606</v>
      </c>
      <c r="L257" s="96" t="s">
        <v>928</v>
      </c>
      <c r="M257" s="94" t="s">
        <v>435</v>
      </c>
      <c r="N257" s="95" t="s">
        <v>374</v>
      </c>
      <c r="AE257" s="85"/>
      <c r="AF257" s="85"/>
      <c r="AG257" s="85"/>
    </row>
    <row r="258" spans="2:33" ht="14.4" customHeight="1" x14ac:dyDescent="0.3">
      <c r="B258" s="90" t="s">
        <v>657</v>
      </c>
      <c r="C258" s="90" t="s">
        <v>655</v>
      </c>
      <c r="D258" s="91" t="s">
        <v>573</v>
      </c>
      <c r="E258" s="92">
        <v>0</v>
      </c>
      <c r="F258" s="91" t="s">
        <v>573</v>
      </c>
      <c r="G258" s="92">
        <v>0</v>
      </c>
      <c r="H258" s="91" t="s">
        <v>573</v>
      </c>
      <c r="I258" s="92">
        <v>0</v>
      </c>
      <c r="J258" s="96" t="s">
        <v>1119</v>
      </c>
      <c r="K258" s="91" t="s">
        <v>656</v>
      </c>
      <c r="L258" s="91" t="s">
        <v>933</v>
      </c>
      <c r="M258" s="90" t="s">
        <v>404</v>
      </c>
      <c r="N258" s="93" t="s">
        <v>382</v>
      </c>
      <c r="AE258" s="85"/>
      <c r="AF258" s="85"/>
      <c r="AG258" s="85"/>
    </row>
    <row r="259" spans="2:33" ht="14.4" customHeight="1" x14ac:dyDescent="0.3">
      <c r="B259" s="94" t="s">
        <v>942</v>
      </c>
      <c r="C259" s="94" t="s">
        <v>875</v>
      </c>
      <c r="D259" s="96" t="s">
        <v>568</v>
      </c>
      <c r="E259" s="97">
        <v>25</v>
      </c>
      <c r="F259" s="96" t="s">
        <v>568</v>
      </c>
      <c r="G259" s="97">
        <v>25</v>
      </c>
      <c r="H259" s="96" t="s">
        <v>568</v>
      </c>
      <c r="I259" s="97">
        <v>30</v>
      </c>
      <c r="J259" s="96" t="s">
        <v>1119</v>
      </c>
      <c r="K259" s="96" t="s">
        <v>619</v>
      </c>
      <c r="L259" s="96" t="s">
        <v>943</v>
      </c>
      <c r="M259" s="94" t="s">
        <v>531</v>
      </c>
      <c r="N259" s="95" t="s">
        <v>532</v>
      </c>
      <c r="AE259" s="85"/>
      <c r="AF259" s="85"/>
      <c r="AG259" s="85"/>
    </row>
    <row r="260" spans="2:33" ht="14.4" customHeight="1" x14ac:dyDescent="0.3">
      <c r="B260" s="90" t="s">
        <v>736</v>
      </c>
      <c r="C260" s="90" t="s">
        <v>945</v>
      </c>
      <c r="D260" s="91" t="s">
        <v>573</v>
      </c>
      <c r="E260" s="92">
        <v>0</v>
      </c>
      <c r="F260" s="91" t="s">
        <v>573</v>
      </c>
      <c r="G260" s="92">
        <v>0</v>
      </c>
      <c r="H260" s="91" t="s">
        <v>568</v>
      </c>
      <c r="I260" s="92">
        <v>40</v>
      </c>
      <c r="J260" s="96" t="s">
        <v>1119</v>
      </c>
      <c r="K260" s="91" t="s">
        <v>735</v>
      </c>
      <c r="L260" s="91" t="s">
        <v>946</v>
      </c>
      <c r="M260" s="90" t="s">
        <v>475</v>
      </c>
      <c r="N260" s="93" t="s">
        <v>476</v>
      </c>
      <c r="AE260" s="85"/>
      <c r="AF260" s="85"/>
      <c r="AG260" s="85"/>
    </row>
    <row r="261" spans="2:33" ht="14.4" customHeight="1" x14ac:dyDescent="0.3">
      <c r="B261" s="94" t="s">
        <v>891</v>
      </c>
      <c r="C261" s="94" t="s">
        <v>888</v>
      </c>
      <c r="D261" s="96" t="s">
        <v>573</v>
      </c>
      <c r="E261" s="97">
        <v>0</v>
      </c>
      <c r="F261" s="96" t="s">
        <v>568</v>
      </c>
      <c r="G261" s="97">
        <v>30</v>
      </c>
      <c r="H261" s="96" t="s">
        <v>568</v>
      </c>
      <c r="I261" s="97">
        <v>40</v>
      </c>
      <c r="J261" s="96" t="s">
        <v>1119</v>
      </c>
      <c r="K261" s="96" t="s">
        <v>638</v>
      </c>
      <c r="L261" s="96" t="s">
        <v>892</v>
      </c>
      <c r="M261" s="94" t="s">
        <v>363</v>
      </c>
      <c r="N261" s="95" t="s">
        <v>364</v>
      </c>
      <c r="AE261" s="85"/>
      <c r="AF261" s="85"/>
      <c r="AG261" s="85"/>
    </row>
    <row r="262" spans="2:33" ht="14.4" customHeight="1" x14ac:dyDescent="0.3">
      <c r="B262" s="90" t="s">
        <v>967</v>
      </c>
      <c r="C262" s="90" t="s">
        <v>750</v>
      </c>
      <c r="D262" s="91" t="s">
        <v>573</v>
      </c>
      <c r="E262" s="92">
        <v>0</v>
      </c>
      <c r="F262" s="91" t="s">
        <v>573</v>
      </c>
      <c r="G262" s="92">
        <v>0</v>
      </c>
      <c r="H262" s="91" t="s">
        <v>568</v>
      </c>
      <c r="I262" s="92">
        <v>35</v>
      </c>
      <c r="J262" s="96" t="s">
        <v>1119</v>
      </c>
      <c r="K262" s="91" t="s">
        <v>751</v>
      </c>
      <c r="L262" s="91" t="s">
        <v>968</v>
      </c>
      <c r="M262" s="90" t="s">
        <v>533</v>
      </c>
      <c r="N262" s="93" t="s">
        <v>390</v>
      </c>
      <c r="AE262" s="85"/>
      <c r="AF262" s="85"/>
      <c r="AG262" s="85"/>
    </row>
    <row r="263" spans="2:33" ht="14.4" customHeight="1" x14ac:dyDescent="0.3">
      <c r="B263" s="94" t="s">
        <v>657</v>
      </c>
      <c r="C263" s="94" t="s">
        <v>655</v>
      </c>
      <c r="D263" s="96" t="s">
        <v>573</v>
      </c>
      <c r="E263" s="97">
        <v>0</v>
      </c>
      <c r="F263" s="96" t="s">
        <v>573</v>
      </c>
      <c r="G263" s="97">
        <v>0</v>
      </c>
      <c r="H263" s="96" t="s">
        <v>573</v>
      </c>
      <c r="I263" s="97">
        <v>0</v>
      </c>
      <c r="J263" s="96" t="s">
        <v>1119</v>
      </c>
      <c r="K263" s="96" t="s">
        <v>656</v>
      </c>
      <c r="L263" s="96" t="s">
        <v>933</v>
      </c>
      <c r="M263" s="94" t="s">
        <v>411</v>
      </c>
      <c r="N263" s="95" t="s">
        <v>401</v>
      </c>
      <c r="AE263" s="85"/>
      <c r="AF263" s="85"/>
      <c r="AG263" s="85"/>
    </row>
    <row r="264" spans="2:33" ht="14.4" customHeight="1" x14ac:dyDescent="0.3">
      <c r="B264" s="90" t="s">
        <v>795</v>
      </c>
      <c r="C264" s="90" t="s">
        <v>572</v>
      </c>
      <c r="D264" s="91" t="s">
        <v>573</v>
      </c>
      <c r="E264" s="92">
        <v>0</v>
      </c>
      <c r="F264" s="91" t="s">
        <v>573</v>
      </c>
      <c r="G264" s="92">
        <v>0</v>
      </c>
      <c r="H264" s="91" t="s">
        <v>568</v>
      </c>
      <c r="I264" s="92">
        <v>35</v>
      </c>
      <c r="J264" s="96" t="s">
        <v>1120</v>
      </c>
      <c r="K264" s="91" t="s">
        <v>602</v>
      </c>
      <c r="L264" s="91" t="s">
        <v>980</v>
      </c>
      <c r="M264" s="90" t="s">
        <v>471</v>
      </c>
      <c r="N264" s="93" t="s">
        <v>368</v>
      </c>
      <c r="AE264" s="85"/>
      <c r="AF264" s="85"/>
      <c r="AG264" s="85"/>
    </row>
    <row r="265" spans="2:33" ht="14.4" customHeight="1" x14ac:dyDescent="0.3">
      <c r="B265" s="94" t="s">
        <v>1003</v>
      </c>
      <c r="C265" s="94" t="s">
        <v>888</v>
      </c>
      <c r="D265" s="96" t="s">
        <v>573</v>
      </c>
      <c r="E265" s="97">
        <v>0</v>
      </c>
      <c r="F265" s="96" t="s">
        <v>568</v>
      </c>
      <c r="G265" s="97">
        <v>20</v>
      </c>
      <c r="H265" s="96" t="s">
        <v>568</v>
      </c>
      <c r="I265" s="97">
        <v>30</v>
      </c>
      <c r="J265" s="96" t="s">
        <v>1119</v>
      </c>
      <c r="K265" s="96" t="s">
        <v>569</v>
      </c>
      <c r="L265" s="96" t="s">
        <v>1004</v>
      </c>
      <c r="M265" s="94" t="s">
        <v>425</v>
      </c>
      <c r="N265" s="95" t="s">
        <v>370</v>
      </c>
      <c r="AE265" s="85"/>
      <c r="AF265" s="85"/>
      <c r="AG265" s="85"/>
    </row>
    <row r="266" spans="2:33" ht="14.4" customHeight="1" x14ac:dyDescent="0.3">
      <c r="B266" s="90" t="s">
        <v>807</v>
      </c>
      <c r="C266" s="90" t="s">
        <v>806</v>
      </c>
      <c r="D266" s="91" t="s">
        <v>573</v>
      </c>
      <c r="E266" s="92">
        <v>0</v>
      </c>
      <c r="F266" s="91" t="s">
        <v>573</v>
      </c>
      <c r="G266" s="92">
        <v>0</v>
      </c>
      <c r="H266" s="91" t="s">
        <v>568</v>
      </c>
      <c r="I266" s="92">
        <v>35</v>
      </c>
      <c r="J266" s="96" t="s">
        <v>1119</v>
      </c>
      <c r="K266" s="91" t="s">
        <v>574</v>
      </c>
      <c r="L266" s="91" t="s">
        <v>1010</v>
      </c>
      <c r="M266" s="90" t="s">
        <v>445</v>
      </c>
      <c r="N266" s="93" t="s">
        <v>380</v>
      </c>
      <c r="AE266" s="85"/>
      <c r="AF266" s="85"/>
      <c r="AG266" s="85"/>
    </row>
    <row r="267" spans="2:33" ht="14.4" customHeight="1" x14ac:dyDescent="0.3">
      <c r="B267" s="94" t="s">
        <v>807</v>
      </c>
      <c r="C267" s="94" t="s">
        <v>888</v>
      </c>
      <c r="D267" s="96" t="s">
        <v>573</v>
      </c>
      <c r="E267" s="97">
        <v>0</v>
      </c>
      <c r="F267" s="96" t="s">
        <v>573</v>
      </c>
      <c r="G267" s="97">
        <v>0</v>
      </c>
      <c r="H267" s="96" t="s">
        <v>568</v>
      </c>
      <c r="I267" s="97">
        <v>35</v>
      </c>
      <c r="J267" s="96" t="s">
        <v>1119</v>
      </c>
      <c r="K267" s="96" t="s">
        <v>574</v>
      </c>
      <c r="L267" s="96" t="s">
        <v>1013</v>
      </c>
      <c r="M267" s="94" t="s">
        <v>471</v>
      </c>
      <c r="N267" s="95" t="s">
        <v>368</v>
      </c>
      <c r="AE267" s="85"/>
      <c r="AF267" s="85"/>
      <c r="AG267" s="85"/>
    </row>
    <row r="268" spans="2:33" ht="14.4" customHeight="1" x14ac:dyDescent="0.3">
      <c r="B268" s="90" t="s">
        <v>657</v>
      </c>
      <c r="C268" s="90" t="s">
        <v>655</v>
      </c>
      <c r="D268" s="91" t="s">
        <v>573</v>
      </c>
      <c r="E268" s="92">
        <v>0</v>
      </c>
      <c r="F268" s="91" t="s">
        <v>573</v>
      </c>
      <c r="G268" s="92">
        <v>0</v>
      </c>
      <c r="H268" s="91" t="s">
        <v>573</v>
      </c>
      <c r="I268" s="92">
        <v>0</v>
      </c>
      <c r="J268" s="96" t="s">
        <v>1119</v>
      </c>
      <c r="K268" s="91" t="s">
        <v>656</v>
      </c>
      <c r="L268" s="91" t="s">
        <v>1017</v>
      </c>
      <c r="M268" s="90" t="s">
        <v>430</v>
      </c>
      <c r="N268" s="93" t="s">
        <v>380</v>
      </c>
      <c r="AE268" s="85"/>
      <c r="AF268" s="85"/>
      <c r="AG268" s="85"/>
    </row>
    <row r="269" spans="2:33" ht="14.4" customHeight="1" x14ac:dyDescent="0.3">
      <c r="B269" s="94" t="s">
        <v>603</v>
      </c>
      <c r="C269" s="94" t="s">
        <v>806</v>
      </c>
      <c r="D269" s="96" t="s">
        <v>568</v>
      </c>
      <c r="E269" s="97">
        <v>35</v>
      </c>
      <c r="F269" s="96" t="s">
        <v>568</v>
      </c>
      <c r="G269" s="97">
        <v>45</v>
      </c>
      <c r="H269" s="96" t="s">
        <v>568</v>
      </c>
      <c r="I269" s="97">
        <v>50</v>
      </c>
      <c r="J269" s="96" t="s">
        <v>1120</v>
      </c>
      <c r="K269" s="96" t="s">
        <v>602</v>
      </c>
      <c r="L269" s="96" t="s">
        <v>1018</v>
      </c>
      <c r="M269" s="94" t="s">
        <v>424</v>
      </c>
      <c r="N269" s="95" t="s">
        <v>376</v>
      </c>
      <c r="AE269" s="85"/>
      <c r="AF269" s="85"/>
      <c r="AG269" s="85"/>
    </row>
    <row r="270" spans="2:33" ht="14.4" customHeight="1" x14ac:dyDescent="0.3">
      <c r="B270" s="90" t="s">
        <v>1026</v>
      </c>
      <c r="C270" s="90" t="s">
        <v>888</v>
      </c>
      <c r="D270" s="91" t="s">
        <v>573</v>
      </c>
      <c r="E270" s="92">
        <v>0</v>
      </c>
      <c r="F270" s="91" t="s">
        <v>568</v>
      </c>
      <c r="G270" s="92">
        <v>20</v>
      </c>
      <c r="H270" s="91" t="s">
        <v>568</v>
      </c>
      <c r="I270" s="92">
        <v>30</v>
      </c>
      <c r="J270" s="96" t="s">
        <v>1119</v>
      </c>
      <c r="K270" s="91" t="s">
        <v>623</v>
      </c>
      <c r="L270" s="91" t="s">
        <v>1027</v>
      </c>
      <c r="M270" s="90" t="s">
        <v>405</v>
      </c>
      <c r="N270" s="93" t="s">
        <v>406</v>
      </c>
      <c r="AE270" s="85"/>
      <c r="AF270" s="85"/>
      <c r="AG270" s="85"/>
    </row>
    <row r="271" spans="2:33" ht="14.4" customHeight="1" x14ac:dyDescent="0.3">
      <c r="B271" s="94" t="s">
        <v>742</v>
      </c>
      <c r="C271" s="94" t="s">
        <v>875</v>
      </c>
      <c r="D271" s="96" t="s">
        <v>568</v>
      </c>
      <c r="E271" s="97">
        <v>35</v>
      </c>
      <c r="F271" s="96" t="s">
        <v>568</v>
      </c>
      <c r="G271" s="97">
        <v>35</v>
      </c>
      <c r="H271" s="96" t="s">
        <v>568</v>
      </c>
      <c r="I271" s="97">
        <v>35</v>
      </c>
      <c r="J271" s="96" t="s">
        <v>1120</v>
      </c>
      <c r="K271" s="96" t="s">
        <v>602</v>
      </c>
      <c r="L271" s="96" t="s">
        <v>1037</v>
      </c>
      <c r="M271" s="94" t="s">
        <v>379</v>
      </c>
      <c r="N271" s="95" t="s">
        <v>380</v>
      </c>
      <c r="AE271" s="85"/>
      <c r="AF271" s="85"/>
      <c r="AG271" s="85"/>
    </row>
    <row r="272" spans="2:33" ht="14.4" customHeight="1" x14ac:dyDescent="0.3">
      <c r="B272" s="90" t="s">
        <v>1045</v>
      </c>
      <c r="C272" s="90" t="s">
        <v>888</v>
      </c>
      <c r="D272" s="91" t="s">
        <v>573</v>
      </c>
      <c r="E272" s="92">
        <v>0</v>
      </c>
      <c r="F272" s="91" t="s">
        <v>568</v>
      </c>
      <c r="G272" s="92">
        <v>20</v>
      </c>
      <c r="H272" s="91" t="s">
        <v>568</v>
      </c>
      <c r="I272" s="92">
        <v>30</v>
      </c>
      <c r="J272" s="96" t="s">
        <v>1120</v>
      </c>
      <c r="K272" s="91" t="s">
        <v>1044</v>
      </c>
      <c r="L272" s="91" t="s">
        <v>1046</v>
      </c>
      <c r="M272" s="90" t="s">
        <v>534</v>
      </c>
      <c r="N272" s="93" t="s">
        <v>535</v>
      </c>
      <c r="AE272" s="85"/>
      <c r="AF272" s="85"/>
      <c r="AG272" s="85"/>
    </row>
    <row r="273" spans="2:33" ht="14.4" customHeight="1" x14ac:dyDescent="0.3">
      <c r="B273" s="94" t="s">
        <v>1052</v>
      </c>
      <c r="C273" s="94" t="s">
        <v>888</v>
      </c>
      <c r="D273" s="96" t="s">
        <v>573</v>
      </c>
      <c r="E273" s="97">
        <v>0</v>
      </c>
      <c r="F273" s="96" t="s">
        <v>568</v>
      </c>
      <c r="G273" s="97">
        <v>20</v>
      </c>
      <c r="H273" s="96" t="s">
        <v>568</v>
      </c>
      <c r="I273" s="97">
        <v>25</v>
      </c>
      <c r="J273" s="96" t="s">
        <v>1119</v>
      </c>
      <c r="K273" s="96" t="s">
        <v>961</v>
      </c>
      <c r="L273" s="96" t="s">
        <v>1053</v>
      </c>
      <c r="M273" s="94" t="s">
        <v>475</v>
      </c>
      <c r="N273" s="95" t="s">
        <v>476</v>
      </c>
      <c r="AE273" s="85"/>
      <c r="AF273" s="85"/>
      <c r="AG273" s="85"/>
    </row>
    <row r="274" spans="2:33" ht="14.4" customHeight="1" x14ac:dyDescent="0.3">
      <c r="B274" s="90" t="s">
        <v>1060</v>
      </c>
      <c r="C274" s="90" t="s">
        <v>888</v>
      </c>
      <c r="D274" s="91" t="s">
        <v>573</v>
      </c>
      <c r="E274" s="92">
        <v>0</v>
      </c>
      <c r="F274" s="91" t="s">
        <v>568</v>
      </c>
      <c r="G274" s="92">
        <v>15</v>
      </c>
      <c r="H274" s="91" t="s">
        <v>568</v>
      </c>
      <c r="I274" s="92">
        <v>20</v>
      </c>
      <c r="J274" s="96" t="s">
        <v>1120</v>
      </c>
      <c r="K274" s="91" t="s">
        <v>610</v>
      </c>
      <c r="L274" s="91" t="s">
        <v>1061</v>
      </c>
      <c r="M274" s="90" t="s">
        <v>463</v>
      </c>
      <c r="N274" s="93" t="s">
        <v>464</v>
      </c>
      <c r="AE274" s="85"/>
      <c r="AF274" s="85"/>
      <c r="AG274" s="85"/>
    </row>
    <row r="275" spans="2:33" ht="14.4" customHeight="1" x14ac:dyDescent="0.3">
      <c r="B275" s="94" t="s">
        <v>752</v>
      </c>
      <c r="C275" s="94" t="s">
        <v>750</v>
      </c>
      <c r="D275" s="96" t="s">
        <v>573</v>
      </c>
      <c r="E275" s="97">
        <v>0</v>
      </c>
      <c r="F275" s="96" t="s">
        <v>573</v>
      </c>
      <c r="G275" s="97">
        <v>0</v>
      </c>
      <c r="H275" s="96" t="s">
        <v>568</v>
      </c>
      <c r="I275" s="97">
        <v>35</v>
      </c>
      <c r="J275" s="96" t="s">
        <v>1119</v>
      </c>
      <c r="K275" s="96" t="s">
        <v>751</v>
      </c>
      <c r="L275" s="96" t="s">
        <v>1065</v>
      </c>
      <c r="M275" s="94" t="s">
        <v>536</v>
      </c>
      <c r="N275" s="95" t="s">
        <v>537</v>
      </c>
      <c r="AE275" s="85"/>
      <c r="AF275" s="85"/>
      <c r="AG275" s="85"/>
    </row>
    <row r="276" spans="2:33" ht="14.4" customHeight="1" x14ac:dyDescent="0.3">
      <c r="B276" s="90" t="s">
        <v>1069</v>
      </c>
      <c r="C276" s="90" t="s">
        <v>888</v>
      </c>
      <c r="D276" s="91" t="s">
        <v>573</v>
      </c>
      <c r="E276" s="92">
        <v>0</v>
      </c>
      <c r="F276" s="91" t="s">
        <v>568</v>
      </c>
      <c r="G276" s="92">
        <v>25</v>
      </c>
      <c r="H276" s="91" t="s">
        <v>568</v>
      </c>
      <c r="I276" s="92">
        <v>30</v>
      </c>
      <c r="J276" s="96" t="s">
        <v>1119</v>
      </c>
      <c r="K276" s="91" t="s">
        <v>679</v>
      </c>
      <c r="L276" s="91" t="s">
        <v>1070</v>
      </c>
      <c r="M276" s="90" t="s">
        <v>538</v>
      </c>
      <c r="N276" s="93" t="s">
        <v>496</v>
      </c>
      <c r="AE276" s="85"/>
      <c r="AF276" s="85"/>
      <c r="AG276" s="85"/>
    </row>
    <row r="277" spans="2:33" ht="14.4" customHeight="1" x14ac:dyDescent="0.3">
      <c r="B277" s="94" t="s">
        <v>657</v>
      </c>
      <c r="C277" s="94" t="s">
        <v>655</v>
      </c>
      <c r="D277" s="96" t="s">
        <v>573</v>
      </c>
      <c r="E277" s="97">
        <v>0</v>
      </c>
      <c r="F277" s="96" t="s">
        <v>573</v>
      </c>
      <c r="G277" s="97">
        <v>0</v>
      </c>
      <c r="H277" s="96" t="s">
        <v>573</v>
      </c>
      <c r="I277" s="97">
        <v>0</v>
      </c>
      <c r="J277" s="96" t="s">
        <v>1119</v>
      </c>
      <c r="K277" s="96" t="s">
        <v>656</v>
      </c>
      <c r="L277" s="96" t="s">
        <v>933</v>
      </c>
      <c r="M277" s="94" t="s">
        <v>539</v>
      </c>
      <c r="N277" s="95" t="s">
        <v>470</v>
      </c>
      <c r="AE277" s="85"/>
      <c r="AF277" s="85"/>
      <c r="AG277" s="85"/>
    </row>
    <row r="278" spans="2:33" ht="14.4" customHeight="1" x14ac:dyDescent="0.3">
      <c r="B278" s="90" t="s">
        <v>1079</v>
      </c>
      <c r="C278" s="90" t="s">
        <v>888</v>
      </c>
      <c r="D278" s="91" t="s">
        <v>573</v>
      </c>
      <c r="E278" s="92">
        <v>0</v>
      </c>
      <c r="F278" s="91" t="s">
        <v>568</v>
      </c>
      <c r="G278" s="92">
        <v>20</v>
      </c>
      <c r="H278" s="91" t="s">
        <v>568</v>
      </c>
      <c r="I278" s="92">
        <v>30</v>
      </c>
      <c r="J278" s="96" t="s">
        <v>1119</v>
      </c>
      <c r="K278" s="91" t="s">
        <v>1019</v>
      </c>
      <c r="L278" s="91" t="s">
        <v>1080</v>
      </c>
      <c r="M278" s="90" t="s">
        <v>475</v>
      </c>
      <c r="N278" s="93" t="s">
        <v>476</v>
      </c>
      <c r="AE278" s="85"/>
      <c r="AF278" s="85"/>
      <c r="AG278" s="85"/>
    </row>
    <row r="279" spans="2:33" ht="14.4" customHeight="1" x14ac:dyDescent="0.3">
      <c r="B279" s="94" t="s">
        <v>657</v>
      </c>
      <c r="C279" s="94" t="s">
        <v>655</v>
      </c>
      <c r="D279" s="96" t="s">
        <v>573</v>
      </c>
      <c r="E279" s="97">
        <v>0</v>
      </c>
      <c r="F279" s="96" t="s">
        <v>573</v>
      </c>
      <c r="G279" s="97">
        <v>0</v>
      </c>
      <c r="H279" s="96" t="s">
        <v>573</v>
      </c>
      <c r="I279" s="97">
        <v>0</v>
      </c>
      <c r="J279" s="96" t="s">
        <v>1119</v>
      </c>
      <c r="K279" s="96" t="s">
        <v>656</v>
      </c>
      <c r="L279" s="96" t="s">
        <v>1086</v>
      </c>
      <c r="M279" s="94" t="s">
        <v>430</v>
      </c>
      <c r="N279" s="95" t="s">
        <v>380</v>
      </c>
      <c r="AE279" s="85"/>
      <c r="AF279" s="85"/>
      <c r="AG279" s="85"/>
    </row>
    <row r="280" spans="2:33" ht="14.4" customHeight="1" x14ac:dyDescent="0.3">
      <c r="B280" s="90" t="s">
        <v>777</v>
      </c>
      <c r="C280" s="90" t="s">
        <v>875</v>
      </c>
      <c r="D280" s="91" t="s">
        <v>568</v>
      </c>
      <c r="E280" s="92">
        <v>25</v>
      </c>
      <c r="F280" s="91" t="s">
        <v>568</v>
      </c>
      <c r="G280" s="92">
        <v>25</v>
      </c>
      <c r="H280" s="91" t="s">
        <v>568</v>
      </c>
      <c r="I280" s="92">
        <v>25</v>
      </c>
      <c r="J280" s="96" t="s">
        <v>1119</v>
      </c>
      <c r="K280" s="91" t="s">
        <v>776</v>
      </c>
      <c r="L280" s="91" t="s">
        <v>1095</v>
      </c>
      <c r="M280" s="90" t="s">
        <v>540</v>
      </c>
      <c r="N280" s="93" t="s">
        <v>415</v>
      </c>
      <c r="AE280" s="85"/>
      <c r="AF280" s="85"/>
      <c r="AG280" s="85"/>
    </row>
    <row r="281" spans="2:33" ht="14.4" customHeight="1" x14ac:dyDescent="0.3">
      <c r="B281" s="94" t="s">
        <v>593</v>
      </c>
      <c r="C281" s="94" t="s">
        <v>592</v>
      </c>
      <c r="D281" s="96" t="s">
        <v>573</v>
      </c>
      <c r="E281" s="97">
        <v>0</v>
      </c>
      <c r="F281" s="96" t="s">
        <v>573</v>
      </c>
      <c r="G281" s="97">
        <v>0</v>
      </c>
      <c r="H281" s="96" t="s">
        <v>568</v>
      </c>
      <c r="I281" s="97">
        <v>45</v>
      </c>
      <c r="J281" s="96" t="s">
        <v>1120</v>
      </c>
      <c r="K281" s="96" t="s">
        <v>574</v>
      </c>
      <c r="L281" s="96" t="s">
        <v>594</v>
      </c>
      <c r="M281" s="94" t="s">
        <v>541</v>
      </c>
      <c r="N281" s="95" t="s">
        <v>403</v>
      </c>
      <c r="AE281" s="85"/>
      <c r="AF281" s="85"/>
      <c r="AG281" s="85"/>
    </row>
    <row r="282" spans="2:33" ht="14.4" customHeight="1" x14ac:dyDescent="0.3">
      <c r="B282" s="90" t="s">
        <v>607</v>
      </c>
      <c r="C282" s="90" t="s">
        <v>605</v>
      </c>
      <c r="D282" s="91" t="s">
        <v>573</v>
      </c>
      <c r="E282" s="92">
        <v>0</v>
      </c>
      <c r="F282" s="91" t="s">
        <v>573</v>
      </c>
      <c r="G282" s="92">
        <v>0</v>
      </c>
      <c r="H282" s="91" t="s">
        <v>568</v>
      </c>
      <c r="I282" s="92">
        <v>45</v>
      </c>
      <c r="J282" s="96" t="s">
        <v>1119</v>
      </c>
      <c r="K282" s="91" t="s">
        <v>606</v>
      </c>
      <c r="L282" s="91" t="s">
        <v>608</v>
      </c>
      <c r="M282" s="90" t="s">
        <v>404</v>
      </c>
      <c r="N282" s="93" t="s">
        <v>382</v>
      </c>
      <c r="AE282" s="85"/>
      <c r="AF282" s="85"/>
      <c r="AG282" s="85"/>
    </row>
    <row r="283" spans="2:33" ht="14.4" customHeight="1" x14ac:dyDescent="0.3">
      <c r="B283" s="94" t="s">
        <v>634</v>
      </c>
      <c r="C283" s="94" t="s">
        <v>605</v>
      </c>
      <c r="D283" s="96" t="s">
        <v>573</v>
      </c>
      <c r="E283" s="97">
        <v>0</v>
      </c>
      <c r="F283" s="96" t="s">
        <v>573</v>
      </c>
      <c r="G283" s="97">
        <v>0</v>
      </c>
      <c r="H283" s="96" t="s">
        <v>568</v>
      </c>
      <c r="I283" s="97">
        <v>30</v>
      </c>
      <c r="J283" s="96" t="s">
        <v>1119</v>
      </c>
      <c r="K283" s="96" t="s">
        <v>574</v>
      </c>
      <c r="L283" s="96" t="s">
        <v>635</v>
      </c>
      <c r="M283" s="94" t="s">
        <v>542</v>
      </c>
      <c r="N283" s="95" t="s">
        <v>418</v>
      </c>
      <c r="AE283" s="85"/>
      <c r="AF283" s="85"/>
      <c r="AG283" s="85"/>
    </row>
    <row r="284" spans="2:33" ht="14.4" customHeight="1" x14ac:dyDescent="0.3">
      <c r="B284" s="90" t="s">
        <v>593</v>
      </c>
      <c r="C284" s="90" t="s">
        <v>592</v>
      </c>
      <c r="D284" s="91" t="s">
        <v>573</v>
      </c>
      <c r="E284" s="92">
        <v>0</v>
      </c>
      <c r="F284" s="91" t="s">
        <v>573</v>
      </c>
      <c r="G284" s="92">
        <v>0</v>
      </c>
      <c r="H284" s="91" t="s">
        <v>568</v>
      </c>
      <c r="I284" s="92">
        <v>45</v>
      </c>
      <c r="J284" s="96" t="s">
        <v>1120</v>
      </c>
      <c r="K284" s="91" t="s">
        <v>574</v>
      </c>
      <c r="L284" s="91" t="s">
        <v>636</v>
      </c>
      <c r="M284" s="90" t="s">
        <v>445</v>
      </c>
      <c r="N284" s="93" t="s">
        <v>380</v>
      </c>
      <c r="AE284" s="85"/>
      <c r="AF284" s="85"/>
      <c r="AG284" s="85"/>
    </row>
    <row r="285" spans="2:33" ht="14.4" customHeight="1" x14ac:dyDescent="0.3">
      <c r="B285" s="94" t="s">
        <v>607</v>
      </c>
      <c r="C285" s="94" t="s">
        <v>605</v>
      </c>
      <c r="D285" s="96" t="s">
        <v>573</v>
      </c>
      <c r="E285" s="97">
        <v>0</v>
      </c>
      <c r="F285" s="96" t="s">
        <v>573</v>
      </c>
      <c r="G285" s="97">
        <v>0</v>
      </c>
      <c r="H285" s="96" t="s">
        <v>568</v>
      </c>
      <c r="I285" s="97">
        <v>45</v>
      </c>
      <c r="J285" s="96" t="s">
        <v>1119</v>
      </c>
      <c r="K285" s="96" t="s">
        <v>606</v>
      </c>
      <c r="L285" s="96" t="s">
        <v>689</v>
      </c>
      <c r="M285" s="94" t="s">
        <v>543</v>
      </c>
      <c r="N285" s="95" t="s">
        <v>380</v>
      </c>
      <c r="AE285" s="85"/>
      <c r="AF285" s="85"/>
      <c r="AG285" s="85"/>
    </row>
    <row r="286" spans="2:33" ht="14.4" customHeight="1" x14ac:dyDescent="0.3">
      <c r="B286" s="90" t="s">
        <v>709</v>
      </c>
      <c r="C286" s="90" t="s">
        <v>707</v>
      </c>
      <c r="D286" s="91" t="s">
        <v>573</v>
      </c>
      <c r="E286" s="92">
        <v>0</v>
      </c>
      <c r="F286" s="91" t="s">
        <v>573</v>
      </c>
      <c r="G286" s="92">
        <v>0</v>
      </c>
      <c r="H286" s="91" t="s">
        <v>573</v>
      </c>
      <c r="I286" s="92">
        <v>0</v>
      </c>
      <c r="J286" s="96" t="s">
        <v>1119</v>
      </c>
      <c r="K286" s="91" t="s">
        <v>708</v>
      </c>
      <c r="L286" s="91" t="s">
        <v>710</v>
      </c>
      <c r="M286" s="90" t="s">
        <v>363</v>
      </c>
      <c r="N286" s="93" t="s">
        <v>364</v>
      </c>
      <c r="AE286" s="85"/>
      <c r="AF286" s="85"/>
      <c r="AG286" s="85"/>
    </row>
    <row r="287" spans="2:33" ht="14.4" customHeight="1" x14ac:dyDescent="0.3">
      <c r="B287" s="94" t="s">
        <v>593</v>
      </c>
      <c r="C287" s="94" t="s">
        <v>592</v>
      </c>
      <c r="D287" s="96" t="s">
        <v>573</v>
      </c>
      <c r="E287" s="97">
        <v>0</v>
      </c>
      <c r="F287" s="96" t="s">
        <v>573</v>
      </c>
      <c r="G287" s="97">
        <v>0</v>
      </c>
      <c r="H287" s="96" t="s">
        <v>568</v>
      </c>
      <c r="I287" s="97">
        <v>45</v>
      </c>
      <c r="J287" s="96" t="s">
        <v>1120</v>
      </c>
      <c r="K287" s="96" t="s">
        <v>574</v>
      </c>
      <c r="L287" s="96" t="s">
        <v>713</v>
      </c>
      <c r="M287" s="94" t="s">
        <v>416</v>
      </c>
      <c r="N287" s="95" t="s">
        <v>376</v>
      </c>
      <c r="AE287" s="85"/>
      <c r="AF287" s="85"/>
      <c r="AG287" s="85"/>
    </row>
    <row r="288" spans="2:33" ht="14.4" customHeight="1" x14ac:dyDescent="0.3">
      <c r="B288" s="90" t="s">
        <v>736</v>
      </c>
      <c r="C288" s="90" t="s">
        <v>734</v>
      </c>
      <c r="D288" s="91" t="s">
        <v>573</v>
      </c>
      <c r="E288" s="92">
        <v>0</v>
      </c>
      <c r="F288" s="91" t="s">
        <v>573</v>
      </c>
      <c r="G288" s="92">
        <v>0</v>
      </c>
      <c r="H288" s="91" t="s">
        <v>568</v>
      </c>
      <c r="I288" s="92">
        <v>50</v>
      </c>
      <c r="J288" s="96" t="s">
        <v>1119</v>
      </c>
      <c r="K288" s="91" t="s">
        <v>735</v>
      </c>
      <c r="L288" s="91" t="s">
        <v>737</v>
      </c>
      <c r="M288" s="90" t="s">
        <v>445</v>
      </c>
      <c r="N288" s="93" t="s">
        <v>380</v>
      </c>
      <c r="AE288" s="85"/>
      <c r="AF288" s="85"/>
      <c r="AG288" s="85"/>
    </row>
    <row r="289" spans="2:33" ht="14.4" customHeight="1" x14ac:dyDescent="0.3">
      <c r="B289" s="94" t="s">
        <v>736</v>
      </c>
      <c r="C289" s="94" t="s">
        <v>734</v>
      </c>
      <c r="D289" s="96" t="s">
        <v>573</v>
      </c>
      <c r="E289" s="97">
        <v>0</v>
      </c>
      <c r="F289" s="96" t="s">
        <v>573</v>
      </c>
      <c r="G289" s="97">
        <v>0</v>
      </c>
      <c r="H289" s="96" t="s">
        <v>568</v>
      </c>
      <c r="I289" s="97">
        <v>50</v>
      </c>
      <c r="J289" s="96" t="s">
        <v>1119</v>
      </c>
      <c r="K289" s="96" t="s">
        <v>735</v>
      </c>
      <c r="L289" s="96" t="s">
        <v>749</v>
      </c>
      <c r="M289" s="94" t="s">
        <v>544</v>
      </c>
      <c r="N289" s="95" t="s">
        <v>458</v>
      </c>
      <c r="AE289" s="85"/>
      <c r="AF289" s="85"/>
      <c r="AG289" s="85"/>
    </row>
    <row r="290" spans="2:33" ht="14.4" customHeight="1" x14ac:dyDescent="0.3">
      <c r="B290" s="90" t="s">
        <v>769</v>
      </c>
      <c r="C290" s="90" t="s">
        <v>707</v>
      </c>
      <c r="D290" s="91" t="s">
        <v>573</v>
      </c>
      <c r="E290" s="92">
        <v>0</v>
      </c>
      <c r="F290" s="91" t="s">
        <v>573</v>
      </c>
      <c r="G290" s="92">
        <v>0</v>
      </c>
      <c r="H290" s="91" t="s">
        <v>573</v>
      </c>
      <c r="I290" s="92">
        <v>0</v>
      </c>
      <c r="J290" s="96" t="s">
        <v>1119</v>
      </c>
      <c r="K290" s="91" t="s">
        <v>768</v>
      </c>
      <c r="L290" s="91" t="s">
        <v>770</v>
      </c>
      <c r="M290" s="90" t="s">
        <v>545</v>
      </c>
      <c r="N290" s="93" t="s">
        <v>509</v>
      </c>
      <c r="AE290" s="85"/>
      <c r="AF290" s="85"/>
      <c r="AG290" s="85"/>
    </row>
    <row r="291" spans="2:33" ht="14.4" customHeight="1" x14ac:dyDescent="0.3">
      <c r="B291" s="94" t="s">
        <v>607</v>
      </c>
      <c r="C291" s="94" t="s">
        <v>605</v>
      </c>
      <c r="D291" s="96" t="s">
        <v>573</v>
      </c>
      <c r="E291" s="97">
        <v>0</v>
      </c>
      <c r="F291" s="96" t="s">
        <v>573</v>
      </c>
      <c r="G291" s="97">
        <v>0</v>
      </c>
      <c r="H291" s="96" t="s">
        <v>568</v>
      </c>
      <c r="I291" s="97">
        <v>45</v>
      </c>
      <c r="J291" s="96" t="s">
        <v>1119</v>
      </c>
      <c r="K291" s="96" t="s">
        <v>606</v>
      </c>
      <c r="L291" s="96" t="s">
        <v>801</v>
      </c>
      <c r="M291" s="94" t="s">
        <v>546</v>
      </c>
      <c r="N291" s="95" t="s">
        <v>422</v>
      </c>
      <c r="AE291" s="85"/>
      <c r="AF291" s="85"/>
      <c r="AG291" s="85"/>
    </row>
    <row r="292" spans="2:33" ht="14.4" customHeight="1" x14ac:dyDescent="0.3">
      <c r="B292" s="90" t="s">
        <v>709</v>
      </c>
      <c r="C292" s="90" t="s">
        <v>707</v>
      </c>
      <c r="D292" s="91" t="s">
        <v>573</v>
      </c>
      <c r="E292" s="92">
        <v>0</v>
      </c>
      <c r="F292" s="91" t="s">
        <v>573</v>
      </c>
      <c r="G292" s="92">
        <v>0</v>
      </c>
      <c r="H292" s="91" t="s">
        <v>573</v>
      </c>
      <c r="I292" s="92">
        <v>0</v>
      </c>
      <c r="J292" s="96" t="s">
        <v>1119</v>
      </c>
      <c r="K292" s="91" t="s">
        <v>708</v>
      </c>
      <c r="L292" s="91" t="s">
        <v>812</v>
      </c>
      <c r="M292" s="90" t="s">
        <v>547</v>
      </c>
      <c r="N292" s="93" t="s">
        <v>376</v>
      </c>
      <c r="AE292" s="85"/>
      <c r="AF292" s="85"/>
      <c r="AG292" s="85"/>
    </row>
    <row r="293" spans="2:33" ht="14.4" customHeight="1" x14ac:dyDescent="0.3">
      <c r="B293" s="94" t="s">
        <v>769</v>
      </c>
      <c r="C293" s="94" t="s">
        <v>707</v>
      </c>
      <c r="D293" s="96" t="s">
        <v>573</v>
      </c>
      <c r="E293" s="97">
        <v>0</v>
      </c>
      <c r="F293" s="96" t="s">
        <v>573</v>
      </c>
      <c r="G293" s="97">
        <v>0</v>
      </c>
      <c r="H293" s="96" t="s">
        <v>573</v>
      </c>
      <c r="I293" s="97">
        <v>0</v>
      </c>
      <c r="J293" s="96" t="s">
        <v>1119</v>
      </c>
      <c r="K293" s="96" t="s">
        <v>768</v>
      </c>
      <c r="L293" s="96" t="s">
        <v>826</v>
      </c>
      <c r="M293" s="94" t="s">
        <v>506</v>
      </c>
      <c r="N293" s="95" t="s">
        <v>382</v>
      </c>
      <c r="AE293" s="85"/>
      <c r="AF293" s="85"/>
      <c r="AG293" s="85"/>
    </row>
    <row r="294" spans="2:33" ht="14.4" customHeight="1" x14ac:dyDescent="0.3">
      <c r="B294" s="90" t="s">
        <v>653</v>
      </c>
      <c r="C294" s="90" t="s">
        <v>605</v>
      </c>
      <c r="D294" s="91" t="s">
        <v>573</v>
      </c>
      <c r="E294" s="92">
        <v>0</v>
      </c>
      <c r="F294" s="91" t="s">
        <v>568</v>
      </c>
      <c r="G294" s="92">
        <v>30</v>
      </c>
      <c r="H294" s="91" t="s">
        <v>568</v>
      </c>
      <c r="I294" s="92">
        <v>45</v>
      </c>
      <c r="J294" s="96" t="s">
        <v>1119</v>
      </c>
      <c r="K294" s="91" t="s">
        <v>606</v>
      </c>
      <c r="L294" s="91" t="s">
        <v>843</v>
      </c>
      <c r="M294" s="90" t="s">
        <v>375</v>
      </c>
      <c r="N294" s="93" t="s">
        <v>376</v>
      </c>
      <c r="AE294" s="85"/>
      <c r="AF294" s="85"/>
      <c r="AG294" s="85"/>
    </row>
    <row r="295" spans="2:33" ht="14.4" customHeight="1" x14ac:dyDescent="0.3">
      <c r="B295" s="94" t="s">
        <v>603</v>
      </c>
      <c r="C295" s="94" t="s">
        <v>867</v>
      </c>
      <c r="D295" s="96" t="s">
        <v>573</v>
      </c>
      <c r="E295" s="97">
        <v>0</v>
      </c>
      <c r="F295" s="96" t="s">
        <v>573</v>
      </c>
      <c r="G295" s="97">
        <v>0</v>
      </c>
      <c r="H295" s="96" t="s">
        <v>568</v>
      </c>
      <c r="I295" s="97">
        <v>45</v>
      </c>
      <c r="J295" s="96" t="s">
        <v>1120</v>
      </c>
      <c r="K295" s="96" t="s">
        <v>602</v>
      </c>
      <c r="L295" s="96" t="s">
        <v>868</v>
      </c>
      <c r="M295" s="94" t="s">
        <v>407</v>
      </c>
      <c r="N295" s="95" t="s">
        <v>364</v>
      </c>
      <c r="AE295" s="85"/>
      <c r="AF295" s="85"/>
      <c r="AG295" s="85"/>
    </row>
    <row r="296" spans="2:33" ht="14.4" customHeight="1" x14ac:dyDescent="0.3">
      <c r="B296" s="90" t="s">
        <v>795</v>
      </c>
      <c r="C296" s="90" t="s">
        <v>867</v>
      </c>
      <c r="D296" s="91" t="s">
        <v>573</v>
      </c>
      <c r="E296" s="92">
        <v>0</v>
      </c>
      <c r="F296" s="91" t="s">
        <v>573</v>
      </c>
      <c r="G296" s="92">
        <v>0</v>
      </c>
      <c r="H296" s="91" t="s">
        <v>568</v>
      </c>
      <c r="I296" s="92">
        <v>35</v>
      </c>
      <c r="J296" s="96" t="s">
        <v>1120</v>
      </c>
      <c r="K296" s="91" t="s">
        <v>602</v>
      </c>
      <c r="L296" s="91" t="s">
        <v>869</v>
      </c>
      <c r="M296" s="90" t="s">
        <v>548</v>
      </c>
      <c r="N296" s="93" t="s">
        <v>512</v>
      </c>
      <c r="AE296" s="85"/>
      <c r="AF296" s="85"/>
      <c r="AG296" s="85"/>
    </row>
    <row r="297" spans="2:33" ht="14.4" customHeight="1" x14ac:dyDescent="0.3">
      <c r="B297" s="94" t="s">
        <v>575</v>
      </c>
      <c r="C297" s="94" t="s">
        <v>605</v>
      </c>
      <c r="D297" s="96" t="s">
        <v>573</v>
      </c>
      <c r="E297" s="97">
        <v>0</v>
      </c>
      <c r="F297" s="96" t="s">
        <v>573</v>
      </c>
      <c r="G297" s="97">
        <v>0</v>
      </c>
      <c r="H297" s="96" t="s">
        <v>568</v>
      </c>
      <c r="I297" s="97">
        <v>45</v>
      </c>
      <c r="J297" s="96" t="s">
        <v>1119</v>
      </c>
      <c r="K297" s="96" t="s">
        <v>574</v>
      </c>
      <c r="L297" s="96" t="s">
        <v>881</v>
      </c>
      <c r="M297" s="94" t="s">
        <v>549</v>
      </c>
      <c r="N297" s="95" t="s">
        <v>470</v>
      </c>
      <c r="AE297" s="85"/>
      <c r="AF297" s="85"/>
      <c r="AG297" s="85"/>
    </row>
    <row r="298" spans="2:33" ht="14.4" customHeight="1" x14ac:dyDescent="0.3">
      <c r="B298" s="90" t="s">
        <v>736</v>
      </c>
      <c r="C298" s="90" t="s">
        <v>734</v>
      </c>
      <c r="D298" s="91" t="s">
        <v>573</v>
      </c>
      <c r="E298" s="92">
        <v>0</v>
      </c>
      <c r="F298" s="91" t="s">
        <v>573</v>
      </c>
      <c r="G298" s="92">
        <v>0</v>
      </c>
      <c r="H298" s="91" t="s">
        <v>568</v>
      </c>
      <c r="I298" s="92">
        <v>50</v>
      </c>
      <c r="J298" s="96" t="s">
        <v>1119</v>
      </c>
      <c r="K298" s="91" t="s">
        <v>735</v>
      </c>
      <c r="L298" s="91" t="s">
        <v>749</v>
      </c>
      <c r="M298" s="90" t="s">
        <v>466</v>
      </c>
      <c r="N298" s="93" t="s">
        <v>380</v>
      </c>
      <c r="AE298" s="85"/>
      <c r="AF298" s="85"/>
      <c r="AG298" s="85"/>
    </row>
    <row r="299" spans="2:33" ht="14.4" customHeight="1" x14ac:dyDescent="0.3">
      <c r="B299" s="94" t="s">
        <v>607</v>
      </c>
      <c r="C299" s="94" t="s">
        <v>605</v>
      </c>
      <c r="D299" s="96" t="s">
        <v>573</v>
      </c>
      <c r="E299" s="97">
        <v>0</v>
      </c>
      <c r="F299" s="96" t="s">
        <v>573</v>
      </c>
      <c r="G299" s="97">
        <v>0</v>
      </c>
      <c r="H299" s="96" t="s">
        <v>568</v>
      </c>
      <c r="I299" s="97">
        <v>45</v>
      </c>
      <c r="J299" s="96" t="s">
        <v>1119</v>
      </c>
      <c r="K299" s="96" t="s">
        <v>606</v>
      </c>
      <c r="L299" s="96" t="s">
        <v>947</v>
      </c>
      <c r="M299" s="94" t="s">
        <v>431</v>
      </c>
      <c r="N299" s="95" t="s">
        <v>403</v>
      </c>
      <c r="AE299" s="85"/>
      <c r="AF299" s="85"/>
      <c r="AG299" s="85"/>
    </row>
    <row r="300" spans="2:33" ht="14.4" customHeight="1" x14ac:dyDescent="0.3">
      <c r="B300" s="90" t="s">
        <v>607</v>
      </c>
      <c r="C300" s="90" t="s">
        <v>605</v>
      </c>
      <c r="D300" s="91" t="s">
        <v>573</v>
      </c>
      <c r="E300" s="92">
        <v>0</v>
      </c>
      <c r="F300" s="91" t="s">
        <v>573</v>
      </c>
      <c r="G300" s="92">
        <v>0</v>
      </c>
      <c r="H300" s="91" t="s">
        <v>568</v>
      </c>
      <c r="I300" s="92">
        <v>35</v>
      </c>
      <c r="J300" s="96" t="s">
        <v>1119</v>
      </c>
      <c r="K300" s="91" t="s">
        <v>606</v>
      </c>
      <c r="L300" s="91" t="s">
        <v>969</v>
      </c>
      <c r="M300" s="90" t="s">
        <v>445</v>
      </c>
      <c r="N300" s="93" t="s">
        <v>380</v>
      </c>
      <c r="AE300" s="85"/>
      <c r="AF300" s="85"/>
      <c r="AG300" s="85"/>
    </row>
    <row r="301" spans="2:33" ht="14.4" customHeight="1" x14ac:dyDescent="0.3">
      <c r="B301" s="94" t="s">
        <v>575</v>
      </c>
      <c r="C301" s="94" t="s">
        <v>605</v>
      </c>
      <c r="D301" s="96" t="s">
        <v>573</v>
      </c>
      <c r="E301" s="97">
        <v>0</v>
      </c>
      <c r="F301" s="96" t="s">
        <v>573</v>
      </c>
      <c r="G301" s="97">
        <v>0</v>
      </c>
      <c r="H301" s="96" t="s">
        <v>568</v>
      </c>
      <c r="I301" s="97">
        <v>45</v>
      </c>
      <c r="J301" s="96" t="s">
        <v>1119</v>
      </c>
      <c r="K301" s="96" t="s">
        <v>574</v>
      </c>
      <c r="L301" s="96" t="s">
        <v>975</v>
      </c>
      <c r="M301" s="94" t="s">
        <v>550</v>
      </c>
      <c r="N301" s="95" t="s">
        <v>384</v>
      </c>
      <c r="AE301" s="85"/>
      <c r="AF301" s="85"/>
      <c r="AG301" s="85"/>
    </row>
    <row r="302" spans="2:33" ht="14.4" customHeight="1" x14ac:dyDescent="0.3">
      <c r="B302" s="90" t="s">
        <v>709</v>
      </c>
      <c r="C302" s="90" t="s">
        <v>707</v>
      </c>
      <c r="D302" s="91" t="s">
        <v>573</v>
      </c>
      <c r="E302" s="92">
        <v>0</v>
      </c>
      <c r="F302" s="91" t="s">
        <v>573</v>
      </c>
      <c r="G302" s="92">
        <v>0</v>
      </c>
      <c r="H302" s="91" t="s">
        <v>573</v>
      </c>
      <c r="I302" s="92">
        <v>0</v>
      </c>
      <c r="J302" s="96" t="s">
        <v>1119</v>
      </c>
      <c r="K302" s="91" t="s">
        <v>708</v>
      </c>
      <c r="L302" s="91" t="s">
        <v>976</v>
      </c>
      <c r="M302" s="90" t="s">
        <v>445</v>
      </c>
      <c r="N302" s="93" t="s">
        <v>380</v>
      </c>
      <c r="AE302" s="85"/>
      <c r="AF302" s="85"/>
      <c r="AG302" s="85"/>
    </row>
    <row r="303" spans="2:33" ht="14.4" customHeight="1" x14ac:dyDescent="0.3">
      <c r="B303" s="94" t="s">
        <v>669</v>
      </c>
      <c r="C303" s="94" t="s">
        <v>988</v>
      </c>
      <c r="D303" s="96" t="s">
        <v>573</v>
      </c>
      <c r="E303" s="97">
        <v>0</v>
      </c>
      <c r="F303" s="96" t="s">
        <v>568</v>
      </c>
      <c r="G303" s="97">
        <v>30</v>
      </c>
      <c r="H303" s="96" t="s">
        <v>568</v>
      </c>
      <c r="I303" s="97">
        <v>45</v>
      </c>
      <c r="J303" s="96" t="s">
        <v>1119</v>
      </c>
      <c r="K303" s="96" t="s">
        <v>645</v>
      </c>
      <c r="L303" s="96" t="s">
        <v>989</v>
      </c>
      <c r="M303" s="94" t="s">
        <v>416</v>
      </c>
      <c r="N303" s="95" t="s">
        <v>376</v>
      </c>
      <c r="AE303" s="85"/>
      <c r="AF303" s="85"/>
      <c r="AG303" s="85"/>
    </row>
    <row r="304" spans="2:33" ht="14.4" customHeight="1" x14ac:dyDescent="0.3">
      <c r="B304" s="90" t="s">
        <v>991</v>
      </c>
      <c r="C304" s="90" t="s">
        <v>990</v>
      </c>
      <c r="D304" s="91" t="s">
        <v>573</v>
      </c>
      <c r="E304" s="92">
        <v>0</v>
      </c>
      <c r="F304" s="91" t="s">
        <v>573</v>
      </c>
      <c r="G304" s="92">
        <v>0</v>
      </c>
      <c r="H304" s="91" t="s">
        <v>573</v>
      </c>
      <c r="I304" s="92">
        <v>0</v>
      </c>
      <c r="J304" s="96" t="s">
        <v>1119</v>
      </c>
      <c r="K304" s="91" t="s">
        <v>735</v>
      </c>
      <c r="L304" s="91" t="s">
        <v>992</v>
      </c>
      <c r="M304" s="90" t="s">
        <v>426</v>
      </c>
      <c r="N304" s="93" t="s">
        <v>427</v>
      </c>
      <c r="AE304" s="85"/>
      <c r="AF304" s="85"/>
      <c r="AG304" s="85"/>
    </row>
    <row r="305" spans="2:33" ht="14.4" customHeight="1" x14ac:dyDescent="0.3">
      <c r="B305" s="94" t="s">
        <v>795</v>
      </c>
      <c r="C305" s="94" t="s">
        <v>867</v>
      </c>
      <c r="D305" s="96" t="s">
        <v>573</v>
      </c>
      <c r="E305" s="97">
        <v>0</v>
      </c>
      <c r="F305" s="96" t="s">
        <v>573</v>
      </c>
      <c r="G305" s="97">
        <v>0</v>
      </c>
      <c r="H305" s="96" t="s">
        <v>568</v>
      </c>
      <c r="I305" s="97">
        <v>35</v>
      </c>
      <c r="J305" s="96" t="s">
        <v>1120</v>
      </c>
      <c r="K305" s="96" t="s">
        <v>602</v>
      </c>
      <c r="L305" s="96" t="s">
        <v>993</v>
      </c>
      <c r="M305" s="94" t="s">
        <v>377</v>
      </c>
      <c r="N305" s="95" t="s">
        <v>368</v>
      </c>
      <c r="AE305" s="85"/>
      <c r="AF305" s="85"/>
      <c r="AG305" s="85"/>
    </row>
    <row r="306" spans="2:33" ht="14.4" customHeight="1" x14ac:dyDescent="0.3">
      <c r="B306" s="90" t="s">
        <v>1007</v>
      </c>
      <c r="C306" s="90" t="s">
        <v>988</v>
      </c>
      <c r="D306" s="91" t="s">
        <v>573</v>
      </c>
      <c r="E306" s="92">
        <v>0</v>
      </c>
      <c r="F306" s="91" t="s">
        <v>568</v>
      </c>
      <c r="G306" s="92">
        <v>25</v>
      </c>
      <c r="H306" s="91" t="s">
        <v>568</v>
      </c>
      <c r="I306" s="92">
        <v>30</v>
      </c>
      <c r="J306" s="96" t="s">
        <v>1119</v>
      </c>
      <c r="K306" s="91" t="s">
        <v>619</v>
      </c>
      <c r="L306" s="91" t="s">
        <v>1008</v>
      </c>
      <c r="M306" s="90" t="s">
        <v>551</v>
      </c>
      <c r="N306" s="93" t="s">
        <v>450</v>
      </c>
      <c r="AE306" s="85"/>
      <c r="AF306" s="85"/>
      <c r="AG306" s="85"/>
    </row>
    <row r="307" spans="2:33" ht="14.4" customHeight="1" x14ac:dyDescent="0.3">
      <c r="B307" s="94" t="s">
        <v>1024</v>
      </c>
      <c r="C307" s="94" t="s">
        <v>605</v>
      </c>
      <c r="D307" s="96" t="s">
        <v>573</v>
      </c>
      <c r="E307" s="97">
        <v>0</v>
      </c>
      <c r="F307" s="96" t="s">
        <v>573</v>
      </c>
      <c r="G307" s="97">
        <v>0</v>
      </c>
      <c r="H307" s="96" t="s">
        <v>573</v>
      </c>
      <c r="I307" s="97">
        <v>0</v>
      </c>
      <c r="J307" s="96" t="s">
        <v>1120</v>
      </c>
      <c r="K307" s="96" t="s">
        <v>569</v>
      </c>
      <c r="L307" s="96" t="s">
        <v>1025</v>
      </c>
      <c r="M307" s="94" t="s">
        <v>432</v>
      </c>
      <c r="N307" s="95" t="s">
        <v>364</v>
      </c>
      <c r="AE307" s="85"/>
      <c r="AF307" s="85"/>
      <c r="AG307" s="85"/>
    </row>
    <row r="308" spans="2:33" ht="14.4" customHeight="1" x14ac:dyDescent="0.3">
      <c r="B308" s="90" t="s">
        <v>1042</v>
      </c>
      <c r="C308" s="90" t="s">
        <v>707</v>
      </c>
      <c r="D308" s="91" t="s">
        <v>573</v>
      </c>
      <c r="E308" s="92">
        <v>0</v>
      </c>
      <c r="F308" s="91" t="s">
        <v>573</v>
      </c>
      <c r="G308" s="92">
        <v>0</v>
      </c>
      <c r="H308" s="91" t="s">
        <v>573</v>
      </c>
      <c r="I308" s="92">
        <v>0</v>
      </c>
      <c r="J308" s="96" t="s">
        <v>1119</v>
      </c>
      <c r="K308" s="91" t="s">
        <v>768</v>
      </c>
      <c r="L308" s="91" t="s">
        <v>1043</v>
      </c>
      <c r="M308" s="90" t="s">
        <v>445</v>
      </c>
      <c r="N308" s="93" t="s">
        <v>380</v>
      </c>
      <c r="AE308" s="85"/>
      <c r="AF308" s="85"/>
      <c r="AG308" s="85"/>
    </row>
    <row r="309" spans="2:33" ht="14.4" customHeight="1" x14ac:dyDescent="0.3">
      <c r="B309" s="94" t="s">
        <v>593</v>
      </c>
      <c r="C309" s="94" t="s">
        <v>988</v>
      </c>
      <c r="D309" s="96" t="s">
        <v>573</v>
      </c>
      <c r="E309" s="97">
        <v>0</v>
      </c>
      <c r="F309" s="96" t="s">
        <v>573</v>
      </c>
      <c r="G309" s="97">
        <v>0</v>
      </c>
      <c r="H309" s="96" t="s">
        <v>568</v>
      </c>
      <c r="I309" s="97">
        <v>45</v>
      </c>
      <c r="J309" s="96" t="s">
        <v>1120</v>
      </c>
      <c r="K309" s="96" t="s">
        <v>574</v>
      </c>
      <c r="L309" s="96" t="s">
        <v>1064</v>
      </c>
      <c r="M309" s="94" t="s">
        <v>443</v>
      </c>
      <c r="N309" s="95" t="s">
        <v>366</v>
      </c>
      <c r="AE309" s="85"/>
      <c r="AF309" s="85"/>
      <c r="AG309" s="85"/>
    </row>
    <row r="310" spans="2:33" ht="14.4" customHeight="1" x14ac:dyDescent="0.3">
      <c r="B310" s="90" t="s">
        <v>1081</v>
      </c>
      <c r="C310" s="90" t="s">
        <v>605</v>
      </c>
      <c r="D310" s="91" t="s">
        <v>573</v>
      </c>
      <c r="E310" s="92">
        <v>0</v>
      </c>
      <c r="F310" s="91" t="s">
        <v>573</v>
      </c>
      <c r="G310" s="92">
        <v>0</v>
      </c>
      <c r="H310" s="91" t="s">
        <v>573</v>
      </c>
      <c r="I310" s="92">
        <v>0</v>
      </c>
      <c r="J310" s="96" t="s">
        <v>1119</v>
      </c>
      <c r="K310" s="91" t="s">
        <v>569</v>
      </c>
      <c r="L310" s="91" t="s">
        <v>1082</v>
      </c>
      <c r="M310" s="90" t="s">
        <v>552</v>
      </c>
      <c r="N310" s="93" t="s">
        <v>415</v>
      </c>
      <c r="AE310" s="85"/>
      <c r="AF310" s="85"/>
      <c r="AG310" s="85"/>
    </row>
    <row r="311" spans="2:33" ht="14.4" customHeight="1" x14ac:dyDescent="0.3">
      <c r="B311" s="94" t="s">
        <v>736</v>
      </c>
      <c r="C311" s="94" t="s">
        <v>734</v>
      </c>
      <c r="D311" s="96" t="s">
        <v>573</v>
      </c>
      <c r="E311" s="97">
        <v>0</v>
      </c>
      <c r="F311" s="96" t="s">
        <v>573</v>
      </c>
      <c r="G311" s="97">
        <v>0</v>
      </c>
      <c r="H311" s="96" t="s">
        <v>568</v>
      </c>
      <c r="I311" s="97">
        <v>50</v>
      </c>
      <c r="J311" s="96" t="s">
        <v>1119</v>
      </c>
      <c r="K311" s="96" t="s">
        <v>735</v>
      </c>
      <c r="L311" s="96" t="s">
        <v>1083</v>
      </c>
      <c r="M311" s="94" t="s">
        <v>553</v>
      </c>
      <c r="N311" s="95" t="s">
        <v>484</v>
      </c>
      <c r="AE311" s="85"/>
      <c r="AF311" s="85"/>
      <c r="AG311" s="85"/>
    </row>
    <row r="312" spans="2:33" ht="14.4" customHeight="1" x14ac:dyDescent="0.3">
      <c r="B312" s="90" t="s">
        <v>586</v>
      </c>
      <c r="C312" s="90" t="s">
        <v>584</v>
      </c>
      <c r="D312" s="91" t="s">
        <v>573</v>
      </c>
      <c r="E312" s="92">
        <v>0</v>
      </c>
      <c r="F312" s="91" t="s">
        <v>573</v>
      </c>
      <c r="G312" s="92">
        <v>0</v>
      </c>
      <c r="H312" s="91" t="s">
        <v>573</v>
      </c>
      <c r="I312" s="92">
        <v>0</v>
      </c>
      <c r="J312" s="96" t="s">
        <v>1119</v>
      </c>
      <c r="K312" s="91" t="s">
        <v>585</v>
      </c>
      <c r="L312" s="91" t="s">
        <v>587</v>
      </c>
      <c r="M312" s="90" t="s">
        <v>369</v>
      </c>
      <c r="N312" s="93" t="s">
        <v>370</v>
      </c>
      <c r="AE312" s="85"/>
      <c r="AF312" s="85"/>
      <c r="AG312" s="85"/>
    </row>
    <row r="313" spans="2:33" ht="14.4" customHeight="1" x14ac:dyDescent="0.3">
      <c r="B313" s="94" t="s">
        <v>586</v>
      </c>
      <c r="C313" s="94" t="s">
        <v>584</v>
      </c>
      <c r="D313" s="96" t="s">
        <v>573</v>
      </c>
      <c r="E313" s="97">
        <v>0</v>
      </c>
      <c r="F313" s="96" t="s">
        <v>573</v>
      </c>
      <c r="G313" s="97">
        <v>0</v>
      </c>
      <c r="H313" s="96" t="s">
        <v>573</v>
      </c>
      <c r="I313" s="97">
        <v>0</v>
      </c>
      <c r="J313" s="96" t="s">
        <v>1119</v>
      </c>
      <c r="K313" s="96" t="s">
        <v>585</v>
      </c>
      <c r="L313" s="96" t="s">
        <v>595</v>
      </c>
      <c r="M313" s="94" t="s">
        <v>373</v>
      </c>
      <c r="N313" s="95" t="s">
        <v>374</v>
      </c>
      <c r="AE313" s="85"/>
      <c r="AF313" s="85"/>
      <c r="AG313" s="85"/>
    </row>
    <row r="314" spans="2:33" ht="14.4" customHeight="1" x14ac:dyDescent="0.3">
      <c r="B314" s="90" t="s">
        <v>586</v>
      </c>
      <c r="C314" s="90" t="s">
        <v>584</v>
      </c>
      <c r="D314" s="91" t="s">
        <v>573</v>
      </c>
      <c r="E314" s="92">
        <v>0</v>
      </c>
      <c r="F314" s="91" t="s">
        <v>573</v>
      </c>
      <c r="G314" s="92">
        <v>0</v>
      </c>
      <c r="H314" s="91" t="s">
        <v>573</v>
      </c>
      <c r="I314" s="92">
        <v>0</v>
      </c>
      <c r="J314" s="96" t="s">
        <v>1119</v>
      </c>
      <c r="K314" s="91" t="s">
        <v>585</v>
      </c>
      <c r="L314" s="91" t="s">
        <v>663</v>
      </c>
      <c r="M314" s="90" t="s">
        <v>405</v>
      </c>
      <c r="N314" s="93" t="s">
        <v>406</v>
      </c>
      <c r="AE314" s="85"/>
      <c r="AF314" s="85"/>
      <c r="AG314" s="85"/>
    </row>
    <row r="315" spans="2:33" ht="14.4" customHeight="1" x14ac:dyDescent="0.3">
      <c r="B315" s="94" t="s">
        <v>721</v>
      </c>
      <c r="C315" s="94" t="s">
        <v>584</v>
      </c>
      <c r="D315" s="96" t="s">
        <v>573</v>
      </c>
      <c r="E315" s="97">
        <v>0</v>
      </c>
      <c r="F315" s="96" t="s">
        <v>573</v>
      </c>
      <c r="G315" s="97">
        <v>0</v>
      </c>
      <c r="H315" s="96" t="s">
        <v>573</v>
      </c>
      <c r="I315" s="97">
        <v>0</v>
      </c>
      <c r="J315" s="96" t="s">
        <v>1119</v>
      </c>
      <c r="K315" s="96" t="s">
        <v>585</v>
      </c>
      <c r="L315" s="96" t="s">
        <v>722</v>
      </c>
      <c r="M315" s="94" t="s">
        <v>436</v>
      </c>
      <c r="N315" s="95" t="s">
        <v>437</v>
      </c>
      <c r="AE315" s="85"/>
      <c r="AF315" s="85"/>
      <c r="AG315" s="85"/>
    </row>
    <row r="316" spans="2:33" ht="14.4" customHeight="1" x14ac:dyDescent="0.3">
      <c r="B316" s="90" t="s">
        <v>723</v>
      </c>
      <c r="C316" s="90" t="s">
        <v>584</v>
      </c>
      <c r="D316" s="91" t="s">
        <v>573</v>
      </c>
      <c r="E316" s="92">
        <v>0</v>
      </c>
      <c r="F316" s="91" t="s">
        <v>573</v>
      </c>
      <c r="G316" s="92">
        <v>0</v>
      </c>
      <c r="H316" s="91" t="s">
        <v>573</v>
      </c>
      <c r="I316" s="92">
        <v>0</v>
      </c>
      <c r="J316" s="96" t="s">
        <v>1119</v>
      </c>
      <c r="K316" s="91" t="s">
        <v>585</v>
      </c>
      <c r="L316" s="91" t="s">
        <v>724</v>
      </c>
      <c r="M316" s="90" t="s">
        <v>554</v>
      </c>
      <c r="N316" s="93" t="s">
        <v>470</v>
      </c>
      <c r="AE316" s="85"/>
      <c r="AF316" s="85"/>
      <c r="AG316" s="85"/>
    </row>
    <row r="317" spans="2:33" ht="14.4" customHeight="1" x14ac:dyDescent="0.3">
      <c r="B317" s="94" t="s">
        <v>586</v>
      </c>
      <c r="C317" s="94" t="s">
        <v>584</v>
      </c>
      <c r="D317" s="96" t="s">
        <v>573</v>
      </c>
      <c r="E317" s="97">
        <v>0</v>
      </c>
      <c r="F317" s="96" t="s">
        <v>573</v>
      </c>
      <c r="G317" s="97">
        <v>0</v>
      </c>
      <c r="H317" s="96" t="s">
        <v>573</v>
      </c>
      <c r="I317" s="97">
        <v>0</v>
      </c>
      <c r="J317" s="96" t="s">
        <v>1119</v>
      </c>
      <c r="K317" s="96" t="s">
        <v>585</v>
      </c>
      <c r="L317" s="96" t="s">
        <v>663</v>
      </c>
      <c r="M317" s="94" t="s">
        <v>426</v>
      </c>
      <c r="N317" s="95" t="s">
        <v>427</v>
      </c>
      <c r="AE317" s="85"/>
      <c r="AF317" s="85"/>
      <c r="AG317" s="85"/>
    </row>
    <row r="318" spans="2:33" ht="14.4" customHeight="1" x14ac:dyDescent="0.3">
      <c r="B318" s="90" t="s">
        <v>723</v>
      </c>
      <c r="C318" s="90" t="s">
        <v>584</v>
      </c>
      <c r="D318" s="91" t="s">
        <v>573</v>
      </c>
      <c r="E318" s="92">
        <v>0</v>
      </c>
      <c r="F318" s="91" t="s">
        <v>573</v>
      </c>
      <c r="G318" s="92">
        <v>0</v>
      </c>
      <c r="H318" s="91" t="s">
        <v>573</v>
      </c>
      <c r="I318" s="92">
        <v>0</v>
      </c>
      <c r="J318" s="96" t="s">
        <v>1119</v>
      </c>
      <c r="K318" s="91" t="s">
        <v>585</v>
      </c>
      <c r="L318" s="91" t="s">
        <v>827</v>
      </c>
      <c r="M318" s="90" t="s">
        <v>503</v>
      </c>
      <c r="N318" s="93" t="s">
        <v>418</v>
      </c>
      <c r="AE318" s="85"/>
      <c r="AF318" s="85"/>
      <c r="AG318" s="85"/>
    </row>
    <row r="319" spans="2:33" ht="14.4" customHeight="1" x14ac:dyDescent="0.3">
      <c r="B319" s="94" t="s">
        <v>721</v>
      </c>
      <c r="C319" s="94" t="s">
        <v>584</v>
      </c>
      <c r="D319" s="96" t="s">
        <v>573</v>
      </c>
      <c r="E319" s="97">
        <v>0</v>
      </c>
      <c r="F319" s="96" t="s">
        <v>573</v>
      </c>
      <c r="G319" s="97">
        <v>0</v>
      </c>
      <c r="H319" s="96" t="s">
        <v>573</v>
      </c>
      <c r="I319" s="97">
        <v>0</v>
      </c>
      <c r="J319" s="96" t="s">
        <v>1119</v>
      </c>
      <c r="K319" s="96" t="s">
        <v>585</v>
      </c>
      <c r="L319" s="96" t="s">
        <v>828</v>
      </c>
      <c r="M319" s="94" t="s">
        <v>555</v>
      </c>
      <c r="N319" s="95" t="s">
        <v>535</v>
      </c>
      <c r="AE319" s="85"/>
      <c r="AF319" s="85"/>
      <c r="AG319" s="85"/>
    </row>
    <row r="320" spans="2:33" ht="14.4" customHeight="1" x14ac:dyDescent="0.3">
      <c r="B320" s="90" t="s">
        <v>721</v>
      </c>
      <c r="C320" s="90" t="s">
        <v>584</v>
      </c>
      <c r="D320" s="91" t="s">
        <v>573</v>
      </c>
      <c r="E320" s="92">
        <v>0</v>
      </c>
      <c r="F320" s="91" t="s">
        <v>573</v>
      </c>
      <c r="G320" s="92">
        <v>0</v>
      </c>
      <c r="H320" s="91" t="s">
        <v>573</v>
      </c>
      <c r="I320" s="92">
        <v>0</v>
      </c>
      <c r="J320" s="96" t="s">
        <v>1119</v>
      </c>
      <c r="K320" s="91" t="s">
        <v>585</v>
      </c>
      <c r="L320" s="91" t="s">
        <v>829</v>
      </c>
      <c r="M320" s="90" t="s">
        <v>556</v>
      </c>
      <c r="N320" s="93" t="s">
        <v>386</v>
      </c>
      <c r="AE320" s="85"/>
      <c r="AF320" s="85"/>
      <c r="AG320" s="85"/>
    </row>
    <row r="321" spans="2:33" ht="14.4" customHeight="1" x14ac:dyDescent="0.3">
      <c r="B321" s="94" t="s">
        <v>721</v>
      </c>
      <c r="C321" s="94" t="s">
        <v>584</v>
      </c>
      <c r="D321" s="96" t="s">
        <v>573</v>
      </c>
      <c r="E321" s="97">
        <v>0</v>
      </c>
      <c r="F321" s="96" t="s">
        <v>573</v>
      </c>
      <c r="G321" s="97">
        <v>0</v>
      </c>
      <c r="H321" s="96" t="s">
        <v>573</v>
      </c>
      <c r="I321" s="97">
        <v>0</v>
      </c>
      <c r="J321" s="96" t="s">
        <v>1119</v>
      </c>
      <c r="K321" s="96" t="s">
        <v>585</v>
      </c>
      <c r="L321" s="96" t="s">
        <v>866</v>
      </c>
      <c r="M321" s="94" t="s">
        <v>557</v>
      </c>
      <c r="N321" s="95" t="s">
        <v>442</v>
      </c>
      <c r="AE321" s="85"/>
      <c r="AF321" s="85"/>
      <c r="AG321" s="85"/>
    </row>
    <row r="322" spans="2:33" ht="14.4" customHeight="1" x14ac:dyDescent="0.3">
      <c r="B322" s="90" t="s">
        <v>721</v>
      </c>
      <c r="C322" s="90" t="s">
        <v>584</v>
      </c>
      <c r="D322" s="91" t="s">
        <v>573</v>
      </c>
      <c r="E322" s="92">
        <v>0</v>
      </c>
      <c r="F322" s="91" t="s">
        <v>573</v>
      </c>
      <c r="G322" s="92">
        <v>0</v>
      </c>
      <c r="H322" s="91" t="s">
        <v>573</v>
      </c>
      <c r="I322" s="92">
        <v>0</v>
      </c>
      <c r="J322" s="96" t="s">
        <v>1119</v>
      </c>
      <c r="K322" s="91" t="s">
        <v>585</v>
      </c>
      <c r="L322" s="91" t="s">
        <v>896</v>
      </c>
      <c r="M322" s="90" t="s">
        <v>436</v>
      </c>
      <c r="N322" s="93" t="s">
        <v>437</v>
      </c>
      <c r="AE322" s="85"/>
      <c r="AF322" s="85"/>
      <c r="AG322" s="85"/>
    </row>
    <row r="323" spans="2:33" ht="14.4" customHeight="1" x14ac:dyDescent="0.3">
      <c r="B323" s="94" t="s">
        <v>575</v>
      </c>
      <c r="C323" s="94" t="s">
        <v>897</v>
      </c>
      <c r="D323" s="96" t="s">
        <v>573</v>
      </c>
      <c r="E323" s="97">
        <v>0</v>
      </c>
      <c r="F323" s="96" t="s">
        <v>573</v>
      </c>
      <c r="G323" s="97">
        <v>0</v>
      </c>
      <c r="H323" s="96" t="s">
        <v>568</v>
      </c>
      <c r="I323" s="97">
        <v>45</v>
      </c>
      <c r="J323" s="96" t="s">
        <v>1119</v>
      </c>
      <c r="K323" s="96" t="s">
        <v>574</v>
      </c>
      <c r="L323" s="96" t="s">
        <v>898</v>
      </c>
      <c r="M323" s="94" t="s">
        <v>436</v>
      </c>
      <c r="N323" s="95" t="s">
        <v>437</v>
      </c>
      <c r="AE323" s="85"/>
      <c r="AF323" s="85"/>
      <c r="AG323" s="85"/>
    </row>
    <row r="324" spans="2:33" ht="14.4" customHeight="1" x14ac:dyDescent="0.3">
      <c r="B324" s="90" t="s">
        <v>721</v>
      </c>
      <c r="C324" s="90" t="s">
        <v>584</v>
      </c>
      <c r="D324" s="91" t="s">
        <v>573</v>
      </c>
      <c r="E324" s="92">
        <v>0</v>
      </c>
      <c r="F324" s="91" t="s">
        <v>573</v>
      </c>
      <c r="G324" s="92">
        <v>0</v>
      </c>
      <c r="H324" s="91" t="s">
        <v>573</v>
      </c>
      <c r="I324" s="92">
        <v>0</v>
      </c>
      <c r="J324" s="96" t="s">
        <v>1119</v>
      </c>
      <c r="K324" s="91" t="s">
        <v>585</v>
      </c>
      <c r="L324" s="91" t="s">
        <v>896</v>
      </c>
      <c r="M324" s="90" t="s">
        <v>405</v>
      </c>
      <c r="N324" s="93" t="s">
        <v>406</v>
      </c>
      <c r="AE324" s="85"/>
      <c r="AF324" s="85"/>
      <c r="AG324" s="85"/>
    </row>
    <row r="325" spans="2:33" ht="14.4" customHeight="1" x14ac:dyDescent="0.3">
      <c r="B325" s="94" t="s">
        <v>723</v>
      </c>
      <c r="C325" s="94" t="s">
        <v>584</v>
      </c>
      <c r="D325" s="96" t="s">
        <v>573</v>
      </c>
      <c r="E325" s="97">
        <v>0</v>
      </c>
      <c r="F325" s="96" t="s">
        <v>573</v>
      </c>
      <c r="G325" s="97">
        <v>0</v>
      </c>
      <c r="H325" s="96" t="s">
        <v>573</v>
      </c>
      <c r="I325" s="97">
        <v>0</v>
      </c>
      <c r="J325" s="96" t="s">
        <v>1119</v>
      </c>
      <c r="K325" s="96" t="s">
        <v>585</v>
      </c>
      <c r="L325" s="96" t="s">
        <v>995</v>
      </c>
      <c r="M325" s="94" t="s">
        <v>426</v>
      </c>
      <c r="N325" s="95" t="s">
        <v>427</v>
      </c>
      <c r="AE325" s="85"/>
      <c r="AF325" s="85"/>
      <c r="AG325" s="85"/>
    </row>
    <row r="326" spans="2:33" ht="14.4" customHeight="1" x14ac:dyDescent="0.3">
      <c r="B326" s="90" t="s">
        <v>721</v>
      </c>
      <c r="C326" s="90" t="s">
        <v>584</v>
      </c>
      <c r="D326" s="91" t="s">
        <v>573</v>
      </c>
      <c r="E326" s="92">
        <v>0</v>
      </c>
      <c r="F326" s="91" t="s">
        <v>573</v>
      </c>
      <c r="G326" s="92">
        <v>0</v>
      </c>
      <c r="H326" s="91" t="s">
        <v>573</v>
      </c>
      <c r="I326" s="92">
        <v>0</v>
      </c>
      <c r="J326" s="96" t="s">
        <v>1119</v>
      </c>
      <c r="K326" s="91" t="s">
        <v>585</v>
      </c>
      <c r="L326" s="91" t="s">
        <v>896</v>
      </c>
      <c r="M326" s="90" t="s">
        <v>475</v>
      </c>
      <c r="N326" s="93" t="s">
        <v>476</v>
      </c>
      <c r="AE326" s="85"/>
      <c r="AF326" s="85"/>
      <c r="AG326" s="85"/>
    </row>
    <row r="327" spans="2:33" ht="14.4" customHeight="1" x14ac:dyDescent="0.3">
      <c r="B327" s="94" t="s">
        <v>607</v>
      </c>
      <c r="C327" s="94" t="s">
        <v>897</v>
      </c>
      <c r="D327" s="96" t="s">
        <v>573</v>
      </c>
      <c r="E327" s="97">
        <v>0</v>
      </c>
      <c r="F327" s="96" t="s">
        <v>573</v>
      </c>
      <c r="G327" s="97">
        <v>0</v>
      </c>
      <c r="H327" s="96" t="s">
        <v>568</v>
      </c>
      <c r="I327" s="97">
        <v>45</v>
      </c>
      <c r="J327" s="96" t="s">
        <v>1119</v>
      </c>
      <c r="K327" s="96" t="s">
        <v>606</v>
      </c>
      <c r="L327" s="96" t="s">
        <v>1049</v>
      </c>
      <c r="M327" s="94" t="s">
        <v>558</v>
      </c>
      <c r="N327" s="95" t="s">
        <v>410</v>
      </c>
      <c r="AE327" s="85"/>
      <c r="AF327" s="85"/>
      <c r="AG327" s="85"/>
    </row>
    <row r="328" spans="2:33" ht="14.4" customHeight="1" x14ac:dyDescent="0.3">
      <c r="B328" s="90" t="s">
        <v>795</v>
      </c>
      <c r="C328" s="90" t="s">
        <v>1055</v>
      </c>
      <c r="D328" s="91" t="s">
        <v>573</v>
      </c>
      <c r="E328" s="92">
        <v>0</v>
      </c>
      <c r="F328" s="91" t="s">
        <v>573</v>
      </c>
      <c r="G328" s="92">
        <v>0</v>
      </c>
      <c r="H328" s="91" t="s">
        <v>573</v>
      </c>
      <c r="I328" s="92">
        <v>0</v>
      </c>
      <c r="J328" s="96" t="s">
        <v>1120</v>
      </c>
      <c r="K328" s="91" t="s">
        <v>602</v>
      </c>
      <c r="L328" s="91" t="s">
        <v>1056</v>
      </c>
      <c r="M328" s="90" t="s">
        <v>447</v>
      </c>
      <c r="N328" s="93" t="s">
        <v>380</v>
      </c>
      <c r="AE328" s="85"/>
      <c r="AF328" s="85"/>
      <c r="AG328" s="85"/>
    </row>
    <row r="329" spans="2:33" ht="14.4" customHeight="1" x14ac:dyDescent="0.3">
      <c r="B329" s="94" t="s">
        <v>586</v>
      </c>
      <c r="C329" s="94" t="s">
        <v>584</v>
      </c>
      <c r="D329" s="96" t="s">
        <v>573</v>
      </c>
      <c r="E329" s="97">
        <v>0</v>
      </c>
      <c r="F329" s="96" t="s">
        <v>573</v>
      </c>
      <c r="G329" s="97">
        <v>0</v>
      </c>
      <c r="H329" s="96" t="s">
        <v>573</v>
      </c>
      <c r="I329" s="97">
        <v>0</v>
      </c>
      <c r="J329" s="96" t="s">
        <v>1119</v>
      </c>
      <c r="K329" s="96" t="s">
        <v>585</v>
      </c>
      <c r="L329" s="96" t="s">
        <v>1074</v>
      </c>
      <c r="M329" s="94" t="s">
        <v>516</v>
      </c>
      <c r="N329" s="95" t="s">
        <v>382</v>
      </c>
      <c r="AE329" s="85"/>
      <c r="AF329" s="85"/>
      <c r="AG329" s="85"/>
    </row>
    <row r="330" spans="2:33" ht="14.4" customHeight="1" x14ac:dyDescent="0.3">
      <c r="B330" s="90" t="s">
        <v>723</v>
      </c>
      <c r="C330" s="90" t="s">
        <v>584</v>
      </c>
      <c r="D330" s="91" t="s">
        <v>573</v>
      </c>
      <c r="E330" s="92">
        <v>0</v>
      </c>
      <c r="F330" s="91" t="s">
        <v>573</v>
      </c>
      <c r="G330" s="92">
        <v>0</v>
      </c>
      <c r="H330" s="91" t="s">
        <v>573</v>
      </c>
      <c r="I330" s="92">
        <v>0</v>
      </c>
      <c r="J330" s="96" t="s">
        <v>1119</v>
      </c>
      <c r="K330" s="91" t="s">
        <v>585</v>
      </c>
      <c r="L330" s="91" t="s">
        <v>1075</v>
      </c>
      <c r="M330" s="90" t="s">
        <v>452</v>
      </c>
      <c r="N330" s="93" t="s">
        <v>434</v>
      </c>
      <c r="AE330" s="85"/>
      <c r="AF330" s="85"/>
      <c r="AG330" s="85"/>
    </row>
    <row r="331" spans="2:33" ht="14.4" customHeight="1" x14ac:dyDescent="0.3">
      <c r="B331" s="94" t="s">
        <v>723</v>
      </c>
      <c r="C331" s="94" t="s">
        <v>584</v>
      </c>
      <c r="D331" s="96" t="s">
        <v>573</v>
      </c>
      <c r="E331" s="97">
        <v>0</v>
      </c>
      <c r="F331" s="96" t="s">
        <v>573</v>
      </c>
      <c r="G331" s="97">
        <v>0</v>
      </c>
      <c r="H331" s="96" t="s">
        <v>573</v>
      </c>
      <c r="I331" s="97">
        <v>0</v>
      </c>
      <c r="J331" s="96" t="s">
        <v>1119</v>
      </c>
      <c r="K331" s="96" t="s">
        <v>585</v>
      </c>
      <c r="L331" s="96" t="s">
        <v>1084</v>
      </c>
      <c r="M331" s="94" t="s">
        <v>559</v>
      </c>
      <c r="N331" s="95" t="s">
        <v>462</v>
      </c>
      <c r="AE331" s="85"/>
      <c r="AF331" s="85"/>
      <c r="AG331" s="85"/>
    </row>
    <row r="332" spans="2:33" ht="14.4" customHeight="1" x14ac:dyDescent="0.3">
      <c r="B332" s="90" t="s">
        <v>723</v>
      </c>
      <c r="C332" s="90" t="s">
        <v>584</v>
      </c>
      <c r="D332" s="91" t="s">
        <v>573</v>
      </c>
      <c r="E332" s="92">
        <v>0</v>
      </c>
      <c r="F332" s="91" t="s">
        <v>573</v>
      </c>
      <c r="G332" s="92">
        <v>0</v>
      </c>
      <c r="H332" s="91" t="s">
        <v>573</v>
      </c>
      <c r="I332" s="92">
        <v>0</v>
      </c>
      <c r="J332" s="96" t="s">
        <v>1119</v>
      </c>
      <c r="K332" s="91" t="s">
        <v>585</v>
      </c>
      <c r="L332" s="91" t="s">
        <v>1085</v>
      </c>
      <c r="M332" s="90" t="s">
        <v>438</v>
      </c>
      <c r="N332" s="93" t="s">
        <v>439</v>
      </c>
      <c r="AE332" s="85"/>
      <c r="AF332" s="85"/>
      <c r="AG332" s="85"/>
    </row>
    <row r="333" spans="2:33" ht="14.4" customHeight="1" x14ac:dyDescent="0.3">
      <c r="B333" s="94" t="s">
        <v>607</v>
      </c>
      <c r="C333" s="94" t="s">
        <v>897</v>
      </c>
      <c r="D333" s="96" t="s">
        <v>573</v>
      </c>
      <c r="E333" s="97">
        <v>0</v>
      </c>
      <c r="F333" s="96" t="s">
        <v>573</v>
      </c>
      <c r="G333" s="97">
        <v>0</v>
      </c>
      <c r="H333" s="96" t="s">
        <v>568</v>
      </c>
      <c r="I333" s="97">
        <v>35</v>
      </c>
      <c r="J333" s="96" t="s">
        <v>1119</v>
      </c>
      <c r="K333" s="96" t="s">
        <v>606</v>
      </c>
      <c r="L333" s="96" t="s">
        <v>1093</v>
      </c>
      <c r="M333" s="94" t="s">
        <v>560</v>
      </c>
      <c r="N333" s="95" t="s">
        <v>395</v>
      </c>
      <c r="AE333" s="85"/>
      <c r="AF333" s="85"/>
      <c r="AG333" s="85"/>
    </row>
    <row r="334" spans="2:33" ht="14.4" customHeight="1" x14ac:dyDescent="0.3">
      <c r="K334" s="90"/>
      <c r="L334" s="91"/>
      <c r="M334" s="90"/>
      <c r="N334" s="93"/>
    </row>
    <row r="335" spans="2:33" ht="14.4" customHeight="1" x14ac:dyDescent="0.3">
      <c r="B335" s="90" t="s">
        <v>1107</v>
      </c>
      <c r="C335" s="90"/>
      <c r="D335" s="99">
        <f>COUNTIF(D1:D333, "Yes")</f>
        <v>249</v>
      </c>
      <c r="E335" s="99">
        <f>SUM(E1:E333)</f>
        <v>8198</v>
      </c>
      <c r="F335" s="99">
        <f>COUNTIF(F1:F333, "Yes")</f>
        <v>262</v>
      </c>
      <c r="G335" s="99">
        <f>SUM(G1:G333)</f>
        <v>9630</v>
      </c>
      <c r="H335" s="99">
        <f>COUNTIF(H1:H333, "Yes")</f>
        <v>296</v>
      </c>
      <c r="I335" s="99">
        <f>SUM(I1:I333)</f>
        <v>11925</v>
      </c>
      <c r="J335" s="99"/>
      <c r="K335" s="94"/>
      <c r="L335" s="96"/>
      <c r="M335" s="94"/>
      <c r="N335" s="95"/>
    </row>
    <row r="336" spans="2:33" ht="14.4" customHeight="1" x14ac:dyDescent="0.3">
      <c r="B336" s="94" t="s">
        <v>1108</v>
      </c>
      <c r="C336" s="94"/>
      <c r="D336" s="99">
        <f>COUNTIF(D1:D333, "No")</f>
        <v>83</v>
      </c>
      <c r="E336" s="99"/>
      <c r="F336" s="99">
        <f>COUNTIF(F1:F333, "No")</f>
        <v>70</v>
      </c>
      <c r="G336" s="99"/>
      <c r="H336" s="99">
        <f>COUNTIF(H1:H333, "No")</f>
        <v>36</v>
      </c>
      <c r="I336" s="99"/>
      <c r="J336" s="99"/>
    </row>
    <row r="337" spans="2:10" ht="14.4" customHeight="1" x14ac:dyDescent="0.3">
      <c r="B337" s="94" t="s">
        <v>1105</v>
      </c>
      <c r="D337" s="91"/>
      <c r="E337" s="91"/>
      <c r="F337" s="91"/>
      <c r="G337" s="98">
        <f>(G335-E335)/E335</f>
        <v>0.1746767504269334</v>
      </c>
      <c r="H337" s="91"/>
      <c r="I337" s="98">
        <f>(I335-G335)/G335</f>
        <v>0.23831775700934579</v>
      </c>
      <c r="J337" s="98"/>
    </row>
    <row r="338" spans="2:10" ht="14.4" customHeight="1" x14ac:dyDescent="0.3">
      <c r="B338" s="94" t="s">
        <v>1110</v>
      </c>
      <c r="D338" s="99">
        <f>E335/D335</f>
        <v>32.923694779116467</v>
      </c>
      <c r="E338" s="91"/>
      <c r="F338" s="99">
        <f>G335/F335</f>
        <v>36.755725190839698</v>
      </c>
      <c r="G338" s="91"/>
      <c r="H338" s="99">
        <f>I335/H335</f>
        <v>40.287162162162161</v>
      </c>
      <c r="I338" s="91"/>
      <c r="J338" s="91"/>
    </row>
    <row r="339" spans="2:10" ht="14.4" customHeight="1" x14ac:dyDescent="0.3">
      <c r="B339" s="94" t="s">
        <v>1121</v>
      </c>
      <c r="D339" s="99">
        <f>COUNTIF(J2:J334,"AI")</f>
        <v>54</v>
      </c>
      <c r="E339" s="99">
        <f>SUMIF(J2:J334,"AI",E2:E334)</f>
        <v>1360</v>
      </c>
      <c r="F339" s="99">
        <f>COUNTIFS(J2:J334,"AI",F2:F334,"Yes")</f>
        <v>43</v>
      </c>
      <c r="G339" s="99">
        <f>SUMIF(J2:J334,"AI",G2:G334)</f>
        <v>1610</v>
      </c>
      <c r="H339" s="99">
        <f>COUNTIFS(J2:J334,"AI",H2:H334,"Yes")</f>
        <v>52</v>
      </c>
      <c r="I339" s="99">
        <f>SUMIF(J2:J334,"AI",I2:I334)</f>
        <v>2100</v>
      </c>
    </row>
    <row r="340" spans="2:10" ht="14.4" customHeight="1" x14ac:dyDescent="0.3">
      <c r="B340" s="94" t="s">
        <v>1122</v>
      </c>
      <c r="D340" s="99">
        <f>COUNTIF(J2:J334,"Traditional")</f>
        <v>278</v>
      </c>
      <c r="E340" s="99">
        <f>SUMIF(J2:J334,"Traditional",E2:E334)</f>
        <v>6838</v>
      </c>
      <c r="F340" s="99">
        <f>COUNTIFS(J2:J334,"Traditional",F2:F334,"Yes")</f>
        <v>219</v>
      </c>
      <c r="G340" s="99">
        <f>SUMIF(J2:J334,"Traditional",G2:G334)</f>
        <v>8020</v>
      </c>
      <c r="H340" s="99">
        <f>COUNTIFS(J2:J334,"Traditional",H2:H334,"Yes")</f>
        <v>244</v>
      </c>
      <c r="I340" s="99">
        <f>SUMIF(J2:J334,"Traditional",I2:I334)</f>
        <v>9825</v>
      </c>
    </row>
    <row r="341" spans="2:10" ht="14.4" customHeight="1" x14ac:dyDescent="0.3">
      <c r="B341" s="94" t="s">
        <v>1123</v>
      </c>
      <c r="D341" s="99">
        <f>E339</f>
        <v>1360</v>
      </c>
      <c r="E341" s="99"/>
      <c r="F341" s="99">
        <f>G339</f>
        <v>1610</v>
      </c>
      <c r="G341" s="99"/>
      <c r="H341" s="99">
        <f>I339</f>
        <v>2100</v>
      </c>
      <c r="I341" s="99"/>
    </row>
    <row r="342" spans="2:10" ht="14.4" customHeight="1" x14ac:dyDescent="0.3">
      <c r="B342" s="94" t="s">
        <v>1124</v>
      </c>
      <c r="D342" s="99">
        <f>E340</f>
        <v>6838</v>
      </c>
      <c r="E342" s="99"/>
      <c r="F342" s="99">
        <f>G340</f>
        <v>8020</v>
      </c>
      <c r="G342" s="99"/>
      <c r="H342" s="99">
        <f>I340</f>
        <v>9825</v>
      </c>
      <c r="I342" s="9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B80CC-1AEC-46DE-83B7-468ED1A775CB}">
  <dimension ref="B2:R52"/>
  <sheetViews>
    <sheetView showGridLines="0" zoomScale="115" zoomScaleNormal="115" workbookViewId="0">
      <selection activeCell="G45" sqref="G45"/>
    </sheetView>
  </sheetViews>
  <sheetFormatPr defaultRowHeight="14.4" x14ac:dyDescent="0.3"/>
  <cols>
    <col min="1" max="16384" width="8.796875" style="1"/>
  </cols>
  <sheetData>
    <row r="2" spans="2:18" x14ac:dyDescent="0.3">
      <c r="H2" s="1" t="s">
        <v>1126</v>
      </c>
      <c r="I2" s="1" t="s">
        <v>1127</v>
      </c>
      <c r="J2" s="1" t="s">
        <v>1128</v>
      </c>
      <c r="K2" s="1" t="s">
        <v>1129</v>
      </c>
      <c r="L2" s="1" t="s">
        <v>1130</v>
      </c>
      <c r="M2" s="1" t="s">
        <v>1131</v>
      </c>
      <c r="N2" s="1" t="s">
        <v>1132</v>
      </c>
      <c r="O2" s="1" t="s">
        <v>1133</v>
      </c>
      <c r="P2" s="1" t="s">
        <v>1134</v>
      </c>
      <c r="Q2" s="1" t="s">
        <v>1135</v>
      </c>
      <c r="R2" s="1" t="s">
        <v>1136</v>
      </c>
    </row>
    <row r="3" spans="2:18" x14ac:dyDescent="0.3">
      <c r="H3" s="113" t="s">
        <v>1148</v>
      </c>
      <c r="I3" s="113"/>
      <c r="J3" s="113"/>
      <c r="K3" s="113"/>
      <c r="L3" s="113" t="s">
        <v>1149</v>
      </c>
      <c r="M3" s="113"/>
      <c r="N3" s="113"/>
      <c r="O3" s="113"/>
      <c r="P3" s="113" t="s">
        <v>1150</v>
      </c>
      <c r="Q3" s="113"/>
      <c r="R3" s="113"/>
    </row>
    <row r="4" spans="2:18" x14ac:dyDescent="0.3">
      <c r="B4" s="2" t="s">
        <v>1147</v>
      </c>
      <c r="C4" s="2"/>
      <c r="D4" s="2"/>
      <c r="E4" s="2"/>
      <c r="F4" s="2"/>
      <c r="G4" s="2"/>
      <c r="H4" s="29" t="s">
        <v>1137</v>
      </c>
      <c r="I4" s="29" t="s">
        <v>1138</v>
      </c>
      <c r="J4" s="29" t="s">
        <v>1139</v>
      </c>
      <c r="K4" s="29" t="s">
        <v>1140</v>
      </c>
      <c r="L4" s="29" t="s">
        <v>1137</v>
      </c>
      <c r="M4" s="29" t="s">
        <v>1138</v>
      </c>
      <c r="N4" s="29" t="s">
        <v>1139</v>
      </c>
      <c r="O4" s="29" t="s">
        <v>1140</v>
      </c>
      <c r="P4" s="29" t="s">
        <v>1137</v>
      </c>
      <c r="Q4" s="29" t="s">
        <v>1138</v>
      </c>
      <c r="R4" s="29" t="s">
        <v>1139</v>
      </c>
    </row>
    <row r="5" spans="2:18" x14ac:dyDescent="0.3">
      <c r="B5" s="4" t="s">
        <v>1141</v>
      </c>
      <c r="C5" s="4"/>
      <c r="D5" s="4"/>
      <c r="E5" s="4"/>
      <c r="F5" s="4"/>
      <c r="G5" s="4"/>
      <c r="H5" s="103">
        <v>65585</v>
      </c>
      <c r="I5" s="103">
        <v>69632</v>
      </c>
      <c r="J5" s="103">
        <v>70066</v>
      </c>
      <c r="K5" s="103">
        <v>76441</v>
      </c>
      <c r="L5" s="103">
        <v>77673</v>
      </c>
      <c r="M5" s="103">
        <v>81273</v>
      </c>
      <c r="N5" s="27">
        <v>81302.3</v>
      </c>
      <c r="O5" s="27">
        <v>87580</v>
      </c>
      <c r="P5" s="27">
        <v>89015.7</v>
      </c>
      <c r="Q5" s="27">
        <v>93314.1</v>
      </c>
      <c r="R5" s="27">
        <v>93956.6</v>
      </c>
    </row>
    <row r="6" spans="2:18" x14ac:dyDescent="0.3">
      <c r="B6" s="101" t="s">
        <v>1151</v>
      </c>
      <c r="H6" s="12"/>
      <c r="I6" s="12"/>
      <c r="J6" s="12"/>
      <c r="K6" s="12"/>
      <c r="L6" s="102">
        <f t="shared" ref="L6:R6" si="0">IF(AND(ISNUMBER(L5),ISNUMBER(H5),H5&lt;&gt;0),L5/H5-1,"")</f>
        <v>0.18431043683769155</v>
      </c>
      <c r="M6" s="102">
        <f t="shared" si="0"/>
        <v>0.16717888327205888</v>
      </c>
      <c r="N6" s="102">
        <f t="shared" si="0"/>
        <v>0.16036736791025619</v>
      </c>
      <c r="O6" s="102">
        <f t="shared" si="0"/>
        <v>0.14572022867309431</v>
      </c>
      <c r="P6" s="102">
        <f t="shared" si="0"/>
        <v>0.14603143949635</v>
      </c>
      <c r="Q6" s="102">
        <f t="shared" si="0"/>
        <v>0.14815621424089187</v>
      </c>
      <c r="R6" s="102">
        <f t="shared" si="0"/>
        <v>0.155645043252159</v>
      </c>
    </row>
    <row r="7" spans="2:18" x14ac:dyDescent="0.3">
      <c r="B7" s="1" t="s">
        <v>71</v>
      </c>
      <c r="H7" s="12">
        <v>28317</v>
      </c>
      <c r="I7" s="12">
        <v>29437</v>
      </c>
      <c r="J7" s="12">
        <v>29944</v>
      </c>
      <c r="K7" s="12">
        <v>33112</v>
      </c>
      <c r="L7" s="12">
        <v>33020</v>
      </c>
      <c r="M7" s="12">
        <v>34116</v>
      </c>
      <c r="N7" s="8">
        <v>34372.199999999997</v>
      </c>
      <c r="O7" s="8">
        <v>36573.5</v>
      </c>
      <c r="P7" s="8">
        <v>36086</v>
      </c>
      <c r="Q7" s="8">
        <v>37053</v>
      </c>
      <c r="R7" s="8">
        <v>37398.699999999997</v>
      </c>
    </row>
    <row r="8" spans="2:18" x14ac:dyDescent="0.3">
      <c r="B8" s="101" t="s">
        <v>1151</v>
      </c>
      <c r="H8" s="12"/>
      <c r="I8" s="12"/>
      <c r="J8" s="12"/>
      <c r="K8" s="12"/>
      <c r="L8" s="102">
        <f t="shared" ref="L8:R8" si="1">IF(AND(ISNUMBER(L7),ISNUMBER(H7),H7&lt;&gt;0),L7/H7-1,"")</f>
        <v>0.16608397782250939</v>
      </c>
      <c r="M8" s="102">
        <f t="shared" si="1"/>
        <v>0.15894962122498901</v>
      </c>
      <c r="N8" s="102">
        <f t="shared" si="1"/>
        <v>0.14788271440021372</v>
      </c>
      <c r="O8" s="102">
        <f t="shared" si="1"/>
        <v>0.10453913988886199</v>
      </c>
      <c r="P8" s="102">
        <f t="shared" si="1"/>
        <v>9.2852816474863653E-2</v>
      </c>
      <c r="Q8" s="102">
        <f t="shared" si="1"/>
        <v>8.6088638761871339E-2</v>
      </c>
      <c r="R8" s="102">
        <f t="shared" si="1"/>
        <v>8.8050808502219802E-2</v>
      </c>
    </row>
    <row r="9" spans="2:18" x14ac:dyDescent="0.3">
      <c r="B9" s="1" t="s">
        <v>74</v>
      </c>
      <c r="H9" s="12">
        <v>21312.5</v>
      </c>
      <c r="I9" s="12">
        <v>21117</v>
      </c>
      <c r="J9" s="12">
        <v>21883</v>
      </c>
      <c r="K9" s="12">
        <v>24318</v>
      </c>
      <c r="L9" s="12">
        <v>23843.5</v>
      </c>
      <c r="M9" s="12">
        <v>23575.5</v>
      </c>
      <c r="N9" s="8">
        <v>23761.200000000001</v>
      </c>
      <c r="O9" s="8">
        <v>26174.2</v>
      </c>
      <c r="P9" s="8">
        <v>25996</v>
      </c>
      <c r="Q9" s="8">
        <v>26461.7</v>
      </c>
      <c r="R9" s="8">
        <v>26473</v>
      </c>
    </row>
    <row r="10" spans="2:18" x14ac:dyDescent="0.3">
      <c r="B10" s="101" t="s">
        <v>1151</v>
      </c>
      <c r="H10" s="12"/>
      <c r="I10" s="12"/>
      <c r="J10" s="12"/>
      <c r="K10" s="12"/>
      <c r="L10" s="102">
        <f t="shared" ref="L10:R10" si="2">IF(AND(ISNUMBER(L9),ISNUMBER(H9),H9&lt;&gt;0),L9/H9-1,"")</f>
        <v>0.11875659824046925</v>
      </c>
      <c r="M10" s="102">
        <f t="shared" si="2"/>
        <v>0.11642278732774547</v>
      </c>
      <c r="N10" s="102">
        <f t="shared" si="2"/>
        <v>8.5829182470410936E-2</v>
      </c>
      <c r="O10" s="102">
        <f t="shared" si="2"/>
        <v>7.6330290319927663E-2</v>
      </c>
      <c r="P10" s="102">
        <f t="shared" si="2"/>
        <v>9.0276175896994992E-2</v>
      </c>
      <c r="Q10" s="102">
        <f t="shared" si="2"/>
        <v>0.12242370257258606</v>
      </c>
      <c r="R10" s="102">
        <f t="shared" si="2"/>
        <v>0.1141272326313485</v>
      </c>
    </row>
    <row r="11" spans="2:18" x14ac:dyDescent="0.3">
      <c r="B11" s="1" t="s">
        <v>76</v>
      </c>
      <c r="H11" s="12">
        <v>1727</v>
      </c>
      <c r="I11" s="12">
        <v>1821</v>
      </c>
      <c r="J11" s="12">
        <v>1821</v>
      </c>
      <c r="K11" s="12">
        <v>2030</v>
      </c>
      <c r="L11" s="12">
        <v>2147</v>
      </c>
      <c r="M11" s="12">
        <v>2305</v>
      </c>
      <c r="N11" s="8">
        <v>2169.33</v>
      </c>
      <c r="O11" s="8">
        <v>2378</v>
      </c>
      <c r="P11" s="8">
        <v>2432.5</v>
      </c>
      <c r="Q11" s="8">
        <v>2632</v>
      </c>
      <c r="R11" s="8">
        <v>2638</v>
      </c>
    </row>
    <row r="12" spans="2:18" x14ac:dyDescent="0.3">
      <c r="B12" s="101" t="s">
        <v>1151</v>
      </c>
      <c r="H12" s="12"/>
      <c r="I12" s="12"/>
      <c r="J12" s="12"/>
      <c r="K12" s="12"/>
      <c r="L12" s="102">
        <f t="shared" ref="L12:R12" si="3">IF(AND(ISNUMBER(L11),ISNUMBER(H11),H11&lt;&gt;0),L11/H11-1,"")</f>
        <v>0.24319629415170807</v>
      </c>
      <c r="M12" s="102">
        <f t="shared" si="3"/>
        <v>0.26578802855573858</v>
      </c>
      <c r="N12" s="102">
        <f t="shared" si="3"/>
        <v>0.19128500823723216</v>
      </c>
      <c r="O12" s="102">
        <f t="shared" si="3"/>
        <v>0.17142857142857149</v>
      </c>
      <c r="P12" s="102">
        <f t="shared" si="3"/>
        <v>0.13297624592454582</v>
      </c>
      <c r="Q12" s="102">
        <f t="shared" si="3"/>
        <v>0.14186550976138834</v>
      </c>
      <c r="R12" s="102">
        <f t="shared" si="3"/>
        <v>0.21604366325086555</v>
      </c>
    </row>
    <row r="13" spans="2:18" x14ac:dyDescent="0.3">
      <c r="B13" s="1" t="s">
        <v>77</v>
      </c>
      <c r="H13" s="12">
        <v>1849</v>
      </c>
      <c r="I13" s="12">
        <v>1913</v>
      </c>
      <c r="J13" s="12">
        <v>1929</v>
      </c>
      <c r="K13" s="12">
        <v>2136</v>
      </c>
      <c r="L13" s="12">
        <v>2136</v>
      </c>
      <c r="M13" s="12">
        <v>2204</v>
      </c>
      <c r="N13" s="8">
        <v>2253</v>
      </c>
      <c r="O13" s="8">
        <v>2485</v>
      </c>
      <c r="P13" s="8">
        <v>2474.33</v>
      </c>
      <c r="Q13" s="8">
        <v>2540.33</v>
      </c>
      <c r="R13" s="8">
        <v>2627.33</v>
      </c>
    </row>
    <row r="14" spans="2:18" x14ac:dyDescent="0.3">
      <c r="B14" s="101" t="s">
        <v>1151</v>
      </c>
      <c r="H14" s="12"/>
      <c r="I14" s="12"/>
      <c r="J14" s="12"/>
      <c r="K14" s="12"/>
      <c r="L14" s="102">
        <f t="shared" ref="L14:R14" si="4">IF(AND(ISNUMBER(L13),ISNUMBER(H13),H13&lt;&gt;0),L13/H13-1,"")</f>
        <v>0.15521903731746889</v>
      </c>
      <c r="M14" s="102">
        <f t="shared" si="4"/>
        <v>0.15211709357030845</v>
      </c>
      <c r="N14" s="102">
        <f t="shared" si="4"/>
        <v>0.16796267496111983</v>
      </c>
      <c r="O14" s="102">
        <f t="shared" si="4"/>
        <v>0.16338951310861427</v>
      </c>
      <c r="P14" s="102">
        <f t="shared" si="4"/>
        <v>0.15839419475655436</v>
      </c>
      <c r="Q14" s="102">
        <f t="shared" si="4"/>
        <v>0.15259981851179671</v>
      </c>
      <c r="R14" s="102">
        <f t="shared" si="4"/>
        <v>0.16614735907678657</v>
      </c>
    </row>
    <row r="15" spans="2:18" x14ac:dyDescent="0.3">
      <c r="B15" s="1" t="s">
        <v>78</v>
      </c>
      <c r="H15" s="12">
        <v>4292</v>
      </c>
      <c r="I15" s="12">
        <v>4587</v>
      </c>
      <c r="J15" s="12">
        <v>4311</v>
      </c>
      <c r="K15" s="12">
        <v>4622</v>
      </c>
      <c r="L15" s="12">
        <v>4714</v>
      </c>
      <c r="M15" s="12">
        <v>5082</v>
      </c>
      <c r="N15" s="8">
        <v>4847.8</v>
      </c>
      <c r="O15" s="8">
        <v>5056.25</v>
      </c>
      <c r="P15" s="8">
        <v>5096</v>
      </c>
      <c r="Q15" s="8">
        <v>5541.33</v>
      </c>
      <c r="R15" s="8">
        <v>5295.33</v>
      </c>
    </row>
    <row r="16" spans="2:18" x14ac:dyDescent="0.3">
      <c r="B16" s="101" t="s">
        <v>1151</v>
      </c>
      <c r="H16" s="12"/>
      <c r="I16" s="12"/>
      <c r="J16" s="12"/>
      <c r="K16" s="12"/>
      <c r="L16" s="102">
        <f t="shared" ref="L16:R16" si="5">IF(AND(ISNUMBER(L15),ISNUMBER(H15),H15&lt;&gt;0),L15/H15-1,"")</f>
        <v>9.8322460391425892E-2</v>
      </c>
      <c r="M16" s="102">
        <f t="shared" si="5"/>
        <v>0.1079136690647482</v>
      </c>
      <c r="N16" s="102">
        <f t="shared" si="5"/>
        <v>0.12451867316167942</v>
      </c>
      <c r="O16" s="102">
        <f t="shared" si="5"/>
        <v>9.3952834270878416E-2</v>
      </c>
      <c r="P16" s="102">
        <f t="shared" si="5"/>
        <v>8.1035214255409382E-2</v>
      </c>
      <c r="Q16" s="102">
        <f t="shared" si="5"/>
        <v>9.038370720188893E-2</v>
      </c>
      <c r="R16" s="102">
        <f t="shared" si="5"/>
        <v>9.2316102149428536E-2</v>
      </c>
    </row>
    <row r="17" spans="2:18" x14ac:dyDescent="0.3">
      <c r="H17" s="12"/>
      <c r="I17" s="12"/>
      <c r="J17" s="12"/>
      <c r="K17" s="12"/>
      <c r="L17" s="12"/>
      <c r="M17" s="12"/>
      <c r="N17" s="8"/>
      <c r="O17" s="8"/>
      <c r="P17" s="8"/>
      <c r="Q17" s="8"/>
      <c r="R17" s="8"/>
    </row>
    <row r="18" spans="2:18" x14ac:dyDescent="0.3">
      <c r="B18" s="4" t="s">
        <v>70</v>
      </c>
      <c r="C18" s="4"/>
      <c r="D18" s="4"/>
      <c r="E18" s="4"/>
      <c r="F18" s="4"/>
      <c r="G18" s="4"/>
      <c r="H18" s="103">
        <v>24092</v>
      </c>
      <c r="I18" s="103">
        <v>25544</v>
      </c>
      <c r="J18" s="103">
        <v>26751</v>
      </c>
      <c r="K18" s="103">
        <v>29878</v>
      </c>
      <c r="L18" s="103">
        <v>30897</v>
      </c>
      <c r="M18" s="103">
        <v>32907</v>
      </c>
      <c r="N18" s="27">
        <v>34152.400000000001</v>
      </c>
      <c r="O18" s="27">
        <v>37493.199999999997</v>
      </c>
      <c r="P18" s="27">
        <v>38561.9</v>
      </c>
      <c r="Q18" s="27">
        <v>40840.400000000001</v>
      </c>
      <c r="R18" s="27">
        <v>42530.2</v>
      </c>
    </row>
    <row r="19" spans="2:18" x14ac:dyDescent="0.3">
      <c r="B19" s="101" t="s">
        <v>1151</v>
      </c>
      <c r="H19" s="12"/>
      <c r="I19" s="12"/>
      <c r="J19" s="12"/>
      <c r="K19" s="12"/>
      <c r="L19" s="102">
        <f t="shared" ref="L19:R19" si="6">IF(AND(ISNUMBER(L18),ISNUMBER(H18),H18&lt;&gt;0),L18/H18-1,"")</f>
        <v>0.28245890752116876</v>
      </c>
      <c r="M19" s="102">
        <f t="shared" si="6"/>
        <v>0.28824772940808008</v>
      </c>
      <c r="N19" s="102">
        <f t="shared" si="6"/>
        <v>0.27667750738290153</v>
      </c>
      <c r="O19" s="102">
        <f t="shared" si="6"/>
        <v>0.25487649775754728</v>
      </c>
      <c r="P19" s="102">
        <f t="shared" si="6"/>
        <v>0.24807910153089296</v>
      </c>
      <c r="Q19" s="102">
        <f t="shared" si="6"/>
        <v>0.2410854833318139</v>
      </c>
      <c r="R19" s="102">
        <f t="shared" si="6"/>
        <v>0.24530633279066749</v>
      </c>
    </row>
    <row r="20" spans="2:18" x14ac:dyDescent="0.3">
      <c r="B20" s="1" t="s">
        <v>79</v>
      </c>
      <c r="H20" s="12">
        <v>22155</v>
      </c>
      <c r="I20" s="12">
        <v>23641</v>
      </c>
      <c r="J20" s="12">
        <v>24761</v>
      </c>
      <c r="K20" s="12">
        <v>27878</v>
      </c>
      <c r="L20" s="12">
        <v>28504.5</v>
      </c>
      <c r="M20" s="12">
        <v>27253</v>
      </c>
      <c r="N20" s="8">
        <v>32357</v>
      </c>
      <c r="O20" s="8">
        <v>36056.699999999997</v>
      </c>
      <c r="P20" s="8">
        <v>37338.300000000003</v>
      </c>
      <c r="Q20" s="8">
        <v>39529.5</v>
      </c>
      <c r="R20" s="8">
        <v>41313.5</v>
      </c>
    </row>
    <row r="21" spans="2:18" x14ac:dyDescent="0.3">
      <c r="B21" s="101" t="s">
        <v>1151</v>
      </c>
      <c r="H21" s="12"/>
      <c r="I21" s="12"/>
      <c r="J21" s="12"/>
      <c r="K21" s="12"/>
      <c r="L21" s="102">
        <f t="shared" ref="L21:R21" si="7">IF(AND(ISNUMBER(L20),ISNUMBER(H20),H20&lt;&gt;0),L20/H20-1,"")</f>
        <v>0.28659444820582269</v>
      </c>
      <c r="M21" s="102">
        <f t="shared" si="7"/>
        <v>0.15278541516856303</v>
      </c>
      <c r="N21" s="102">
        <f t="shared" si="7"/>
        <v>0.30677274746577288</v>
      </c>
      <c r="O21" s="102">
        <f t="shared" si="7"/>
        <v>0.29337470406772348</v>
      </c>
      <c r="P21" s="102">
        <f t="shared" si="7"/>
        <v>0.30990896174288274</v>
      </c>
      <c r="Q21" s="102">
        <f t="shared" si="7"/>
        <v>0.4504641690823028</v>
      </c>
      <c r="R21" s="102">
        <f t="shared" si="7"/>
        <v>0.27680254658960957</v>
      </c>
    </row>
    <row r="22" spans="2:18" x14ac:dyDescent="0.3">
      <c r="B22" s="1" t="s">
        <v>80</v>
      </c>
      <c r="H22" s="12">
        <v>1928</v>
      </c>
      <c r="I22" s="12">
        <v>1892</v>
      </c>
      <c r="J22" s="12">
        <v>1946</v>
      </c>
      <c r="K22" s="12">
        <v>1994</v>
      </c>
      <c r="L22" s="12">
        <v>2022</v>
      </c>
      <c r="M22" s="12">
        <v>2038</v>
      </c>
      <c r="N22" s="8">
        <v>2060</v>
      </c>
      <c r="O22" s="8">
        <v>2080.67</v>
      </c>
      <c r="P22" s="8">
        <v>2101</v>
      </c>
      <c r="Q22" s="8">
        <v>2116.33</v>
      </c>
      <c r="R22" s="8">
        <v>2136.33</v>
      </c>
    </row>
    <row r="23" spans="2:18" x14ac:dyDescent="0.3">
      <c r="B23" s="101" t="s">
        <v>1151</v>
      </c>
      <c r="H23" s="12"/>
      <c r="I23" s="12"/>
      <c r="J23" s="12"/>
      <c r="K23" s="12"/>
      <c r="L23" s="102">
        <f t="shared" ref="L23:R23" si="8">IF(AND(ISNUMBER(L22),ISNUMBER(H22),H22&lt;&gt;0),L22/H22-1,"")</f>
        <v>4.875518672199175E-2</v>
      </c>
      <c r="M23" s="102">
        <f t="shared" si="8"/>
        <v>7.716701902748424E-2</v>
      </c>
      <c r="N23" s="102">
        <f t="shared" si="8"/>
        <v>5.8581706063720373E-2</v>
      </c>
      <c r="O23" s="102">
        <f t="shared" si="8"/>
        <v>4.3465396188565819E-2</v>
      </c>
      <c r="P23" s="102">
        <f t="shared" si="8"/>
        <v>3.9070227497527199E-2</v>
      </c>
      <c r="Q23" s="102">
        <f t="shared" si="8"/>
        <v>3.8434739941118679E-2</v>
      </c>
      <c r="R23" s="102">
        <f t="shared" si="8"/>
        <v>3.7053398058252363E-2</v>
      </c>
    </row>
    <row r="24" spans="2:18" x14ac:dyDescent="0.3">
      <c r="B24" s="1" t="s">
        <v>1142</v>
      </c>
      <c r="H24" s="12">
        <v>17232</v>
      </c>
      <c r="I24" s="12">
        <v>17989</v>
      </c>
      <c r="J24" s="12">
        <v>19199</v>
      </c>
      <c r="K24" s="12">
        <v>21788.5</v>
      </c>
      <c r="L24" s="12">
        <v>23221</v>
      </c>
      <c r="M24" s="12">
        <v>25072</v>
      </c>
      <c r="N24" s="8">
        <v>26840.5</v>
      </c>
      <c r="O24" s="8">
        <v>29703.599999999999</v>
      </c>
      <c r="P24" s="8">
        <v>31705.8</v>
      </c>
      <c r="Q24" s="8">
        <v>34055.199999999997</v>
      </c>
      <c r="R24" s="8">
        <v>36329</v>
      </c>
    </row>
    <row r="25" spans="2:18" x14ac:dyDescent="0.3">
      <c r="B25" s="101" t="s">
        <v>1151</v>
      </c>
      <c r="H25" s="12"/>
      <c r="I25" s="12"/>
      <c r="J25" s="12"/>
      <c r="K25" s="12"/>
      <c r="L25" s="102">
        <f t="shared" ref="L25:R25" si="9">IF(AND(ISNUMBER(L24),ISNUMBER(H24),H24&lt;&gt;0),L24/H24-1,"")</f>
        <v>0.34755106778087286</v>
      </c>
      <c r="M25" s="102">
        <f t="shared" si="9"/>
        <v>0.39374061926733006</v>
      </c>
      <c r="N25" s="102">
        <f t="shared" si="9"/>
        <v>0.39801552164175225</v>
      </c>
      <c r="O25" s="102">
        <f t="shared" si="9"/>
        <v>0.36326961470500496</v>
      </c>
      <c r="P25" s="102">
        <f t="shared" si="9"/>
        <v>0.36539339391068437</v>
      </c>
      <c r="Q25" s="102">
        <f t="shared" si="9"/>
        <v>0.35829610721123162</v>
      </c>
      <c r="R25" s="102">
        <f t="shared" si="9"/>
        <v>0.35351427879510444</v>
      </c>
    </row>
    <row r="26" spans="2:18" x14ac:dyDescent="0.3">
      <c r="H26" s="12"/>
      <c r="I26" s="12"/>
      <c r="J26" s="12"/>
      <c r="K26" s="12"/>
      <c r="L26" s="12"/>
      <c r="M26" s="12"/>
      <c r="N26" s="8"/>
      <c r="O26" s="8"/>
      <c r="P26" s="8"/>
      <c r="Q26" s="8"/>
      <c r="R26" s="8"/>
    </row>
    <row r="27" spans="2:18" x14ac:dyDescent="0.3">
      <c r="B27" s="4" t="s">
        <v>81</v>
      </c>
      <c r="C27" s="4"/>
      <c r="D27" s="4"/>
      <c r="E27" s="4"/>
      <c r="F27" s="4"/>
      <c r="G27" s="4"/>
      <c r="H27" s="103">
        <v>13176</v>
      </c>
      <c r="I27" s="103">
        <v>14651</v>
      </c>
      <c r="J27" s="103">
        <v>13371</v>
      </c>
      <c r="K27" s="103">
        <v>13451</v>
      </c>
      <c r="L27" s="103">
        <v>13756</v>
      </c>
      <c r="M27" s="103">
        <v>14250</v>
      </c>
      <c r="N27" s="27">
        <v>12803.7</v>
      </c>
      <c r="O27" s="27">
        <v>13464.2</v>
      </c>
      <c r="P27" s="27">
        <v>13761.3</v>
      </c>
      <c r="Q27" s="27">
        <v>14545</v>
      </c>
      <c r="R27" s="27">
        <v>13444.1</v>
      </c>
    </row>
    <row r="28" spans="2:18" x14ac:dyDescent="0.3">
      <c r="B28" s="101" t="s">
        <v>1151</v>
      </c>
      <c r="H28" s="12"/>
      <c r="I28" s="12"/>
      <c r="J28" s="12"/>
      <c r="K28" s="12"/>
      <c r="L28" s="104">
        <f t="shared" ref="L28:R28" si="10">IF(AND(ISNUMBER(L27),ISNUMBER(H27),H27&lt;&gt;0),L27/H27-1,"")</f>
        <v>4.4019429265330867E-2</v>
      </c>
      <c r="M28" s="104">
        <f t="shared" si="10"/>
        <v>-2.7370145382567768E-2</v>
      </c>
      <c r="N28" s="104">
        <f t="shared" si="10"/>
        <v>-4.2427641911599645E-2</v>
      </c>
      <c r="O28" s="104">
        <f t="shared" si="10"/>
        <v>9.813396773474814E-4</v>
      </c>
      <c r="P28" s="104">
        <f t="shared" si="10"/>
        <v>3.8528642047097605E-4</v>
      </c>
      <c r="Q28" s="104">
        <f t="shared" si="10"/>
        <v>2.0701754385964888E-2</v>
      </c>
      <c r="R28" s="104">
        <f t="shared" si="10"/>
        <v>5.0016792021056355E-2</v>
      </c>
    </row>
    <row r="29" spans="2:18" x14ac:dyDescent="0.3">
      <c r="B29" s="1" t="s">
        <v>82</v>
      </c>
      <c r="H29" s="12">
        <v>4329</v>
      </c>
      <c r="I29" s="12">
        <v>4512</v>
      </c>
      <c r="J29" s="12">
        <v>4144</v>
      </c>
      <c r="K29" s="12">
        <v>4329</v>
      </c>
      <c r="L29" s="12">
        <v>4548.5</v>
      </c>
      <c r="M29" s="12">
        <v>4479</v>
      </c>
      <c r="N29" s="8">
        <v>3571.17</v>
      </c>
      <c r="O29" s="8">
        <v>3738.25</v>
      </c>
      <c r="P29" s="8">
        <v>3829.33</v>
      </c>
      <c r="Q29" s="8">
        <v>4030.33</v>
      </c>
      <c r="R29" s="8">
        <v>3332.33</v>
      </c>
    </row>
    <row r="30" spans="2:18" x14ac:dyDescent="0.3">
      <c r="B30" s="101" t="s">
        <v>1151</v>
      </c>
      <c r="H30" s="12"/>
      <c r="I30" s="12"/>
      <c r="J30" s="12"/>
      <c r="K30" s="12"/>
      <c r="L30" s="104">
        <f t="shared" ref="L30:R30" si="11">IF(AND(ISNUMBER(L29),ISNUMBER(H29),H29&lt;&gt;0),L29/H29-1,"")</f>
        <v>5.070455070455071E-2</v>
      </c>
      <c r="M30" s="104">
        <f t="shared" si="11"/>
        <v>-7.3138297872340496E-3</v>
      </c>
      <c r="N30" s="104">
        <f t="shared" si="11"/>
        <v>-0.13823117760617754</v>
      </c>
      <c r="O30" s="104">
        <f t="shared" si="11"/>
        <v>-0.13646338646338652</v>
      </c>
      <c r="P30" s="104">
        <f t="shared" si="11"/>
        <v>-0.15811146531823683</v>
      </c>
      <c r="Q30" s="104">
        <f t="shared" si="11"/>
        <v>-0.10017191337352094</v>
      </c>
      <c r="R30" s="104">
        <f t="shared" si="11"/>
        <v>-6.6880042115049165E-2</v>
      </c>
    </row>
    <row r="31" spans="2:18" x14ac:dyDescent="0.3">
      <c r="B31" s="1" t="s">
        <v>83</v>
      </c>
      <c r="H31" s="12">
        <v>3225</v>
      </c>
      <c r="I31" s="12">
        <v>3558</v>
      </c>
      <c r="J31" s="12">
        <v>3504</v>
      </c>
      <c r="K31" s="12">
        <v>3591</v>
      </c>
      <c r="L31" s="12">
        <v>3697</v>
      </c>
      <c r="M31" s="12">
        <v>3812</v>
      </c>
      <c r="N31" s="8">
        <v>3778</v>
      </c>
      <c r="O31" s="8">
        <v>3936.67</v>
      </c>
      <c r="P31" s="8">
        <v>4088.33</v>
      </c>
      <c r="Q31" s="8">
        <v>4246</v>
      </c>
      <c r="R31" s="8">
        <v>4183</v>
      </c>
    </row>
    <row r="32" spans="2:18" x14ac:dyDescent="0.3">
      <c r="B32" s="101" t="s">
        <v>1151</v>
      </c>
      <c r="H32" s="12"/>
      <c r="I32" s="12"/>
      <c r="J32" s="12"/>
      <c r="K32" s="12"/>
      <c r="L32" s="102">
        <f t="shared" ref="L32:R32" si="12">IF(AND(ISNUMBER(L31),ISNUMBER(H31),H31&lt;&gt;0),L31/H31-1,"")</f>
        <v>0.14635658914728689</v>
      </c>
      <c r="M32" s="102">
        <f t="shared" si="12"/>
        <v>7.1388420460933188E-2</v>
      </c>
      <c r="N32" s="102">
        <f t="shared" si="12"/>
        <v>7.8196347031963542E-2</v>
      </c>
      <c r="O32" s="102">
        <f t="shared" si="12"/>
        <v>9.6260094681147379E-2</v>
      </c>
      <c r="P32" s="102">
        <f t="shared" si="12"/>
        <v>0.10585068974844458</v>
      </c>
      <c r="Q32" s="102">
        <f t="shared" si="12"/>
        <v>0.11385099685204625</v>
      </c>
      <c r="R32" s="102">
        <f t="shared" si="12"/>
        <v>0.10719957649550027</v>
      </c>
    </row>
    <row r="33" spans="2:18" x14ac:dyDescent="0.3">
      <c r="B33" s="1" t="s">
        <v>84</v>
      </c>
      <c r="H33" s="12">
        <v>5621</v>
      </c>
      <c r="I33" s="12">
        <v>6581</v>
      </c>
      <c r="J33" s="12">
        <v>5721</v>
      </c>
      <c r="K33" s="12">
        <v>5532</v>
      </c>
      <c r="L33" s="12">
        <v>5508</v>
      </c>
      <c r="M33" s="12">
        <v>5958</v>
      </c>
      <c r="N33" s="8">
        <v>5332</v>
      </c>
      <c r="O33" s="8">
        <v>5270.67</v>
      </c>
      <c r="P33" s="8">
        <v>5239.67</v>
      </c>
      <c r="Q33" s="8">
        <v>5745</v>
      </c>
      <c r="R33" s="8">
        <v>5234.67</v>
      </c>
    </row>
    <row r="34" spans="2:18" x14ac:dyDescent="0.3">
      <c r="B34" s="101" t="s">
        <v>1151</v>
      </c>
      <c r="H34" s="12"/>
      <c r="I34" s="12"/>
      <c r="J34" s="12"/>
      <c r="K34" s="12"/>
      <c r="L34" s="104">
        <f t="shared" ref="L34:R34" si="13">IF(AND(ISNUMBER(L33),ISNUMBER(H33),H33&lt;&gt;0),L33/H33-1,"")</f>
        <v>-2.0103184486746084E-2</v>
      </c>
      <c r="M34" s="104">
        <f t="shared" si="13"/>
        <v>-9.466646406321233E-2</v>
      </c>
      <c r="N34" s="104">
        <f t="shared" si="13"/>
        <v>-6.7995105750742857E-2</v>
      </c>
      <c r="O34" s="104">
        <f t="shared" si="13"/>
        <v>-4.7239696312364465E-2</v>
      </c>
      <c r="P34" s="104">
        <f t="shared" si="13"/>
        <v>-4.871641249092229E-2</v>
      </c>
      <c r="Q34" s="104">
        <f t="shared" si="13"/>
        <v>-3.5750251762336371E-2</v>
      </c>
      <c r="R34" s="104">
        <f t="shared" si="13"/>
        <v>-1.8253938484621091E-2</v>
      </c>
    </row>
    <row r="35" spans="2:18" x14ac:dyDescent="0.3">
      <c r="H35" s="12"/>
      <c r="I35" s="12"/>
      <c r="J35" s="12"/>
      <c r="K35" s="12"/>
      <c r="L35" s="12"/>
      <c r="M35" s="12"/>
      <c r="N35" s="8"/>
      <c r="O35" s="8"/>
      <c r="P35" s="8"/>
      <c r="Q35" s="8"/>
      <c r="R35" s="8"/>
    </row>
    <row r="36" spans="2:18" x14ac:dyDescent="0.3">
      <c r="B36" s="4" t="s">
        <v>1143</v>
      </c>
      <c r="C36" s="4"/>
      <c r="D36" s="4"/>
      <c r="E36" s="4"/>
      <c r="F36" s="4"/>
      <c r="G36" s="4"/>
      <c r="H36" s="103">
        <v>30552</v>
      </c>
      <c r="I36" s="103">
        <v>31653</v>
      </c>
      <c r="J36" s="103">
        <v>32000</v>
      </c>
      <c r="K36" s="103">
        <v>34323</v>
      </c>
      <c r="L36" s="103">
        <v>37961</v>
      </c>
      <c r="M36" s="103">
        <v>38275</v>
      </c>
      <c r="N36" s="27">
        <v>36853.9</v>
      </c>
      <c r="O36" s="27">
        <v>39178.199999999997</v>
      </c>
      <c r="P36" s="27">
        <v>41793.1</v>
      </c>
      <c r="Q36" s="27">
        <v>42800</v>
      </c>
      <c r="R36" s="27">
        <v>42725.599999999999</v>
      </c>
    </row>
    <row r="37" spans="2:18" x14ac:dyDescent="0.3">
      <c r="B37" s="101" t="s">
        <v>1152</v>
      </c>
      <c r="H37" s="102">
        <f t="shared" ref="H37:R37" si="14">IF(AND(ISNUMBER(H36),ISNUMBER(H5),H5&lt;&gt;0),H36/H5,"")</f>
        <v>0.46583822520393381</v>
      </c>
      <c r="I37" s="102">
        <f t="shared" si="14"/>
        <v>0.45457548253676472</v>
      </c>
      <c r="J37" s="102">
        <f t="shared" si="14"/>
        <v>0.45671224274255701</v>
      </c>
      <c r="K37" s="102">
        <f t="shared" si="14"/>
        <v>0.44901296424693554</v>
      </c>
      <c r="L37" s="102">
        <f t="shared" si="14"/>
        <v>0.48872838695557014</v>
      </c>
      <c r="M37" s="102">
        <f t="shared" si="14"/>
        <v>0.47094360980891564</v>
      </c>
      <c r="N37" s="102">
        <f t="shared" si="14"/>
        <v>0.45329467924031669</v>
      </c>
      <c r="O37" s="102">
        <f t="shared" si="14"/>
        <v>0.44734185887188854</v>
      </c>
      <c r="P37" s="102">
        <f t="shared" si="14"/>
        <v>0.46950257089479719</v>
      </c>
      <c r="Q37" s="102">
        <f t="shared" si="14"/>
        <v>0.45866594651826464</v>
      </c>
      <c r="R37" s="102">
        <f t="shared" si="14"/>
        <v>0.45473761289786985</v>
      </c>
    </row>
    <row r="38" spans="2:18" x14ac:dyDescent="0.3">
      <c r="B38" s="1" t="s">
        <v>71</v>
      </c>
      <c r="H38" s="12">
        <v>16516</v>
      </c>
      <c r="I38" s="12">
        <v>16885</v>
      </c>
      <c r="J38" s="12">
        <v>17379</v>
      </c>
      <c r="K38" s="12">
        <v>18993</v>
      </c>
      <c r="L38" s="12">
        <v>20407</v>
      </c>
      <c r="M38" s="12">
        <v>20599</v>
      </c>
      <c r="N38" s="8">
        <v>19757</v>
      </c>
      <c r="O38" s="8">
        <v>20114.5</v>
      </c>
      <c r="P38" s="8">
        <v>20263</v>
      </c>
      <c r="Q38" s="8">
        <v>19948</v>
      </c>
      <c r="R38" s="8">
        <v>19917.7</v>
      </c>
    </row>
    <row r="39" spans="2:18" x14ac:dyDescent="0.3">
      <c r="B39" s="101" t="s">
        <v>1152</v>
      </c>
      <c r="H39" s="102">
        <f t="shared" ref="H39:R39" si="15">IF(AND(ISNUMBER(H38),ISNUMBER(H7),H7&lt;&gt;0),H38/H7,"")</f>
        <v>0.58325387576367549</v>
      </c>
      <c r="I39" s="102">
        <f t="shared" si="15"/>
        <v>0.57359785304208988</v>
      </c>
      <c r="J39" s="102">
        <f t="shared" si="15"/>
        <v>0.58038338231365216</v>
      </c>
      <c r="K39" s="102">
        <f t="shared" si="15"/>
        <v>0.57359869533703789</v>
      </c>
      <c r="L39" s="102">
        <f t="shared" si="15"/>
        <v>0.61801938219261054</v>
      </c>
      <c r="M39" s="102">
        <f t="shared" si="15"/>
        <v>0.6037929417282214</v>
      </c>
      <c r="N39" s="102">
        <f t="shared" si="15"/>
        <v>0.57479591064872193</v>
      </c>
      <c r="O39" s="102">
        <f t="shared" si="15"/>
        <v>0.54997470846377838</v>
      </c>
      <c r="P39" s="102">
        <f t="shared" si="15"/>
        <v>0.56151970293188491</v>
      </c>
      <c r="Q39" s="102">
        <f t="shared" si="15"/>
        <v>0.53836396513102858</v>
      </c>
      <c r="R39" s="102">
        <f t="shared" si="15"/>
        <v>0.53257733557583553</v>
      </c>
    </row>
    <row r="40" spans="2:18" x14ac:dyDescent="0.3">
      <c r="B40" s="1" t="s">
        <v>70</v>
      </c>
      <c r="H40" s="12">
        <v>10503</v>
      </c>
      <c r="I40" s="12">
        <v>10851</v>
      </c>
      <c r="J40" s="12">
        <v>11095</v>
      </c>
      <c r="K40" s="12">
        <v>12140</v>
      </c>
      <c r="L40" s="12">
        <v>13391</v>
      </c>
      <c r="M40" s="12">
        <v>13873</v>
      </c>
      <c r="N40" s="8">
        <v>14019.8</v>
      </c>
      <c r="O40" s="8">
        <v>15450.5</v>
      </c>
      <c r="P40" s="8">
        <v>17633</v>
      </c>
      <c r="Q40" s="8">
        <v>17318</v>
      </c>
      <c r="R40" s="8">
        <v>17919</v>
      </c>
    </row>
    <row r="41" spans="2:18" x14ac:dyDescent="0.3">
      <c r="B41" s="101" t="s">
        <v>1152</v>
      </c>
      <c r="H41" s="102">
        <f t="shared" ref="H41:R41" si="16">IF(AND(ISNUMBER(H40),ISNUMBER(H18),H18&lt;&gt;0),H40/H18,"")</f>
        <v>0.4359538435995351</v>
      </c>
      <c r="I41" s="102">
        <f t="shared" si="16"/>
        <v>0.42479642968994674</v>
      </c>
      <c r="J41" s="102">
        <f t="shared" si="16"/>
        <v>0.41475085043549775</v>
      </c>
      <c r="K41" s="102">
        <f t="shared" si="16"/>
        <v>0.40631903072494813</v>
      </c>
      <c r="L41" s="102">
        <f t="shared" si="16"/>
        <v>0.4334077742175616</v>
      </c>
      <c r="M41" s="102">
        <f t="shared" si="16"/>
        <v>0.42158203421764368</v>
      </c>
      <c r="N41" s="102">
        <f t="shared" si="16"/>
        <v>0.41050702146847656</v>
      </c>
      <c r="O41" s="102">
        <f t="shared" si="16"/>
        <v>0.41208805863463244</v>
      </c>
      <c r="P41" s="102">
        <f t="shared" si="16"/>
        <v>0.45726481319644519</v>
      </c>
      <c r="Q41" s="102">
        <f t="shared" si="16"/>
        <v>0.4240409006767808</v>
      </c>
      <c r="R41" s="102">
        <f t="shared" si="16"/>
        <v>0.42132414143361663</v>
      </c>
    </row>
    <row r="42" spans="2:18" x14ac:dyDescent="0.3">
      <c r="B42" s="1" t="s">
        <v>81</v>
      </c>
      <c r="H42" s="12">
        <v>3533</v>
      </c>
      <c r="I42" s="12">
        <v>3917</v>
      </c>
      <c r="J42" s="12">
        <v>3526</v>
      </c>
      <c r="K42" s="12">
        <v>3190</v>
      </c>
      <c r="L42" s="12">
        <v>4163</v>
      </c>
      <c r="M42" s="12">
        <v>3803</v>
      </c>
      <c r="N42" s="8">
        <v>2815.75</v>
      </c>
      <c r="O42" s="8">
        <v>3061.75</v>
      </c>
      <c r="P42" s="8">
        <v>3572.33</v>
      </c>
      <c r="Q42" s="8">
        <v>3532</v>
      </c>
      <c r="R42" s="8">
        <v>2885.67</v>
      </c>
    </row>
    <row r="43" spans="2:18" x14ac:dyDescent="0.3">
      <c r="B43" s="101" t="s">
        <v>1152</v>
      </c>
      <c r="H43" s="102">
        <f t="shared" ref="H43:R43" si="17">IF(AND(ISNUMBER(H42),ISNUMBER(H27),H27&lt;&gt;0),H42/H27,"")</f>
        <v>0.26813904068002431</v>
      </c>
      <c r="I43" s="102">
        <f t="shared" si="17"/>
        <v>0.2673537642481742</v>
      </c>
      <c r="J43" s="102">
        <f t="shared" si="17"/>
        <v>0.26370503328098122</v>
      </c>
      <c r="K43" s="102">
        <f t="shared" si="17"/>
        <v>0.23715708869229055</v>
      </c>
      <c r="L43" s="102">
        <f t="shared" si="17"/>
        <v>0.30263157894736842</v>
      </c>
      <c r="M43" s="102">
        <f t="shared" si="17"/>
        <v>0.26687719298245616</v>
      </c>
      <c r="N43" s="102">
        <f t="shared" si="17"/>
        <v>0.21991689902137662</v>
      </c>
      <c r="O43" s="102">
        <f t="shared" si="17"/>
        <v>0.22739932561904902</v>
      </c>
      <c r="P43" s="102">
        <f t="shared" si="17"/>
        <v>0.25959248036159377</v>
      </c>
      <c r="Q43" s="102">
        <f t="shared" si="17"/>
        <v>0.24283258851839121</v>
      </c>
      <c r="R43" s="102">
        <f t="shared" si="17"/>
        <v>0.21464211066564515</v>
      </c>
    </row>
    <row r="45" spans="2:18" x14ac:dyDescent="0.3">
      <c r="B45" s="4" t="s">
        <v>1144</v>
      </c>
      <c r="C45" s="4"/>
      <c r="D45" s="4"/>
      <c r="E45" s="4"/>
      <c r="F45" s="4"/>
      <c r="G45" s="4"/>
      <c r="H45" s="103">
        <v>65585</v>
      </c>
      <c r="I45" s="103">
        <v>69632</v>
      </c>
      <c r="J45" s="103">
        <v>70066</v>
      </c>
      <c r="K45" s="103">
        <v>76441</v>
      </c>
      <c r="L45" s="103">
        <v>77673</v>
      </c>
      <c r="M45" s="103">
        <v>81273</v>
      </c>
      <c r="N45" s="27">
        <v>81302.3</v>
      </c>
      <c r="O45" s="27">
        <v>87580</v>
      </c>
      <c r="P45" s="27">
        <v>89015.7</v>
      </c>
      <c r="Q45" s="27">
        <v>93314.1</v>
      </c>
      <c r="R45" s="27">
        <v>93956.6</v>
      </c>
    </row>
    <row r="46" spans="2:18" x14ac:dyDescent="0.3">
      <c r="B46" s="101" t="s">
        <v>1151</v>
      </c>
      <c r="H46" s="102"/>
      <c r="I46" s="102"/>
      <c r="J46" s="102"/>
      <c r="K46" s="102"/>
      <c r="L46" s="102">
        <f t="shared" ref="L46:R46" si="18">IF(AND(ISNUMBER(L45),ISNUMBER(H45),H45&lt;&gt;0),L45/H45-1,"")</f>
        <v>0.18431043683769155</v>
      </c>
      <c r="M46" s="102">
        <f t="shared" si="18"/>
        <v>0.16717888327205888</v>
      </c>
      <c r="N46" s="102">
        <f t="shared" si="18"/>
        <v>0.16036736791025619</v>
      </c>
      <c r="O46" s="102">
        <f t="shared" si="18"/>
        <v>0.14572022867309431</v>
      </c>
      <c r="P46" s="102">
        <f t="shared" si="18"/>
        <v>0.14603143949635</v>
      </c>
      <c r="Q46" s="102">
        <f t="shared" si="18"/>
        <v>0.14815621424089187</v>
      </c>
      <c r="R46" s="102">
        <f t="shared" si="18"/>
        <v>0.155645043252159</v>
      </c>
    </row>
    <row r="47" spans="2:18" x14ac:dyDescent="0.3">
      <c r="B47" s="1" t="s">
        <v>1145</v>
      </c>
      <c r="H47" s="12">
        <v>15272</v>
      </c>
      <c r="I47" s="12">
        <v>16219</v>
      </c>
      <c r="J47" s="12">
        <v>15319</v>
      </c>
      <c r="K47" s="12">
        <v>17136</v>
      </c>
      <c r="L47" s="12">
        <v>15922</v>
      </c>
      <c r="M47" s="12">
        <v>16451</v>
      </c>
      <c r="N47" s="8">
        <v>17254.2</v>
      </c>
      <c r="O47" s="8">
        <v>17794.5</v>
      </c>
      <c r="P47" s="8">
        <v>20303</v>
      </c>
      <c r="Q47" s="8">
        <v>19098</v>
      </c>
      <c r="R47" s="8">
        <v>20358</v>
      </c>
    </row>
    <row r="48" spans="2:18" x14ac:dyDescent="0.3">
      <c r="B48" s="101" t="s">
        <v>1151</v>
      </c>
      <c r="H48" s="12"/>
      <c r="I48" s="12"/>
      <c r="J48" s="12"/>
      <c r="K48" s="12"/>
      <c r="L48" s="102">
        <f t="shared" ref="L48:R48" si="19">IF(AND(ISNUMBER(L47),ISNUMBER(H47),H47&lt;&gt;0),L47/H47-1,"")</f>
        <v>4.2561550550026084E-2</v>
      </c>
      <c r="M48" s="102">
        <f t="shared" si="19"/>
        <v>1.4304211110426124E-2</v>
      </c>
      <c r="N48" s="102">
        <f t="shared" si="19"/>
        <v>0.12632678373261963</v>
      </c>
      <c r="O48" s="102">
        <f t="shared" si="19"/>
        <v>3.8427871148459358E-2</v>
      </c>
      <c r="P48" s="102">
        <f t="shared" si="19"/>
        <v>0.27515387514131384</v>
      </c>
      <c r="Q48" s="102">
        <f t="shared" si="19"/>
        <v>0.16090207282232094</v>
      </c>
      <c r="R48" s="102">
        <f t="shared" si="19"/>
        <v>0.17988663629724932</v>
      </c>
    </row>
    <row r="49" spans="2:18" x14ac:dyDescent="0.3">
      <c r="B49" s="1" t="s">
        <v>1146</v>
      </c>
      <c r="H49" s="12">
        <v>50313</v>
      </c>
      <c r="I49" s="12">
        <v>53413</v>
      </c>
      <c r="J49" s="12">
        <v>54747</v>
      </c>
      <c r="K49" s="12">
        <v>59305</v>
      </c>
      <c r="L49" s="12">
        <v>61751</v>
      </c>
      <c r="M49" s="12">
        <v>64822</v>
      </c>
      <c r="N49" s="8">
        <v>64009.7</v>
      </c>
      <c r="O49" s="8">
        <v>69724.600000000006</v>
      </c>
      <c r="P49" s="8">
        <v>69145</v>
      </c>
      <c r="Q49" s="8">
        <v>74070</v>
      </c>
      <c r="R49" s="8">
        <v>74253</v>
      </c>
    </row>
    <row r="50" spans="2:18" x14ac:dyDescent="0.3">
      <c r="B50" s="101" t="s">
        <v>1151</v>
      </c>
      <c r="H50" s="12"/>
      <c r="I50" s="12"/>
      <c r="J50" s="12"/>
      <c r="K50" s="12"/>
      <c r="L50" s="102">
        <f t="shared" ref="L50:R50" si="20">IF(AND(ISNUMBER(L49),ISNUMBER(H49),H49&lt;&gt;0),L49/H49-1,"")</f>
        <v>0.22733687118637325</v>
      </c>
      <c r="M50" s="102">
        <f t="shared" si="20"/>
        <v>0.21359968546982944</v>
      </c>
      <c r="N50" s="102">
        <f t="shared" si="20"/>
        <v>0.16919100589986669</v>
      </c>
      <c r="O50" s="102">
        <f t="shared" si="20"/>
        <v>0.17569513531742698</v>
      </c>
      <c r="P50" s="102">
        <f t="shared" si="20"/>
        <v>0.11973895159592551</v>
      </c>
      <c r="Q50" s="102">
        <f t="shared" si="20"/>
        <v>0.14266761284748997</v>
      </c>
      <c r="R50" s="102">
        <f t="shared" si="20"/>
        <v>0.16002730836107659</v>
      </c>
    </row>
    <row r="52" spans="2:18" x14ac:dyDescent="0.3">
      <c r="N52" s="8"/>
    </row>
  </sheetData>
  <mergeCells count="3">
    <mergeCell ref="H3:K3"/>
    <mergeCell ref="L3:O3"/>
    <mergeCell ref="P3:R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Segments</vt:lpstr>
      <vt:lpstr>Extras</vt:lpstr>
      <vt:lpstr>Date Centers</vt:lpstr>
      <vt:lpstr>Quarterly Segments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2026-01-02T23:21:27Z</dcterms:created>
  <dcterms:modified xsi:type="dcterms:W3CDTF">2026-02-23T01:04:16Z</dcterms:modified>
</cp:coreProperties>
</file>