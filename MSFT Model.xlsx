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367D8EC9-2351-4397-9460-3DB871C117B6}" xr6:coauthVersionLast="47" xr6:coauthVersionMax="47" xr10:uidLastSave="{00000000-0000-0000-0000-000000000000}"/>
  <bookViews>
    <workbookView xWindow="11388" yWindow="1200" windowWidth="46080" windowHeight="15048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H31" i="1"/>
  <c r="G31" i="1"/>
  <c r="F31" i="1"/>
  <c r="E31" i="1"/>
  <c r="K45" i="1"/>
  <c r="J45" i="1"/>
  <c r="N36" i="1"/>
  <c r="M36" i="1"/>
  <c r="L36" i="1"/>
  <c r="K36" i="1"/>
  <c r="J36" i="1"/>
  <c r="I4" i="4"/>
  <c r="J4" i="4"/>
  <c r="I5" i="4"/>
  <c r="J73" i="1"/>
  <c r="J76" i="1"/>
  <c r="N27" i="1"/>
  <c r="J27" i="1"/>
  <c r="L53" i="3" s="1"/>
  <c r="L54" i="3" s="1"/>
  <c r="K27" i="1"/>
  <c r="M53" i="3" s="1"/>
  <c r="M54" i="3" s="1"/>
  <c r="L27" i="1"/>
  <c r="M27" i="1"/>
  <c r="E4" i="4"/>
  <c r="N4" i="4"/>
  <c r="M4" i="4"/>
  <c r="L4" i="4"/>
  <c r="K4" i="4"/>
  <c r="H4" i="4"/>
  <c r="G4" i="4"/>
  <c r="F4" i="4"/>
  <c r="M54" i="1"/>
  <c r="M76" i="1" s="1"/>
  <c r="N54" i="1"/>
  <c r="N56" i="3"/>
  <c r="M56" i="3"/>
  <c r="L56" i="3"/>
  <c r="J30" i="1"/>
  <c r="J28" i="1"/>
  <c r="N53" i="3"/>
  <c r="N54" i="3" s="1"/>
  <c r="AJ8" i="4"/>
  <c r="AI8" i="4"/>
  <c r="AH8" i="4"/>
  <c r="AG8" i="4"/>
  <c r="AF8" i="4"/>
  <c r="AE8" i="4"/>
  <c r="AD8" i="4"/>
  <c r="AC8" i="4"/>
  <c r="AB8" i="4"/>
  <c r="AA8" i="4"/>
  <c r="Z8" i="4"/>
  <c r="S14" i="4" s="1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I83" i="1"/>
  <c r="H83" i="1"/>
  <c r="G83" i="1"/>
  <c r="F83" i="1"/>
  <c r="E83" i="1"/>
  <c r="S15" i="4" l="1"/>
  <c r="S12" i="4"/>
  <c r="S10" i="4"/>
  <c r="S13" i="4"/>
  <c r="J13" i="3"/>
  <c r="G20" i="3"/>
  <c r="H20" i="3"/>
  <c r="G8" i="3"/>
  <c r="G9" i="3"/>
  <c r="H9" i="3"/>
  <c r="H8" i="3"/>
  <c r="P11" i="1"/>
  <c r="K22" i="1"/>
  <c r="J22" i="1"/>
  <c r="P16" i="1"/>
  <c r="K5" i="4" l="1"/>
  <c r="K6" i="4" s="1"/>
  <c r="J5" i="4"/>
  <c r="J6" i="4" s="1"/>
  <c r="I6" i="4"/>
  <c r="H5" i="4"/>
  <c r="H6" i="4" s="1"/>
  <c r="G5" i="4"/>
  <c r="G6" i="4" s="1"/>
  <c r="F5" i="4"/>
  <c r="F6" i="4" s="1"/>
  <c r="E5" i="4"/>
  <c r="E6" i="4" s="1"/>
  <c r="N5" i="4"/>
  <c r="N6" i="4" s="1"/>
  <c r="N31" i="3"/>
  <c r="N34" i="3"/>
  <c r="M31" i="3"/>
  <c r="M34" i="3"/>
  <c r="M28" i="3"/>
  <c r="L34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H4" i="3"/>
  <c r="I4" i="3" s="1"/>
  <c r="J4" i="3" s="1"/>
  <c r="K4" i="3" s="1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L5" i="4" l="1"/>
  <c r="L6" i="4" s="1"/>
  <c r="M5" i="4"/>
  <c r="M6" i="4" s="1"/>
  <c r="N37" i="3"/>
  <c r="M37" i="3"/>
  <c r="M32" i="3"/>
  <c r="L37" i="3"/>
  <c r="J24" i="3"/>
  <c r="K24" i="3"/>
  <c r="L32" i="3"/>
  <c r="L14" i="3"/>
  <c r="J35" i="3"/>
  <c r="K35" i="3"/>
  <c r="L28" i="3"/>
  <c r="L29" i="3" s="1"/>
  <c r="J14" i="3"/>
  <c r="K14" i="3"/>
  <c r="K32" i="3"/>
  <c r="L18" i="3"/>
  <c r="M20" i="3"/>
  <c r="M18" i="3" s="1"/>
  <c r="N32" i="3"/>
  <c r="N8" i="3"/>
  <c r="L35" i="3" l="1"/>
  <c r="L24" i="3"/>
  <c r="M19" i="3"/>
  <c r="M24" i="3"/>
  <c r="L19" i="3"/>
  <c r="M35" i="3"/>
  <c r="N18" i="3"/>
  <c r="M29" i="3"/>
  <c r="M7" i="3"/>
  <c r="K39" i="1" l="1"/>
  <c r="J39" i="1"/>
  <c r="N24" i="3"/>
  <c r="N19" i="3"/>
  <c r="N35" i="3"/>
  <c r="N28" i="3"/>
  <c r="N29" i="3" s="1"/>
  <c r="N7" i="3"/>
  <c r="L39" i="1" l="1"/>
  <c r="H26" i="3"/>
  <c r="I26" i="3" s="1"/>
  <c r="J26" i="3" s="1"/>
  <c r="K26" i="3" s="1"/>
  <c r="P10" i="1" l="1"/>
  <c r="P18" i="1" s="1"/>
  <c r="P22" i="1" s="1"/>
  <c r="K37" i="1"/>
  <c r="K40" i="1"/>
  <c r="J37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J33" i="1"/>
  <c r="J34" i="1" s="1"/>
  <c r="K30" i="1"/>
  <c r="K33" i="1" s="1"/>
  <c r="K34" i="1" s="1"/>
  <c r="U13" i="1"/>
  <c r="T22" i="1"/>
  <c r="U12" i="1" s="1"/>
  <c r="E34" i="1" l="1"/>
  <c r="G34" i="1"/>
  <c r="H34" i="1"/>
  <c r="J42" i="1"/>
  <c r="F34" i="1"/>
  <c r="K31" i="1"/>
  <c r="J40" i="1"/>
  <c r="I42" i="1"/>
  <c r="K42" i="1"/>
  <c r="J31" i="1"/>
  <c r="U19" i="1"/>
  <c r="U23" i="1" s="1"/>
  <c r="U7" i="1" s="1"/>
  <c r="J65" i="1" l="1"/>
  <c r="F15" i="1"/>
  <c r="G15" i="1" s="1"/>
  <c r="H15" i="1" s="1"/>
  <c r="I15" i="1" s="1"/>
  <c r="I22" i="1"/>
  <c r="K76" i="1" l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H62" i="1"/>
  <c r="G62" i="1"/>
  <c r="F62" i="1"/>
  <c r="E62" i="1"/>
  <c r="E63" i="1" s="1"/>
  <c r="J57" i="1"/>
  <c r="J79" i="1" s="1"/>
  <c r="K57" i="1"/>
  <c r="K79" i="1" s="1"/>
  <c r="I57" i="1"/>
  <c r="H57" i="1"/>
  <c r="H79" i="1" s="1"/>
  <c r="G57" i="1"/>
  <c r="F57" i="1"/>
  <c r="E57" i="1"/>
  <c r="E28" i="1"/>
  <c r="K73" i="1"/>
  <c r="I52" i="1"/>
  <c r="H52" i="1"/>
  <c r="G52" i="1"/>
  <c r="F52" i="1"/>
  <c r="E52" i="1"/>
  <c r="I51" i="1"/>
  <c r="H51" i="1"/>
  <c r="G51" i="1"/>
  <c r="F51" i="1"/>
  <c r="E51" i="1"/>
  <c r="L54" i="1"/>
  <c r="I46" i="1"/>
  <c r="H46" i="1"/>
  <c r="G46" i="1"/>
  <c r="F46" i="1"/>
  <c r="E46" i="1"/>
  <c r="K46" i="1"/>
  <c r="J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I58" i="1" l="1"/>
  <c r="I79" i="1"/>
  <c r="E59" i="1"/>
  <c r="E79" i="1"/>
  <c r="F59" i="1"/>
  <c r="F79" i="1"/>
  <c r="G59" i="1"/>
  <c r="G79" i="1"/>
  <c r="K59" i="1"/>
  <c r="J59" i="1"/>
  <c r="J80" i="1"/>
  <c r="H23" i="1"/>
  <c r="G23" i="1"/>
  <c r="E23" i="1"/>
  <c r="F23" i="1"/>
  <c r="L37" i="1"/>
  <c r="L40" i="1"/>
  <c r="M50" i="1"/>
  <c r="L50" i="1"/>
  <c r="L73" i="1" s="1"/>
  <c r="L30" i="1"/>
  <c r="L31" i="1" s="1"/>
  <c r="L28" i="1"/>
  <c r="H71" i="1"/>
  <c r="H86" i="1" s="1"/>
  <c r="I71" i="1"/>
  <c r="J74" i="1"/>
  <c r="K74" i="1"/>
  <c r="E77" i="1"/>
  <c r="G77" i="1"/>
  <c r="E69" i="1"/>
  <c r="F69" i="1"/>
  <c r="G69" i="1"/>
  <c r="H58" i="1"/>
  <c r="I59" i="1"/>
  <c r="H69" i="1"/>
  <c r="H59" i="1"/>
  <c r="I69" i="1"/>
  <c r="E74" i="1"/>
  <c r="L76" i="1"/>
  <c r="E71" i="1"/>
  <c r="F80" i="1"/>
  <c r="F71" i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E80" i="1"/>
  <c r="G80" i="1"/>
  <c r="H80" i="1"/>
  <c r="J58" i="1"/>
  <c r="K63" i="1"/>
  <c r="L62" i="1"/>
  <c r="L82" i="1" s="1"/>
  <c r="L83" i="1" s="1"/>
  <c r="G66" i="1"/>
  <c r="I80" i="1"/>
  <c r="H66" i="1"/>
  <c r="I66" i="1"/>
  <c r="F77" i="1"/>
  <c r="K80" i="1"/>
  <c r="J51" i="1"/>
  <c r="K51" i="1"/>
  <c r="L51" i="1"/>
  <c r="K58" i="1"/>
  <c r="J52" i="1"/>
  <c r="K65" i="1"/>
  <c r="K52" i="1"/>
  <c r="J68" i="1"/>
  <c r="K68" i="1"/>
  <c r="L57" i="1"/>
  <c r="L79" i="1" s="1"/>
  <c r="E58" i="1"/>
  <c r="F58" i="1"/>
  <c r="G58" i="1"/>
  <c r="J43" i="1"/>
  <c r="K43" i="1"/>
  <c r="L52" i="1" l="1"/>
  <c r="L33" i="1"/>
  <c r="N50" i="1"/>
  <c r="M37" i="1"/>
  <c r="M39" i="1"/>
  <c r="M40" i="1" s="1"/>
  <c r="L34" i="1"/>
  <c r="L42" i="1"/>
  <c r="E86" i="1"/>
  <c r="M30" i="1"/>
  <c r="M31" i="1" s="1"/>
  <c r="F86" i="1"/>
  <c r="G86" i="1"/>
  <c r="J71" i="1"/>
  <c r="J85" i="1" s="1"/>
  <c r="J66" i="1"/>
  <c r="K66" i="1"/>
  <c r="K71" i="1"/>
  <c r="K85" i="1" s="1"/>
  <c r="M77" i="1"/>
  <c r="K69" i="1"/>
  <c r="J69" i="1"/>
  <c r="I86" i="1"/>
  <c r="L63" i="1"/>
  <c r="L59" i="1"/>
  <c r="L58" i="1"/>
  <c r="L80" i="1"/>
  <c r="M73" i="1"/>
  <c r="M52" i="1"/>
  <c r="M51" i="1"/>
  <c r="L74" i="1"/>
  <c r="M57" i="1"/>
  <c r="M79" i="1" s="1"/>
  <c r="M62" i="1"/>
  <c r="M82" i="1" s="1"/>
  <c r="M83" i="1" s="1"/>
  <c r="M28" i="1"/>
  <c r="L77" i="1"/>
  <c r="L43" i="1" l="1"/>
  <c r="L45" i="1"/>
  <c r="N76" i="1"/>
  <c r="J88" i="1"/>
  <c r="J86" i="1"/>
  <c r="K88" i="1"/>
  <c r="K86" i="1"/>
  <c r="L65" i="1"/>
  <c r="L66" i="1" s="1"/>
  <c r="M33" i="1"/>
  <c r="M34" i="1" s="1"/>
  <c r="N39" i="1"/>
  <c r="N40" i="1" s="1"/>
  <c r="N37" i="1"/>
  <c r="N30" i="1"/>
  <c r="N31" i="1" s="1"/>
  <c r="M74" i="1"/>
  <c r="M59" i="1"/>
  <c r="M58" i="1"/>
  <c r="M80" i="1"/>
  <c r="L46" i="1"/>
  <c r="L68" i="1"/>
  <c r="L69" i="1" s="1"/>
  <c r="M63" i="1"/>
  <c r="N28" i="1"/>
  <c r="N57" i="1"/>
  <c r="N79" i="1" s="1"/>
  <c r="N62" i="1"/>
  <c r="N73" i="1"/>
  <c r="N52" i="1"/>
  <c r="N51" i="1"/>
  <c r="N77" i="1" l="1"/>
  <c r="N82" i="1"/>
  <c r="N83" i="1" s="1"/>
  <c r="L71" i="1"/>
  <c r="M42" i="1"/>
  <c r="N74" i="1"/>
  <c r="N33" i="1"/>
  <c r="N34" i="1" s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M65" i="1" l="1"/>
  <c r="M66" i="1" s="1"/>
  <c r="M45" i="1"/>
  <c r="L85" i="1"/>
  <c r="L86" i="1" s="1"/>
  <c r="M43" i="1"/>
  <c r="N42" i="1"/>
  <c r="M46" i="1"/>
  <c r="M68" i="1"/>
  <c r="L88" i="1" l="1"/>
  <c r="N45" i="1"/>
  <c r="N65" i="1"/>
  <c r="N43" i="1"/>
  <c r="M69" i="1"/>
  <c r="M71" i="1"/>
  <c r="M85" i="1" s="1"/>
  <c r="M88" i="1" l="1"/>
  <c r="M86" i="1"/>
  <c r="N66" i="1"/>
  <c r="P8" i="1"/>
  <c r="P9" i="1" s="1"/>
  <c r="N68" i="1"/>
  <c r="N46" i="1"/>
  <c r="N69" i="1" l="1"/>
  <c r="N71" i="1"/>
  <c r="N85" i="1" s="1"/>
  <c r="N86" i="1" l="1"/>
  <c r="K17" i="1" a="1"/>
  <c r="K17" i="1" s="1"/>
  <c r="K20" i="1" s="1"/>
  <c r="K23" i="1" s="1"/>
  <c r="J17" i="1"/>
  <c r="J20" i="1" s="1"/>
  <c r="J23" i="1" s="1"/>
  <c r="N88" i="1"/>
  <c r="P7" i="1" s="1"/>
  <c r="P13" i="1" l="1"/>
  <c r="E8" i="1" s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<sst xmlns="http://schemas.openxmlformats.org/spreadsheetml/2006/main" count="390" uniqueCount="305">
  <si>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</si>
  <si>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</si>
  <si>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</si>
  <si>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</si>
  <si>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</si>
  <si>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</si>
  <si>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</si>
  <si>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</si>
  <si>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</si>
  <si>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</si>
  <si>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</si>
  <si>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</si>
  <si>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</si>
  <si>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</si>
  <si>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</si>
  <si>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</si>
  <si>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</si>
  <si>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</si>
  <si>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</si>
  <si>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</si>
  <si>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</si>
  <si>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</si>
  <si>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</si>
  <si>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</si>
  <si>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</si>
  <si>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</si>
  <si>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</si>
  <si>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</si>
  <si>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</si>
  <si>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</si>
  <si>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</si>
  <si>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</si>
  <si>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</si>
  <si>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</si>
  <si>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</si>
  <si>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</si>
  <si>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</si>
  <si>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</si>
  <si>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</si>
  <si>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</si>
  <si>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</si>
  <si>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</si>
  <si>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</si>
  <si>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</si>
  <si>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</si>
  <si>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</si>
  <si>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</si>
  <si>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</si>
  <si>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</si>
  <si>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</si>
  <si>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</si>
  <si>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</si>
  <si>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</si>
  <si>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</si>
  <si>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</si>
  <si>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</si>
  <si>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</si>
  <si>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</si>
  <si>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</si>
  <si>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</si>
  <si>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</si>
  <si>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</si>
  <si>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</si>
  <si>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</si>
  <si>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</si>
  <si>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</si>
  <si>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</si>
  <si>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</si>
  <si>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</si>
  <si>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</si>
  <si>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</si>
  <si>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</si>
  <si>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</si>
  <si>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</si>
  <si>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</si>
  <si>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</si>
  <si>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</si>
  <si>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</si>
  <si>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</si>
  <si>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</si>
  <si>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</si>
  <si>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</si>
  <si>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</si>
  <si>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</si>
  <si>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</si>
  <si>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</si>
  <si>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</si>
  <si>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</si>
  <si>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</si>
  <si>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</si>
  <si>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</si>
  <si>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</si>
  <si>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</si>
  <si>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</si>
  <si>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</si>
  <si>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</si>
  <si>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</si>
  <si>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</si>
  <si>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</si>
  <si>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</si>
  <si>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Operating Cash Flow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</si>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</sst>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</numFmts>
  <fonts count="12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F44336"/>
      <color rgb="FF00A1F1"/>
      <color rgb="FFFFC107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136756.91999999998</c:v>
                </c:pt>
                <c:pt idx="4">
                  <c:v>153673.59200000003</c:v>
                </c:pt>
                <c:pt idx="5">
                  <c:v>170577.68712000005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Segments!$B$13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Segments!$G$13:$N$13</c15:sqref>
                  </c15:fullRef>
                </c:ext>
              </c:extLst>
              <c:f>Segments!$I$13:$N$13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134789</c:v>
                </c:pt>
                <c:pt idx="4">
                  <c:v>168062</c:v>
                </c:pt>
                <c:pt idx="5">
                  <c:v>210077.5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Segments!$B$18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Segments!$G$18:$N$18</c15:sqref>
                  </c15:fullRef>
                </c:ext>
              </c:extLst>
              <c:f>Segments!$I$18:$N$18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54804.42</c:v>
                </c:pt>
                <c:pt idx="4">
                  <c:v>55742.869200000001</c:v>
                </c:pt>
                <c:pt idx="5">
                  <c:v>57192.1837992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8"/>
        <c:overlap val="10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495775"/>
        <c:axId val="1064517375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1064517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5775"/>
        <c:crosses val="max"/>
        <c:crossBetween val="between"/>
      </c:valAx>
      <c:catAx>
        <c:axId val="1064495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645173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0">
              <a:solidFill>
                <a:srgbClr val="7CBB0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98328</c:v>
                </c:pt>
                <c:pt idx="6">
                  <c:v>116359</c:v>
                </c:pt>
                <c:pt idx="7">
                  <c:v>124504.13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0.26872556684910087</c:v>
                </c:pt>
                <c:pt idx="1">
                  <c:v>0.26827652046947831</c:v>
                </c:pt>
                <c:pt idx="2">
                  <c:v>0.32092210728231829</c:v>
                </c:pt>
                <c:pt idx="3">
                  <c:v>0.37518136113641731</c:v>
                </c:pt>
                <c:pt idx="4">
                  <c:v>0.47407499889837107</c:v>
                </c:pt>
                <c:pt idx="5">
                  <c:v>0.56642860904191272</c:v>
                </c:pt>
                <c:pt idx="6">
                  <c:v>0.58397455750146632</c:v>
                </c:pt>
                <c:pt idx="7">
                  <c:v>0.54389350910507983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Recurring</a:t>
            </a:r>
            <a:r>
              <a:rPr lang="en-US" baseline="0"/>
              <a:t>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Segments!$B$53</c:f>
              <c:strCache>
                <c:ptCount val="1"/>
                <c:pt idx="0">
                  <c:v>Recurring Revenue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Segments!$L$53:$N$53</c:f>
              <c:numCache>
                <c:formatCode>#,##0</c:formatCode>
                <c:ptCount val="3"/>
                <c:pt idx="0">
                  <c:v>246916.66724399998</c:v>
                </c:pt>
                <c:pt idx="1">
                  <c:v>288318.04866456002</c:v>
                </c:pt>
                <c:pt idx="2">
                  <c:v>336441.9198143133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E-4596-8F6C-EEC00E8841A8}"/>
            </c:ext>
          </c:extLst>
        </c:ser>
        <c:ser>
          <c:idx val="1"/>
          <c:order val="1"/>
          <c:tx>
            <c:strRef>
              <c:f>Segments!$B$54</c:f>
              <c:strCache>
                <c:ptCount val="1"/>
                <c:pt idx="0">
                  <c:v>Non Recurring Revenue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Segments!$L$54:$N$54</c:f>
              <c:numCache>
                <c:formatCode>#,##0</c:formatCode>
                <c:ptCount val="3"/>
                <c:pt idx="0">
                  <c:v>79433.672755999985</c:v>
                </c:pt>
                <c:pt idx="1">
                  <c:v>89160.412535440002</c:v>
                </c:pt>
                <c:pt idx="2">
                  <c:v>101405.45110488671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947785231"/>
        <c:axId val="947760271"/>
      </c:barChart>
      <c:lineChart>
        <c:grouping val="standard"/>
        <c:varyColors val="0"/>
        <c:ser>
          <c:idx val="2"/>
          <c:order val="2"/>
          <c:tx>
            <c:strRef>
              <c:f>Segments!$B$55</c:f>
              <c:strCache>
                <c:ptCount val="1"/>
                <c:pt idx="0">
                  <c:v>Recurring % of Revenue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Segments!$L$55:$N$55</c:f>
              <c:numCache>
                <c:formatCode>0.00%</c:formatCode>
                <c:ptCount val="3"/>
                <c:pt idx="0">
                  <c:v>0.75660000000000005</c:v>
                </c:pt>
                <c:pt idx="1">
                  <c:v>0.76380000000000003</c:v>
                </c:pt>
                <c:pt idx="2">
                  <c:v>0.76839999999999997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2285055"/>
        <c:axId val="1162294175"/>
      </c:lineChart>
      <c:catAx>
        <c:axId val="9477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60271"/>
        <c:crosses val="autoZero"/>
        <c:auto val="1"/>
        <c:lblAlgn val="ctr"/>
        <c:lblOffset val="100"/>
        <c:noMultiLvlLbl val="0"/>
      </c:catAx>
      <c:valAx>
        <c:axId val="9477602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85231"/>
        <c:crosses val="autoZero"/>
        <c:crossBetween val="between"/>
      </c:valAx>
      <c:valAx>
        <c:axId val="1162294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285055"/>
        <c:crosses val="max"/>
        <c:crossBetween val="between"/>
      </c:valAx>
      <c:catAx>
        <c:axId val="116228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22941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365760</xdr:colOff>
      <xdr:row>60</xdr:row>
      <xdr:rowOff>15240</xdr:rowOff>
    </xdr:from>
    <xdr:to>
      <xdr:col>21</xdr:col>
      <xdr:colOff>297180</xdr:colOff>
      <xdr:row>75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75</xdr:row>
      <xdr:rowOff>144780</xdr:rowOff>
    </xdr:from>
    <xdr:to>
      <xdr:col>21</xdr:col>
      <xdr:colOff>297180</xdr:colOff>
      <xdr:row>90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F13502-0089-4E48-9460-C9CD6316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0.40013</cdr:x>
      <cdr:y>0.33</cdr:y>
    </cdr:from>
    <cdr:to>
      <cdr:x>0.59987</cdr:x>
      <cdr:y>0.67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09C6AD5-1610-4B5E-7640-7DDB54B0DA38}"/>
            </a:ext>
          </a:extLst>
        </cdr:cNvPr>
        <cdr:cNvSpPr txBox="1"/>
      </cdr:nvSpPr>
      <cdr:spPr>
        <a:xfrm xmlns:a="http://schemas.openxmlformats.org/drawingml/2006/main">
          <a:off x="1831713" y="88750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96"/>
  <sheetViews>
    <sheetView showGridLines="0" tabSelected="1" zoomScale="85" zoomScaleNormal="85" workbookViewId="0">
      <selection activeCell="I31" sqref="I31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2:24" ht="14.4" customHeight="1" x14ac:dyDescent="0.3">
      <c r="B2"/>
      <c r="C2"/>
      <c r="R2" s="5" t="s">
        <v>51</v>
      </c>
    </row>
    <row r="3" spans="2:24" ht="14.4" customHeight="1" x14ac:dyDescent="0.3">
      <c r="B3" s="5"/>
    </row>
    <row r="4" spans="2:24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2:24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</row>
    <row r="7" spans="2:24" ht="14.4" customHeight="1" x14ac:dyDescent="0.3">
      <c r="B7" s="1" t="s">
        <v>0</v>
      </c>
      <c r="E7" s="17" t="s">
        <v>1</v>
      </c>
      <c r="G7" s="1" t="s">
        <v>57</v>
      </c>
      <c r="I7" s="46">
        <v>228000</v>
      </c>
      <c r="J7" s="46"/>
      <c r="K7" s="46"/>
      <c r="M7" s="1" t="s">
        <v>47</v>
      </c>
      <c r="P7" s="8">
        <f>SUM(J88:N88)</f>
        <v>491935.53412195091</v>
      </c>
      <c r="R7" s="1" t="s">
        <v>35</v>
      </c>
      <c r="U7" s="10">
        <f>Main!U23</f>
        <v>9.0327650105150287E-2</v>
      </c>
    </row>
    <row r="8" spans="2:24" ht="14.4" customHeight="1" x14ac:dyDescent="0.3">
      <c r="B8" s="1" t="s">
        <v>2</v>
      </c>
      <c r="E8" s="20">
        <f>(P13+P10)/P12</f>
        <v>633.17382041439384</v>
      </c>
      <c r="G8" s="1" t="s">
        <v>58</v>
      </c>
      <c r="I8" s="47">
        <v>27488</v>
      </c>
      <c r="J8" s="47"/>
      <c r="K8" s="47"/>
      <c r="M8" s="1" t="s">
        <v>48</v>
      </c>
      <c r="P8" s="8">
        <f>(N65*U8)</f>
        <v>6050991.0093990555</v>
      </c>
      <c r="R8" s="1" t="s">
        <v>52</v>
      </c>
      <c r="U8" s="22">
        <v>22</v>
      </c>
      <c r="X8" s="21"/>
    </row>
    <row r="9" spans="2:24" ht="14.4" customHeight="1" x14ac:dyDescent="0.3">
      <c r="B9" s="1" t="s">
        <v>3</v>
      </c>
      <c r="E9" s="20">
        <v>475</v>
      </c>
      <c r="G9" s="1" t="s">
        <v>59</v>
      </c>
      <c r="I9" s="50" t="s">
        <v>302</v>
      </c>
      <c r="J9" s="50"/>
      <c r="K9" s="50"/>
      <c r="M9" s="1" t="s">
        <v>53</v>
      </c>
      <c r="P9" s="8">
        <f>-(PV(U7,4.5,0,P8))</f>
        <v>4100340.209091913</v>
      </c>
    </row>
    <row r="10" spans="2:24" ht="14.4" customHeight="1" x14ac:dyDescent="0.3">
      <c r="B10" s="1" t="s">
        <v>4</v>
      </c>
      <c r="E10" s="15">
        <f>E8/E9-1</f>
        <v>0.33299751666188171</v>
      </c>
      <c r="G10" s="1" t="s">
        <v>60</v>
      </c>
      <c r="I10" s="50" t="s">
        <v>62</v>
      </c>
      <c r="J10" s="50"/>
      <c r="K10" s="50"/>
      <c r="M10" s="1" t="s">
        <v>33</v>
      </c>
      <c r="P10" s="8">
        <f>J22-J21</f>
        <v>2711</v>
      </c>
      <c r="R10" s="19" t="s">
        <v>35</v>
      </c>
      <c r="S10" s="19"/>
      <c r="T10" s="19"/>
      <c r="U10" s="6"/>
    </row>
    <row r="11" spans="2:24" ht="14.4" customHeight="1" x14ac:dyDescent="0.3">
      <c r="G11" s="1" t="s">
        <v>61</v>
      </c>
      <c r="I11" s="50" t="s">
        <v>303</v>
      </c>
      <c r="J11" s="50"/>
      <c r="K11" s="50"/>
      <c r="M11" s="1" t="s">
        <v>107</v>
      </c>
      <c r="P11" s="8">
        <f>500000*0.27</f>
        <v>135000</v>
      </c>
      <c r="R11" s="1" t="s">
        <v>28</v>
      </c>
      <c r="T11" s="48">
        <v>3520000</v>
      </c>
      <c r="U11" s="48"/>
    </row>
    <row r="12" spans="2:24" ht="14.4" customHeight="1" x14ac:dyDescent="0.3">
      <c r="B12" s="1" t="s">
        <v>68</v>
      </c>
      <c r="E12" s="18">
        <v>46024</v>
      </c>
      <c r="G12" s="1" t="s">
        <v>63</v>
      </c>
      <c r="I12" s="47">
        <v>46203</v>
      </c>
      <c r="J12" s="47"/>
      <c r="K12" s="47"/>
      <c r="M12" s="1" t="s">
        <v>49</v>
      </c>
      <c r="P12" s="1">
        <v>7466</v>
      </c>
      <c r="R12" s="1" t="s">
        <v>36</v>
      </c>
      <c r="U12" s="10">
        <f>T11/T22</f>
        <v>0.9830782077813992</v>
      </c>
    </row>
    <row r="13" spans="2:24" ht="14.4" customHeight="1" x14ac:dyDescent="0.3">
      <c r="I13" s="10"/>
      <c r="M13" s="1" t="s">
        <v>50</v>
      </c>
      <c r="P13" s="8">
        <f>P9+P7-P10+P11</f>
        <v>4724564.743213864</v>
      </c>
      <c r="R13" s="1" t="s">
        <v>37</v>
      </c>
      <c r="U13" s="10">
        <f>U14+(U15*U17)</f>
        <v>9.1170000000000001E-2</v>
      </c>
    </row>
    <row r="14" spans="2:24" ht="14.4" customHeight="1" x14ac:dyDescent="0.3">
      <c r="R14" s="1" t="s">
        <v>38</v>
      </c>
      <c r="U14" s="10">
        <v>4.1950000000000001E-2</v>
      </c>
    </row>
    <row r="15" spans="2:24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105</v>
      </c>
      <c r="N15" s="19"/>
      <c r="O15" s="19"/>
      <c r="P15" s="6"/>
      <c r="R15" s="1" t="s">
        <v>39</v>
      </c>
      <c r="U15" s="1">
        <v>1.07</v>
      </c>
    </row>
    <row r="16" spans="2:24" s="24" customFormat="1" ht="1.95" customHeight="1" x14ac:dyDescent="0.3"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1"/>
      <c r="M16" s="1" t="s">
        <v>47</v>
      </c>
      <c r="N16" s="1"/>
      <c r="O16" s="1"/>
      <c r="P16" s="8">
        <f>SUM(J97:N97)</f>
        <v>0</v>
      </c>
    </row>
    <row r="17" spans="2:21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661.40754099146307</v>
      </c>
      <c r="K17" s="7" cm="1">
        <f t="array" ref="K17">NPV($U$7,L85:N85)/K18+(K21/K18)-(K22/K18)+(-((PV($U$7,3,0,$P$8))/K18))+(SUM(J85:K85/K18))+(P11/K18)</f>
        <v>718.53723395521706</v>
      </c>
      <c r="M17" s="1" t="s">
        <v>28</v>
      </c>
      <c r="P17" s="8">
        <v>3515070</v>
      </c>
      <c r="R17" s="1" t="s">
        <v>40</v>
      </c>
      <c r="U17" s="10">
        <v>4.5999999999999999E-2</v>
      </c>
    </row>
    <row r="18" spans="2:21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7450</v>
      </c>
      <c r="K18" s="12">
        <v>7450</v>
      </c>
      <c r="M18" s="1" t="s">
        <v>31</v>
      </c>
      <c r="P18" s="8">
        <f>P17+P10</f>
        <v>3517781</v>
      </c>
      <c r="R18" s="1" t="s">
        <v>30</v>
      </c>
      <c r="U18" s="8">
        <v>60590</v>
      </c>
    </row>
    <row r="19" spans="2:21" ht="14.4" customHeight="1" x14ac:dyDescent="0.3">
      <c r="M19" s="1" t="s">
        <v>102</v>
      </c>
      <c r="P19" s="29">
        <v>33.65</v>
      </c>
      <c r="R19" s="1" t="s">
        <v>41</v>
      </c>
      <c r="U19" s="10">
        <f>U18/T22</f>
        <v>1.6921792218600844E-2</v>
      </c>
    </row>
    <row r="20" spans="2:21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4927486.1803863999</v>
      </c>
      <c r="K20" s="8">
        <f>K17*K18</f>
        <v>5353102.3929663673</v>
      </c>
      <c r="M20" s="1" t="s">
        <v>106</v>
      </c>
      <c r="P20" s="29">
        <v>28.45</v>
      </c>
      <c r="R20" s="1" t="s">
        <v>42</v>
      </c>
      <c r="U20" s="10">
        <v>5.11E-2</v>
      </c>
    </row>
    <row r="21" spans="2:21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104</v>
      </c>
      <c r="P21" s="29">
        <v>12.02</v>
      </c>
      <c r="R21" s="1" t="s">
        <v>43</v>
      </c>
      <c r="U21" s="10">
        <v>0.19</v>
      </c>
    </row>
    <row r="22" spans="2:21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103</v>
      </c>
      <c r="P22" s="29">
        <f>P18/175768</f>
        <v>20.013773838241317</v>
      </c>
      <c r="R22" s="6" t="s">
        <v>44</v>
      </c>
      <c r="S22" s="6"/>
      <c r="T22" s="49">
        <f>T11+U18</f>
        <v>3580590</v>
      </c>
      <c r="U22" s="49"/>
    </row>
    <row r="23" spans="2:21" ht="14.4" customHeight="1" x14ac:dyDescent="0.3">
      <c r="B23" s="1" t="s">
        <v>31</v>
      </c>
      <c r="E23" s="8">
        <f t="shared" ref="E23:I23" si="0">E20-E21+E22</f>
        <v>2002214.1999999997</v>
      </c>
      <c r="F23" s="8">
        <f t="shared" si="0"/>
        <v>1904112.2</v>
      </c>
      <c r="G23" s="8">
        <f t="shared" si="0"/>
        <v>2578566.8800000004</v>
      </c>
      <c r="H23" s="8">
        <f t="shared" si="0"/>
        <v>3352400.55</v>
      </c>
      <c r="I23" s="8">
        <f t="shared" si="0"/>
        <v>3719687.06</v>
      </c>
      <c r="J23" s="8">
        <f>J20-J21+J22</f>
        <v>4930197.1803863999</v>
      </c>
      <c r="K23" s="8">
        <f t="shared" ref="K23" si="1">K20-K21+K22</f>
        <v>5355813.3929663673</v>
      </c>
      <c r="R23" s="1" t="s">
        <v>35</v>
      </c>
      <c r="U23" s="10">
        <f>(U12*U13)+(U19*U20*(1-U21))</f>
        <v>9.0327650105150287E-2</v>
      </c>
    </row>
    <row r="25" spans="2:21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21" s="24" customFormat="1" ht="1.95" customHeight="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26"/>
      <c r="N26" s="26"/>
      <c r="O26" s="26"/>
      <c r="P26" s="26"/>
    </row>
    <row r="27" spans="2:21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7">
        <f>Segments!L24</f>
        <v>326350.33999999997</v>
      </c>
      <c r="K27" s="27">
        <f>Segments!M24</f>
        <v>377478.46120000002</v>
      </c>
      <c r="L27" s="27">
        <f>Segments!N24</f>
        <v>437847.37091920001</v>
      </c>
      <c r="M27" s="8">
        <f>L27*1.155</f>
        <v>505713.713411676</v>
      </c>
      <c r="N27" s="8">
        <f>M27*1.145</f>
        <v>579042.20185636904</v>
      </c>
    </row>
    <row r="28" spans="2:21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2">(G27-F27)/F27</f>
        <v>6.8820295556564284E-2</v>
      </c>
      <c r="H28" s="11">
        <f t="shared" si="2"/>
        <v>0.15669962013071279</v>
      </c>
      <c r="I28" s="11">
        <f t="shared" si="2"/>
        <v>0.14932156232406721</v>
      </c>
      <c r="J28" s="11">
        <f>(J27-I27)/I27</f>
        <v>0.15840446678309256</v>
      </c>
      <c r="K28" s="11">
        <f t="shared" si="2"/>
        <v>0.15666636412880727</v>
      </c>
      <c r="L28" s="11">
        <f t="shared" si="2"/>
        <v>0.15992676648963722</v>
      </c>
      <c r="M28" s="11">
        <f t="shared" si="2"/>
        <v>0.15499999999999997</v>
      </c>
      <c r="N28" s="11">
        <f t="shared" si="2"/>
        <v>0.14500000000000005</v>
      </c>
      <c r="T28"/>
    </row>
    <row r="29" spans="2:21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2:21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J27*0.32</f>
        <v>104432.10879999999</v>
      </c>
      <c r="K30" s="8">
        <f t="shared" ref="K30:N30" si="3">K27*0.32</f>
        <v>120793.10758400001</v>
      </c>
      <c r="L30" s="8">
        <f t="shared" si="3"/>
        <v>140111.15869414402</v>
      </c>
      <c r="M30" s="8">
        <f t="shared" si="3"/>
        <v>161828.38829173634</v>
      </c>
      <c r="N30" s="8">
        <f t="shared" si="3"/>
        <v>185293.5045940381</v>
      </c>
    </row>
    <row r="31" spans="2:21" ht="14.4" customHeight="1" x14ac:dyDescent="0.3">
      <c r="B31" s="5" t="s">
        <v>16</v>
      </c>
      <c r="E31" s="11">
        <f>E30/E27</f>
        <v>0.31074199228975297</v>
      </c>
      <c r="F31" s="11">
        <f t="shared" ref="F31:I31" si="4">F30/F27</f>
        <v>0.31598325515710901</v>
      </c>
      <c r="G31" s="11">
        <f t="shared" si="4"/>
        <v>0.31079914116508978</v>
      </c>
      <c r="H31" s="11">
        <f t="shared" si="4"/>
        <v>0.30235556172028621</v>
      </c>
      <c r="I31" s="11">
        <f t="shared" si="4"/>
        <v>0.31176257613834818</v>
      </c>
      <c r="J31" s="11">
        <f>J30/J27</f>
        <v>0.32</v>
      </c>
      <c r="K31" s="11">
        <f>K30/K27</f>
        <v>0.32</v>
      </c>
      <c r="L31" s="11">
        <f>L30/L27</f>
        <v>0.32000000000000006</v>
      </c>
      <c r="M31" s="11">
        <f t="shared" ref="M31" si="5">M30/M27</f>
        <v>0.32000000000000006</v>
      </c>
      <c r="N31" s="11">
        <f t="shared" ref="N31" si="6">N30/N27</f>
        <v>0.32</v>
      </c>
    </row>
    <row r="33" spans="2:16" ht="14.4" customHeight="1" x14ac:dyDescent="0.3">
      <c r="B33" s="1" t="s">
        <v>65</v>
      </c>
      <c r="E33" s="8">
        <f t="shared" ref="E33:H33" si="7">E27-E30</f>
        <v>115856</v>
      </c>
      <c r="F33" s="8">
        <f t="shared" si="7"/>
        <v>135620</v>
      </c>
      <c r="G33" s="8">
        <f t="shared" si="7"/>
        <v>146052</v>
      </c>
      <c r="H33" s="8">
        <f t="shared" si="7"/>
        <v>171008</v>
      </c>
      <c r="I33" s="8">
        <f>I27-I30</f>
        <v>193893</v>
      </c>
      <c r="J33" s="8">
        <f>J27-J30</f>
        <v>221918.23119999998</v>
      </c>
      <c r="K33" s="8">
        <f>K27-K30</f>
        <v>256685.35361600001</v>
      </c>
      <c r="L33" s="8">
        <f>L27-L30</f>
        <v>297736.21222505602</v>
      </c>
      <c r="M33" s="8">
        <f t="shared" ref="M33:N33" si="8">M27-M30</f>
        <v>343885.32511993963</v>
      </c>
      <c r="N33" s="8">
        <f t="shared" si="8"/>
        <v>393748.69726233091</v>
      </c>
    </row>
    <row r="34" spans="2:16" ht="14.4" customHeight="1" x14ac:dyDescent="0.3">
      <c r="B34" s="5" t="s">
        <v>16</v>
      </c>
      <c r="E34" s="11">
        <f>E33/E27</f>
        <v>0.68925800771024703</v>
      </c>
      <c r="F34" s="11">
        <f t="shared" ref="F34:N34" si="9">F33/F27</f>
        <v>0.68401674484289099</v>
      </c>
      <c r="G34" s="11">
        <f t="shared" si="9"/>
        <v>0.68920085883491022</v>
      </c>
      <c r="H34" s="11">
        <f t="shared" si="9"/>
        <v>0.69764443827971379</v>
      </c>
      <c r="I34" s="11">
        <f t="shared" si="9"/>
        <v>0.68823742386165188</v>
      </c>
      <c r="J34" s="11">
        <f t="shared" si="9"/>
        <v>0.68</v>
      </c>
      <c r="K34" s="11">
        <f t="shared" si="9"/>
        <v>0.67999999999999994</v>
      </c>
      <c r="L34" s="11">
        <f t="shared" si="9"/>
        <v>0.68</v>
      </c>
      <c r="M34" s="11">
        <f t="shared" si="9"/>
        <v>0.67999999999999994</v>
      </c>
      <c r="N34" s="11">
        <f t="shared" si="9"/>
        <v>0.67999999999999994</v>
      </c>
    </row>
    <row r="36" spans="2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39162.040799999995</v>
      </c>
      <c r="K36" s="8">
        <f>K27*0.11</f>
        <v>41522.630732000005</v>
      </c>
      <c r="L36" s="8">
        <f>L27*0.105</f>
        <v>45973.973946516002</v>
      </c>
      <c r="M36" s="8">
        <f>M27*0.105</f>
        <v>53099.939908225977</v>
      </c>
      <c r="N36" s="8">
        <f>N27*0.105</f>
        <v>60799.431194918747</v>
      </c>
    </row>
    <row r="37" spans="2:16" ht="14.4" customHeight="1" x14ac:dyDescent="0.3">
      <c r="B37" s="5" t="s">
        <v>16</v>
      </c>
      <c r="E37" s="11">
        <f>E36/E27</f>
        <v>0.15006425205844556</v>
      </c>
      <c r="F37" s="11">
        <f t="shared" ref="F37:I37" si="10">F36/F27</f>
        <v>0.13983456902204064</v>
      </c>
      <c r="G37" s="11">
        <f t="shared" si="10"/>
        <v>0.14314229761932851</v>
      </c>
      <c r="H37" s="11">
        <f t="shared" si="10"/>
        <v>0.13081241177862452</v>
      </c>
      <c r="I37" s="11">
        <f t="shared" si="10"/>
        <v>0.11669932274140649</v>
      </c>
      <c r="J37" s="11">
        <f t="shared" ref="J37" si="11">J36/J27</f>
        <v>0.12</v>
      </c>
      <c r="K37" s="11">
        <f t="shared" ref="K37" si="12">K36/K27</f>
        <v>0.11000000000000001</v>
      </c>
      <c r="L37" s="11">
        <f t="shared" ref="L37" si="13">L36/L27</f>
        <v>0.105</v>
      </c>
      <c r="M37" s="11">
        <f t="shared" ref="M37" si="14">M36/M27</f>
        <v>0.105</v>
      </c>
      <c r="N37" s="11">
        <f t="shared" ref="N37" si="15">N36/N27</f>
        <v>0.105</v>
      </c>
    </row>
    <row r="39" spans="2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J27*0.109</f>
        <v>35572.187059999997</v>
      </c>
      <c r="K39" s="8">
        <f>K27*0.1055</f>
        <v>39823.9776566</v>
      </c>
      <c r="L39" s="8">
        <f>L27*0.104</f>
        <v>45536.126575596798</v>
      </c>
      <c r="M39" s="8">
        <f t="shared" ref="M39:N39" si="16">M27*0.1</f>
        <v>50571.3713411676</v>
      </c>
      <c r="N39" s="8">
        <f t="shared" si="16"/>
        <v>57904.220185636907</v>
      </c>
      <c r="P39" s="8"/>
    </row>
    <row r="40" spans="2:16" ht="14.4" customHeight="1" x14ac:dyDescent="0.3">
      <c r="B40" s="5" t="s">
        <v>16</v>
      </c>
      <c r="E40" s="11">
        <f>E39/E27</f>
        <v>0.12324496692208843</v>
      </c>
      <c r="F40" s="11">
        <f t="shared" ref="F40:I40" si="17">F39/F27</f>
        <v>0.12362939426035205</v>
      </c>
      <c r="G40" s="11">
        <f t="shared" si="17"/>
        <v>0.12832975485454073</v>
      </c>
      <c r="H40" s="11">
        <f t="shared" si="17"/>
        <v>0.12038903076835208</v>
      </c>
      <c r="I40" s="11">
        <f t="shared" si="17"/>
        <v>0.11531853871164686</v>
      </c>
      <c r="J40" s="11">
        <f t="shared" ref="J40" si="18">J39/J27</f>
        <v>0.109</v>
      </c>
      <c r="K40" s="11">
        <f t="shared" ref="K40" si="19">K39/K27</f>
        <v>0.1055</v>
      </c>
      <c r="L40" s="11">
        <f t="shared" ref="L40" si="20">L39/L27</f>
        <v>0.104</v>
      </c>
      <c r="M40" s="11">
        <f t="shared" ref="M40" si="21">M39/M27</f>
        <v>0.1</v>
      </c>
      <c r="N40" s="11">
        <f t="shared" ref="N40" si="22">N39/N27</f>
        <v>0.1</v>
      </c>
    </row>
    <row r="42" spans="2:16" ht="14.4" customHeight="1" x14ac:dyDescent="0.3">
      <c r="B42" s="1" t="s">
        <v>13</v>
      </c>
      <c r="E42" s="8">
        <f t="shared" ref="E42:H42" si="23">E33-E36-E39</f>
        <v>69916</v>
      </c>
      <c r="F42" s="8">
        <f t="shared" si="23"/>
        <v>83383</v>
      </c>
      <c r="G42" s="8">
        <f t="shared" si="23"/>
        <v>88523</v>
      </c>
      <c r="H42" s="8">
        <f t="shared" si="23"/>
        <v>109433</v>
      </c>
      <c r="I42" s="8">
        <f>I33-I36-I39</f>
        <v>128528</v>
      </c>
      <c r="J42" s="8">
        <f>J33-J36-J39</f>
        <v>147184.00334</v>
      </c>
      <c r="K42" s="8">
        <f>K33-K36-K39</f>
        <v>175338.74522739998</v>
      </c>
      <c r="L42" s="8">
        <f t="shared" ref="L42" si="24">L33-L36-L39</f>
        <v>206226.11170294322</v>
      </c>
      <c r="M42" s="8">
        <f>M33-M36-M39</f>
        <v>240214.01387054607</v>
      </c>
      <c r="N42" s="8">
        <f>N33-N36-N39</f>
        <v>275045.04588177527</v>
      </c>
    </row>
    <row r="43" spans="2:16" ht="14.4" customHeight="1" x14ac:dyDescent="0.3">
      <c r="B43" s="5" t="s">
        <v>16</v>
      </c>
      <c r="E43" s="11">
        <f t="shared" ref="E43:N43" si="25">E42/E27</f>
        <v>0.41594878872971303</v>
      </c>
      <c r="F43" s="11">
        <f t="shared" si="25"/>
        <v>0.4205527815604983</v>
      </c>
      <c r="G43" s="11">
        <f t="shared" si="25"/>
        <v>0.41772880636104098</v>
      </c>
      <c r="H43" s="11">
        <f t="shared" si="25"/>
        <v>0.44644299573273716</v>
      </c>
      <c r="I43" s="11">
        <f t="shared" si="25"/>
        <v>0.45621956240859851</v>
      </c>
      <c r="J43" s="11">
        <f t="shared" si="25"/>
        <v>0.45100000000000001</v>
      </c>
      <c r="K43" s="11">
        <f t="shared" si="25"/>
        <v>0.46449999999999991</v>
      </c>
      <c r="L43" s="11">
        <f t="shared" si="25"/>
        <v>0.47100000000000003</v>
      </c>
      <c r="M43" s="11">
        <f t="shared" si="25"/>
        <v>0.47499999999999992</v>
      </c>
      <c r="N43" s="11">
        <f t="shared" si="25"/>
        <v>0.47499999999999998</v>
      </c>
    </row>
    <row r="45" spans="2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27229.040617899998</v>
      </c>
      <c r="K45" s="8">
        <f>K42*0.185</f>
        <v>32437.667867068994</v>
      </c>
      <c r="L45" s="8">
        <f>L42*0.19</f>
        <v>39182.961223559214</v>
      </c>
      <c r="M45" s="8">
        <f>M42*0.2</f>
        <v>48042.802774109216</v>
      </c>
      <c r="N45" s="8">
        <f>N42*0.21</f>
        <v>57759.459635172803</v>
      </c>
    </row>
    <row r="46" spans="2:16" ht="14.4" customHeight="1" x14ac:dyDescent="0.3">
      <c r="B46" s="5" t="s">
        <v>15</v>
      </c>
      <c r="E46" s="11">
        <f>E45/E42</f>
        <v>0.14061159105211968</v>
      </c>
      <c r="F46" s="11">
        <f t="shared" ref="F46:I46" si="26">F45/F42</f>
        <v>0.13165753211086192</v>
      </c>
      <c r="G46" s="11">
        <f t="shared" si="26"/>
        <v>0.19147566169244151</v>
      </c>
      <c r="H46" s="11">
        <f t="shared" si="26"/>
        <v>0.17957106174554294</v>
      </c>
      <c r="I46" s="11">
        <f t="shared" si="26"/>
        <v>0.16957394497697001</v>
      </c>
      <c r="J46" s="11">
        <f t="shared" ref="J46" si="27">J45/J42</f>
        <v>0.185</v>
      </c>
      <c r="K46" s="11">
        <f t="shared" ref="K46" si="28">K45/K42</f>
        <v>0.185</v>
      </c>
      <c r="L46" s="11">
        <f t="shared" ref="L46" si="29">L45/L42</f>
        <v>0.19</v>
      </c>
      <c r="M46" s="11">
        <f t="shared" ref="M46" si="30">M45/M42</f>
        <v>0.2</v>
      </c>
      <c r="N46" s="11">
        <f t="shared" ref="N46" si="31">N45/N42</f>
        <v>0.21</v>
      </c>
    </row>
    <row r="48" spans="2:16" ht="14.4" customHeight="1" x14ac:dyDescent="0.3"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2:16" s="24" customFormat="1" ht="1.95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6"/>
      <c r="M49" s="26"/>
      <c r="N49" s="26"/>
      <c r="O49" s="26"/>
      <c r="P49" s="26"/>
    </row>
    <row r="50" spans="2:16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47295.767999999996</v>
      </c>
      <c r="K50" s="8">
        <f>K54*0.472</f>
        <v>54921.447999999997</v>
      </c>
      <c r="L50" s="8">
        <f>L54*0.4785</f>
        <v>59575.226204999999</v>
      </c>
      <c r="M50" s="8">
        <f>M54*0.4785</f>
        <v>57787.96941885</v>
      </c>
      <c r="N50" s="8">
        <f>N54*0.4785</f>
        <v>56632.210030472997</v>
      </c>
    </row>
    <row r="51" spans="2:16" ht="14.4" customHeight="1" x14ac:dyDescent="0.3">
      <c r="B51" s="1" t="s">
        <v>16</v>
      </c>
      <c r="E51" s="11">
        <f t="shared" ref="E51:N51" si="32">E50/E27</f>
        <v>6.9523106943981727E-2</v>
      </c>
      <c r="F51" s="11">
        <f t="shared" si="32"/>
        <v>7.2930851868663937E-2</v>
      </c>
      <c r="G51" s="11">
        <f t="shared" si="32"/>
        <v>6.5408300497841118E-2</v>
      </c>
      <c r="H51" s="11">
        <f t="shared" si="32"/>
        <v>9.0922071458294243E-2</v>
      </c>
      <c r="I51" s="11">
        <f t="shared" si="32"/>
        <v>0.12122857832488534</v>
      </c>
      <c r="J51" s="11">
        <f t="shared" si="32"/>
        <v>0.14492329929853912</v>
      </c>
      <c r="K51" s="11">
        <f t="shared" si="32"/>
        <v>0.14549558092773107</v>
      </c>
      <c r="L51" s="11">
        <f t="shared" si="32"/>
        <v>0.13606391213433588</v>
      </c>
      <c r="M51" s="11">
        <f t="shared" si="32"/>
        <v>0.11427012534225611</v>
      </c>
      <c r="N51" s="11">
        <f t="shared" si="32"/>
        <v>9.7803251384638412E-2</v>
      </c>
    </row>
    <row r="52" spans="2:16" ht="14.4" customHeight="1" x14ac:dyDescent="0.3">
      <c r="B52" s="1" t="s">
        <v>34</v>
      </c>
      <c r="E52" s="11">
        <f>E50/E54</f>
        <v>0.56667636504703711</v>
      </c>
      <c r="F52" s="11">
        <f t="shared" ref="F52:I52" si="33">F50/F54</f>
        <v>0.60537553378548103</v>
      </c>
      <c r="G52" s="11">
        <f t="shared" si="33"/>
        <v>0.49315117230583128</v>
      </c>
      <c r="H52" s="11">
        <f t="shared" si="33"/>
        <v>0.50109045124446339</v>
      </c>
      <c r="I52" s="11">
        <f t="shared" si="33"/>
        <v>0.52908552927142882</v>
      </c>
      <c r="J52" s="11">
        <f t="shared" ref="J52:N52" si="34">J50/J54</f>
        <v>0.48099999999999998</v>
      </c>
      <c r="K52" s="11">
        <f t="shared" si="34"/>
        <v>0.47199999999999998</v>
      </c>
      <c r="L52" s="11">
        <f t="shared" si="34"/>
        <v>0.47849999999999998</v>
      </c>
      <c r="M52" s="11">
        <f t="shared" si="34"/>
        <v>0.47849999999999998</v>
      </c>
      <c r="N52" s="11">
        <f t="shared" si="34"/>
        <v>0.47849999999999998</v>
      </c>
    </row>
    <row r="54" spans="2:16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98328</v>
      </c>
      <c r="K54" s="12">
        <v>116359</v>
      </c>
      <c r="L54" s="8">
        <f>K54*1.07</f>
        <v>124504.13</v>
      </c>
      <c r="M54" s="8">
        <f>L54*0.97</f>
        <v>120769.0061</v>
      </c>
      <c r="N54" s="8">
        <f>M54*0.98</f>
        <v>118353.625978</v>
      </c>
    </row>
    <row r="55" spans="2:16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2:16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-1958.1020399999998</v>
      </c>
      <c r="K57" s="13">
        <f>K27*-0.004</f>
        <v>-1509.9138448000001</v>
      </c>
      <c r="L57" s="13">
        <f>L27*-0.002</f>
        <v>-875.69474183840009</v>
      </c>
      <c r="M57" s="13">
        <f>M27*-0.002</f>
        <v>-1011.427426823352</v>
      </c>
      <c r="N57" s="13">
        <f>N27*0.001</f>
        <v>579.04220185636905</v>
      </c>
    </row>
    <row r="58" spans="2:16" ht="14.4" customHeight="1" x14ac:dyDescent="0.3">
      <c r="B58" s="1" t="s">
        <v>16</v>
      </c>
      <c r="E58" s="14">
        <f t="shared" ref="E58:N58" si="35">E57/E27</f>
        <v>-5.5923087906334778E-3</v>
      </c>
      <c r="F58" s="14">
        <f t="shared" si="35"/>
        <v>2.2696323195642307E-3</v>
      </c>
      <c r="G58" s="14">
        <f t="shared" si="35"/>
        <v>-1.1278106788099002E-2</v>
      </c>
      <c r="H58" s="14">
        <f t="shared" si="35"/>
        <v>7.4248741443036529E-3</v>
      </c>
      <c r="I58" s="14">
        <f t="shared" si="35"/>
        <v>-1.8990217375871421E-2</v>
      </c>
      <c r="J58" s="14">
        <f t="shared" si="35"/>
        <v>-6.0000000000000001E-3</v>
      </c>
      <c r="K58" s="14">
        <f t="shared" si="35"/>
        <v>-4.0000000000000001E-3</v>
      </c>
      <c r="L58" s="14">
        <f t="shared" si="35"/>
        <v>-2E-3</v>
      </c>
      <c r="M58" s="14">
        <f t="shared" si="35"/>
        <v>-2E-3</v>
      </c>
      <c r="N58" s="14">
        <f t="shared" si="35"/>
        <v>1E-3</v>
      </c>
    </row>
    <row r="59" spans="2:16" ht="14.4" customHeight="1" x14ac:dyDescent="0.3">
      <c r="B59" s="1" t="s">
        <v>21</v>
      </c>
      <c r="E59" s="14">
        <f t="shared" ref="E59:N59" si="36">E57/(E27-D27)</f>
        <v>-5.5923087906334778E-3</v>
      </c>
      <c r="F59" s="14">
        <f t="shared" si="36"/>
        <v>1.4909548737658207E-2</v>
      </c>
      <c r="G59" s="14">
        <f t="shared" si="36"/>
        <v>-0.17515573470135581</v>
      </c>
      <c r="H59" s="14">
        <f t="shared" si="36"/>
        <v>5.4807721263589002E-2</v>
      </c>
      <c r="I59" s="14">
        <f t="shared" si="36"/>
        <v>-0.14616687612698759</v>
      </c>
      <c r="J59" s="14">
        <f t="shared" si="36"/>
        <v>-4.387771975026411E-2</v>
      </c>
      <c r="K59" s="14">
        <f t="shared" si="36"/>
        <v>-2.9531964198207201E-2</v>
      </c>
      <c r="L59" s="14">
        <f t="shared" si="36"/>
        <v>-1.4505723987920396E-2</v>
      </c>
      <c r="M59" s="14">
        <f t="shared" si="36"/>
        <v>-1.4903225806451615E-2</v>
      </c>
      <c r="N59" s="14">
        <f t="shared" si="36"/>
        <v>7.8965517241379301E-3</v>
      </c>
    </row>
    <row r="61" spans="2:16" ht="14.4" customHeight="1" x14ac:dyDescent="0.3"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2:16" ht="14.4" customHeight="1" x14ac:dyDescent="0.3">
      <c r="B62" s="1" t="s">
        <v>11</v>
      </c>
      <c r="E62" s="8">
        <f t="shared" ref="E62:N62" si="37">E27</f>
        <v>168088</v>
      </c>
      <c r="F62" s="8">
        <f t="shared" si="37"/>
        <v>198270</v>
      </c>
      <c r="G62" s="8">
        <f t="shared" si="37"/>
        <v>211915</v>
      </c>
      <c r="H62" s="8">
        <f t="shared" si="37"/>
        <v>245122</v>
      </c>
      <c r="I62" s="8">
        <f t="shared" si="37"/>
        <v>281724</v>
      </c>
      <c r="J62" s="8">
        <f t="shared" si="37"/>
        <v>326350.33999999997</v>
      </c>
      <c r="K62" s="8">
        <f t="shared" si="37"/>
        <v>377478.46120000002</v>
      </c>
      <c r="L62" s="8">
        <f t="shared" si="37"/>
        <v>437847.37091920001</v>
      </c>
      <c r="M62" s="8">
        <f t="shared" si="37"/>
        <v>505713.713411676</v>
      </c>
      <c r="N62" s="8">
        <f t="shared" si="37"/>
        <v>579042.20185636904</v>
      </c>
    </row>
    <row r="63" spans="2:16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38">(F62-E62)/E62</f>
        <v>0.17956070629670173</v>
      </c>
      <c r="G63" s="11">
        <f t="shared" si="38"/>
        <v>6.8820295556564284E-2</v>
      </c>
      <c r="H63" s="11">
        <f t="shared" si="38"/>
        <v>0.15669962013071279</v>
      </c>
      <c r="I63" s="11">
        <f t="shared" si="38"/>
        <v>0.14932156232406721</v>
      </c>
      <c r="J63" s="11">
        <f t="shared" si="38"/>
        <v>0.15840446678309256</v>
      </c>
      <c r="K63" s="11">
        <f t="shared" si="38"/>
        <v>0.15666636412880727</v>
      </c>
      <c r="L63" s="11">
        <f t="shared" si="38"/>
        <v>0.15992676648963722</v>
      </c>
      <c r="M63" s="11">
        <f t="shared" si="38"/>
        <v>0.15499999999999997</v>
      </c>
      <c r="N63" s="11">
        <f t="shared" si="38"/>
        <v>0.14500000000000005</v>
      </c>
    </row>
    <row r="64" spans="2:16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39">E42</f>
        <v>69916</v>
      </c>
      <c r="F65" s="8">
        <f t="shared" si="39"/>
        <v>83383</v>
      </c>
      <c r="G65" s="8">
        <f t="shared" si="39"/>
        <v>88523</v>
      </c>
      <c r="H65" s="8">
        <f t="shared" si="39"/>
        <v>109433</v>
      </c>
      <c r="I65" s="8">
        <f t="shared" si="39"/>
        <v>128528</v>
      </c>
      <c r="J65" s="8">
        <f>J42</f>
        <v>147184.00334</v>
      </c>
      <c r="K65" s="8">
        <f t="shared" si="39"/>
        <v>175338.74522739998</v>
      </c>
      <c r="L65" s="8">
        <f t="shared" si="39"/>
        <v>206226.11170294322</v>
      </c>
      <c r="M65" s="8">
        <f t="shared" si="39"/>
        <v>240214.01387054607</v>
      </c>
      <c r="N65" s="8">
        <f t="shared" si="39"/>
        <v>275045.04588177527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40">E65/E62</f>
        <v>0.41594878872971303</v>
      </c>
      <c r="F66" s="11">
        <f t="shared" si="40"/>
        <v>0.4205527815604983</v>
      </c>
      <c r="G66" s="11">
        <f t="shared" si="40"/>
        <v>0.41772880636104098</v>
      </c>
      <c r="H66" s="11">
        <f t="shared" si="40"/>
        <v>0.44644299573273716</v>
      </c>
      <c r="I66" s="11">
        <f t="shared" si="40"/>
        <v>0.45621956240859851</v>
      </c>
      <c r="J66" s="11">
        <f t="shared" si="40"/>
        <v>0.45100000000000001</v>
      </c>
      <c r="K66" s="11">
        <f t="shared" si="40"/>
        <v>0.46449999999999991</v>
      </c>
      <c r="L66" s="11">
        <f t="shared" si="40"/>
        <v>0.47100000000000003</v>
      </c>
      <c r="M66" s="11">
        <f t="shared" si="40"/>
        <v>0.47499999999999992</v>
      </c>
      <c r="N66" s="11">
        <f t="shared" si="40"/>
        <v>0.47499999999999998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1">E45</f>
        <v>9831</v>
      </c>
      <c r="F68" s="8">
        <f t="shared" si="41"/>
        <v>10978</v>
      </c>
      <c r="G68" s="8">
        <f t="shared" si="41"/>
        <v>16950</v>
      </c>
      <c r="H68" s="8">
        <f t="shared" si="41"/>
        <v>19651</v>
      </c>
      <c r="I68" s="8">
        <f t="shared" si="41"/>
        <v>21795</v>
      </c>
      <c r="J68" s="8">
        <f t="shared" si="41"/>
        <v>27229.040617899998</v>
      </c>
      <c r="K68" s="8">
        <f t="shared" si="41"/>
        <v>32437.667867068994</v>
      </c>
      <c r="L68" s="8">
        <f t="shared" si="41"/>
        <v>39182.961223559214</v>
      </c>
      <c r="M68" s="8">
        <f t="shared" si="41"/>
        <v>48042.802774109216</v>
      </c>
      <c r="N68" s="8">
        <f t="shared" si="41"/>
        <v>57759.459635172803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2">E68/E65</f>
        <v>0.14061159105211968</v>
      </c>
      <c r="F69" s="11">
        <f t="shared" si="42"/>
        <v>0.13165753211086192</v>
      </c>
      <c r="G69" s="11">
        <f t="shared" si="42"/>
        <v>0.19147566169244151</v>
      </c>
      <c r="H69" s="11">
        <f t="shared" si="42"/>
        <v>0.17957106174554294</v>
      </c>
      <c r="I69" s="11">
        <f t="shared" si="42"/>
        <v>0.16957394497697001</v>
      </c>
      <c r="J69" s="11">
        <f t="shared" si="42"/>
        <v>0.185</v>
      </c>
      <c r="K69" s="11">
        <f t="shared" si="42"/>
        <v>0.185</v>
      </c>
      <c r="L69" s="11">
        <f t="shared" si="42"/>
        <v>0.19</v>
      </c>
      <c r="M69" s="11">
        <f t="shared" si="42"/>
        <v>0.2</v>
      </c>
      <c r="N69" s="11">
        <f t="shared" si="42"/>
        <v>0.21</v>
      </c>
    </row>
    <row r="71" spans="2:14" ht="14.4" customHeight="1" x14ac:dyDescent="0.3">
      <c r="B71" s="1" t="s">
        <v>23</v>
      </c>
      <c r="E71" s="8">
        <f t="shared" ref="E71:N71" si="43">E65-E68</f>
        <v>60085</v>
      </c>
      <c r="F71" s="8">
        <f t="shared" si="43"/>
        <v>72405</v>
      </c>
      <c r="G71" s="8">
        <f t="shared" si="43"/>
        <v>71573</v>
      </c>
      <c r="H71" s="8">
        <f t="shared" si="43"/>
        <v>89782</v>
      </c>
      <c r="I71" s="8">
        <f t="shared" si="43"/>
        <v>106733</v>
      </c>
      <c r="J71" s="8">
        <f t="shared" si="43"/>
        <v>119954.9627221</v>
      </c>
      <c r="K71" s="8">
        <f t="shared" si="43"/>
        <v>142901.07736033099</v>
      </c>
      <c r="L71" s="8">
        <f t="shared" si="43"/>
        <v>167043.150479384</v>
      </c>
      <c r="M71" s="8">
        <f t="shared" si="43"/>
        <v>192171.21109643686</v>
      </c>
      <c r="N71" s="8">
        <f t="shared" si="43"/>
        <v>217285.58624660247</v>
      </c>
    </row>
    <row r="73" spans="2:14" ht="14.4" customHeight="1" x14ac:dyDescent="0.3">
      <c r="B73" s="1" t="s">
        <v>18</v>
      </c>
      <c r="E73" s="8">
        <f t="shared" ref="E73:N73" si="44">E50</f>
        <v>11686</v>
      </c>
      <c r="F73" s="8">
        <f t="shared" si="44"/>
        <v>14460</v>
      </c>
      <c r="G73" s="8">
        <f t="shared" si="44"/>
        <v>13861</v>
      </c>
      <c r="H73" s="8">
        <f t="shared" si="44"/>
        <v>22287</v>
      </c>
      <c r="I73" s="8">
        <f t="shared" si="44"/>
        <v>34153</v>
      </c>
      <c r="J73" s="8">
        <f t="shared" si="44"/>
        <v>47295.767999999996</v>
      </c>
      <c r="K73" s="8">
        <f t="shared" si="44"/>
        <v>54921.447999999997</v>
      </c>
      <c r="L73" s="8">
        <f t="shared" si="44"/>
        <v>59575.226204999999</v>
      </c>
      <c r="M73" s="8">
        <f t="shared" si="44"/>
        <v>57787.96941885</v>
      </c>
      <c r="N73" s="8">
        <f t="shared" si="44"/>
        <v>56632.210030472997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5">E73/E62</f>
        <v>6.9523106943981727E-2</v>
      </c>
      <c r="F74" s="11">
        <f t="shared" si="45"/>
        <v>7.2930851868663937E-2</v>
      </c>
      <c r="G74" s="11">
        <f t="shared" si="45"/>
        <v>6.5408300497841118E-2</v>
      </c>
      <c r="H74" s="11">
        <f t="shared" si="45"/>
        <v>9.0922071458294243E-2</v>
      </c>
      <c r="I74" s="11">
        <f t="shared" si="45"/>
        <v>0.12122857832488534</v>
      </c>
      <c r="J74" s="11">
        <f t="shared" si="45"/>
        <v>0.14492329929853912</v>
      </c>
      <c r="K74" s="11">
        <f t="shared" si="45"/>
        <v>0.14549558092773107</v>
      </c>
      <c r="L74" s="11">
        <f t="shared" si="45"/>
        <v>0.13606391213433588</v>
      </c>
      <c r="M74" s="11">
        <f t="shared" si="45"/>
        <v>0.11427012534225611</v>
      </c>
      <c r="N74" s="11">
        <f t="shared" si="45"/>
        <v>9.7803251384638412E-2</v>
      </c>
    </row>
    <row r="76" spans="2:14" ht="14.4" customHeight="1" x14ac:dyDescent="0.3">
      <c r="B76" s="1" t="s">
        <v>19</v>
      </c>
      <c r="E76" s="8">
        <f t="shared" ref="E76:N76" si="46">E54</f>
        <v>20622</v>
      </c>
      <c r="F76" s="8">
        <f t="shared" si="46"/>
        <v>23886</v>
      </c>
      <c r="G76" s="8">
        <f t="shared" si="46"/>
        <v>28107</v>
      </c>
      <c r="H76" s="8">
        <f t="shared" si="46"/>
        <v>44477</v>
      </c>
      <c r="I76" s="8">
        <f t="shared" si="46"/>
        <v>64551</v>
      </c>
      <c r="J76" s="8">
        <f t="shared" si="46"/>
        <v>98328</v>
      </c>
      <c r="K76" s="8">
        <f t="shared" si="46"/>
        <v>116359</v>
      </c>
      <c r="L76" s="8">
        <f t="shared" si="46"/>
        <v>124504.13</v>
      </c>
      <c r="M76" s="8">
        <f t="shared" si="46"/>
        <v>120769.0061</v>
      </c>
      <c r="N76" s="8">
        <f t="shared" si="46"/>
        <v>118353.625978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47">E76/E62</f>
        <v>0.12268573604302509</v>
      </c>
      <c r="F77" s="11">
        <f t="shared" si="47"/>
        <v>0.12047208352246935</v>
      </c>
      <c r="G77" s="11">
        <f t="shared" si="47"/>
        <v>0.13263336715192411</v>
      </c>
      <c r="H77" s="11">
        <f t="shared" si="47"/>
        <v>0.18144842160230415</v>
      </c>
      <c r="I77" s="11">
        <f t="shared" si="47"/>
        <v>0.22912850875324786</v>
      </c>
      <c r="J77" s="11">
        <f t="shared" si="47"/>
        <v>0.30129584053750336</v>
      </c>
      <c r="K77" s="11">
        <f t="shared" si="47"/>
        <v>0.30825334942315907</v>
      </c>
      <c r="L77" s="11">
        <f t="shared" si="47"/>
        <v>0.28435509327969882</v>
      </c>
      <c r="M77" s="11">
        <f t="shared" si="47"/>
        <v>0.23880903937775572</v>
      </c>
      <c r="N77" s="11">
        <f t="shared" si="47"/>
        <v>0.2043955096857647</v>
      </c>
    </row>
    <row r="79" spans="2:14" ht="14.4" customHeight="1" x14ac:dyDescent="0.3">
      <c r="B79" s="1" t="s">
        <v>20</v>
      </c>
      <c r="E79" s="13">
        <f t="shared" ref="E79:N79" si="48">E57</f>
        <v>-940</v>
      </c>
      <c r="F79" s="13">
        <f t="shared" si="48"/>
        <v>450</v>
      </c>
      <c r="G79" s="13">
        <f t="shared" si="48"/>
        <v>-2390</v>
      </c>
      <c r="H79" s="13">
        <f t="shared" si="48"/>
        <v>1820</v>
      </c>
      <c r="I79" s="13">
        <f t="shared" si="48"/>
        <v>-5350</v>
      </c>
      <c r="J79" s="13">
        <f t="shared" si="48"/>
        <v>-1958.1020399999998</v>
      </c>
      <c r="K79" s="13">
        <f t="shared" si="48"/>
        <v>-1509.9138448000001</v>
      </c>
      <c r="L79" s="13">
        <f t="shared" si="48"/>
        <v>-875.69474183840009</v>
      </c>
      <c r="M79" s="13">
        <f t="shared" si="48"/>
        <v>-1011.427426823352</v>
      </c>
      <c r="N79" s="13">
        <f t="shared" si="48"/>
        <v>579.04220185636905</v>
      </c>
    </row>
    <row r="80" spans="2:14" ht="14.4" customHeight="1" x14ac:dyDescent="0.3">
      <c r="B80" s="5" t="s">
        <v>16</v>
      </c>
      <c r="C80" s="5"/>
      <c r="D80" s="5"/>
      <c r="E80" s="11">
        <f t="shared" ref="E80:N80" si="49">E79/E62</f>
        <v>-5.5923087906334778E-3</v>
      </c>
      <c r="F80" s="11">
        <f t="shared" si="49"/>
        <v>2.2696323195642307E-3</v>
      </c>
      <c r="G80" s="11">
        <f t="shared" si="49"/>
        <v>-1.1278106788099002E-2</v>
      </c>
      <c r="H80" s="11">
        <f t="shared" si="49"/>
        <v>7.4248741443036529E-3</v>
      </c>
      <c r="I80" s="11">
        <f t="shared" si="49"/>
        <v>-1.8990217375871421E-2</v>
      </c>
      <c r="J80" s="11">
        <f t="shared" si="49"/>
        <v>-6.0000000000000001E-3</v>
      </c>
      <c r="K80" s="11">
        <f t="shared" si="49"/>
        <v>-4.0000000000000001E-3</v>
      </c>
      <c r="L80" s="11">
        <f t="shared" si="49"/>
        <v>-2E-3</v>
      </c>
      <c r="M80" s="11">
        <f t="shared" si="49"/>
        <v>-2E-3</v>
      </c>
      <c r="N80" s="11">
        <f t="shared" si="49"/>
        <v>1E-3</v>
      </c>
    </row>
    <row r="81" spans="2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2:14" ht="14.4" customHeight="1" x14ac:dyDescent="0.3">
      <c r="B82" s="1" t="s">
        <v>109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12401.312919999998</v>
      </c>
      <c r="K82" s="13">
        <f>K62*0.038</f>
        <v>14344.181525600001</v>
      </c>
      <c r="L82" s="13">
        <f>L62*0.038</f>
        <v>16638.200094929602</v>
      </c>
      <c r="M82" s="13">
        <f>M62*0.038</f>
        <v>19217.121109643689</v>
      </c>
      <c r="N82" s="13">
        <f>N62*0.038</f>
        <v>22003.603670542023</v>
      </c>
    </row>
    <row r="83" spans="2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50">F82/F62</f>
        <v>3.7837292580824126E-2</v>
      </c>
      <c r="G83" s="11">
        <f t="shared" si="50"/>
        <v>4.5353089682183892E-2</v>
      </c>
      <c r="H83" s="11">
        <f t="shared" si="50"/>
        <v>4.3790439046678793E-2</v>
      </c>
      <c r="I83" s="11">
        <f t="shared" si="50"/>
        <v>4.2502591188539135E-2</v>
      </c>
      <c r="J83" s="11">
        <f t="shared" ref="J83" si="51">J82/J62</f>
        <v>3.7999999999999999E-2</v>
      </c>
      <c r="K83" s="11">
        <f t="shared" ref="K83" si="52">K82/K62</f>
        <v>3.7999999999999999E-2</v>
      </c>
      <c r="L83" s="11">
        <f t="shared" ref="L83" si="53">L82/L62</f>
        <v>3.8000000000000006E-2</v>
      </c>
      <c r="M83" s="11">
        <f t="shared" ref="M83" si="54">M82/M62</f>
        <v>3.7999999999999999E-2</v>
      </c>
      <c r="N83" s="11">
        <f t="shared" ref="N83" si="55">N82/N62</f>
        <v>3.7999999999999999E-2</v>
      </c>
    </row>
    <row r="85" spans="2:14" ht="14.4" customHeight="1" x14ac:dyDescent="0.3">
      <c r="B85" s="1" t="s">
        <v>24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J71+J73-J76-(J79)+J82</f>
        <v>83282.145682100003</v>
      </c>
      <c r="K85" s="8">
        <f t="shared" ref="K85:N85" si="56">K71+K73-K76-(K79)+K82</f>
        <v>97317.620730730996</v>
      </c>
      <c r="L85" s="8">
        <f t="shared" si="56"/>
        <v>119628.14152115201</v>
      </c>
      <c r="M85" s="8">
        <f t="shared" si="56"/>
        <v>149418.72295175391</v>
      </c>
      <c r="N85" s="8">
        <f t="shared" si="56"/>
        <v>176988.73176776114</v>
      </c>
    </row>
    <row r="86" spans="2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57">F85/F62</f>
        <v>0.32859232359913249</v>
      </c>
      <c r="G86" s="11">
        <f t="shared" si="57"/>
        <v>0.28067857395653917</v>
      </c>
      <c r="H86" s="11">
        <f t="shared" si="57"/>
        <v>0.30217605926844593</v>
      </c>
      <c r="I86" s="11">
        <f t="shared" si="57"/>
        <v>0.25418494696937427</v>
      </c>
      <c r="J86" s="11">
        <f t="shared" si="57"/>
        <v>0.2551924587610358</v>
      </c>
      <c r="K86" s="11">
        <f t="shared" si="57"/>
        <v>0.25780973150457198</v>
      </c>
      <c r="L86" s="11">
        <f t="shared" si="57"/>
        <v>0.27321881885463711</v>
      </c>
      <c r="M86" s="11">
        <f t="shared" si="57"/>
        <v>0.29546108596450038</v>
      </c>
      <c r="N86" s="11">
        <f t="shared" si="57"/>
        <v>0.30565774169887372</v>
      </c>
    </row>
    <row r="88" spans="2:14" ht="14.4" customHeight="1" x14ac:dyDescent="0.3">
      <c r="B88" s="1" t="s">
        <v>25</v>
      </c>
      <c r="J88" s="8">
        <f>J85/(1+$U$7)^0.5</f>
        <v>79757.841663539817</v>
      </c>
      <c r="K88" s="8">
        <f>K85/(1+$U$7)^1.5</f>
        <v>85478.313327212323</v>
      </c>
      <c r="L88" s="8">
        <f>L85/(1+$U$7)^2.5</f>
        <v>96369.763145052348</v>
      </c>
      <c r="M88" s="8">
        <f>M85/(1+$U$7)^3.5</f>
        <v>110396.53191838357</v>
      </c>
      <c r="N88" s="8">
        <f>N85/(1+$U$7)^4.5</f>
        <v>119933.08406776287</v>
      </c>
    </row>
    <row r="90" spans="2:14" ht="14.4" customHeight="1" x14ac:dyDescent="0.3">
      <c r="H90" s="29"/>
      <c r="J90" s="8"/>
      <c r="K90" s="8"/>
    </row>
    <row r="96" spans="2:14" ht="14.4" customHeight="1" x14ac:dyDescent="0.3">
      <c r="J96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10" zoomScaleNormal="110" zoomScaleSheetLayoutView="100" workbookViewId="0">
      <selection activeCell="K22" sqref="K22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87</v>
      </c>
      <c r="C2" s="1" t="s">
        <v>88</v>
      </c>
    </row>
    <row r="4" spans="1:20" ht="14.4" customHeight="1" x14ac:dyDescent="0.3"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S4" s="12"/>
    </row>
    <row r="5" spans="1:20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1:20" ht="14.4" customHeight="1" x14ac:dyDescent="0.3">
      <c r="A6" s="1" t="s">
        <v>73</v>
      </c>
      <c r="B6" s="4" t="s">
        <v>71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12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3" t="s">
        <v>74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3" t="s">
        <v>76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3" t="s">
        <v>77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3" t="s">
        <v>78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73</v>
      </c>
      <c r="B13" s="4" t="s">
        <v>70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12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3" t="s">
        <v>79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3" t="s">
        <v>80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81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73</v>
      </c>
      <c r="B19" s="5" t="s">
        <v>12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3" t="s">
        <v>82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3" t="s">
        <v>83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3" t="s">
        <v>84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3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97</v>
      </c>
      <c r="C24" s="4"/>
      <c r="D24" s="4"/>
      <c r="E24" s="4"/>
      <c r="F24" s="4"/>
      <c r="G24" s="28">
        <f>G18+G13+G6</f>
        <v>168088</v>
      </c>
      <c r="H24" s="28">
        <f t="shared" ref="H24:N24" si="4">H18+H13+H6</f>
        <v>198270</v>
      </c>
      <c r="I24" s="28">
        <f t="shared" si="4"/>
        <v>211915</v>
      </c>
      <c r="J24" s="28">
        <f t="shared" si="4"/>
        <v>245122</v>
      </c>
      <c r="K24" s="28">
        <f t="shared" si="4"/>
        <v>281724</v>
      </c>
      <c r="L24" s="28">
        <f t="shared" si="4"/>
        <v>326350.33999999997</v>
      </c>
      <c r="M24" s="28">
        <f t="shared" si="4"/>
        <v>377478.46120000002</v>
      </c>
      <c r="N24" s="28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85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6</v>
      </c>
      <c r="M26" s="3" t="s">
        <v>7</v>
      </c>
      <c r="N26" s="3" t="s">
        <v>8</v>
      </c>
      <c r="O26" s="3" t="s">
        <v>9</v>
      </c>
      <c r="P26" s="3" t="s">
        <v>10</v>
      </c>
    </row>
    <row r="27" spans="1:16" s="24" customFormat="1" ht="1.95" customHeight="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6"/>
      <c r="M27" s="26"/>
      <c r="N27" s="26"/>
      <c r="O27" s="26"/>
      <c r="P27" s="26"/>
    </row>
    <row r="28" spans="1:16" ht="14.4" customHeight="1" x14ac:dyDescent="0.3">
      <c r="B28" s="1" t="s">
        <v>71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86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70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86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81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86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98</v>
      </c>
      <c r="C37" s="4"/>
      <c r="D37" s="4"/>
      <c r="E37" s="4"/>
      <c r="F37" s="4"/>
      <c r="G37" s="28">
        <f>G28+G31+G34</f>
        <v>69916</v>
      </c>
      <c r="H37" s="28">
        <f t="shared" ref="H37:N37" si="8">H28+H31+H34</f>
        <v>83383</v>
      </c>
      <c r="I37" s="28">
        <f t="shared" si="8"/>
        <v>88523</v>
      </c>
      <c r="J37" s="28">
        <f t="shared" si="8"/>
        <v>109433</v>
      </c>
      <c r="K37" s="28">
        <f t="shared" si="8"/>
        <v>128528</v>
      </c>
      <c r="L37" s="28">
        <f t="shared" si="8"/>
        <v>151753.04890199998</v>
      </c>
      <c r="M37" s="28">
        <f t="shared" si="8"/>
        <v>175527.9084556</v>
      </c>
      <c r="N37" s="28">
        <f t="shared" si="8"/>
        <v>207995.62973638801</v>
      </c>
      <c r="O37" s="4"/>
      <c r="P37" s="4"/>
    </row>
    <row r="39" spans="2:16" ht="14.4" customHeight="1" x14ac:dyDescent="0.3">
      <c r="B39" s="2" t="s">
        <v>91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6</v>
      </c>
      <c r="M39" s="3" t="s">
        <v>7</v>
      </c>
      <c r="N39" s="3" t="s">
        <v>8</v>
      </c>
      <c r="O39" s="3" t="s">
        <v>9</v>
      </c>
      <c r="P39" s="3" t="s">
        <v>10</v>
      </c>
    </row>
    <row r="40" spans="2:16" s="24" customFormat="1" ht="1.95" customHeight="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6"/>
      <c r="M40" s="26"/>
      <c r="N40" s="26"/>
      <c r="O40" s="26"/>
      <c r="P40" s="26"/>
    </row>
    <row r="41" spans="2:16" ht="14.4" customHeight="1" x14ac:dyDescent="0.3">
      <c r="B41" s="1" t="s">
        <v>89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12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90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12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69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6</v>
      </c>
      <c r="M46" s="3" t="s">
        <v>7</v>
      </c>
      <c r="N46" s="3" t="s">
        <v>8</v>
      </c>
      <c r="O46" s="3" t="s">
        <v>9</v>
      </c>
      <c r="P46" s="3" t="s">
        <v>10</v>
      </c>
    </row>
    <row r="47" spans="2:16" s="24" customFormat="1" ht="1.95" customHeight="1" x14ac:dyDescent="0.3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6"/>
      <c r="M47" s="26"/>
      <c r="N47" s="26"/>
      <c r="O47" s="26"/>
      <c r="P47" s="26"/>
    </row>
    <row r="48" spans="2:16" ht="14.4" customHeight="1" x14ac:dyDescent="0.3">
      <c r="B48" s="1" t="s">
        <v>92</v>
      </c>
      <c r="C48" s="25"/>
      <c r="D48" s="25"/>
      <c r="E48" s="25"/>
      <c r="F48" s="25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6">
        <v>333705</v>
      </c>
      <c r="M48" s="26" t="s">
        <v>75</v>
      </c>
      <c r="N48" s="26" t="s">
        <v>75</v>
      </c>
      <c r="O48" s="26"/>
      <c r="P48" s="26"/>
    </row>
    <row r="49" spans="2:16" ht="14.4" customHeight="1" x14ac:dyDescent="0.3">
      <c r="B49" s="1" t="s">
        <v>96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93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94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95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214</v>
      </c>
      <c r="L53" s="8">
        <f>Main!J27*L55</f>
        <v>246916.66724399998</v>
      </c>
      <c r="M53" s="8">
        <f>Main!K27*M55</f>
        <v>288318.04866456002</v>
      </c>
      <c r="N53" s="8">
        <f>Main!L27*N55</f>
        <v>336441.9198143133</v>
      </c>
    </row>
    <row r="54" spans="2:16" ht="14.4" customHeight="1" x14ac:dyDescent="0.3">
      <c r="B54" s="1" t="s">
        <v>215</v>
      </c>
      <c r="L54" s="8">
        <f>Main!J27-L53</f>
        <v>79433.672755999985</v>
      </c>
      <c r="M54" s="8">
        <f>Main!K27-M53</f>
        <v>89160.412535440002</v>
      </c>
      <c r="N54" s="8">
        <f>Main!L27-N53</f>
        <v>101405.45110488671</v>
      </c>
    </row>
    <row r="55" spans="2:16" ht="14.4" customHeight="1" x14ac:dyDescent="0.3">
      <c r="B55" s="5" t="s">
        <v>216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244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zoomScaleNormal="100" workbookViewId="0">
      <selection activeCell="B1" sqref="B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108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304</v>
      </c>
      <c r="Q2" s="2"/>
      <c r="R2" s="2" t="s">
        <v>217</v>
      </c>
      <c r="S2" s="2" t="s">
        <v>218</v>
      </c>
      <c r="T2" s="2" t="s">
        <v>219</v>
      </c>
      <c r="U2" s="2" t="s">
        <v>220</v>
      </c>
      <c r="V2" s="2" t="s">
        <v>221</v>
      </c>
      <c r="W2" s="2" t="s">
        <v>222</v>
      </c>
      <c r="X2" s="2" t="s">
        <v>223</v>
      </c>
      <c r="Y2" s="2" t="s">
        <v>224</v>
      </c>
      <c r="Z2" s="2" t="s">
        <v>225</v>
      </c>
      <c r="AA2" s="2" t="s">
        <v>226</v>
      </c>
      <c r="AB2" s="2" t="s">
        <v>227</v>
      </c>
      <c r="AC2" s="2" t="s">
        <v>228</v>
      </c>
      <c r="AD2" s="2" t="s">
        <v>229</v>
      </c>
      <c r="AE2" s="2" t="s">
        <v>230</v>
      </c>
      <c r="AF2" s="2" t="s">
        <v>231</v>
      </c>
      <c r="AG2" s="2" t="s">
        <v>232</v>
      </c>
      <c r="AH2" s="2" t="s">
        <v>233</v>
      </c>
      <c r="AI2" s="2" t="s">
        <v>234</v>
      </c>
      <c r="AJ2" s="2" t="s">
        <v>235</v>
      </c>
      <c r="AK2" s="2" t="s">
        <v>236</v>
      </c>
    </row>
    <row r="3" spans="2:37" ht="15.6" x14ac:dyDescent="0.3">
      <c r="B3" s="1" t="s">
        <v>24</v>
      </c>
      <c r="E3" s="13">
        <v>56118</v>
      </c>
      <c r="F3" s="13">
        <v>65149</v>
      </c>
      <c r="G3" s="13">
        <v>59475</v>
      </c>
      <c r="H3" s="13">
        <v>74071</v>
      </c>
      <c r="I3" s="13">
        <v>71611</v>
      </c>
      <c r="J3" s="13">
        <v>75264.926682000005</v>
      </c>
      <c r="K3" s="13">
        <v>82894.543678069982</v>
      </c>
      <c r="L3" s="13">
        <v>104408.56690800063</v>
      </c>
      <c r="M3" s="13">
        <v>150978.8510565102</v>
      </c>
      <c r="N3" s="13">
        <v>178723.13532467111</v>
      </c>
      <c r="P3" s="1" t="s">
        <v>237</v>
      </c>
      <c r="Q3" s="40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7">
        <f>Main!E54</f>
        <v>20622</v>
      </c>
      <c r="F4" s="27">
        <f>Main!F54</f>
        <v>23886</v>
      </c>
      <c r="G4" s="27">
        <f>Main!G54</f>
        <v>28107</v>
      </c>
      <c r="H4" s="27">
        <f>Main!H54</f>
        <v>44477</v>
      </c>
      <c r="I4" s="27">
        <f>Main!I54</f>
        <v>64551</v>
      </c>
      <c r="J4" s="27">
        <f>Main!J54</f>
        <v>98328</v>
      </c>
      <c r="K4" s="27">
        <f>Main!K54</f>
        <v>116359</v>
      </c>
      <c r="L4" s="27">
        <f>Main!L54</f>
        <v>124504.13</v>
      </c>
      <c r="M4" s="27">
        <f>Main!M54</f>
        <v>120769.0061</v>
      </c>
      <c r="N4" s="27">
        <f>Main!N54</f>
        <v>118353.625978</v>
      </c>
      <c r="P4" s="1" t="s">
        <v>238</v>
      </c>
      <c r="Q4" s="40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100</v>
      </c>
      <c r="E5" s="13">
        <f t="shared" ref="E5:N5" si="0">E3+E4</f>
        <v>76740</v>
      </c>
      <c r="F5" s="13">
        <f t="shared" si="0"/>
        <v>89035</v>
      </c>
      <c r="G5" s="13">
        <f t="shared" si="0"/>
        <v>87582</v>
      </c>
      <c r="H5" s="13">
        <f t="shared" si="0"/>
        <v>118548</v>
      </c>
      <c r="I5" s="13">
        <f t="shared" si="0"/>
        <v>136162</v>
      </c>
      <c r="J5" s="13">
        <f t="shared" si="0"/>
        <v>173592.92668199999</v>
      </c>
      <c r="K5" s="13">
        <f t="shared" si="0"/>
        <v>199253.54367806998</v>
      </c>
      <c r="L5" s="13">
        <f t="shared" si="0"/>
        <v>228912.69690800062</v>
      </c>
      <c r="M5" s="13">
        <f t="shared" si="0"/>
        <v>271747.85715651023</v>
      </c>
      <c r="N5" s="13">
        <f t="shared" si="0"/>
        <v>297076.7613026711</v>
      </c>
      <c r="P5" s="5" t="s">
        <v>239</v>
      </c>
      <c r="Q5" s="43"/>
      <c r="R5" s="41">
        <f t="shared" ref="R5:AJ5" si="1">R3/R4-1</f>
        <v>9.4706113512603052E-2</v>
      </c>
      <c r="S5" s="41">
        <f t="shared" si="1"/>
        <v>0.13137506386794717</v>
      </c>
      <c r="T5" s="41">
        <f t="shared" si="1"/>
        <v>9.299089495250068E-2</v>
      </c>
      <c r="U5" s="41">
        <f t="shared" si="1"/>
        <v>6.944492358643517E-2</v>
      </c>
      <c r="V5" s="41">
        <f t="shared" si="1"/>
        <v>1.4259019823738228E-2</v>
      </c>
      <c r="W5" s="41">
        <f t="shared" si="1"/>
        <v>-2.7152479670540686E-2</v>
      </c>
      <c r="X5" s="41">
        <f t="shared" si="1"/>
        <v>1.9704155619871599E-2</v>
      </c>
      <c r="Y5" s="41">
        <f t="shared" si="1"/>
        <v>1.1633788568538028E-2</v>
      </c>
      <c r="Z5" s="41">
        <f t="shared" si="1"/>
        <v>9.4189629761957994E-2</v>
      </c>
      <c r="AA5" s="41">
        <f t="shared" si="1"/>
        <v>5.4641402320211085E-2</v>
      </c>
      <c r="AB5" s="41">
        <f t="shared" si="1"/>
        <v>0.1265971115406499</v>
      </c>
      <c r="AC5" s="41">
        <f t="shared" si="1"/>
        <v>5.7257913196599564E-2</v>
      </c>
      <c r="AD5" s="41">
        <f t="shared" si="1"/>
        <v>4.0840602696272876E-2</v>
      </c>
      <c r="AE5" s="41">
        <f t="shared" si="1"/>
        <v>4.2553191489362874E-3</v>
      </c>
      <c r="AF5" s="41">
        <f t="shared" si="1"/>
        <v>6.4097355234391529E-2</v>
      </c>
      <c r="AG5" s="41">
        <f t="shared" si="1"/>
        <v>3.5425662528169699E-2</v>
      </c>
      <c r="AH5" s="41">
        <f t="shared" si="1"/>
        <v>7.3793843995754393E-2</v>
      </c>
      <c r="AI5" s="41">
        <f t="shared" si="1"/>
        <v>8.1574416764699897E-2</v>
      </c>
      <c r="AJ5" s="41">
        <f t="shared" si="1"/>
        <v>0.12486245628561154</v>
      </c>
    </row>
    <row r="6" spans="2:37" ht="15.6" x14ac:dyDescent="0.3">
      <c r="B6" s="5" t="s">
        <v>101</v>
      </c>
      <c r="C6" s="5"/>
      <c r="D6" s="5"/>
      <c r="E6" s="44">
        <f t="shared" ref="E6:N6" si="2">E4/E5</f>
        <v>0.26872556684910087</v>
      </c>
      <c r="F6" s="44">
        <f t="shared" si="2"/>
        <v>0.26827652046947831</v>
      </c>
      <c r="G6" s="44">
        <f t="shared" si="2"/>
        <v>0.32092210728231829</v>
      </c>
      <c r="H6" s="44">
        <f t="shared" si="2"/>
        <v>0.37518136113641731</v>
      </c>
      <c r="I6" s="44">
        <f t="shared" si="2"/>
        <v>0.47407499889837107</v>
      </c>
      <c r="J6" s="44">
        <f t="shared" si="2"/>
        <v>0.56642860904191272</v>
      </c>
      <c r="K6" s="44">
        <f t="shared" si="2"/>
        <v>0.58397455750146632</v>
      </c>
      <c r="L6" s="44">
        <f t="shared" si="2"/>
        <v>0.54389350910507983</v>
      </c>
      <c r="M6" s="44">
        <f t="shared" si="2"/>
        <v>0.44441567033385804</v>
      </c>
      <c r="N6" s="44">
        <f t="shared" si="2"/>
        <v>0.39839408999554032</v>
      </c>
      <c r="P6" s="1" t="s">
        <v>240</v>
      </c>
      <c r="Q6" s="40"/>
      <c r="R6" s="42">
        <v>41706</v>
      </c>
      <c r="S6" s="42">
        <v>46152</v>
      </c>
      <c r="T6" s="42">
        <v>45317</v>
      </c>
      <c r="U6" s="42">
        <v>51728</v>
      </c>
      <c r="V6" s="42">
        <v>49360</v>
      </c>
      <c r="W6" s="42">
        <v>51865</v>
      </c>
      <c r="X6" s="42">
        <v>50122</v>
      </c>
      <c r="Y6" s="42">
        <v>52747</v>
      </c>
      <c r="Z6" s="42">
        <v>52857</v>
      </c>
      <c r="AA6" s="42">
        <v>56189</v>
      </c>
      <c r="AB6" s="42">
        <v>56517</v>
      </c>
      <c r="AC6" s="42">
        <v>62020</v>
      </c>
      <c r="AD6" s="42">
        <v>61858</v>
      </c>
      <c r="AE6" s="42">
        <v>64727</v>
      </c>
      <c r="AF6" s="42">
        <v>65585</v>
      </c>
      <c r="AG6" s="42">
        <v>69632</v>
      </c>
      <c r="AH6" s="42">
        <v>70066</v>
      </c>
      <c r="AI6" s="42">
        <v>76441</v>
      </c>
      <c r="AJ6" s="42">
        <v>77673</v>
      </c>
    </row>
    <row r="7" spans="2:37" ht="15.6" x14ac:dyDescent="0.3">
      <c r="P7" s="1" t="s">
        <v>241</v>
      </c>
      <c r="Q7" s="40"/>
      <c r="R7" s="42">
        <v>41035.5</v>
      </c>
      <c r="S7" s="42">
        <v>44260.4</v>
      </c>
      <c r="T7" s="42">
        <v>44011.8</v>
      </c>
      <c r="U7" s="42">
        <v>50745.5</v>
      </c>
      <c r="V7" s="42">
        <v>49022.6</v>
      </c>
      <c r="W7" s="42">
        <v>52384.3</v>
      </c>
      <c r="X7" s="42">
        <v>49609.2</v>
      </c>
      <c r="Y7" s="42">
        <v>52986.7</v>
      </c>
      <c r="Z7" s="42">
        <v>51018.6</v>
      </c>
      <c r="AA7" s="42">
        <v>55485.4</v>
      </c>
      <c r="AB7" s="42">
        <v>54523.4</v>
      </c>
      <c r="AC7" s="42">
        <v>61140.9</v>
      </c>
      <c r="AD7" s="42">
        <v>60846</v>
      </c>
      <c r="AE7" s="42">
        <v>64382.3</v>
      </c>
      <c r="AF7" s="42">
        <v>64562.400000000001</v>
      </c>
      <c r="AG7" s="42">
        <v>68816.7</v>
      </c>
      <c r="AH7" s="42">
        <v>68439.899999999994</v>
      </c>
      <c r="AI7" s="42">
        <v>73961.100000000006</v>
      </c>
      <c r="AJ7" s="42">
        <v>75494.7</v>
      </c>
    </row>
    <row r="8" spans="2:37" ht="15.6" x14ac:dyDescent="0.3">
      <c r="B8" s="2" t="s">
        <v>110</v>
      </c>
      <c r="C8" s="2"/>
      <c r="D8" s="2"/>
      <c r="E8" s="51" t="s">
        <v>45</v>
      </c>
      <c r="F8" s="51"/>
      <c r="G8" s="51"/>
      <c r="H8" s="13"/>
      <c r="I8" s="13"/>
      <c r="J8" s="32" t="s">
        <v>161</v>
      </c>
      <c r="K8" s="33"/>
      <c r="L8" s="33"/>
      <c r="M8" s="33"/>
      <c r="N8" s="34"/>
      <c r="P8" s="5" t="s">
        <v>239</v>
      </c>
      <c r="Q8" s="43"/>
      <c r="R8" s="41">
        <f t="shared" ref="R8:AJ8" si="3">R6/R7-1</f>
        <v>1.633951091128405E-2</v>
      </c>
      <c r="S8" s="41">
        <f t="shared" si="3"/>
        <v>4.2737977966760266E-2</v>
      </c>
      <c r="T8" s="41">
        <f t="shared" si="3"/>
        <v>2.9655683248583253E-2</v>
      </c>
      <c r="U8" s="41">
        <f t="shared" si="3"/>
        <v>1.9361322678858262E-2</v>
      </c>
      <c r="V8" s="41">
        <f t="shared" si="3"/>
        <v>6.8825398897651713E-3</v>
      </c>
      <c r="W8" s="41">
        <f t="shared" si="3"/>
        <v>-9.9132755424813368E-3</v>
      </c>
      <c r="X8" s="41">
        <f t="shared" si="3"/>
        <v>1.0336792369157299E-2</v>
      </c>
      <c r="Y8" s="41">
        <f t="shared" si="3"/>
        <v>-4.5237767213280877E-3</v>
      </c>
      <c r="Z8" s="41">
        <f t="shared" si="3"/>
        <v>3.6033917042020081E-2</v>
      </c>
      <c r="AA8" s="41">
        <f t="shared" si="3"/>
        <v>1.2680813331074514E-2</v>
      </c>
      <c r="AB8" s="41">
        <f t="shared" si="3"/>
        <v>3.6564117424812137E-2</v>
      </c>
      <c r="AC8" s="41">
        <f t="shared" si="3"/>
        <v>1.4378263977141259E-2</v>
      </c>
      <c r="AD8" s="41">
        <f t="shared" si="3"/>
        <v>1.6632153305065289E-2</v>
      </c>
      <c r="AE8" s="41">
        <f t="shared" si="3"/>
        <v>5.353955978584235E-3</v>
      </c>
      <c r="AF8" s="41">
        <f t="shared" si="3"/>
        <v>1.5838940312008276E-2</v>
      </c>
      <c r="AG8" s="41">
        <f t="shared" si="3"/>
        <v>1.184741494433772E-2</v>
      </c>
      <c r="AH8" s="41">
        <f t="shared" si="3"/>
        <v>2.3759532085815493E-2</v>
      </c>
      <c r="AI8" s="41">
        <f t="shared" si="3"/>
        <v>3.3529787956101176E-2</v>
      </c>
      <c r="AJ8" s="41">
        <f t="shared" si="3"/>
        <v>2.8853681119336949E-2</v>
      </c>
    </row>
    <row r="9" spans="2:37" x14ac:dyDescent="0.3">
      <c r="B9" s="1" t="s">
        <v>111</v>
      </c>
      <c r="E9" s="50" t="s">
        <v>245</v>
      </c>
      <c r="F9" s="50"/>
      <c r="G9" s="50"/>
      <c r="J9" s="35" t="s">
        <v>302</v>
      </c>
      <c r="K9" s="6"/>
      <c r="L9" s="6" t="s">
        <v>59</v>
      </c>
      <c r="M9" s="6"/>
      <c r="N9" s="36"/>
    </row>
    <row r="10" spans="2:37" x14ac:dyDescent="0.3">
      <c r="B10" s="1" t="s">
        <v>190</v>
      </c>
      <c r="E10" s="17"/>
      <c r="F10" s="17"/>
      <c r="G10" s="17"/>
      <c r="J10" s="37" t="s">
        <v>166</v>
      </c>
      <c r="L10" s="1" t="s">
        <v>188</v>
      </c>
      <c r="N10" s="38"/>
      <c r="P10" s="1" t="s">
        <v>242</v>
      </c>
      <c r="S10" s="41">
        <f>AVERAGE(R5:AJ5)</f>
        <v>6.1289325986018314E-2</v>
      </c>
    </row>
    <row r="11" spans="2:37" x14ac:dyDescent="0.3">
      <c r="B11" s="1" t="s">
        <v>191</v>
      </c>
      <c r="E11" s="17"/>
      <c r="F11" s="17"/>
      <c r="G11" s="17"/>
      <c r="J11" s="37" t="s">
        <v>162</v>
      </c>
      <c r="L11" s="1" t="s">
        <v>167</v>
      </c>
      <c r="N11" s="39"/>
      <c r="O11" s="12"/>
      <c r="P11" s="1" t="s">
        <v>298</v>
      </c>
      <c r="S11" s="41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192</v>
      </c>
      <c r="E12" s="50" t="s">
        <v>246</v>
      </c>
      <c r="F12" s="50"/>
      <c r="G12" s="50"/>
      <c r="J12" s="35" t="s">
        <v>176</v>
      </c>
      <c r="K12" s="6"/>
      <c r="L12" s="6" t="s">
        <v>181</v>
      </c>
      <c r="M12" s="6"/>
      <c r="N12" s="36"/>
      <c r="P12" s="1" t="s">
        <v>300</v>
      </c>
      <c r="S12" s="41">
        <f>MIN(R5:AJ5)</f>
        <v>-2.7152479670540686E-2</v>
      </c>
    </row>
    <row r="13" spans="2:37" ht="15.6" customHeight="1" x14ac:dyDescent="0.3">
      <c r="B13" s="1" t="s">
        <v>212</v>
      </c>
      <c r="E13" s="50" t="s">
        <v>213</v>
      </c>
      <c r="F13" s="50"/>
      <c r="G13" s="50"/>
      <c r="J13" s="37" t="s">
        <v>177</v>
      </c>
      <c r="L13" s="1" t="s">
        <v>182</v>
      </c>
      <c r="N13" s="38"/>
      <c r="P13" s="1" t="s">
        <v>243</v>
      </c>
      <c r="Q13" s="12"/>
      <c r="R13" s="12"/>
      <c r="S13" s="41">
        <f>AVERAGE(R8:AJ8)</f>
        <v>1.8228913277731369E-2</v>
      </c>
    </row>
    <row r="14" spans="2:37" ht="15.6" customHeight="1" x14ac:dyDescent="0.3">
      <c r="B14" s="1" t="s">
        <v>193</v>
      </c>
      <c r="E14" s="50" t="s">
        <v>247</v>
      </c>
      <c r="F14" s="50"/>
      <c r="G14" s="50"/>
      <c r="J14" s="37" t="s">
        <v>178</v>
      </c>
      <c r="L14" s="1" t="s">
        <v>183</v>
      </c>
      <c r="N14" s="38"/>
      <c r="P14" s="1" t="s">
        <v>299</v>
      </c>
      <c r="S14" s="41">
        <f>MAX(R8:AJ8)</f>
        <v>4.2737977966760266E-2</v>
      </c>
    </row>
    <row r="15" spans="2:37" x14ac:dyDescent="0.3">
      <c r="B15" s="1" t="s">
        <v>112</v>
      </c>
      <c r="E15" s="50" t="s">
        <v>248</v>
      </c>
      <c r="F15" s="50"/>
      <c r="G15" s="50"/>
      <c r="J15" s="35" t="s">
        <v>186</v>
      </c>
      <c r="K15" s="6"/>
      <c r="L15" s="6" t="s">
        <v>187</v>
      </c>
      <c r="M15" s="6"/>
      <c r="N15" s="36"/>
      <c r="P15" s="1" t="s">
        <v>301</v>
      </c>
      <c r="S15" s="41">
        <f>MIN(R8:AJ8)</f>
        <v>-9.9132755424813368E-3</v>
      </c>
    </row>
    <row r="16" spans="2:37" ht="15.6" customHeight="1" x14ac:dyDescent="0.3">
      <c r="B16" s="1" t="s">
        <v>113</v>
      </c>
      <c r="E16" s="50" t="s">
        <v>250</v>
      </c>
      <c r="F16" s="50"/>
      <c r="G16" s="50"/>
      <c r="J16" s="37" t="s">
        <v>179</v>
      </c>
      <c r="L16" s="1" t="s">
        <v>184</v>
      </c>
      <c r="N16" s="38"/>
    </row>
    <row r="17" spans="2:30" x14ac:dyDescent="0.3">
      <c r="B17" s="1" t="s">
        <v>114</v>
      </c>
      <c r="E17" s="50" t="s">
        <v>115</v>
      </c>
      <c r="F17" s="50"/>
      <c r="G17" s="50"/>
      <c r="J17" s="37" t="s">
        <v>180</v>
      </c>
      <c r="L17" s="1" t="s">
        <v>185</v>
      </c>
      <c r="N17" s="38"/>
    </row>
    <row r="18" spans="2:30" ht="15.6" customHeight="1" x14ac:dyDescent="0.3">
      <c r="B18" s="1" t="s">
        <v>116</v>
      </c>
      <c r="E18" s="50" t="s">
        <v>249</v>
      </c>
      <c r="F18" s="50"/>
      <c r="G18" s="50"/>
      <c r="J18" s="37" t="s">
        <v>163</v>
      </c>
      <c r="L18" s="1" t="s">
        <v>168</v>
      </c>
      <c r="N18" s="38"/>
      <c r="P18" s="8"/>
    </row>
    <row r="19" spans="2:30" ht="15.6" customHeight="1" x14ac:dyDescent="0.3">
      <c r="B19" s="1" t="s">
        <v>117</v>
      </c>
      <c r="J19" s="37" t="s">
        <v>164</v>
      </c>
      <c r="L19" s="1" t="s">
        <v>169</v>
      </c>
      <c r="N19" s="38"/>
    </row>
    <row r="20" spans="2:30" ht="15.6" customHeight="1" x14ac:dyDescent="0.3">
      <c r="B20" s="1" t="s">
        <v>118</v>
      </c>
      <c r="E20" s="50" t="s">
        <v>251</v>
      </c>
      <c r="F20" s="50"/>
      <c r="G20" s="50"/>
      <c r="J20" s="35" t="s">
        <v>165</v>
      </c>
      <c r="K20" s="6"/>
      <c r="L20" s="6" t="s">
        <v>175</v>
      </c>
      <c r="M20" s="6"/>
      <c r="N20" s="36"/>
    </row>
    <row r="21" spans="2:30" ht="15.6" customHeight="1" x14ac:dyDescent="0.3">
      <c r="B21" s="1" t="s">
        <v>119</v>
      </c>
      <c r="E21" s="50" t="s">
        <v>252</v>
      </c>
      <c r="F21" s="50"/>
      <c r="G21" s="50"/>
    </row>
    <row r="22" spans="2:30" ht="15.6" customHeight="1" x14ac:dyDescent="0.3"/>
    <row r="23" spans="2:30" ht="15.6" customHeight="1" x14ac:dyDescent="0.3">
      <c r="B23" s="2" t="s">
        <v>120</v>
      </c>
      <c r="C23" s="2"/>
      <c r="D23" s="2"/>
      <c r="E23" s="51" t="s">
        <v>45</v>
      </c>
      <c r="F23" s="51"/>
      <c r="G23" s="51"/>
    </row>
    <row r="24" spans="2:30" ht="15.6" customHeight="1" x14ac:dyDescent="0.3">
      <c r="B24" s="1" t="s">
        <v>194</v>
      </c>
      <c r="E24" s="50" t="s">
        <v>253</v>
      </c>
      <c r="F24" s="50"/>
      <c r="G24" s="50"/>
      <c r="M24" s="50"/>
      <c r="N24" s="50"/>
      <c r="O24" s="50"/>
      <c r="T24" s="50"/>
      <c r="U24" s="50"/>
      <c r="V24" s="50"/>
      <c r="Z24" s="50"/>
      <c r="AA24" s="50"/>
      <c r="AB24" s="50"/>
      <c r="AC24" s="50"/>
      <c r="AD24" s="50"/>
    </row>
    <row r="25" spans="2:30" ht="15.6" customHeight="1" x14ac:dyDescent="0.3">
      <c r="B25" s="1" t="s">
        <v>195</v>
      </c>
      <c r="E25" s="50" t="s">
        <v>254</v>
      </c>
      <c r="F25" s="50"/>
      <c r="G25" s="50"/>
      <c r="M25" s="17"/>
      <c r="N25" s="17"/>
      <c r="O25" s="17"/>
      <c r="T25" s="50"/>
      <c r="U25" s="50"/>
      <c r="V25" s="50"/>
    </row>
    <row r="26" spans="2:30" ht="15.6" customHeight="1" x14ac:dyDescent="0.3">
      <c r="B26" s="1" t="s">
        <v>196</v>
      </c>
      <c r="E26" s="50" t="s">
        <v>255</v>
      </c>
      <c r="F26" s="50"/>
      <c r="G26" s="50"/>
      <c r="M26" s="17"/>
      <c r="N26" s="17"/>
      <c r="O26" s="17"/>
      <c r="T26" s="50"/>
      <c r="U26" s="50"/>
      <c r="V26" s="50"/>
    </row>
    <row r="27" spans="2:30" ht="15.6" customHeight="1" x14ac:dyDescent="0.3">
      <c r="B27" s="1" t="s">
        <v>197</v>
      </c>
      <c r="E27" s="50" t="s">
        <v>256</v>
      </c>
      <c r="F27" s="50"/>
      <c r="G27" s="50"/>
      <c r="M27" s="50"/>
      <c r="N27" s="50"/>
      <c r="O27" s="50"/>
      <c r="T27" s="50"/>
      <c r="U27" s="50"/>
      <c r="V27" s="50"/>
      <c r="AA27" s="50"/>
      <c r="AB27" s="50"/>
      <c r="AC27" s="50"/>
    </row>
    <row r="28" spans="2:30" x14ac:dyDescent="0.3">
      <c r="B28" s="1" t="s">
        <v>198</v>
      </c>
      <c r="E28" s="50" t="s">
        <v>259</v>
      </c>
      <c r="F28" s="50"/>
      <c r="G28" s="50"/>
      <c r="M28" s="50"/>
      <c r="N28" s="50"/>
      <c r="O28" s="50"/>
      <c r="T28" s="50"/>
      <c r="U28" s="50"/>
      <c r="V28" s="50"/>
      <c r="AA28" s="50"/>
      <c r="AB28" s="50"/>
      <c r="AC28" s="50"/>
    </row>
    <row r="29" spans="2:30" ht="15.6" customHeight="1" x14ac:dyDescent="0.3">
      <c r="B29" s="1" t="s">
        <v>121</v>
      </c>
      <c r="E29" s="50" t="s">
        <v>257</v>
      </c>
      <c r="F29" s="50"/>
      <c r="G29" s="50"/>
      <c r="M29" s="50"/>
      <c r="N29" s="50"/>
      <c r="O29" s="50"/>
      <c r="T29" s="50"/>
      <c r="U29" s="50"/>
      <c r="V29" s="50"/>
      <c r="AA29" s="50"/>
      <c r="AB29" s="50"/>
      <c r="AC29" s="50"/>
    </row>
    <row r="30" spans="2:30" ht="15.6" customHeight="1" x14ac:dyDescent="0.3">
      <c r="B30" s="1" t="s">
        <v>189</v>
      </c>
      <c r="E30" s="1" t="s">
        <v>258</v>
      </c>
      <c r="M30" s="50"/>
      <c r="N30" s="50"/>
      <c r="O30" s="50"/>
      <c r="AA30" s="50"/>
      <c r="AB30" s="50"/>
      <c r="AC30" s="50"/>
    </row>
    <row r="31" spans="2:30" ht="15.6" customHeight="1" x14ac:dyDescent="0.3">
      <c r="B31" s="1" t="s">
        <v>122</v>
      </c>
      <c r="E31" s="1" t="s">
        <v>260</v>
      </c>
      <c r="M31" s="50"/>
      <c r="N31" s="50"/>
      <c r="O31" s="50"/>
      <c r="AA31" s="50"/>
      <c r="AB31" s="50"/>
      <c r="AC31" s="50"/>
    </row>
    <row r="32" spans="2:30" ht="15.6" customHeight="1" x14ac:dyDescent="0.3">
      <c r="B32" s="1" t="s">
        <v>123</v>
      </c>
      <c r="E32" s="50" t="s">
        <v>261</v>
      </c>
      <c r="F32" s="50"/>
      <c r="G32" s="50"/>
      <c r="M32" s="50"/>
      <c r="N32" s="50"/>
      <c r="O32" s="50"/>
      <c r="T32" s="50"/>
      <c r="U32" s="50"/>
      <c r="V32" s="50"/>
    </row>
    <row r="33" spans="2:30" x14ac:dyDescent="0.3">
      <c r="B33" s="1" t="s">
        <v>124</v>
      </c>
      <c r="E33" s="50" t="s">
        <v>158</v>
      </c>
      <c r="F33" s="50"/>
      <c r="G33" s="50"/>
      <c r="M33" s="50"/>
      <c r="N33" s="50"/>
      <c r="O33" s="50"/>
      <c r="T33" s="50"/>
      <c r="U33" s="50"/>
      <c r="V33" s="50"/>
      <c r="AA33" s="50"/>
      <c r="AB33" s="50"/>
      <c r="AC33" s="50"/>
    </row>
    <row r="34" spans="2:30" x14ac:dyDescent="0.3">
      <c r="B34" s="1" t="s">
        <v>125</v>
      </c>
      <c r="E34" s="50" t="s">
        <v>262</v>
      </c>
      <c r="F34" s="50"/>
      <c r="G34" s="50"/>
      <c r="T34" s="50"/>
      <c r="U34" s="50"/>
      <c r="V34" s="50"/>
      <c r="AA34" s="50"/>
      <c r="AB34" s="50"/>
      <c r="AC34" s="50"/>
    </row>
    <row r="35" spans="2:30" x14ac:dyDescent="0.3">
      <c r="B35" s="1" t="s">
        <v>126</v>
      </c>
      <c r="E35" s="50" t="s">
        <v>127</v>
      </c>
      <c r="F35" s="50"/>
      <c r="G35" s="50"/>
      <c r="M35" s="50"/>
      <c r="N35" s="50"/>
      <c r="O35" s="50"/>
      <c r="T35" s="50"/>
      <c r="U35" s="50"/>
      <c r="V35" s="50"/>
      <c r="AA35" s="50"/>
      <c r="AB35" s="50"/>
      <c r="AC35" s="50"/>
    </row>
    <row r="36" spans="2:30" x14ac:dyDescent="0.3">
      <c r="B36" s="1" t="s">
        <v>128</v>
      </c>
      <c r="E36" s="50" t="s">
        <v>157</v>
      </c>
      <c r="F36" s="50"/>
      <c r="G36" s="50"/>
      <c r="T36" s="50"/>
      <c r="U36" s="50"/>
      <c r="V36" s="50"/>
      <c r="AA36" s="17"/>
      <c r="AB36" s="17"/>
      <c r="AC36" s="17"/>
    </row>
    <row r="37" spans="2:30" ht="15.6" customHeight="1" x14ac:dyDescent="0.3">
      <c r="B37" s="1" t="s">
        <v>129</v>
      </c>
      <c r="E37" s="50" t="s">
        <v>263</v>
      </c>
      <c r="F37" s="50"/>
      <c r="G37" s="50"/>
      <c r="T37" s="50"/>
      <c r="U37" s="50"/>
      <c r="V37" s="50"/>
      <c r="Z37" s="50"/>
      <c r="AA37" s="50"/>
      <c r="AB37" s="50"/>
      <c r="AC37" s="50"/>
      <c r="AD37" s="50"/>
    </row>
    <row r="38" spans="2:30" ht="15.6" customHeight="1" x14ac:dyDescent="0.3">
      <c r="B38" s="1" t="s">
        <v>130</v>
      </c>
      <c r="E38" s="50" t="s">
        <v>264</v>
      </c>
      <c r="F38" s="50"/>
      <c r="G38" s="50"/>
      <c r="T38" s="50"/>
      <c r="U38" s="50"/>
      <c r="V38" s="50"/>
      <c r="AA38" s="17"/>
      <c r="AB38" s="17"/>
      <c r="AC38" s="17"/>
    </row>
    <row r="39" spans="2:30" ht="15.6" customHeight="1" x14ac:dyDescent="0.3">
      <c r="B39" s="1" t="s">
        <v>199</v>
      </c>
      <c r="E39" s="50" t="s">
        <v>265</v>
      </c>
      <c r="F39" s="50"/>
      <c r="G39" s="50"/>
      <c r="T39" s="50"/>
      <c r="U39" s="50"/>
      <c r="V39" s="50"/>
      <c r="AA39" s="50"/>
      <c r="AB39" s="50"/>
      <c r="AC39" s="50"/>
    </row>
    <row r="40" spans="2:30" ht="15.6" customHeight="1" x14ac:dyDescent="0.3">
      <c r="B40" s="1" t="s">
        <v>200</v>
      </c>
      <c r="E40" s="50" t="s">
        <v>266</v>
      </c>
      <c r="F40" s="50"/>
      <c r="G40" s="50"/>
      <c r="T40" s="50"/>
      <c r="U40" s="50"/>
      <c r="V40" s="50"/>
    </row>
    <row r="41" spans="2:30" ht="15.6" customHeight="1" x14ac:dyDescent="0.3">
      <c r="B41" s="1" t="s">
        <v>201</v>
      </c>
      <c r="E41" s="50" t="s">
        <v>267</v>
      </c>
      <c r="F41" s="50"/>
      <c r="G41" s="50"/>
      <c r="T41" s="50"/>
      <c r="U41" s="50"/>
      <c r="V41" s="50"/>
    </row>
    <row r="42" spans="2:30" ht="15.6" customHeight="1" x14ac:dyDescent="0.3">
      <c r="B42" s="1" t="s">
        <v>202</v>
      </c>
      <c r="E42" s="50" t="s">
        <v>268</v>
      </c>
      <c r="F42" s="50"/>
      <c r="G42" s="50"/>
      <c r="T42" s="50"/>
      <c r="U42" s="50"/>
      <c r="V42" s="50"/>
    </row>
    <row r="43" spans="2:30" ht="15.6" customHeight="1" x14ac:dyDescent="0.3">
      <c r="B43" s="1" t="s">
        <v>203</v>
      </c>
      <c r="E43" s="50" t="s">
        <v>269</v>
      </c>
      <c r="F43" s="50"/>
      <c r="G43" s="50"/>
      <c r="T43" s="50"/>
      <c r="U43" s="50"/>
      <c r="V43" s="50"/>
    </row>
    <row r="44" spans="2:30" x14ac:dyDescent="0.3">
      <c r="B44" s="1" t="s">
        <v>204</v>
      </c>
      <c r="F44" s="1" t="s">
        <v>270</v>
      </c>
    </row>
    <row r="45" spans="2:30" x14ac:dyDescent="0.3">
      <c r="B45" s="1" t="s">
        <v>131</v>
      </c>
      <c r="F45" s="1" t="s">
        <v>271</v>
      </c>
    </row>
    <row r="46" spans="2:30" ht="15.6" customHeight="1" x14ac:dyDescent="0.3">
      <c r="B46" s="1" t="s">
        <v>132</v>
      </c>
      <c r="E46" s="50" t="s">
        <v>272</v>
      </c>
      <c r="F46" s="50"/>
      <c r="G46" s="50"/>
      <c r="T46" s="50"/>
      <c r="U46" s="50"/>
      <c r="V46" s="50"/>
    </row>
    <row r="47" spans="2:30" ht="15.6" customHeight="1" x14ac:dyDescent="0.3">
      <c r="B47" s="1" t="s">
        <v>133</v>
      </c>
      <c r="E47" s="50" t="s">
        <v>273</v>
      </c>
      <c r="F47" s="50"/>
      <c r="G47" s="50"/>
      <c r="T47" s="50"/>
      <c r="U47" s="50"/>
      <c r="V47" s="50"/>
    </row>
    <row r="48" spans="2:30" ht="15.6" customHeight="1" x14ac:dyDescent="0.3">
      <c r="B48" s="1" t="s">
        <v>134</v>
      </c>
      <c r="E48" s="50" t="s">
        <v>274</v>
      </c>
      <c r="F48" s="50"/>
      <c r="G48" s="50"/>
      <c r="T48" s="50"/>
      <c r="U48" s="50"/>
      <c r="V48" s="50"/>
    </row>
    <row r="49" spans="2:22" x14ac:dyDescent="0.3">
      <c r="B49" s="1" t="s">
        <v>135</v>
      </c>
      <c r="E49" s="50" t="s">
        <v>275</v>
      </c>
      <c r="F49" s="50"/>
      <c r="G49" s="50"/>
      <c r="T49" s="50"/>
      <c r="U49" s="50"/>
      <c r="V49" s="50"/>
    </row>
    <row r="50" spans="2:22" x14ac:dyDescent="0.3">
      <c r="B50" s="1" t="s">
        <v>136</v>
      </c>
      <c r="E50" s="50" t="s">
        <v>146</v>
      </c>
      <c r="F50" s="50"/>
      <c r="G50" s="50"/>
      <c r="T50" s="50"/>
      <c r="U50" s="50"/>
      <c r="V50" s="50"/>
    </row>
    <row r="51" spans="2:22" x14ac:dyDescent="0.3">
      <c r="B51" s="1" t="s">
        <v>159</v>
      </c>
      <c r="E51" s="17"/>
      <c r="F51" s="17" t="s">
        <v>160</v>
      </c>
      <c r="G51" s="17"/>
      <c r="T51" s="17"/>
      <c r="U51" s="17"/>
      <c r="V51" s="17"/>
    </row>
    <row r="53" spans="2:22" x14ac:dyDescent="0.3">
      <c r="B53" s="2" t="s">
        <v>137</v>
      </c>
      <c r="C53" s="2"/>
      <c r="D53" s="2"/>
      <c r="E53" s="51" t="s">
        <v>45</v>
      </c>
      <c r="F53" s="51"/>
      <c r="G53" s="51"/>
    </row>
    <row r="54" spans="2:22" ht="15.6" customHeight="1" x14ac:dyDescent="0.3">
      <c r="B54" s="1" t="s">
        <v>138</v>
      </c>
      <c r="E54" s="1" t="s">
        <v>276</v>
      </c>
    </row>
    <row r="55" spans="2:22" ht="15.6" customHeight="1" x14ac:dyDescent="0.3">
      <c r="B55" s="1" t="s">
        <v>143</v>
      </c>
      <c r="E55" s="50" t="s">
        <v>277</v>
      </c>
      <c r="F55" s="50"/>
      <c r="G55" s="50"/>
    </row>
    <row r="56" spans="2:22" x14ac:dyDescent="0.3">
      <c r="B56" s="1" t="s">
        <v>145</v>
      </c>
      <c r="E56" s="1" t="s">
        <v>147</v>
      </c>
    </row>
    <row r="57" spans="2:22" ht="15.6" customHeight="1" x14ac:dyDescent="0.3">
      <c r="B57" s="1" t="s">
        <v>139</v>
      </c>
      <c r="E57" s="50" t="s">
        <v>278</v>
      </c>
      <c r="F57" s="50"/>
      <c r="G57" s="50"/>
    </row>
    <row r="58" spans="2:22" ht="15.6" customHeight="1" x14ac:dyDescent="0.3">
      <c r="B58" s="1" t="s">
        <v>140</v>
      </c>
      <c r="E58" s="50" t="s">
        <v>279</v>
      </c>
      <c r="F58" s="50"/>
      <c r="G58" s="50"/>
    </row>
    <row r="59" spans="2:22" ht="15.6" customHeight="1" x14ac:dyDescent="0.3">
      <c r="B59" s="1" t="s">
        <v>141</v>
      </c>
      <c r="E59" s="50" t="s">
        <v>280</v>
      </c>
      <c r="F59" s="50"/>
      <c r="G59" s="50"/>
    </row>
    <row r="60" spans="2:22" x14ac:dyDescent="0.3">
      <c r="B60" s="1" t="s">
        <v>142</v>
      </c>
      <c r="E60" s="50" t="s">
        <v>282</v>
      </c>
      <c r="F60" s="50"/>
      <c r="G60" s="50"/>
    </row>
    <row r="61" spans="2:22" x14ac:dyDescent="0.3">
      <c r="B61" s="1" t="s">
        <v>210</v>
      </c>
      <c r="E61" s="50" t="s">
        <v>211</v>
      </c>
      <c r="F61" s="50"/>
      <c r="G61" s="50"/>
    </row>
    <row r="62" spans="2:22" x14ac:dyDescent="0.3">
      <c r="B62" s="1" t="s">
        <v>209</v>
      </c>
      <c r="E62" s="1" t="s">
        <v>281</v>
      </c>
    </row>
    <row r="63" spans="2:22" ht="15.6" customHeight="1" x14ac:dyDescent="0.3">
      <c r="B63" s="1" t="s">
        <v>144</v>
      </c>
      <c r="E63" s="50" t="s">
        <v>283</v>
      </c>
      <c r="F63" s="50"/>
      <c r="G63" s="50"/>
    </row>
    <row r="64" spans="2:22" x14ac:dyDescent="0.3">
      <c r="B64" s="1" t="s">
        <v>170</v>
      </c>
      <c r="E64" s="50" t="s">
        <v>284</v>
      </c>
      <c r="F64" s="50"/>
      <c r="G64" s="50"/>
    </row>
    <row r="65" spans="2:8" x14ac:dyDescent="0.3">
      <c r="B65" s="1" t="s">
        <v>205</v>
      </c>
      <c r="E65" s="50" t="s">
        <v>285</v>
      </c>
      <c r="F65" s="50"/>
      <c r="G65" s="50"/>
    </row>
    <row r="66" spans="2:8" x14ac:dyDescent="0.3">
      <c r="B66" s="1" t="s">
        <v>206</v>
      </c>
      <c r="E66" s="17"/>
      <c r="F66" s="17" t="s">
        <v>286</v>
      </c>
      <c r="G66" s="17"/>
    </row>
    <row r="67" spans="2:8" ht="15.6" customHeight="1" x14ac:dyDescent="0.3">
      <c r="B67" s="1" t="s">
        <v>207</v>
      </c>
      <c r="D67" s="50" t="s">
        <v>287</v>
      </c>
      <c r="E67" s="50"/>
      <c r="F67" s="50"/>
      <c r="G67" s="50"/>
      <c r="H67" s="50"/>
    </row>
    <row r="68" spans="2:8" x14ac:dyDescent="0.3">
      <c r="B68" s="1" t="s">
        <v>208</v>
      </c>
      <c r="E68" s="17"/>
      <c r="F68" s="17" t="s">
        <v>288</v>
      </c>
      <c r="G68" s="17"/>
    </row>
    <row r="69" spans="2:8" ht="15.6" customHeight="1" x14ac:dyDescent="0.3">
      <c r="B69" s="1" t="s">
        <v>171</v>
      </c>
      <c r="E69" s="50" t="s">
        <v>289</v>
      </c>
      <c r="F69" s="50"/>
      <c r="G69" s="50"/>
    </row>
    <row r="71" spans="2:8" x14ac:dyDescent="0.3">
      <c r="B71" s="2" t="s">
        <v>172</v>
      </c>
      <c r="C71" s="2"/>
      <c r="D71" s="2"/>
      <c r="E71" s="30" t="s">
        <v>173</v>
      </c>
      <c r="F71" s="30" t="s">
        <v>174</v>
      </c>
    </row>
    <row r="72" spans="2:8" x14ac:dyDescent="0.3">
      <c r="B72" s="1" t="s">
        <v>148</v>
      </c>
      <c r="E72" s="45" t="s">
        <v>149</v>
      </c>
      <c r="F72" s="31">
        <v>45212</v>
      </c>
    </row>
    <row r="73" spans="2:8" x14ac:dyDescent="0.3">
      <c r="B73" s="1" t="s">
        <v>290</v>
      </c>
      <c r="E73" s="45" t="s">
        <v>291</v>
      </c>
      <c r="F73" s="31">
        <v>44949</v>
      </c>
    </row>
    <row r="74" spans="2:8" x14ac:dyDescent="0.3">
      <c r="B74" s="1" t="s">
        <v>150</v>
      </c>
      <c r="E74" s="45" t="s">
        <v>155</v>
      </c>
      <c r="F74" s="31">
        <v>44677</v>
      </c>
    </row>
    <row r="75" spans="2:8" x14ac:dyDescent="0.3">
      <c r="B75" s="1" t="s">
        <v>151</v>
      </c>
      <c r="E75" s="45" t="s">
        <v>156</v>
      </c>
      <c r="F75" s="31">
        <v>44624</v>
      </c>
    </row>
    <row r="76" spans="2:8" x14ac:dyDescent="0.3">
      <c r="B76" s="1" t="s">
        <v>152</v>
      </c>
      <c r="E76" s="45" t="s">
        <v>153</v>
      </c>
      <c r="F76" s="31">
        <v>44264</v>
      </c>
    </row>
    <row r="77" spans="2:8" x14ac:dyDescent="0.3">
      <c r="B77" s="1" t="s">
        <v>294</v>
      </c>
      <c r="E77" s="45" t="s">
        <v>295</v>
      </c>
      <c r="F77" s="31">
        <v>43668</v>
      </c>
    </row>
    <row r="78" spans="2:8" x14ac:dyDescent="0.3">
      <c r="B78" s="1" t="s">
        <v>292</v>
      </c>
      <c r="E78" s="45" t="s">
        <v>293</v>
      </c>
      <c r="F78" s="31">
        <v>43399</v>
      </c>
    </row>
    <row r="79" spans="2:8" x14ac:dyDescent="0.3">
      <c r="B79" s="1" t="s">
        <v>296</v>
      </c>
      <c r="E79" s="45" t="s">
        <v>297</v>
      </c>
      <c r="F79" s="31">
        <v>41897</v>
      </c>
    </row>
    <row r="80" spans="2:8" x14ac:dyDescent="0.3">
      <c r="B80" s="1" t="s">
        <v>154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90">
    <mergeCell ref="E69:G69"/>
    <mergeCell ref="E60:G60"/>
    <mergeCell ref="E63:G63"/>
    <mergeCell ref="E65:G65"/>
    <mergeCell ref="D67:H67"/>
    <mergeCell ref="E64:G64"/>
    <mergeCell ref="E61:G61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32:G32"/>
    <mergeCell ref="E34:G34"/>
    <mergeCell ref="E24:G24"/>
    <mergeCell ref="E25:G25"/>
    <mergeCell ref="E26:G26"/>
    <mergeCell ref="E27:G27"/>
    <mergeCell ref="E29:G29"/>
    <mergeCell ref="E28:G28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M32:O32"/>
    <mergeCell ref="M33:O33"/>
    <mergeCell ref="M35:O35"/>
    <mergeCell ref="M24:O24"/>
    <mergeCell ref="M27:O27"/>
    <mergeCell ref="M28:O28"/>
    <mergeCell ref="M29:O29"/>
    <mergeCell ref="T24:V24"/>
    <mergeCell ref="T25:V25"/>
    <mergeCell ref="T26:V26"/>
    <mergeCell ref="M30:O30"/>
    <mergeCell ref="M31:O31"/>
    <mergeCell ref="T27:V27"/>
    <mergeCell ref="T28:V28"/>
    <mergeCell ref="T29:V29"/>
    <mergeCell ref="T32:V32"/>
    <mergeCell ref="T33:V33"/>
    <mergeCell ref="T34:V34"/>
    <mergeCell ref="T35:V35"/>
    <mergeCell ref="T36:V36"/>
    <mergeCell ref="T37:V37"/>
    <mergeCell ref="T38:V38"/>
    <mergeCell ref="T39:V39"/>
    <mergeCell ref="T40:V40"/>
    <mergeCell ref="T41:V41"/>
    <mergeCell ref="T42:V42"/>
    <mergeCell ref="T43:V43"/>
    <mergeCell ref="T46:V46"/>
    <mergeCell ref="T47:V47"/>
    <mergeCell ref="T48:V48"/>
    <mergeCell ref="T49:V49"/>
    <mergeCell ref="T50:V50"/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2026-01-10T23:08:37Z</dcterms:modified>
</cp:coreProperties>
</file>