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408DC031-A0CA-455A-B0B3-B8C2BC9458E6}" xr6:coauthVersionLast="47" xr6:coauthVersionMax="47" xr10:uidLastSave="{00000000-0000-0000-0000-000000000000}"/>
  <bookViews>
    <workbookView xWindow="0" yWindow="396" windowWidth="23040" windowHeight="12060" xr2:uid="{64BEE0EA-45A1-4490-9445-11F5F6D37C44}"/>
  </bookViews>
  <sheets>
    <sheet name="Main" sheetId="1" r:id="rId1"/>
    <sheet name="Segments" sheetId="3" r:id="rId2"/>
    <sheet name="Extras" sheetId="4" r:id="rId3"/>
  </sheets>
  <definedNames>
    <definedName name="_xlchart.v1.0" hidden="1">Segments!$B$19</definedName>
    <definedName name="_xlchart.v1.1" hidden="1">Segments!$B$22</definedName>
    <definedName name="_xlchart.v1.2" hidden="1">Segments!$J$19:$P$19</definedName>
    <definedName name="_xlchart.v1.3" hidden="1">Segments!$J$22:$P$22</definedName>
    <definedName name="_xlchart.v1.4" hidden="1">Segments!$J$4:$P$4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1" l="1"/>
  <c r="O23" i="3"/>
  <c r="L23" i="3"/>
  <c r="K23" i="3"/>
  <c r="J23" i="3"/>
  <c r="M4" i="4"/>
  <c r="I5" i="4"/>
  <c r="H5" i="4"/>
  <c r="G5" i="4"/>
  <c r="F5" i="4"/>
  <c r="E5" i="4"/>
  <c r="G84" i="3"/>
  <c r="H84" i="3"/>
  <c r="I84" i="3"/>
  <c r="J84" i="3"/>
  <c r="K84" i="3"/>
  <c r="L84" i="3"/>
  <c r="L112" i="3"/>
  <c r="L113" i="3" s="1"/>
  <c r="L13" i="3" s="1"/>
  <c r="K112" i="3"/>
  <c r="K114" i="3" s="1"/>
  <c r="J112" i="3"/>
  <c r="J114" i="3" s="1"/>
  <c r="I112" i="3"/>
  <c r="I114" i="3" s="1"/>
  <c r="H112" i="3"/>
  <c r="H114" i="3" s="1"/>
  <c r="G112" i="3"/>
  <c r="G114" i="3" s="1"/>
  <c r="P112" i="3"/>
  <c r="P113" i="3" s="1"/>
  <c r="P13" i="3" s="1"/>
  <c r="O112" i="3"/>
  <c r="O113" i="3" s="1"/>
  <c r="O13" i="3" s="1"/>
  <c r="N112" i="3"/>
  <c r="N113" i="3" s="1"/>
  <c r="N13" i="3" s="1"/>
  <c r="M112" i="3"/>
  <c r="M113" i="3" s="1"/>
  <c r="M13" i="3" s="1"/>
  <c r="M115" i="3"/>
  <c r="L115" i="3"/>
  <c r="K115" i="3"/>
  <c r="J115" i="3"/>
  <c r="I115" i="3"/>
  <c r="H115" i="3"/>
  <c r="P115" i="3"/>
  <c r="O115" i="3"/>
  <c r="N115" i="3"/>
  <c r="L86" i="3"/>
  <c r="K86" i="3" s="1"/>
  <c r="L85" i="3"/>
  <c r="L76" i="1"/>
  <c r="Z13" i="1"/>
  <c r="AA13" i="1" s="1"/>
  <c r="AB13" i="1" s="1"/>
  <c r="AC13" i="1" s="1"/>
  <c r="AD13" i="1" s="1"/>
  <c r="L44" i="3"/>
  <c r="M44" i="3" s="1"/>
  <c r="N44" i="3" s="1"/>
  <c r="N45" i="3" s="1"/>
  <c r="L20" i="3"/>
  <c r="P20" i="3"/>
  <c r="O20" i="3"/>
  <c r="N20" i="3"/>
  <c r="M20" i="3"/>
  <c r="J20" i="3"/>
  <c r="K20" i="3"/>
  <c r="L56" i="3"/>
  <c r="L55" i="3"/>
  <c r="M55" i="3" s="1"/>
  <c r="N55" i="3" s="1"/>
  <c r="O55" i="3" s="1"/>
  <c r="P55" i="3" s="1"/>
  <c r="L54" i="3"/>
  <c r="M54" i="3" s="1"/>
  <c r="N54" i="3" s="1"/>
  <c r="O54" i="3" s="1"/>
  <c r="P54" i="3" s="1"/>
  <c r="L36" i="3"/>
  <c r="M36" i="3" s="1"/>
  <c r="N36" i="3" s="1"/>
  <c r="O36" i="3" s="1"/>
  <c r="P36" i="3" s="1"/>
  <c r="L34" i="3"/>
  <c r="M34" i="3" s="1"/>
  <c r="N34" i="3" s="1"/>
  <c r="O34" i="3" s="1"/>
  <c r="P34" i="3" s="1"/>
  <c r="H100" i="3"/>
  <c r="I100" i="3" s="1"/>
  <c r="J100" i="3" s="1"/>
  <c r="K100" i="3" s="1"/>
  <c r="P29" i="3"/>
  <c r="O29" i="3"/>
  <c r="N29" i="3"/>
  <c r="L29" i="3"/>
  <c r="M29" i="3"/>
  <c r="J28" i="3"/>
  <c r="I28" i="3"/>
  <c r="H28" i="3"/>
  <c r="J29" i="3"/>
  <c r="I29" i="3"/>
  <c r="K26" i="3"/>
  <c r="J26" i="3"/>
  <c r="I13" i="3"/>
  <c r="I15" i="3" s="1"/>
  <c r="J11" i="3"/>
  <c r="K11" i="3" s="1"/>
  <c r="K12" i="3" s="1"/>
  <c r="H11" i="3"/>
  <c r="H12" i="3" s="1"/>
  <c r="K10" i="3"/>
  <c r="J10" i="3"/>
  <c r="K27" i="3"/>
  <c r="K28" i="3" s="1"/>
  <c r="H4" i="3"/>
  <c r="I4" i="3" s="1"/>
  <c r="J4" i="3" s="1"/>
  <c r="K4" i="3" s="1"/>
  <c r="I31" i="1"/>
  <c r="H31" i="1"/>
  <c r="G31" i="1"/>
  <c r="F31" i="1"/>
  <c r="E31" i="1"/>
  <c r="I4" i="4"/>
  <c r="J4" i="4"/>
  <c r="J76" i="1"/>
  <c r="E4" i="4"/>
  <c r="K4" i="4"/>
  <c r="H4" i="4"/>
  <c r="G4" i="4"/>
  <c r="F4" i="4"/>
  <c r="N94" i="3"/>
  <c r="M94" i="3"/>
  <c r="L94" i="3"/>
  <c r="AJ8" i="4"/>
  <c r="AI8" i="4"/>
  <c r="AH8" i="4"/>
  <c r="AG8" i="4"/>
  <c r="AF8" i="4"/>
  <c r="AE8" i="4"/>
  <c r="AD8" i="4"/>
  <c r="AC8" i="4"/>
  <c r="AB8" i="4"/>
  <c r="AA8" i="4"/>
  <c r="Z8" i="4"/>
  <c r="S14" i="4" s="1"/>
  <c r="Y8" i="4"/>
  <c r="X8" i="4"/>
  <c r="W8" i="4"/>
  <c r="V8" i="4"/>
  <c r="U8" i="4"/>
  <c r="T8" i="4"/>
  <c r="S8" i="4"/>
  <c r="R8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S11" i="4" s="1"/>
  <c r="T5" i="4"/>
  <c r="S5" i="4"/>
  <c r="R5" i="4"/>
  <c r="K50" i="1"/>
  <c r="J50" i="1"/>
  <c r="J73" i="1" s="1"/>
  <c r="O44" i="3" l="1"/>
  <c r="L45" i="3"/>
  <c r="J22" i="3"/>
  <c r="J13" i="3" s="1"/>
  <c r="J14" i="3" s="1"/>
  <c r="M45" i="3"/>
  <c r="L11" i="3"/>
  <c r="L22" i="3" s="1"/>
  <c r="K22" i="3"/>
  <c r="J18" i="3"/>
  <c r="K18" i="3"/>
  <c r="L27" i="3"/>
  <c r="M27" i="3" s="1"/>
  <c r="K29" i="3"/>
  <c r="J12" i="3"/>
  <c r="I12" i="3"/>
  <c r="S15" i="4"/>
  <c r="S12" i="4"/>
  <c r="S10" i="4"/>
  <c r="S13" i="4"/>
  <c r="J38" i="3"/>
  <c r="G54" i="3"/>
  <c r="H54" i="3"/>
  <c r="G9" i="3"/>
  <c r="G13" i="3" s="1"/>
  <c r="G15" i="3" s="1"/>
  <c r="G25" i="3"/>
  <c r="G29" i="3" s="1"/>
  <c r="H25" i="3"/>
  <c r="H9" i="3"/>
  <c r="H13" i="3" s="1"/>
  <c r="P11" i="1"/>
  <c r="K22" i="1"/>
  <c r="J22" i="1"/>
  <c r="P16" i="1"/>
  <c r="O45" i="3" l="1"/>
  <c r="P44" i="3"/>
  <c r="P45" i="3" s="1"/>
  <c r="H14" i="3"/>
  <c r="K13" i="3"/>
  <c r="J15" i="3"/>
  <c r="J16" i="3" s="1"/>
  <c r="H15" i="3"/>
  <c r="M11" i="3"/>
  <c r="M22" i="3" s="1"/>
  <c r="L12" i="3"/>
  <c r="I14" i="3"/>
  <c r="L18" i="3"/>
  <c r="M28" i="3"/>
  <c r="N27" i="3"/>
  <c r="M25" i="3"/>
  <c r="L25" i="3"/>
  <c r="L28" i="3"/>
  <c r="H29" i="3"/>
  <c r="I26" i="3"/>
  <c r="H26" i="3"/>
  <c r="I10" i="3"/>
  <c r="H10" i="3"/>
  <c r="I6" i="4"/>
  <c r="H6" i="4"/>
  <c r="G6" i="4"/>
  <c r="F6" i="4"/>
  <c r="E6" i="4"/>
  <c r="K71" i="3"/>
  <c r="J71" i="3"/>
  <c r="I71" i="3"/>
  <c r="H71" i="3"/>
  <c r="G71" i="3"/>
  <c r="I58" i="3"/>
  <c r="H58" i="3"/>
  <c r="G58" i="3"/>
  <c r="L90" i="3"/>
  <c r="M90" i="3" s="1"/>
  <c r="N90" i="3" s="1"/>
  <c r="H80" i="3"/>
  <c r="I80" i="3" s="1"/>
  <c r="J80" i="3" s="1"/>
  <c r="K80" i="3" s="1"/>
  <c r="G78" i="3"/>
  <c r="K78" i="3"/>
  <c r="J78" i="3"/>
  <c r="I78" i="3"/>
  <c r="H78" i="3"/>
  <c r="K76" i="3"/>
  <c r="J76" i="3"/>
  <c r="I76" i="3"/>
  <c r="H76" i="3"/>
  <c r="G76" i="3"/>
  <c r="H73" i="3"/>
  <c r="I73" i="3" s="1"/>
  <c r="J73" i="3" s="1"/>
  <c r="K73" i="3" s="1"/>
  <c r="G52" i="3"/>
  <c r="H52" i="3"/>
  <c r="I52" i="3"/>
  <c r="J51" i="3"/>
  <c r="J52" i="3" s="1"/>
  <c r="K51" i="3"/>
  <c r="J66" i="3"/>
  <c r="K38" i="3"/>
  <c r="I69" i="3"/>
  <c r="H69" i="3"/>
  <c r="G69" i="3"/>
  <c r="I66" i="3"/>
  <c r="H66" i="3"/>
  <c r="G66" i="3"/>
  <c r="K63" i="3"/>
  <c r="J63" i="3"/>
  <c r="I63" i="3"/>
  <c r="H63" i="3"/>
  <c r="G63" i="3"/>
  <c r="M56" i="3"/>
  <c r="N56" i="3" s="1"/>
  <c r="O56" i="3" s="1"/>
  <c r="P56" i="3" s="1"/>
  <c r="G7" i="3"/>
  <c r="K7" i="3"/>
  <c r="J7" i="3"/>
  <c r="I7" i="3"/>
  <c r="H7" i="3"/>
  <c r="I39" i="3"/>
  <c r="H39" i="3"/>
  <c r="G39" i="3"/>
  <c r="H16" i="3" l="1"/>
  <c r="I16" i="3"/>
  <c r="K47" i="3"/>
  <c r="L47" i="3" s="1"/>
  <c r="K15" i="3"/>
  <c r="K16" i="3" s="1"/>
  <c r="K14" i="3"/>
  <c r="N11" i="3"/>
  <c r="N22" i="3" s="1"/>
  <c r="M12" i="3"/>
  <c r="M18" i="3"/>
  <c r="O27" i="3"/>
  <c r="N25" i="3"/>
  <c r="N26" i="3" s="1"/>
  <c r="N28" i="3"/>
  <c r="L26" i="3"/>
  <c r="M26" i="3"/>
  <c r="K52" i="3"/>
  <c r="J58" i="3"/>
  <c r="K58" i="3"/>
  <c r="J69" i="3"/>
  <c r="K69" i="3"/>
  <c r="J39" i="3"/>
  <c r="K39" i="3"/>
  <c r="K66" i="3"/>
  <c r="L51" i="3"/>
  <c r="L68" i="3" s="1"/>
  <c r="M51" i="3"/>
  <c r="M68" i="3" s="1"/>
  <c r="M47" i="3" l="1"/>
  <c r="L48" i="3"/>
  <c r="L38" i="3"/>
  <c r="L15" i="3"/>
  <c r="L16" i="3" s="1"/>
  <c r="L14" i="3"/>
  <c r="O11" i="3"/>
  <c r="O22" i="3" s="1"/>
  <c r="N12" i="3"/>
  <c r="N18" i="3"/>
  <c r="P27" i="3"/>
  <c r="O28" i="3"/>
  <c r="O25" i="3"/>
  <c r="O26" i="3" s="1"/>
  <c r="L69" i="3"/>
  <c r="M52" i="3"/>
  <c r="L52" i="3"/>
  <c r="M69" i="3"/>
  <c r="N51" i="3"/>
  <c r="L39" i="3" l="1"/>
  <c r="L65" i="3"/>
  <c r="L66" i="3" s="1"/>
  <c r="M38" i="3"/>
  <c r="N47" i="3"/>
  <c r="M48" i="3"/>
  <c r="L9" i="3"/>
  <c r="M15" i="3"/>
  <c r="M14" i="3"/>
  <c r="N68" i="3"/>
  <c r="O51" i="3"/>
  <c r="P11" i="3"/>
  <c r="P18" i="3" s="1"/>
  <c r="O12" i="3"/>
  <c r="O18" i="3"/>
  <c r="P25" i="3"/>
  <c r="P26" i="3" s="1"/>
  <c r="P28" i="3"/>
  <c r="N52" i="3"/>
  <c r="N69" i="3"/>
  <c r="M16" i="3" l="1"/>
  <c r="M65" i="3"/>
  <c r="M66" i="3" s="1"/>
  <c r="M39" i="3"/>
  <c r="N38" i="3"/>
  <c r="O47" i="3"/>
  <c r="O38" i="3" s="1"/>
  <c r="N48" i="3"/>
  <c r="L10" i="3"/>
  <c r="L6" i="3"/>
  <c r="L62" i="3" s="1"/>
  <c r="L63" i="3" s="1"/>
  <c r="M9" i="3"/>
  <c r="P12" i="3"/>
  <c r="P22" i="3"/>
  <c r="O52" i="3"/>
  <c r="P51" i="3"/>
  <c r="P52" i="3" s="1"/>
  <c r="N15" i="3"/>
  <c r="N14" i="3"/>
  <c r="H60" i="3"/>
  <c r="I60" i="3" s="1"/>
  <c r="J60" i="3" s="1"/>
  <c r="K60" i="3" s="1"/>
  <c r="L58" i="3" l="1"/>
  <c r="J27" i="1" s="1"/>
  <c r="J36" i="1" s="1"/>
  <c r="J37" i="1" s="1"/>
  <c r="N16" i="3"/>
  <c r="L7" i="3"/>
  <c r="P47" i="3"/>
  <c r="O48" i="3"/>
  <c r="O39" i="3"/>
  <c r="N39" i="3"/>
  <c r="N65" i="3"/>
  <c r="N66" i="3" s="1"/>
  <c r="L71" i="3"/>
  <c r="M10" i="3"/>
  <c r="M6" i="3"/>
  <c r="N9" i="3"/>
  <c r="J30" i="1"/>
  <c r="J33" i="1" s="1"/>
  <c r="J34" i="1" s="1"/>
  <c r="L91" i="3"/>
  <c r="L92" i="3" s="1"/>
  <c r="J28" i="1"/>
  <c r="J39" i="1"/>
  <c r="O15" i="3"/>
  <c r="O14" i="3"/>
  <c r="P10" i="1"/>
  <c r="P18" i="1" s="1"/>
  <c r="P22" i="1" s="1"/>
  <c r="H33" i="1"/>
  <c r="H42" i="1" s="1"/>
  <c r="G33" i="1"/>
  <c r="G42" i="1" s="1"/>
  <c r="F33" i="1"/>
  <c r="F42" i="1" s="1"/>
  <c r="E33" i="1"/>
  <c r="E42" i="1" s="1"/>
  <c r="I33" i="1"/>
  <c r="I34" i="1" s="1"/>
  <c r="I40" i="1"/>
  <c r="H40" i="1"/>
  <c r="G40" i="1"/>
  <c r="F40" i="1"/>
  <c r="E40" i="1"/>
  <c r="I37" i="1"/>
  <c r="H37" i="1"/>
  <c r="G37" i="1"/>
  <c r="F37" i="1"/>
  <c r="E37" i="1"/>
  <c r="U13" i="1"/>
  <c r="T22" i="1"/>
  <c r="M58" i="3" l="1"/>
  <c r="K27" i="1" s="1"/>
  <c r="K30" i="1" s="1"/>
  <c r="K33" i="1" s="1"/>
  <c r="K34" i="1" s="1"/>
  <c r="M23" i="3"/>
  <c r="O16" i="3"/>
  <c r="M62" i="3"/>
  <c r="M71" i="3" s="1"/>
  <c r="M7" i="3"/>
  <c r="P38" i="3"/>
  <c r="P39" i="3" s="1"/>
  <c r="P48" i="3"/>
  <c r="N10" i="3"/>
  <c r="N6" i="3"/>
  <c r="O9" i="3"/>
  <c r="P14" i="3"/>
  <c r="P15" i="3"/>
  <c r="P16" i="3" s="1"/>
  <c r="E34" i="1"/>
  <c r="G34" i="1"/>
  <c r="H34" i="1"/>
  <c r="J42" i="1"/>
  <c r="J45" i="1" s="1"/>
  <c r="F34" i="1"/>
  <c r="J40" i="1"/>
  <c r="I42" i="1"/>
  <c r="J31" i="1"/>
  <c r="U23" i="1"/>
  <c r="U7" i="1" s="1"/>
  <c r="K31" i="1" l="1"/>
  <c r="N62" i="3"/>
  <c r="N23" i="3"/>
  <c r="M91" i="3"/>
  <c r="M92" i="3" s="1"/>
  <c r="K39" i="1"/>
  <c r="K40" i="1" s="1"/>
  <c r="K36" i="1"/>
  <c r="N7" i="3"/>
  <c r="M63" i="3"/>
  <c r="N58" i="3"/>
  <c r="L27" i="1" s="1"/>
  <c r="N91" i="3" s="1"/>
  <c r="N92" i="3" s="1"/>
  <c r="O10" i="3"/>
  <c r="O6" i="3"/>
  <c r="P9" i="3"/>
  <c r="N63" i="3"/>
  <c r="N71" i="3"/>
  <c r="J65" i="1"/>
  <c r="F15" i="1"/>
  <c r="G15" i="1" s="1"/>
  <c r="H15" i="1" s="1"/>
  <c r="I15" i="1" s="1"/>
  <c r="I22" i="1"/>
  <c r="K37" i="1" l="1"/>
  <c r="K42" i="1"/>
  <c r="K45" i="1" s="1"/>
  <c r="L36" i="1"/>
  <c r="L39" i="1"/>
  <c r="O58" i="3"/>
  <c r="M27" i="1" s="1"/>
  <c r="M36" i="1" s="1"/>
  <c r="O7" i="3"/>
  <c r="P10" i="3"/>
  <c r="P6" i="3"/>
  <c r="K76" i="1"/>
  <c r="I76" i="1"/>
  <c r="H76" i="1"/>
  <c r="G76" i="1"/>
  <c r="F76" i="1"/>
  <c r="E76" i="1"/>
  <c r="I73" i="1"/>
  <c r="H73" i="1"/>
  <c r="H74" i="1" s="1"/>
  <c r="G73" i="1"/>
  <c r="G74" i="1" s="1"/>
  <c r="F73" i="1"/>
  <c r="F74" i="1" s="1"/>
  <c r="E73" i="1"/>
  <c r="I68" i="1"/>
  <c r="H68" i="1"/>
  <c r="G68" i="1"/>
  <c r="F68" i="1"/>
  <c r="E68" i="1"/>
  <c r="I65" i="1"/>
  <c r="H65" i="1"/>
  <c r="G65" i="1"/>
  <c r="F65" i="1"/>
  <c r="E65" i="1"/>
  <c r="K62" i="1"/>
  <c r="K82" i="1" s="1"/>
  <c r="K83" i="1" s="1"/>
  <c r="J62" i="1"/>
  <c r="J82" i="1" s="1"/>
  <c r="J83" i="1" s="1"/>
  <c r="I62" i="1"/>
  <c r="I83" i="1" s="1"/>
  <c r="H62" i="1"/>
  <c r="H83" i="1" s="1"/>
  <c r="G62" i="1"/>
  <c r="G83" i="1" s="1"/>
  <c r="F62" i="1"/>
  <c r="F83" i="1" s="1"/>
  <c r="E62" i="1"/>
  <c r="J57" i="1"/>
  <c r="J79" i="1" s="1"/>
  <c r="K57" i="1"/>
  <c r="K79" i="1" s="1"/>
  <c r="I57" i="1"/>
  <c r="H57" i="1"/>
  <c r="H79" i="1" s="1"/>
  <c r="G57" i="1"/>
  <c r="F57" i="1"/>
  <c r="E57" i="1"/>
  <c r="E28" i="1"/>
  <c r="K73" i="1"/>
  <c r="I52" i="1"/>
  <c r="H52" i="1"/>
  <c r="G52" i="1"/>
  <c r="F52" i="1"/>
  <c r="E52" i="1"/>
  <c r="I51" i="1"/>
  <c r="H51" i="1"/>
  <c r="G51" i="1"/>
  <c r="F51" i="1"/>
  <c r="E51" i="1"/>
  <c r="I46" i="1"/>
  <c r="H46" i="1"/>
  <c r="G46" i="1"/>
  <c r="F46" i="1"/>
  <c r="E46" i="1"/>
  <c r="K46" i="1"/>
  <c r="J46" i="1"/>
  <c r="I43" i="1"/>
  <c r="H43" i="1"/>
  <c r="G43" i="1"/>
  <c r="F43" i="1"/>
  <c r="E43" i="1"/>
  <c r="K28" i="1"/>
  <c r="I28" i="1"/>
  <c r="H28" i="1"/>
  <c r="G28" i="1"/>
  <c r="F28" i="1"/>
  <c r="E22" i="1"/>
  <c r="F22" i="1"/>
  <c r="G22" i="1"/>
  <c r="H22" i="1"/>
  <c r="I20" i="1"/>
  <c r="I23" i="1" s="1"/>
  <c r="H20" i="1"/>
  <c r="G20" i="1"/>
  <c r="F20" i="1"/>
  <c r="E20" i="1"/>
  <c r="P58" i="3" l="1"/>
  <c r="N27" i="1" s="1"/>
  <c r="N36" i="1" s="1"/>
  <c r="P23" i="3"/>
  <c r="E63" i="1"/>
  <c r="E83" i="1"/>
  <c r="P7" i="3"/>
  <c r="L4" i="4"/>
  <c r="M54" i="1"/>
  <c r="M50" i="1" s="1"/>
  <c r="I58" i="1"/>
  <c r="I79" i="1"/>
  <c r="E59" i="1"/>
  <c r="E79" i="1"/>
  <c r="F59" i="1"/>
  <c r="F79" i="1"/>
  <c r="G59" i="1"/>
  <c r="G79" i="1"/>
  <c r="G80" i="1" s="1"/>
  <c r="K59" i="1"/>
  <c r="J59" i="1"/>
  <c r="J80" i="1"/>
  <c r="H23" i="1"/>
  <c r="G23" i="1"/>
  <c r="E23" i="1"/>
  <c r="F23" i="1"/>
  <c r="L37" i="1"/>
  <c r="L40" i="1"/>
  <c r="L50" i="1"/>
  <c r="L73" i="1" s="1"/>
  <c r="L30" i="1"/>
  <c r="L31" i="1" s="1"/>
  <c r="L28" i="1"/>
  <c r="H71" i="1"/>
  <c r="H86" i="1" s="1"/>
  <c r="I71" i="1"/>
  <c r="J74" i="1"/>
  <c r="K74" i="1"/>
  <c r="E77" i="1"/>
  <c r="G77" i="1"/>
  <c r="E69" i="1"/>
  <c r="F69" i="1"/>
  <c r="G69" i="1"/>
  <c r="H58" i="1"/>
  <c r="I59" i="1"/>
  <c r="H69" i="1"/>
  <c r="H59" i="1"/>
  <c r="I69" i="1"/>
  <c r="E74" i="1"/>
  <c r="E71" i="1"/>
  <c r="F80" i="1"/>
  <c r="F71" i="1"/>
  <c r="G71" i="1"/>
  <c r="I63" i="1"/>
  <c r="I74" i="1"/>
  <c r="F63" i="1"/>
  <c r="J63" i="1"/>
  <c r="H63" i="1"/>
  <c r="H77" i="1"/>
  <c r="I77" i="1"/>
  <c r="J77" i="1"/>
  <c r="K77" i="1"/>
  <c r="F66" i="1"/>
  <c r="G63" i="1"/>
  <c r="E66" i="1"/>
  <c r="E80" i="1"/>
  <c r="H80" i="1"/>
  <c r="J58" i="1"/>
  <c r="K63" i="1"/>
  <c r="L62" i="1"/>
  <c r="L82" i="1" s="1"/>
  <c r="L83" i="1" s="1"/>
  <c r="G66" i="1"/>
  <c r="I80" i="1"/>
  <c r="H66" i="1"/>
  <c r="I66" i="1"/>
  <c r="F77" i="1"/>
  <c r="K80" i="1"/>
  <c r="J51" i="1"/>
  <c r="K51" i="1"/>
  <c r="K58" i="1"/>
  <c r="J52" i="1"/>
  <c r="K65" i="1"/>
  <c r="K52" i="1"/>
  <c r="J68" i="1"/>
  <c r="K68" i="1"/>
  <c r="L57" i="1"/>
  <c r="L79" i="1" s="1"/>
  <c r="E58" i="1"/>
  <c r="F58" i="1"/>
  <c r="G58" i="1"/>
  <c r="J43" i="1"/>
  <c r="K43" i="1"/>
  <c r="L51" i="1" l="1"/>
  <c r="M76" i="1"/>
  <c r="N54" i="1"/>
  <c r="N4" i="4" s="1"/>
  <c r="L52" i="1"/>
  <c r="L33" i="1"/>
  <c r="M37" i="1"/>
  <c r="M39" i="1"/>
  <c r="M40" i="1" s="1"/>
  <c r="L34" i="1"/>
  <c r="L42" i="1"/>
  <c r="E86" i="1"/>
  <c r="M30" i="1"/>
  <c r="M31" i="1" s="1"/>
  <c r="F86" i="1"/>
  <c r="G86" i="1"/>
  <c r="J71" i="1"/>
  <c r="J5" i="4" s="1"/>
  <c r="J6" i="4" s="1"/>
  <c r="J66" i="1"/>
  <c r="K66" i="1"/>
  <c r="K71" i="1"/>
  <c r="K5" i="4" s="1"/>
  <c r="K6" i="4" s="1"/>
  <c r="K69" i="1"/>
  <c r="J69" i="1"/>
  <c r="I86" i="1"/>
  <c r="L63" i="1"/>
  <c r="L59" i="1"/>
  <c r="L58" i="1"/>
  <c r="L80" i="1"/>
  <c r="M73" i="1"/>
  <c r="M52" i="1"/>
  <c r="M51" i="1"/>
  <c r="L74" i="1"/>
  <c r="M57" i="1"/>
  <c r="M79" i="1" s="1"/>
  <c r="M62" i="1"/>
  <c r="M82" i="1" s="1"/>
  <c r="M83" i="1" s="1"/>
  <c r="M28" i="1"/>
  <c r="L77" i="1"/>
  <c r="K85" i="1" l="1"/>
  <c r="K88" i="1" s="1"/>
  <c r="J85" i="1"/>
  <c r="J88" i="1" s="1"/>
  <c r="M77" i="1"/>
  <c r="N50" i="1"/>
  <c r="L43" i="1"/>
  <c r="L45" i="1"/>
  <c r="L68" i="1" s="1"/>
  <c r="N76" i="1"/>
  <c r="L65" i="1"/>
  <c r="L66" i="1" s="1"/>
  <c r="M33" i="1"/>
  <c r="M34" i="1" s="1"/>
  <c r="N39" i="1"/>
  <c r="N40" i="1" s="1"/>
  <c r="N37" i="1"/>
  <c r="N30" i="1"/>
  <c r="N31" i="1" s="1"/>
  <c r="M74" i="1"/>
  <c r="M59" i="1"/>
  <c r="M58" i="1"/>
  <c r="M80" i="1"/>
  <c r="M63" i="1"/>
  <c r="N28" i="1"/>
  <c r="N57" i="1"/>
  <c r="N79" i="1" s="1"/>
  <c r="N62" i="1"/>
  <c r="Y14" i="1" s="1"/>
  <c r="N73" i="1"/>
  <c r="N52" i="1"/>
  <c r="N51" i="1"/>
  <c r="Y18" i="1" l="1"/>
  <c r="Y21" i="1" s="1"/>
  <c r="Y15" i="1"/>
  <c r="Z14" i="1"/>
  <c r="K86" i="1"/>
  <c r="J86" i="1"/>
  <c r="L69" i="1"/>
  <c r="L46" i="1"/>
  <c r="N77" i="1"/>
  <c r="N82" i="1"/>
  <c r="N83" i="1" s="1"/>
  <c r="L71" i="1"/>
  <c r="M42" i="1"/>
  <c r="N74" i="1"/>
  <c r="N33" i="1"/>
  <c r="N34" i="1" s="1"/>
  <c r="N63" i="1"/>
  <c r="N59" i="1"/>
  <c r="N58" i="1"/>
  <c r="N80" i="1"/>
  <c r="F61" i="1"/>
  <c r="G61" i="1" s="1"/>
  <c r="H61" i="1" s="1"/>
  <c r="I61" i="1" s="1"/>
  <c r="F48" i="1"/>
  <c r="G48" i="1" s="1"/>
  <c r="H48" i="1" s="1"/>
  <c r="I48" i="1" s="1"/>
  <c r="F25" i="1"/>
  <c r="G25" i="1" s="1"/>
  <c r="H25" i="1" s="1"/>
  <c r="I25" i="1" s="1"/>
  <c r="L85" i="1" l="1"/>
  <c r="L5" i="4"/>
  <c r="L6" i="4" s="1"/>
  <c r="AA14" i="1"/>
  <c r="Z18" i="1"/>
  <c r="Z15" i="1"/>
  <c r="M65" i="1"/>
  <c r="M66" i="1" s="1"/>
  <c r="M45" i="1"/>
  <c r="M68" i="1" s="1"/>
  <c r="M43" i="1"/>
  <c r="N42" i="1"/>
  <c r="Z19" i="1" l="1"/>
  <c r="Z21" i="1"/>
  <c r="AA18" i="1"/>
  <c r="AB14" i="1"/>
  <c r="AA15" i="1"/>
  <c r="L86" i="1"/>
  <c r="L88" i="1"/>
  <c r="M46" i="1"/>
  <c r="N45" i="1"/>
  <c r="N65" i="1"/>
  <c r="N43" i="1"/>
  <c r="M69" i="1"/>
  <c r="M71" i="1"/>
  <c r="M5" i="4" s="1"/>
  <c r="M6" i="4" s="1"/>
  <c r="AB18" i="1" l="1"/>
  <c r="AB15" i="1"/>
  <c r="AC14" i="1"/>
  <c r="AA19" i="1"/>
  <c r="AA21" i="1"/>
  <c r="M85" i="1"/>
  <c r="M88" i="1" s="1"/>
  <c r="N66" i="1"/>
  <c r="P8" i="1"/>
  <c r="P9" i="1" s="1"/>
  <c r="N68" i="1"/>
  <c r="N46" i="1"/>
  <c r="AC18" i="1" l="1"/>
  <c r="AD14" i="1"/>
  <c r="AC15" i="1"/>
  <c r="AB19" i="1"/>
  <c r="AB21" i="1"/>
  <c r="M86" i="1"/>
  <c r="N69" i="1"/>
  <c r="N71" i="1"/>
  <c r="N5" i="4" s="1"/>
  <c r="N6" i="4" s="1"/>
  <c r="AD18" i="1" l="1"/>
  <c r="AD15" i="1"/>
  <c r="AC19" i="1"/>
  <c r="AC21" i="1"/>
  <c r="N85" i="1"/>
  <c r="K17" i="1" a="1"/>
  <c r="K17" i="1" s="1"/>
  <c r="K20" i="1" s="1"/>
  <c r="K23" i="1" s="1"/>
  <c r="J17" i="1"/>
  <c r="J20" i="1" s="1"/>
  <c r="J23" i="1" s="1"/>
  <c r="J3" i="4" l="1"/>
  <c r="E3" i="4"/>
  <c r="I3" i="4"/>
  <c r="H3" i="4"/>
  <c r="N3" i="4"/>
  <c r="M3" i="4"/>
  <c r="L3" i="4"/>
  <c r="F3" i="4"/>
  <c r="K3" i="4"/>
  <c r="G3" i="4"/>
  <c r="AD21" i="1"/>
  <c r="AD19" i="1"/>
  <c r="N88" i="1"/>
  <c r="Y19" i="1"/>
  <c r="N86" i="1"/>
  <c r="Y7" i="1" l="1"/>
  <c r="Y9" i="1" s="1"/>
  <c r="Y11" i="1" s="1"/>
  <c r="P7" i="1"/>
  <c r="P13" i="1" s="1"/>
  <c r="E8" i="1" l="1"/>
  <c r="E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tc={E2950F7F-6957-4DB7-A1BE-128DE5E5B417}</author>
    <author>tc={DA47686C-E3BE-471D-BB60-52AC86D0127A}</author>
    <author>tc={838027C6-C4DA-40BB-AA1C-1ED18FC577F8}</author>
    <author>tc={FF38A39E-D0A8-493F-B353-D99010EBD62E}</author>
    <author>tc={E2FB93AD-3AB8-46E5-AE3C-AAA9FE85B94F}</author>
    <author>tc={F8DC3DFF-BC47-4A7F-B53C-E3433576388A}</author>
    <author>tc={FA65D073-0912-40BA-88B1-A6FD41061D93}</author>
    <author>tc={74BBC8CA-EF8E-46EB-9A76-07FCF5F54EDF}</author>
    <author>tc={2D10753F-E4E2-4EAD-A2C6-2F41C5AA87CA}</author>
    <author>tc={8A82520B-1E9D-4093-8C1B-3775585F23DC}</author>
    <author>tc={C2B35E33-EC14-4BFA-B062-57AC9617D21B}</author>
    <author>tc={0AEE88EF-F5A5-4222-8D90-AB39EF908C53}</author>
    <author>tc={6E9EEE48-010B-419D-88AA-8E2878DCB24F}</author>
  </authors>
  <commentList>
    <comment ref="G11" authorId="0" shapeId="0" xr:uid="{E2950F7F-6957-4DB7-A1BE-128DE5E5B417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300 million Dec 2021</t>
      </text>
    </comment>
    <comment ref="I11" authorId="1" shapeId="0" xr:uid="{DA47686C-E3BE-471D-BB60-52AC86D0127A}">
      <text>
        <t>[Threaded comment]
Your version of Excel allows you to read this threaded comment; however, any edits to it will get removed if the file is opened in a newer version of Excel. Learn more: https://go.microsoft.com/fwlink/?linkid=870924
Comment:
    382 million Q3 FY23</t>
      </text>
    </comment>
    <comment ref="J11" authorId="2" shapeId="0" xr:uid="{838027C6-C4DA-40BB-AA1C-1ED18FC577F8}">
      <text>
        <t>[Threaded comment]
Your version of Excel allows you to read this threaded comment; however, any edits to it will get removed if the file is opened in a newer version of Excel. Learn more: https://go.microsoft.com/fwlink/?linkid=870924
Comment:
    Surpassed 400 million seats in FY 24 Q2, Grew 7% FY 24 10K</t>
      </text>
    </comment>
    <comment ref="K11" authorId="3" shapeId="0" xr:uid="{FF38A39E-D0A8-493F-B353-D99010EBD62E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7% FY25 Q2</t>
      </text>
    </comment>
    <comment ref="G27" authorId="4" shapeId="0" xr:uid="{E2FB93AD-3AB8-46E5-AE3C-AAA9FE85B94F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H27" authorId="5" shapeId="0" xr:uid="{F8DC3DFF-BC47-4A7F-B53C-E3433576388A}">
      <text>
        <t>[Threaded comment]
Your version of Excel allows you to read this threaded comment; however, any edits to it will get removed if the file is opened in a newer version of Excel. Learn more: https://go.microsoft.com/fwlink/?linkid=870924
Comment:
    51.9 FY21 10K</t>
      </text>
    </comment>
    <comment ref="I27" authorId="6" shapeId="0" xr:uid="{FA65D073-0912-40BA-88B1-A6FD41061D93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12% to 67 million FY23 10K</t>
      </text>
    </comment>
    <comment ref="J27" authorId="7" shapeId="0" xr:uid="{74BBC8CA-EF8E-46EB-9A76-07FCF5F54EDF}">
      <text>
        <t>[Threaded comment]
Your version of Excel allows you to read this threaded comment; however, any edits to it will get removed if the file is opened in a newer version of Excel. Learn more: https://go.microsoft.com/fwlink/?linkid=870924
Comment:
    Grew 10% to 82.5 million FY 24 10K</t>
      </text>
    </comment>
    <comment ref="K27" authorId="8" shapeId="0" xr:uid="{2D10753F-E4E2-4EAD-A2C6-2F41C5AA87CA}">
      <text>
        <t>[Threaded comment]
Your version of Excel allows you to read this threaded comment; however, any edits to it will get removed if the file is opened in a newer version of Excel. Learn more: https://go.microsoft.com/fwlink/?linkid=870924
Comment:
    86.3 on Q2 FY25</t>
      </text>
    </comment>
    <comment ref="J32" authorId="9" shapeId="0" xr:uid="{8A82520B-1E9D-4093-8C1B-3775585F23DC}">
      <text>
        <t>[Threaded comment]
Your version of Excel allows you to read this threaded comment; however, any edits to it will get removed if the file is opened in a newer version of Excel. Learn more: https://go.microsoft.com/fwlink/?linkid=870924
Comment:
    $20/month add-on</t>
      </text>
    </comment>
    <comment ref="K32" authorId="10" shapeId="0" xr:uid="{C2B35E33-EC14-4BFA-B062-57AC9617D21B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tier 2025</t>
      </text>
    </comment>
    <comment ref="L83" authorId="11" shapeId="0" xr:uid="{0AEE88EF-F5A5-4222-8D90-AB39EF908C5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Q1 2026 392B
Expected to recognize 40% over NTM
Reply:
    Q2 2026 625B
Expected to recognize 25% over NTM
</t>
      </text>
    </comment>
    <comment ref="L88" authorId="12" shapeId="0" xr:uid="{6E9EEE48-010B-419D-88AA-8E2878DCB24F}">
      <text>
        <t>[Threaded comment]
Your version of Excel allows you to read this threaded comment; however, any edits to it will get removed if the file is opened in a newer version of Excel. Learn more: https://go.microsoft.com/fwlink/?linkid=870924
Comment:
    SemiAnalysis expects growth over 40%. Up to 53% in December 2026
Q1 2026 Growth: %40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<sst xmlns="http://schemas.openxmlformats.org/spreadsheetml/2006/main" count="460" uniqueCount="352">
  <si>
    <t>Ticker</t>
  </si>
  <si>
    <t>MSFT</t>
  </si>
  <si>
    <t>Implied Share Price</t>
  </si>
  <si>
    <t>Current Share Price</t>
  </si>
  <si>
    <t>Implied Upside / (Downside)</t>
  </si>
  <si>
    <t>Income Statement</t>
  </si>
  <si>
    <t>2026E</t>
  </si>
  <si>
    <t>2027E</t>
  </si>
  <si>
    <t>2028E</t>
  </si>
  <si>
    <t>2029E</t>
  </si>
  <si>
    <t>2030E</t>
  </si>
  <si>
    <t>Revenue</t>
  </si>
  <si>
    <t>% growth</t>
  </si>
  <si>
    <t>EBIT</t>
  </si>
  <si>
    <t>Taxes</t>
  </si>
  <si>
    <t>Tax rate</t>
  </si>
  <si>
    <t>% of sales</t>
  </si>
  <si>
    <t>Cash Flow Items</t>
  </si>
  <si>
    <t>D&amp;A</t>
  </si>
  <si>
    <t>CapEx</t>
  </si>
  <si>
    <t>Changes in NWC</t>
  </si>
  <si>
    <t>% of changes in sales</t>
  </si>
  <si>
    <t>DCF</t>
  </si>
  <si>
    <t>EBIAT</t>
  </si>
  <si>
    <t>Free Cash Flow</t>
  </si>
  <si>
    <t>Present Value of FCF</t>
  </si>
  <si>
    <t>Key Statistics</t>
  </si>
  <si>
    <t>Stock Price</t>
  </si>
  <si>
    <t>Market Cap</t>
  </si>
  <si>
    <t>Cash</t>
  </si>
  <si>
    <t>Debt</t>
  </si>
  <si>
    <t>Enterprise Value</t>
  </si>
  <si>
    <t xml:space="preserve">shares outstanding diluted </t>
  </si>
  <si>
    <t>Net Debt</t>
  </si>
  <si>
    <t>% of capex</t>
  </si>
  <si>
    <t>WACC</t>
  </si>
  <si>
    <t>% of Equity</t>
  </si>
  <si>
    <t>Cost of Equity</t>
  </si>
  <si>
    <t>Risk Free Rate</t>
  </si>
  <si>
    <t>Beta</t>
  </si>
  <si>
    <t>Market Risk Premium</t>
  </si>
  <si>
    <t>% of Debt</t>
  </si>
  <si>
    <t>Cost of Debt</t>
  </si>
  <si>
    <t>Tax Rate</t>
  </si>
  <si>
    <t>Total</t>
  </si>
  <si>
    <t>Notes</t>
  </si>
  <si>
    <t>Valuation</t>
  </si>
  <si>
    <t>PV of FCF</t>
  </si>
  <si>
    <t>Terminal Value</t>
  </si>
  <si>
    <t>Shares Outstanding</t>
  </si>
  <si>
    <t>Implied Market Cap</t>
  </si>
  <si>
    <t>all values in millions except per share numbers</t>
  </si>
  <si>
    <t>EV/EBIT Multiple</t>
  </si>
  <si>
    <t>PV of Terminal Value</t>
  </si>
  <si>
    <t>Company Overview</t>
  </si>
  <si>
    <t>Price</t>
  </si>
  <si>
    <t>Key Stats</t>
  </si>
  <si>
    <t>Employees</t>
  </si>
  <si>
    <t>Founded</t>
  </si>
  <si>
    <t>CEO</t>
  </si>
  <si>
    <t>Headquarters</t>
  </si>
  <si>
    <t>Primary Industry</t>
  </si>
  <si>
    <t>Redmond, WA</t>
  </si>
  <si>
    <t>Fiscal Year End</t>
  </si>
  <si>
    <t>COGS</t>
  </si>
  <si>
    <t>Gross Income</t>
  </si>
  <si>
    <t>SG&amp;A</t>
  </si>
  <si>
    <t>R&amp;D</t>
  </si>
  <si>
    <t>Last Updated</t>
  </si>
  <si>
    <t>Industry Metrics</t>
  </si>
  <si>
    <t>Intelligent Cloud</t>
  </si>
  <si>
    <t>Productivity and Business Processes</t>
  </si>
  <si>
    <t>Product Segments</t>
  </si>
  <si>
    <t>x</t>
  </si>
  <si>
    <t>- Microsoft 365 Commercial Products and Cloud Services</t>
  </si>
  <si>
    <t>-</t>
  </si>
  <si>
    <t>- Microsoft 365 Consumer Products and Cloud Services</t>
  </si>
  <si>
    <t>- Dynamics Products and Cloud Services</t>
  </si>
  <si>
    <t>- LinkedIn</t>
  </si>
  <si>
    <t>- Server Products and Cloud Services</t>
  </si>
  <si>
    <t>- Enterprise and partner services</t>
  </si>
  <si>
    <t>More Personal Computing</t>
  </si>
  <si>
    <t>- Windows and Devices</t>
  </si>
  <si>
    <t>- Search and News Advertising</t>
  </si>
  <si>
    <t>- Gaming</t>
  </si>
  <si>
    <t>Operating Income by Segment</t>
  </si>
  <si>
    <t>% of Sales</t>
  </si>
  <si>
    <t>Notes:</t>
  </si>
  <si>
    <t>Segments were reorganized in FY25, Metrics before 2023 may be unreliable</t>
  </si>
  <si>
    <t>United States</t>
  </si>
  <si>
    <t>Other Countries</t>
  </si>
  <si>
    <t>Revenue Segments by Country</t>
  </si>
  <si>
    <t>Billings</t>
  </si>
  <si>
    <t>Azure Revenue YoY Growth %</t>
  </si>
  <si>
    <t>Azure Constant Currency Revenue Yoy Growth %</t>
  </si>
  <si>
    <t>Capex Including Finance Leases</t>
  </si>
  <si>
    <t>Total Commercial RPO</t>
  </si>
  <si>
    <t>Total Sales</t>
  </si>
  <si>
    <t>Total Operating Income</t>
  </si>
  <si>
    <t>% of fcf</t>
  </si>
  <si>
    <t>CapEx % of OCF</t>
  </si>
  <si>
    <t>P/E (LTM)</t>
  </si>
  <si>
    <t>EV/EBITDA (LTM)</t>
  </si>
  <si>
    <t>P/S (LTM)</t>
  </si>
  <si>
    <t>Financial Ratios</t>
  </si>
  <si>
    <t>P/E (NTM)</t>
  </si>
  <si>
    <t>Strategic Investment (OpenAI)</t>
  </si>
  <si>
    <t>Reinvestment Rate</t>
  </si>
  <si>
    <t>Stock Based Compensation</t>
  </si>
  <si>
    <t>Azure</t>
  </si>
  <si>
    <t>Azure Arc</t>
  </si>
  <si>
    <t>OpenAI</t>
  </si>
  <si>
    <t>Intelligent Data Platform</t>
  </si>
  <si>
    <t>Fabric</t>
  </si>
  <si>
    <t>compute, storage, governance</t>
  </si>
  <si>
    <t>AI Studio</t>
  </si>
  <si>
    <t>Cloud for Sustainability</t>
  </si>
  <si>
    <t>Nuance DAX ambient intelligence</t>
  </si>
  <si>
    <t>DAX Express</t>
  </si>
  <si>
    <t>Productivity</t>
  </si>
  <si>
    <t>Github Copilot</t>
  </si>
  <si>
    <t>VS Code</t>
  </si>
  <si>
    <t>Power BI</t>
  </si>
  <si>
    <t>Power Pages</t>
  </si>
  <si>
    <t>Power Virtual Agents</t>
  </si>
  <si>
    <t>Power Automate</t>
  </si>
  <si>
    <t>10m MAUs - Q4 2023</t>
  </si>
  <si>
    <t>Dynamics</t>
  </si>
  <si>
    <t>Microsoft 365</t>
  </si>
  <si>
    <t>Microsoft 365 Copilot</t>
  </si>
  <si>
    <t>Microsoft Teams</t>
  </si>
  <si>
    <t>Teams Premium</t>
  </si>
  <si>
    <t>Teams Phone</t>
  </si>
  <si>
    <t>Teams Rooms</t>
  </si>
  <si>
    <t>Viva</t>
  </si>
  <si>
    <t>LinkedIn</t>
  </si>
  <si>
    <t>Personal Computing</t>
  </si>
  <si>
    <t>Windows 11</t>
  </si>
  <si>
    <t>Windows 365</t>
  </si>
  <si>
    <t>Entra ID</t>
  </si>
  <si>
    <t>Security Copilot</t>
  </si>
  <si>
    <t>Bing</t>
  </si>
  <si>
    <t>Windows Copilot</t>
  </si>
  <si>
    <t>Bing Chat Enterprise</t>
  </si>
  <si>
    <t>Azure Virtual Desktop</t>
  </si>
  <si>
    <t>$16.8B - FY 2025</t>
  </si>
  <si>
    <t>Windows 365 &gt;$1B TTM - Q4 2023</t>
  </si>
  <si>
    <t>Activision acquisition closes</t>
  </si>
  <si>
    <t>$75.4B</t>
  </si>
  <si>
    <t>Nuance acquisition closes</t>
  </si>
  <si>
    <t>ZeniMax acquisition closes</t>
  </si>
  <si>
    <t>Acquires Nokie phones</t>
  </si>
  <si>
    <t>$9.5B</t>
  </si>
  <si>
    <t>Satya replaces Ballmer</t>
  </si>
  <si>
    <t>$18.1B</t>
  </si>
  <si>
    <t>$8.1B</t>
  </si>
  <si>
    <t>CRM, &gt;5B in revenue FY 2023</t>
  </si>
  <si>
    <t>No Code</t>
  </si>
  <si>
    <t>Loop</t>
  </si>
  <si>
    <t>Notion Alternative</t>
  </si>
  <si>
    <t>Management</t>
  </si>
  <si>
    <t>Amy Hood</t>
  </si>
  <si>
    <t>Alice Jolla</t>
  </si>
  <si>
    <t>Keith Dolliver</t>
  </si>
  <si>
    <t>Brett Iversen</t>
  </si>
  <si>
    <t>Judson Althoff</t>
  </si>
  <si>
    <t>CFO</t>
  </si>
  <si>
    <t>CAO</t>
  </si>
  <si>
    <t>Deputy GC</t>
  </si>
  <si>
    <t>Xbox</t>
  </si>
  <si>
    <t>Surface</t>
  </si>
  <si>
    <t>Key Events</t>
  </si>
  <si>
    <t>Amount</t>
  </si>
  <si>
    <t>Date</t>
  </si>
  <si>
    <t>VP of Investor Relations</t>
  </si>
  <si>
    <t>Brad Smith</t>
  </si>
  <si>
    <t>Mustafa Suleyman</t>
  </si>
  <si>
    <t>Phil Spencer</t>
  </si>
  <si>
    <t>Takeshi Numoto</t>
  </si>
  <si>
    <t>Kathleen Hogan</t>
  </si>
  <si>
    <t>Vice Chair and President</t>
  </si>
  <si>
    <t>CEO, Microsoft AI</t>
  </si>
  <si>
    <t>CEO, Microsoft Gaming</t>
  </si>
  <si>
    <t>EVP, CMO</t>
  </si>
  <si>
    <t>EVP, CPO</t>
  </si>
  <si>
    <t>Kevin Scott</t>
  </si>
  <si>
    <t>EVP, CTO</t>
  </si>
  <si>
    <t>CEO, Commercial Business</t>
  </si>
  <si>
    <t>Copilot Studio</t>
  </si>
  <si>
    <t>Azure Compute</t>
  </si>
  <si>
    <t>Azure Storage</t>
  </si>
  <si>
    <t>Azure Networking</t>
  </si>
  <si>
    <t>Azure SQL</t>
  </si>
  <si>
    <t>Github</t>
  </si>
  <si>
    <t>Github Actions</t>
  </si>
  <si>
    <t>Azure DevOps</t>
  </si>
  <si>
    <t>.NET</t>
  </si>
  <si>
    <t>Visual Studio</t>
  </si>
  <si>
    <t>Outlook</t>
  </si>
  <si>
    <t>Word</t>
  </si>
  <si>
    <t>Excel</t>
  </si>
  <si>
    <t>PowerPoint</t>
  </si>
  <si>
    <t>OneDrive</t>
  </si>
  <si>
    <t>SharePoint</t>
  </si>
  <si>
    <t>Xbox Game Pass</t>
  </si>
  <si>
    <t>Xbox Cloud Gaming (xCloud)</t>
  </si>
  <si>
    <t>Activision Blizzard IP</t>
  </si>
  <si>
    <t>Mojang (Minecraft)</t>
  </si>
  <si>
    <t>Microsoft Advertising</t>
  </si>
  <si>
    <t>Edge Browser</t>
  </si>
  <si>
    <t>Chromium-Based</t>
  </si>
  <si>
    <t>Azure Security</t>
  </si>
  <si>
    <t>Sentinel, Defender, Monitor</t>
  </si>
  <si>
    <t>Recurring Revenue</t>
  </si>
  <si>
    <t>Non Recurring Revenue</t>
  </si>
  <si>
    <t>Recurring % of Revenue</t>
  </si>
  <si>
    <t>Q1 21</t>
  </si>
  <si>
    <t>Q2 21</t>
  </si>
  <si>
    <t>Q3 21</t>
  </si>
  <si>
    <t>Q4 21</t>
  </si>
  <si>
    <t>Q1 22</t>
  </si>
  <si>
    <t>Q2 22</t>
  </si>
  <si>
    <t>Q3 22</t>
  </si>
  <si>
    <t>Q4 22</t>
  </si>
  <si>
    <t>Q1 23</t>
  </si>
  <si>
    <t>Q2 23</t>
  </si>
  <si>
    <t>Q3 23</t>
  </si>
  <si>
    <t>Q4 23</t>
  </si>
  <si>
    <t>Q1 24</t>
  </si>
  <si>
    <t>Q2 24</t>
  </si>
  <si>
    <t>Q3 24</t>
  </si>
  <si>
    <t>Q4 24</t>
  </si>
  <si>
    <t>Q1 25</t>
  </si>
  <si>
    <t>Q2 25</t>
  </si>
  <si>
    <t>Q3 25</t>
  </si>
  <si>
    <t>Q4 25</t>
  </si>
  <si>
    <t>Real EPS</t>
  </si>
  <si>
    <t>Consensus EPS</t>
  </si>
  <si>
    <t>Surprise %</t>
  </si>
  <si>
    <t>Real Revenue</t>
  </si>
  <si>
    <t>Consensus Revenue</t>
  </si>
  <si>
    <t>Average Surprise EPS</t>
  </si>
  <si>
    <t>Average Surprise Revenue</t>
  </si>
  <si>
    <t>OpenAI Profit Share (Loss)</t>
  </si>
  <si>
    <t>36,000 customers - FY 2024</t>
  </si>
  <si>
    <t>Connects cloud and on-premise</t>
  </si>
  <si>
    <t>relational database</t>
  </si>
  <si>
    <t>60,000 Azure AI customers - FY 2024</t>
  </si>
  <si>
    <t>25,000 paid customers - FY 2024</t>
  </si>
  <si>
    <t>50% YoY - FY 2024</t>
  </si>
  <si>
    <t>Ambient Clinical Intelligence</t>
  </si>
  <si>
    <t>AI-powered clinical documentation</t>
  </si>
  <si>
    <t>2B ARR - Aug 2024, 100M+ devs</t>
  </si>
  <si>
    <t>CI/CD automation</t>
  </si>
  <si>
    <t>Enterprise planning and delivery</t>
  </si>
  <si>
    <t>5M+ active developers</t>
  </si>
  <si>
    <t>2.3 million paid subscribers</t>
  </si>
  <si>
    <t>18,000 organizations - custom agents</t>
  </si>
  <si>
    <t xml:space="preserve">IDE - 29% professional market share </t>
  </si>
  <si>
    <t>Most Popular IDE - 76% market share</t>
  </si>
  <si>
    <t>375,000 organizations - Oct 2024</t>
  </si>
  <si>
    <t>Integrated into Copilot Studio</t>
  </si>
  <si>
    <t>400M commercial paid seats</t>
  </si>
  <si>
    <t>Used by 65% of Fortune 500</t>
  </si>
  <si>
    <t>Email &amp; Calendar</t>
  </si>
  <si>
    <t>Word processing</t>
  </si>
  <si>
    <t>Spreadsheet software</t>
  </si>
  <si>
    <t>Presentation software</t>
  </si>
  <si>
    <t>Cloud storage - tracked under M365</t>
  </si>
  <si>
    <t>200m+ MAUs</t>
  </si>
  <si>
    <t>360M MAUs</t>
  </si>
  <si>
    <t>Seats gew 40% YoY - Sept 2025</t>
  </si>
  <si>
    <t>&gt;17m users - 2024</t>
  </si>
  <si>
    <t>Physical meeting room software</t>
  </si>
  <si>
    <t>Viva Goals retired Dec 31, 2025</t>
  </si>
  <si>
    <t>31% of all Windows Devices (434M/1.4B)</t>
  </si>
  <si>
    <t>AI assistant built into the OS taskbar</t>
  </si>
  <si>
    <t>Cloud PC &gt; 1B Annual Rev - Q4 2024</t>
  </si>
  <si>
    <t>Formerly Azure ID - 50,000 MAUs</t>
  </si>
  <si>
    <t>Used by 43% of Fortune 100</t>
  </si>
  <si>
    <t>19B Annual Revenue - Linkedin &amp; Bing</t>
  </si>
  <si>
    <t>140M DAUs - 2024</t>
  </si>
  <si>
    <t>Now part of Copilot</t>
  </si>
  <si>
    <t>Hardware &amp; Platform</t>
  </si>
  <si>
    <t>38M est. subscribers</t>
  </si>
  <si>
    <t>Console games via streaming</t>
  </si>
  <si>
    <t>Call of Duty (100M+ players, Warcraft, Diablo</t>
  </si>
  <si>
    <t>225M Monthly Active Players - June 2025</t>
  </si>
  <si>
    <t>8.9B in FY 2025</t>
  </si>
  <si>
    <t>OpenAI partnership (Round 2)</t>
  </si>
  <si>
    <t>$10.0B</t>
  </si>
  <si>
    <t>Acquires GitHub</t>
  </si>
  <si>
    <t>$7.5B</t>
  </si>
  <si>
    <t>Acquires LinkedIn</t>
  </si>
  <si>
    <t>$26.2B</t>
  </si>
  <si>
    <t>Acquires Mojang</t>
  </si>
  <si>
    <t>$2.5B</t>
  </si>
  <si>
    <t>Best Surprise EPS</t>
  </si>
  <si>
    <t>Best Surprise Revenue</t>
  </si>
  <si>
    <t>Worst Surprise EPS</t>
  </si>
  <si>
    <t>Worst Surprise Revenue</t>
  </si>
  <si>
    <t>Satya Nadella</t>
  </si>
  <si>
    <t>Software - Infrastructure</t>
  </si>
  <si>
    <t>MSFT (CY)</t>
  </si>
  <si>
    <t>Paid Commercial Seats (million est)</t>
  </si>
  <si>
    <t>Paid Consumer Seats (million est)</t>
  </si>
  <si>
    <t xml:space="preserve"> % growth</t>
  </si>
  <si>
    <t>Revenue per seat</t>
  </si>
  <si>
    <t>M365 Personal Price</t>
  </si>
  <si>
    <t>M365 Family Price</t>
  </si>
  <si>
    <t>M365 Premium Price</t>
  </si>
  <si>
    <t>`</t>
  </si>
  <si>
    <t>Copilot Penetration %</t>
  </si>
  <si>
    <t>Copilot Price</t>
  </si>
  <si>
    <t>Copilot Revenue</t>
  </si>
  <si>
    <t>Revenue per seat ex Copilot</t>
  </si>
  <si>
    <t>Commercial Plan Prices</t>
  </si>
  <si>
    <t>Microsoft 365 E3</t>
  </si>
  <si>
    <t>Microsoft 365 E5</t>
  </si>
  <si>
    <t>Business Standard</t>
  </si>
  <si>
    <t>Business Basic</t>
  </si>
  <si>
    <t>Frontline (F1)</t>
  </si>
  <si>
    <t>Frontline (F3)</t>
  </si>
  <si>
    <t>Office 365 E3</t>
  </si>
  <si>
    <t>% change average</t>
  </si>
  <si>
    <t>Copilot Users (million est)</t>
  </si>
  <si>
    <t>Blended Penetration</t>
  </si>
  <si>
    <t>- Azure and Other Cloud Services</t>
  </si>
  <si>
    <t>- None Azure Intelligent Cloud</t>
  </si>
  <si>
    <t>FCF Value</t>
  </si>
  <si>
    <t>Share Price</t>
  </si>
  <si>
    <t>Gordon Growth Method</t>
  </si>
  <si>
    <t>10 Year DCF</t>
  </si>
  <si>
    <t>Bing Search Share</t>
  </si>
  <si>
    <t>Bing Desktop (US)</t>
  </si>
  <si>
    <t>Xbos Game Pass</t>
  </si>
  <si>
    <t>Windows OEM Growth</t>
  </si>
  <si>
    <t>OpenAI Portion of RPO</t>
  </si>
  <si>
    <t>Core Enterprise RPO</t>
  </si>
  <si>
    <t>Enterprise RPO YoY Growth %</t>
  </si>
  <si>
    <t>Office 365 E1</t>
  </si>
  <si>
    <t>Apps for Enterprise</t>
  </si>
  <si>
    <t>M365 Business Premium</t>
  </si>
  <si>
    <t>Blended Price Annual</t>
  </si>
  <si>
    <t>Revenue per Seat</t>
  </si>
  <si>
    <t>Realization Rate</t>
  </si>
  <si>
    <t>Revenue ex Copilot</t>
  </si>
  <si>
    <t>RPO Expected to be recognized NTM</t>
  </si>
  <si>
    <t>Adjusted Operating Cash Flow</t>
  </si>
  <si>
    <t>% of total seats (est)</t>
  </si>
  <si>
    <t>% of total productivity</t>
  </si>
  <si>
    <t>Unlevered Free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</si>
</sst>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&quot;$&quot;#,##0.00"/>
    <numFmt numFmtId="165" formatCode="&quot;$&quot;#,##0"/>
    <numFmt numFmtId="166" formatCode="0.0%"/>
    <numFmt numFmtId="167" formatCode="#,##0.0"/>
    <numFmt numFmtId="168" formatCode="0.0"/>
    <numFmt numFmtId="169" formatCode="0.00%;\(0.00%\)"/>
  </numFmts>
  <fonts count="14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1"/>
      <color theme="7" tint="-0.24997711111789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5" tint="-0.249977111117893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1"/>
      <color rgb="FF7030A0"/>
      <name val="calibri"/>
      <family val="2"/>
    </font>
    <font>
      <b/>
      <sz val="11"/>
      <color theme="7" tint="-0.249977111117893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0" applyFont="1"/>
    <xf numFmtId="0" fontId="3" fillId="2" borderId="0" xfId="0" applyFont="1" applyFill="1"/>
    <xf numFmtId="0" fontId="3" fillId="2" borderId="0" xfId="0" applyFont="1" applyFill="1" applyAlignment="1">
      <alignment horizontal="right"/>
    </xf>
    <xf numFmtId="0" fontId="4" fillId="0" borderId="0" xfId="0" applyFont="1"/>
    <xf numFmtId="0" fontId="5" fillId="0" borderId="0" xfId="0" applyFont="1"/>
    <xf numFmtId="0" fontId="2" fillId="0" borderId="1" xfId="0" applyFont="1" applyBorder="1"/>
    <xf numFmtId="164" fontId="6" fillId="0" borderId="0" xfId="0" applyNumberFormat="1" applyFont="1" applyAlignment="1">
      <alignment horizontal="right"/>
    </xf>
    <xf numFmtId="3" fontId="2" fillId="0" borderId="0" xfId="0" applyNumberFormat="1" applyFont="1"/>
    <xf numFmtId="3" fontId="2" fillId="0" borderId="1" xfId="0" applyNumberFormat="1" applyFont="1" applyBorder="1"/>
    <xf numFmtId="10" fontId="2" fillId="0" borderId="0" xfId="0" applyNumberFormat="1" applyFont="1"/>
    <xf numFmtId="10" fontId="5" fillId="0" borderId="0" xfId="0" applyNumberFormat="1" applyFont="1"/>
    <xf numFmtId="3" fontId="6" fillId="0" borderId="0" xfId="0" applyNumberFormat="1" applyFont="1"/>
    <xf numFmtId="41" fontId="2" fillId="0" borderId="0" xfId="0" applyNumberFormat="1" applyFont="1"/>
    <xf numFmtId="9" fontId="5" fillId="0" borderId="0" xfId="1" applyFont="1"/>
    <xf numFmtId="10" fontId="2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1" xfId="0" applyFont="1" applyBorder="1"/>
    <xf numFmtId="165" fontId="2" fillId="0" borderId="0" xfId="0" applyNumberFormat="1" applyFont="1" applyAlignment="1">
      <alignment horizontal="center" vertical="center"/>
    </xf>
    <xf numFmtId="43" fontId="2" fillId="0" borderId="0" xfId="0" applyNumberFormat="1" applyFont="1"/>
    <xf numFmtId="0" fontId="8" fillId="0" borderId="0" xfId="0" applyFont="1"/>
    <xf numFmtId="0" fontId="2" fillId="0" borderId="0" xfId="0" quotePrefix="1" applyFont="1"/>
    <xf numFmtId="0" fontId="2" fillId="3" borderId="0" xfId="0" applyFont="1" applyFill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3" fontId="9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3" fillId="2" borderId="0" xfId="0" applyFont="1" applyFill="1" applyAlignment="1">
      <alignment horizontal="center"/>
    </xf>
    <xf numFmtId="14" fontId="2" fillId="0" borderId="0" xfId="0" applyNumberFormat="1" applyFont="1"/>
    <xf numFmtId="0" fontId="3" fillId="2" borderId="3" xfId="0" applyFont="1" applyFill="1" applyBorder="1"/>
    <xf numFmtId="0" fontId="3" fillId="2" borderId="2" xfId="0" applyFont="1" applyFill="1" applyBorder="1"/>
    <xf numFmtId="0" fontId="3" fillId="2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3" fontId="6" fillId="0" borderId="8" xfId="0" applyNumberFormat="1" applyFont="1" applyBorder="1"/>
    <xf numFmtId="0" fontId="10" fillId="0" borderId="0" xfId="0" applyFont="1"/>
    <xf numFmtId="166" fontId="5" fillId="0" borderId="0" xfId="0" applyNumberFormat="1" applyFont="1"/>
    <xf numFmtId="167" fontId="2" fillId="0" borderId="0" xfId="0" applyNumberFormat="1" applyFont="1"/>
    <xf numFmtId="0" fontId="11" fillId="0" borderId="0" xfId="0" applyFont="1"/>
    <xf numFmtId="9" fontId="5" fillId="0" borderId="0" xfId="0" applyNumberFormat="1" applyFont="1"/>
    <xf numFmtId="0" fontId="2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left" indent="1"/>
    </xf>
    <xf numFmtId="0" fontId="5" fillId="0" borderId="0" xfId="0" quotePrefix="1" applyFont="1"/>
    <xf numFmtId="0" fontId="5" fillId="0" borderId="0" xfId="0" quotePrefix="1" applyFont="1" applyAlignment="1">
      <alignment horizontal="left" indent="1"/>
    </xf>
    <xf numFmtId="1" fontId="2" fillId="0" borderId="0" xfId="0" applyNumberFormat="1" applyFont="1"/>
    <xf numFmtId="168" fontId="2" fillId="0" borderId="0" xfId="0" applyNumberFormat="1" applyFont="1"/>
    <xf numFmtId="169" fontId="5" fillId="0" borderId="0" xfId="0" applyNumberFormat="1" applyFont="1"/>
    <xf numFmtId="166" fontId="2" fillId="0" borderId="0" xfId="0" applyNumberFormat="1" applyFont="1"/>
    <xf numFmtId="3" fontId="12" fillId="0" borderId="0" xfId="0" applyNumberFormat="1" applyFont="1"/>
    <xf numFmtId="0" fontId="4" fillId="0" borderId="9" xfId="0" applyFont="1" applyBorder="1"/>
    <xf numFmtId="0" fontId="2" fillId="0" borderId="9" xfId="0" applyFont="1" applyBorder="1"/>
    <xf numFmtId="3" fontId="6" fillId="0" borderId="9" xfId="0" applyNumberFormat="1" applyFont="1" applyBorder="1"/>
    <xf numFmtId="3" fontId="2" fillId="0" borderId="9" xfId="0" applyNumberFormat="1" applyFont="1" applyBorder="1"/>
    <xf numFmtId="0" fontId="4" fillId="0" borderId="10" xfId="0" quotePrefix="1" applyFont="1" applyBorder="1" applyAlignment="1">
      <alignment horizontal="left" indent="1"/>
    </xf>
    <xf numFmtId="3" fontId="2" fillId="0" borderId="11" xfId="0" applyNumberFormat="1" applyFont="1" applyBorder="1"/>
    <xf numFmtId="0" fontId="4" fillId="0" borderId="10" xfId="0" quotePrefix="1" applyFont="1" applyBorder="1"/>
    <xf numFmtId="0" fontId="4" fillId="0" borderId="10" xfId="0" applyFont="1" applyBorder="1"/>
    <xf numFmtId="3" fontId="4" fillId="0" borderId="9" xfId="0" applyNumberFormat="1" applyFont="1" applyBorder="1"/>
    <xf numFmtId="3" fontId="4" fillId="0" borderId="11" xfId="0" applyNumberFormat="1" applyFont="1" applyBorder="1"/>
    <xf numFmtId="0" fontId="4" fillId="4" borderId="0" xfId="0" applyFont="1" applyFill="1"/>
    <xf numFmtId="3" fontId="13" fillId="4" borderId="0" xfId="0" applyNumberFormat="1" applyFont="1" applyFill="1"/>
    <xf numFmtId="3" fontId="4" fillId="4" borderId="0" xfId="0" applyNumberFormat="1" applyFont="1" applyFill="1"/>
    <xf numFmtId="0" fontId="4" fillId="0" borderId="0" xfId="0" quotePrefix="1" applyFont="1"/>
    <xf numFmtId="0" fontId="7" fillId="4" borderId="0" xfId="0" applyFont="1" applyFill="1"/>
    <xf numFmtId="3" fontId="7" fillId="4" borderId="0" xfId="0" applyNumberFormat="1" applyFont="1" applyFill="1"/>
    <xf numFmtId="0" fontId="2" fillId="0" borderId="10" xfId="0" quotePrefix="1" applyFont="1" applyBorder="1"/>
    <xf numFmtId="10" fontId="6" fillId="0" borderId="0" xfId="0" applyNumberFormat="1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3" fontId="2" fillId="0" borderId="2" xfId="0" applyNumberFormat="1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0" fontId="2" fillId="0" borderId="0" xfId="0" applyFont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2" fillId="0" borderId="0" xfId="0" applyFont="1" applyAlignment="1">
      <alignment horizontal="left" indent="1"/>
    </xf>
    <xf numFmtId="0" fontId="2" fillId="0" borderId="10" xfId="0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4CAF50"/>
      <color rgb="FF2196F3"/>
      <color rgb="FFF44336"/>
      <color rgb="FFFFC107"/>
      <color rgb="FF7CBB00"/>
      <color rgb="FF00A1F1"/>
      <color rgb="FFF65314"/>
      <color rgb="FFF25022"/>
      <color rgb="FFFFBB00"/>
      <color rgb="FF00A4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Segments!$B$6</c:f>
              <c:strCache>
                <c:ptCount val="1"/>
                <c:pt idx="0">
                  <c:v>Productivity and Business Processes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Segments!$G$6:$N$6</c15:sqref>
                  </c15:fullRef>
                </c:ext>
              </c:extLst>
              <c:f>Segments!$I$6:$N$6</c:f>
              <c:numCache>
                <c:formatCode>#,##0</c:formatCode>
                <c:ptCount val="6"/>
                <c:pt idx="0">
                  <c:v>94151</c:v>
                </c:pt>
                <c:pt idx="1">
                  <c:v>106820</c:v>
                </c:pt>
                <c:pt idx="2">
                  <c:v>120810</c:v>
                </c:pt>
                <c:pt idx="3">
                  <c:v>136871.44599266932</c:v>
                </c:pt>
                <c:pt idx="4">
                  <c:v>156049.57509569224</c:v>
                </c:pt>
                <c:pt idx="5">
                  <c:v>175848.53339296792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8-4444-A702-3371123B3340}"/>
            </c:ext>
          </c:extLst>
        </c:ser>
        <c:ser>
          <c:idx val="1"/>
          <c:order val="1"/>
          <c:tx>
            <c:strRef>
              <c:f>Segments!$B$38</c:f>
              <c:strCache>
                <c:ptCount val="1"/>
                <c:pt idx="0">
                  <c:v>Intelligent Cloud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Segments!$G$38:$N$38</c15:sqref>
                  </c15:fullRef>
                </c:ext>
              </c:extLst>
              <c:f>Segments!$I$38:$N$38</c:f>
              <c:numCache>
                <c:formatCode>#,##0</c:formatCode>
                <c:ptCount val="6"/>
                <c:pt idx="0">
                  <c:v>72944</c:v>
                </c:pt>
                <c:pt idx="1">
                  <c:v>87464</c:v>
                </c:pt>
                <c:pt idx="2">
                  <c:v>106265</c:v>
                </c:pt>
                <c:pt idx="3">
                  <c:v>137207.45000000001</c:v>
                </c:pt>
                <c:pt idx="4">
                  <c:v>178320.33600000001</c:v>
                </c:pt>
                <c:pt idx="5">
                  <c:v>225602.18171999999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8-4444-A702-3371123B3340}"/>
            </c:ext>
          </c:extLst>
        </c:ser>
        <c:ser>
          <c:idx val="2"/>
          <c:order val="2"/>
          <c:tx>
            <c:strRef>
              <c:f>Segments!$B$51</c:f>
              <c:strCache>
                <c:ptCount val="1"/>
                <c:pt idx="0">
                  <c:v>More Personal Computing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Segments!$G$4:$N$4</c15:sqref>
                  </c15:fullRef>
                </c:ext>
              </c:extLst>
              <c:f>Segments!$I$4:$N$4</c:f>
              <c:strCache>
                <c:ptCount val="6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2026E</c:v>
                </c:pt>
                <c:pt idx="4">
                  <c:v>2027E</c:v>
                </c:pt>
                <c:pt idx="5">
                  <c:v>2028E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Segments!$G$51:$N$51</c15:sqref>
                  </c15:fullRef>
                </c:ext>
              </c:extLst>
              <c:f>Segments!$I$51:$N$51</c:f>
              <c:numCache>
                <c:formatCode>#,##0</c:formatCode>
                <c:ptCount val="6"/>
                <c:pt idx="0">
                  <c:v>44820</c:v>
                </c:pt>
                <c:pt idx="1">
                  <c:v>50838</c:v>
                </c:pt>
                <c:pt idx="2">
                  <c:v>54649</c:v>
                </c:pt>
                <c:pt idx="3">
                  <c:v>53338.15</c:v>
                </c:pt>
                <c:pt idx="4">
                  <c:v>53481.695599999999</c:v>
                </c:pt>
                <c:pt idx="5">
                  <c:v>54872.219685600001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08-4444-A702-3371123B33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954413135"/>
        <c:axId val="954421295"/>
      </c:barChart>
      <c:catAx>
        <c:axId val="95441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1295"/>
        <c:crosses val="autoZero"/>
        <c:auto val="1"/>
        <c:lblAlgn val="ctr"/>
        <c:lblOffset val="100"/>
        <c:noMultiLvlLbl val="0"/>
      </c:catAx>
      <c:valAx>
        <c:axId val="95442129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1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Margin</a:t>
            </a:r>
            <a:r>
              <a:rPr lang="en-US" baseline="0"/>
              <a:t> Expansion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Main!$B$42</c:f>
              <c:strCache>
                <c:ptCount val="1"/>
                <c:pt idx="0">
                  <c:v>EBIT</c:v>
                </c:pt>
              </c:strCache>
            </c:strRef>
          </c:tx>
          <c:spPr>
            <a:solidFill>
              <a:srgbClr val="2196F3"/>
            </a:solidFill>
            <a:ln w="38100">
              <a:solidFill>
                <a:srgbClr val="2196F3"/>
              </a:solidFill>
            </a:ln>
            <a:effectLst/>
          </c:spPr>
          <c:invertIfNegative val="0"/>
          <c:cat>
            <c:numRef>
              <c:f>Main!$E$25:$I$25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Main!$E$42:$I$42</c:f>
              <c:numCache>
                <c:formatCode>#,##0</c:formatCode>
                <c:ptCount val="5"/>
                <c:pt idx="0">
                  <c:v>69916</c:v>
                </c:pt>
                <c:pt idx="1">
                  <c:v>83383</c:v>
                </c:pt>
                <c:pt idx="2">
                  <c:v>88523</c:v>
                </c:pt>
                <c:pt idx="3">
                  <c:v>109433</c:v>
                </c:pt>
                <c:pt idx="4">
                  <c:v>128528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0"/>
        <c:axId val="1064493855"/>
        <c:axId val="1064497695"/>
      </c:barChart>
      <c:lineChart>
        <c:grouping val="standard"/>
        <c:varyColors val="0"/>
        <c:ser>
          <c:idx val="1"/>
          <c:order val="1"/>
          <c:tx>
            <c:v>Margin %</c:v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val>
            <c:numRef>
              <c:f>Main!$E$43:$I$43</c:f>
              <c:numCache>
                <c:formatCode>0.00%</c:formatCode>
                <c:ptCount val="5"/>
                <c:pt idx="0">
                  <c:v>0.41594878872971303</c:v>
                </c:pt>
                <c:pt idx="1">
                  <c:v>0.4205527815604983</c:v>
                </c:pt>
                <c:pt idx="2">
                  <c:v>0.41772880636104098</c:v>
                </c:pt>
                <c:pt idx="3">
                  <c:v>0.44644299573273716</c:v>
                </c:pt>
                <c:pt idx="4">
                  <c:v>0.45621956240859851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56E-44B3-B791-91BB9422B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2513664"/>
        <c:axId val="792518944"/>
      </c:lineChart>
      <c:catAx>
        <c:axId val="106449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7695"/>
        <c:crosses val="autoZero"/>
        <c:auto val="1"/>
        <c:lblAlgn val="ctr"/>
        <c:lblOffset val="100"/>
        <c:noMultiLvlLbl val="0"/>
      </c:catAx>
      <c:valAx>
        <c:axId val="10644976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493855"/>
        <c:crosses val="autoZero"/>
        <c:crossBetween val="between"/>
      </c:valAx>
      <c:valAx>
        <c:axId val="792518944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3664"/>
        <c:crosses val="max"/>
        <c:crossBetween val="between"/>
      </c:valAx>
      <c:catAx>
        <c:axId val="792513664"/>
        <c:scaling>
          <c:orientation val="minMax"/>
        </c:scaling>
        <c:delete val="1"/>
        <c:axPos val="b"/>
        <c:majorTickMark val="out"/>
        <c:minorTickMark val="none"/>
        <c:tickLblPos val="nextTo"/>
        <c:crossAx val="792518944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Reinvestment Rate</a:t>
            </a:r>
            <a:endParaRPr lang="en-US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Extras!$B$4</c:f>
              <c:strCache>
                <c:ptCount val="1"/>
                <c:pt idx="0">
                  <c:v>CapEx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Extras!$E$2:$L$2</c:f>
              <c:strCache>
                <c:ptCount val="8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2026E</c:v>
                </c:pt>
                <c:pt idx="6">
                  <c:v>2027E</c:v>
                </c:pt>
                <c:pt idx="7">
                  <c:v>2028E</c:v>
                </c:pt>
              </c:strCache>
            </c:strRef>
          </c:cat>
          <c:val>
            <c:numRef>
              <c:f>Extras!$E$4:$L$4</c:f>
              <c:numCache>
                <c:formatCode>#,##0</c:formatCode>
                <c:ptCount val="8"/>
                <c:pt idx="0">
                  <c:v>20622</c:v>
                </c:pt>
                <c:pt idx="1">
                  <c:v>23886</c:v>
                </c:pt>
                <c:pt idx="2">
                  <c:v>28107</c:v>
                </c:pt>
                <c:pt idx="3">
                  <c:v>44477</c:v>
                </c:pt>
                <c:pt idx="4">
                  <c:v>64551</c:v>
                </c:pt>
                <c:pt idx="5">
                  <c:v>98328</c:v>
                </c:pt>
                <c:pt idx="6">
                  <c:v>130000</c:v>
                </c:pt>
                <c:pt idx="7">
                  <c:v>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6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Extras!$B$6</c:f>
              <c:strCache>
                <c:ptCount val="1"/>
                <c:pt idx="0">
                  <c:v>CapEx % of OCF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numRef>
              <c:f>Extras!$E$2:$I$2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Extras!$E$6:$L$6</c:f>
              <c:numCache>
                <c:formatCode>0%</c:formatCode>
                <c:ptCount val="8"/>
                <c:pt idx="0">
                  <c:v>0.29114370826333102</c:v>
                </c:pt>
                <c:pt idx="1">
                  <c:v>0.27356124377254765</c:v>
                </c:pt>
                <c:pt idx="2">
                  <c:v>0.33845913009970618</c:v>
                </c:pt>
                <c:pt idx="3">
                  <c:v>0.39052937509329261</c:v>
                </c:pt>
                <c:pt idx="4">
                  <c:v>0.47626460866485659</c:v>
                </c:pt>
                <c:pt idx="5">
                  <c:v>0.59348745574449402</c:v>
                </c:pt>
                <c:pt idx="6">
                  <c:v>0.62912376505681955</c:v>
                </c:pt>
                <c:pt idx="7">
                  <c:v>0.74382868495829124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AC4-45A0-AD32-6288FD165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4422735"/>
        <c:axId val="954433775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54433775"/>
        <c:scaling>
          <c:orientation val="minMax"/>
          <c:min val="0.2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422735"/>
        <c:crosses val="max"/>
        <c:crossBetween val="between"/>
        <c:majorUnit val="5.000000000000001E-2"/>
      </c:valAx>
      <c:catAx>
        <c:axId val="9544227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44337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Recurring</a:t>
            </a:r>
            <a:r>
              <a:rPr lang="en-US" baseline="0"/>
              <a:t>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Segments!$B$91</c:f>
              <c:strCache>
                <c:ptCount val="1"/>
                <c:pt idx="0">
                  <c:v>Recurring Revenue</c:v>
                </c:pt>
              </c:strCache>
            </c:strRef>
          </c:tx>
          <c:spPr>
            <a:solidFill>
              <a:srgbClr val="2196F3"/>
            </a:solidFill>
            <a:ln>
              <a:noFill/>
            </a:ln>
            <a:effectLst/>
          </c:spPr>
          <c:invertIfNegative val="0"/>
          <c:cat>
            <c:strRef>
              <c:f>Segments!$L$80:$N$80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Segments!$L$91:$N$91</c:f>
              <c:numCache>
                <c:formatCode>#,##0</c:formatCode>
                <c:ptCount val="3"/>
                <c:pt idx="0">
                  <c:v>247723.73699805362</c:v>
                </c:pt>
                <c:pt idx="1">
                  <c:v>296241.05719416979</c:v>
                </c:pt>
                <c:pt idx="2">
                  <c:v>350638.54309921956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E-4596-8F6C-EEC00E8841A8}"/>
            </c:ext>
          </c:extLst>
        </c:ser>
        <c:ser>
          <c:idx val="1"/>
          <c:order val="1"/>
          <c:tx>
            <c:strRef>
              <c:f>Segments!$B$92</c:f>
              <c:strCache>
                <c:ptCount val="1"/>
                <c:pt idx="0">
                  <c:v>Non Recurring Revenue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Segments!$L$80:$N$80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Segments!$L$92:$N$92</c:f>
              <c:numCache>
                <c:formatCode>#,##0</c:formatCode>
                <c:ptCount val="3"/>
                <c:pt idx="0">
                  <c:v>79693.308994615683</c:v>
                </c:pt>
                <c:pt idx="1">
                  <c:v>91610.549501522502</c:v>
                </c:pt>
                <c:pt idx="2">
                  <c:v>105684.39169934834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0"/>
        <c:overlap val="100"/>
        <c:axId val="947785231"/>
        <c:axId val="947760271"/>
      </c:barChart>
      <c:lineChart>
        <c:grouping val="standard"/>
        <c:varyColors val="0"/>
        <c:ser>
          <c:idx val="2"/>
          <c:order val="2"/>
          <c:tx>
            <c:strRef>
              <c:f>Segments!$B$93</c:f>
              <c:strCache>
                <c:ptCount val="1"/>
                <c:pt idx="0">
                  <c:v>Recurring % of Revenue</c:v>
                </c:pt>
              </c:strCache>
            </c:strRef>
          </c:tx>
          <c:spPr>
            <a:ln w="31750" cap="rnd">
              <a:solidFill>
                <a:srgbClr val="F44336"/>
              </a:solidFill>
              <a:round/>
            </a:ln>
            <a:effectLst/>
          </c:spPr>
          <c:marker>
            <c:symbol val="none"/>
          </c:marker>
          <c:cat>
            <c:strRef>
              <c:f>Segments!$L$80:$N$80</c:f>
              <c:strCache>
                <c:ptCount val="3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</c:strCache>
            </c:strRef>
          </c:cat>
          <c:val>
            <c:numRef>
              <c:f>Segments!$L$93:$N$93</c:f>
              <c:numCache>
                <c:formatCode>0.00%</c:formatCode>
                <c:ptCount val="3"/>
                <c:pt idx="0">
                  <c:v>0.75660000000000005</c:v>
                </c:pt>
                <c:pt idx="1">
                  <c:v>0.76380000000000003</c:v>
                </c:pt>
                <c:pt idx="2">
                  <c:v>0.76839999999999997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4BE-4596-8F6C-EEC00E884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2285055"/>
        <c:axId val="1162294175"/>
      </c:lineChart>
      <c:catAx>
        <c:axId val="94778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60271"/>
        <c:crosses val="autoZero"/>
        <c:auto val="1"/>
        <c:lblAlgn val="ctr"/>
        <c:lblOffset val="100"/>
        <c:noMultiLvlLbl val="0"/>
      </c:catAx>
      <c:valAx>
        <c:axId val="94776027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7785231"/>
        <c:crosses val="autoZero"/>
        <c:crossBetween val="between"/>
      </c:valAx>
      <c:valAx>
        <c:axId val="116229417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285055"/>
        <c:crosses val="max"/>
        <c:crossBetween val="between"/>
      </c:valAx>
      <c:catAx>
        <c:axId val="116228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22941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Copilot Revenue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Segments!$B$22</c:f>
              <c:strCache>
                <c:ptCount val="1"/>
                <c:pt idx="0">
                  <c:v>Copilot Revenue</c:v>
                </c:pt>
              </c:strCache>
            </c:strRef>
          </c:tx>
          <c:spPr>
            <a:solidFill>
              <a:srgbClr val="4CAF50"/>
            </a:solidFill>
            <a:ln w="38100">
              <a:solidFill>
                <a:srgbClr val="4CAF50"/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Segments!$J$22:$P$22</c:f>
              <c:numCache>
                <c:formatCode>#,##0</c:formatCode>
                <c:ptCount val="7"/>
                <c:pt idx="0">
                  <c:v>206.00495999999998</c:v>
                </c:pt>
                <c:pt idx="1">
                  <c:v>1598.0834771999998</c:v>
                </c:pt>
                <c:pt idx="2">
                  <c:v>5685.7920759000026</c:v>
                </c:pt>
                <c:pt idx="3">
                  <c:v>10446.695307453601</c:v>
                </c:pt>
                <c:pt idx="4">
                  <c:v>17812.954819119605</c:v>
                </c:pt>
                <c:pt idx="5">
                  <c:v>26578.803638002151</c:v>
                </c:pt>
                <c:pt idx="6">
                  <c:v>31737.060344044043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Segments!$B$23</c:f>
              <c:strCache>
                <c:ptCount val="1"/>
                <c:pt idx="0">
                  <c:v>% of total productivity</c:v>
                </c:pt>
              </c:strCache>
            </c:strRef>
          </c:tx>
          <c:spPr>
            <a:ln w="31750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Segments!$J$23:$P$23</c:f>
              <c:numCache>
                <c:formatCode>0.00%</c:formatCode>
                <c:ptCount val="7"/>
                <c:pt idx="0">
                  <c:v>1.9285242463958059E-3</c:v>
                </c:pt>
                <c:pt idx="1">
                  <c:v>1.322807281847529E-2</c:v>
                </c:pt>
                <c:pt idx="2">
                  <c:v>4.1541112060761942E-2</c:v>
                </c:pt>
                <c:pt idx="3">
                  <c:v>6.6944721259558124E-2</c:v>
                </c:pt>
                <c:pt idx="4">
                  <c:v>0.10129714746788974</c:v>
                </c:pt>
                <c:pt idx="5">
                  <c:v>0.13526852724044405</c:v>
                </c:pt>
                <c:pt idx="6">
                  <c:v>0.14985435382984924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33D4-491D-916C-5844B09D3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0.00%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crosses val="autoZero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r>
              <a:rPr lang="en-US" sz="1400" b="0">
                <a:solidFill>
                  <a:schemeClr val="tx1">
                    <a:lumMod val="65000"/>
                    <a:lumOff val="35000"/>
                  </a:schemeClr>
                </a:solidFill>
              </a:rPr>
              <a:t>Revenue per seat ex Copilot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Segments!$B$13</c:f>
              <c:strCache>
                <c:ptCount val="1"/>
                <c:pt idx="0">
                  <c:v>Revenue per seat ex Copilot</c:v>
                </c:pt>
              </c:strCache>
            </c:strRef>
          </c:tx>
          <c:spPr>
            <a:solidFill>
              <a:srgbClr val="FFC107"/>
            </a:solidFill>
            <a:ln w="38100">
              <a:solidFill>
                <a:srgbClr val="FFC107">
                  <a:alpha val="99000"/>
                </a:srgbClr>
              </a:solidFill>
            </a:ln>
            <a:effectLst/>
          </c:spPr>
          <c:invertIfNegative val="0"/>
          <c:cat>
            <c:strRef>
              <c:f>Segments!$J$4:$P$4</c:f>
              <c:strCache>
                <c:ptCount val="7"/>
                <c:pt idx="0">
                  <c:v>2024</c:v>
                </c:pt>
                <c:pt idx="1">
                  <c:v>2025</c:v>
                </c:pt>
                <c:pt idx="2">
                  <c:v>2026E</c:v>
                </c:pt>
                <c:pt idx="3">
                  <c:v>2027E</c:v>
                </c:pt>
                <c:pt idx="4">
                  <c:v>2028E</c:v>
                </c:pt>
                <c:pt idx="5">
                  <c:v>2029E</c:v>
                </c:pt>
                <c:pt idx="6">
                  <c:v>2030E</c:v>
                </c:pt>
              </c:strCache>
            </c:strRef>
          </c:cat>
          <c:val>
            <c:numRef>
              <c:f>Segments!$J$13:$P$13</c:f>
              <c:numCache>
                <c:formatCode>#,##0</c:formatCode>
                <c:ptCount val="7"/>
                <c:pt idx="0">
                  <c:v>195.14359994128296</c:v>
                </c:pt>
                <c:pt idx="1">
                  <c:v>197.02426404281405</c:v>
                </c:pt>
                <c:pt idx="2">
                  <c:v>198.92028000000005</c:v>
                </c:pt>
                <c:pt idx="3">
                  <c:v>207.06</c:v>
                </c:pt>
                <c:pt idx="4">
                  <c:v>212.77200000000002</c:v>
                </c:pt>
                <c:pt idx="5">
                  <c:v>217.05600000000001</c:v>
                </c:pt>
                <c:pt idx="6">
                  <c:v>219.91200000000003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064536095"/>
        <c:axId val="1064538975"/>
      </c:barChart>
      <c:lineChart>
        <c:grouping val="standard"/>
        <c:varyColors val="0"/>
        <c:ser>
          <c:idx val="1"/>
          <c:order val="1"/>
          <c:tx>
            <c:strRef>
              <c:f>Segments!$B$112</c:f>
              <c:strCache>
                <c:ptCount val="1"/>
                <c:pt idx="0">
                  <c:v>Blended Price Annual</c:v>
                </c:pt>
              </c:strCache>
            </c:strRef>
          </c:tx>
          <c:spPr>
            <a:ln>
              <a:solidFill>
                <a:srgbClr val="4CAF50"/>
              </a:solidFill>
            </a:ln>
          </c:spPr>
          <c:marker>
            <c:symbol val="none"/>
          </c:marker>
          <c:val>
            <c:numRef>
              <c:f>Segments!$J$112:$P$112</c:f>
              <c:numCache>
                <c:formatCode>#,##0</c:formatCode>
                <c:ptCount val="7"/>
                <c:pt idx="0">
                  <c:v>263.82000000000005</c:v>
                </c:pt>
                <c:pt idx="1">
                  <c:v>263.82000000000005</c:v>
                </c:pt>
                <c:pt idx="2">
                  <c:v>263.82000000000005</c:v>
                </c:pt>
                <c:pt idx="3">
                  <c:v>285.60000000000002</c:v>
                </c:pt>
                <c:pt idx="4">
                  <c:v>285.60000000000002</c:v>
                </c:pt>
                <c:pt idx="5">
                  <c:v>285.60000000000002</c:v>
                </c:pt>
                <c:pt idx="6">
                  <c:v>285.60000000000002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0-4EA7-81CD-53B55DE4B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316608"/>
        <c:axId val="970304128"/>
      </c:lineChart>
      <c:catAx>
        <c:axId val="106453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64538975"/>
        <c:crosses val="autoZero"/>
        <c:auto val="1"/>
        <c:lblAlgn val="ctr"/>
        <c:lblOffset val="100"/>
        <c:noMultiLvlLbl val="0"/>
      </c:catAx>
      <c:valAx>
        <c:axId val="106453897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1064536095"/>
        <c:crosses val="autoZero"/>
        <c:crossBetween val="between"/>
      </c:valAx>
      <c:valAx>
        <c:axId val="970304128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 w="0">
            <a:noFill/>
          </a:ln>
        </c:spPr>
        <c:txPr>
          <a:bodyPr/>
          <a:lstStyle/>
          <a:p>
            <a:pPr>
              <a:defRPr>
                <a:solidFill>
                  <a:schemeClr val="tx1">
                    <a:lumMod val="65000"/>
                    <a:lumOff val="35000"/>
                  </a:schemeClr>
                </a:solidFill>
              </a:defRPr>
            </a:pPr>
            <a:endParaRPr lang="en-US"/>
          </a:p>
        </c:txPr>
        <c:crossAx val="970316608"/>
        <c:crosses val="max"/>
        <c:crossBetween val="between"/>
      </c:valAx>
      <c:catAx>
        <c:axId val="970316608"/>
        <c:scaling>
          <c:orientation val="minMax"/>
        </c:scaling>
        <c:delete val="1"/>
        <c:axPos val="b"/>
        <c:majorTickMark val="out"/>
        <c:minorTickMark val="none"/>
        <c:tickLblPos val="nextTo"/>
        <c:crossAx val="970304128"/>
        <c:auto val="1"/>
        <c:lblAlgn val="ctr"/>
        <c:lblOffset val="100"/>
        <c:noMultiLvlLbl val="0"/>
      </c:catAx>
      <c:spPr>
        <a:ln>
          <a:noFill/>
        </a:ln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0</xdr:rowOff>
    </xdr:from>
    <xdr:to>
      <xdr:col>2</xdr:col>
      <xdr:colOff>304800</xdr:colOff>
      <xdr:row>2</xdr:row>
      <xdr:rowOff>121920</xdr:rowOff>
    </xdr:to>
    <xdr:sp macro="" textlink="">
      <xdr:nvSpPr>
        <xdr:cNvPr id="1025" name="AutoShape 1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5FC3D2D1-38EB-BCCB-8044-D022D4FC59F3}"/>
            </a:ext>
          </a:extLst>
        </xdr:cNvPr>
        <xdr:cNvSpPr>
          <a:spLocks noChangeAspect="1" noChangeArrowheads="1"/>
        </xdr:cNvSpPr>
      </xdr:nvSpPr>
      <xdr:spPr bwMode="auto">
        <a:xfrm>
          <a:off x="132588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121920</xdr:rowOff>
    </xdr:to>
    <xdr:sp macro="" textlink="">
      <xdr:nvSpPr>
        <xdr:cNvPr id="1026" name="AutoShape 2" descr="Microsoft Logo Icon Vector, Microsoft, Azure, Word PNG and Vector with  Transparent Background for Free Download">
          <a:extLst>
            <a:ext uri="{FF2B5EF4-FFF2-40B4-BE49-F238E27FC236}">
              <a16:creationId xmlns:a16="http://schemas.microsoft.com/office/drawing/2014/main" id="{118B2431-ACF5-B23A-F620-D5FB9A0F0379}"/>
            </a:ext>
          </a:extLst>
        </xdr:cNvPr>
        <xdr:cNvSpPr>
          <a:spLocks noChangeAspect="1" noChangeArrowheads="1"/>
        </xdr:cNvSpPr>
      </xdr:nvSpPr>
      <xdr:spPr bwMode="auto">
        <a:xfrm>
          <a:off x="662940" y="1828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19</xdr:col>
      <xdr:colOff>0</xdr:colOff>
      <xdr:row>27</xdr:row>
      <xdr:rowOff>0</xdr:rowOff>
    </xdr:from>
    <xdr:to>
      <xdr:col>19</xdr:col>
      <xdr:colOff>304800</xdr:colOff>
      <xdr:row>28</xdr:row>
      <xdr:rowOff>121920</xdr:rowOff>
    </xdr:to>
    <xdr:sp macro="" textlink="">
      <xdr:nvSpPr>
        <xdr:cNvPr id="1028" name="AutoShape 4" descr="Microsoft Logo PNG Vector (EPS) Free Download">
          <a:extLst>
            <a:ext uri="{FF2B5EF4-FFF2-40B4-BE49-F238E27FC236}">
              <a16:creationId xmlns:a16="http://schemas.microsoft.com/office/drawing/2014/main" id="{ABBD38CA-2D10-A584-BCE7-0C6FD0BE426D}"/>
            </a:ext>
          </a:extLst>
        </xdr:cNvPr>
        <xdr:cNvSpPr>
          <a:spLocks noChangeAspect="1" noChangeArrowheads="1"/>
        </xdr:cNvSpPr>
      </xdr:nvSpPr>
      <xdr:spPr bwMode="auto">
        <a:xfrm>
          <a:off x="12900660" y="43891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7620</xdr:colOff>
      <xdr:row>0</xdr:row>
      <xdr:rowOff>114301</xdr:rowOff>
    </xdr:from>
    <xdr:to>
      <xdr:col>3</xdr:col>
      <xdr:colOff>252597</xdr:colOff>
      <xdr:row>2</xdr:row>
      <xdr:rowOff>83821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A9BD48D-51CA-451F-B9C0-5BF334136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" y="114301"/>
          <a:ext cx="1570857" cy="3352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14</xdr:col>
      <xdr:colOff>389793</xdr:colOff>
      <xdr:row>25</xdr:row>
      <xdr:rowOff>4102</xdr:rowOff>
    </xdr:from>
    <xdr:to>
      <xdr:col>21</xdr:col>
      <xdr:colOff>325316</xdr:colOff>
      <xdr:row>40</xdr:row>
      <xdr:rowOff>181121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C4FA98D-FF64-46AF-B7FF-0123822B43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392430</xdr:colOff>
      <xdr:row>41</xdr:row>
      <xdr:rowOff>179070</xdr:rowOff>
    </xdr:from>
    <xdr:to>
      <xdr:col>21</xdr:col>
      <xdr:colOff>323850</xdr:colOff>
      <xdr:row>58</xdr:row>
      <xdr:rowOff>156210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CE1530-5173-E52F-EB46-193A90332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365760</xdr:colOff>
      <xdr:row>60</xdr:row>
      <xdr:rowOff>15240</xdr:rowOff>
    </xdr:from>
    <xdr:to>
      <xdr:col>21</xdr:col>
      <xdr:colOff>297180</xdr:colOff>
      <xdr:row>75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E4AEB8-893F-4B60-BF1C-ABB8162749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381000</xdr:colOff>
      <xdr:row>75</xdr:row>
      <xdr:rowOff>144780</xdr:rowOff>
    </xdr:from>
    <xdr:to>
      <xdr:col>21</xdr:col>
      <xdr:colOff>297180</xdr:colOff>
      <xdr:row>90</xdr:row>
      <xdr:rowOff>144780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F13502-0089-4E48-9460-C9CD631677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555812</xdr:colOff>
      <xdr:row>25</xdr:row>
      <xdr:rowOff>8964</xdr:rowOff>
    </xdr:from>
    <xdr:to>
      <xdr:col>28</xdr:col>
      <xdr:colOff>251012</xdr:colOff>
      <xdr:row>41</xdr:row>
      <xdr:rowOff>35858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DF1F89-2199-43CE-89AF-412A94AA4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582707</xdr:colOff>
      <xdr:row>41</xdr:row>
      <xdr:rowOff>125505</xdr:rowOff>
    </xdr:from>
    <xdr:to>
      <xdr:col>28</xdr:col>
      <xdr:colOff>277907</xdr:colOff>
      <xdr:row>57</xdr:row>
      <xdr:rowOff>152399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EE377B3-B296-4396-8537-228D07A680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0.40013</cdr:x>
      <cdr:y>0.33</cdr:y>
    </cdr:from>
    <cdr:to>
      <cdr:x>0.59987</cdr:x>
      <cdr:y>0.67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C09C6AD5-1610-4B5E-7640-7DDB54B0DA38}"/>
            </a:ext>
          </a:extLst>
        </cdr:cNvPr>
        <cdr:cNvSpPr txBox="1"/>
      </cdr:nvSpPr>
      <cdr:spPr>
        <a:xfrm xmlns:a="http://schemas.openxmlformats.org/drawingml/2006/main">
          <a:off x="1831713" y="887506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</c:userShapes>
</file>

<file path=xl/persons/person.xml><?xml version="1.0" encoding="utf-8"?>
<personList xmlns="http://schemas.microsoft.com/office/spreadsheetml/2018/threadedcomments" xmlns:x="http://schemas.openxmlformats.org/spreadsheetml/2006/main">
  <person displayName="Kerem Odabasi" id="{F4B24668-1B18-43C7-A98C-6E4C7C705157}" userId="fe4885f5b5840770" providerId="Windows Live"/>
</personList>
</file>

<file path=xl/theme/theme1.xml><?xml version="1.0" encoding="utf-8"?>
<a:theme xmlns:a="http://schemas.openxmlformats.org/drawingml/2006/main" name="Office Theme">
  <a:themeElements>
    <a:clrScheme name="Finance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6600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Finance">
    <a:dk1>
      <a:sysClr val="windowText" lastClr="000000"/>
    </a:dk1>
    <a:lt1>
      <a:sysClr val="window" lastClr="FFFFFF"/>
    </a:lt1>
    <a:dk2>
      <a:srgbClr val="1F497D"/>
    </a:dk2>
    <a:lt2>
      <a:srgbClr val="D9D9D9"/>
    </a:lt2>
    <a:accent1>
      <a:srgbClr val="0066CC"/>
    </a:accent1>
    <a:accent2>
      <a:srgbClr val="00B050"/>
    </a:accent2>
    <a:accent3>
      <a:srgbClr val="E6E6E6"/>
    </a:accent3>
    <a:accent4>
      <a:srgbClr val="0000FF"/>
    </a:accent4>
    <a:accent5>
      <a:srgbClr val="4472C4"/>
    </a:accent5>
    <a:accent6>
      <a:srgbClr val="FF6600"/>
    </a:accent6>
    <a:hlink>
      <a:srgbClr val="0563C1"/>
    </a:hlink>
    <a:folHlink>
      <a:srgbClr val="954F72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5T09:47:44.90" personId="{F4B24668-1B18-43C7-A98C-6E4C7C705157}" id="{E2950F7F-6957-4DB7-A1BE-128DE5E5B417}">
    <text>Surpassed 300 million Dec 2021</text>
  </threadedComment>
  <threadedComment ref="I11" dT="2026-02-15T09:50:23.10" personId="{F4B24668-1B18-43C7-A98C-6E4C7C705157}" id="{DA47686C-E3BE-471D-BB60-52AC86D0127A}">
    <text>382 million Q3 FY23</text>
  </threadedComment>
  <threadedComment ref="J11" dT="2026-02-15T09:39:36.63" personId="{F4B24668-1B18-43C7-A98C-6E4C7C705157}" id="{838027C6-C4DA-40BB-AA1C-1ED18FC577F8}">
    <text>Surpassed 400 million seats in FY 24 Q2, Grew 7% FY 24 10K</text>
  </threadedComment>
  <threadedComment ref="K11" dT="2026-02-15T09:52:28.23" personId="{F4B24668-1B18-43C7-A98C-6E4C7C705157}" id="{FF38A39E-D0A8-493F-B353-D99010EBD62E}">
    <text>Grew 7% FY25 Q2</text>
  </threadedComment>
  <threadedComment ref="G27" dT="2026-02-15T09:43:25.81" personId="{F4B24668-1B18-43C7-A98C-6E4C7C705157}" id="{E2FB93AD-3AB8-46E5-AE3C-AAA9FE85B94F}">
    <text>51.9 FY21 10K</text>
  </threadedComment>
  <threadedComment ref="H27" dT="2026-02-15T09:45:27.20" personId="{F4B24668-1B18-43C7-A98C-6E4C7C705157}" id="{F8DC3DFF-BC47-4A7F-B53C-E3433576388A}">
    <text>51.9 FY21 10K</text>
  </threadedComment>
  <threadedComment ref="I27" dT="2026-02-15T09:46:19.48" personId="{F4B24668-1B18-43C7-A98C-6E4C7C705157}" id="{FA65D073-0912-40BA-88B1-A6FD41061D93}">
    <text>Grew 12% to 67 million FY23 10K</text>
  </threadedComment>
  <threadedComment ref="J27" dT="2026-02-15T09:39:52.61" personId="{F4B24668-1B18-43C7-A98C-6E4C7C705157}" id="{74BBC8CA-EF8E-46EB-9A76-07FCF5F54EDF}">
    <text>Grew 10% to 82.5 million FY 24 10K</text>
  </threadedComment>
  <threadedComment ref="K27" dT="2026-02-15T09:40:19.97" personId="{F4B24668-1B18-43C7-A98C-6E4C7C705157}" id="{2D10753F-E4E2-4EAD-A2C6-2F41C5AA87CA}">
    <text>86.3 on Q2 FY25</text>
  </threadedComment>
  <threadedComment ref="J32" dT="2026-02-15T10:04:10.67" personId="{F4B24668-1B18-43C7-A98C-6E4C7C705157}" id="{8A82520B-1E9D-4093-8C1B-3775585F23DC}">
    <text>$20/month add-on</text>
  </threadedComment>
  <threadedComment ref="K32" dT="2026-02-15T10:04:19.59" personId="{F4B24668-1B18-43C7-A98C-6E4C7C705157}" id="{C2B35E33-EC14-4BFA-B062-57AC9617D21B}">
    <text>New tier 2025</text>
  </threadedComment>
  <threadedComment ref="L83" dT="2026-01-03T08:36:22.51" personId="{F4B24668-1B18-43C7-A98C-6E4C7C705157}" id="{0AEE88EF-F5A5-4222-8D90-AB39EF908C53}">
    <text>Q1 2026 392B
Expected to recognize 40% over NTM</text>
  </threadedComment>
  <threadedComment ref="L83" dT="2026-02-16T01:12:52.16" personId="{F4B24668-1B18-43C7-A98C-6E4C7C705157}" id="{328E4903-24FF-4627-96F2-561D78A12AF3}" parentId="{0AEE88EF-F5A5-4222-8D90-AB39EF908C53}">
    <text xml:space="preserve">Q2 2026 625B
Expected to recognize 25% over NTM
</text>
  </threadedComment>
  <threadedComment ref="L88" dT="2026-01-03T08:44:52.88" personId="{F4B24668-1B18-43C7-A98C-6E4C7C705157}" id="{6E9EEE48-010B-419D-88AA-8E2878DCB24F}">
    <text>SemiAnalysis expects growth over 40%. Up to 53% in December 2026
Q1 2026 Growth: %40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6BA9-FD26-46A5-A630-9D65D6C233D8}">
  <dimension ref="B2:AD96"/>
  <sheetViews>
    <sheetView showGridLines="0" tabSelected="1" topLeftCell="B9" zoomScale="85" zoomScaleNormal="85" workbookViewId="0">
      <selection activeCell="Y9" sqref="Y9"/>
    </sheetView>
  </sheetViews>
  <sheetFormatPr defaultColWidth="8.69921875" defaultRowHeight="14.4" customHeight="1" x14ac:dyDescent="0.3"/>
  <cols>
    <col min="1" max="3" width="8.69921875" style="1"/>
    <col min="4" max="4" width="11.5" style="1" bestFit="1" customWidth="1"/>
    <col min="5" max="5" width="9.8984375" style="1" bestFit="1" customWidth="1"/>
    <col min="6" max="7" width="8.69921875" style="1"/>
    <col min="8" max="8" width="9" style="1" bestFit="1" customWidth="1"/>
    <col min="9" max="15" width="8.69921875" style="1"/>
    <col min="16" max="16" width="8.8984375" style="1" bestFit="1" customWidth="1"/>
    <col min="17" max="23" width="8.69921875" style="1"/>
    <col min="24" max="24" width="11.796875" style="1" bestFit="1" customWidth="1"/>
    <col min="25" max="16384" width="8.69921875" style="1"/>
  </cols>
  <sheetData>
    <row r="2" spans="2:30" ht="14.4" customHeight="1" x14ac:dyDescent="0.3">
      <c r="B2"/>
      <c r="C2"/>
      <c r="R2" s="5" t="s">
        <v>51</v>
      </c>
    </row>
    <row r="3" spans="2:30" ht="14.4" customHeight="1" x14ac:dyDescent="0.3">
      <c r="B3" s="5"/>
    </row>
    <row r="4" spans="2:30" ht="14.4" customHeight="1" x14ac:dyDescent="0.3">
      <c r="B4" s="2" t="s">
        <v>54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2:30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2:30" ht="14.4" customHeight="1" x14ac:dyDescent="0.3">
      <c r="B6" s="16" t="s">
        <v>55</v>
      </c>
      <c r="C6" s="6"/>
      <c r="D6" s="6"/>
      <c r="E6" s="6"/>
      <c r="G6" s="16" t="s">
        <v>56</v>
      </c>
      <c r="H6" s="6"/>
      <c r="I6" s="6"/>
      <c r="J6" s="6"/>
      <c r="K6" s="6"/>
      <c r="M6" s="19" t="s">
        <v>46</v>
      </c>
      <c r="N6" s="19"/>
      <c r="O6" s="19"/>
      <c r="P6" s="6"/>
      <c r="R6" s="19" t="s">
        <v>45</v>
      </c>
      <c r="S6" s="19"/>
      <c r="T6" s="19"/>
      <c r="U6" s="6"/>
      <c r="W6" s="16" t="s">
        <v>331</v>
      </c>
      <c r="X6" s="6"/>
      <c r="Y6" s="6"/>
    </row>
    <row r="7" spans="2:30" ht="14.4" customHeight="1" x14ac:dyDescent="0.3">
      <c r="B7" s="1" t="s">
        <v>0</v>
      </c>
      <c r="E7" s="17" t="s">
        <v>1</v>
      </c>
      <c r="G7" s="1" t="s">
        <v>57</v>
      </c>
      <c r="I7" s="73">
        <v>228000</v>
      </c>
      <c r="J7" s="73"/>
      <c r="K7" s="73"/>
      <c r="M7" s="1" t="s">
        <v>47</v>
      </c>
      <c r="P7" s="8">
        <f>SUM(J88:N88)</f>
        <v>370417.72711821116</v>
      </c>
      <c r="R7" s="1" t="s">
        <v>35</v>
      </c>
      <c r="U7" s="10">
        <f>U23</f>
        <v>8.4941756800000018E-2</v>
      </c>
      <c r="W7" s="1" t="s">
        <v>329</v>
      </c>
      <c r="Y7" s="8">
        <f>SUM(J88:N88)+SUM(Y21:AD21)</f>
        <v>1127896.1635160074</v>
      </c>
    </row>
    <row r="8" spans="2:30" ht="14.4" customHeight="1" x14ac:dyDescent="0.3">
      <c r="B8" s="1" t="s">
        <v>2</v>
      </c>
      <c r="E8" s="20">
        <f>AVERAGE(Y11, ((P13+P10)/P12))</f>
        <v>577.73259203857833</v>
      </c>
      <c r="G8" s="1" t="s">
        <v>58</v>
      </c>
      <c r="I8" s="74">
        <v>27488</v>
      </c>
      <c r="J8" s="74"/>
      <c r="K8" s="74"/>
      <c r="M8" s="1" t="s">
        <v>48</v>
      </c>
      <c r="P8" s="8">
        <f>(N65*U8)</f>
        <v>5788746.8282671124</v>
      </c>
      <c r="R8" s="1" t="s">
        <v>52</v>
      </c>
      <c r="U8" s="22">
        <v>20</v>
      </c>
      <c r="W8" s="6" t="s">
        <v>48</v>
      </c>
      <c r="X8" s="6"/>
      <c r="Y8" s="9">
        <f>AD21*(1+0.035)/($U$7-0.035)</f>
        <v>3029735.6874061571</v>
      </c>
    </row>
    <row r="9" spans="2:30" ht="14.4" customHeight="1" x14ac:dyDescent="0.3">
      <c r="B9" s="1" t="s">
        <v>3</v>
      </c>
      <c r="E9" s="20">
        <v>400</v>
      </c>
      <c r="G9" s="1" t="s">
        <v>59</v>
      </c>
      <c r="I9" s="77" t="s">
        <v>301</v>
      </c>
      <c r="J9" s="77"/>
      <c r="K9" s="77"/>
      <c r="M9" s="1" t="s">
        <v>53</v>
      </c>
      <c r="P9" s="8">
        <f>-(PV(U7,4.5,0,P8))</f>
        <v>4011027.55882684</v>
      </c>
      <c r="W9" s="1" t="s">
        <v>44</v>
      </c>
      <c r="Y9" s="8">
        <f>Y7+Y8</f>
        <v>4157631.8509221645</v>
      </c>
    </row>
    <row r="10" spans="2:30" ht="14.4" customHeight="1" x14ac:dyDescent="0.3">
      <c r="B10" s="1" t="s">
        <v>4</v>
      </c>
      <c r="E10" s="15">
        <f>E8/E9-1</f>
        <v>0.44433148009644574</v>
      </c>
      <c r="G10" s="1" t="s">
        <v>60</v>
      </c>
      <c r="I10" s="77" t="s">
        <v>62</v>
      </c>
      <c r="J10" s="77"/>
      <c r="K10" s="77"/>
      <c r="M10" s="1" t="s">
        <v>33</v>
      </c>
      <c r="P10" s="8">
        <f>J22-J21</f>
        <v>2711</v>
      </c>
      <c r="R10" s="19" t="s">
        <v>35</v>
      </c>
      <c r="S10" s="19"/>
      <c r="T10" s="19"/>
      <c r="U10" s="6"/>
    </row>
    <row r="11" spans="2:30" ht="14.4" customHeight="1" x14ac:dyDescent="0.3">
      <c r="G11" s="1" t="s">
        <v>61</v>
      </c>
      <c r="I11" s="77" t="s">
        <v>302</v>
      </c>
      <c r="J11" s="77"/>
      <c r="K11" s="77"/>
      <c r="M11" s="1" t="s">
        <v>106</v>
      </c>
      <c r="P11" s="8">
        <f>500000*0.27</f>
        <v>135000</v>
      </c>
      <c r="R11" s="1" t="s">
        <v>28</v>
      </c>
      <c r="T11" s="75">
        <v>3012960</v>
      </c>
      <c r="U11" s="75"/>
      <c r="W11" s="1" t="s">
        <v>330</v>
      </c>
      <c r="Y11" s="20">
        <f>Y9/P12</f>
        <v>553.83400172134873</v>
      </c>
    </row>
    <row r="12" spans="2:30" ht="14.4" customHeight="1" x14ac:dyDescent="0.3">
      <c r="B12" s="1" t="s">
        <v>68</v>
      </c>
      <c r="E12" s="18">
        <v>46068</v>
      </c>
      <c r="G12" s="1" t="s">
        <v>63</v>
      </c>
      <c r="I12" s="74">
        <v>46203</v>
      </c>
      <c r="J12" s="74"/>
      <c r="K12" s="74"/>
      <c r="M12" s="1" t="s">
        <v>49</v>
      </c>
      <c r="P12" s="1">
        <v>7507</v>
      </c>
      <c r="R12" s="1" t="s">
        <v>36</v>
      </c>
      <c r="U12" s="10">
        <v>0.98680000000000001</v>
      </c>
    </row>
    <row r="13" spans="2:30" ht="14.4" customHeight="1" x14ac:dyDescent="0.3">
      <c r="I13" s="10"/>
      <c r="M13" s="1" t="s">
        <v>50</v>
      </c>
      <c r="P13" s="8">
        <f>P9+P7-P10+P11</f>
        <v>4513734.2859450513</v>
      </c>
      <c r="R13" s="1" t="s">
        <v>37</v>
      </c>
      <c r="U13" s="10">
        <f>U14+(U15*U17)</f>
        <v>8.5546000000000011E-2</v>
      </c>
      <c r="W13" s="78" t="s">
        <v>332</v>
      </c>
      <c r="X13" s="79"/>
      <c r="Y13" s="3">
        <v>2031</v>
      </c>
      <c r="Z13" s="3">
        <f>Y13+1</f>
        <v>2032</v>
      </c>
      <c r="AA13" s="3">
        <f t="shared" ref="AA13:AD13" si="0">Z13+1</f>
        <v>2033</v>
      </c>
      <c r="AB13" s="3">
        <f t="shared" si="0"/>
        <v>2034</v>
      </c>
      <c r="AC13" s="3">
        <f t="shared" si="0"/>
        <v>2035</v>
      </c>
      <c r="AD13" s="3">
        <f t="shared" si="0"/>
        <v>2036</v>
      </c>
    </row>
    <row r="14" spans="2:30" ht="14.4" customHeight="1" x14ac:dyDescent="0.3">
      <c r="R14" s="1" t="s">
        <v>38</v>
      </c>
      <c r="U14" s="10">
        <v>4.0500000000000001E-2</v>
      </c>
      <c r="W14" s="1" t="s">
        <v>11</v>
      </c>
      <c r="Y14" s="8">
        <f>N62*1.1</f>
        <v>670275.94853619207</v>
      </c>
      <c r="Z14" s="8">
        <f>Y14*1.09</f>
        <v>730600.78390444943</v>
      </c>
      <c r="AA14" s="8">
        <f>Z14*1.08</f>
        <v>789048.84661680541</v>
      </c>
      <c r="AB14" s="8">
        <f>AA14*1.07</f>
        <v>844282.2658799818</v>
      </c>
      <c r="AC14" s="8">
        <f>AB14*1.06</f>
        <v>894939.20183278073</v>
      </c>
      <c r="AD14" s="8">
        <f>AC14*1.05</f>
        <v>939686.16192441981</v>
      </c>
    </row>
    <row r="15" spans="2:30" ht="14.4" customHeight="1" x14ac:dyDescent="0.3">
      <c r="B15" s="2" t="s">
        <v>26</v>
      </c>
      <c r="C15" s="2"/>
      <c r="D15" s="2"/>
      <c r="E15" s="2">
        <v>2021</v>
      </c>
      <c r="F15" s="2">
        <f>E15+1</f>
        <v>2022</v>
      </c>
      <c r="G15" s="2">
        <f>F15+1</f>
        <v>2023</v>
      </c>
      <c r="H15" s="2">
        <f>G15+1</f>
        <v>2024</v>
      </c>
      <c r="I15" s="2">
        <f>H15+1</f>
        <v>2025</v>
      </c>
      <c r="J15" s="3" t="s">
        <v>6</v>
      </c>
      <c r="K15" s="3" t="s">
        <v>7</v>
      </c>
      <c r="M15" s="19" t="s">
        <v>104</v>
      </c>
      <c r="N15" s="19"/>
      <c r="O15" s="19"/>
      <c r="P15" s="6"/>
      <c r="R15" s="1" t="s">
        <v>39</v>
      </c>
      <c r="U15" s="1">
        <v>1.01</v>
      </c>
      <c r="W15" s="1" t="s">
        <v>12</v>
      </c>
      <c r="Y15" s="11">
        <f>(Y14-N62)/N62</f>
        <v>0.1</v>
      </c>
      <c r="Z15" s="11">
        <f>(Z14-Y14)/Y14</f>
        <v>9.0000000000000122E-2</v>
      </c>
      <c r="AA15" s="11">
        <f t="shared" ref="AA15" si="1">(AA14-Z14)/Z14</f>
        <v>8.0000000000000043E-2</v>
      </c>
      <c r="AB15" s="11">
        <f t="shared" ref="AB15" si="2">(AB14-AA14)/AA14</f>
        <v>7.0000000000000007E-2</v>
      </c>
      <c r="AC15" s="11">
        <f t="shared" ref="AC15" si="3">(AC14-AB14)/AB14</f>
        <v>6.0000000000000026E-2</v>
      </c>
      <c r="AD15" s="11">
        <f t="shared" ref="AD15" si="4">(AD14-AC14)/AC14</f>
        <v>5.0000000000000044E-2</v>
      </c>
    </row>
    <row r="16" spans="2:30" s="24" customFormat="1" ht="1.95" customHeight="1" x14ac:dyDescent="0.3"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1"/>
      <c r="M16" s="1" t="s">
        <v>47</v>
      </c>
      <c r="N16" s="1"/>
      <c r="O16" s="1"/>
      <c r="P16" s="8">
        <f>SUM(J97:N97)</f>
        <v>0</v>
      </c>
      <c r="Y16" s="1"/>
      <c r="Z16" s="1"/>
      <c r="AA16" s="1"/>
      <c r="AB16" s="1"/>
      <c r="AC16" s="1"/>
      <c r="AD16" s="1"/>
    </row>
    <row r="17" spans="2:30" ht="14.4" customHeight="1" x14ac:dyDescent="0.3">
      <c r="B17" s="1" t="s">
        <v>27</v>
      </c>
      <c r="E17" s="7">
        <v>270.89999999999998</v>
      </c>
      <c r="F17" s="7">
        <v>256.83</v>
      </c>
      <c r="G17" s="7">
        <v>350.54</v>
      </c>
      <c r="H17" s="7">
        <v>446.95</v>
      </c>
      <c r="I17" s="7">
        <v>497.41</v>
      </c>
      <c r="J17" s="7">
        <f>NPV($U$7,K85:N85)/J18+(J21/J18)-(J22/J18)+(-((PV($U$7,4,0,$P$8))/J18))+(J85/J18)+(P11/J18)</f>
        <v>624.51601848226926</v>
      </c>
      <c r="K17" s="7" cm="1">
        <f t="array" ref="K17">NPV($U$7,L85:N85)/K18+(K21/K18)-(K22/K18)+(-((PV($U$7,3,0,$P$8))/K18))+(SUM(J85:K85/K18))+(P11/K18)</f>
        <v>675.89037212016763</v>
      </c>
      <c r="M17" s="1" t="s">
        <v>28</v>
      </c>
      <c r="P17" s="8">
        <v>3012960</v>
      </c>
      <c r="R17" s="1" t="s">
        <v>40</v>
      </c>
      <c r="U17" s="10">
        <v>4.4600000000000001E-2</v>
      </c>
    </row>
    <row r="18" spans="2:30" ht="14.4" customHeight="1" x14ac:dyDescent="0.3">
      <c r="B18" s="1" t="s">
        <v>32</v>
      </c>
      <c r="E18" s="12">
        <v>7608</v>
      </c>
      <c r="F18" s="12">
        <v>7540</v>
      </c>
      <c r="G18" s="12">
        <v>7472</v>
      </c>
      <c r="H18" s="12">
        <v>7469</v>
      </c>
      <c r="I18" s="12">
        <v>7466</v>
      </c>
      <c r="J18" s="12">
        <v>7507</v>
      </c>
      <c r="K18" s="12">
        <v>7500</v>
      </c>
      <c r="M18" s="1" t="s">
        <v>31</v>
      </c>
      <c r="P18" s="8">
        <f>P17+P10</f>
        <v>3015671</v>
      </c>
      <c r="R18" s="1" t="s">
        <v>30</v>
      </c>
      <c r="U18" s="8">
        <v>60590</v>
      </c>
      <c r="W18" s="1" t="s">
        <v>24</v>
      </c>
      <c r="Y18" s="8">
        <f>Y14*0.22</f>
        <v>147460.70867796225</v>
      </c>
      <c r="Z18" s="8">
        <f t="shared" ref="Z18:AD18" si="5">Z14*0.22</f>
        <v>160732.17245897886</v>
      </c>
      <c r="AA18" s="8">
        <f t="shared" si="5"/>
        <v>173590.74625569719</v>
      </c>
      <c r="AB18" s="8">
        <f t="shared" si="5"/>
        <v>185742.09849359599</v>
      </c>
      <c r="AC18" s="8">
        <f t="shared" si="5"/>
        <v>196886.62440321175</v>
      </c>
      <c r="AD18" s="8">
        <f t="shared" si="5"/>
        <v>206730.95562337237</v>
      </c>
    </row>
    <row r="19" spans="2:30" ht="14.4" customHeight="1" x14ac:dyDescent="0.3">
      <c r="M19" s="1" t="s">
        <v>101</v>
      </c>
      <c r="P19" s="29">
        <v>33.65</v>
      </c>
      <c r="R19" s="1" t="s">
        <v>41</v>
      </c>
      <c r="U19" s="10">
        <v>1.32E-2</v>
      </c>
      <c r="W19" s="5" t="s">
        <v>16</v>
      </c>
      <c r="Y19" s="11">
        <f>(Y18-N85)/N85</f>
        <v>0.14400570610411195</v>
      </c>
      <c r="Z19" s="11">
        <f t="shared" ref="Z19" si="6">(Z18-Y18)/Y18</f>
        <v>9.0000000000000094E-2</v>
      </c>
      <c r="AA19" s="11">
        <f t="shared" ref="AA19" si="7">(AA18-Z18)/Z18</f>
        <v>8.0000000000000085E-2</v>
      </c>
      <c r="AB19" s="11">
        <f t="shared" ref="AB19" si="8">(AB18-AA18)/AA18</f>
        <v>6.9999999999999965E-2</v>
      </c>
      <c r="AC19" s="11">
        <f t="shared" ref="AC19" si="9">(AC18-AB18)/AB18</f>
        <v>6.0000000000000046E-2</v>
      </c>
      <c r="AD19" s="11">
        <f t="shared" ref="AD19" si="10">(AD18-AC18)/AC18</f>
        <v>5.0000000000000148E-2</v>
      </c>
    </row>
    <row r="20" spans="2:30" ht="14.4" customHeight="1" x14ac:dyDescent="0.3">
      <c r="B20" s="1" t="s">
        <v>28</v>
      </c>
      <c r="E20" s="8">
        <f>E18*E17</f>
        <v>2061007.1999999997</v>
      </c>
      <c r="F20" s="8">
        <f>F18*F17</f>
        <v>1936498.2</v>
      </c>
      <c r="G20" s="8">
        <f>G18*G17</f>
        <v>2619234.8800000004</v>
      </c>
      <c r="H20" s="8">
        <f>H18*H17</f>
        <v>3338269.55</v>
      </c>
      <c r="I20" s="8">
        <f>I18*I17</f>
        <v>3713663.06</v>
      </c>
      <c r="J20" s="8">
        <f>J17*J18</f>
        <v>4688241.7507463954</v>
      </c>
      <c r="K20" s="8">
        <f>K17*K18</f>
        <v>5069177.7909012577</v>
      </c>
      <c r="M20" s="1" t="s">
        <v>105</v>
      </c>
      <c r="P20" s="29">
        <v>28.45</v>
      </c>
      <c r="R20" s="1" t="s">
        <v>42</v>
      </c>
      <c r="U20" s="10">
        <v>4.8500000000000001E-2</v>
      </c>
    </row>
    <row r="21" spans="2:30" ht="14.4" customHeight="1" x14ac:dyDescent="0.3">
      <c r="B21" s="1" t="s">
        <v>29</v>
      </c>
      <c r="E21" s="12">
        <v>130256</v>
      </c>
      <c r="F21" s="12">
        <v>104749</v>
      </c>
      <c r="G21" s="12">
        <v>111256</v>
      </c>
      <c r="H21" s="12">
        <v>75543</v>
      </c>
      <c r="I21" s="12">
        <v>94565</v>
      </c>
      <c r="J21" s="12">
        <v>102012</v>
      </c>
      <c r="K21" s="12">
        <v>102012</v>
      </c>
      <c r="M21" s="1" t="s">
        <v>103</v>
      </c>
      <c r="P21" s="29">
        <v>12.02</v>
      </c>
      <c r="R21" s="1" t="s">
        <v>43</v>
      </c>
      <c r="U21" s="10">
        <v>0.18</v>
      </c>
      <c r="W21" s="1" t="s">
        <v>25</v>
      </c>
      <c r="Y21" s="8">
        <f>Y18/(1+$U$7)^4.25</f>
        <v>104279.51743049499</v>
      </c>
      <c r="Z21" s="8">
        <f t="shared" ref="Z21:AD21" si="11">Z18/(1+$U$7)^4.25</f>
        <v>113664.67399923956</v>
      </c>
      <c r="AA21" s="8">
        <f t="shared" si="11"/>
        <v>122757.84791917873</v>
      </c>
      <c r="AB21" s="8">
        <f t="shared" si="11"/>
        <v>131350.89727352123</v>
      </c>
      <c r="AC21" s="8">
        <f t="shared" si="11"/>
        <v>139231.9511099325</v>
      </c>
      <c r="AD21" s="8">
        <f t="shared" si="11"/>
        <v>146193.54866542917</v>
      </c>
    </row>
    <row r="22" spans="2:30" ht="14.4" customHeight="1" x14ac:dyDescent="0.3">
      <c r="B22" s="6" t="s">
        <v>30</v>
      </c>
      <c r="C22" s="6"/>
      <c r="D22" s="6"/>
      <c r="E22" s="9">
        <f>50084+21379</f>
        <v>71463</v>
      </c>
      <c r="F22" s="9">
        <f>47032+25331</f>
        <v>72363</v>
      </c>
      <c r="G22" s="9">
        <f>41990+28598</f>
        <v>70588</v>
      </c>
      <c r="H22" s="9">
        <f>42688+40293+6693</f>
        <v>89674</v>
      </c>
      <c r="I22" s="9">
        <f>40152+60437</f>
        <v>100589</v>
      </c>
      <c r="J22" s="9">
        <f>35376+69347</f>
        <v>104723</v>
      </c>
      <c r="K22" s="9">
        <f>35376+69347</f>
        <v>104723</v>
      </c>
      <c r="M22" s="1" t="s">
        <v>102</v>
      </c>
      <c r="P22" s="29">
        <f>P18/175768</f>
        <v>17.157110509307724</v>
      </c>
      <c r="R22" s="6" t="s">
        <v>44</v>
      </c>
      <c r="S22" s="6"/>
      <c r="T22" s="76">
        <f>T11+U18</f>
        <v>3073550</v>
      </c>
      <c r="U22" s="76"/>
    </row>
    <row r="23" spans="2:30" ht="14.4" customHeight="1" x14ac:dyDescent="0.3">
      <c r="B23" s="1" t="s">
        <v>31</v>
      </c>
      <c r="E23" s="8">
        <f t="shared" ref="E23:I23" si="12">E20-E21+E22</f>
        <v>2002214.1999999997</v>
      </c>
      <c r="F23" s="8">
        <f t="shared" si="12"/>
        <v>1904112.2</v>
      </c>
      <c r="G23" s="8">
        <f t="shared" si="12"/>
        <v>2578566.8800000004</v>
      </c>
      <c r="H23" s="8">
        <f t="shared" si="12"/>
        <v>3352400.55</v>
      </c>
      <c r="I23" s="8">
        <f t="shared" si="12"/>
        <v>3719687.06</v>
      </c>
      <c r="J23" s="8">
        <f>J20-J21+J22</f>
        <v>4690952.7507463954</v>
      </c>
      <c r="K23" s="8">
        <f t="shared" ref="K23" si="13">K20-K21+K22</f>
        <v>5071888.7909012577</v>
      </c>
      <c r="R23" s="1" t="s">
        <v>35</v>
      </c>
      <c r="U23" s="10">
        <f>(U12*U13)+(U19*U20*(1-U21))</f>
        <v>8.4941756800000018E-2</v>
      </c>
    </row>
    <row r="25" spans="2:30" ht="14.4" customHeight="1" x14ac:dyDescent="0.3">
      <c r="B25" s="2" t="s">
        <v>5</v>
      </c>
      <c r="C25" s="2"/>
      <c r="D25" s="2"/>
      <c r="E25" s="2">
        <v>2021</v>
      </c>
      <c r="F25" s="2">
        <f>E25+1</f>
        <v>2022</v>
      </c>
      <c r="G25" s="2">
        <f>F25+1</f>
        <v>2023</v>
      </c>
      <c r="H25" s="2">
        <f>G25+1</f>
        <v>2024</v>
      </c>
      <c r="I25" s="2">
        <f>H25+1</f>
        <v>2025</v>
      </c>
      <c r="J25" s="3" t="s">
        <v>6</v>
      </c>
      <c r="K25" s="3" t="s">
        <v>7</v>
      </c>
      <c r="L25" s="3" t="s">
        <v>8</v>
      </c>
      <c r="M25" s="3" t="s">
        <v>9</v>
      </c>
      <c r="N25" s="3" t="s">
        <v>10</v>
      </c>
    </row>
    <row r="26" spans="2:30" s="24" customFormat="1" ht="1.95" customHeight="1" x14ac:dyDescent="0.3"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6"/>
      <c r="M26" s="26"/>
      <c r="N26" s="26"/>
      <c r="O26" s="26"/>
      <c r="P26" s="26"/>
      <c r="W26" s="1"/>
      <c r="X26" s="1"/>
      <c r="Y26" s="1"/>
      <c r="Z26" s="1"/>
      <c r="AA26" s="1"/>
      <c r="AB26" s="1"/>
    </row>
    <row r="27" spans="2:30" ht="14.4" customHeight="1" x14ac:dyDescent="0.3">
      <c r="B27" s="1" t="s">
        <v>11</v>
      </c>
      <c r="E27" s="12">
        <v>168088</v>
      </c>
      <c r="F27" s="12">
        <v>198270</v>
      </c>
      <c r="G27" s="12">
        <v>211915</v>
      </c>
      <c r="H27" s="12">
        <v>245122</v>
      </c>
      <c r="I27" s="12">
        <v>281724</v>
      </c>
      <c r="J27" s="27">
        <f>Segments!L58</f>
        <v>327417.0459926693</v>
      </c>
      <c r="K27" s="27">
        <f>Segments!M58</f>
        <v>387851.60669569229</v>
      </c>
      <c r="L27" s="27">
        <f>Segments!N58</f>
        <v>456322.93479856791</v>
      </c>
      <c r="M27" s="27">
        <f>Segments!O58</f>
        <v>532874.32897837809</v>
      </c>
      <c r="N27" s="27">
        <f>Segments!P58</f>
        <v>609341.77139653824</v>
      </c>
    </row>
    <row r="28" spans="2:30" ht="14.4" customHeight="1" x14ac:dyDescent="0.3">
      <c r="B28" s="5" t="s">
        <v>12</v>
      </c>
      <c r="C28" s="5"/>
      <c r="D28" s="5"/>
      <c r="E28" s="11">
        <f>(E27-143015)/143015</f>
        <v>0.175317274411775</v>
      </c>
      <c r="F28" s="11">
        <f>(F27-E27)/E27</f>
        <v>0.17956070629670173</v>
      </c>
      <c r="G28" s="11">
        <f t="shared" ref="G28:N28" si="14">(G27-F27)/F27</f>
        <v>6.8820295556564284E-2</v>
      </c>
      <c r="H28" s="11">
        <f t="shared" si="14"/>
        <v>0.15669962013071279</v>
      </c>
      <c r="I28" s="11">
        <f t="shared" si="14"/>
        <v>0.14932156232406721</v>
      </c>
      <c r="J28" s="11">
        <f>(J27-I27)/I27</f>
        <v>0.16219081793765991</v>
      </c>
      <c r="K28" s="11">
        <f t="shared" si="14"/>
        <v>0.1845797628519808</v>
      </c>
      <c r="L28" s="11">
        <f t="shared" si="14"/>
        <v>0.17654001406934511</v>
      </c>
      <c r="M28" s="11">
        <f t="shared" si="14"/>
        <v>0.16775706049839867</v>
      </c>
      <c r="N28" s="11">
        <f t="shared" si="14"/>
        <v>0.14349995535488236</v>
      </c>
      <c r="T28"/>
    </row>
    <row r="29" spans="2:30" ht="14.4" customHeight="1" x14ac:dyDescent="0.3">
      <c r="B29" s="5"/>
      <c r="C29" s="5"/>
      <c r="D29" s="5"/>
      <c r="E29" s="11"/>
      <c r="F29" s="11"/>
      <c r="G29" s="11"/>
      <c r="H29" s="11"/>
      <c r="I29" s="11"/>
      <c r="J29" s="11"/>
      <c r="K29" s="11"/>
      <c r="L29" s="11"/>
      <c r="M29" s="11"/>
      <c r="N29" s="11"/>
      <c r="T29"/>
    </row>
    <row r="30" spans="2:30" ht="14.4" customHeight="1" x14ac:dyDescent="0.3">
      <c r="B30" s="1" t="s">
        <v>64</v>
      </c>
      <c r="E30" s="12">
        <v>52232</v>
      </c>
      <c r="F30" s="12">
        <v>62650</v>
      </c>
      <c r="G30" s="12">
        <v>65863</v>
      </c>
      <c r="H30" s="12">
        <v>74114</v>
      </c>
      <c r="I30" s="12">
        <v>87831</v>
      </c>
      <c r="J30" s="8">
        <f>J27*0.32</f>
        <v>104773.45471765418</v>
      </c>
      <c r="K30" s="8">
        <f t="shared" ref="K30:N30" si="15">K27*0.32</f>
        <v>124112.51414262154</v>
      </c>
      <c r="L30" s="8">
        <f t="shared" si="15"/>
        <v>146023.33913554173</v>
      </c>
      <c r="M30" s="8">
        <f t="shared" si="15"/>
        <v>170519.78527308098</v>
      </c>
      <c r="N30" s="8">
        <f t="shared" si="15"/>
        <v>194989.36684689226</v>
      </c>
    </row>
    <row r="31" spans="2:30" ht="14.4" customHeight="1" x14ac:dyDescent="0.3">
      <c r="B31" s="5" t="s">
        <v>16</v>
      </c>
      <c r="E31" s="11">
        <f>E30/E27</f>
        <v>0.31074199228975297</v>
      </c>
      <c r="F31" s="11">
        <f t="shared" ref="F31:I31" si="16">F30/F27</f>
        <v>0.31598325515710901</v>
      </c>
      <c r="G31" s="11">
        <f t="shared" si="16"/>
        <v>0.31079914116508978</v>
      </c>
      <c r="H31" s="11">
        <f t="shared" si="16"/>
        <v>0.30235556172028621</v>
      </c>
      <c r="I31" s="11">
        <f t="shared" si="16"/>
        <v>0.31176257613834818</v>
      </c>
      <c r="J31" s="11">
        <f>J30/J27</f>
        <v>0.32</v>
      </c>
      <c r="K31" s="11">
        <f>K30/K27</f>
        <v>0.32</v>
      </c>
      <c r="L31" s="11">
        <f>L30/L27</f>
        <v>0.32</v>
      </c>
      <c r="M31" s="11">
        <f t="shared" ref="M31" si="17">M30/M27</f>
        <v>0.32</v>
      </c>
      <c r="N31" s="11">
        <f t="shared" ref="N31" si="18">N30/N27</f>
        <v>0.32</v>
      </c>
    </row>
    <row r="33" spans="2:16" ht="14.4" customHeight="1" x14ac:dyDescent="0.3">
      <c r="B33" s="1" t="s">
        <v>65</v>
      </c>
      <c r="E33" s="8">
        <f t="shared" ref="E33:H33" si="19">E27-E30</f>
        <v>115856</v>
      </c>
      <c r="F33" s="8">
        <f t="shared" si="19"/>
        <v>135620</v>
      </c>
      <c r="G33" s="8">
        <f t="shared" si="19"/>
        <v>146052</v>
      </c>
      <c r="H33" s="8">
        <f t="shared" si="19"/>
        <v>171008</v>
      </c>
      <c r="I33" s="8">
        <f>I27-I30</f>
        <v>193893</v>
      </c>
      <c r="J33" s="8">
        <f>J27-J30</f>
        <v>222643.59127501512</v>
      </c>
      <c r="K33" s="8">
        <f>K27-K30</f>
        <v>263739.09255307075</v>
      </c>
      <c r="L33" s="8">
        <f>L27-L30</f>
        <v>310299.59566302621</v>
      </c>
      <c r="M33" s="8">
        <f t="shared" ref="M33:N33" si="20">M27-M30</f>
        <v>362354.54370529711</v>
      </c>
      <c r="N33" s="8">
        <f t="shared" si="20"/>
        <v>414352.40454964596</v>
      </c>
    </row>
    <row r="34" spans="2:16" ht="14.4" customHeight="1" x14ac:dyDescent="0.3">
      <c r="B34" s="5" t="s">
        <v>16</v>
      </c>
      <c r="E34" s="11">
        <f>E33/E27</f>
        <v>0.68925800771024703</v>
      </c>
      <c r="F34" s="11">
        <f t="shared" ref="F34:N34" si="21">F33/F27</f>
        <v>0.68401674484289099</v>
      </c>
      <c r="G34" s="11">
        <f t="shared" si="21"/>
        <v>0.68920085883491022</v>
      </c>
      <c r="H34" s="11">
        <f t="shared" si="21"/>
        <v>0.69764443827971379</v>
      </c>
      <c r="I34" s="11">
        <f t="shared" si="21"/>
        <v>0.68823742386165188</v>
      </c>
      <c r="J34" s="11">
        <f t="shared" si="21"/>
        <v>0.67999999999999994</v>
      </c>
      <c r="K34" s="11">
        <f t="shared" si="21"/>
        <v>0.67999999999999994</v>
      </c>
      <c r="L34" s="11">
        <f t="shared" si="21"/>
        <v>0.68</v>
      </c>
      <c r="M34" s="11">
        <f t="shared" si="21"/>
        <v>0.68</v>
      </c>
      <c r="N34" s="11">
        <f t="shared" si="21"/>
        <v>0.67999999999999994</v>
      </c>
    </row>
    <row r="36" spans="2:16" ht="14.4" customHeight="1" x14ac:dyDescent="0.3">
      <c r="B36" s="1" t="s">
        <v>66</v>
      </c>
      <c r="E36" s="12">
        <v>25224</v>
      </c>
      <c r="F36" s="12">
        <v>27725</v>
      </c>
      <c r="G36" s="12">
        <v>30334</v>
      </c>
      <c r="H36" s="12">
        <v>32065</v>
      </c>
      <c r="I36" s="12">
        <v>32877</v>
      </c>
      <c r="J36" s="8">
        <f>J27*0.12</f>
        <v>39290.045519120315</v>
      </c>
      <c r="K36" s="8">
        <f>K27*0.11</f>
        <v>42663.676736526155</v>
      </c>
      <c r="L36" s="8">
        <f>L27*0.105</f>
        <v>47913.908153849625</v>
      </c>
      <c r="M36" s="8">
        <f>M27*0.105</f>
        <v>55951.804542729697</v>
      </c>
      <c r="N36" s="8">
        <f>N27*0.105</f>
        <v>63980.885996636513</v>
      </c>
    </row>
    <row r="37" spans="2:16" ht="14.4" customHeight="1" x14ac:dyDescent="0.3">
      <c r="B37" s="5" t="s">
        <v>16</v>
      </c>
      <c r="E37" s="11">
        <f>E36/E27</f>
        <v>0.15006425205844556</v>
      </c>
      <c r="F37" s="11">
        <f t="shared" ref="F37:I37" si="22">F36/F27</f>
        <v>0.13983456902204064</v>
      </c>
      <c r="G37" s="11">
        <f t="shared" si="22"/>
        <v>0.14314229761932851</v>
      </c>
      <c r="H37" s="11">
        <f t="shared" si="22"/>
        <v>0.13081241177862452</v>
      </c>
      <c r="I37" s="11">
        <f t="shared" si="22"/>
        <v>0.11669932274140649</v>
      </c>
      <c r="J37" s="11">
        <f t="shared" ref="J37" si="23">J36/J27</f>
        <v>0.12</v>
      </c>
      <c r="K37" s="11">
        <f t="shared" ref="K37" si="24">K36/K27</f>
        <v>0.11000000000000001</v>
      </c>
      <c r="L37" s="11">
        <f t="shared" ref="L37" si="25">L36/L27</f>
        <v>0.10499999999999998</v>
      </c>
      <c r="M37" s="11">
        <f t="shared" ref="M37" si="26">M36/M27</f>
        <v>0.105</v>
      </c>
      <c r="N37" s="11">
        <f t="shared" ref="N37" si="27">N36/N27</f>
        <v>0.105</v>
      </c>
    </row>
    <row r="39" spans="2:16" ht="14.4" customHeight="1" x14ac:dyDescent="0.3">
      <c r="B39" s="1" t="s">
        <v>67</v>
      </c>
      <c r="E39" s="12">
        <v>20716</v>
      </c>
      <c r="F39" s="12">
        <v>24512</v>
      </c>
      <c r="G39" s="12">
        <v>27195</v>
      </c>
      <c r="H39" s="12">
        <v>29510</v>
      </c>
      <c r="I39" s="12">
        <v>32488</v>
      </c>
      <c r="J39" s="8">
        <f>J27*0.109</f>
        <v>35688.458013200951</v>
      </c>
      <c r="K39" s="8">
        <f>K27*0.1055</f>
        <v>40918.344506395537</v>
      </c>
      <c r="L39" s="8">
        <f>L27*0.104</f>
        <v>47457.585219051063</v>
      </c>
      <c r="M39" s="8">
        <f t="shared" ref="M39:N39" si="28">M27*0.1</f>
        <v>53287.432897837811</v>
      </c>
      <c r="N39" s="8">
        <f t="shared" si="28"/>
        <v>60934.177139653824</v>
      </c>
      <c r="P39" s="8"/>
    </row>
    <row r="40" spans="2:16" ht="14.4" customHeight="1" x14ac:dyDescent="0.3">
      <c r="B40" s="5" t="s">
        <v>16</v>
      </c>
      <c r="E40" s="11">
        <f>E39/E27</f>
        <v>0.12324496692208843</v>
      </c>
      <c r="F40" s="11">
        <f t="shared" ref="F40:I40" si="29">F39/F27</f>
        <v>0.12362939426035205</v>
      </c>
      <c r="G40" s="11">
        <f t="shared" si="29"/>
        <v>0.12832975485454073</v>
      </c>
      <c r="H40" s="11">
        <f t="shared" si="29"/>
        <v>0.12038903076835208</v>
      </c>
      <c r="I40" s="11">
        <f t="shared" si="29"/>
        <v>0.11531853871164686</v>
      </c>
      <c r="J40" s="11">
        <f t="shared" ref="J40" si="30">J39/J27</f>
        <v>0.10899999999999999</v>
      </c>
      <c r="K40" s="11">
        <f t="shared" ref="K40" si="31">K39/K27</f>
        <v>0.1055</v>
      </c>
      <c r="L40" s="11">
        <f t="shared" ref="L40" si="32">L39/L27</f>
        <v>0.10400000000000001</v>
      </c>
      <c r="M40" s="11">
        <f t="shared" ref="M40" si="33">M39/M27</f>
        <v>0.1</v>
      </c>
      <c r="N40" s="11">
        <f t="shared" ref="N40" si="34">N39/N27</f>
        <v>0.1</v>
      </c>
    </row>
    <row r="42" spans="2:16" ht="14.4" customHeight="1" x14ac:dyDescent="0.3">
      <c r="B42" s="1" t="s">
        <v>13</v>
      </c>
      <c r="E42" s="8">
        <f t="shared" ref="E42:H42" si="35">E33-E36-E39</f>
        <v>69916</v>
      </c>
      <c r="F42" s="8">
        <f t="shared" si="35"/>
        <v>83383</v>
      </c>
      <c r="G42" s="8">
        <f t="shared" si="35"/>
        <v>88523</v>
      </c>
      <c r="H42" s="8">
        <f t="shared" si="35"/>
        <v>109433</v>
      </c>
      <c r="I42" s="8">
        <f>I33-I36-I39</f>
        <v>128528</v>
      </c>
      <c r="J42" s="8">
        <f>J33-J36-J39</f>
        <v>147665.08774269384</v>
      </c>
      <c r="K42" s="8">
        <f>K33-K36-K39</f>
        <v>180157.07131014904</v>
      </c>
      <c r="L42" s="8">
        <f t="shared" ref="L42" si="36">L33-L36-L39</f>
        <v>214928.10229012551</v>
      </c>
      <c r="M42" s="8">
        <f>M33-M36-M39</f>
        <v>253115.30626472962</v>
      </c>
      <c r="N42" s="8">
        <f>N33-N36-N39</f>
        <v>289437.34141335561</v>
      </c>
    </row>
    <row r="43" spans="2:16" ht="14.4" customHeight="1" x14ac:dyDescent="0.3">
      <c r="B43" s="5" t="s">
        <v>16</v>
      </c>
      <c r="E43" s="11">
        <f t="shared" ref="E43:N43" si="37">E42/E27</f>
        <v>0.41594878872971303</v>
      </c>
      <c r="F43" s="11">
        <f t="shared" si="37"/>
        <v>0.4205527815604983</v>
      </c>
      <c r="G43" s="11">
        <f t="shared" si="37"/>
        <v>0.41772880636104098</v>
      </c>
      <c r="H43" s="11">
        <f t="shared" si="37"/>
        <v>0.44644299573273716</v>
      </c>
      <c r="I43" s="11">
        <f t="shared" si="37"/>
        <v>0.45621956240859851</v>
      </c>
      <c r="J43" s="11">
        <f t="shared" si="37"/>
        <v>0.45099999999999996</v>
      </c>
      <c r="K43" s="11">
        <f t="shared" si="37"/>
        <v>0.46449999999999991</v>
      </c>
      <c r="L43" s="11">
        <f t="shared" si="37"/>
        <v>0.47100000000000003</v>
      </c>
      <c r="M43" s="11">
        <f t="shared" si="37"/>
        <v>0.47500000000000003</v>
      </c>
      <c r="N43" s="11">
        <f t="shared" si="37"/>
        <v>0.47499999999999992</v>
      </c>
    </row>
    <row r="45" spans="2:16" ht="14.4" customHeight="1" x14ac:dyDescent="0.3">
      <c r="B45" s="1" t="s">
        <v>14</v>
      </c>
      <c r="E45" s="12">
        <v>9831</v>
      </c>
      <c r="F45" s="12">
        <v>10978</v>
      </c>
      <c r="G45" s="12">
        <v>16950</v>
      </c>
      <c r="H45" s="12">
        <v>19651</v>
      </c>
      <c r="I45" s="12">
        <v>21795</v>
      </c>
      <c r="J45" s="8">
        <f>J42*0.185</f>
        <v>27318.041232398358</v>
      </c>
      <c r="K45" s="8">
        <f>K42*0.185</f>
        <v>33329.058192377575</v>
      </c>
      <c r="L45" s="8">
        <f>L42*0.19</f>
        <v>40836.339435123846</v>
      </c>
      <c r="M45" s="8">
        <f>M42*0.2</f>
        <v>50623.061252945925</v>
      </c>
      <c r="N45" s="8">
        <f>N42*0.21</f>
        <v>60781.841696804673</v>
      </c>
    </row>
    <row r="46" spans="2:16" ht="14.4" customHeight="1" x14ac:dyDescent="0.3">
      <c r="B46" s="5" t="s">
        <v>15</v>
      </c>
      <c r="E46" s="11">
        <f>E45/E42</f>
        <v>0.14061159105211968</v>
      </c>
      <c r="F46" s="11">
        <f t="shared" ref="F46:I46" si="38">F45/F42</f>
        <v>0.13165753211086192</v>
      </c>
      <c r="G46" s="11">
        <f t="shared" si="38"/>
        <v>0.19147566169244151</v>
      </c>
      <c r="H46" s="11">
        <f t="shared" si="38"/>
        <v>0.17957106174554294</v>
      </c>
      <c r="I46" s="11">
        <f t="shared" si="38"/>
        <v>0.16957394497697001</v>
      </c>
      <c r="J46" s="11">
        <f t="shared" ref="J46" si="39">J45/J42</f>
        <v>0.185</v>
      </c>
      <c r="K46" s="11">
        <f t="shared" ref="K46" si="40">K45/K42</f>
        <v>0.18500000000000003</v>
      </c>
      <c r="L46" s="11">
        <f t="shared" ref="L46" si="41">L45/L42</f>
        <v>0.19</v>
      </c>
      <c r="M46" s="11">
        <f t="shared" ref="M46" si="42">M45/M42</f>
        <v>0.2</v>
      </c>
      <c r="N46" s="11">
        <f t="shared" ref="N46" si="43">N45/N42</f>
        <v>0.21</v>
      </c>
    </row>
    <row r="48" spans="2:16" ht="14.4" customHeight="1" x14ac:dyDescent="0.3">
      <c r="B48" s="2" t="s">
        <v>17</v>
      </c>
      <c r="C48" s="2"/>
      <c r="D48" s="2"/>
      <c r="E48" s="2">
        <v>2021</v>
      </c>
      <c r="F48" s="2">
        <f>E48+1</f>
        <v>2022</v>
      </c>
      <c r="G48" s="2">
        <f>F48+1</f>
        <v>2023</v>
      </c>
      <c r="H48" s="2">
        <f>G48+1</f>
        <v>2024</v>
      </c>
      <c r="I48" s="2">
        <f>H48+1</f>
        <v>2025</v>
      </c>
      <c r="J48" s="3" t="s">
        <v>6</v>
      </c>
      <c r="K48" s="3" t="s">
        <v>7</v>
      </c>
      <c r="L48" s="3" t="s">
        <v>8</v>
      </c>
      <c r="M48" s="3" t="s">
        <v>9</v>
      </c>
      <c r="N48" s="3" t="s">
        <v>10</v>
      </c>
    </row>
    <row r="49" spans="2:16" s="24" customFormat="1" ht="1.95" customHeight="1" x14ac:dyDescent="0.3"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6"/>
      <c r="M49" s="26"/>
      <c r="N49" s="26"/>
      <c r="O49" s="26"/>
      <c r="P49" s="26"/>
    </row>
    <row r="50" spans="2:16" ht="14.4" customHeight="1" x14ac:dyDescent="0.3">
      <c r="B50" s="1" t="s">
        <v>18</v>
      </c>
      <c r="E50" s="12">
        <v>11686</v>
      </c>
      <c r="F50" s="12">
        <v>14460</v>
      </c>
      <c r="G50" s="12">
        <v>13861</v>
      </c>
      <c r="H50" s="12">
        <v>22287</v>
      </c>
      <c r="I50" s="12">
        <v>34153</v>
      </c>
      <c r="J50" s="8">
        <f>J54*0.481</f>
        <v>47295.767999999996</v>
      </c>
      <c r="K50" s="8">
        <f>K54*0.472</f>
        <v>61360</v>
      </c>
      <c r="L50" s="8">
        <f>L54*0.4785</f>
        <v>95700</v>
      </c>
      <c r="M50" s="8">
        <f>M54*0.4785</f>
        <v>92829</v>
      </c>
      <c r="N50" s="8">
        <f>N54*0.4785</f>
        <v>90972.42</v>
      </c>
    </row>
    <row r="51" spans="2:16" ht="14.4" customHeight="1" x14ac:dyDescent="0.3">
      <c r="B51" s="1" t="s">
        <v>16</v>
      </c>
      <c r="E51" s="11">
        <f t="shared" ref="E51:N51" si="44">E50/E27</f>
        <v>6.9523106943981727E-2</v>
      </c>
      <c r="F51" s="11">
        <f t="shared" si="44"/>
        <v>7.2930851868663937E-2</v>
      </c>
      <c r="G51" s="11">
        <f t="shared" si="44"/>
        <v>6.5408300497841118E-2</v>
      </c>
      <c r="H51" s="11">
        <f t="shared" si="44"/>
        <v>9.0922071458294243E-2</v>
      </c>
      <c r="I51" s="11">
        <f t="shared" si="44"/>
        <v>0.12122857832488534</v>
      </c>
      <c r="J51" s="11">
        <f t="shared" si="44"/>
        <v>0.14445114748564106</v>
      </c>
      <c r="K51" s="11">
        <f t="shared" si="44"/>
        <v>0.1582048364392698</v>
      </c>
      <c r="L51" s="11">
        <f t="shared" si="44"/>
        <v>0.20971989944411695</v>
      </c>
      <c r="M51" s="11">
        <f t="shared" si="44"/>
        <v>0.17420430099901965</v>
      </c>
      <c r="N51" s="11">
        <f t="shared" si="44"/>
        <v>0.14929621481800293</v>
      </c>
    </row>
    <row r="52" spans="2:16" ht="14.4" customHeight="1" x14ac:dyDescent="0.3">
      <c r="B52" s="1" t="s">
        <v>34</v>
      </c>
      <c r="E52" s="11">
        <f>E50/E54</f>
        <v>0.56667636504703711</v>
      </c>
      <c r="F52" s="11">
        <f t="shared" ref="F52:I52" si="45">F50/F54</f>
        <v>0.60537553378548103</v>
      </c>
      <c r="G52" s="11">
        <f t="shared" si="45"/>
        <v>0.49315117230583128</v>
      </c>
      <c r="H52" s="11">
        <f t="shared" si="45"/>
        <v>0.50109045124446339</v>
      </c>
      <c r="I52" s="11">
        <f t="shared" si="45"/>
        <v>0.52908552927142882</v>
      </c>
      <c r="J52" s="11">
        <f t="shared" ref="J52:N52" si="46">J50/J54</f>
        <v>0.48099999999999998</v>
      </c>
      <c r="K52" s="11">
        <f t="shared" si="46"/>
        <v>0.47199999999999998</v>
      </c>
      <c r="L52" s="11">
        <f t="shared" si="46"/>
        <v>0.47849999999999998</v>
      </c>
      <c r="M52" s="11">
        <f t="shared" si="46"/>
        <v>0.47849999999999998</v>
      </c>
      <c r="N52" s="11">
        <f t="shared" si="46"/>
        <v>0.47849999999999998</v>
      </c>
    </row>
    <row r="54" spans="2:16" ht="14.4" customHeight="1" x14ac:dyDescent="0.3">
      <c r="B54" s="1" t="s">
        <v>19</v>
      </c>
      <c r="E54" s="12">
        <v>20622</v>
      </c>
      <c r="F54" s="12">
        <v>23886</v>
      </c>
      <c r="G54" s="12">
        <v>28107</v>
      </c>
      <c r="H54" s="12">
        <v>44477</v>
      </c>
      <c r="I54" s="12">
        <v>64551</v>
      </c>
      <c r="J54" s="12">
        <v>98328</v>
      </c>
      <c r="K54" s="12">
        <v>130000</v>
      </c>
      <c r="L54" s="12">
        <v>200000</v>
      </c>
      <c r="M54" s="8">
        <f>L54*0.97</f>
        <v>194000</v>
      </c>
      <c r="N54" s="8">
        <f>M54*0.98</f>
        <v>190120</v>
      </c>
    </row>
    <row r="55" spans="2:16" ht="14.4" customHeight="1" x14ac:dyDescent="0.3">
      <c r="B55" s="1" t="s">
        <v>99</v>
      </c>
      <c r="E55" s="12"/>
      <c r="F55" s="12"/>
      <c r="G55" s="12"/>
      <c r="H55" s="12"/>
      <c r="I55" s="12"/>
      <c r="J55" s="12"/>
      <c r="K55" s="12"/>
      <c r="L55" s="8"/>
      <c r="M55" s="8"/>
      <c r="N55" s="8"/>
    </row>
    <row r="57" spans="2:16" ht="14.4" customHeight="1" x14ac:dyDescent="0.3">
      <c r="B57" s="1" t="s">
        <v>20</v>
      </c>
      <c r="E57" s="13">
        <f>-0.94*1000</f>
        <v>-940</v>
      </c>
      <c r="F57" s="13">
        <f>0.45*1000</f>
        <v>450</v>
      </c>
      <c r="G57" s="13">
        <f>-2.39*1000</f>
        <v>-2390</v>
      </c>
      <c r="H57" s="13">
        <f>1.82*1000</f>
        <v>1820</v>
      </c>
      <c r="I57" s="13">
        <f>-5.35*1000</f>
        <v>-5350</v>
      </c>
      <c r="J57" s="13">
        <f>J27*-0.006</f>
        <v>-1964.5022759560159</v>
      </c>
      <c r="K57" s="13">
        <f>K27*-0.004</f>
        <v>-1551.4064267827691</v>
      </c>
      <c r="L57" s="13">
        <f>L27*-0.002</f>
        <v>-912.64586959713586</v>
      </c>
      <c r="M57" s="13">
        <f>M27*-0.002</f>
        <v>-1065.7486579567562</v>
      </c>
      <c r="N57" s="13">
        <f>N27*0.001</f>
        <v>609.34177139653821</v>
      </c>
    </row>
    <row r="58" spans="2:16" ht="14.4" customHeight="1" x14ac:dyDescent="0.3">
      <c r="B58" s="1" t="s">
        <v>16</v>
      </c>
      <c r="E58" s="14">
        <f t="shared" ref="E58:N58" si="47">E57/E27</f>
        <v>-5.5923087906334778E-3</v>
      </c>
      <c r="F58" s="14">
        <f t="shared" si="47"/>
        <v>2.2696323195642307E-3</v>
      </c>
      <c r="G58" s="14">
        <f t="shared" si="47"/>
        <v>-1.1278106788099002E-2</v>
      </c>
      <c r="H58" s="14">
        <f t="shared" si="47"/>
        <v>7.4248741443036529E-3</v>
      </c>
      <c r="I58" s="14">
        <f t="shared" si="47"/>
        <v>-1.8990217375871421E-2</v>
      </c>
      <c r="J58" s="14">
        <f t="shared" si="47"/>
        <v>-6.0000000000000001E-3</v>
      </c>
      <c r="K58" s="14">
        <f t="shared" si="47"/>
        <v>-4.0000000000000001E-3</v>
      </c>
      <c r="L58" s="14">
        <f t="shared" si="47"/>
        <v>-2E-3</v>
      </c>
      <c r="M58" s="14">
        <f t="shared" si="47"/>
        <v>-2E-3</v>
      </c>
      <c r="N58" s="14">
        <f t="shared" si="47"/>
        <v>1E-3</v>
      </c>
    </row>
    <row r="59" spans="2:16" ht="14.4" customHeight="1" x14ac:dyDescent="0.3">
      <c r="B59" s="1" t="s">
        <v>21</v>
      </c>
      <c r="E59" s="14">
        <f t="shared" ref="E59:N59" si="48">E57/(E27-D27)</f>
        <v>-5.5923087906334778E-3</v>
      </c>
      <c r="F59" s="14">
        <f t="shared" si="48"/>
        <v>1.4909548737658207E-2</v>
      </c>
      <c r="G59" s="14">
        <f t="shared" si="48"/>
        <v>-0.17515573470135581</v>
      </c>
      <c r="H59" s="14">
        <f t="shared" si="48"/>
        <v>5.4807721263589002E-2</v>
      </c>
      <c r="I59" s="14">
        <f t="shared" si="48"/>
        <v>-0.14616687612698759</v>
      </c>
      <c r="J59" s="14">
        <f t="shared" si="48"/>
        <v>-4.2993462862405539E-2</v>
      </c>
      <c r="K59" s="14">
        <f t="shared" si="48"/>
        <v>-2.5670848083208894E-2</v>
      </c>
      <c r="L59" s="14">
        <f t="shared" si="48"/>
        <v>-1.3328876405404602E-2</v>
      </c>
      <c r="M59" s="14">
        <f t="shared" si="48"/>
        <v>-1.3922001935764075E-2</v>
      </c>
      <c r="N59" s="14">
        <f t="shared" si="48"/>
        <v>7.9686432830376238E-3</v>
      </c>
    </row>
    <row r="61" spans="2:16" ht="14.4" customHeight="1" x14ac:dyDescent="0.3">
      <c r="B61" s="2" t="s">
        <v>22</v>
      </c>
      <c r="C61" s="2"/>
      <c r="D61" s="2"/>
      <c r="E61" s="2">
        <v>2021</v>
      </c>
      <c r="F61" s="2">
        <f>E61+1</f>
        <v>2022</v>
      </c>
      <c r="G61" s="2">
        <f>F61+1</f>
        <v>2023</v>
      </c>
      <c r="H61" s="2">
        <f>G61+1</f>
        <v>2024</v>
      </c>
      <c r="I61" s="2">
        <f>H61+1</f>
        <v>2025</v>
      </c>
      <c r="J61" s="3" t="s">
        <v>6</v>
      </c>
      <c r="K61" s="3" t="s">
        <v>7</v>
      </c>
      <c r="L61" s="3" t="s">
        <v>8</v>
      </c>
      <c r="M61" s="3" t="s">
        <v>9</v>
      </c>
      <c r="N61" s="3" t="s">
        <v>10</v>
      </c>
    </row>
    <row r="62" spans="2:16" ht="14.4" customHeight="1" x14ac:dyDescent="0.3">
      <c r="B62" s="1" t="s">
        <v>11</v>
      </c>
      <c r="E62" s="8">
        <f t="shared" ref="E62:N62" si="49">E27</f>
        <v>168088</v>
      </c>
      <c r="F62" s="8">
        <f t="shared" si="49"/>
        <v>198270</v>
      </c>
      <c r="G62" s="8">
        <f t="shared" si="49"/>
        <v>211915</v>
      </c>
      <c r="H62" s="8">
        <f t="shared" si="49"/>
        <v>245122</v>
      </c>
      <c r="I62" s="8">
        <f t="shared" si="49"/>
        <v>281724</v>
      </c>
      <c r="J62" s="8">
        <f t="shared" si="49"/>
        <v>327417.0459926693</v>
      </c>
      <c r="K62" s="8">
        <f t="shared" si="49"/>
        <v>387851.60669569229</v>
      </c>
      <c r="L62" s="8">
        <f t="shared" si="49"/>
        <v>456322.93479856791</v>
      </c>
      <c r="M62" s="8">
        <f t="shared" si="49"/>
        <v>532874.32897837809</v>
      </c>
      <c r="N62" s="8">
        <f t="shared" si="49"/>
        <v>609341.77139653824</v>
      </c>
    </row>
    <row r="63" spans="2:16" ht="14.4" customHeight="1" x14ac:dyDescent="0.3">
      <c r="B63" s="5" t="s">
        <v>12</v>
      </c>
      <c r="C63" s="5"/>
      <c r="D63" s="5"/>
      <c r="E63" s="11">
        <f>(E62-143015)/143015</f>
        <v>0.175317274411775</v>
      </c>
      <c r="F63" s="11">
        <f t="shared" ref="F63:N63" si="50">(F62-E62)/E62</f>
        <v>0.17956070629670173</v>
      </c>
      <c r="G63" s="11">
        <f t="shared" si="50"/>
        <v>6.8820295556564284E-2</v>
      </c>
      <c r="H63" s="11">
        <f t="shared" si="50"/>
        <v>0.15669962013071279</v>
      </c>
      <c r="I63" s="11">
        <f t="shared" si="50"/>
        <v>0.14932156232406721</v>
      </c>
      <c r="J63" s="11">
        <f t="shared" si="50"/>
        <v>0.16219081793765991</v>
      </c>
      <c r="K63" s="11">
        <f t="shared" si="50"/>
        <v>0.1845797628519808</v>
      </c>
      <c r="L63" s="11">
        <f t="shared" si="50"/>
        <v>0.17654001406934511</v>
      </c>
      <c r="M63" s="11">
        <f t="shared" si="50"/>
        <v>0.16775706049839867</v>
      </c>
      <c r="N63" s="11">
        <f t="shared" si="50"/>
        <v>0.14349995535488236</v>
      </c>
    </row>
    <row r="64" spans="2:16" ht="14.4" customHeight="1" x14ac:dyDescent="0.3"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2:14" ht="14.4" customHeight="1" x14ac:dyDescent="0.3">
      <c r="B65" s="1" t="s">
        <v>13</v>
      </c>
      <c r="E65" s="8">
        <f t="shared" ref="E65:N65" si="51">E42</f>
        <v>69916</v>
      </c>
      <c r="F65" s="8">
        <f t="shared" si="51"/>
        <v>83383</v>
      </c>
      <c r="G65" s="8">
        <f t="shared" si="51"/>
        <v>88523</v>
      </c>
      <c r="H65" s="8">
        <f t="shared" si="51"/>
        <v>109433</v>
      </c>
      <c r="I65" s="8">
        <f t="shared" si="51"/>
        <v>128528</v>
      </c>
      <c r="J65" s="8">
        <f>J42</f>
        <v>147665.08774269384</v>
      </c>
      <c r="K65" s="8">
        <f t="shared" si="51"/>
        <v>180157.07131014904</v>
      </c>
      <c r="L65" s="8">
        <f t="shared" si="51"/>
        <v>214928.10229012551</v>
      </c>
      <c r="M65" s="8">
        <f t="shared" si="51"/>
        <v>253115.30626472962</v>
      </c>
      <c r="N65" s="8">
        <f t="shared" si="51"/>
        <v>289437.34141335561</v>
      </c>
    </row>
    <row r="66" spans="2:14" ht="14.4" customHeight="1" x14ac:dyDescent="0.3">
      <c r="B66" s="5" t="s">
        <v>16</v>
      </c>
      <c r="C66" s="5"/>
      <c r="D66" s="5"/>
      <c r="E66" s="11">
        <f t="shared" ref="E66:N66" si="52">E65/E62</f>
        <v>0.41594878872971303</v>
      </c>
      <c r="F66" s="11">
        <f t="shared" si="52"/>
        <v>0.4205527815604983</v>
      </c>
      <c r="G66" s="11">
        <f t="shared" si="52"/>
        <v>0.41772880636104098</v>
      </c>
      <c r="H66" s="11">
        <f t="shared" si="52"/>
        <v>0.44644299573273716</v>
      </c>
      <c r="I66" s="11">
        <f t="shared" si="52"/>
        <v>0.45621956240859851</v>
      </c>
      <c r="J66" s="11">
        <f t="shared" si="52"/>
        <v>0.45099999999999996</v>
      </c>
      <c r="K66" s="11">
        <f t="shared" si="52"/>
        <v>0.46449999999999991</v>
      </c>
      <c r="L66" s="11">
        <f t="shared" si="52"/>
        <v>0.47100000000000003</v>
      </c>
      <c r="M66" s="11">
        <f t="shared" si="52"/>
        <v>0.47500000000000003</v>
      </c>
      <c r="N66" s="11">
        <f t="shared" si="52"/>
        <v>0.47499999999999992</v>
      </c>
    </row>
    <row r="67" spans="2:14" ht="14.4" customHeight="1" x14ac:dyDescent="0.3">
      <c r="J67" s="8"/>
      <c r="K67" s="8"/>
      <c r="L67" s="8"/>
      <c r="M67" s="8"/>
      <c r="N67" s="8"/>
    </row>
    <row r="68" spans="2:14" ht="14.4" customHeight="1" x14ac:dyDescent="0.3">
      <c r="B68" s="1" t="s">
        <v>14</v>
      </c>
      <c r="E68" s="8">
        <f t="shared" ref="E68:N68" si="53">E45</f>
        <v>9831</v>
      </c>
      <c r="F68" s="8">
        <f t="shared" si="53"/>
        <v>10978</v>
      </c>
      <c r="G68" s="8">
        <f t="shared" si="53"/>
        <v>16950</v>
      </c>
      <c r="H68" s="8">
        <f t="shared" si="53"/>
        <v>19651</v>
      </c>
      <c r="I68" s="8">
        <f t="shared" si="53"/>
        <v>21795</v>
      </c>
      <c r="J68" s="8">
        <f t="shared" si="53"/>
        <v>27318.041232398358</v>
      </c>
      <c r="K68" s="8">
        <f t="shared" si="53"/>
        <v>33329.058192377575</v>
      </c>
      <c r="L68" s="8">
        <f t="shared" si="53"/>
        <v>40836.339435123846</v>
      </c>
      <c r="M68" s="8">
        <f t="shared" si="53"/>
        <v>50623.061252945925</v>
      </c>
      <c r="N68" s="8">
        <f t="shared" si="53"/>
        <v>60781.841696804673</v>
      </c>
    </row>
    <row r="69" spans="2:14" ht="14.4" customHeight="1" x14ac:dyDescent="0.3">
      <c r="B69" s="5" t="s">
        <v>15</v>
      </c>
      <c r="C69" s="5"/>
      <c r="D69" s="5"/>
      <c r="E69" s="11">
        <f t="shared" ref="E69:N69" si="54">E68/E65</f>
        <v>0.14061159105211968</v>
      </c>
      <c r="F69" s="11">
        <f t="shared" si="54"/>
        <v>0.13165753211086192</v>
      </c>
      <c r="G69" s="11">
        <f t="shared" si="54"/>
        <v>0.19147566169244151</v>
      </c>
      <c r="H69" s="11">
        <f t="shared" si="54"/>
        <v>0.17957106174554294</v>
      </c>
      <c r="I69" s="11">
        <f t="shared" si="54"/>
        <v>0.16957394497697001</v>
      </c>
      <c r="J69" s="11">
        <f t="shared" si="54"/>
        <v>0.185</v>
      </c>
      <c r="K69" s="11">
        <f t="shared" si="54"/>
        <v>0.18500000000000003</v>
      </c>
      <c r="L69" s="11">
        <f t="shared" si="54"/>
        <v>0.19</v>
      </c>
      <c r="M69" s="11">
        <f t="shared" si="54"/>
        <v>0.2</v>
      </c>
      <c r="N69" s="11">
        <f t="shared" si="54"/>
        <v>0.21</v>
      </c>
    </row>
    <row r="71" spans="2:14" ht="14.4" customHeight="1" x14ac:dyDescent="0.3">
      <c r="B71" s="81" t="s">
        <v>23</v>
      </c>
      <c r="C71" s="55"/>
      <c r="D71" s="55"/>
      <c r="E71" s="57">
        <f t="shared" ref="E71:N71" si="55">E65-E68</f>
        <v>60085</v>
      </c>
      <c r="F71" s="57">
        <f t="shared" si="55"/>
        <v>72405</v>
      </c>
      <c r="G71" s="57">
        <f t="shared" si="55"/>
        <v>71573</v>
      </c>
      <c r="H71" s="57">
        <f t="shared" si="55"/>
        <v>89782</v>
      </c>
      <c r="I71" s="57">
        <f t="shared" si="55"/>
        <v>106733</v>
      </c>
      <c r="J71" s="57">
        <f t="shared" si="55"/>
        <v>120347.04651029548</v>
      </c>
      <c r="K71" s="57">
        <f t="shared" si="55"/>
        <v>146828.01311777148</v>
      </c>
      <c r="L71" s="57">
        <f t="shared" si="55"/>
        <v>174091.76285500167</v>
      </c>
      <c r="M71" s="57">
        <f t="shared" si="55"/>
        <v>202492.2450117837</v>
      </c>
      <c r="N71" s="59">
        <f t="shared" si="55"/>
        <v>228655.49971655093</v>
      </c>
    </row>
    <row r="73" spans="2:14" ht="14.4" customHeight="1" x14ac:dyDescent="0.3">
      <c r="B73" s="1" t="s">
        <v>18</v>
      </c>
      <c r="E73" s="8">
        <f t="shared" ref="E73:N73" si="56">E50</f>
        <v>11686</v>
      </c>
      <c r="F73" s="8">
        <f t="shared" si="56"/>
        <v>14460</v>
      </c>
      <c r="G73" s="8">
        <f t="shared" si="56"/>
        <v>13861</v>
      </c>
      <c r="H73" s="8">
        <f t="shared" si="56"/>
        <v>22287</v>
      </c>
      <c r="I73" s="8">
        <f t="shared" si="56"/>
        <v>34153</v>
      </c>
      <c r="J73" s="8">
        <f t="shared" si="56"/>
        <v>47295.767999999996</v>
      </c>
      <c r="K73" s="8">
        <f t="shared" si="56"/>
        <v>61360</v>
      </c>
      <c r="L73" s="8">
        <f t="shared" si="56"/>
        <v>95700</v>
      </c>
      <c r="M73" s="8">
        <f t="shared" si="56"/>
        <v>92829</v>
      </c>
      <c r="N73" s="8">
        <f t="shared" si="56"/>
        <v>90972.42</v>
      </c>
    </row>
    <row r="74" spans="2:14" ht="14.4" customHeight="1" x14ac:dyDescent="0.3">
      <c r="B74" s="5" t="s">
        <v>16</v>
      </c>
      <c r="C74" s="5"/>
      <c r="D74" s="5"/>
      <c r="E74" s="11">
        <f t="shared" ref="E74:N74" si="57">E73/E62</f>
        <v>6.9523106943981727E-2</v>
      </c>
      <c r="F74" s="11">
        <f t="shared" si="57"/>
        <v>7.2930851868663937E-2</v>
      </c>
      <c r="G74" s="11">
        <f t="shared" si="57"/>
        <v>6.5408300497841118E-2</v>
      </c>
      <c r="H74" s="11">
        <f t="shared" si="57"/>
        <v>9.0922071458294243E-2</v>
      </c>
      <c r="I74" s="11">
        <f t="shared" si="57"/>
        <v>0.12122857832488534</v>
      </c>
      <c r="J74" s="11">
        <f t="shared" si="57"/>
        <v>0.14445114748564106</v>
      </c>
      <c r="K74" s="11">
        <f t="shared" si="57"/>
        <v>0.1582048364392698</v>
      </c>
      <c r="L74" s="11">
        <f t="shared" si="57"/>
        <v>0.20971989944411695</v>
      </c>
      <c r="M74" s="11">
        <f t="shared" si="57"/>
        <v>0.17420430099901965</v>
      </c>
      <c r="N74" s="11">
        <f t="shared" si="57"/>
        <v>0.14929621481800293</v>
      </c>
    </row>
    <row r="76" spans="2:14" ht="14.4" customHeight="1" x14ac:dyDescent="0.3">
      <c r="B76" s="1" t="s">
        <v>19</v>
      </c>
      <c r="E76" s="8">
        <f t="shared" ref="E76:N76" si="58">E54</f>
        <v>20622</v>
      </c>
      <c r="F76" s="8">
        <f t="shared" si="58"/>
        <v>23886</v>
      </c>
      <c r="G76" s="8">
        <f t="shared" si="58"/>
        <v>28107</v>
      </c>
      <c r="H76" s="8">
        <f t="shared" si="58"/>
        <v>44477</v>
      </c>
      <c r="I76" s="8">
        <f t="shared" si="58"/>
        <v>64551</v>
      </c>
      <c r="J76" s="8">
        <f t="shared" si="58"/>
        <v>98328</v>
      </c>
      <c r="K76" s="8">
        <f t="shared" si="58"/>
        <v>130000</v>
      </c>
      <c r="L76" s="8">
        <f t="shared" si="58"/>
        <v>200000</v>
      </c>
      <c r="M76" s="8">
        <f t="shared" si="58"/>
        <v>194000</v>
      </c>
      <c r="N76" s="8">
        <f t="shared" si="58"/>
        <v>190120</v>
      </c>
    </row>
    <row r="77" spans="2:14" ht="14.4" customHeight="1" x14ac:dyDescent="0.3">
      <c r="B77" s="5" t="s">
        <v>16</v>
      </c>
      <c r="C77" s="5"/>
      <c r="D77" s="5"/>
      <c r="E77" s="11">
        <f t="shared" ref="E77:N77" si="59">E76/E62</f>
        <v>0.12268573604302509</v>
      </c>
      <c r="F77" s="11">
        <f t="shared" si="59"/>
        <v>0.12047208352246935</v>
      </c>
      <c r="G77" s="11">
        <f t="shared" si="59"/>
        <v>0.13263336715192411</v>
      </c>
      <c r="H77" s="11">
        <f t="shared" si="59"/>
        <v>0.18144842160230415</v>
      </c>
      <c r="I77" s="11">
        <f t="shared" si="59"/>
        <v>0.22912850875324786</v>
      </c>
      <c r="J77" s="11">
        <f t="shared" si="59"/>
        <v>0.30031423593688372</v>
      </c>
      <c r="K77" s="11">
        <f t="shared" si="59"/>
        <v>0.33517973821879193</v>
      </c>
      <c r="L77" s="11">
        <f t="shared" si="59"/>
        <v>0.43828610124162376</v>
      </c>
      <c r="M77" s="11">
        <f t="shared" si="59"/>
        <v>0.36406332497182792</v>
      </c>
      <c r="N77" s="11">
        <f t="shared" si="59"/>
        <v>0.31200880839708028</v>
      </c>
    </row>
    <row r="79" spans="2:14" ht="14.4" customHeight="1" x14ac:dyDescent="0.3">
      <c r="B79" s="1" t="s">
        <v>20</v>
      </c>
      <c r="E79" s="13">
        <f t="shared" ref="E79:N79" si="60">E57</f>
        <v>-940</v>
      </c>
      <c r="F79" s="13">
        <f t="shared" si="60"/>
        <v>450</v>
      </c>
      <c r="G79" s="13">
        <f t="shared" si="60"/>
        <v>-2390</v>
      </c>
      <c r="H79" s="13">
        <f t="shared" si="60"/>
        <v>1820</v>
      </c>
      <c r="I79" s="13">
        <f t="shared" si="60"/>
        <v>-5350</v>
      </c>
      <c r="J79" s="13">
        <f t="shared" si="60"/>
        <v>-1964.5022759560159</v>
      </c>
      <c r="K79" s="13">
        <f t="shared" si="60"/>
        <v>-1551.4064267827691</v>
      </c>
      <c r="L79" s="13">
        <f t="shared" si="60"/>
        <v>-912.64586959713586</v>
      </c>
      <c r="M79" s="13">
        <f t="shared" si="60"/>
        <v>-1065.7486579567562</v>
      </c>
      <c r="N79" s="13">
        <f t="shared" si="60"/>
        <v>609.34177139653821</v>
      </c>
    </row>
    <row r="80" spans="2:14" ht="14.4" customHeight="1" x14ac:dyDescent="0.3">
      <c r="B80" s="5" t="s">
        <v>16</v>
      </c>
      <c r="C80" s="5"/>
      <c r="D80" s="5"/>
      <c r="E80" s="11">
        <f t="shared" ref="E80:N80" si="61">E79/E62</f>
        <v>-5.5923087906334778E-3</v>
      </c>
      <c r="F80" s="11">
        <f t="shared" si="61"/>
        <v>2.2696323195642307E-3</v>
      </c>
      <c r="G80" s="11">
        <f t="shared" si="61"/>
        <v>-1.1278106788099002E-2</v>
      </c>
      <c r="H80" s="11">
        <f t="shared" si="61"/>
        <v>7.4248741443036529E-3</v>
      </c>
      <c r="I80" s="11">
        <f t="shared" si="61"/>
        <v>-1.8990217375871421E-2</v>
      </c>
      <c r="J80" s="11">
        <f t="shared" si="61"/>
        <v>-6.0000000000000001E-3</v>
      </c>
      <c r="K80" s="11">
        <f t="shared" si="61"/>
        <v>-4.0000000000000001E-3</v>
      </c>
      <c r="L80" s="11">
        <f t="shared" si="61"/>
        <v>-2E-3</v>
      </c>
      <c r="M80" s="11">
        <f t="shared" si="61"/>
        <v>-2E-3</v>
      </c>
      <c r="N80" s="11">
        <f t="shared" si="61"/>
        <v>1E-3</v>
      </c>
    </row>
    <row r="81" spans="2:14" ht="14.4" customHeight="1" x14ac:dyDescent="0.3">
      <c r="B81" s="5"/>
      <c r="C81" s="5"/>
      <c r="D81" s="5"/>
      <c r="E81" s="11"/>
      <c r="F81" s="11"/>
      <c r="G81" s="11"/>
      <c r="H81" s="11"/>
      <c r="I81" s="11"/>
      <c r="J81" s="11"/>
      <c r="K81" s="11"/>
      <c r="L81" s="11"/>
      <c r="M81" s="11"/>
      <c r="N81" s="11"/>
    </row>
    <row r="82" spans="2:14" ht="14.4" customHeight="1" x14ac:dyDescent="0.3">
      <c r="B82" s="1" t="s">
        <v>108</v>
      </c>
      <c r="E82" s="13">
        <v>6118</v>
      </c>
      <c r="F82" s="13">
        <v>7502</v>
      </c>
      <c r="G82" s="13">
        <v>9611</v>
      </c>
      <c r="H82" s="13">
        <v>10734</v>
      </c>
      <c r="I82" s="13">
        <v>11974</v>
      </c>
      <c r="J82" s="13">
        <f>J62*0.038</f>
        <v>12441.847747721433</v>
      </c>
      <c r="K82" s="13">
        <f>K62*0.038</f>
        <v>14738.361054436307</v>
      </c>
      <c r="L82" s="13">
        <f>L62*0.038</f>
        <v>17340.271522345582</v>
      </c>
      <c r="M82" s="13">
        <f>M62*0.038</f>
        <v>20249.224501178367</v>
      </c>
      <c r="N82" s="13">
        <f>N62*0.038</f>
        <v>23154.987313068454</v>
      </c>
    </row>
    <row r="83" spans="2:14" ht="14.4" customHeight="1" x14ac:dyDescent="0.3">
      <c r="B83" s="5" t="s">
        <v>16</v>
      </c>
      <c r="C83" s="5"/>
      <c r="D83" s="5"/>
      <c r="E83" s="11">
        <f>E82/E62</f>
        <v>3.6397601256484696E-2</v>
      </c>
      <c r="F83" s="11">
        <f t="shared" ref="F83:I83" si="62">F82/F62</f>
        <v>3.7837292580824126E-2</v>
      </c>
      <c r="G83" s="11">
        <f t="shared" si="62"/>
        <v>4.5353089682183892E-2</v>
      </c>
      <c r="H83" s="11">
        <f t="shared" si="62"/>
        <v>4.3790439046678793E-2</v>
      </c>
      <c r="I83" s="11">
        <f t="shared" si="62"/>
        <v>4.2502591188539135E-2</v>
      </c>
      <c r="J83" s="11">
        <f t="shared" ref="J83" si="63">J82/J62</f>
        <v>3.7999999999999999E-2</v>
      </c>
      <c r="K83" s="11">
        <f t="shared" ref="K83" si="64">K82/K62</f>
        <v>3.7999999999999999E-2</v>
      </c>
      <c r="L83" s="11">
        <f t="shared" ref="L83" si="65">L82/L62</f>
        <v>3.8000000000000006E-2</v>
      </c>
      <c r="M83" s="11">
        <f t="shared" ref="M83" si="66">M82/M62</f>
        <v>3.7999999999999999E-2</v>
      </c>
      <c r="N83" s="11">
        <f t="shared" ref="N83" si="67">N82/N62</f>
        <v>3.7999999999999999E-2</v>
      </c>
    </row>
    <row r="85" spans="2:14" ht="14.4" customHeight="1" x14ac:dyDescent="0.3">
      <c r="B85" s="1" t="s">
        <v>351</v>
      </c>
      <c r="E85" s="12">
        <v>56120</v>
      </c>
      <c r="F85" s="12">
        <v>65150</v>
      </c>
      <c r="G85" s="12">
        <v>59480</v>
      </c>
      <c r="H85" s="12">
        <v>74070</v>
      </c>
      <c r="I85" s="12">
        <v>71610</v>
      </c>
      <c r="J85" s="8">
        <f>J71+J73-J76-(J79)</f>
        <v>71279.316786251467</v>
      </c>
      <c r="K85" s="8">
        <f t="shared" ref="K85:N85" si="68">K71+K73-K76-(K79)</f>
        <v>79739.419544554243</v>
      </c>
      <c r="L85" s="8">
        <f t="shared" si="68"/>
        <v>70704.408724598805</v>
      </c>
      <c r="M85" s="8">
        <f t="shared" si="68"/>
        <v>102386.99366974043</v>
      </c>
      <c r="N85" s="8">
        <f t="shared" si="68"/>
        <v>128898.57794515438</v>
      </c>
    </row>
    <row r="86" spans="2:14" ht="14.4" customHeight="1" x14ac:dyDescent="0.3">
      <c r="B86" s="5" t="s">
        <v>16</v>
      </c>
      <c r="C86" s="5"/>
      <c r="D86" s="5"/>
      <c r="E86" s="11">
        <f>E85/E62</f>
        <v>0.33387273333016038</v>
      </c>
      <c r="F86" s="11">
        <f t="shared" ref="F86:N86" si="69">F85/F62</f>
        <v>0.32859232359913249</v>
      </c>
      <c r="G86" s="11">
        <f t="shared" si="69"/>
        <v>0.28067857395653917</v>
      </c>
      <c r="H86" s="11">
        <f t="shared" si="69"/>
        <v>0.30217605926844593</v>
      </c>
      <c r="I86" s="11">
        <f t="shared" si="69"/>
        <v>0.25418494696937427</v>
      </c>
      <c r="J86" s="11">
        <f t="shared" si="69"/>
        <v>0.21770191154875723</v>
      </c>
      <c r="K86" s="11">
        <f t="shared" si="69"/>
        <v>0.20559259822047779</v>
      </c>
      <c r="L86" s="11">
        <f t="shared" si="69"/>
        <v>0.15494379820249329</v>
      </c>
      <c r="M86" s="11">
        <f t="shared" si="69"/>
        <v>0.19214097602719174</v>
      </c>
      <c r="N86" s="11">
        <f t="shared" si="69"/>
        <v>0.21153740642092253</v>
      </c>
    </row>
    <row r="88" spans="2:14" ht="14.4" customHeight="1" x14ac:dyDescent="0.3">
      <c r="B88" s="1" t="s">
        <v>25</v>
      </c>
      <c r="J88" s="8">
        <f>J85/(1+$U$7)^0.25</f>
        <v>69841.236902524004</v>
      </c>
      <c r="K88" s="8">
        <f>K85/(1+$U$7)^1.25</f>
        <v>72013.685770367447</v>
      </c>
      <c r="L88" s="8">
        <f>L85/(1+$U$7)^2.25</f>
        <v>58854.820529621815</v>
      </c>
      <c r="M88" s="8">
        <f>M85/(1+$U$7)^3.25</f>
        <v>78555.014245977669</v>
      </c>
      <c r="N88" s="8">
        <f>N85/(1+$U$7)^4.25</f>
        <v>91152.969669720231</v>
      </c>
    </row>
    <row r="90" spans="2:14" ht="14.4" customHeight="1" x14ac:dyDescent="0.3">
      <c r="H90" s="29"/>
      <c r="J90" s="8"/>
      <c r="K90" s="8"/>
    </row>
    <row r="96" spans="2:14" ht="14.4" customHeight="1" x14ac:dyDescent="0.3">
      <c r="J96" s="13"/>
    </row>
  </sheetData>
  <mergeCells count="9">
    <mergeCell ref="W13:X13"/>
    <mergeCell ref="I7:K7"/>
    <mergeCell ref="I12:K12"/>
    <mergeCell ref="T11:U11"/>
    <mergeCell ref="T22:U22"/>
    <mergeCell ref="I11:K11"/>
    <mergeCell ref="I10:K10"/>
    <mergeCell ref="I9:K9"/>
    <mergeCell ref="I8:K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755C1-F80B-4C2F-AFEE-9D4756B0A66A}">
  <dimension ref="A2:XFD115"/>
  <sheetViews>
    <sheetView showGridLines="0" zoomScale="85" zoomScaleNormal="85" zoomScaleSheetLayoutView="100" workbookViewId="0">
      <selection activeCell="P25" sqref="P25"/>
    </sheetView>
  </sheetViews>
  <sheetFormatPr defaultColWidth="8.69921875" defaultRowHeight="14.4" customHeight="1" x14ac:dyDescent="0.3"/>
  <cols>
    <col min="1" max="4" width="8.69921875" style="1"/>
    <col min="5" max="5" width="8.69921875" style="1" customWidth="1"/>
    <col min="6" max="11" width="8.69921875" style="1"/>
    <col min="12" max="12" width="9.69921875" style="1" bestFit="1" customWidth="1"/>
    <col min="13" max="14" width="8.796875" style="1" bestFit="1" customWidth="1"/>
    <col min="15" max="16384" width="8.69921875" style="1"/>
  </cols>
  <sheetData>
    <row r="2" spans="1:20 16384:16384" ht="14.4" customHeight="1" x14ac:dyDescent="0.3">
      <c r="B2" s="1" t="s">
        <v>87</v>
      </c>
      <c r="C2" s="1" t="s">
        <v>88</v>
      </c>
      <c r="M2" s="5" t="s">
        <v>51</v>
      </c>
    </row>
    <row r="4" spans="1:20 16384:16384" ht="14.4" customHeight="1" x14ac:dyDescent="0.3">
      <c r="A4" s="45" t="s">
        <v>73</v>
      </c>
      <c r="B4" s="2" t="s">
        <v>72</v>
      </c>
      <c r="C4" s="2"/>
      <c r="D4" s="2"/>
      <c r="E4" s="2"/>
      <c r="F4" s="2"/>
      <c r="G4" s="2">
        <v>2021</v>
      </c>
      <c r="H4" s="2">
        <f>G4+1</f>
        <v>2022</v>
      </c>
      <c r="I4" s="2">
        <f>H4+1</f>
        <v>2023</v>
      </c>
      <c r="J4" s="2">
        <f>I4+1</f>
        <v>2024</v>
      </c>
      <c r="K4" s="2">
        <f>J4+1</f>
        <v>2025</v>
      </c>
      <c r="L4" s="3" t="s">
        <v>6</v>
      </c>
      <c r="M4" s="3" t="s">
        <v>7</v>
      </c>
      <c r="N4" s="3" t="s">
        <v>8</v>
      </c>
      <c r="O4" s="3" t="s">
        <v>9</v>
      </c>
      <c r="P4" s="3" t="s">
        <v>10</v>
      </c>
      <c r="Q4" s="8"/>
      <c r="S4" s="12"/>
    </row>
    <row r="5" spans="1:20 16384:16384" s="24" customFormat="1" ht="1.95" customHeight="1" x14ac:dyDescent="0.3">
      <c r="B5" s="25"/>
      <c r="C5" s="25"/>
      <c r="D5" s="25"/>
      <c r="E5" s="25"/>
      <c r="F5" s="25"/>
      <c r="G5" s="25"/>
      <c r="H5" s="25"/>
      <c r="I5" s="25"/>
      <c r="J5" s="25"/>
      <c r="K5" s="25"/>
      <c r="L5" s="26"/>
      <c r="M5" s="26"/>
      <c r="N5" s="26"/>
      <c r="O5" s="26"/>
      <c r="P5" s="26"/>
    </row>
    <row r="6" spans="1:20 16384:16384" ht="14.4" customHeight="1" x14ac:dyDescent="0.3">
      <c r="B6" s="64" t="s">
        <v>71</v>
      </c>
      <c r="C6" s="64"/>
      <c r="D6" s="64"/>
      <c r="E6" s="64"/>
      <c r="F6" s="64"/>
      <c r="G6" s="65">
        <v>53915</v>
      </c>
      <c r="H6" s="65">
        <v>63364</v>
      </c>
      <c r="I6" s="65">
        <v>94151</v>
      </c>
      <c r="J6" s="65">
        <v>106820</v>
      </c>
      <c r="K6" s="65">
        <v>120810</v>
      </c>
      <c r="L6" s="66">
        <f>L9+L25+L34+L36</f>
        <v>136871.44599266932</v>
      </c>
      <c r="M6" s="66">
        <f>M9+M25+M34+M36</f>
        <v>156049.57509569224</v>
      </c>
      <c r="N6" s="66">
        <f>N9+N25+N34+N36</f>
        <v>175848.53339296792</v>
      </c>
      <c r="O6" s="66">
        <f>O9+O25+O34+O36</f>
        <v>196489.19212935242</v>
      </c>
      <c r="P6" s="66">
        <f>P9+P25+P34+P36</f>
        <v>211786.04113217557</v>
      </c>
      <c r="T6" s="8"/>
    </row>
    <row r="7" spans="1:20 16384:16384" ht="14.4" customHeight="1" x14ac:dyDescent="0.3">
      <c r="B7" s="5" t="s">
        <v>12</v>
      </c>
      <c r="G7" s="11">
        <f>(G6-46398)/46398</f>
        <v>0.16201129359024097</v>
      </c>
      <c r="H7" s="11">
        <f t="shared" ref="H7:P7" si="0">(H6-G6)/G6</f>
        <v>0.17525734953167021</v>
      </c>
      <c r="I7" s="11">
        <f t="shared" si="0"/>
        <v>0.48587526040022727</v>
      </c>
      <c r="J7" s="11">
        <f t="shared" si="0"/>
        <v>0.13456044014402396</v>
      </c>
      <c r="K7" s="11">
        <f t="shared" si="0"/>
        <v>0.13096798352368472</v>
      </c>
      <c r="L7" s="11">
        <f t="shared" si="0"/>
        <v>0.13294798437769492</v>
      </c>
      <c r="M7" s="11">
        <f t="shared" si="0"/>
        <v>0.14011782343594206</v>
      </c>
      <c r="N7" s="11">
        <f t="shared" si="0"/>
        <v>0.12687607950957008</v>
      </c>
      <c r="O7" s="11">
        <f t="shared" si="0"/>
        <v>0.11737748582900556</v>
      </c>
      <c r="P7" s="11">
        <f t="shared" si="0"/>
        <v>7.7850841753947214E-2</v>
      </c>
      <c r="T7" s="8"/>
    </row>
    <row r="8" spans="1:20 16384:16384" ht="14.4" customHeight="1" x14ac:dyDescent="0.3">
      <c r="S8" s="8"/>
    </row>
    <row r="9" spans="1:20 16384:16384" ht="14.4" customHeight="1" x14ac:dyDescent="0.3">
      <c r="B9" s="60" t="s">
        <v>74</v>
      </c>
      <c r="C9" s="55"/>
      <c r="D9" s="55"/>
      <c r="E9" s="55"/>
      <c r="F9" s="55"/>
      <c r="G9" s="56">
        <f>(39872)*0.91</f>
        <v>36283.520000000004</v>
      </c>
      <c r="H9" s="56">
        <f>(44862)*0.91</f>
        <v>40824.42</v>
      </c>
      <c r="I9" s="56">
        <v>66949</v>
      </c>
      <c r="J9" s="56">
        <v>79969</v>
      </c>
      <c r="K9" s="56">
        <v>87767</v>
      </c>
      <c r="L9" s="57">
        <f>L15+L22</f>
        <v>98773.80456641932</v>
      </c>
      <c r="M9" s="57">
        <f t="shared" ref="M9:P9" si="1">M15+M22</f>
        <v>113157.65116506722</v>
      </c>
      <c r="N9" s="57">
        <f t="shared" si="1"/>
        <v>128634.53443238618</v>
      </c>
      <c r="O9" s="57">
        <f t="shared" si="1"/>
        <v>145284.33455261518</v>
      </c>
      <c r="P9" s="59">
        <f t="shared" si="1"/>
        <v>156815.20397091526</v>
      </c>
      <c r="Q9" s="10"/>
      <c r="R9" s="10"/>
      <c r="S9" s="10"/>
    </row>
    <row r="10" spans="1:20 16384:16384" ht="14.4" customHeight="1" x14ac:dyDescent="0.3">
      <c r="B10" s="47" t="s">
        <v>306</v>
      </c>
      <c r="G10" s="11"/>
      <c r="H10" s="11">
        <f>(H9-G9)/G9</f>
        <v>0.12515048154093081</v>
      </c>
      <c r="I10" s="11">
        <f>(I9-H9)/H9</f>
        <v>0.63992531920845419</v>
      </c>
      <c r="J10" s="11">
        <f>(J9-I9)/I9</f>
        <v>0.19447639247785628</v>
      </c>
      <c r="K10" s="11">
        <f>(K9-J9)/J9</f>
        <v>9.7512786204654298E-2</v>
      </c>
      <c r="L10" s="11">
        <f t="shared" ref="L10" si="2">(L9-K9)/K9</f>
        <v>0.12540937443936012</v>
      </c>
      <c r="M10" s="11">
        <f t="shared" ref="M10" si="3">(M9-L9)/L9</f>
        <v>0.14562410207633184</v>
      </c>
      <c r="N10" s="11">
        <f t="shared" ref="N10" si="4">(N9-M9)/M9</f>
        <v>0.13677275118358778</v>
      </c>
      <c r="O10" s="11">
        <f t="shared" ref="O10" si="5">(O9-N9)/N9</f>
        <v>0.12943491569894547</v>
      </c>
      <c r="P10" s="11">
        <f t="shared" ref="P10" si="6">(P9-O9)/O9</f>
        <v>7.9367603216189395E-2</v>
      </c>
      <c r="Q10" s="10"/>
      <c r="R10" s="10"/>
      <c r="S10" s="10"/>
    </row>
    <row r="11" spans="1:20 16384:16384" ht="14.4" customHeight="1" x14ac:dyDescent="0.3">
      <c r="B11" s="46" t="s">
        <v>304</v>
      </c>
      <c r="G11" s="12">
        <v>300</v>
      </c>
      <c r="H11" s="8">
        <f>AVERAGE(G11,I11)</f>
        <v>341</v>
      </c>
      <c r="I11" s="12">
        <v>382</v>
      </c>
      <c r="J11" s="8">
        <f>I11*1.07</f>
        <v>408.74</v>
      </c>
      <c r="K11" s="12">
        <f>J11*1.07</f>
        <v>437.35180000000003</v>
      </c>
      <c r="L11" s="8">
        <f>K11*1.07</f>
        <v>467.96642600000007</v>
      </c>
      <c r="M11" s="8">
        <f>L11*1.06</f>
        <v>496.04441156000007</v>
      </c>
      <c r="N11" s="8">
        <f>M11*1.05</f>
        <v>520.84663213800013</v>
      </c>
      <c r="O11" s="8">
        <f>N11*1.05</f>
        <v>546.88896374490014</v>
      </c>
      <c r="P11" s="8">
        <f>O11*1.04</f>
        <v>568.76452229469612</v>
      </c>
      <c r="Q11" s="10"/>
      <c r="R11" s="10"/>
      <c r="S11" s="10"/>
      <c r="XFD11" s="1" t="s">
        <v>311</v>
      </c>
    </row>
    <row r="12" spans="1:20 16384:16384" ht="14.4" customHeight="1" x14ac:dyDescent="0.3">
      <c r="B12" s="48" t="s">
        <v>306</v>
      </c>
      <c r="G12" s="11"/>
      <c r="H12" s="11">
        <f>(H11-G11)/G11</f>
        <v>0.13666666666666666</v>
      </c>
      <c r="I12" s="11">
        <f>(I11-H11)/H11</f>
        <v>0.12023460410557185</v>
      </c>
      <c r="J12" s="11">
        <f>(J11-I11)/I11</f>
        <v>7.0000000000000021E-2</v>
      </c>
      <c r="K12" s="11">
        <f>(K11-J11)/J11</f>
        <v>7.0000000000000034E-2</v>
      </c>
      <c r="L12" s="11">
        <f t="shared" ref="L12:P12" si="7">(L11-K11)/K11</f>
        <v>7.000000000000009E-2</v>
      </c>
      <c r="M12" s="11">
        <f t="shared" si="7"/>
        <v>0.06</v>
      </c>
      <c r="N12" s="11">
        <f t="shared" si="7"/>
        <v>5.0000000000000114E-2</v>
      </c>
      <c r="O12" s="11">
        <f t="shared" si="7"/>
        <v>0.05</v>
      </c>
      <c r="P12" s="11">
        <f t="shared" si="7"/>
        <v>3.9999999999999959E-2</v>
      </c>
      <c r="Q12" s="10"/>
      <c r="R12" s="10"/>
      <c r="S12" s="10"/>
    </row>
    <row r="13" spans="1:20 16384:16384" ht="14.4" customHeight="1" x14ac:dyDescent="0.3">
      <c r="B13" s="46" t="s">
        <v>315</v>
      </c>
      <c r="G13" s="8">
        <f>G9/G11</f>
        <v>120.94506666666668</v>
      </c>
      <c r="H13" s="8">
        <f>H9/H11</f>
        <v>119.71970674486803</v>
      </c>
      <c r="I13" s="8">
        <f>I9/I11</f>
        <v>175.25916230366491</v>
      </c>
      <c r="J13" s="8">
        <f>(J9-J22)/J11</f>
        <v>195.14359994128296</v>
      </c>
      <c r="K13" s="8">
        <f>(K9-(K22))/K11</f>
        <v>197.02426404281405</v>
      </c>
      <c r="L13" s="53">
        <f>L113</f>
        <v>198.92028000000005</v>
      </c>
      <c r="M13" s="53">
        <f t="shared" ref="M13:P13" si="8">M113</f>
        <v>207.06</v>
      </c>
      <c r="N13" s="53">
        <f t="shared" si="8"/>
        <v>212.77200000000002</v>
      </c>
      <c r="O13" s="53">
        <f t="shared" si="8"/>
        <v>217.05600000000001</v>
      </c>
      <c r="P13" s="53">
        <f t="shared" si="8"/>
        <v>219.91200000000003</v>
      </c>
      <c r="Q13" s="10"/>
      <c r="R13" s="10"/>
      <c r="S13" s="10"/>
    </row>
    <row r="14" spans="1:20 16384:16384" ht="14.4" customHeight="1" x14ac:dyDescent="0.3">
      <c r="B14" s="48" t="s">
        <v>306</v>
      </c>
      <c r="G14" s="11"/>
      <c r="H14" s="51">
        <f>(H13-G13)/G13</f>
        <v>-1.0131541166336468E-2</v>
      </c>
      <c r="I14" s="11">
        <f>(I13-H13)/H13</f>
        <v>0.46391239227770376</v>
      </c>
      <c r="J14" s="11">
        <f>(J13-I13)/I13</f>
        <v>0.1134573358462426</v>
      </c>
      <c r="K14" s="11">
        <f>(K13-J13)/J13</f>
        <v>9.6373342610107209E-3</v>
      </c>
      <c r="L14" s="11">
        <f t="shared" ref="L14:N14" si="9">(L13-K13)/K13</f>
        <v>9.6232612079392606E-3</v>
      </c>
      <c r="M14" s="11">
        <f t="shared" si="9"/>
        <v>4.0919508056191919E-2</v>
      </c>
      <c r="N14" s="11">
        <f t="shared" si="9"/>
        <v>2.7586206896551807E-2</v>
      </c>
      <c r="O14" s="11">
        <f t="shared" ref="O14" si="10">(O13-N13)/N13</f>
        <v>2.0134228187919424E-2</v>
      </c>
      <c r="P14" s="11">
        <f t="shared" ref="P14" si="11">(P13-O13)/O13</f>
        <v>1.315789473684221E-2</v>
      </c>
      <c r="Q14" s="10"/>
      <c r="R14" s="10"/>
      <c r="S14" s="10"/>
    </row>
    <row r="15" spans="1:20 16384:16384" ht="14.4" customHeight="1" x14ac:dyDescent="0.3">
      <c r="B15" s="58" t="s">
        <v>346</v>
      </c>
      <c r="C15" s="55"/>
      <c r="D15" s="55"/>
      <c r="E15" s="55"/>
      <c r="F15" s="55"/>
      <c r="G15" s="57">
        <f t="shared" ref="G15:P15" si="12">G11*G13</f>
        <v>36283.520000000004</v>
      </c>
      <c r="H15" s="57">
        <f t="shared" si="12"/>
        <v>40824.42</v>
      </c>
      <c r="I15" s="57">
        <f t="shared" si="12"/>
        <v>66949</v>
      </c>
      <c r="J15" s="57">
        <f t="shared" si="12"/>
        <v>79762.995039999994</v>
      </c>
      <c r="K15" s="57">
        <f t="shared" si="12"/>
        <v>86168.916522800006</v>
      </c>
      <c r="L15" s="57">
        <f t="shared" si="12"/>
        <v>93088.012490519322</v>
      </c>
      <c r="M15" s="57">
        <f t="shared" si="12"/>
        <v>102710.95585761362</v>
      </c>
      <c r="N15" s="57">
        <f t="shared" si="12"/>
        <v>110821.57961326657</v>
      </c>
      <c r="O15" s="57">
        <f t="shared" si="12"/>
        <v>118705.53091461305</v>
      </c>
      <c r="P15" s="59">
        <f t="shared" si="12"/>
        <v>125078.14362687123</v>
      </c>
      <c r="Q15" s="10"/>
      <c r="R15" s="10"/>
      <c r="S15" s="10"/>
    </row>
    <row r="16" spans="1:20 16384:16384" ht="14.4" customHeight="1" x14ac:dyDescent="0.3">
      <c r="B16" s="48" t="s">
        <v>306</v>
      </c>
      <c r="G16" s="11"/>
      <c r="H16" s="51">
        <f>(H15-G15)/G15</f>
        <v>0.12515048154093081</v>
      </c>
      <c r="I16" s="11">
        <f>(I15-H15)/H15</f>
        <v>0.63992531920845419</v>
      </c>
      <c r="J16" s="11">
        <f>(J15-I15)/I15</f>
        <v>0.19139934935547945</v>
      </c>
      <c r="K16" s="11">
        <f>(K15-J15)/J15</f>
        <v>8.0311947659281527E-2</v>
      </c>
      <c r="L16" s="11">
        <f t="shared" ref="L16" si="13">(L15-K15)/K15</f>
        <v>8.0296889492495208E-2</v>
      </c>
      <c r="M16" s="11">
        <f t="shared" ref="M16" si="14">(M15-L15)/L15</f>
        <v>0.10337467853956339</v>
      </c>
      <c r="N16" s="11">
        <f t="shared" ref="N16" si="15">(N15-M15)/M15</f>
        <v>7.8965517241379457E-2</v>
      </c>
      <c r="O16" s="11">
        <f t="shared" ref="O16" si="16">(O15-N15)/N15</f>
        <v>7.1140939597315378E-2</v>
      </c>
      <c r="P16" s="11">
        <f t="shared" ref="P16" si="17">(P15-O15)/O15</f>
        <v>5.3684210526315855E-2</v>
      </c>
      <c r="Q16" s="10"/>
      <c r="R16" s="10"/>
      <c r="S16" s="10"/>
    </row>
    <row r="17" spans="2:19" ht="14.4" customHeight="1" x14ac:dyDescent="0.3">
      <c r="B17" s="48"/>
      <c r="G17" s="11"/>
      <c r="H17" s="11"/>
      <c r="I17" s="11"/>
      <c r="J17" s="11"/>
      <c r="K17" s="11"/>
      <c r="L17" s="11"/>
      <c r="M17" s="11"/>
      <c r="N17" s="11"/>
      <c r="P17" s="10"/>
      <c r="Q17" s="10"/>
      <c r="R17" s="10"/>
      <c r="S17" s="10"/>
    </row>
    <row r="18" spans="2:19" ht="14.4" customHeight="1" x14ac:dyDescent="0.3">
      <c r="B18" s="46" t="s">
        <v>325</v>
      </c>
      <c r="G18" s="50"/>
      <c r="H18" s="50"/>
      <c r="I18" s="50"/>
      <c r="J18" s="50">
        <f t="shared" ref="J18:P18" si="18">J11*J19</f>
        <v>1.63496</v>
      </c>
      <c r="K18" s="49">
        <f t="shared" si="18"/>
        <v>10.933795000000002</v>
      </c>
      <c r="L18" s="49">
        <f t="shared" si="18"/>
        <v>23.398321300000006</v>
      </c>
      <c r="M18" s="49">
        <f t="shared" si="18"/>
        <v>39.683552924800004</v>
      </c>
      <c r="N18" s="49">
        <f t="shared" si="18"/>
        <v>62.501595856560016</v>
      </c>
      <c r="O18" s="49">
        <f t="shared" si="18"/>
        <v>82.033344561735021</v>
      </c>
      <c r="P18" s="49">
        <f t="shared" si="18"/>
        <v>91.002323567151379</v>
      </c>
      <c r="Q18" s="10"/>
      <c r="R18" s="10"/>
      <c r="S18" s="10"/>
    </row>
    <row r="19" spans="2:19" ht="14.4" customHeight="1" x14ac:dyDescent="0.3">
      <c r="B19" s="46" t="s">
        <v>312</v>
      </c>
      <c r="G19" s="8"/>
      <c r="H19" s="8"/>
      <c r="I19" s="8"/>
      <c r="J19" s="71">
        <v>4.0000000000000001E-3</v>
      </c>
      <c r="K19" s="71">
        <v>2.5000000000000001E-2</v>
      </c>
      <c r="L19" s="71">
        <v>0.05</v>
      </c>
      <c r="M19" s="71">
        <v>0.08</v>
      </c>
      <c r="N19" s="71">
        <v>0.12</v>
      </c>
      <c r="O19" s="71">
        <v>0.15</v>
      </c>
      <c r="P19" s="71">
        <v>0.16</v>
      </c>
      <c r="Q19" s="10"/>
      <c r="R19" s="10"/>
      <c r="S19" s="10"/>
    </row>
    <row r="20" spans="2:19" ht="14.4" customHeight="1" x14ac:dyDescent="0.3">
      <c r="B20" s="46" t="s">
        <v>326</v>
      </c>
      <c r="G20" s="8"/>
      <c r="H20" s="8"/>
      <c r="I20" s="8"/>
      <c r="J20" s="10">
        <f>(AVERAGE(J19,))*0.7</f>
        <v>1.4E-3</v>
      </c>
      <c r="K20" s="10">
        <f>(AVERAGE(K19,J19))*0.7</f>
        <v>1.0149999999999999E-2</v>
      </c>
      <c r="L20" s="10">
        <f>(AVERAGE(L19,K19))*0.9</f>
        <v>3.3750000000000009E-2</v>
      </c>
      <c r="M20" s="10">
        <f>(AVERAGE(M19,L19))*0.9</f>
        <v>5.8500000000000003E-2</v>
      </c>
      <c r="N20" s="10">
        <f>(AVERAGE(N19,M19))*0.95</f>
        <v>9.5000000000000001E-2</v>
      </c>
      <c r="O20" s="10">
        <f>(AVERAGE(O19,N19))</f>
        <v>0.13500000000000001</v>
      </c>
      <c r="P20" s="10">
        <f>(AVERAGE(P19,O19))</f>
        <v>0.155</v>
      </c>
      <c r="Q20" s="10"/>
      <c r="R20" s="10"/>
      <c r="S20" s="10"/>
    </row>
    <row r="21" spans="2:19" ht="14.4" customHeight="1" x14ac:dyDescent="0.3">
      <c r="B21" s="46" t="s">
        <v>313</v>
      </c>
      <c r="G21" s="8"/>
      <c r="H21" s="8"/>
      <c r="I21" s="8"/>
      <c r="J21" s="8">
        <v>360</v>
      </c>
      <c r="K21" s="8">
        <v>360</v>
      </c>
      <c r="L21" s="8">
        <v>360</v>
      </c>
      <c r="M21" s="8">
        <v>360</v>
      </c>
      <c r="N21" s="8">
        <v>360</v>
      </c>
      <c r="O21" s="8">
        <v>360</v>
      </c>
      <c r="P21" s="8">
        <v>360</v>
      </c>
      <c r="Q21" s="10"/>
      <c r="R21" s="10"/>
      <c r="S21" s="10"/>
    </row>
    <row r="22" spans="2:19" ht="14.4" customHeight="1" x14ac:dyDescent="0.3">
      <c r="B22" s="58" t="s">
        <v>314</v>
      </c>
      <c r="C22" s="55"/>
      <c r="D22" s="55"/>
      <c r="E22" s="55"/>
      <c r="F22" s="55"/>
      <c r="G22" s="57"/>
      <c r="H22" s="57"/>
      <c r="I22" s="57"/>
      <c r="J22" s="57">
        <f t="shared" ref="J22:P22" si="19">J21*(J11*J20)</f>
        <v>206.00495999999998</v>
      </c>
      <c r="K22" s="57">
        <f t="shared" si="19"/>
        <v>1598.0834771999998</v>
      </c>
      <c r="L22" s="57">
        <f t="shared" si="19"/>
        <v>5685.7920759000026</v>
      </c>
      <c r="M22" s="57">
        <f t="shared" si="19"/>
        <v>10446.695307453601</v>
      </c>
      <c r="N22" s="57">
        <f t="shared" si="19"/>
        <v>17812.954819119605</v>
      </c>
      <c r="O22" s="57">
        <f t="shared" si="19"/>
        <v>26578.803638002151</v>
      </c>
      <c r="P22" s="59">
        <f t="shared" si="19"/>
        <v>31737.060344044043</v>
      </c>
      <c r="Q22" s="10"/>
      <c r="R22" s="10"/>
      <c r="S22" s="10"/>
    </row>
    <row r="23" spans="2:19" ht="14.4" customHeight="1" x14ac:dyDescent="0.3">
      <c r="B23" s="80" t="s">
        <v>350</v>
      </c>
      <c r="J23" s="11">
        <f>J22/J6</f>
        <v>1.9285242463958059E-3</v>
      </c>
      <c r="K23" s="11">
        <f t="shared" ref="K23:P23" si="20">K22/K6</f>
        <v>1.322807281847529E-2</v>
      </c>
      <c r="L23" s="11">
        <f t="shared" si="20"/>
        <v>4.1541112060761942E-2</v>
      </c>
      <c r="M23" s="11">
        <f t="shared" si="20"/>
        <v>6.6944721259558124E-2</v>
      </c>
      <c r="N23" s="11">
        <f t="shared" si="20"/>
        <v>0.10129714746788974</v>
      </c>
      <c r="O23" s="11">
        <f t="shared" si="20"/>
        <v>0.13526852724044405</v>
      </c>
      <c r="P23" s="11">
        <f t="shared" si="20"/>
        <v>0.14985435382984924</v>
      </c>
      <c r="Q23" s="10"/>
      <c r="R23" s="10"/>
      <c r="S23" s="10"/>
    </row>
    <row r="24" spans="2:19" ht="14.4" customHeight="1" x14ac:dyDescent="0.3">
      <c r="B24" s="80"/>
      <c r="L24" s="11"/>
      <c r="M24" s="11"/>
      <c r="N24" s="11"/>
      <c r="P24" s="10"/>
      <c r="Q24" s="10"/>
      <c r="R24" s="10"/>
      <c r="S24" s="10"/>
    </row>
    <row r="25" spans="2:19" ht="14.4" customHeight="1" x14ac:dyDescent="0.3">
      <c r="B25" s="60" t="s">
        <v>76</v>
      </c>
      <c r="C25" s="55"/>
      <c r="D25" s="55"/>
      <c r="E25" s="55"/>
      <c r="F25" s="55"/>
      <c r="G25" s="56">
        <f>(39872)*0.09</f>
        <v>3588.48</v>
      </c>
      <c r="H25" s="56">
        <f>(44862)*0.09</f>
        <v>4037.58</v>
      </c>
      <c r="I25" s="56">
        <v>6417</v>
      </c>
      <c r="J25" s="56">
        <v>6648</v>
      </c>
      <c r="K25" s="56">
        <v>7404</v>
      </c>
      <c r="L25" s="57">
        <f>L27*L29</f>
        <v>9592.4514262500034</v>
      </c>
      <c r="M25" s="57">
        <f>M27*M29</f>
        <v>11191.193330625003</v>
      </c>
      <c r="N25" s="57">
        <f t="shared" ref="N25:P25" si="21">N27*N29</f>
        <v>12244.439269581753</v>
      </c>
      <c r="O25" s="57">
        <f t="shared" si="21"/>
        <v>12961.613569657255</v>
      </c>
      <c r="P25" s="59">
        <f t="shared" si="21"/>
        <v>13650.625659412717</v>
      </c>
    </row>
    <row r="26" spans="2:19" ht="14.4" customHeight="1" x14ac:dyDescent="0.3">
      <c r="B26" s="47" t="s">
        <v>306</v>
      </c>
      <c r="G26" s="11"/>
      <c r="H26" s="11">
        <f>(H25-G25)/G25</f>
        <v>0.12515048154093095</v>
      </c>
      <c r="I26" s="11">
        <f>(I25-H25)/H25</f>
        <v>0.5893183540635728</v>
      </c>
      <c r="J26" s="11">
        <f>(J25-I25)/I25</f>
        <v>3.5998129967274424E-2</v>
      </c>
      <c r="K26" s="11">
        <f>(K25-J25)/J25</f>
        <v>0.11371841155234658</v>
      </c>
      <c r="L26" s="11">
        <f t="shared" ref="L26" si="22">(L25-K25)/K25</f>
        <v>0.29557690792139429</v>
      </c>
      <c r="M26" s="11">
        <f t="shared" ref="M26" si="23">(M25-L25)/L25</f>
        <v>0.16666666666666657</v>
      </c>
      <c r="N26" s="11">
        <f t="shared" ref="N26" si="24">(N25-M25)/M25</f>
        <v>9.4113818592921117E-2</v>
      </c>
      <c r="O26" s="11">
        <f t="shared" ref="O26" si="25">(O25-N25)/N25</f>
        <v>5.8571428571428462E-2</v>
      </c>
      <c r="P26" s="11">
        <f t="shared" ref="P26" si="26">(P25-O25)/O25</f>
        <v>5.3157894736841946E-2</v>
      </c>
    </row>
    <row r="27" spans="2:19" ht="14.4" customHeight="1" x14ac:dyDescent="0.3">
      <c r="B27" s="46" t="s">
        <v>305</v>
      </c>
      <c r="G27" s="12">
        <v>51.9</v>
      </c>
      <c r="H27" s="12">
        <v>59.7</v>
      </c>
      <c r="I27" s="8">
        <v>67</v>
      </c>
      <c r="J27" s="12">
        <v>82.5</v>
      </c>
      <c r="K27" s="8">
        <f>J27*1.07</f>
        <v>88.275000000000006</v>
      </c>
      <c r="L27" s="8">
        <f>K27*1.05</f>
        <v>92.688750000000013</v>
      </c>
      <c r="M27" s="8">
        <f>L27*1.05</f>
        <v>97.323187500000017</v>
      </c>
      <c r="N27" s="8">
        <f>M27*1.045</f>
        <v>101.70273093750001</v>
      </c>
      <c r="O27" s="8">
        <f>N27*1.04</f>
        <v>105.77084017500002</v>
      </c>
      <c r="P27" s="8">
        <f>O27*1.035</f>
        <v>109.47281958112501</v>
      </c>
    </row>
    <row r="28" spans="2:19" ht="14.4" customHeight="1" x14ac:dyDescent="0.3">
      <c r="B28" s="48" t="s">
        <v>306</v>
      </c>
      <c r="G28" s="11"/>
      <c r="H28" s="11">
        <f t="shared" ref="H28:M28" si="27">(H27-G27)/G27</f>
        <v>0.15028901734104055</v>
      </c>
      <c r="I28" s="11">
        <f t="shared" si="27"/>
        <v>0.12227805695142373</v>
      </c>
      <c r="J28" s="11">
        <f t="shared" si="27"/>
        <v>0.23134328358208955</v>
      </c>
      <c r="K28" s="11">
        <f t="shared" si="27"/>
        <v>7.0000000000000062E-2</v>
      </c>
      <c r="L28" s="11">
        <f t="shared" si="27"/>
        <v>5.0000000000000079E-2</v>
      </c>
      <c r="M28" s="11">
        <f t="shared" si="27"/>
        <v>5.0000000000000037E-2</v>
      </c>
      <c r="N28" s="11">
        <f t="shared" ref="N28:P28" si="28">(N27-M27)/M27</f>
        <v>4.4999999999999887E-2</v>
      </c>
      <c r="O28" s="11">
        <f t="shared" si="28"/>
        <v>4.0000000000000098E-2</v>
      </c>
      <c r="P28" s="11">
        <f t="shared" si="28"/>
        <v>3.4999999999999913E-2</v>
      </c>
    </row>
    <row r="29" spans="2:19" ht="14.4" customHeight="1" x14ac:dyDescent="0.3">
      <c r="B29" s="46" t="s">
        <v>307</v>
      </c>
      <c r="G29" s="8">
        <f>G25/G27</f>
        <v>69.14219653179191</v>
      </c>
      <c r="H29" s="8">
        <f>H25/H27</f>
        <v>67.631155778894467</v>
      </c>
      <c r="I29" s="8">
        <f>I25/I27</f>
        <v>95.776119402985074</v>
      </c>
      <c r="J29" s="8">
        <f>J25/J27</f>
        <v>80.581818181818178</v>
      </c>
      <c r="K29" s="8">
        <f>K25/K27</f>
        <v>83.874256584536951</v>
      </c>
      <c r="L29" s="8">
        <f>(K30+K31)*0.45</f>
        <v>103.49100000000001</v>
      </c>
      <c r="M29" s="8">
        <f>(L30+L31)*0.5</f>
        <v>114.99000000000001</v>
      </c>
      <c r="N29" s="8">
        <f>SUM(N30:N32)*0.28</f>
        <v>120.39440000000002</v>
      </c>
      <c r="O29" s="8">
        <f>SUM(O30:O32)*0.285</f>
        <v>122.54429999999999</v>
      </c>
      <c r="P29" s="8">
        <f>SUM(P30:P32)*0.29</f>
        <v>124.6942</v>
      </c>
    </row>
    <row r="30" spans="2:19" ht="14.4" customHeight="1" x14ac:dyDescent="0.3">
      <c r="B30" s="46" t="s">
        <v>308</v>
      </c>
      <c r="G30" s="12">
        <v>69.989999999999995</v>
      </c>
      <c r="H30" s="12">
        <v>69.989999999999995</v>
      </c>
      <c r="I30" s="12">
        <v>69.989999999999995</v>
      </c>
      <c r="J30" s="12">
        <v>69.989999999999995</v>
      </c>
      <c r="K30" s="12">
        <v>99.99</v>
      </c>
      <c r="L30" s="12">
        <v>99.99</v>
      </c>
      <c r="M30" s="12">
        <v>99.99</v>
      </c>
      <c r="N30" s="12">
        <v>99.99</v>
      </c>
      <c r="O30" s="12">
        <v>99.99</v>
      </c>
      <c r="P30" s="12">
        <v>99.99</v>
      </c>
    </row>
    <row r="31" spans="2:19" ht="14.4" customHeight="1" x14ac:dyDescent="0.3">
      <c r="B31" s="46" t="s">
        <v>309</v>
      </c>
      <c r="G31" s="12">
        <v>99.99</v>
      </c>
      <c r="H31" s="12">
        <v>99.99</v>
      </c>
      <c r="I31" s="12">
        <v>99.99</v>
      </c>
      <c r="J31" s="12">
        <v>99.99</v>
      </c>
      <c r="K31" s="12">
        <v>129.99</v>
      </c>
      <c r="L31" s="12">
        <v>129.99</v>
      </c>
      <c r="M31" s="12">
        <v>129.99</v>
      </c>
      <c r="N31" s="12">
        <v>129.99</v>
      </c>
      <c r="O31" s="12">
        <v>129.99</v>
      </c>
      <c r="P31" s="12">
        <v>129.99</v>
      </c>
    </row>
    <row r="32" spans="2:19" ht="14.4" customHeight="1" x14ac:dyDescent="0.3">
      <c r="B32" s="46" t="s">
        <v>310</v>
      </c>
      <c r="G32" s="12"/>
      <c r="H32" s="12"/>
      <c r="I32" s="12"/>
      <c r="J32" s="12">
        <v>240</v>
      </c>
      <c r="K32" s="12">
        <v>199.99</v>
      </c>
      <c r="L32" s="12">
        <v>200</v>
      </c>
      <c r="M32" s="12">
        <v>200</v>
      </c>
      <c r="N32" s="12">
        <v>200</v>
      </c>
      <c r="O32" s="12">
        <v>200</v>
      </c>
      <c r="P32" s="12">
        <v>200</v>
      </c>
    </row>
    <row r="33" spans="1:16" ht="14.4" customHeight="1" x14ac:dyDescent="0.3">
      <c r="B33" s="48"/>
      <c r="G33" s="11"/>
      <c r="H33" s="11"/>
      <c r="I33" s="11"/>
      <c r="J33" s="11"/>
      <c r="K33" s="11"/>
      <c r="L33" s="11"/>
      <c r="M33" s="11"/>
      <c r="N33" s="8"/>
    </row>
    <row r="34" spans="1:16" ht="14.4" customHeight="1" x14ac:dyDescent="0.3">
      <c r="B34" s="60" t="s">
        <v>77</v>
      </c>
      <c r="C34" s="55"/>
      <c r="D34" s="55"/>
      <c r="E34" s="55"/>
      <c r="F34" s="55"/>
      <c r="G34" s="56">
        <v>3754</v>
      </c>
      <c r="H34" s="56">
        <v>4687</v>
      </c>
      <c r="I34" s="56">
        <v>5796</v>
      </c>
      <c r="J34" s="56">
        <v>6831</v>
      </c>
      <c r="K34" s="56">
        <v>7827</v>
      </c>
      <c r="L34" s="57">
        <f>K34*1.15</f>
        <v>9001.0499999999993</v>
      </c>
      <c r="M34" s="57">
        <f>L34*1.16</f>
        <v>10441.217999999999</v>
      </c>
      <c r="N34" s="57">
        <f>M34*1.14</f>
        <v>11902.988519999997</v>
      </c>
      <c r="O34" s="57">
        <f>N34*1.12</f>
        <v>13331.347142399998</v>
      </c>
      <c r="P34" s="59">
        <f>O34*1.1</f>
        <v>14664.481856639999</v>
      </c>
    </row>
    <row r="35" spans="1:16" ht="14.4" customHeight="1" x14ac:dyDescent="0.3">
      <c r="B35" s="67"/>
      <c r="G35" s="12"/>
      <c r="H35" s="12"/>
      <c r="I35" s="12"/>
      <c r="J35" s="12"/>
      <c r="K35" s="12"/>
      <c r="L35" s="8"/>
      <c r="M35" s="8"/>
      <c r="N35" s="8"/>
      <c r="O35" s="8"/>
      <c r="P35" s="8"/>
    </row>
    <row r="36" spans="1:16" ht="14.4" customHeight="1" x14ac:dyDescent="0.3">
      <c r="B36" s="60" t="s">
        <v>78</v>
      </c>
      <c r="C36" s="55"/>
      <c r="D36" s="55"/>
      <c r="E36" s="55"/>
      <c r="F36" s="55"/>
      <c r="G36" s="56">
        <v>10289</v>
      </c>
      <c r="H36" s="56">
        <v>13816</v>
      </c>
      <c r="I36" s="56">
        <v>14989</v>
      </c>
      <c r="J36" s="56">
        <v>16372</v>
      </c>
      <c r="K36" s="56">
        <v>17812</v>
      </c>
      <c r="L36" s="57">
        <f>K36*1.095</f>
        <v>19504.14</v>
      </c>
      <c r="M36" s="57">
        <f>L36*1.09</f>
        <v>21259.512600000002</v>
      </c>
      <c r="N36" s="57">
        <f>M36*1.085</f>
        <v>23066.571171</v>
      </c>
      <c r="O36" s="57">
        <f>N36*1.08</f>
        <v>24911.896864680002</v>
      </c>
      <c r="P36" s="59">
        <f>O36*1.07</f>
        <v>26655.729645207604</v>
      </c>
    </row>
    <row r="37" spans="1:16" ht="14.4" customHeight="1" x14ac:dyDescent="0.3">
      <c r="L37" s="8"/>
      <c r="M37" s="8"/>
      <c r="N37" s="8"/>
      <c r="P37" s="8"/>
    </row>
    <row r="38" spans="1:16" ht="14.4" customHeight="1" x14ac:dyDescent="0.3">
      <c r="A38" s="45" t="s">
        <v>73</v>
      </c>
      <c r="B38" s="68" t="s">
        <v>70</v>
      </c>
      <c r="C38" s="68"/>
      <c r="D38" s="68"/>
      <c r="E38" s="68"/>
      <c r="F38" s="68"/>
      <c r="G38" s="69">
        <v>60080</v>
      </c>
      <c r="H38" s="69">
        <v>74965</v>
      </c>
      <c r="I38" s="69">
        <v>72944</v>
      </c>
      <c r="J38" s="69">
        <f>J41+J42+42</f>
        <v>87464</v>
      </c>
      <c r="K38" s="69">
        <f>K41+K42+70</f>
        <v>106265</v>
      </c>
      <c r="L38" s="69">
        <f>L44+L47</f>
        <v>137207.45000000001</v>
      </c>
      <c r="M38" s="69">
        <f>M44+M47</f>
        <v>178320.33600000001</v>
      </c>
      <c r="N38" s="69">
        <f>N44+N47</f>
        <v>225602.18171999999</v>
      </c>
      <c r="O38" s="69">
        <f>O44+O47</f>
        <v>280086.23945160001</v>
      </c>
      <c r="P38" s="69">
        <f>P44+P47</f>
        <v>339793.061534604</v>
      </c>
    </row>
    <row r="39" spans="1:16" ht="14.4" customHeight="1" x14ac:dyDescent="0.3">
      <c r="B39" s="5" t="s">
        <v>12</v>
      </c>
      <c r="G39" s="11">
        <f>(G38-51700)/51700</f>
        <v>0.16208897485493229</v>
      </c>
      <c r="H39" s="11">
        <f t="shared" ref="H39:P39" si="29">(H38-G38)/G38</f>
        <v>0.24775299600532624</v>
      </c>
      <c r="I39" s="11">
        <f t="shared" si="29"/>
        <v>-2.6959247648902823E-2</v>
      </c>
      <c r="J39" s="11">
        <f t="shared" si="29"/>
        <v>0.19905681070410178</v>
      </c>
      <c r="K39" s="11">
        <f t="shared" si="29"/>
        <v>0.21495701088447819</v>
      </c>
      <c r="L39" s="11">
        <f t="shared" si="29"/>
        <v>0.29118195078341891</v>
      </c>
      <c r="M39" s="11">
        <f t="shared" si="29"/>
        <v>0.29964033294110481</v>
      </c>
      <c r="N39" s="11">
        <f t="shared" si="29"/>
        <v>0.26515116997087745</v>
      </c>
      <c r="O39" s="11">
        <f t="shared" si="29"/>
        <v>0.2415050125677482</v>
      </c>
      <c r="P39" s="11">
        <f t="shared" si="29"/>
        <v>0.21317299343198032</v>
      </c>
    </row>
    <row r="41" spans="1:16" ht="14.4" customHeight="1" x14ac:dyDescent="0.3">
      <c r="B41" s="23" t="s">
        <v>79</v>
      </c>
      <c r="G41" s="12">
        <v>52589</v>
      </c>
      <c r="H41" s="12">
        <v>67350</v>
      </c>
      <c r="I41" s="12">
        <v>65007</v>
      </c>
      <c r="J41" s="12">
        <v>79828</v>
      </c>
      <c r="K41" s="12">
        <v>98435</v>
      </c>
      <c r="L41" s="8">
        <v>126629</v>
      </c>
      <c r="M41" s="8">
        <v>162267</v>
      </c>
      <c r="N41" s="8">
        <v>208714</v>
      </c>
    </row>
    <row r="42" spans="1:16" ht="14.4" customHeight="1" x14ac:dyDescent="0.3">
      <c r="B42" s="23" t="s">
        <v>80</v>
      </c>
      <c r="G42" s="12">
        <v>6943</v>
      </c>
      <c r="H42" s="12">
        <v>7407</v>
      </c>
      <c r="I42" s="12">
        <v>7722</v>
      </c>
      <c r="J42" s="12">
        <v>7594</v>
      </c>
      <c r="K42" s="12">
        <v>7760</v>
      </c>
      <c r="L42" s="8">
        <v>8096</v>
      </c>
      <c r="M42" s="8">
        <v>8358.33</v>
      </c>
    </row>
    <row r="43" spans="1:16" ht="14.4" customHeight="1" x14ac:dyDescent="0.3">
      <c r="B43" s="23"/>
      <c r="G43" s="12"/>
      <c r="H43" s="12"/>
      <c r="I43" s="12"/>
      <c r="J43" s="12"/>
      <c r="K43" s="12"/>
      <c r="L43" s="8"/>
      <c r="M43" s="8"/>
    </row>
    <row r="44" spans="1:16" ht="14.4" customHeight="1" x14ac:dyDescent="0.3">
      <c r="B44" s="70" t="s">
        <v>327</v>
      </c>
      <c r="C44" s="55"/>
      <c r="D44" s="55"/>
      <c r="E44" s="55"/>
      <c r="F44" s="55"/>
      <c r="G44" s="56"/>
      <c r="H44" s="56"/>
      <c r="I44" s="56"/>
      <c r="J44" s="56"/>
      <c r="K44" s="56">
        <v>75380</v>
      </c>
      <c r="L44" s="57">
        <f>K44*(1+L88)</f>
        <v>104778.20000000001</v>
      </c>
      <c r="M44" s="57">
        <f>L44*(1+M88)</f>
        <v>144593.916</v>
      </c>
      <c r="N44" s="57">
        <f>M44*(1+N88)</f>
        <v>190863.96911999999</v>
      </c>
      <c r="O44" s="57">
        <f>N44*1.28</f>
        <v>244305.8804736</v>
      </c>
      <c r="P44" s="59">
        <f>O44*1.24</f>
        <v>302939.291787264</v>
      </c>
    </row>
    <row r="45" spans="1:16" ht="14.4" customHeight="1" x14ac:dyDescent="0.3">
      <c r="B45" s="5" t="s">
        <v>12</v>
      </c>
      <c r="G45" s="11"/>
      <c r="H45" s="11"/>
      <c r="I45" s="11"/>
      <c r="J45" s="11"/>
      <c r="K45" s="11"/>
      <c r="L45" s="11">
        <f>(L44-K44)/K44</f>
        <v>0.39000000000000018</v>
      </c>
      <c r="M45" s="11">
        <f>(M44-L44)/L44</f>
        <v>0.37999999999999984</v>
      </c>
      <c r="N45" s="11">
        <f>(N44-M44)/M44</f>
        <v>0.32</v>
      </c>
      <c r="O45" s="11">
        <f>(O44-N44)/N44</f>
        <v>0.28000000000000003</v>
      </c>
      <c r="P45" s="11">
        <f>(P44-O44)/O44</f>
        <v>0.23999999999999996</v>
      </c>
    </row>
    <row r="47" spans="1:16" ht="14.4" customHeight="1" x14ac:dyDescent="0.3">
      <c r="B47" s="23" t="s">
        <v>328</v>
      </c>
      <c r="G47" s="12"/>
      <c r="H47" s="12"/>
      <c r="I47" s="12"/>
      <c r="J47" s="12"/>
      <c r="K47" s="8">
        <f>K38-K44</f>
        <v>30885</v>
      </c>
      <c r="L47" s="8">
        <f>K47*1.05</f>
        <v>32429.25</v>
      </c>
      <c r="M47" s="8">
        <f>L47*1.04</f>
        <v>33726.42</v>
      </c>
      <c r="N47" s="8">
        <f>M47*1.03</f>
        <v>34738.212599999999</v>
      </c>
      <c r="O47" s="8">
        <f>N47*1.03</f>
        <v>35780.358977999997</v>
      </c>
      <c r="P47" s="8">
        <f>O47*1.03</f>
        <v>36853.769747339997</v>
      </c>
    </row>
    <row r="48" spans="1:16" ht="14.4" customHeight="1" x14ac:dyDescent="0.3">
      <c r="B48" s="5" t="s">
        <v>12</v>
      </c>
      <c r="G48" s="11"/>
      <c r="H48" s="11"/>
      <c r="I48" s="11"/>
      <c r="J48" s="11"/>
      <c r="K48" s="11"/>
      <c r="L48" s="11">
        <f t="shared" ref="L48" si="30">(L47-K47)/K47</f>
        <v>0.05</v>
      </c>
      <c r="M48" s="11">
        <f t="shared" ref="M48" si="31">(M47-L47)/L47</f>
        <v>3.9999999999999945E-2</v>
      </c>
      <c r="N48" s="11">
        <f>(N47-M47)/M47</f>
        <v>3.0000000000000023E-2</v>
      </c>
      <c r="O48" s="11">
        <f t="shared" ref="O48" si="32">(O47-N47)/N47</f>
        <v>2.9999999999999933E-2</v>
      </c>
      <c r="P48" s="11">
        <f t="shared" ref="P48" si="33">(P47-O47)/O47</f>
        <v>3.0000000000000006E-2</v>
      </c>
    </row>
    <row r="50" spans="1:16" ht="14.4" customHeight="1" x14ac:dyDescent="0.3">
      <c r="B50" s="5"/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1:16" ht="14.4" customHeight="1" x14ac:dyDescent="0.3">
      <c r="A51" s="45" t="s">
        <v>73</v>
      </c>
      <c r="B51" s="64" t="s">
        <v>81</v>
      </c>
      <c r="C51" s="64"/>
      <c r="D51" s="64"/>
      <c r="E51" s="64"/>
      <c r="F51" s="64"/>
      <c r="G51" s="65">
        <v>54093</v>
      </c>
      <c r="H51" s="65">
        <v>59941</v>
      </c>
      <c r="I51" s="65">
        <v>44820</v>
      </c>
      <c r="J51" s="66">
        <f>J54+J55+J56+3</f>
        <v>50838</v>
      </c>
      <c r="K51" s="66">
        <f>K54+K55+K56+2</f>
        <v>54649</v>
      </c>
      <c r="L51" s="66">
        <f>SUM(L54:L56)</f>
        <v>53338.15</v>
      </c>
      <c r="M51" s="66">
        <f>SUM(M54:M56)</f>
        <v>53481.695599999999</v>
      </c>
      <c r="N51" s="66">
        <f>M51*1.026</f>
        <v>54872.219685600001</v>
      </c>
      <c r="O51" s="66">
        <f t="shared" ref="O51:P51" si="34">N51*1.026</f>
        <v>56298.897397425601</v>
      </c>
      <c r="P51" s="66">
        <f t="shared" si="34"/>
        <v>57762.668729758669</v>
      </c>
    </row>
    <row r="52" spans="1:16" ht="14.4" customHeight="1" x14ac:dyDescent="0.3">
      <c r="B52" s="5" t="s">
        <v>12</v>
      </c>
      <c r="G52" s="11">
        <f>(G51-48251)/48251</f>
        <v>0.12107521087645852</v>
      </c>
      <c r="H52" s="11">
        <f t="shared" ref="H52:P52" si="35">(H51-G51)/G51</f>
        <v>0.10811010666814561</v>
      </c>
      <c r="I52" s="11">
        <f t="shared" si="35"/>
        <v>-0.25226472698153185</v>
      </c>
      <c r="J52" s="11">
        <f t="shared" si="35"/>
        <v>0.13427041499330655</v>
      </c>
      <c r="K52" s="11">
        <f t="shared" si="35"/>
        <v>7.4963609898107714E-2</v>
      </c>
      <c r="L52" s="51">
        <f t="shared" si="35"/>
        <v>-2.3986715218942682E-2</v>
      </c>
      <c r="M52" s="11">
        <f t="shared" si="35"/>
        <v>2.6912369476631199E-3</v>
      </c>
      <c r="N52" s="11">
        <f t="shared" si="35"/>
        <v>2.6000000000000034E-2</v>
      </c>
      <c r="O52" s="11">
        <f t="shared" si="35"/>
        <v>2.5999999999999992E-2</v>
      </c>
      <c r="P52" s="11">
        <f t="shared" si="35"/>
        <v>2.6000000000000044E-2</v>
      </c>
    </row>
    <row r="54" spans="1:16" ht="14.4" customHeight="1" x14ac:dyDescent="0.3">
      <c r="B54" s="23" t="s">
        <v>82</v>
      </c>
      <c r="G54" s="12">
        <f>22488+7143</f>
        <v>29631</v>
      </c>
      <c r="H54" s="12">
        <f>24732+4687</f>
        <v>29419</v>
      </c>
      <c r="I54" s="12">
        <v>17147</v>
      </c>
      <c r="J54" s="12">
        <v>17026</v>
      </c>
      <c r="K54" s="12">
        <v>17314</v>
      </c>
      <c r="L54" s="8">
        <f>K54*0.92</f>
        <v>15928.880000000001</v>
      </c>
      <c r="M54" s="8">
        <f>L54*0.97</f>
        <v>15451.0136</v>
      </c>
      <c r="N54" s="8">
        <f>M54*0.97</f>
        <v>14987.483192</v>
      </c>
      <c r="O54" s="8">
        <f>N54*1.02</f>
        <v>15287.23285584</v>
      </c>
      <c r="P54" s="8">
        <f>O54*1.04</f>
        <v>15898.722170073601</v>
      </c>
    </row>
    <row r="55" spans="1:16" ht="14.4" customHeight="1" x14ac:dyDescent="0.3">
      <c r="B55" s="23" t="s">
        <v>83</v>
      </c>
      <c r="G55" s="12">
        <v>7407</v>
      </c>
      <c r="H55" s="12">
        <v>7722</v>
      </c>
      <c r="I55" s="12">
        <v>12125</v>
      </c>
      <c r="J55" s="12">
        <v>12306</v>
      </c>
      <c r="K55" s="12">
        <v>13878</v>
      </c>
      <c r="L55" s="8">
        <f>K55*1.09</f>
        <v>15127.02</v>
      </c>
      <c r="M55" s="8">
        <f>L55*1.1</f>
        <v>16639.722000000002</v>
      </c>
      <c r="N55" s="8">
        <f>M55*1.09</f>
        <v>18137.296980000003</v>
      </c>
      <c r="O55" s="8">
        <f>N55*1.08</f>
        <v>19588.280738400004</v>
      </c>
      <c r="P55" s="8">
        <f>O55*1.07</f>
        <v>20959.460390088007</v>
      </c>
    </row>
    <row r="56" spans="1:16" ht="14.4" customHeight="1" x14ac:dyDescent="0.3">
      <c r="B56" s="23" t="s">
        <v>84</v>
      </c>
      <c r="G56" s="12">
        <v>15370</v>
      </c>
      <c r="H56" s="12">
        <v>16230</v>
      </c>
      <c r="I56" s="12">
        <v>15466</v>
      </c>
      <c r="J56" s="12">
        <v>21503</v>
      </c>
      <c r="K56" s="12">
        <v>23455</v>
      </c>
      <c r="L56" s="8">
        <f>K56*0.95</f>
        <v>22282.25</v>
      </c>
      <c r="M56" s="8">
        <f>L56*0.96</f>
        <v>21390.959999999999</v>
      </c>
      <c r="N56" s="8">
        <f>M56*1.08</f>
        <v>23102.236799999999</v>
      </c>
      <c r="O56" s="8">
        <f>N56*1.07</f>
        <v>24719.393376</v>
      </c>
      <c r="P56" s="8">
        <f>O56*1.05</f>
        <v>25955.3630448</v>
      </c>
    </row>
    <row r="57" spans="1:16" ht="14.4" customHeight="1" x14ac:dyDescent="0.3">
      <c r="B57" s="23"/>
      <c r="G57" s="12"/>
      <c r="H57" s="12"/>
      <c r="I57" s="12"/>
      <c r="J57" s="12"/>
      <c r="K57" s="12"/>
      <c r="L57" s="8"/>
      <c r="M57" s="8"/>
    </row>
    <row r="58" spans="1:16" ht="14.4" customHeight="1" x14ac:dyDescent="0.3">
      <c r="B58" s="61" t="s">
        <v>97</v>
      </c>
      <c r="C58" s="54"/>
      <c r="D58" s="54"/>
      <c r="E58" s="54"/>
      <c r="F58" s="54"/>
      <c r="G58" s="62">
        <f>G51+G38+G6</f>
        <v>168088</v>
      </c>
      <c r="H58" s="62">
        <f>H51+H38+H6</f>
        <v>198270</v>
      </c>
      <c r="I58" s="62">
        <f>I51+I38+I6</f>
        <v>211915</v>
      </c>
      <c r="J58" s="62">
        <f>J51+J38+J6</f>
        <v>245122</v>
      </c>
      <c r="K58" s="62">
        <f>K51+K38+K6</f>
        <v>281724</v>
      </c>
      <c r="L58" s="62">
        <f>L51+L38+L6</f>
        <v>327417.0459926693</v>
      </c>
      <c r="M58" s="62">
        <f>M51+M38+M6</f>
        <v>387851.60669569229</v>
      </c>
      <c r="N58" s="62">
        <f>N51+N38+N6</f>
        <v>456322.93479856791</v>
      </c>
      <c r="O58" s="62">
        <f>O51+O38+O6</f>
        <v>532874.32897837809</v>
      </c>
      <c r="P58" s="63">
        <f>P51+P38+P6</f>
        <v>609341.77139653824</v>
      </c>
    </row>
    <row r="59" spans="1:16" ht="14.4" customHeight="1" x14ac:dyDescent="0.3">
      <c r="L59" s="8"/>
    </row>
    <row r="60" spans="1:16" ht="14.4" customHeight="1" x14ac:dyDescent="0.3">
      <c r="A60" s="45" t="s">
        <v>73</v>
      </c>
      <c r="B60" s="2" t="s">
        <v>85</v>
      </c>
      <c r="C60" s="2"/>
      <c r="D60" s="2"/>
      <c r="E60" s="2"/>
      <c r="F60" s="2"/>
      <c r="G60" s="2">
        <v>2021</v>
      </c>
      <c r="H60" s="2">
        <f>G60+1</f>
        <v>2022</v>
      </c>
      <c r="I60" s="2">
        <f>H60+1</f>
        <v>2023</v>
      </c>
      <c r="J60" s="2">
        <f>I60+1</f>
        <v>2024</v>
      </c>
      <c r="K60" s="2">
        <f>J60+1</f>
        <v>2025</v>
      </c>
      <c r="L60" s="3" t="s">
        <v>6</v>
      </c>
      <c r="M60" s="3" t="s">
        <v>7</v>
      </c>
      <c r="N60" s="3" t="s">
        <v>8</v>
      </c>
      <c r="O60" s="3" t="s">
        <v>9</v>
      </c>
      <c r="P60" s="3" t="s">
        <v>10</v>
      </c>
    </row>
    <row r="61" spans="1:16" s="24" customFormat="1" ht="1.95" customHeight="1" x14ac:dyDescent="0.3"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6"/>
      <c r="M61" s="26"/>
      <c r="N61" s="26"/>
      <c r="O61" s="26"/>
      <c r="P61" s="26"/>
    </row>
    <row r="62" spans="1:16" ht="14.4" customHeight="1" x14ac:dyDescent="0.3">
      <c r="B62" s="1" t="s">
        <v>71</v>
      </c>
      <c r="G62" s="12">
        <v>24351</v>
      </c>
      <c r="H62" s="12">
        <v>29690</v>
      </c>
      <c r="I62" s="12">
        <v>50074</v>
      </c>
      <c r="J62" s="12">
        <v>59661</v>
      </c>
      <c r="K62" s="12">
        <v>69773</v>
      </c>
      <c r="L62" s="8">
        <f>L6*0.5758</f>
        <v>78810.578602579</v>
      </c>
      <c r="M62" s="8">
        <f>M6*0.5555</f>
        <v>86685.538965657033</v>
      </c>
      <c r="N62" s="8">
        <f>N6*0.58</f>
        <v>101992.14936792139</v>
      </c>
    </row>
    <row r="63" spans="1:16" ht="14.4" customHeight="1" x14ac:dyDescent="0.3">
      <c r="B63" s="5" t="s">
        <v>86</v>
      </c>
      <c r="G63" s="11">
        <f>G62/G6</f>
        <v>0.45165538347398682</v>
      </c>
      <c r="H63" s="11">
        <f>H62/H6</f>
        <v>0.46856259074553375</v>
      </c>
      <c r="I63" s="11">
        <f>I62/I6</f>
        <v>0.53184777644422254</v>
      </c>
      <c r="J63" s="11">
        <f>J62/J6</f>
        <v>0.55851900393184795</v>
      </c>
      <c r="K63" s="11">
        <f>K62/K6</f>
        <v>0.57754324973098259</v>
      </c>
      <c r="L63" s="11">
        <f>L62/L6</f>
        <v>0.57579999999999998</v>
      </c>
      <c r="M63" s="11">
        <f>M62/M6</f>
        <v>0.55549999999999999</v>
      </c>
      <c r="N63" s="11">
        <f>N62/N6</f>
        <v>0.57999999999999996</v>
      </c>
    </row>
    <row r="65" spans="1:16" ht="14.4" customHeight="1" x14ac:dyDescent="0.3">
      <c r="B65" s="1" t="s">
        <v>70</v>
      </c>
      <c r="G65" s="12">
        <v>26126</v>
      </c>
      <c r="H65" s="12">
        <v>33203</v>
      </c>
      <c r="I65" s="12">
        <v>28411</v>
      </c>
      <c r="J65" s="12">
        <v>37813</v>
      </c>
      <c r="K65" s="12">
        <v>44589</v>
      </c>
      <c r="L65" s="8">
        <f>L38*0.435</f>
        <v>59685.240750000004</v>
      </c>
      <c r="M65" s="8">
        <f>M38*0.44925</f>
        <v>80110.410948000004</v>
      </c>
      <c r="N65" s="8">
        <f>N38*0.447</f>
        <v>100844.17522884</v>
      </c>
    </row>
    <row r="66" spans="1:16" ht="14.4" customHeight="1" x14ac:dyDescent="0.3">
      <c r="B66" s="5" t="s">
        <v>86</v>
      </c>
      <c r="G66" s="11">
        <f t="shared" ref="G66:N66" si="36">G65/G38</f>
        <v>0.43485352862849536</v>
      </c>
      <c r="H66" s="11">
        <f t="shared" si="36"/>
        <v>0.44291335956779831</v>
      </c>
      <c r="I66" s="11">
        <f t="shared" si="36"/>
        <v>0.38949056810704102</v>
      </c>
      <c r="J66" s="11">
        <f t="shared" si="36"/>
        <v>0.43232644287935607</v>
      </c>
      <c r="K66" s="11">
        <f t="shared" si="36"/>
        <v>0.41960193854985178</v>
      </c>
      <c r="L66" s="11">
        <f t="shared" si="36"/>
        <v>0.435</v>
      </c>
      <c r="M66" s="11">
        <f t="shared" si="36"/>
        <v>0.44924999999999998</v>
      </c>
      <c r="N66" s="11">
        <f t="shared" si="36"/>
        <v>0.44700000000000001</v>
      </c>
    </row>
    <row r="68" spans="1:16" ht="14.4" customHeight="1" x14ac:dyDescent="0.3">
      <c r="B68" s="1" t="s">
        <v>81</v>
      </c>
      <c r="G68" s="12">
        <v>19439</v>
      </c>
      <c r="H68" s="12">
        <v>20490</v>
      </c>
      <c r="I68" s="12">
        <v>10038</v>
      </c>
      <c r="J68" s="12">
        <v>11959</v>
      </c>
      <c r="K68" s="12">
        <v>14166</v>
      </c>
      <c r="L68" s="8">
        <f>L51*0.2623</f>
        <v>13990.596744999999</v>
      </c>
      <c r="M68" s="8">
        <f>M51*0.263</f>
        <v>14065.685942800001</v>
      </c>
      <c r="N68" s="8">
        <f>N51*0.265</f>
        <v>14541.138216684001</v>
      </c>
    </row>
    <row r="69" spans="1:16" ht="14.4" customHeight="1" x14ac:dyDescent="0.3">
      <c r="B69" s="5" t="s">
        <v>86</v>
      </c>
      <c r="G69" s="11">
        <f t="shared" ref="G69:N69" si="37">G68/G51</f>
        <v>0.359362579261642</v>
      </c>
      <c r="H69" s="11">
        <f t="shared" si="37"/>
        <v>0.34183613886988873</v>
      </c>
      <c r="I69" s="11">
        <f t="shared" si="37"/>
        <v>0.22396251673360107</v>
      </c>
      <c r="J69" s="11">
        <f t="shared" si="37"/>
        <v>0.23523742082694049</v>
      </c>
      <c r="K69" s="11">
        <f t="shared" si="37"/>
        <v>0.25921791798569049</v>
      </c>
      <c r="L69" s="11">
        <f t="shared" si="37"/>
        <v>0.26229999999999998</v>
      </c>
      <c r="M69" s="11">
        <f t="shared" si="37"/>
        <v>0.26300000000000001</v>
      </c>
      <c r="N69" s="11">
        <f t="shared" si="37"/>
        <v>0.26500000000000001</v>
      </c>
    </row>
    <row r="70" spans="1:16" ht="14.4" customHeight="1" x14ac:dyDescent="0.3">
      <c r="B70" s="5"/>
      <c r="G70" s="11"/>
      <c r="H70" s="11"/>
      <c r="I70" s="11"/>
      <c r="J70" s="11"/>
      <c r="K70" s="11"/>
      <c r="L70" s="11"/>
      <c r="M70" s="11"/>
      <c r="N70" s="11"/>
    </row>
    <row r="71" spans="1:16" ht="14.4" customHeight="1" x14ac:dyDescent="0.3">
      <c r="B71" s="4" t="s">
        <v>98</v>
      </c>
      <c r="C71" s="4"/>
      <c r="D71" s="4"/>
      <c r="E71" s="4"/>
      <c r="F71" s="4"/>
      <c r="G71" s="28">
        <f>G62+G65+G68</f>
        <v>69916</v>
      </c>
      <c r="H71" s="28">
        <f t="shared" ref="H71:N71" si="38">H62+H65+H68</f>
        <v>83383</v>
      </c>
      <c r="I71" s="28">
        <f t="shared" si="38"/>
        <v>88523</v>
      </c>
      <c r="J71" s="28">
        <f t="shared" si="38"/>
        <v>109433</v>
      </c>
      <c r="K71" s="28">
        <f t="shared" si="38"/>
        <v>128528</v>
      </c>
      <c r="L71" s="28">
        <f t="shared" si="38"/>
        <v>152486.416097579</v>
      </c>
      <c r="M71" s="28">
        <f t="shared" si="38"/>
        <v>180861.63585645703</v>
      </c>
      <c r="N71" s="28">
        <f t="shared" si="38"/>
        <v>217377.46281344537</v>
      </c>
      <c r="O71" s="4"/>
      <c r="P71" s="4"/>
    </row>
    <row r="73" spans="1:16" ht="14.4" customHeight="1" x14ac:dyDescent="0.3">
      <c r="A73" s="45" t="s">
        <v>73</v>
      </c>
      <c r="B73" s="2" t="s">
        <v>91</v>
      </c>
      <c r="C73" s="2"/>
      <c r="D73" s="2"/>
      <c r="E73" s="2"/>
      <c r="F73" s="2"/>
      <c r="G73" s="2">
        <v>2021</v>
      </c>
      <c r="H73" s="2">
        <f>G73+1</f>
        <v>2022</v>
      </c>
      <c r="I73" s="2">
        <f>H73+1</f>
        <v>2023</v>
      </c>
      <c r="J73" s="2">
        <f>I73+1</f>
        <v>2024</v>
      </c>
      <c r="K73" s="2">
        <f>J73+1</f>
        <v>2025</v>
      </c>
      <c r="L73" s="3" t="s">
        <v>6</v>
      </c>
      <c r="M73" s="3" t="s">
        <v>7</v>
      </c>
      <c r="N73" s="3" t="s">
        <v>8</v>
      </c>
      <c r="O73" s="3" t="s">
        <v>9</v>
      </c>
      <c r="P73" s="3" t="s">
        <v>10</v>
      </c>
    </row>
    <row r="74" spans="1:16" s="24" customFormat="1" ht="1.95" customHeight="1" x14ac:dyDescent="0.3"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6"/>
      <c r="M74" s="26"/>
      <c r="N74" s="26"/>
      <c r="O74" s="26"/>
      <c r="P74" s="26"/>
    </row>
    <row r="75" spans="1:16" ht="14.4" customHeight="1" x14ac:dyDescent="0.3">
      <c r="B75" s="1" t="s">
        <v>89</v>
      </c>
      <c r="G75" s="12">
        <v>83953</v>
      </c>
      <c r="H75" s="12">
        <v>100218</v>
      </c>
      <c r="I75" s="12">
        <v>106744</v>
      </c>
      <c r="J75" s="12">
        <v>124704</v>
      </c>
      <c r="K75" s="12">
        <v>144546</v>
      </c>
    </row>
    <row r="76" spans="1:16" ht="14.4" customHeight="1" x14ac:dyDescent="0.3">
      <c r="B76" s="5" t="s">
        <v>12</v>
      </c>
      <c r="G76" s="11">
        <f>(G75-73160)/73160</f>
        <v>0.14752597047566976</v>
      </c>
      <c r="H76" s="11">
        <f>(H75-G75)/G75</f>
        <v>0.19373935416244803</v>
      </c>
      <c r="I76" s="11">
        <f t="shared" ref="I76:K76" si="39">(I75-H75)/H75</f>
        <v>6.5118042666985967E-2</v>
      </c>
      <c r="J76" s="11">
        <f t="shared" si="39"/>
        <v>0.16825301656299183</v>
      </c>
      <c r="K76" s="11">
        <f t="shared" si="39"/>
        <v>0.159112779060816</v>
      </c>
      <c r="L76" s="11"/>
      <c r="M76" s="11"/>
    </row>
    <row r="77" spans="1:16" ht="14.4" customHeight="1" x14ac:dyDescent="0.3">
      <c r="B77" s="1" t="s">
        <v>90</v>
      </c>
      <c r="G77" s="12">
        <v>84135</v>
      </c>
      <c r="H77" s="12">
        <v>98052</v>
      </c>
      <c r="I77" s="12">
        <v>105171</v>
      </c>
      <c r="J77" s="12">
        <v>120518</v>
      </c>
      <c r="K77" s="12">
        <v>137178</v>
      </c>
    </row>
    <row r="78" spans="1:16" ht="14.4" customHeight="1" x14ac:dyDescent="0.3">
      <c r="B78" s="5" t="s">
        <v>12</v>
      </c>
      <c r="G78" s="11">
        <f>(G77-69855)/69855</f>
        <v>0.20442344857204209</v>
      </c>
      <c r="H78" s="11">
        <f t="shared" ref="H78:K78" si="40">(H77-G77)/G77</f>
        <v>0.1654127295418078</v>
      </c>
      <c r="I78" s="11">
        <f t="shared" si="40"/>
        <v>7.260433239505569E-2</v>
      </c>
      <c r="J78" s="11">
        <f t="shared" si="40"/>
        <v>0.14592425668672923</v>
      </c>
      <c r="K78" s="11">
        <f t="shared" si="40"/>
        <v>0.13823661195837966</v>
      </c>
      <c r="L78" s="11"/>
      <c r="M78" s="11"/>
    </row>
    <row r="80" spans="1:16" ht="14.4" customHeight="1" x14ac:dyDescent="0.3">
      <c r="A80" s="45" t="s">
        <v>73</v>
      </c>
      <c r="B80" s="2" t="s">
        <v>69</v>
      </c>
      <c r="C80" s="2"/>
      <c r="D80" s="2"/>
      <c r="E80" s="2"/>
      <c r="F80" s="2"/>
      <c r="G80" s="2">
        <v>2021</v>
      </c>
      <c r="H80" s="2">
        <f>G80+1</f>
        <v>2022</v>
      </c>
      <c r="I80" s="2">
        <f>H80+1</f>
        <v>2023</v>
      </c>
      <c r="J80" s="2">
        <f>I80+1</f>
        <v>2024</v>
      </c>
      <c r="K80" s="2">
        <f>J80+1</f>
        <v>2025</v>
      </c>
      <c r="L80" s="3" t="s">
        <v>6</v>
      </c>
      <c r="M80" s="3" t="s">
        <v>7</v>
      </c>
      <c r="N80" s="3" t="s">
        <v>8</v>
      </c>
      <c r="O80" s="3" t="s">
        <v>9</v>
      </c>
      <c r="P80" s="3" t="s">
        <v>10</v>
      </c>
    </row>
    <row r="81" spans="2:17" s="24" customFormat="1" ht="1.95" customHeight="1" x14ac:dyDescent="0.3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6"/>
      <c r="M81" s="26"/>
      <c r="N81" s="26"/>
      <c r="O81" s="26"/>
      <c r="P81" s="26"/>
    </row>
    <row r="82" spans="2:17" ht="14.4" customHeight="1" x14ac:dyDescent="0.3">
      <c r="B82" s="1" t="s">
        <v>92</v>
      </c>
      <c r="C82" s="25"/>
      <c r="D82" s="25"/>
      <c r="E82" s="25"/>
      <c r="F82" s="25"/>
      <c r="G82" s="12">
        <v>173049</v>
      </c>
      <c r="H82" s="12">
        <v>202537</v>
      </c>
      <c r="I82" s="12">
        <v>217320</v>
      </c>
      <c r="J82" s="12">
        <v>268695</v>
      </c>
      <c r="K82" s="12">
        <v>288805</v>
      </c>
      <c r="L82" s="26">
        <v>333705</v>
      </c>
      <c r="M82" s="26" t="s">
        <v>75</v>
      </c>
      <c r="N82" s="26" t="s">
        <v>75</v>
      </c>
      <c r="O82" s="26"/>
      <c r="P82" s="26"/>
    </row>
    <row r="83" spans="2:17" ht="14.4" customHeight="1" x14ac:dyDescent="0.3">
      <c r="B83" s="1" t="s">
        <v>96</v>
      </c>
      <c r="G83" s="12">
        <v>141000</v>
      </c>
      <c r="H83" s="12">
        <v>189000</v>
      </c>
      <c r="I83" s="12">
        <v>224000</v>
      </c>
      <c r="J83" s="12">
        <v>269000</v>
      </c>
      <c r="K83" s="12">
        <v>368000</v>
      </c>
      <c r="L83" s="12">
        <v>625000</v>
      </c>
    </row>
    <row r="84" spans="2:17" ht="14.4" customHeight="1" x14ac:dyDescent="0.3">
      <c r="B84" s="1" t="s">
        <v>347</v>
      </c>
      <c r="G84" s="8">
        <f>G83*0.5</f>
        <v>70500</v>
      </c>
      <c r="H84" s="8">
        <f>H83*0.45</f>
        <v>85050</v>
      </c>
      <c r="I84" s="8">
        <f>I83*0.45</f>
        <v>100800</v>
      </c>
      <c r="J84" s="8">
        <f>J83*0.45</f>
        <v>121050</v>
      </c>
      <c r="K84" s="8">
        <f>K83*0.4</f>
        <v>147200</v>
      </c>
      <c r="L84" s="8">
        <f>L83*0.25</f>
        <v>156250</v>
      </c>
    </row>
    <row r="85" spans="2:17" ht="14.4" customHeight="1" x14ac:dyDescent="0.3">
      <c r="B85" s="1" t="s">
        <v>337</v>
      </c>
      <c r="G85" s="12"/>
      <c r="H85" s="12"/>
      <c r="I85" s="12"/>
      <c r="J85" s="12"/>
      <c r="K85" s="12"/>
      <c r="L85" s="8">
        <f>L83*0.45</f>
        <v>281250</v>
      </c>
    </row>
    <row r="86" spans="2:17" ht="14.4" customHeight="1" x14ac:dyDescent="0.3">
      <c r="B86" s="1" t="s">
        <v>338</v>
      </c>
      <c r="G86" s="12"/>
      <c r="H86" s="12"/>
      <c r="I86" s="12"/>
      <c r="J86" s="12"/>
      <c r="K86" s="12">
        <f>L86/(1+L87)</f>
        <v>268554.6875</v>
      </c>
      <c r="L86" s="8">
        <f>L83*0.55</f>
        <v>343750</v>
      </c>
      <c r="M86" s="8"/>
      <c r="N86" s="8"/>
      <c r="O86" s="8"/>
      <c r="P86" s="8"/>
    </row>
    <row r="87" spans="2:17" ht="14.4" customHeight="1" x14ac:dyDescent="0.3">
      <c r="B87" s="5" t="s">
        <v>339</v>
      </c>
      <c r="G87" s="11"/>
      <c r="H87" s="11"/>
      <c r="I87" s="11"/>
      <c r="J87" s="11"/>
      <c r="K87" s="11"/>
      <c r="L87" s="11">
        <v>0.28000000000000003</v>
      </c>
      <c r="M87" s="11"/>
      <c r="N87" s="11"/>
    </row>
    <row r="88" spans="2:17" ht="14.4" customHeight="1" x14ac:dyDescent="0.3">
      <c r="B88" s="5" t="s">
        <v>93</v>
      </c>
      <c r="G88" s="11">
        <v>0.498</v>
      </c>
      <c r="H88" s="11">
        <v>0.45</v>
      </c>
      <c r="I88" s="11">
        <v>0.28999999999999998</v>
      </c>
      <c r="J88" s="11">
        <v>0.3</v>
      </c>
      <c r="K88" s="11">
        <v>0.34200000000000003</v>
      </c>
      <c r="L88" s="11">
        <v>0.39</v>
      </c>
      <c r="M88" s="11">
        <v>0.38</v>
      </c>
      <c r="N88" s="11">
        <v>0.32</v>
      </c>
    </row>
    <row r="89" spans="2:17" ht="14.4" customHeight="1" x14ac:dyDescent="0.3">
      <c r="B89" s="5" t="s">
        <v>94</v>
      </c>
      <c r="G89" s="11"/>
      <c r="H89" s="11">
        <v>0.47</v>
      </c>
      <c r="I89" s="11">
        <v>0.34</v>
      </c>
      <c r="J89" s="11">
        <v>0.28999999999999998</v>
      </c>
      <c r="K89" s="11">
        <v>0.34699999999999998</v>
      </c>
      <c r="L89" s="11">
        <v>0.38</v>
      </c>
      <c r="M89" s="11"/>
      <c r="N89" s="11"/>
      <c r="Q89" s="45"/>
    </row>
    <row r="90" spans="2:17" ht="14.4" customHeight="1" x14ac:dyDescent="0.3">
      <c r="B90" s="1" t="s">
        <v>95</v>
      </c>
      <c r="G90" s="12"/>
      <c r="H90" s="12"/>
      <c r="I90" s="12">
        <v>31900</v>
      </c>
      <c r="J90" s="12">
        <v>55700</v>
      </c>
      <c r="K90" s="12">
        <v>88200</v>
      </c>
      <c r="L90" s="8">
        <f>K90*1.62</f>
        <v>142884</v>
      </c>
      <c r="M90" s="8">
        <f>L90*1.116</f>
        <v>159458.54400000002</v>
      </c>
      <c r="N90" s="8">
        <f>M90*1.045</f>
        <v>166634.17848</v>
      </c>
    </row>
    <row r="91" spans="2:17" ht="14.4" customHeight="1" x14ac:dyDescent="0.3">
      <c r="B91" s="1" t="s">
        <v>213</v>
      </c>
      <c r="L91" s="8">
        <f>Main!J27*L93</f>
        <v>247723.73699805362</v>
      </c>
      <c r="M91" s="8">
        <f>Main!K27*M93</f>
        <v>296241.05719416979</v>
      </c>
      <c r="N91" s="8">
        <f>Main!L27*N93</f>
        <v>350638.54309921956</v>
      </c>
    </row>
    <row r="92" spans="2:17" ht="14.4" customHeight="1" x14ac:dyDescent="0.3">
      <c r="B92" s="1" t="s">
        <v>214</v>
      </c>
      <c r="L92" s="8">
        <f>Main!J27-L91</f>
        <v>79693.308994615683</v>
      </c>
      <c r="M92" s="8">
        <f>Main!K27-M91</f>
        <v>91610.549501522502</v>
      </c>
      <c r="N92" s="8">
        <f>Main!L27-N91</f>
        <v>105684.39169934834</v>
      </c>
    </row>
    <row r="93" spans="2:17" ht="14.4" customHeight="1" x14ac:dyDescent="0.3">
      <c r="B93" s="5" t="s">
        <v>215</v>
      </c>
      <c r="C93" s="5"/>
      <c r="D93" s="5"/>
      <c r="E93" s="5"/>
      <c r="F93" s="5"/>
      <c r="G93" s="5"/>
      <c r="H93" s="5"/>
      <c r="I93" s="5"/>
      <c r="J93" s="5"/>
      <c r="K93" s="5"/>
      <c r="L93" s="11">
        <v>0.75660000000000005</v>
      </c>
      <c r="M93" s="11">
        <v>0.76380000000000003</v>
      </c>
      <c r="N93" s="11">
        <v>0.76839999999999997</v>
      </c>
    </row>
    <row r="94" spans="2:17" ht="14.4" customHeight="1" x14ac:dyDescent="0.3">
      <c r="B94" s="1" t="s">
        <v>243</v>
      </c>
      <c r="L94" s="13">
        <f>-40000*0.27</f>
        <v>-10800</v>
      </c>
      <c r="M94" s="13">
        <f>-27500*0.27</f>
        <v>-7425.0000000000009</v>
      </c>
      <c r="N94" s="13">
        <f>-12500*0.27</f>
        <v>-3375</v>
      </c>
      <c r="O94" s="13"/>
      <c r="P94" s="13"/>
    </row>
    <row r="95" spans="2:17" ht="14.4" customHeight="1" x14ac:dyDescent="0.3">
      <c r="B95" s="1" t="s">
        <v>333</v>
      </c>
      <c r="D95" s="11"/>
      <c r="E95" s="11"/>
      <c r="F95" s="11"/>
      <c r="G95" s="11"/>
      <c r="H95" s="11"/>
      <c r="I95" s="11"/>
      <c r="J95" s="11"/>
      <c r="K95" s="11"/>
      <c r="L95" s="11">
        <v>4.4499999999999998E-2</v>
      </c>
      <c r="M95" s="11"/>
      <c r="N95" s="11"/>
      <c r="O95" s="13"/>
      <c r="P95" s="13"/>
    </row>
    <row r="96" spans="2:17" ht="14.4" customHeight="1" x14ac:dyDescent="0.3">
      <c r="B96" s="1" t="s">
        <v>334</v>
      </c>
      <c r="D96" s="11"/>
      <c r="E96" s="11"/>
      <c r="F96" s="11"/>
      <c r="G96" s="11"/>
      <c r="H96" s="11"/>
      <c r="I96" s="11"/>
      <c r="J96" s="11"/>
      <c r="K96" s="11"/>
      <c r="L96" s="11">
        <v>0.27600000000000002</v>
      </c>
      <c r="M96" s="11"/>
      <c r="N96" s="11"/>
      <c r="O96" s="13"/>
      <c r="P96" s="13"/>
    </row>
    <row r="97" spans="1:16" ht="14.4" customHeight="1" x14ac:dyDescent="0.3">
      <c r="B97" s="1" t="s">
        <v>335</v>
      </c>
      <c r="L97" s="8">
        <v>35</v>
      </c>
    </row>
    <row r="98" spans="1:16" ht="14.4" customHeight="1" x14ac:dyDescent="0.3">
      <c r="B98" s="1" t="s">
        <v>336</v>
      </c>
      <c r="L98" s="11">
        <v>0.05</v>
      </c>
    </row>
    <row r="100" spans="1:16" ht="14.4" customHeight="1" x14ac:dyDescent="0.3">
      <c r="A100" s="45" t="s">
        <v>73</v>
      </c>
      <c r="B100" s="2" t="s">
        <v>316</v>
      </c>
      <c r="C100" s="2"/>
      <c r="D100" s="2"/>
      <c r="E100" s="2" t="s">
        <v>349</v>
      </c>
      <c r="F100" s="2"/>
      <c r="G100" s="2">
        <v>2021</v>
      </c>
      <c r="H100" s="2">
        <f>G100+1</f>
        <v>2022</v>
      </c>
      <c r="I100" s="2">
        <f>H100+1</f>
        <v>2023</v>
      </c>
      <c r="J100" s="2">
        <f>I100+1</f>
        <v>2024</v>
      </c>
      <c r="K100" s="2">
        <f>J100+1</f>
        <v>2025</v>
      </c>
      <c r="L100" s="3" t="s">
        <v>6</v>
      </c>
      <c r="M100" s="3" t="s">
        <v>7</v>
      </c>
      <c r="N100" s="3" t="s">
        <v>8</v>
      </c>
      <c r="O100" s="3" t="s">
        <v>9</v>
      </c>
      <c r="P100" s="3" t="s">
        <v>10</v>
      </c>
    </row>
    <row r="101" spans="1:16" s="24" customFormat="1" ht="1.95" customHeight="1" x14ac:dyDescent="0.3"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6"/>
      <c r="M101" s="26"/>
      <c r="N101" s="26"/>
      <c r="O101" s="26"/>
      <c r="P101" s="26"/>
    </row>
    <row r="102" spans="1:16" ht="14.4" customHeight="1" x14ac:dyDescent="0.3">
      <c r="B102" s="1" t="s">
        <v>317</v>
      </c>
      <c r="E102" s="10">
        <v>0.2</v>
      </c>
      <c r="G102" s="1">
        <v>32</v>
      </c>
      <c r="H102" s="1">
        <v>36</v>
      </c>
      <c r="I102" s="1">
        <v>36</v>
      </c>
      <c r="J102" s="1">
        <v>36</v>
      </c>
      <c r="K102" s="1">
        <v>36</v>
      </c>
      <c r="L102" s="1">
        <v>36</v>
      </c>
      <c r="M102" s="1">
        <v>39</v>
      </c>
      <c r="N102" s="1">
        <v>39</v>
      </c>
      <c r="O102" s="1">
        <v>39</v>
      </c>
      <c r="P102" s="1">
        <v>39</v>
      </c>
    </row>
    <row r="103" spans="1:16" ht="14.4" customHeight="1" x14ac:dyDescent="0.3">
      <c r="B103" s="1" t="s">
        <v>322</v>
      </c>
      <c r="E103" s="10">
        <v>0.15</v>
      </c>
      <c r="G103" s="1">
        <v>8</v>
      </c>
      <c r="H103" s="1">
        <v>8</v>
      </c>
      <c r="I103" s="1">
        <v>8</v>
      </c>
      <c r="J103" s="1">
        <v>8</v>
      </c>
      <c r="K103" s="1">
        <v>8</v>
      </c>
      <c r="L103" s="1">
        <v>8</v>
      </c>
      <c r="M103" s="1">
        <v>10</v>
      </c>
      <c r="N103" s="1">
        <v>10</v>
      </c>
      <c r="O103" s="1">
        <v>10</v>
      </c>
      <c r="P103" s="1">
        <v>10</v>
      </c>
    </row>
    <row r="104" spans="1:16" ht="14.4" customHeight="1" x14ac:dyDescent="0.3">
      <c r="B104" s="1" t="s">
        <v>318</v>
      </c>
      <c r="E104" s="10">
        <v>0.13</v>
      </c>
      <c r="G104" s="1">
        <v>57</v>
      </c>
      <c r="H104" s="1">
        <v>57</v>
      </c>
      <c r="I104" s="1">
        <v>57</v>
      </c>
      <c r="J104" s="1">
        <v>57</v>
      </c>
      <c r="K104" s="1">
        <v>57</v>
      </c>
      <c r="L104" s="1">
        <v>57</v>
      </c>
      <c r="M104" s="1">
        <v>60</v>
      </c>
      <c r="N104" s="1">
        <v>60</v>
      </c>
      <c r="O104" s="1">
        <v>60</v>
      </c>
      <c r="P104" s="1">
        <v>60</v>
      </c>
    </row>
    <row r="105" spans="1:16" ht="14.4" customHeight="1" x14ac:dyDescent="0.3">
      <c r="B105" s="1" t="s">
        <v>319</v>
      </c>
      <c r="E105" s="10">
        <v>0.1</v>
      </c>
      <c r="G105" s="1">
        <v>12.5</v>
      </c>
      <c r="H105" s="1">
        <v>12.5</v>
      </c>
      <c r="I105" s="1">
        <v>12.5</v>
      </c>
      <c r="J105" s="1">
        <v>12.5</v>
      </c>
      <c r="K105" s="1">
        <v>12.5</v>
      </c>
      <c r="L105" s="1">
        <v>12.5</v>
      </c>
      <c r="M105" s="1">
        <v>14</v>
      </c>
      <c r="N105" s="1">
        <v>14</v>
      </c>
      <c r="O105" s="1">
        <v>14</v>
      </c>
      <c r="P105" s="1">
        <v>14</v>
      </c>
    </row>
    <row r="106" spans="1:16" ht="14.4" customHeight="1" x14ac:dyDescent="0.3">
      <c r="B106" s="1" t="s">
        <v>321</v>
      </c>
      <c r="E106" s="10">
        <v>0.1</v>
      </c>
      <c r="G106" s="1">
        <v>2.25</v>
      </c>
      <c r="H106" s="1">
        <v>2.25</v>
      </c>
      <c r="I106" s="1">
        <v>2.25</v>
      </c>
      <c r="J106" s="1">
        <v>2.25</v>
      </c>
      <c r="K106" s="1">
        <v>2.25</v>
      </c>
      <c r="L106" s="1">
        <v>2.25</v>
      </c>
      <c r="M106" s="1">
        <v>3</v>
      </c>
      <c r="N106" s="1">
        <v>3</v>
      </c>
      <c r="O106" s="1">
        <v>3</v>
      </c>
      <c r="P106" s="1">
        <v>3</v>
      </c>
    </row>
    <row r="107" spans="1:16" ht="14.4" customHeight="1" x14ac:dyDescent="0.3">
      <c r="B107" s="1" t="s">
        <v>320</v>
      </c>
      <c r="E107" s="10">
        <v>0.08</v>
      </c>
      <c r="G107" s="1">
        <v>5</v>
      </c>
      <c r="H107" s="1">
        <v>6</v>
      </c>
      <c r="I107" s="1">
        <v>6</v>
      </c>
      <c r="J107" s="1">
        <v>6</v>
      </c>
      <c r="K107" s="1">
        <v>6</v>
      </c>
      <c r="L107" s="1">
        <v>6</v>
      </c>
      <c r="M107" s="1">
        <v>7</v>
      </c>
      <c r="N107" s="1">
        <v>7</v>
      </c>
      <c r="O107" s="1">
        <v>7</v>
      </c>
      <c r="P107" s="1">
        <v>7</v>
      </c>
    </row>
    <row r="108" spans="1:16" ht="14.4" customHeight="1" x14ac:dyDescent="0.3">
      <c r="B108" s="1" t="s">
        <v>323</v>
      </c>
      <c r="E108" s="10">
        <v>0.08</v>
      </c>
      <c r="G108" s="1">
        <v>20</v>
      </c>
      <c r="H108" s="1">
        <v>23</v>
      </c>
      <c r="I108" s="1">
        <v>23</v>
      </c>
      <c r="J108" s="1">
        <v>23</v>
      </c>
      <c r="K108" s="1">
        <v>23</v>
      </c>
      <c r="L108" s="1">
        <v>23</v>
      </c>
      <c r="M108" s="1">
        <v>25</v>
      </c>
      <c r="N108" s="1">
        <v>25</v>
      </c>
      <c r="O108" s="1">
        <v>25</v>
      </c>
      <c r="P108" s="1">
        <v>25</v>
      </c>
    </row>
    <row r="109" spans="1:16" ht="14.4" customHeight="1" x14ac:dyDescent="0.3">
      <c r="B109" s="1" t="s">
        <v>340</v>
      </c>
      <c r="E109" s="10">
        <v>7.0000000000000007E-2</v>
      </c>
      <c r="G109" s="1">
        <v>10</v>
      </c>
      <c r="H109" s="1">
        <v>10</v>
      </c>
      <c r="I109" s="1">
        <v>10</v>
      </c>
      <c r="J109" s="1">
        <v>10</v>
      </c>
      <c r="K109" s="1">
        <v>10</v>
      </c>
      <c r="L109" s="1">
        <v>10</v>
      </c>
      <c r="M109" s="1">
        <v>10</v>
      </c>
      <c r="N109" s="1">
        <v>10</v>
      </c>
      <c r="O109" s="1">
        <v>10</v>
      </c>
      <c r="P109" s="1">
        <v>10</v>
      </c>
    </row>
    <row r="110" spans="1:16" ht="14.4" customHeight="1" x14ac:dyDescent="0.3">
      <c r="B110" s="1" t="s">
        <v>342</v>
      </c>
      <c r="E110" s="10">
        <v>0.06</v>
      </c>
      <c r="G110" s="1">
        <v>22</v>
      </c>
      <c r="H110" s="1">
        <v>22</v>
      </c>
      <c r="I110" s="1">
        <v>22</v>
      </c>
      <c r="J110" s="1">
        <v>22</v>
      </c>
      <c r="K110" s="1">
        <v>22</v>
      </c>
      <c r="L110" s="1">
        <v>22</v>
      </c>
      <c r="M110" s="1">
        <v>22</v>
      </c>
      <c r="N110" s="1">
        <v>22</v>
      </c>
      <c r="O110" s="1">
        <v>22</v>
      </c>
      <c r="P110" s="1">
        <v>22</v>
      </c>
    </row>
    <row r="111" spans="1:16" ht="14.4" customHeight="1" x14ac:dyDescent="0.3">
      <c r="B111" s="1" t="s">
        <v>341</v>
      </c>
      <c r="E111" s="10">
        <v>0.03</v>
      </c>
      <c r="G111" s="1">
        <v>12</v>
      </c>
      <c r="H111" s="1">
        <v>12</v>
      </c>
      <c r="I111" s="1">
        <v>12</v>
      </c>
      <c r="J111" s="1">
        <v>12</v>
      </c>
      <c r="K111" s="1">
        <v>12</v>
      </c>
      <c r="L111" s="1">
        <v>12</v>
      </c>
      <c r="M111" s="1">
        <v>14</v>
      </c>
      <c r="N111" s="1">
        <v>14</v>
      </c>
      <c r="O111" s="1">
        <v>14</v>
      </c>
      <c r="P111" s="1">
        <v>14</v>
      </c>
    </row>
    <row r="112" spans="1:16" ht="14.4" customHeight="1" x14ac:dyDescent="0.3">
      <c r="B112" s="1" t="s">
        <v>343</v>
      </c>
      <c r="E112" s="10"/>
      <c r="G112" s="8">
        <f t="shared" ref="G112:L112" si="41">SUMPRODUCT($E$102:$E$111, G102:G111)*12</f>
        <v>250.38000000000002</v>
      </c>
      <c r="H112" s="8">
        <f t="shared" si="41"/>
        <v>263.82000000000005</v>
      </c>
      <c r="I112" s="8">
        <f t="shared" si="41"/>
        <v>263.82000000000005</v>
      </c>
      <c r="J112" s="8">
        <f t="shared" si="41"/>
        <v>263.82000000000005</v>
      </c>
      <c r="K112" s="8">
        <f t="shared" si="41"/>
        <v>263.82000000000005</v>
      </c>
      <c r="L112" s="8">
        <f t="shared" si="41"/>
        <v>263.82000000000005</v>
      </c>
      <c r="M112" s="8">
        <f>SUMPRODUCT($E$102:$E$111, M102:M111)*12</f>
        <v>285.60000000000002</v>
      </c>
      <c r="N112" s="8">
        <f t="shared" ref="N112:P112" si="42">SUMPRODUCT($E$102:$E$111, N102:N111)*12</f>
        <v>285.60000000000002</v>
      </c>
      <c r="O112" s="8">
        <f t="shared" si="42"/>
        <v>285.60000000000002</v>
      </c>
      <c r="P112" s="8">
        <f t="shared" si="42"/>
        <v>285.60000000000002</v>
      </c>
    </row>
    <row r="113" spans="2:16" ht="14.4" customHeight="1" x14ac:dyDescent="0.3">
      <c r="B113" s="1" t="s">
        <v>344</v>
      </c>
      <c r="E113" s="10"/>
      <c r="G113" s="53">
        <v>120.94506666666668</v>
      </c>
      <c r="H113" s="53">
        <v>119.71970674486803</v>
      </c>
      <c r="I113" s="53">
        <v>175.25916230366491</v>
      </c>
      <c r="J113" s="53">
        <v>195.14359994128296</v>
      </c>
      <c r="K113" s="53">
        <v>197.02426404281405</v>
      </c>
      <c r="L113" s="8">
        <f>L112*L114</f>
        <v>198.92028000000005</v>
      </c>
      <c r="M113" s="8">
        <f t="shared" ref="M113:P113" si="43">M112*M114</f>
        <v>207.06</v>
      </c>
      <c r="N113" s="8">
        <f t="shared" si="43"/>
        <v>212.77200000000002</v>
      </c>
      <c r="O113" s="8">
        <f t="shared" si="43"/>
        <v>217.05600000000001</v>
      </c>
      <c r="P113" s="8">
        <f t="shared" si="43"/>
        <v>219.91200000000003</v>
      </c>
    </row>
    <row r="114" spans="2:16" ht="14.4" customHeight="1" x14ac:dyDescent="0.3">
      <c r="B114" s="1" t="s">
        <v>345</v>
      </c>
      <c r="E114" s="10"/>
      <c r="G114" s="10">
        <f>G113/G112</f>
        <v>0.48304603669089652</v>
      </c>
      <c r="H114" s="10">
        <f t="shared" ref="H114:K114" si="44">H113/H112</f>
        <v>0.45379314208501254</v>
      </c>
      <c r="I114" s="10">
        <f t="shared" si="44"/>
        <v>0.66431340422888663</v>
      </c>
      <c r="J114" s="10">
        <f t="shared" si="44"/>
        <v>0.73968463323964417</v>
      </c>
      <c r="K114" s="10">
        <f t="shared" si="44"/>
        <v>0.74681322129790773</v>
      </c>
      <c r="L114" s="10">
        <v>0.754</v>
      </c>
      <c r="M114" s="10">
        <v>0.72499999999999998</v>
      </c>
      <c r="N114" s="10">
        <v>0.745</v>
      </c>
      <c r="O114" s="10">
        <v>0.76</v>
      </c>
      <c r="P114" s="10">
        <v>0.77</v>
      </c>
    </row>
    <row r="115" spans="2:16" ht="14.4" customHeight="1" x14ac:dyDescent="0.3">
      <c r="B115" s="5" t="s">
        <v>324</v>
      </c>
      <c r="C115" s="5"/>
      <c r="D115" s="5"/>
      <c r="E115" s="10"/>
      <c r="F115" s="5"/>
      <c r="G115" s="11"/>
      <c r="H115" s="11">
        <f t="shared" ref="H115:L115" si="45">(SUMPRODUCT($E$102:$E$111, H102:H111) / SUMPRODUCT($E$102:$E$111, G102:G111)) - 1</f>
        <v>5.3678408818595758E-2</v>
      </c>
      <c r="I115" s="11">
        <f t="shared" si="45"/>
        <v>0</v>
      </c>
      <c r="J115" s="11">
        <f t="shared" si="45"/>
        <v>0</v>
      </c>
      <c r="K115" s="11">
        <f t="shared" si="45"/>
        <v>0</v>
      </c>
      <c r="L115" s="11">
        <f t="shared" si="45"/>
        <v>0</v>
      </c>
      <c r="M115" s="11">
        <f>(SUMPRODUCT($E$102:$E$111, M102:M111) / SUMPRODUCT($E$102:$E$111, L102:L111)) - 1</f>
        <v>8.2556288378439646E-2</v>
      </c>
      <c r="N115" s="11">
        <f t="shared" ref="N115:P115" si="46">(SUMPRODUCT($E$102:$E$111, N102:N111) / SUMPRODUCT($E$102:$E$111, M102:M111)) - 1</f>
        <v>0</v>
      </c>
      <c r="O115" s="11">
        <f t="shared" si="46"/>
        <v>0</v>
      </c>
      <c r="P115" s="11">
        <f t="shared" si="46"/>
        <v>0</v>
      </c>
    </row>
  </sheetData>
  <sortState xmlns:xlrd2="http://schemas.microsoft.com/office/spreadsheetml/2017/richdata2" ref="B102:P111">
    <sortCondition descending="1" ref="E102:E111"/>
  </sortState>
  <pageMargins left="0.7" right="0.7" top="0.75" bottom="0.75" header="0.3" footer="0.3"/>
  <pageSetup orientation="portrait" r:id="rId1"/>
  <ignoredErrors>
    <ignoredError sqref="H115 G112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2438-1AC1-43DF-96FD-76E4B45DFDBC}">
  <dimension ref="B2:AK80"/>
  <sheetViews>
    <sheetView showGridLines="0" zoomScaleNormal="100" workbookViewId="0">
      <selection activeCell="C35" sqref="C35"/>
    </sheetView>
  </sheetViews>
  <sheetFormatPr defaultColWidth="8.69921875" defaultRowHeight="14.4" x14ac:dyDescent="0.3"/>
  <cols>
    <col min="1" max="5" width="8.69921875" style="1"/>
    <col min="6" max="6" width="9.796875" style="1" bestFit="1" customWidth="1"/>
    <col min="7" max="16384" width="8.69921875" style="1"/>
  </cols>
  <sheetData>
    <row r="2" spans="2:37" x14ac:dyDescent="0.3">
      <c r="B2" s="2" t="s">
        <v>107</v>
      </c>
      <c r="C2" s="2"/>
      <c r="D2" s="2"/>
      <c r="E2" s="2">
        <v>2021</v>
      </c>
      <c r="F2" s="2">
        <v>2022</v>
      </c>
      <c r="G2" s="2">
        <v>2023</v>
      </c>
      <c r="H2" s="2">
        <v>2024</v>
      </c>
      <c r="I2" s="2">
        <v>2025</v>
      </c>
      <c r="J2" s="3" t="s">
        <v>6</v>
      </c>
      <c r="K2" s="3" t="s">
        <v>7</v>
      </c>
      <c r="L2" s="3" t="s">
        <v>8</v>
      </c>
      <c r="M2" s="3" t="s">
        <v>9</v>
      </c>
      <c r="N2" s="3" t="s">
        <v>10</v>
      </c>
      <c r="P2" s="2" t="s">
        <v>303</v>
      </c>
      <c r="Q2" s="2"/>
      <c r="R2" s="2" t="s">
        <v>216</v>
      </c>
      <c r="S2" s="2" t="s">
        <v>217</v>
      </c>
      <c r="T2" s="2" t="s">
        <v>218</v>
      </c>
      <c r="U2" s="2" t="s">
        <v>219</v>
      </c>
      <c r="V2" s="2" t="s">
        <v>220</v>
      </c>
      <c r="W2" s="2" t="s">
        <v>221</v>
      </c>
      <c r="X2" s="2" t="s">
        <v>222</v>
      </c>
      <c r="Y2" s="2" t="s">
        <v>223</v>
      </c>
      <c r="Z2" s="2" t="s">
        <v>224</v>
      </c>
      <c r="AA2" s="2" t="s">
        <v>225</v>
      </c>
      <c r="AB2" s="2" t="s">
        <v>226</v>
      </c>
      <c r="AC2" s="2" t="s">
        <v>227</v>
      </c>
      <c r="AD2" s="2" t="s">
        <v>228</v>
      </c>
      <c r="AE2" s="2" t="s">
        <v>229</v>
      </c>
      <c r="AF2" s="2" t="s">
        <v>230</v>
      </c>
      <c r="AG2" s="2" t="s">
        <v>231</v>
      </c>
      <c r="AH2" s="2" t="s">
        <v>232</v>
      </c>
      <c r="AI2" s="2" t="s">
        <v>233</v>
      </c>
      <c r="AJ2" s="2" t="s">
        <v>234</v>
      </c>
      <c r="AK2" s="2" t="s">
        <v>235</v>
      </c>
    </row>
    <row r="3" spans="2:37" ht="15.6" x14ac:dyDescent="0.3">
      <c r="B3" s="1" t="s">
        <v>24</v>
      </c>
      <c r="E3" s="27">
        <f>Main!$N$85</f>
        <v>128898.57794515438</v>
      </c>
      <c r="F3" s="27">
        <f>Main!$N$85</f>
        <v>128898.57794515438</v>
      </c>
      <c r="G3" s="27">
        <f>Main!$N$85</f>
        <v>128898.57794515438</v>
      </c>
      <c r="H3" s="27">
        <f>Main!$N$85</f>
        <v>128898.57794515438</v>
      </c>
      <c r="I3" s="27">
        <f>Main!$N$85</f>
        <v>128898.57794515438</v>
      </c>
      <c r="J3" s="27">
        <f>Main!$N$85</f>
        <v>128898.57794515438</v>
      </c>
      <c r="K3" s="27">
        <f>Main!$N$85</f>
        <v>128898.57794515438</v>
      </c>
      <c r="L3" s="27">
        <f>Main!$N$85</f>
        <v>128898.57794515438</v>
      </c>
      <c r="M3" s="27">
        <f>Main!$N$85</f>
        <v>128898.57794515438</v>
      </c>
      <c r="N3" s="27">
        <f>Main!$N$85</f>
        <v>128898.57794515438</v>
      </c>
      <c r="P3" s="1" t="s">
        <v>236</v>
      </c>
      <c r="Q3" s="40"/>
      <c r="R3" s="21">
        <v>1.95</v>
      </c>
      <c r="S3" s="21">
        <v>2.17</v>
      </c>
      <c r="T3" s="21">
        <v>2.27</v>
      </c>
      <c r="U3" s="21">
        <v>2.48</v>
      </c>
      <c r="V3" s="21">
        <v>2.2200000000000002</v>
      </c>
      <c r="W3" s="21">
        <v>2.23</v>
      </c>
      <c r="X3" s="21">
        <v>2.35</v>
      </c>
      <c r="Y3" s="21">
        <v>2.3199999999999998</v>
      </c>
      <c r="Z3" s="21">
        <v>2.4500000000000002</v>
      </c>
      <c r="AA3" s="21">
        <v>2.69</v>
      </c>
      <c r="AB3" s="21">
        <v>2.99</v>
      </c>
      <c r="AC3" s="21">
        <v>2.93</v>
      </c>
      <c r="AD3" s="21">
        <v>2.94</v>
      </c>
      <c r="AE3" s="21">
        <v>2.95</v>
      </c>
      <c r="AF3" s="21">
        <v>3.3</v>
      </c>
      <c r="AG3" s="21">
        <v>3.23</v>
      </c>
      <c r="AH3" s="21">
        <v>3.46</v>
      </c>
      <c r="AI3" s="21">
        <v>3.65</v>
      </c>
      <c r="AJ3" s="21">
        <v>4.13</v>
      </c>
    </row>
    <row r="4" spans="2:37" ht="15.6" x14ac:dyDescent="0.3">
      <c r="B4" s="1" t="s">
        <v>19</v>
      </c>
      <c r="E4" s="27">
        <f>Main!E54</f>
        <v>20622</v>
      </c>
      <c r="F4" s="27">
        <f>Main!F54</f>
        <v>23886</v>
      </c>
      <c r="G4" s="27">
        <f>Main!G54</f>
        <v>28107</v>
      </c>
      <c r="H4" s="27">
        <f>Main!H54</f>
        <v>44477</v>
      </c>
      <c r="I4" s="27">
        <f>Main!I54</f>
        <v>64551</v>
      </c>
      <c r="J4" s="27">
        <f>Main!J54</f>
        <v>98328</v>
      </c>
      <c r="K4" s="27">
        <f>Main!K54</f>
        <v>130000</v>
      </c>
      <c r="L4" s="27">
        <f>Main!L54</f>
        <v>200000</v>
      </c>
      <c r="M4" s="27">
        <f>Main!M54</f>
        <v>194000</v>
      </c>
      <c r="N4" s="27">
        <f>Main!N54</f>
        <v>190120</v>
      </c>
      <c r="P4" s="1" t="s">
        <v>237</v>
      </c>
      <c r="Q4" s="40"/>
      <c r="R4" s="21">
        <v>1.7813000000000001</v>
      </c>
      <c r="S4" s="21">
        <v>1.9180200000000001</v>
      </c>
      <c r="T4" s="21">
        <v>2.07687</v>
      </c>
      <c r="U4" s="21">
        <v>2.3189600000000001</v>
      </c>
      <c r="V4" s="21">
        <v>2.18879</v>
      </c>
      <c r="W4" s="21">
        <v>2.2922400000000001</v>
      </c>
      <c r="X4" s="21">
        <v>2.3045900000000001</v>
      </c>
      <c r="Y4" s="21">
        <v>2.29332</v>
      </c>
      <c r="Z4" s="21">
        <v>2.2391000000000001</v>
      </c>
      <c r="AA4" s="21">
        <v>2.55063</v>
      </c>
      <c r="AB4" s="21">
        <v>2.65401</v>
      </c>
      <c r="AC4" s="21">
        <v>2.7713199999999998</v>
      </c>
      <c r="AD4" s="21">
        <v>2.82464</v>
      </c>
      <c r="AE4" s="21">
        <v>2.9375</v>
      </c>
      <c r="AF4" s="21">
        <v>3.1012200000000001</v>
      </c>
      <c r="AG4" s="21">
        <v>3.1194899999999999</v>
      </c>
      <c r="AH4" s="21">
        <v>3.2222200000000001</v>
      </c>
      <c r="AI4" s="21">
        <v>3.3747099999999999</v>
      </c>
      <c r="AJ4" s="21">
        <v>3.6715599999999999</v>
      </c>
    </row>
    <row r="5" spans="2:37" ht="15.6" x14ac:dyDescent="0.3">
      <c r="B5" s="1" t="s">
        <v>348</v>
      </c>
      <c r="E5" s="13">
        <f>Main!E71+Main!E73+Main!E79</f>
        <v>70831</v>
      </c>
      <c r="F5" s="13">
        <f>Main!F71+Main!F73+Main!F79</f>
        <v>87315</v>
      </c>
      <c r="G5" s="13">
        <f>Main!G71+Main!G73+Main!G79</f>
        <v>83044</v>
      </c>
      <c r="H5" s="13">
        <f>Main!H71+Main!H73+Main!H79</f>
        <v>113889</v>
      </c>
      <c r="I5" s="13">
        <f>Main!I71+Main!I73+Main!I79</f>
        <v>135536</v>
      </c>
      <c r="J5" s="13">
        <f>Main!J71+Main!J73+Main!J79</f>
        <v>165678.31223433945</v>
      </c>
      <c r="K5" s="13">
        <f>Main!K71+Main!K73+Main!K79</f>
        <v>206636.6066909887</v>
      </c>
      <c r="L5" s="13">
        <f>Main!L71+Main!L73+Main!L79</f>
        <v>268879.11698540451</v>
      </c>
      <c r="M5" s="13">
        <f>Main!M71+Main!M73+Main!M79</f>
        <v>294255.49635382689</v>
      </c>
      <c r="N5" s="13">
        <f>Main!N71+Main!N73+Main!N79</f>
        <v>320237.26148794743</v>
      </c>
      <c r="P5" s="1" t="s">
        <v>238</v>
      </c>
      <c r="Q5" s="43"/>
      <c r="R5" s="52">
        <f t="shared" ref="R5:AJ5" si="0">R3/R4-1</f>
        <v>9.4706113512603052E-2</v>
      </c>
      <c r="S5" s="52">
        <f t="shared" si="0"/>
        <v>0.13137506386794717</v>
      </c>
      <c r="T5" s="52">
        <f t="shared" si="0"/>
        <v>9.299089495250068E-2</v>
      </c>
      <c r="U5" s="52">
        <f t="shared" si="0"/>
        <v>6.944492358643517E-2</v>
      </c>
      <c r="V5" s="52">
        <f t="shared" si="0"/>
        <v>1.4259019823738228E-2</v>
      </c>
      <c r="W5" s="52">
        <f t="shared" si="0"/>
        <v>-2.7152479670540686E-2</v>
      </c>
      <c r="X5" s="52">
        <f t="shared" si="0"/>
        <v>1.9704155619871599E-2</v>
      </c>
      <c r="Y5" s="52">
        <f t="shared" si="0"/>
        <v>1.1633788568538028E-2</v>
      </c>
      <c r="Z5" s="52">
        <f t="shared" si="0"/>
        <v>9.4189629761957994E-2</v>
      </c>
      <c r="AA5" s="52">
        <f t="shared" si="0"/>
        <v>5.4641402320211085E-2</v>
      </c>
      <c r="AB5" s="52">
        <f t="shared" si="0"/>
        <v>0.1265971115406499</v>
      </c>
      <c r="AC5" s="52">
        <f t="shared" si="0"/>
        <v>5.7257913196599564E-2</v>
      </c>
      <c r="AD5" s="52">
        <f t="shared" si="0"/>
        <v>4.0840602696272876E-2</v>
      </c>
      <c r="AE5" s="52">
        <f t="shared" si="0"/>
        <v>4.2553191489362874E-3</v>
      </c>
      <c r="AF5" s="52">
        <f t="shared" si="0"/>
        <v>6.4097355234391529E-2</v>
      </c>
      <c r="AG5" s="52">
        <f t="shared" si="0"/>
        <v>3.5425662528169699E-2</v>
      </c>
      <c r="AH5" s="52">
        <f t="shared" si="0"/>
        <v>7.3793843995754393E-2</v>
      </c>
      <c r="AI5" s="52">
        <f t="shared" si="0"/>
        <v>8.1574416764699897E-2</v>
      </c>
      <c r="AJ5" s="52">
        <f t="shared" si="0"/>
        <v>0.12486245628561154</v>
      </c>
    </row>
    <row r="6" spans="2:37" ht="15.6" x14ac:dyDescent="0.3">
      <c r="B6" s="5" t="s">
        <v>100</v>
      </c>
      <c r="C6" s="5"/>
      <c r="D6" s="5"/>
      <c r="E6" s="44">
        <f t="shared" ref="E6:N6" si="1">E4/E5</f>
        <v>0.29114370826333102</v>
      </c>
      <c r="F6" s="44">
        <f t="shared" si="1"/>
        <v>0.27356124377254765</v>
      </c>
      <c r="G6" s="44">
        <f t="shared" si="1"/>
        <v>0.33845913009970618</v>
      </c>
      <c r="H6" s="44">
        <f t="shared" si="1"/>
        <v>0.39052937509329261</v>
      </c>
      <c r="I6" s="44">
        <f t="shared" si="1"/>
        <v>0.47626460866485659</v>
      </c>
      <c r="J6" s="44">
        <f t="shared" si="1"/>
        <v>0.59348745574449402</v>
      </c>
      <c r="K6" s="44">
        <f t="shared" si="1"/>
        <v>0.62912376505681955</v>
      </c>
      <c r="L6" s="44">
        <f t="shared" si="1"/>
        <v>0.74382868495829124</v>
      </c>
      <c r="M6" s="44">
        <f t="shared" si="1"/>
        <v>0.65929099848223438</v>
      </c>
      <c r="N6" s="44">
        <f t="shared" si="1"/>
        <v>0.59368481705291942</v>
      </c>
      <c r="P6" s="1" t="s">
        <v>239</v>
      </c>
      <c r="Q6" s="40"/>
      <c r="R6" s="42">
        <v>41706</v>
      </c>
      <c r="S6" s="42">
        <v>46152</v>
      </c>
      <c r="T6" s="42">
        <v>45317</v>
      </c>
      <c r="U6" s="42">
        <v>51728</v>
      </c>
      <c r="V6" s="42">
        <v>49360</v>
      </c>
      <c r="W6" s="42">
        <v>51865</v>
      </c>
      <c r="X6" s="42">
        <v>50122</v>
      </c>
      <c r="Y6" s="42">
        <v>52747</v>
      </c>
      <c r="Z6" s="42">
        <v>52857</v>
      </c>
      <c r="AA6" s="42">
        <v>56189</v>
      </c>
      <c r="AB6" s="42">
        <v>56517</v>
      </c>
      <c r="AC6" s="42">
        <v>62020</v>
      </c>
      <c r="AD6" s="42">
        <v>61858</v>
      </c>
      <c r="AE6" s="42">
        <v>64727</v>
      </c>
      <c r="AF6" s="42">
        <v>65585</v>
      </c>
      <c r="AG6" s="42">
        <v>69632</v>
      </c>
      <c r="AH6" s="42">
        <v>70066</v>
      </c>
      <c r="AI6" s="42">
        <v>76441</v>
      </c>
      <c r="AJ6" s="42">
        <v>77673</v>
      </c>
    </row>
    <row r="7" spans="2:37" ht="15.6" x14ac:dyDescent="0.3">
      <c r="P7" s="1" t="s">
        <v>240</v>
      </c>
      <c r="Q7" s="40"/>
      <c r="R7" s="42">
        <v>41035.5</v>
      </c>
      <c r="S7" s="42">
        <v>44260.4</v>
      </c>
      <c r="T7" s="42">
        <v>44011.8</v>
      </c>
      <c r="U7" s="42">
        <v>50745.5</v>
      </c>
      <c r="V7" s="42">
        <v>49022.6</v>
      </c>
      <c r="W7" s="42">
        <v>52384.3</v>
      </c>
      <c r="X7" s="42">
        <v>49609.2</v>
      </c>
      <c r="Y7" s="42">
        <v>52986.7</v>
      </c>
      <c r="Z7" s="42">
        <v>51018.6</v>
      </c>
      <c r="AA7" s="42">
        <v>55485.4</v>
      </c>
      <c r="AB7" s="42">
        <v>54523.4</v>
      </c>
      <c r="AC7" s="42">
        <v>61140.9</v>
      </c>
      <c r="AD7" s="42">
        <v>60846</v>
      </c>
      <c r="AE7" s="42">
        <v>64382.3</v>
      </c>
      <c r="AF7" s="42">
        <v>64562.400000000001</v>
      </c>
      <c r="AG7" s="42">
        <v>68816.7</v>
      </c>
      <c r="AH7" s="42">
        <v>68439.899999999994</v>
      </c>
      <c r="AI7" s="42">
        <v>73961.100000000006</v>
      </c>
      <c r="AJ7" s="42">
        <v>75494.7</v>
      </c>
    </row>
    <row r="8" spans="2:37" ht="15.6" x14ac:dyDescent="0.3">
      <c r="B8" s="2" t="s">
        <v>109</v>
      </c>
      <c r="C8" s="2"/>
      <c r="D8" s="2"/>
      <c r="E8" s="72" t="s">
        <v>45</v>
      </c>
      <c r="F8" s="72"/>
      <c r="G8" s="72"/>
      <c r="H8" s="13"/>
      <c r="I8" s="13"/>
      <c r="J8" s="32" t="s">
        <v>160</v>
      </c>
      <c r="K8" s="33"/>
      <c r="L8" s="33"/>
      <c r="M8" s="33"/>
      <c r="N8" s="34"/>
      <c r="P8" s="1" t="s">
        <v>238</v>
      </c>
      <c r="Q8" s="43"/>
      <c r="R8" s="52">
        <f t="shared" ref="R8:AJ8" si="2">R6/R7-1</f>
        <v>1.633951091128405E-2</v>
      </c>
      <c r="S8" s="52">
        <f t="shared" si="2"/>
        <v>4.2737977966760266E-2</v>
      </c>
      <c r="T8" s="52">
        <f t="shared" si="2"/>
        <v>2.9655683248583253E-2</v>
      </c>
      <c r="U8" s="52">
        <f t="shared" si="2"/>
        <v>1.9361322678858262E-2</v>
      </c>
      <c r="V8" s="52">
        <f t="shared" si="2"/>
        <v>6.8825398897651713E-3</v>
      </c>
      <c r="W8" s="52">
        <f t="shared" si="2"/>
        <v>-9.9132755424813368E-3</v>
      </c>
      <c r="X8" s="52">
        <f t="shared" si="2"/>
        <v>1.0336792369157299E-2</v>
      </c>
      <c r="Y8" s="52">
        <f t="shared" si="2"/>
        <v>-4.5237767213280877E-3</v>
      </c>
      <c r="Z8" s="52">
        <f t="shared" si="2"/>
        <v>3.6033917042020081E-2</v>
      </c>
      <c r="AA8" s="52">
        <f t="shared" si="2"/>
        <v>1.2680813331074514E-2</v>
      </c>
      <c r="AB8" s="52">
        <f t="shared" si="2"/>
        <v>3.6564117424812137E-2</v>
      </c>
      <c r="AC8" s="52">
        <f t="shared" si="2"/>
        <v>1.4378263977141259E-2</v>
      </c>
      <c r="AD8" s="52">
        <f t="shared" si="2"/>
        <v>1.6632153305065289E-2</v>
      </c>
      <c r="AE8" s="52">
        <f t="shared" si="2"/>
        <v>5.353955978584235E-3</v>
      </c>
      <c r="AF8" s="52">
        <f t="shared" si="2"/>
        <v>1.5838940312008276E-2</v>
      </c>
      <c r="AG8" s="52">
        <f t="shared" si="2"/>
        <v>1.184741494433772E-2</v>
      </c>
      <c r="AH8" s="52">
        <f t="shared" si="2"/>
        <v>2.3759532085815493E-2</v>
      </c>
      <c r="AI8" s="52">
        <f t="shared" si="2"/>
        <v>3.3529787956101176E-2</v>
      </c>
      <c r="AJ8" s="52">
        <f t="shared" si="2"/>
        <v>2.8853681119336949E-2</v>
      </c>
    </row>
    <row r="9" spans="2:37" x14ac:dyDescent="0.3">
      <c r="B9" s="1" t="s">
        <v>110</v>
      </c>
      <c r="E9" s="77" t="s">
        <v>244</v>
      </c>
      <c r="F9" s="77"/>
      <c r="G9" s="77"/>
      <c r="J9" s="35" t="s">
        <v>301</v>
      </c>
      <c r="K9" s="6"/>
      <c r="L9" s="6" t="s">
        <v>59</v>
      </c>
      <c r="M9" s="6"/>
      <c r="N9" s="36"/>
    </row>
    <row r="10" spans="2:37" x14ac:dyDescent="0.3">
      <c r="B10" s="1" t="s">
        <v>189</v>
      </c>
      <c r="E10" s="17"/>
      <c r="F10" s="17"/>
      <c r="G10" s="17"/>
      <c r="J10" s="37" t="s">
        <v>165</v>
      </c>
      <c r="L10" s="1" t="s">
        <v>187</v>
      </c>
      <c r="N10" s="38"/>
      <c r="P10" s="1" t="s">
        <v>241</v>
      </c>
      <c r="S10" s="41">
        <f>AVERAGE(R5:AJ5)</f>
        <v>6.1289325986018314E-2</v>
      </c>
    </row>
    <row r="11" spans="2:37" x14ac:dyDescent="0.3">
      <c r="B11" s="1" t="s">
        <v>190</v>
      </c>
      <c r="E11" s="17"/>
      <c r="F11" s="17"/>
      <c r="G11" s="17"/>
      <c r="J11" s="37" t="s">
        <v>161</v>
      </c>
      <c r="L11" s="1" t="s">
        <v>166</v>
      </c>
      <c r="N11" s="39"/>
      <c r="O11" s="12"/>
      <c r="P11" s="1" t="s">
        <v>297</v>
      </c>
      <c r="S11" s="41">
        <f>MAX(R5:AJ5)</f>
        <v>0.13137506386794717</v>
      </c>
      <c r="T11" s="8"/>
      <c r="U11" s="8"/>
      <c r="V11" s="8"/>
    </row>
    <row r="12" spans="2:37" ht="15.6" customHeight="1" x14ac:dyDescent="0.3">
      <c r="B12" s="1" t="s">
        <v>191</v>
      </c>
      <c r="E12" s="77" t="s">
        <v>245</v>
      </c>
      <c r="F12" s="77"/>
      <c r="G12" s="77"/>
      <c r="J12" s="35" t="s">
        <v>175</v>
      </c>
      <c r="K12" s="6"/>
      <c r="L12" s="6" t="s">
        <v>180</v>
      </c>
      <c r="M12" s="6"/>
      <c r="N12" s="36"/>
      <c r="P12" s="1" t="s">
        <v>299</v>
      </c>
      <c r="S12" s="41">
        <f>MIN(R5:AJ5)</f>
        <v>-2.7152479670540686E-2</v>
      </c>
    </row>
    <row r="13" spans="2:37" ht="15.6" customHeight="1" x14ac:dyDescent="0.3">
      <c r="B13" s="1" t="s">
        <v>211</v>
      </c>
      <c r="E13" s="77" t="s">
        <v>212</v>
      </c>
      <c r="F13" s="77"/>
      <c r="G13" s="77"/>
      <c r="J13" s="37" t="s">
        <v>176</v>
      </c>
      <c r="L13" s="1" t="s">
        <v>181</v>
      </c>
      <c r="N13" s="38"/>
      <c r="P13" s="1" t="s">
        <v>242</v>
      </c>
      <c r="Q13" s="12"/>
      <c r="R13" s="12"/>
      <c r="S13" s="41">
        <f>AVERAGE(R8:AJ8)</f>
        <v>1.8228913277731369E-2</v>
      </c>
    </row>
    <row r="14" spans="2:37" ht="15.6" customHeight="1" x14ac:dyDescent="0.3">
      <c r="B14" s="1" t="s">
        <v>192</v>
      </c>
      <c r="E14" s="77" t="s">
        <v>246</v>
      </c>
      <c r="F14" s="77"/>
      <c r="G14" s="77"/>
      <c r="J14" s="37" t="s">
        <v>177</v>
      </c>
      <c r="L14" s="1" t="s">
        <v>182</v>
      </c>
      <c r="N14" s="38"/>
      <c r="P14" s="1" t="s">
        <v>298</v>
      </c>
      <c r="S14" s="41">
        <f>MAX(R8:AJ8)</f>
        <v>4.2737977966760266E-2</v>
      </c>
    </row>
    <row r="15" spans="2:37" x14ac:dyDescent="0.3">
      <c r="B15" s="1" t="s">
        <v>111</v>
      </c>
      <c r="E15" s="77" t="s">
        <v>247</v>
      </c>
      <c r="F15" s="77"/>
      <c r="G15" s="77"/>
      <c r="J15" s="35" t="s">
        <v>185</v>
      </c>
      <c r="K15" s="6"/>
      <c r="L15" s="6" t="s">
        <v>186</v>
      </c>
      <c r="M15" s="6"/>
      <c r="N15" s="36"/>
      <c r="P15" s="1" t="s">
        <v>300</v>
      </c>
      <c r="S15" s="41">
        <f>MIN(R8:AJ8)</f>
        <v>-9.9132755424813368E-3</v>
      </c>
    </row>
    <row r="16" spans="2:37" ht="15.6" customHeight="1" x14ac:dyDescent="0.3">
      <c r="B16" s="1" t="s">
        <v>112</v>
      </c>
      <c r="E16" s="77" t="s">
        <v>249</v>
      </c>
      <c r="F16" s="77"/>
      <c r="G16" s="77"/>
      <c r="J16" s="37" t="s">
        <v>178</v>
      </c>
      <c r="L16" s="1" t="s">
        <v>183</v>
      </c>
      <c r="N16" s="38"/>
    </row>
    <row r="17" spans="2:30" x14ac:dyDescent="0.3">
      <c r="B17" s="1" t="s">
        <v>113</v>
      </c>
      <c r="E17" s="77" t="s">
        <v>114</v>
      </c>
      <c r="F17" s="77"/>
      <c r="G17" s="77"/>
      <c r="J17" s="37" t="s">
        <v>179</v>
      </c>
      <c r="L17" s="1" t="s">
        <v>184</v>
      </c>
      <c r="N17" s="38"/>
    </row>
    <row r="18" spans="2:30" ht="15.6" customHeight="1" x14ac:dyDescent="0.3">
      <c r="B18" s="1" t="s">
        <v>115</v>
      </c>
      <c r="E18" s="77" t="s">
        <v>248</v>
      </c>
      <c r="F18" s="77"/>
      <c r="G18" s="77"/>
      <c r="J18" s="37" t="s">
        <v>162</v>
      </c>
      <c r="L18" s="1" t="s">
        <v>167</v>
      </c>
      <c r="N18" s="38"/>
      <c r="P18" s="8"/>
    </row>
    <row r="19" spans="2:30" ht="15.6" customHeight="1" x14ac:dyDescent="0.3">
      <c r="B19" s="1" t="s">
        <v>116</v>
      </c>
      <c r="J19" s="37" t="s">
        <v>163</v>
      </c>
      <c r="L19" s="1" t="s">
        <v>168</v>
      </c>
      <c r="N19" s="38"/>
    </row>
    <row r="20" spans="2:30" ht="15.6" customHeight="1" x14ac:dyDescent="0.3">
      <c r="B20" s="1" t="s">
        <v>117</v>
      </c>
      <c r="E20" s="77" t="s">
        <v>250</v>
      </c>
      <c r="F20" s="77"/>
      <c r="G20" s="77"/>
      <c r="J20" s="35" t="s">
        <v>164</v>
      </c>
      <c r="K20" s="6"/>
      <c r="L20" s="6" t="s">
        <v>174</v>
      </c>
      <c r="M20" s="6"/>
      <c r="N20" s="36"/>
    </row>
    <row r="21" spans="2:30" ht="15.6" customHeight="1" x14ac:dyDescent="0.3">
      <c r="B21" s="1" t="s">
        <v>118</v>
      </c>
      <c r="E21" s="77" t="s">
        <v>251</v>
      </c>
      <c r="F21" s="77"/>
      <c r="G21" s="77"/>
    </row>
    <row r="22" spans="2:30" ht="15.6" customHeight="1" x14ac:dyDescent="0.3"/>
    <row r="23" spans="2:30" ht="15.6" customHeight="1" x14ac:dyDescent="0.3">
      <c r="B23" s="2" t="s">
        <v>119</v>
      </c>
      <c r="C23" s="2"/>
      <c r="D23" s="2"/>
      <c r="E23" s="72" t="s">
        <v>45</v>
      </c>
      <c r="F23" s="72"/>
      <c r="G23" s="72"/>
    </row>
    <row r="24" spans="2:30" ht="15.6" customHeight="1" x14ac:dyDescent="0.3">
      <c r="B24" s="1" t="s">
        <v>193</v>
      </c>
      <c r="E24" s="77" t="s">
        <v>252</v>
      </c>
      <c r="F24" s="77"/>
      <c r="G24" s="77"/>
      <c r="M24" s="77"/>
      <c r="N24" s="77"/>
      <c r="O24" s="77"/>
      <c r="T24" s="77"/>
      <c r="U24" s="77"/>
      <c r="V24" s="77"/>
      <c r="Z24" s="77"/>
      <c r="AA24" s="77"/>
      <c r="AB24" s="77"/>
      <c r="AC24" s="77"/>
      <c r="AD24" s="77"/>
    </row>
    <row r="25" spans="2:30" ht="15.6" customHeight="1" x14ac:dyDescent="0.3">
      <c r="B25" s="1" t="s">
        <v>194</v>
      </c>
      <c r="E25" s="77" t="s">
        <v>253</v>
      </c>
      <c r="F25" s="77"/>
      <c r="G25" s="77"/>
      <c r="M25" s="17"/>
      <c r="N25" s="17"/>
      <c r="O25" s="17"/>
      <c r="T25" s="77"/>
      <c r="U25" s="77"/>
      <c r="V25" s="77"/>
    </row>
    <row r="26" spans="2:30" ht="15.6" customHeight="1" x14ac:dyDescent="0.3">
      <c r="B26" s="1" t="s">
        <v>195</v>
      </c>
      <c r="E26" s="77" t="s">
        <v>254</v>
      </c>
      <c r="F26" s="77"/>
      <c r="G26" s="77"/>
      <c r="M26" s="17"/>
      <c r="N26" s="17"/>
      <c r="O26" s="17"/>
      <c r="T26" s="77"/>
      <c r="U26" s="77"/>
      <c r="V26" s="77"/>
    </row>
    <row r="27" spans="2:30" ht="15.6" customHeight="1" x14ac:dyDescent="0.3">
      <c r="B27" s="1" t="s">
        <v>196</v>
      </c>
      <c r="E27" s="77" t="s">
        <v>255</v>
      </c>
      <c r="F27" s="77"/>
      <c r="G27" s="77"/>
      <c r="M27" s="77"/>
      <c r="N27" s="77"/>
      <c r="O27" s="77"/>
      <c r="T27" s="77"/>
      <c r="U27" s="77"/>
      <c r="V27" s="77"/>
      <c r="AA27" s="77"/>
      <c r="AB27" s="77"/>
      <c r="AC27" s="77"/>
    </row>
    <row r="28" spans="2:30" x14ac:dyDescent="0.3">
      <c r="B28" s="1" t="s">
        <v>197</v>
      </c>
      <c r="E28" s="77" t="s">
        <v>258</v>
      </c>
      <c r="F28" s="77"/>
      <c r="G28" s="77"/>
      <c r="M28" s="77"/>
      <c r="N28" s="77"/>
      <c r="O28" s="77"/>
      <c r="T28" s="77"/>
      <c r="U28" s="77"/>
      <c r="V28" s="77"/>
      <c r="AA28" s="77"/>
      <c r="AB28" s="77"/>
      <c r="AC28" s="77"/>
    </row>
    <row r="29" spans="2:30" ht="15.6" customHeight="1" x14ac:dyDescent="0.3">
      <c r="B29" s="1" t="s">
        <v>120</v>
      </c>
      <c r="E29" s="77" t="s">
        <v>256</v>
      </c>
      <c r="F29" s="77"/>
      <c r="G29" s="77"/>
      <c r="M29" s="77"/>
      <c r="N29" s="77"/>
      <c r="O29" s="77"/>
      <c r="T29" s="77"/>
      <c r="U29" s="77"/>
      <c r="V29" s="77"/>
      <c r="AA29" s="77"/>
      <c r="AB29" s="77"/>
      <c r="AC29" s="77"/>
    </row>
    <row r="30" spans="2:30" ht="15.6" customHeight="1" x14ac:dyDescent="0.3">
      <c r="B30" s="1" t="s">
        <v>188</v>
      </c>
      <c r="E30" s="1" t="s">
        <v>257</v>
      </c>
      <c r="M30" s="77"/>
      <c r="N30" s="77"/>
      <c r="O30" s="77"/>
      <c r="AA30" s="77"/>
      <c r="AB30" s="77"/>
      <c r="AC30" s="77"/>
    </row>
    <row r="31" spans="2:30" ht="15.6" customHeight="1" x14ac:dyDescent="0.3">
      <c r="B31" s="1" t="s">
        <v>121</v>
      </c>
      <c r="E31" s="1" t="s">
        <v>259</v>
      </c>
      <c r="M31" s="77"/>
      <c r="N31" s="77"/>
      <c r="O31" s="77"/>
      <c r="AA31" s="77"/>
      <c r="AB31" s="77"/>
      <c r="AC31" s="77"/>
    </row>
    <row r="32" spans="2:30" ht="15.6" customHeight="1" x14ac:dyDescent="0.3">
      <c r="B32" s="1" t="s">
        <v>122</v>
      </c>
      <c r="E32" s="77" t="s">
        <v>260</v>
      </c>
      <c r="F32" s="77"/>
      <c r="G32" s="77"/>
      <c r="M32" s="77"/>
      <c r="N32" s="77"/>
      <c r="O32" s="77"/>
      <c r="T32" s="77"/>
      <c r="U32" s="77"/>
      <c r="V32" s="77"/>
    </row>
    <row r="33" spans="2:30" x14ac:dyDescent="0.3">
      <c r="B33" s="1" t="s">
        <v>123</v>
      </c>
      <c r="E33" s="77" t="s">
        <v>157</v>
      </c>
      <c r="F33" s="77"/>
      <c r="G33" s="77"/>
      <c r="M33" s="77"/>
      <c r="N33" s="77"/>
      <c r="O33" s="77"/>
      <c r="T33" s="77"/>
      <c r="U33" s="77"/>
      <c r="V33" s="77"/>
      <c r="AA33" s="77"/>
      <c r="AB33" s="77"/>
      <c r="AC33" s="77"/>
    </row>
    <row r="34" spans="2:30" x14ac:dyDescent="0.3">
      <c r="B34" s="1" t="s">
        <v>124</v>
      </c>
      <c r="E34" s="77" t="s">
        <v>261</v>
      </c>
      <c r="F34" s="77"/>
      <c r="G34" s="77"/>
      <c r="T34" s="77"/>
      <c r="U34" s="77"/>
      <c r="V34" s="77"/>
      <c r="AA34" s="77"/>
      <c r="AB34" s="77"/>
      <c r="AC34" s="77"/>
    </row>
    <row r="35" spans="2:30" x14ac:dyDescent="0.3">
      <c r="B35" s="1" t="s">
        <v>125</v>
      </c>
      <c r="E35" s="77" t="s">
        <v>126</v>
      </c>
      <c r="F35" s="77"/>
      <c r="G35" s="77"/>
      <c r="M35" s="77"/>
      <c r="N35" s="77"/>
      <c r="O35" s="77"/>
      <c r="T35" s="77"/>
      <c r="U35" s="77"/>
      <c r="V35" s="77"/>
      <c r="AA35" s="77"/>
      <c r="AB35" s="77"/>
      <c r="AC35" s="77"/>
    </row>
    <row r="36" spans="2:30" x14ac:dyDescent="0.3">
      <c r="B36" s="1" t="s">
        <v>127</v>
      </c>
      <c r="E36" s="77" t="s">
        <v>156</v>
      </c>
      <c r="F36" s="77"/>
      <c r="G36" s="77"/>
      <c r="T36" s="77"/>
      <c r="U36" s="77"/>
      <c r="V36" s="77"/>
      <c r="AA36" s="17"/>
      <c r="AB36" s="17"/>
      <c r="AC36" s="17"/>
    </row>
    <row r="37" spans="2:30" ht="15.6" customHeight="1" x14ac:dyDescent="0.3">
      <c r="B37" s="1" t="s">
        <v>128</v>
      </c>
      <c r="E37" s="77" t="s">
        <v>262</v>
      </c>
      <c r="F37" s="77"/>
      <c r="G37" s="77"/>
      <c r="T37" s="77"/>
      <c r="U37" s="77"/>
      <c r="V37" s="77"/>
      <c r="Z37" s="77"/>
      <c r="AA37" s="77"/>
      <c r="AB37" s="77"/>
      <c r="AC37" s="77"/>
      <c r="AD37" s="77"/>
    </row>
    <row r="38" spans="2:30" ht="15.6" customHeight="1" x14ac:dyDescent="0.3">
      <c r="B38" s="1" t="s">
        <v>129</v>
      </c>
      <c r="E38" s="77" t="s">
        <v>263</v>
      </c>
      <c r="F38" s="77"/>
      <c r="G38" s="77"/>
      <c r="T38" s="77"/>
      <c r="U38" s="77"/>
      <c r="V38" s="77"/>
      <c r="AA38" s="17"/>
      <c r="AB38" s="17"/>
      <c r="AC38" s="17"/>
    </row>
    <row r="39" spans="2:30" ht="15.6" customHeight="1" x14ac:dyDescent="0.3">
      <c r="B39" s="1" t="s">
        <v>198</v>
      </c>
      <c r="E39" s="77" t="s">
        <v>264</v>
      </c>
      <c r="F39" s="77"/>
      <c r="G39" s="77"/>
      <c r="T39" s="77"/>
      <c r="U39" s="77"/>
      <c r="V39" s="77"/>
      <c r="AA39" s="77"/>
      <c r="AB39" s="77"/>
      <c r="AC39" s="77"/>
    </row>
    <row r="40" spans="2:30" ht="15.6" customHeight="1" x14ac:dyDescent="0.3">
      <c r="B40" s="1" t="s">
        <v>199</v>
      </c>
      <c r="E40" s="77" t="s">
        <v>265</v>
      </c>
      <c r="F40" s="77"/>
      <c r="G40" s="77"/>
      <c r="T40" s="77"/>
      <c r="U40" s="77"/>
      <c r="V40" s="77"/>
    </row>
    <row r="41" spans="2:30" ht="15.6" customHeight="1" x14ac:dyDescent="0.3">
      <c r="B41" s="1" t="s">
        <v>200</v>
      </c>
      <c r="E41" s="77" t="s">
        <v>266</v>
      </c>
      <c r="F41" s="77"/>
      <c r="G41" s="77"/>
      <c r="T41" s="77"/>
      <c r="U41" s="77"/>
      <c r="V41" s="77"/>
    </row>
    <row r="42" spans="2:30" ht="15.6" customHeight="1" x14ac:dyDescent="0.3">
      <c r="B42" s="1" t="s">
        <v>201</v>
      </c>
      <c r="E42" s="77" t="s">
        <v>267</v>
      </c>
      <c r="F42" s="77"/>
      <c r="G42" s="77"/>
      <c r="T42" s="77"/>
      <c r="U42" s="77"/>
      <c r="V42" s="77"/>
    </row>
    <row r="43" spans="2:30" ht="15.6" customHeight="1" x14ac:dyDescent="0.3">
      <c r="B43" s="1" t="s">
        <v>202</v>
      </c>
      <c r="E43" s="77" t="s">
        <v>268</v>
      </c>
      <c r="F43" s="77"/>
      <c r="G43" s="77"/>
      <c r="T43" s="77"/>
      <c r="U43" s="77"/>
      <c r="V43" s="77"/>
    </row>
    <row r="44" spans="2:30" x14ac:dyDescent="0.3">
      <c r="B44" s="1" t="s">
        <v>203</v>
      </c>
      <c r="F44" s="1" t="s">
        <v>269</v>
      </c>
    </row>
    <row r="45" spans="2:30" x14ac:dyDescent="0.3">
      <c r="B45" s="1" t="s">
        <v>130</v>
      </c>
      <c r="F45" s="1" t="s">
        <v>270</v>
      </c>
    </row>
    <row r="46" spans="2:30" ht="15.6" customHeight="1" x14ac:dyDescent="0.3">
      <c r="B46" s="1" t="s">
        <v>131</v>
      </c>
      <c r="E46" s="77" t="s">
        <v>271</v>
      </c>
      <c r="F46" s="77"/>
      <c r="G46" s="77"/>
      <c r="T46" s="77"/>
      <c r="U46" s="77"/>
      <c r="V46" s="77"/>
    </row>
    <row r="47" spans="2:30" ht="15.6" customHeight="1" x14ac:dyDescent="0.3">
      <c r="B47" s="1" t="s">
        <v>132</v>
      </c>
      <c r="E47" s="77" t="s">
        <v>272</v>
      </c>
      <c r="F47" s="77"/>
      <c r="G47" s="77"/>
      <c r="T47" s="77"/>
      <c r="U47" s="77"/>
      <c r="V47" s="77"/>
    </row>
    <row r="48" spans="2:30" ht="15.6" customHeight="1" x14ac:dyDescent="0.3">
      <c r="B48" s="1" t="s">
        <v>133</v>
      </c>
      <c r="E48" s="77" t="s">
        <v>273</v>
      </c>
      <c r="F48" s="77"/>
      <c r="G48" s="77"/>
      <c r="T48" s="77"/>
      <c r="U48" s="77"/>
      <c r="V48" s="77"/>
    </row>
    <row r="49" spans="2:22" x14ac:dyDescent="0.3">
      <c r="B49" s="1" t="s">
        <v>134</v>
      </c>
      <c r="E49" s="77" t="s">
        <v>274</v>
      </c>
      <c r="F49" s="77"/>
      <c r="G49" s="77"/>
      <c r="T49" s="77"/>
      <c r="U49" s="77"/>
      <c r="V49" s="77"/>
    </row>
    <row r="50" spans="2:22" x14ac:dyDescent="0.3">
      <c r="B50" s="1" t="s">
        <v>135</v>
      </c>
      <c r="E50" s="77" t="s">
        <v>145</v>
      </c>
      <c r="F50" s="77"/>
      <c r="G50" s="77"/>
      <c r="T50" s="77"/>
      <c r="U50" s="77"/>
      <c r="V50" s="77"/>
    </row>
    <row r="51" spans="2:22" x14ac:dyDescent="0.3">
      <c r="B51" s="1" t="s">
        <v>158</v>
      </c>
      <c r="E51" s="17"/>
      <c r="F51" s="17" t="s">
        <v>159</v>
      </c>
      <c r="G51" s="17"/>
      <c r="T51" s="17"/>
      <c r="U51" s="17"/>
      <c r="V51" s="17"/>
    </row>
    <row r="53" spans="2:22" x14ac:dyDescent="0.3">
      <c r="B53" s="2" t="s">
        <v>136</v>
      </c>
      <c r="C53" s="2"/>
      <c r="D53" s="2"/>
      <c r="E53" s="72" t="s">
        <v>45</v>
      </c>
      <c r="F53" s="72"/>
      <c r="G53" s="72"/>
    </row>
    <row r="54" spans="2:22" ht="15.6" customHeight="1" x14ac:dyDescent="0.3">
      <c r="B54" s="1" t="s">
        <v>137</v>
      </c>
      <c r="E54" s="1" t="s">
        <v>275</v>
      </c>
    </row>
    <row r="55" spans="2:22" ht="15.6" customHeight="1" x14ac:dyDescent="0.3">
      <c r="B55" s="1" t="s">
        <v>142</v>
      </c>
      <c r="E55" s="77" t="s">
        <v>276</v>
      </c>
      <c r="F55" s="77"/>
      <c r="G55" s="77"/>
    </row>
    <row r="56" spans="2:22" x14ac:dyDescent="0.3">
      <c r="B56" s="1" t="s">
        <v>144</v>
      </c>
      <c r="E56" s="1" t="s">
        <v>146</v>
      </c>
    </row>
    <row r="57" spans="2:22" ht="15.6" customHeight="1" x14ac:dyDescent="0.3">
      <c r="B57" s="1" t="s">
        <v>138</v>
      </c>
      <c r="E57" s="77" t="s">
        <v>277</v>
      </c>
      <c r="F57" s="77"/>
      <c r="G57" s="77"/>
    </row>
    <row r="58" spans="2:22" ht="15.6" customHeight="1" x14ac:dyDescent="0.3">
      <c r="B58" s="1" t="s">
        <v>139</v>
      </c>
      <c r="E58" s="77" t="s">
        <v>278</v>
      </c>
      <c r="F58" s="77"/>
      <c r="G58" s="77"/>
    </row>
    <row r="59" spans="2:22" ht="15.6" customHeight="1" x14ac:dyDescent="0.3">
      <c r="B59" s="1" t="s">
        <v>140</v>
      </c>
      <c r="E59" s="77" t="s">
        <v>279</v>
      </c>
      <c r="F59" s="77"/>
      <c r="G59" s="77"/>
    </row>
    <row r="60" spans="2:22" x14ac:dyDescent="0.3">
      <c r="B60" s="1" t="s">
        <v>141</v>
      </c>
      <c r="E60" s="77" t="s">
        <v>281</v>
      </c>
      <c r="F60" s="77"/>
      <c r="G60" s="77"/>
    </row>
    <row r="61" spans="2:22" x14ac:dyDescent="0.3">
      <c r="B61" s="1" t="s">
        <v>209</v>
      </c>
      <c r="E61" s="77" t="s">
        <v>210</v>
      </c>
      <c r="F61" s="77"/>
      <c r="G61" s="77"/>
    </row>
    <row r="62" spans="2:22" x14ac:dyDescent="0.3">
      <c r="B62" s="1" t="s">
        <v>208</v>
      </c>
      <c r="E62" s="1" t="s">
        <v>280</v>
      </c>
    </row>
    <row r="63" spans="2:22" ht="15.6" customHeight="1" x14ac:dyDescent="0.3">
      <c r="B63" s="1" t="s">
        <v>143</v>
      </c>
      <c r="E63" s="77" t="s">
        <v>282</v>
      </c>
      <c r="F63" s="77"/>
      <c r="G63" s="77"/>
    </row>
    <row r="64" spans="2:22" x14ac:dyDescent="0.3">
      <c r="B64" s="1" t="s">
        <v>169</v>
      </c>
      <c r="E64" s="77" t="s">
        <v>283</v>
      </c>
      <c r="F64" s="77"/>
      <c r="G64" s="77"/>
    </row>
    <row r="65" spans="2:8" x14ac:dyDescent="0.3">
      <c r="B65" s="1" t="s">
        <v>204</v>
      </c>
      <c r="E65" s="77" t="s">
        <v>284</v>
      </c>
      <c r="F65" s="77"/>
      <c r="G65" s="77"/>
    </row>
    <row r="66" spans="2:8" x14ac:dyDescent="0.3">
      <c r="B66" s="1" t="s">
        <v>205</v>
      </c>
      <c r="E66" s="17"/>
      <c r="F66" s="17" t="s">
        <v>285</v>
      </c>
      <c r="G66" s="17"/>
    </row>
    <row r="67" spans="2:8" ht="15.6" customHeight="1" x14ac:dyDescent="0.3">
      <c r="B67" s="1" t="s">
        <v>206</v>
      </c>
      <c r="D67" s="77" t="s">
        <v>286</v>
      </c>
      <c r="E67" s="77"/>
      <c r="F67" s="77"/>
      <c r="G67" s="77"/>
      <c r="H67" s="77"/>
    </row>
    <row r="68" spans="2:8" x14ac:dyDescent="0.3">
      <c r="B68" s="1" t="s">
        <v>207</v>
      </c>
      <c r="E68" s="17"/>
      <c r="F68" s="17" t="s">
        <v>287</v>
      </c>
      <c r="G68" s="17"/>
    </row>
    <row r="69" spans="2:8" ht="15.6" customHeight="1" x14ac:dyDescent="0.3">
      <c r="B69" s="1" t="s">
        <v>170</v>
      </c>
      <c r="E69" s="77" t="s">
        <v>288</v>
      </c>
      <c r="F69" s="77"/>
      <c r="G69" s="77"/>
    </row>
    <row r="71" spans="2:8" x14ac:dyDescent="0.3">
      <c r="B71" s="2" t="s">
        <v>171</v>
      </c>
      <c r="C71" s="2"/>
      <c r="D71" s="2"/>
      <c r="E71" s="30" t="s">
        <v>172</v>
      </c>
      <c r="F71" s="30" t="s">
        <v>173</v>
      </c>
    </row>
    <row r="72" spans="2:8" x14ac:dyDescent="0.3">
      <c r="B72" s="1" t="s">
        <v>147</v>
      </c>
      <c r="E72" s="45" t="s">
        <v>148</v>
      </c>
      <c r="F72" s="31">
        <v>45212</v>
      </c>
    </row>
    <row r="73" spans="2:8" x14ac:dyDescent="0.3">
      <c r="B73" s="1" t="s">
        <v>289</v>
      </c>
      <c r="E73" s="45" t="s">
        <v>290</v>
      </c>
      <c r="F73" s="31">
        <v>44949</v>
      </c>
    </row>
    <row r="74" spans="2:8" x14ac:dyDescent="0.3">
      <c r="B74" s="1" t="s">
        <v>149</v>
      </c>
      <c r="E74" s="45" t="s">
        <v>154</v>
      </c>
      <c r="F74" s="31">
        <v>44677</v>
      </c>
    </row>
    <row r="75" spans="2:8" x14ac:dyDescent="0.3">
      <c r="B75" s="1" t="s">
        <v>150</v>
      </c>
      <c r="E75" s="45" t="s">
        <v>155</v>
      </c>
      <c r="F75" s="31">
        <v>44624</v>
      </c>
    </row>
    <row r="76" spans="2:8" x14ac:dyDescent="0.3">
      <c r="B76" s="1" t="s">
        <v>151</v>
      </c>
      <c r="E76" s="45" t="s">
        <v>152</v>
      </c>
      <c r="F76" s="31">
        <v>44264</v>
      </c>
    </row>
    <row r="77" spans="2:8" x14ac:dyDescent="0.3">
      <c r="B77" s="1" t="s">
        <v>293</v>
      </c>
      <c r="E77" s="45" t="s">
        <v>294</v>
      </c>
      <c r="F77" s="31">
        <v>43668</v>
      </c>
    </row>
    <row r="78" spans="2:8" x14ac:dyDescent="0.3">
      <c r="B78" s="1" t="s">
        <v>291</v>
      </c>
      <c r="E78" s="45" t="s">
        <v>292</v>
      </c>
      <c r="F78" s="31">
        <v>43399</v>
      </c>
    </row>
    <row r="79" spans="2:8" x14ac:dyDescent="0.3">
      <c r="B79" s="1" t="s">
        <v>295</v>
      </c>
      <c r="E79" s="45" t="s">
        <v>296</v>
      </c>
      <c r="F79" s="31">
        <v>41897</v>
      </c>
    </row>
    <row r="80" spans="2:8" x14ac:dyDescent="0.3">
      <c r="B80" s="1" t="s">
        <v>153</v>
      </c>
      <c r="E80" s="17"/>
      <c r="F80" s="1">
        <v>2014</v>
      </c>
    </row>
  </sheetData>
  <sortState xmlns:xlrd2="http://schemas.microsoft.com/office/spreadsheetml/2017/richdata2" ref="B72:F80">
    <sortCondition descending="1" ref="F72:F80"/>
  </sortState>
  <mergeCells count="90">
    <mergeCell ref="E69:G69"/>
    <mergeCell ref="E60:G60"/>
    <mergeCell ref="E63:G63"/>
    <mergeCell ref="E65:G65"/>
    <mergeCell ref="D67:H67"/>
    <mergeCell ref="E64:G64"/>
    <mergeCell ref="E61:G61"/>
    <mergeCell ref="E55:G55"/>
    <mergeCell ref="E57:G57"/>
    <mergeCell ref="E58:G58"/>
    <mergeCell ref="E59:G59"/>
    <mergeCell ref="E42:G42"/>
    <mergeCell ref="E43:G43"/>
    <mergeCell ref="E46:G46"/>
    <mergeCell ref="E47:G47"/>
    <mergeCell ref="E48:G48"/>
    <mergeCell ref="E32:G32"/>
    <mergeCell ref="E34:G34"/>
    <mergeCell ref="E24:G24"/>
    <mergeCell ref="E25:G25"/>
    <mergeCell ref="E26:G26"/>
    <mergeCell ref="E27:G27"/>
    <mergeCell ref="E29:G29"/>
    <mergeCell ref="E28:G28"/>
    <mergeCell ref="E36:G36"/>
    <mergeCell ref="E49:G49"/>
    <mergeCell ref="E50:G50"/>
    <mergeCell ref="E53:G53"/>
    <mergeCell ref="E33:G33"/>
    <mergeCell ref="E35:G35"/>
    <mergeCell ref="E37:G37"/>
    <mergeCell ref="E38:G38"/>
    <mergeCell ref="E39:G39"/>
    <mergeCell ref="E40:G40"/>
    <mergeCell ref="E41:G41"/>
    <mergeCell ref="E8:G8"/>
    <mergeCell ref="E17:G17"/>
    <mergeCell ref="E9:G9"/>
    <mergeCell ref="E15:G15"/>
    <mergeCell ref="E23:G23"/>
    <mergeCell ref="E12:G12"/>
    <mergeCell ref="E21:G21"/>
    <mergeCell ref="E13:G13"/>
    <mergeCell ref="E16:G16"/>
    <mergeCell ref="E14:G14"/>
    <mergeCell ref="E18:G18"/>
    <mergeCell ref="E20:G20"/>
    <mergeCell ref="M32:O32"/>
    <mergeCell ref="M33:O33"/>
    <mergeCell ref="M35:O35"/>
    <mergeCell ref="M24:O24"/>
    <mergeCell ref="M27:O27"/>
    <mergeCell ref="M28:O28"/>
    <mergeCell ref="M29:O29"/>
    <mergeCell ref="T24:V24"/>
    <mergeCell ref="T25:V25"/>
    <mergeCell ref="T26:V26"/>
    <mergeCell ref="M30:O30"/>
    <mergeCell ref="M31:O31"/>
    <mergeCell ref="T27:V27"/>
    <mergeCell ref="T28:V28"/>
    <mergeCell ref="T29:V29"/>
    <mergeCell ref="T32:V32"/>
    <mergeCell ref="T33:V33"/>
    <mergeCell ref="T34:V34"/>
    <mergeCell ref="T35:V35"/>
    <mergeCell ref="T36:V36"/>
    <mergeCell ref="T47:V47"/>
    <mergeCell ref="T48:V48"/>
    <mergeCell ref="T37:V37"/>
    <mergeCell ref="T38:V38"/>
    <mergeCell ref="T39:V39"/>
    <mergeCell ref="T40:V40"/>
    <mergeCell ref="T41:V41"/>
    <mergeCell ref="T49:V49"/>
    <mergeCell ref="T50:V50"/>
    <mergeCell ref="Z37:AD37"/>
    <mergeCell ref="AA39:AC39"/>
    <mergeCell ref="Z24:AD24"/>
    <mergeCell ref="AA30:AC30"/>
    <mergeCell ref="AA31:AC31"/>
    <mergeCell ref="AA33:AC33"/>
    <mergeCell ref="AA34:AC34"/>
    <mergeCell ref="AA35:AC35"/>
    <mergeCell ref="AA27:AC27"/>
    <mergeCell ref="AA28:AC28"/>
    <mergeCell ref="AA29:AC29"/>
    <mergeCell ref="T42:V42"/>
    <mergeCell ref="T43:V43"/>
    <mergeCell ref="T46:V46"/>
  </mergeCells>
  <conditionalFormatting sqref="R5:AJ5">
    <cfRule type="colorScale" priority="3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R8:AJ8">
    <cfRule type="colorScale" priority="2">
      <colorScale>
        <cfvo type="min"/>
        <cfvo type="num" val="0"/>
        <cfvo type="max"/>
        <color rgb="FFFF0000"/>
        <color theme="2"/>
        <color rgb="FF00B050"/>
      </colorScale>
    </cfRule>
  </conditionalFormatting>
  <conditionalFormatting sqref="S10:S15">
    <cfRule type="colorScale" priority="6">
      <colorScale>
        <cfvo type="min"/>
        <cfvo type="num" val="0"/>
        <cfvo type="max"/>
        <color rgb="FFFF0000"/>
        <color theme="2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Segments</vt:lpstr>
      <vt:lpstr>Extras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2026-01-02T23:21:27Z</dcterms:created>
  <dcterms:modified xsi:type="dcterms:W3CDTF">2026-02-18T04:22:43Z</dcterms:modified>
</cp:coreProperties>
</file>