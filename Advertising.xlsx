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Financial Models\"/>
    </mc:Choice>
  </mc:AlternateContent>
  <xr:revisionPtr revIDLastSave="0" documentId="13_ncr:1_{833A1B46-4D16-4212-B9F8-3B290C8342F3}" xr6:coauthVersionLast="47" xr6:coauthVersionMax="47" xr10:uidLastSave="{00000000-0000-0000-0000-000000000000}"/>
  <bookViews>
    <workbookView xWindow="35796" yWindow="1764" windowWidth="22824" windowHeight="12252" activeTab="1" xr2:uid="{00000000-000D-0000-FFFF-FFFF00000000}"/>
  </bookViews>
  <sheets>
    <sheet name="Sheet1" sheetId="1" r:id="rId1"/>
    <sheet name="Ad Sales Cha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" i="1" l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Y48" i="2"/>
  <c r="Z48" i="2"/>
  <c r="AA48" i="2"/>
  <c r="Y37" i="2"/>
  <c r="Y38" i="2"/>
  <c r="Y39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G22" i="1"/>
  <c r="F22" i="1"/>
  <c r="E22" i="1"/>
  <c r="D22" i="1"/>
  <c r="H22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AF62" i="2" l="1"/>
  <c r="AH62" i="2"/>
  <c r="AI62" i="2"/>
  <c r="AD62" i="2"/>
  <c r="AC62" i="2"/>
  <c r="AG62" i="2"/>
  <c r="AE62" i="2"/>
  <c r="AG67" i="2"/>
  <c r="AE69" i="2"/>
  <c r="AD68" i="2"/>
  <c r="AE67" i="2"/>
  <c r="AI67" i="2"/>
  <c r="AC69" i="2"/>
  <c r="AI69" i="2"/>
  <c r="AC68" i="2"/>
  <c r="AF67" i="2"/>
  <c r="AF69" i="2"/>
  <c r="AL69" i="2"/>
  <c r="AJ68" i="2"/>
  <c r="AJ67" i="2"/>
  <c r="AJ69" i="2"/>
  <c r="AE68" i="2"/>
  <c r="AI68" i="2"/>
  <c r="AM67" i="2"/>
  <c r="AN69" i="2"/>
  <c r="AG68" i="2"/>
  <c r="AN68" i="2"/>
  <c r="AK67" i="2"/>
  <c r="AG69" i="2"/>
  <c r="AM69" i="2"/>
  <c r="AF68" i="2"/>
  <c r="AD67" i="2"/>
  <c r="AN67" i="2"/>
  <c r="AJ62" i="2"/>
  <c r="AD69" i="2"/>
  <c r="AH69" i="2"/>
  <c r="AK69" i="2"/>
  <c r="AH68" i="2"/>
  <c r="AK68" i="2"/>
  <c r="AH67" i="2"/>
  <c r="AL67" i="2"/>
  <c r="AL68" i="2"/>
  <c r="AM68" i="2"/>
  <c r="AC67" i="2"/>
  <c r="AK62" i="2"/>
  <c r="AC61" i="2"/>
  <c r="AD61" i="2"/>
  <c r="AE61" i="2"/>
  <c r="AF61" i="2"/>
  <c r="AG61" i="2"/>
  <c r="AH61" i="2"/>
  <c r="AI61" i="2"/>
  <c r="AJ61" i="2"/>
  <c r="AK61" i="2"/>
  <c r="AC60" i="2"/>
  <c r="AD60" i="2"/>
  <c r="AE60" i="2"/>
  <c r="AF60" i="2"/>
  <c r="AG60" i="2"/>
  <c r="AH60" i="2"/>
  <c r="AI60" i="2"/>
  <c r="AJ60" i="2"/>
  <c r="AK60" i="2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Y33" i="2"/>
  <c r="Z33" i="2"/>
  <c r="AA33" i="2"/>
  <c r="Z27" i="2"/>
  <c r="AC27" i="2"/>
  <c r="AE27" i="2"/>
  <c r="AH27" i="2"/>
  <c r="AJ27" i="2"/>
  <c r="AB33" i="2"/>
  <c r="AC33" i="2"/>
  <c r="AD33" i="2"/>
  <c r="AE33" i="2"/>
  <c r="AF33" i="2"/>
  <c r="AG33" i="2"/>
  <c r="AH33" i="2"/>
  <c r="AI33" i="2"/>
  <c r="AJ33" i="2"/>
  <c r="AK33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Y27" i="2"/>
  <c r="AA27" i="2"/>
  <c r="AB27" i="2"/>
  <c r="AD27" i="2"/>
  <c r="AF27" i="2"/>
  <c r="AG27" i="2"/>
  <c r="AI27" i="2"/>
  <c r="AK27" i="2"/>
  <c r="Y12" i="2"/>
  <c r="Z12" i="2"/>
  <c r="AB12" i="2"/>
  <c r="AC12" i="2"/>
  <c r="AD12" i="2"/>
  <c r="AE12" i="2"/>
  <c r="AF12" i="2"/>
  <c r="AG12" i="2"/>
  <c r="Y13" i="2"/>
  <c r="Z13" i="2"/>
  <c r="AA13" i="2"/>
  <c r="AB13" i="2"/>
  <c r="AC13" i="2"/>
  <c r="AD13" i="2"/>
  <c r="AE13" i="2"/>
  <c r="AF13" i="2"/>
  <c r="AG13" i="2"/>
  <c r="Y14" i="2"/>
  <c r="AA14" i="2"/>
  <c r="AB14" i="2"/>
  <c r="AC14" i="2"/>
  <c r="AD14" i="2"/>
  <c r="AF14" i="2"/>
  <c r="AG14" i="2"/>
  <c r="AA12" i="2"/>
  <c r="Z14" i="2"/>
  <c r="AE14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W23" i="1"/>
  <c r="V23" i="1"/>
  <c r="U23" i="1"/>
  <c r="T23" i="1"/>
  <c r="S23" i="1"/>
  <c r="R23" i="1"/>
  <c r="Q23" i="1"/>
  <c r="P23" i="1"/>
  <c r="AG15" i="2" s="1"/>
  <c r="O23" i="1"/>
  <c r="AF15" i="2" s="1"/>
  <c r="N23" i="1"/>
  <c r="AE15" i="2" s="1"/>
  <c r="M23" i="1"/>
  <c r="AD15" i="2" s="1"/>
  <c r="L23" i="1"/>
  <c r="AC15" i="2" s="1"/>
  <c r="K23" i="1"/>
  <c r="AB15" i="2" s="1"/>
  <c r="J23" i="1"/>
  <c r="AA15" i="2" s="1"/>
  <c r="I23" i="1"/>
  <c r="Z15" i="2" s="1"/>
  <c r="H23" i="1"/>
  <c r="Y15" i="2" s="1"/>
  <c r="W16" i="1"/>
  <c r="V16" i="1"/>
  <c r="U16" i="1"/>
  <c r="T16" i="1"/>
  <c r="S16" i="1"/>
  <c r="P11" i="1"/>
  <c r="L11" i="1"/>
  <c r="AG20" i="2" s="1"/>
  <c r="E11" i="1"/>
  <c r="Z20" i="2" s="1"/>
  <c r="H6" i="1"/>
  <c r="AC19" i="2" s="1"/>
  <c r="R16" i="1"/>
  <c r="Q16" i="1"/>
  <c r="P16" i="1"/>
  <c r="O16" i="1"/>
  <c r="AJ21" i="2" s="1"/>
  <c r="N16" i="1"/>
  <c r="AI21" i="2" s="1"/>
  <c r="H16" i="1"/>
  <c r="AC21" i="2" s="1"/>
  <c r="E16" i="1"/>
  <c r="Z21" i="2" s="1"/>
  <c r="V11" i="1"/>
  <c r="O11" i="1"/>
  <c r="AJ20" i="2" s="1"/>
  <c r="J11" i="1"/>
  <c r="AE20" i="2" s="1"/>
  <c r="G11" i="1"/>
  <c r="AB20" i="2" s="1"/>
  <c r="D11" i="1"/>
  <c r="Y20" i="2" s="1"/>
  <c r="S6" i="1"/>
  <c r="J6" i="1"/>
  <c r="AE19" i="2" s="1"/>
  <c r="M16" i="1"/>
  <c r="AH21" i="2" s="1"/>
  <c r="L16" i="1"/>
  <c r="AG21" i="2" s="1"/>
  <c r="K16" i="1"/>
  <c r="AF21" i="2" s="1"/>
  <c r="J16" i="1"/>
  <c r="AE21" i="2" s="1"/>
  <c r="I16" i="1"/>
  <c r="AD21" i="2" s="1"/>
  <c r="F16" i="1"/>
  <c r="AA21" i="2" s="1"/>
  <c r="D16" i="1"/>
  <c r="Y21" i="2" s="1"/>
  <c r="U11" i="1"/>
  <c r="S11" i="1"/>
  <c r="N11" i="1"/>
  <c r="AI20" i="2" s="1"/>
  <c r="I11" i="1"/>
  <c r="AD20" i="2" s="1"/>
  <c r="O6" i="1"/>
  <c r="AJ19" i="2" s="1"/>
  <c r="K6" i="1"/>
  <c r="AF19" i="2" s="1"/>
  <c r="D6" i="1"/>
  <c r="Y19" i="2" s="1"/>
  <c r="G16" i="1"/>
  <c r="AB21" i="2" s="1"/>
  <c r="T11" i="1"/>
  <c r="Q11" i="1"/>
  <c r="K11" i="1"/>
  <c r="AF20" i="2" s="1"/>
  <c r="P6" i="1"/>
  <c r="M6" i="1"/>
  <c r="AH19" i="2" s="1"/>
  <c r="G6" i="1"/>
  <c r="AB19" i="2" s="1"/>
  <c r="W11" i="1"/>
  <c r="M11" i="1"/>
  <c r="AH20" i="2" s="1"/>
  <c r="H11" i="1"/>
  <c r="AC20" i="2" s="1"/>
  <c r="F11" i="1"/>
  <c r="AA20" i="2" s="1"/>
  <c r="I6" i="1"/>
  <c r="AD19" i="2" s="1"/>
  <c r="U6" i="1"/>
  <c r="F6" i="1"/>
  <c r="AA19" i="2" s="1"/>
  <c r="R11" i="1"/>
  <c r="W6" i="1"/>
  <c r="T6" i="1"/>
  <c r="Q6" i="1"/>
  <c r="L6" i="1"/>
  <c r="AG19" i="2" s="1"/>
  <c r="R6" i="1"/>
  <c r="E6" i="1"/>
  <c r="Z19" i="2" s="1"/>
  <c r="V6" i="1"/>
  <c r="N6" i="1"/>
  <c r="AI19" i="2" s="1"/>
  <c r="AC63" i="2" l="1"/>
  <c r="AD63" i="2"/>
  <c r="AD73" i="2"/>
  <c r="AE63" i="2"/>
  <c r="AF63" i="2"/>
  <c r="AG73" i="2"/>
  <c r="AG63" i="2"/>
  <c r="AH63" i="2"/>
  <c r="AI63" i="2"/>
  <c r="AI73" i="2"/>
  <c r="AJ63" i="2"/>
  <c r="AK63" i="2"/>
  <c r="Z51" i="2"/>
  <c r="Y44" i="2"/>
  <c r="AK20" i="2"/>
  <c r="Y45" i="2"/>
  <c r="AA51" i="2"/>
  <c r="AK21" i="2"/>
  <c r="Y43" i="2"/>
  <c r="AK19" i="2"/>
  <c r="Y51" i="2"/>
  <c r="AC73" i="2" l="1"/>
  <c r="AC74" i="2"/>
  <c r="AC76" i="2" s="1"/>
  <c r="AC75" i="2"/>
  <c r="AD74" i="2"/>
  <c r="AD75" i="2"/>
  <c r="AE75" i="2"/>
  <c r="AE74" i="2"/>
  <c r="AF74" i="2"/>
  <c r="AF75" i="2"/>
  <c r="AG75" i="2"/>
  <c r="AG74" i="2"/>
  <c r="AG76" i="2" s="1"/>
  <c r="AH74" i="2"/>
  <c r="AH75" i="2"/>
  <c r="AI75" i="2"/>
  <c r="AI74" i="2"/>
  <c r="AI76" i="2" s="1"/>
  <c r="AJ75" i="2"/>
  <c r="AJ74" i="2"/>
  <c r="AK74" i="2"/>
  <c r="AK75" i="2"/>
  <c r="AE73" i="2"/>
  <c r="AF73" i="2"/>
  <c r="AH73" i="2"/>
  <c r="AH76" i="2" s="1"/>
  <c r="AJ73" i="2"/>
  <c r="AJ76" i="2" s="1"/>
  <c r="AK73" i="2"/>
  <c r="AK76" i="2" s="1"/>
  <c r="AD76" i="2" l="1"/>
  <c r="AF76" i="2"/>
  <c r="AE76" i="2"/>
</calcChain>
</file>

<file path=xl/sharedStrings.xml><?xml version="1.0" encoding="utf-8"?>
<sst xmlns="http://schemas.openxmlformats.org/spreadsheetml/2006/main" count="216" uniqueCount="53">
  <si>
    <t>Advertising Sales</t>
  </si>
  <si>
    <t>Google</t>
  </si>
  <si>
    <t>Q1</t>
  </si>
  <si>
    <t>Q2</t>
  </si>
  <si>
    <t>Q3</t>
  </si>
  <si>
    <t>Q4</t>
  </si>
  <si>
    <t>Q3E</t>
  </si>
  <si>
    <t>Q2E</t>
  </si>
  <si>
    <t>Q4E</t>
  </si>
  <si>
    <t>Q1E</t>
  </si>
  <si>
    <t>Meta</t>
  </si>
  <si>
    <t>Amazon</t>
  </si>
  <si>
    <t>Total</t>
  </si>
  <si>
    <t>% growth</t>
  </si>
  <si>
    <t>% of total</t>
  </si>
  <si>
    <t>Google/Meta</t>
  </si>
  <si>
    <t>Google/Amazon</t>
  </si>
  <si>
    <t>Meta/Google</t>
  </si>
  <si>
    <t>Meta/Amazon</t>
  </si>
  <si>
    <t>Amazon/Google</t>
  </si>
  <si>
    <t>Amazon/Meta</t>
  </si>
  <si>
    <t>Quarterly Sales ($mm)</t>
  </si>
  <si>
    <t>Metric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</si>
  <si>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</si>
  <si>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</si>
  <si>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</si>
  <si>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</si>
  <si>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</si>
  <si>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</si>
  <si>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</si>
  <si>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</si>
  <si>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</si>
  <si>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</si>
  <si>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</si>
  <si>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</si>
  <si>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</si>
  <si>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YoY Growth (%)</t>
  </si>
  <si>
    <t>% of Total Sales</t>
  </si>
  <si>
    <t>Latest Actual Sales (2026 Q1)</t>
  </si>
  <si>
    <t>Company</t>
  </si>
  <si>
    <t>Latest % of Total (2026 Q1)</t>
  </si>
  <si>
    <t>2026 Q1 Sales</t>
  </si>
  <si>
    <t>2026 Q1 % Total</t>
  </si>
  <si>
    <t>Amazon/Meta Specific Ratio</t>
  </si>
  <si>
    <t>Scale Ratios - Core Peer Set</t>
  </si>
  <si>
    <t>Scale Ratios - Amazon Relative Scale</t>
  </si>
  <si>
    <t>Date</t>
  </si>
  <si>
    <t>% Change</t>
  </si>
  <si>
    <t>AppLovin</t>
  </si>
  <si>
    <t>YoY $ Growth ($mm)</t>
  </si>
  <si>
    <t>QoQ $ Growth ($mm)</t>
  </si>
  <si>
    <t>% of Incremental Advertising Sales (YoY New $)</t>
  </si>
  <si>
    <t>Check: sums to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</si>
</sst>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#,##0;\(#,##0\)"/>
    <numFmt numFmtId="166" formatCode="0.0%"/>
  </numFmts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1D2330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2222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50A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ck">
        <color rgb="FF1D2330"/>
      </top>
      <bottom style="thin">
        <color rgb="FF80808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1" fillId="2" borderId="0" xfId="0" applyFont="1" applyFill="1"/>
    <xf numFmtId="3" fontId="0" fillId="0" borderId="0" xfId="0" applyNumberFormat="1"/>
    <xf numFmtId="9" fontId="5" fillId="0" borderId="0" xfId="0" applyNumberFormat="1" applyFont="1"/>
    <xf numFmtId="0" fontId="5" fillId="0" borderId="0" xfId="0" applyFont="1"/>
    <xf numFmtId="0" fontId="4" fillId="0" borderId="0" xfId="0" applyFont="1"/>
    <xf numFmtId="3" fontId="4" fillId="0" borderId="0" xfId="0" applyNumberFormat="1" applyFont="1"/>
    <xf numFmtId="3" fontId="0" fillId="5" borderId="0" xfId="0" applyNumberFormat="1" applyFill="1"/>
    <xf numFmtId="9" fontId="5" fillId="5" borderId="0" xfId="0" applyNumberFormat="1" applyFont="1" applyFill="1"/>
    <xf numFmtId="3" fontId="4" fillId="5" borderId="0" xfId="0" applyNumberFormat="1" applyFont="1" applyFill="1"/>
    <xf numFmtId="0" fontId="0" fillId="5" borderId="0" xfId="0" applyFill="1"/>
    <xf numFmtId="0" fontId="9" fillId="6" borderId="0" xfId="0" applyFont="1" applyFill="1" applyAlignment="1">
      <alignment horizontal="right"/>
    </xf>
    <xf numFmtId="0" fontId="10" fillId="7" borderId="0" xfId="0" applyFont="1" applyFill="1" applyAlignment="1">
      <alignment horizontal="right"/>
    </xf>
    <xf numFmtId="0" fontId="11" fillId="0" borderId="0" xfId="0" applyFont="1" applyAlignment="1">
      <alignment horizontal="right"/>
    </xf>
    <xf numFmtId="3" fontId="11" fillId="0" borderId="0" xfId="0" applyNumberFormat="1" applyFont="1" applyAlignment="1">
      <alignment horizontal="right"/>
    </xf>
    <xf numFmtId="9" fontId="11" fillId="0" borderId="0" xfId="0" applyNumberFormat="1" applyFont="1" applyAlignment="1">
      <alignment horizontal="right"/>
    </xf>
    <xf numFmtId="0" fontId="9" fillId="6" borderId="0" xfId="0" applyFont="1" applyFill="1" applyAlignment="1">
      <alignment horizontal="left"/>
    </xf>
    <xf numFmtId="0" fontId="10" fillId="7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12" fillId="7" borderId="1" xfId="0" applyFont="1" applyFill="1" applyBorder="1" applyAlignment="1">
      <alignment horizontal="center"/>
    </xf>
    <xf numFmtId="9" fontId="13" fillId="8" borderId="0" xfId="0" applyNumberFormat="1" applyFont="1" applyFill="1" applyAlignment="1">
      <alignment horizontal="right"/>
    </xf>
    <xf numFmtId="0" fontId="8" fillId="9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164" fontId="0" fillId="4" borderId="0" xfId="0" applyNumberFormat="1" applyFill="1"/>
    <xf numFmtId="164" fontId="0" fillId="0" borderId="0" xfId="0" applyNumberFormat="1"/>
    <xf numFmtId="4" fontId="0" fillId="4" borderId="0" xfId="0" applyNumberFormat="1" applyFill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8" fillId="6" borderId="0" xfId="0" applyFont="1" applyFill="1"/>
    <xf numFmtId="0" fontId="4" fillId="7" borderId="0" xfId="0" applyFont="1" applyFill="1"/>
    <xf numFmtId="165" fontId="0" fillId="0" borderId="0" xfId="0" applyNumberFormat="1"/>
    <xf numFmtId="0" fontId="15" fillId="7" borderId="2" xfId="0" applyNumberFormat="1" applyFont="1" applyFill="1" applyBorder="1" applyAlignment="1">
      <alignment horizontal="center"/>
    </xf>
    <xf numFmtId="0" fontId="14" fillId="6" borderId="0" xfId="0" applyNumberFormat="1" applyFont="1" applyFill="1" applyBorder="1" applyAlignment="1">
      <alignment horizontal="left"/>
    </xf>
    <xf numFmtId="166" fontId="16" fillId="8" borderId="0" xfId="0" applyNumberFormat="1" applyFont="1" applyFill="1" applyAlignment="1">
      <alignment horizontal="right"/>
    </xf>
    <xf numFmtId="0" fontId="15" fillId="8" borderId="0" xfId="0" applyNumberFormat="1" applyFont="1" applyFill="1" applyAlignment="1">
      <alignment horizontal="left"/>
    </xf>
    <xf numFmtId="0" fontId="0" fillId="0" borderId="3" xfId="0" applyBorder="1"/>
    <xf numFmtId="165" fontId="0" fillId="0" borderId="3" xfId="0" applyNumberFormat="1" applyBorder="1"/>
  </cellXfs>
  <cellStyles count="2">
    <cellStyle name="Normal" xfId="0" builtinId="0"/>
    <cellStyle name="Normal 2" xfId="1" xr:uid="{7B565CB8-8407-4424-98D1-4A2DF00D62E8}"/>
  </cellStyles>
  <dxfs count="0"/>
  <tableStyles count="0" defaultTableStyle="TableStyleMedium2" defaultPivotStyle="PivotStyleLight16"/>
  <colors>
    <mruColors>
      <color rgb="FF0866FF"/>
      <color rgb="FFFF9900"/>
      <color rgb="FF34A853"/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rgbClr val="595959"/>
                </a:solidFill>
              </a:rPr>
              <a:t>YoY Advertising Sales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'Ad Sales Charts'!$X$12</c:f>
              <c:strCache>
                <c:ptCount val="1"/>
                <c:pt idx="0">
                  <c:v>Google</c:v>
                </c:pt>
              </c:strCache>
            </c:strRef>
          </c:tx>
          <c:spPr>
            <a:ln w="38100" cap="rnd">
              <a:solidFill>
                <a:srgbClr val="34A853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34A853"/>
              </a:solidFill>
              <a:ln w="25400">
                <a:solidFill>
                  <a:srgbClr val="34A853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34A85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 Sales Charts'!$Y$11:$AG$11</c:f>
              <c:strCache>
                <c:ptCount val="9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</c:strCache>
            </c:strRef>
          </c:cat>
          <c:val>
            <c:numRef>
              <c:f>'Ad Sales Charts'!$Y$12:$AG$12</c:f>
              <c:numCache>
                <c:formatCode>0%</c:formatCode>
                <c:ptCount val="9"/>
                <c:pt idx="0">
                  <c:v>0.13036224976167779</c:v>
                </c:pt>
                <c:pt idx="1">
                  <c:v>0.11132896479369829</c:v>
                </c:pt>
                <c:pt idx="2">
                  <c:v>0.10406223280299093</c:v>
                </c:pt>
                <c:pt idx="3">
                  <c:v>0.10598775890226964</c:v>
                </c:pt>
                <c:pt idx="4">
                  <c:v>8.4756483238456679E-2</c:v>
                </c:pt>
                <c:pt idx="5">
                  <c:v>0.10406091370558376</c:v>
                </c:pt>
                <c:pt idx="6">
                  <c:v>0.12646156649558113</c:v>
                </c:pt>
                <c:pt idx="7">
                  <c:v>0.13556257849049833</c:v>
                </c:pt>
                <c:pt idx="8">
                  <c:v>0.15501233460417133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F4-4746-B9E6-115540DFCA59}"/>
            </c:ext>
          </c:extLst>
        </c:ser>
        <c:ser>
          <c:idx val="1"/>
          <c:order val="1"/>
          <c:tx>
            <c:strRef>
              <c:f>'Ad Sales Charts'!$X$13</c:f>
              <c:strCache>
                <c:ptCount val="1"/>
                <c:pt idx="0">
                  <c:v>Meta</c:v>
                </c:pt>
              </c:strCache>
            </c:strRef>
          </c:tx>
          <c:spPr>
            <a:ln w="38100" cap="rnd">
              <a:solidFill>
                <a:srgbClr val="0866FF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0866FF"/>
              </a:solidFill>
              <a:ln w="25400">
                <a:solidFill>
                  <a:srgbClr val="0866FF"/>
                </a:solidFill>
                <a:prstDash val="solid"/>
              </a:ln>
              <a:effectLst/>
            </c:spPr>
          </c:marker>
          <c:dPt>
            <c:idx val="8"/>
            <c:marker>
              <c:symbol val="circle"/>
              <c:size val="7"/>
              <c:spPr>
                <a:solidFill>
                  <a:srgbClr val="FF0000"/>
                </a:solidFill>
                <a:ln w="25400">
                  <a:solidFill>
                    <a:srgbClr val="0866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FF4-4746-B9E6-115540DFCA59}"/>
              </c:ext>
            </c:extLst>
          </c:dPt>
          <c:dLbls>
            <c:dLbl>
              <c:idx val="4"/>
              <c:layout>
                <c:manualLayout>
                  <c:x val="-2.3009657484140307E-2"/>
                  <c:y val="3.68920101203565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FF4-4746-B9E6-115540DFCA59}"/>
                </c:ext>
              </c:extLst>
            </c:dLbl>
            <c:dLbl>
              <c:idx val="5"/>
              <c:layout>
                <c:manualLayout>
                  <c:x val="-2.4287435189253467E-2"/>
                  <c:y val="3.98950131233595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FF4-4746-B9E6-115540DFCA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866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'Ad Sales Charts'!$Y$11:$AG$11</c:f>
              <c:strCache>
                <c:ptCount val="9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</c:strCache>
            </c:strRef>
          </c:cat>
          <c:val>
            <c:numRef>
              <c:f>'Ad Sales Charts'!$Y$13:$AG$13</c:f>
              <c:numCache>
                <c:formatCode>0%</c:formatCode>
                <c:ptCount val="9"/>
                <c:pt idx="0">
                  <c:v>0.2681043379239173</c:v>
                </c:pt>
                <c:pt idx="1">
                  <c:v>0.21687091243888501</c:v>
                </c:pt>
                <c:pt idx="2">
                  <c:v>0.18553636714918409</c:v>
                </c:pt>
                <c:pt idx="3">
                  <c:v>0.20867565752079781</c:v>
                </c:pt>
                <c:pt idx="4">
                  <c:v>0.1615546513259436</c:v>
                </c:pt>
                <c:pt idx="5">
                  <c:v>0.21482428448433302</c:v>
                </c:pt>
                <c:pt idx="6">
                  <c:v>0.25566002256487402</c:v>
                </c:pt>
                <c:pt idx="7">
                  <c:v>0.2426949960455721</c:v>
                </c:pt>
                <c:pt idx="8">
                  <c:v>0.32933900270583688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FF4-4746-B9E6-115540DFCA59}"/>
            </c:ext>
          </c:extLst>
        </c:ser>
        <c:ser>
          <c:idx val="2"/>
          <c:order val="2"/>
          <c:tx>
            <c:strRef>
              <c:f>'Ad Sales Charts'!$X$14</c:f>
              <c:strCache>
                <c:ptCount val="1"/>
                <c:pt idx="0">
                  <c:v>Amazon</c:v>
                </c:pt>
              </c:strCache>
            </c:strRef>
          </c:tx>
          <c:spPr>
            <a:ln w="31750" cap="rnd">
              <a:solidFill>
                <a:srgbClr val="FF990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F9900"/>
              </a:solidFill>
              <a:ln w="38100">
                <a:solidFill>
                  <a:srgbClr val="FF9900"/>
                </a:solidFill>
                <a:prstDash val="solid"/>
              </a:ln>
              <a:effectLst/>
            </c:spPr>
          </c:marker>
          <c:dLbls>
            <c:dLbl>
              <c:idx val="4"/>
              <c:layout>
                <c:manualLayout>
                  <c:x val="-2.4287435189253467E-2"/>
                  <c:y val="-4.28977796694332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FF4-4746-B9E6-115540DFCA59}"/>
                </c:ext>
              </c:extLst>
            </c:dLbl>
            <c:dLbl>
              <c:idx val="5"/>
              <c:layout>
                <c:manualLayout>
                  <c:x val="-2.4287435189253467E-2"/>
                  <c:y val="-4.59007826724362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FF4-4746-B9E6-115540DFCA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99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'Ad Sales Charts'!$Y$11:$AG$11</c:f>
              <c:strCache>
                <c:ptCount val="9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</c:strCache>
            </c:strRef>
          </c:cat>
          <c:val>
            <c:numRef>
              <c:f>'Ad Sales Charts'!$Y$14:$AG$14</c:f>
              <c:numCache>
                <c:formatCode>0%</c:formatCode>
                <c:ptCount val="9"/>
                <c:pt idx="0">
                  <c:v>0.24345357030181933</c:v>
                </c:pt>
                <c:pt idx="1">
                  <c:v>0.19545071609098569</c:v>
                </c:pt>
                <c:pt idx="2">
                  <c:v>0.18830845771144278</c:v>
                </c:pt>
                <c:pt idx="3">
                  <c:v>0.17974614439743414</c:v>
                </c:pt>
                <c:pt idx="4">
                  <c:v>0.17735115020297701</c:v>
                </c:pt>
                <c:pt idx="5">
                  <c:v>0.22887792655234515</c:v>
                </c:pt>
                <c:pt idx="6">
                  <c:v>0.23529411764705882</c:v>
                </c:pt>
                <c:pt idx="7">
                  <c:v>0.23305182785747339</c:v>
                </c:pt>
                <c:pt idx="8">
                  <c:v>0.23863228216363766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FF4-4746-B9E6-115540DFC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0785392"/>
        <c:axId val="1980235840"/>
      </c:lineChart>
      <c:catAx>
        <c:axId val="170078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235840"/>
        <c:crosses val="autoZero"/>
        <c:auto val="1"/>
        <c:lblAlgn val="ctr"/>
        <c:lblOffset val="100"/>
        <c:noMultiLvlLbl val="0"/>
      </c:catAx>
      <c:valAx>
        <c:axId val="19802358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78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595959"/>
                </a:solidFill>
              </a:rPr>
              <a:t>Amazon/Meta Ad Revenue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'Ad Sales Charts'!$X$55</c:f>
              <c:strCache>
                <c:ptCount val="1"/>
                <c:pt idx="0">
                  <c:v>Amazon/Meta</c:v>
                </c:pt>
              </c:strCache>
            </c:strRef>
          </c:tx>
          <c:spPr>
            <a:ln w="38100" cap="rnd">
              <a:solidFill>
                <a:srgbClr val="0866FF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dPt>
            <c:idx val="12"/>
            <c:marker>
              <c:symbol val="circle"/>
              <c:size val="7"/>
              <c:spPr>
                <a:solidFill>
                  <a:srgbClr val="FF0000"/>
                </a:solidFill>
                <a:ln w="2540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B97C-4718-99C5-D0D2BD36ADFE}"/>
              </c:ext>
            </c:extLst>
          </c:dPt>
          <c:dLbls>
            <c:dLbl>
              <c:idx val="12"/>
              <c:layout>
                <c:manualLayout>
                  <c:x val="-1.7822733696749443E-2"/>
                  <c:y val="-5.83355848901240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97C-4718-99C5-D0D2BD36AD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182880" tIns="0" rIns="91440" bIns="365760" anchor="t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866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'Ad Sales Charts'!$Y$54:$AK$54</c:f>
              <c:strCache>
                <c:ptCount val="13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  <c:pt idx="8">
                  <c:v>2025 Q1</c:v>
                </c:pt>
                <c:pt idx="9">
                  <c:v>2025 Q2</c:v>
                </c:pt>
                <c:pt idx="10">
                  <c:v>2025 Q3</c:v>
                </c:pt>
                <c:pt idx="11">
                  <c:v>2025 Q4</c:v>
                </c:pt>
                <c:pt idx="12">
                  <c:v>2026 Q1</c:v>
                </c:pt>
              </c:strCache>
            </c:strRef>
          </c:cat>
          <c:val>
            <c:numRef>
              <c:f>'Ad Sales Charts'!$Y$55:$AK$55</c:f>
              <c:numCache>
                <c:formatCode>0%</c:formatCode>
                <c:ptCount val="13"/>
                <c:pt idx="0">
                  <c:v>0.33838653428703602</c:v>
                </c:pt>
                <c:pt idx="1">
                  <c:v>0.33916439138992954</c:v>
                </c:pt>
                <c:pt idx="2">
                  <c:v>0.35846981541479656</c:v>
                </c:pt>
                <c:pt idx="3">
                  <c:v>0.37859763344184366</c:v>
                </c:pt>
                <c:pt idx="4">
                  <c:v>0.3318086151255788</c:v>
                </c:pt>
                <c:pt idx="5">
                  <c:v>0.3331941871689843</c:v>
                </c:pt>
                <c:pt idx="6">
                  <c:v>0.35930801053027456</c:v>
                </c:pt>
                <c:pt idx="7">
                  <c:v>0.36953594254323152</c:v>
                </c:pt>
                <c:pt idx="8">
                  <c:v>0.33632102821801313</c:v>
                </c:pt>
                <c:pt idx="9">
                  <c:v>0.33704872967807059</c:v>
                </c:pt>
                <c:pt idx="10">
                  <c:v>0.35348029232059425</c:v>
                </c:pt>
                <c:pt idx="11">
                  <c:v>0.36666838674166191</c:v>
                </c:pt>
                <c:pt idx="12">
                  <c:v>0.31337234661238733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7C-4718-99C5-D0D2BD36A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653039"/>
        <c:axId val="1980205120"/>
      </c:lineChart>
      <c:catAx>
        <c:axId val="8265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205120"/>
        <c:crosses val="autoZero"/>
        <c:auto val="1"/>
        <c:lblAlgn val="ctr"/>
        <c:lblOffset val="100"/>
        <c:noMultiLvlLbl val="0"/>
      </c:catAx>
      <c:valAx>
        <c:axId val="1980205120"/>
        <c:scaling>
          <c:orientation val="minMax"/>
          <c:min val="0.30000000000000004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  <a:alpha val="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rgbClr val="595959"/>
                </a:solidFill>
              </a:rPr>
              <a:t>YoY Advertising Sales $ Growth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'Ad Sales Charts'!$AB$60</c:f>
              <c:strCache>
                <c:ptCount val="1"/>
                <c:pt idx="0">
                  <c:v>Google</c:v>
                </c:pt>
              </c:strCache>
            </c:strRef>
          </c:tx>
          <c:spPr>
            <a:ln w="38100" cap="rnd">
              <a:solidFill>
                <a:srgbClr val="34A853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34A853"/>
              </a:solidFill>
              <a:ln w="25400">
                <a:solidFill>
                  <a:srgbClr val="34A853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34A85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 Sales Charts'!$AC$59:$AK$59</c:f>
              <c:strCache>
                <c:ptCount val="9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</c:strCache>
            </c:strRef>
          </c:cat>
          <c:val>
            <c:numRef>
              <c:f>'Ad Sales Charts'!$AC$60:$AK$60</c:f>
              <c:numCache>
                <c:formatCode>#,##0;\(#,##0\)</c:formatCode>
                <c:ptCount val="9"/>
                <c:pt idx="0">
                  <c:v>7111</c:v>
                </c:pt>
                <c:pt idx="1">
                  <c:v>6473</c:v>
                </c:pt>
                <c:pt idx="2">
                  <c:v>6207</c:v>
                </c:pt>
                <c:pt idx="3">
                  <c:v>6944</c:v>
                </c:pt>
                <c:pt idx="4">
                  <c:v>5226</c:v>
                </c:pt>
                <c:pt idx="5">
                  <c:v>6724</c:v>
                </c:pt>
                <c:pt idx="6">
                  <c:v>8328</c:v>
                </c:pt>
                <c:pt idx="7">
                  <c:v>9823</c:v>
                </c:pt>
                <c:pt idx="8">
                  <c:v>10368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ED-4E37-8A4C-C8AAFD492EF1}"/>
            </c:ext>
          </c:extLst>
        </c:ser>
        <c:ser>
          <c:idx val="1"/>
          <c:order val="1"/>
          <c:tx>
            <c:strRef>
              <c:f>'Ad Sales Charts'!$AB$61</c:f>
              <c:strCache>
                <c:ptCount val="1"/>
                <c:pt idx="0">
                  <c:v>Meta</c:v>
                </c:pt>
              </c:strCache>
            </c:strRef>
          </c:tx>
          <c:spPr>
            <a:ln w="38100" cap="rnd">
              <a:solidFill>
                <a:srgbClr val="0866FF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0866FF"/>
              </a:solidFill>
              <a:ln w="25400">
                <a:solidFill>
                  <a:srgbClr val="0866FF"/>
                </a:solidFill>
                <a:prstDash val="solid"/>
              </a:ln>
              <a:effectLst/>
            </c:spPr>
          </c:marker>
          <c:dPt>
            <c:idx val="8"/>
            <c:marker>
              <c:symbol val="circle"/>
              <c:size val="7"/>
              <c:spPr>
                <a:solidFill>
                  <a:srgbClr val="FF0000"/>
                </a:solidFill>
                <a:ln w="25400">
                  <a:solidFill>
                    <a:srgbClr val="0866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0ED-4E37-8A4C-C8AAFD492E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866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 Sales Charts'!$AC$59:$AK$59</c:f>
              <c:strCache>
                <c:ptCount val="9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</c:strCache>
            </c:strRef>
          </c:cat>
          <c:val>
            <c:numRef>
              <c:f>'Ad Sales Charts'!$AC$61:$AK$61</c:f>
              <c:numCache>
                <c:formatCode>#,##0;\(#,##0\)</c:formatCode>
                <c:ptCount val="9"/>
                <c:pt idx="0">
                  <c:v>7534</c:v>
                </c:pt>
                <c:pt idx="1">
                  <c:v>6831</c:v>
                </c:pt>
                <c:pt idx="2">
                  <c:v>6242</c:v>
                </c:pt>
                <c:pt idx="3">
                  <c:v>8077</c:v>
                </c:pt>
                <c:pt idx="4">
                  <c:v>5757</c:v>
                </c:pt>
                <c:pt idx="5">
                  <c:v>8234</c:v>
                </c:pt>
                <c:pt idx="6">
                  <c:v>10197</c:v>
                </c:pt>
                <c:pt idx="7">
                  <c:v>11354</c:v>
                </c:pt>
                <c:pt idx="8">
                  <c:v>13632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0ED-4E37-8A4C-C8AAFD492EF1}"/>
            </c:ext>
          </c:extLst>
        </c:ser>
        <c:ser>
          <c:idx val="2"/>
          <c:order val="2"/>
          <c:tx>
            <c:strRef>
              <c:f>'Ad Sales Charts'!$AB$62</c:f>
              <c:strCache>
                <c:ptCount val="1"/>
                <c:pt idx="0">
                  <c:v>Amazon</c:v>
                </c:pt>
              </c:strCache>
            </c:strRef>
          </c:tx>
          <c:spPr>
            <a:ln w="31750" cap="rnd">
              <a:solidFill>
                <a:srgbClr val="FF990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F9900"/>
              </a:solidFill>
              <a:ln w="38100">
                <a:solidFill>
                  <a:srgbClr val="FF990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99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 Sales Charts'!$AC$59:$AK$59</c:f>
              <c:strCache>
                <c:ptCount val="9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</c:strCache>
            </c:strRef>
          </c:cat>
          <c:val>
            <c:numRef>
              <c:f>'Ad Sales Charts'!$AC$62:$AK$62</c:f>
              <c:numCache>
                <c:formatCode>#,##0;\(#,##0\)</c:formatCode>
                <c:ptCount val="9"/>
                <c:pt idx="0">
                  <c:v>2315</c:v>
                </c:pt>
                <c:pt idx="1">
                  <c:v>2088</c:v>
                </c:pt>
                <c:pt idx="2">
                  <c:v>2271</c:v>
                </c:pt>
                <c:pt idx="3">
                  <c:v>2634</c:v>
                </c:pt>
                <c:pt idx="4">
                  <c:v>2097</c:v>
                </c:pt>
                <c:pt idx="5">
                  <c:v>2923</c:v>
                </c:pt>
                <c:pt idx="6">
                  <c:v>3372</c:v>
                </c:pt>
                <c:pt idx="7">
                  <c:v>4029</c:v>
                </c:pt>
                <c:pt idx="8">
                  <c:v>3322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70ED-4E37-8A4C-C8AAFD492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0785392"/>
        <c:axId val="1980235840"/>
      </c:lineChart>
      <c:catAx>
        <c:axId val="170078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235840"/>
        <c:crosses val="autoZero"/>
        <c:auto val="1"/>
        <c:lblAlgn val="ctr"/>
        <c:lblOffset val="100"/>
        <c:noMultiLvlLbl val="0"/>
      </c:catAx>
      <c:valAx>
        <c:axId val="19802358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$ Growth ($mm)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78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rgbClr val="595959"/>
                </a:solidFill>
              </a:rPr>
              <a:t>QoQ Advertising Sales $ Growth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'Ad Sales Charts'!$AB$67</c:f>
              <c:strCache>
                <c:ptCount val="1"/>
                <c:pt idx="0">
                  <c:v>Google</c:v>
                </c:pt>
              </c:strCache>
            </c:strRef>
          </c:tx>
          <c:spPr>
            <a:ln w="38100" cap="rnd">
              <a:solidFill>
                <a:srgbClr val="34A853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34A853"/>
              </a:solidFill>
              <a:ln w="25400">
                <a:solidFill>
                  <a:srgbClr val="34A853"/>
                </a:solidFill>
                <a:prstDash val="solid"/>
              </a:ln>
              <a:effectLst/>
            </c:spPr>
          </c:marker>
          <c:cat>
            <c:strRef>
              <c:f>'Ad Sales Charts'!$AC$66:$AN$66</c:f>
              <c:strCache>
                <c:ptCount val="12"/>
                <c:pt idx="0">
                  <c:v>2023 Q2</c:v>
                </c:pt>
                <c:pt idx="1">
                  <c:v>2023 Q3</c:v>
                </c:pt>
                <c:pt idx="2">
                  <c:v>2023 Q4</c:v>
                </c:pt>
                <c:pt idx="3">
                  <c:v>2024 Q1</c:v>
                </c:pt>
                <c:pt idx="4">
                  <c:v>2024 Q2</c:v>
                </c:pt>
                <c:pt idx="5">
                  <c:v>2024 Q3</c:v>
                </c:pt>
                <c:pt idx="6">
                  <c:v>2024 Q4</c:v>
                </c:pt>
                <c:pt idx="7">
                  <c:v>2025 Q1</c:v>
                </c:pt>
                <c:pt idx="8">
                  <c:v>2025 Q2</c:v>
                </c:pt>
                <c:pt idx="9">
                  <c:v>2025 Q3</c:v>
                </c:pt>
                <c:pt idx="10">
                  <c:v>2025 Q4</c:v>
                </c:pt>
                <c:pt idx="11">
                  <c:v>2026 Q1</c:v>
                </c:pt>
              </c:strCache>
            </c:strRef>
          </c:cat>
          <c:val>
            <c:numRef>
              <c:f>'Ad Sales Charts'!$AC$67:$AN$67</c:f>
              <c:numCache>
                <c:formatCode>#,##0;\(#,##0\)</c:formatCode>
                <c:ptCount val="12"/>
                <c:pt idx="0">
                  <c:v>3595</c:v>
                </c:pt>
                <c:pt idx="1">
                  <c:v>1504</c:v>
                </c:pt>
                <c:pt idx="2">
                  <c:v>5870</c:v>
                </c:pt>
                <c:pt idx="3">
                  <c:v>-3858</c:v>
                </c:pt>
                <c:pt idx="4">
                  <c:v>2957</c:v>
                </c:pt>
                <c:pt idx="5">
                  <c:v>1238</c:v>
                </c:pt>
                <c:pt idx="6">
                  <c:v>6607</c:v>
                </c:pt>
                <c:pt idx="7">
                  <c:v>-5576</c:v>
                </c:pt>
                <c:pt idx="8">
                  <c:v>4455</c:v>
                </c:pt>
                <c:pt idx="9">
                  <c:v>2842</c:v>
                </c:pt>
                <c:pt idx="10">
                  <c:v>8102</c:v>
                </c:pt>
                <c:pt idx="11">
                  <c:v>-5031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F3-4C6D-AD72-60A06AED6179}"/>
            </c:ext>
          </c:extLst>
        </c:ser>
        <c:ser>
          <c:idx val="1"/>
          <c:order val="1"/>
          <c:tx>
            <c:strRef>
              <c:f>'Ad Sales Charts'!$AB$68</c:f>
              <c:strCache>
                <c:ptCount val="1"/>
                <c:pt idx="0">
                  <c:v>Meta</c:v>
                </c:pt>
              </c:strCache>
            </c:strRef>
          </c:tx>
          <c:spPr>
            <a:ln w="38100" cap="rnd">
              <a:solidFill>
                <a:srgbClr val="0866FF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0866FF"/>
              </a:solidFill>
              <a:ln w="25400">
                <a:solidFill>
                  <a:srgbClr val="0866FF"/>
                </a:solidFill>
                <a:prstDash val="solid"/>
              </a:ln>
              <a:effectLst/>
            </c:spPr>
          </c:marker>
          <c:cat>
            <c:strRef>
              <c:f>'Ad Sales Charts'!$AC$66:$AN$66</c:f>
              <c:strCache>
                <c:ptCount val="12"/>
                <c:pt idx="0">
                  <c:v>2023 Q2</c:v>
                </c:pt>
                <c:pt idx="1">
                  <c:v>2023 Q3</c:v>
                </c:pt>
                <c:pt idx="2">
                  <c:v>2023 Q4</c:v>
                </c:pt>
                <c:pt idx="3">
                  <c:v>2024 Q1</c:v>
                </c:pt>
                <c:pt idx="4">
                  <c:v>2024 Q2</c:v>
                </c:pt>
                <c:pt idx="5">
                  <c:v>2024 Q3</c:v>
                </c:pt>
                <c:pt idx="6">
                  <c:v>2024 Q4</c:v>
                </c:pt>
                <c:pt idx="7">
                  <c:v>2025 Q1</c:v>
                </c:pt>
                <c:pt idx="8">
                  <c:v>2025 Q2</c:v>
                </c:pt>
                <c:pt idx="9">
                  <c:v>2025 Q3</c:v>
                </c:pt>
                <c:pt idx="10">
                  <c:v>2025 Q4</c:v>
                </c:pt>
                <c:pt idx="11">
                  <c:v>2026 Q1</c:v>
                </c:pt>
              </c:strCache>
            </c:strRef>
          </c:cat>
          <c:val>
            <c:numRef>
              <c:f>'Ad Sales Charts'!$AC$68:$AN$68</c:f>
              <c:numCache>
                <c:formatCode>#,##0;\(#,##0\)</c:formatCode>
                <c:ptCount val="12"/>
                <c:pt idx="0">
                  <c:v>3397</c:v>
                </c:pt>
                <c:pt idx="1">
                  <c:v>2145</c:v>
                </c:pt>
                <c:pt idx="2">
                  <c:v>5063</c:v>
                </c:pt>
                <c:pt idx="3">
                  <c:v>-3071</c:v>
                </c:pt>
                <c:pt idx="4">
                  <c:v>2694</c:v>
                </c:pt>
                <c:pt idx="5">
                  <c:v>1556</c:v>
                </c:pt>
                <c:pt idx="6">
                  <c:v>6898</c:v>
                </c:pt>
                <c:pt idx="7">
                  <c:v>-5391</c:v>
                </c:pt>
                <c:pt idx="8">
                  <c:v>5171</c:v>
                </c:pt>
                <c:pt idx="9">
                  <c:v>3519</c:v>
                </c:pt>
                <c:pt idx="10">
                  <c:v>8055</c:v>
                </c:pt>
                <c:pt idx="11">
                  <c:v>-3113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4F3-4C6D-AD72-60A06AED6179}"/>
            </c:ext>
          </c:extLst>
        </c:ser>
        <c:ser>
          <c:idx val="2"/>
          <c:order val="2"/>
          <c:tx>
            <c:strRef>
              <c:f>'Ad Sales Charts'!$AB$69</c:f>
              <c:strCache>
                <c:ptCount val="1"/>
                <c:pt idx="0">
                  <c:v>Amazon</c:v>
                </c:pt>
              </c:strCache>
            </c:strRef>
          </c:tx>
          <c:spPr>
            <a:ln w="31750" cap="rnd">
              <a:solidFill>
                <a:srgbClr val="FF990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F9900"/>
              </a:solidFill>
              <a:ln w="38100">
                <a:solidFill>
                  <a:srgbClr val="FF9900"/>
                </a:solidFill>
                <a:prstDash val="solid"/>
              </a:ln>
              <a:effectLst/>
            </c:spPr>
          </c:marker>
          <c:cat>
            <c:strRef>
              <c:f>'Ad Sales Charts'!$AC$66:$AN$66</c:f>
              <c:strCache>
                <c:ptCount val="12"/>
                <c:pt idx="0">
                  <c:v>2023 Q2</c:v>
                </c:pt>
                <c:pt idx="1">
                  <c:v>2023 Q3</c:v>
                </c:pt>
                <c:pt idx="2">
                  <c:v>2023 Q4</c:v>
                </c:pt>
                <c:pt idx="3">
                  <c:v>2024 Q1</c:v>
                </c:pt>
                <c:pt idx="4">
                  <c:v>2024 Q2</c:v>
                </c:pt>
                <c:pt idx="5">
                  <c:v>2024 Q3</c:v>
                </c:pt>
                <c:pt idx="6">
                  <c:v>2024 Q4</c:v>
                </c:pt>
                <c:pt idx="7">
                  <c:v>2025 Q1</c:v>
                </c:pt>
                <c:pt idx="8">
                  <c:v>2025 Q2</c:v>
                </c:pt>
                <c:pt idx="9">
                  <c:v>2025 Q3</c:v>
                </c:pt>
                <c:pt idx="10">
                  <c:v>2025 Q4</c:v>
                </c:pt>
                <c:pt idx="11">
                  <c:v>2026 Q1</c:v>
                </c:pt>
              </c:strCache>
            </c:strRef>
          </c:cat>
          <c:val>
            <c:numRef>
              <c:f>'Ad Sales Charts'!$AC$69:$AN$69</c:f>
              <c:numCache>
                <c:formatCode>#,##0;\(#,##0\)</c:formatCode>
                <c:ptCount val="12"/>
                <c:pt idx="0">
                  <c:v>1174</c:v>
                </c:pt>
                <c:pt idx="1">
                  <c:v>1377</c:v>
                </c:pt>
                <c:pt idx="2">
                  <c:v>2594</c:v>
                </c:pt>
                <c:pt idx="3">
                  <c:v>-2830</c:v>
                </c:pt>
                <c:pt idx="4">
                  <c:v>947</c:v>
                </c:pt>
                <c:pt idx="5">
                  <c:v>1560</c:v>
                </c:pt>
                <c:pt idx="6">
                  <c:v>2957</c:v>
                </c:pt>
                <c:pt idx="7">
                  <c:v>-3367</c:v>
                </c:pt>
                <c:pt idx="8">
                  <c:v>1773</c:v>
                </c:pt>
                <c:pt idx="9">
                  <c:v>2009</c:v>
                </c:pt>
                <c:pt idx="10">
                  <c:v>3614</c:v>
                </c:pt>
                <c:pt idx="11">
                  <c:v>-4074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14F3-4C6D-AD72-60A06AED6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0785392"/>
        <c:axId val="1980235840"/>
      </c:lineChart>
      <c:catAx>
        <c:axId val="1700785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235840"/>
        <c:crosses val="autoZero"/>
        <c:auto val="1"/>
        <c:lblAlgn val="ctr"/>
        <c:lblOffset val="100"/>
        <c:noMultiLvlLbl val="0"/>
      </c:catAx>
      <c:valAx>
        <c:axId val="19802358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$ Growth ($mm)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78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Incremental Advertising Sales (YoY New 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'Ad Sales Charts'!$AB$73</c:f>
              <c:strCache>
                <c:ptCount val="1"/>
                <c:pt idx="0">
                  <c:v>Google</c:v>
                </c:pt>
              </c:strCache>
            </c:strRef>
          </c:tx>
          <c:spPr>
            <a:solidFill>
              <a:srgbClr val="34A853">
                <a:alpha val="99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 Sales Charts'!$AC$72:$AK$72</c:f>
              <c:strCache>
                <c:ptCount val="9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</c:strCache>
            </c:strRef>
          </c:cat>
          <c:val>
            <c:numRef>
              <c:f>'Ad Sales Charts'!$AC$73:$AK$73</c:f>
              <c:numCache>
                <c:formatCode>0.0%</c:formatCode>
                <c:ptCount val="9"/>
                <c:pt idx="0">
                  <c:v>0.41928066037735851</c:v>
                </c:pt>
                <c:pt idx="1">
                  <c:v>0.4205431392931393</c:v>
                </c:pt>
                <c:pt idx="2">
                  <c:v>0.42167119565217392</c:v>
                </c:pt>
                <c:pt idx="3">
                  <c:v>0.39331634097989238</c:v>
                </c:pt>
                <c:pt idx="4">
                  <c:v>0.39954128440366971</c:v>
                </c:pt>
                <c:pt idx="5">
                  <c:v>0.37604160841116269</c:v>
                </c:pt>
                <c:pt idx="6">
                  <c:v>0.3803260720646664</c:v>
                </c:pt>
                <c:pt idx="7">
                  <c:v>0.3897087994921844</c:v>
                </c:pt>
                <c:pt idx="8">
                  <c:v>0.37947441622136008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A-4D31-868A-BD075523967E}"/>
            </c:ext>
          </c:extLst>
        </c:ser>
        <c:ser>
          <c:idx val="1"/>
          <c:order val="1"/>
          <c:tx>
            <c:strRef>
              <c:f>'Ad Sales Charts'!$AB$74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08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 Sales Charts'!$AC$72:$AK$72</c:f>
              <c:strCache>
                <c:ptCount val="9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</c:strCache>
            </c:strRef>
          </c:cat>
          <c:val>
            <c:numRef>
              <c:f>'Ad Sales Charts'!$AC$74:$AK$74</c:f>
              <c:numCache>
                <c:formatCode>0.0%</c:formatCode>
                <c:ptCount val="9"/>
                <c:pt idx="0">
                  <c:v>0.44422169811320755</c:v>
                </c:pt>
                <c:pt idx="1">
                  <c:v>0.44380197505197505</c:v>
                </c:pt>
                <c:pt idx="2">
                  <c:v>0.42404891304347825</c:v>
                </c:pt>
                <c:pt idx="3">
                  <c:v>0.45749079580855284</c:v>
                </c:pt>
                <c:pt idx="4">
                  <c:v>0.44013761467889906</c:v>
                </c:pt>
                <c:pt idx="5">
                  <c:v>0.46048878698059392</c:v>
                </c:pt>
                <c:pt idx="6">
                  <c:v>0.46568023016851623</c:v>
                </c:pt>
                <c:pt idx="7">
                  <c:v>0.45044830595889868</c:v>
                </c:pt>
                <c:pt idx="8">
                  <c:v>0.49893858429104748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FA-4D31-868A-BD075523967E}"/>
            </c:ext>
          </c:extLst>
        </c:ser>
        <c:ser>
          <c:idx val="2"/>
          <c:order val="2"/>
          <c:tx>
            <c:strRef>
              <c:f>'Ad Sales Charts'!$AB$75</c:f>
              <c:strCache>
                <c:ptCount val="1"/>
                <c:pt idx="0">
                  <c:v>Amazon</c:v>
                </c:pt>
              </c:strCache>
            </c:strRef>
          </c:tx>
          <c:spPr>
            <a:solidFill>
              <a:srgbClr val="FF9900">
                <a:alpha val="99000"/>
              </a:srgbClr>
            </a:solidFill>
            <a:ln>
              <a:noFill/>
            </a:ln>
            <a:effectLst>
              <a:softEdge rad="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 Sales Charts'!$AC$72:$AK$72</c:f>
              <c:strCache>
                <c:ptCount val="9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</c:strCache>
            </c:strRef>
          </c:cat>
          <c:val>
            <c:numRef>
              <c:f>'Ad Sales Charts'!$AC$75:$AK$75</c:f>
              <c:numCache>
                <c:formatCode>0.0%</c:formatCode>
                <c:ptCount val="9"/>
                <c:pt idx="0">
                  <c:v>0.13649764150943397</c:v>
                </c:pt>
                <c:pt idx="1">
                  <c:v>0.13565488565488565</c:v>
                </c:pt>
                <c:pt idx="2">
                  <c:v>0.15427989130434783</c:v>
                </c:pt>
                <c:pt idx="3">
                  <c:v>0.14919286321155481</c:v>
                </c:pt>
                <c:pt idx="4">
                  <c:v>0.16032110091743118</c:v>
                </c:pt>
                <c:pt idx="5">
                  <c:v>0.16346960460824339</c:v>
                </c:pt>
                <c:pt idx="6">
                  <c:v>0.15399369776681737</c:v>
                </c:pt>
                <c:pt idx="7">
                  <c:v>0.15984289454891693</c:v>
                </c:pt>
                <c:pt idx="8">
                  <c:v>0.12158699948759241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FA-4D31-868A-BD075523967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100"/>
        <c:axId val="1859319839"/>
        <c:axId val="1745506687"/>
      </c:barChart>
      <c:catAx>
        <c:axId val="185931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06687"/>
        <c:crosses val="autoZero"/>
        <c:auto val="1"/>
        <c:lblAlgn val="ctr"/>
        <c:lblOffset val="100"/>
        <c:noMultiLvlLbl val="0"/>
      </c:catAx>
      <c:valAx>
        <c:axId val="1745506687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31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rgbClr val="595959"/>
                </a:solidFill>
              </a:rPr>
              <a:t>Total Advertising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'Ad Sales Charts'!$AB$60</c:f>
              <c:strCache>
                <c:ptCount val="1"/>
                <c:pt idx="0">
                  <c:v>Google</c:v>
                </c:pt>
              </c:strCache>
            </c:strRef>
          </c:tx>
          <c:spPr>
            <a:ln w="38100" cap="rnd">
              <a:solidFill>
                <a:srgbClr val="34A853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34A853"/>
              </a:solidFill>
              <a:ln w="25400">
                <a:solidFill>
                  <a:srgbClr val="34A853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34A85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 Sales Charts'!$AC$59:$AK$59</c:f>
              <c:strCache>
                <c:ptCount val="9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</c:strCache>
            </c:strRef>
          </c:cat>
          <c:val>
            <c:numRef>
              <c:f>'Ad Sales Charts'!$AC$60:$AK$60</c:f>
              <c:numCache>
                <c:formatCode>#,##0;\(#,##0\)</c:formatCode>
                <c:ptCount val="9"/>
                <c:pt idx="0">
                  <c:v>7111</c:v>
                </c:pt>
                <c:pt idx="1">
                  <c:v>6473</c:v>
                </c:pt>
                <c:pt idx="2">
                  <c:v>6207</c:v>
                </c:pt>
                <c:pt idx="3">
                  <c:v>6944</c:v>
                </c:pt>
                <c:pt idx="4">
                  <c:v>5226</c:v>
                </c:pt>
                <c:pt idx="5">
                  <c:v>6724</c:v>
                </c:pt>
                <c:pt idx="6">
                  <c:v>8328</c:v>
                </c:pt>
                <c:pt idx="7">
                  <c:v>9823</c:v>
                </c:pt>
                <c:pt idx="8">
                  <c:v>10368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37-40C8-96A8-BCF03EA9356D}"/>
            </c:ext>
          </c:extLst>
        </c:ser>
        <c:ser>
          <c:idx val="1"/>
          <c:order val="1"/>
          <c:tx>
            <c:strRef>
              <c:f>'Ad Sales Charts'!$AB$61</c:f>
              <c:strCache>
                <c:ptCount val="1"/>
                <c:pt idx="0">
                  <c:v>Meta</c:v>
                </c:pt>
              </c:strCache>
            </c:strRef>
          </c:tx>
          <c:spPr>
            <a:ln w="38100" cap="rnd">
              <a:solidFill>
                <a:srgbClr val="0866FF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0866FF"/>
              </a:solidFill>
              <a:ln w="25400">
                <a:solidFill>
                  <a:srgbClr val="0866FF"/>
                </a:solidFill>
                <a:prstDash val="solid"/>
              </a:ln>
              <a:effectLst/>
            </c:spPr>
          </c:marker>
          <c:dPt>
            <c:idx val="8"/>
            <c:marker>
              <c:symbol val="circle"/>
              <c:size val="7"/>
              <c:spPr>
                <a:solidFill>
                  <a:srgbClr val="FF0000"/>
                </a:solidFill>
                <a:ln w="25400">
                  <a:solidFill>
                    <a:srgbClr val="0866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437-40C8-96A8-BCF03EA935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866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 Sales Charts'!$AC$59:$AK$59</c:f>
              <c:strCache>
                <c:ptCount val="9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</c:strCache>
            </c:strRef>
          </c:cat>
          <c:val>
            <c:numRef>
              <c:f>'Ad Sales Charts'!$AC$61:$AK$61</c:f>
              <c:numCache>
                <c:formatCode>#,##0;\(#,##0\)</c:formatCode>
                <c:ptCount val="9"/>
                <c:pt idx="0">
                  <c:v>7534</c:v>
                </c:pt>
                <c:pt idx="1">
                  <c:v>6831</c:v>
                </c:pt>
                <c:pt idx="2">
                  <c:v>6242</c:v>
                </c:pt>
                <c:pt idx="3">
                  <c:v>8077</c:v>
                </c:pt>
                <c:pt idx="4">
                  <c:v>5757</c:v>
                </c:pt>
                <c:pt idx="5">
                  <c:v>8234</c:v>
                </c:pt>
                <c:pt idx="6">
                  <c:v>10197</c:v>
                </c:pt>
                <c:pt idx="7">
                  <c:v>11354</c:v>
                </c:pt>
                <c:pt idx="8">
                  <c:v>13632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437-40C8-96A8-BCF03EA9356D}"/>
            </c:ext>
          </c:extLst>
        </c:ser>
        <c:ser>
          <c:idx val="2"/>
          <c:order val="2"/>
          <c:tx>
            <c:strRef>
              <c:f>'Ad Sales Charts'!$AB$62</c:f>
              <c:strCache>
                <c:ptCount val="1"/>
                <c:pt idx="0">
                  <c:v>Amazon</c:v>
                </c:pt>
              </c:strCache>
            </c:strRef>
          </c:tx>
          <c:spPr>
            <a:ln w="31750" cap="rnd">
              <a:solidFill>
                <a:srgbClr val="FF990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F9900"/>
              </a:solidFill>
              <a:ln w="38100">
                <a:solidFill>
                  <a:srgbClr val="FF990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99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 Sales Charts'!$AC$59:$AK$59</c:f>
              <c:strCache>
                <c:ptCount val="9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</c:strCache>
            </c:strRef>
          </c:cat>
          <c:val>
            <c:numRef>
              <c:f>'Ad Sales Charts'!$AC$62:$AK$62</c:f>
              <c:numCache>
                <c:formatCode>#,##0;\(#,##0\)</c:formatCode>
                <c:ptCount val="9"/>
                <c:pt idx="0">
                  <c:v>2315</c:v>
                </c:pt>
                <c:pt idx="1">
                  <c:v>2088</c:v>
                </c:pt>
                <c:pt idx="2">
                  <c:v>2271</c:v>
                </c:pt>
                <c:pt idx="3">
                  <c:v>2634</c:v>
                </c:pt>
                <c:pt idx="4">
                  <c:v>2097</c:v>
                </c:pt>
                <c:pt idx="5">
                  <c:v>2923</c:v>
                </c:pt>
                <c:pt idx="6">
                  <c:v>3372</c:v>
                </c:pt>
                <c:pt idx="7">
                  <c:v>4029</c:v>
                </c:pt>
                <c:pt idx="8">
                  <c:v>3322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437-40C8-96A8-BCF03EA93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0785392"/>
        <c:axId val="1980235840"/>
      </c:lineChart>
      <c:catAx>
        <c:axId val="1700785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235840"/>
        <c:crosses val="autoZero"/>
        <c:auto val="1"/>
        <c:lblAlgn val="ctr"/>
        <c:lblOffset val="100"/>
        <c:noMultiLvlLbl val="0"/>
      </c:catAx>
      <c:valAx>
        <c:axId val="19802358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$ Growth ($mm)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78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Advertising Sales by Company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'Ad Sales Charts'!$X$5</c:f>
              <c:strCache>
                <c:ptCount val="1"/>
                <c:pt idx="0">
                  <c:v>Google</c:v>
                </c:pt>
              </c:strCache>
            </c:strRef>
          </c:tx>
          <c:spPr>
            <a:ln w="38100" cap="rnd">
              <a:solidFill>
                <a:srgbClr val="34A853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34A853"/>
              </a:solidFill>
              <a:ln w="25400">
                <a:solidFill>
                  <a:srgbClr val="34A853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34A85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 Sales Charts'!$Y$4:$AK$4</c:f>
              <c:strCache>
                <c:ptCount val="13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  <c:pt idx="8">
                  <c:v>2025 Q1</c:v>
                </c:pt>
                <c:pt idx="9">
                  <c:v>2025 Q2</c:v>
                </c:pt>
                <c:pt idx="10">
                  <c:v>2025 Q3</c:v>
                </c:pt>
                <c:pt idx="11">
                  <c:v>2025 Q4</c:v>
                </c:pt>
                <c:pt idx="12">
                  <c:v>2026 Q1</c:v>
                </c:pt>
              </c:strCache>
            </c:strRef>
          </c:cat>
          <c:val>
            <c:numRef>
              <c:f>'Ad Sales Charts'!$Y$5:$AK$5</c:f>
              <c:numCache>
                <c:formatCode>#,##0</c:formatCode>
                <c:ptCount val="13"/>
                <c:pt idx="0">
                  <c:v>54548</c:v>
                </c:pt>
                <c:pt idx="1">
                  <c:v>58143</c:v>
                </c:pt>
                <c:pt idx="2">
                  <c:v>59647</c:v>
                </c:pt>
                <c:pt idx="3">
                  <c:v>65517</c:v>
                </c:pt>
                <c:pt idx="4">
                  <c:v>61659</c:v>
                </c:pt>
                <c:pt idx="5">
                  <c:v>64616</c:v>
                </c:pt>
                <c:pt idx="6">
                  <c:v>65854</c:v>
                </c:pt>
                <c:pt idx="7">
                  <c:v>72461</c:v>
                </c:pt>
                <c:pt idx="8">
                  <c:v>66885</c:v>
                </c:pt>
                <c:pt idx="9">
                  <c:v>71340</c:v>
                </c:pt>
                <c:pt idx="10">
                  <c:v>74182</c:v>
                </c:pt>
                <c:pt idx="11">
                  <c:v>82284</c:v>
                </c:pt>
                <c:pt idx="12">
                  <c:v>77253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37-40C8-96A8-BCF03EA9356D}"/>
            </c:ext>
          </c:extLst>
        </c:ser>
        <c:ser>
          <c:idx val="1"/>
          <c:order val="1"/>
          <c:tx>
            <c:strRef>
              <c:f>'Ad Sales Charts'!$X$6</c:f>
              <c:strCache>
                <c:ptCount val="1"/>
                <c:pt idx="0">
                  <c:v>Meta</c:v>
                </c:pt>
              </c:strCache>
            </c:strRef>
          </c:tx>
          <c:spPr>
            <a:ln w="38100" cap="rnd">
              <a:solidFill>
                <a:srgbClr val="0866FF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0866FF"/>
              </a:solidFill>
              <a:ln w="25400">
                <a:solidFill>
                  <a:srgbClr val="0866FF"/>
                </a:solidFill>
                <a:prstDash val="solid"/>
              </a:ln>
              <a:effectLst/>
            </c:spPr>
          </c:marker>
          <c:dPt>
            <c:idx val="8"/>
            <c:marker>
              <c:symbol val="circle"/>
              <c:size val="7"/>
              <c:spPr>
                <a:solidFill>
                  <a:srgbClr val="0866FF"/>
                </a:solidFill>
                <a:ln w="25400">
                  <a:solidFill>
                    <a:srgbClr val="0866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437-40C8-96A8-BCF03EA935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866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 Sales Charts'!$Y$4:$AK$4</c:f>
              <c:strCache>
                <c:ptCount val="13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  <c:pt idx="8">
                  <c:v>2025 Q1</c:v>
                </c:pt>
                <c:pt idx="9">
                  <c:v>2025 Q2</c:v>
                </c:pt>
                <c:pt idx="10">
                  <c:v>2025 Q3</c:v>
                </c:pt>
                <c:pt idx="11">
                  <c:v>2025 Q4</c:v>
                </c:pt>
                <c:pt idx="12">
                  <c:v>2026 Q1</c:v>
                </c:pt>
              </c:strCache>
            </c:strRef>
          </c:cat>
          <c:val>
            <c:numRef>
              <c:f>'Ad Sales Charts'!$Y$6:$AK$6</c:f>
              <c:numCache>
                <c:formatCode>#,##0</c:formatCode>
                <c:ptCount val="13"/>
                <c:pt idx="0">
                  <c:v>28101</c:v>
                </c:pt>
                <c:pt idx="1">
                  <c:v>31498</c:v>
                </c:pt>
                <c:pt idx="2">
                  <c:v>33643</c:v>
                </c:pt>
                <c:pt idx="3">
                  <c:v>38706</c:v>
                </c:pt>
                <c:pt idx="4">
                  <c:v>35635</c:v>
                </c:pt>
                <c:pt idx="5">
                  <c:v>38329</c:v>
                </c:pt>
                <c:pt idx="6">
                  <c:v>39885</c:v>
                </c:pt>
                <c:pt idx="7">
                  <c:v>46783</c:v>
                </c:pt>
                <c:pt idx="8">
                  <c:v>41392</c:v>
                </c:pt>
                <c:pt idx="9">
                  <c:v>46563</c:v>
                </c:pt>
                <c:pt idx="10">
                  <c:v>50082</c:v>
                </c:pt>
                <c:pt idx="11">
                  <c:v>58137</c:v>
                </c:pt>
                <c:pt idx="12">
                  <c:v>55024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437-40C8-96A8-BCF03EA9356D}"/>
            </c:ext>
          </c:extLst>
        </c:ser>
        <c:ser>
          <c:idx val="2"/>
          <c:order val="2"/>
          <c:tx>
            <c:strRef>
              <c:f>'Ad Sales Charts'!$X$7</c:f>
              <c:strCache>
                <c:ptCount val="1"/>
                <c:pt idx="0">
                  <c:v>Amazon</c:v>
                </c:pt>
              </c:strCache>
            </c:strRef>
          </c:tx>
          <c:spPr>
            <a:ln w="31750" cap="rnd">
              <a:solidFill>
                <a:srgbClr val="FF990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F9900"/>
              </a:solidFill>
              <a:ln w="38100">
                <a:solidFill>
                  <a:srgbClr val="FF990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99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 Sales Charts'!$Y$4:$AK$4</c:f>
              <c:strCache>
                <c:ptCount val="13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  <c:pt idx="8">
                  <c:v>2025 Q1</c:v>
                </c:pt>
                <c:pt idx="9">
                  <c:v>2025 Q2</c:v>
                </c:pt>
                <c:pt idx="10">
                  <c:v>2025 Q3</c:v>
                </c:pt>
                <c:pt idx="11">
                  <c:v>2025 Q4</c:v>
                </c:pt>
                <c:pt idx="12">
                  <c:v>2026 Q1</c:v>
                </c:pt>
              </c:strCache>
            </c:strRef>
          </c:cat>
          <c:val>
            <c:numRef>
              <c:f>'Ad Sales Charts'!$Y$7:$AK$7</c:f>
              <c:numCache>
                <c:formatCode>#,##0</c:formatCode>
                <c:ptCount val="13"/>
                <c:pt idx="0">
                  <c:v>9509</c:v>
                </c:pt>
                <c:pt idx="1">
                  <c:v>10683</c:v>
                </c:pt>
                <c:pt idx="2">
                  <c:v>12060</c:v>
                </c:pt>
                <c:pt idx="3">
                  <c:v>14654</c:v>
                </c:pt>
                <c:pt idx="4">
                  <c:v>11824</c:v>
                </c:pt>
                <c:pt idx="5">
                  <c:v>12771</c:v>
                </c:pt>
                <c:pt idx="6">
                  <c:v>14331</c:v>
                </c:pt>
                <c:pt idx="7">
                  <c:v>17288</c:v>
                </c:pt>
                <c:pt idx="8">
                  <c:v>13921</c:v>
                </c:pt>
                <c:pt idx="9">
                  <c:v>15694</c:v>
                </c:pt>
                <c:pt idx="10">
                  <c:v>17703</c:v>
                </c:pt>
                <c:pt idx="11">
                  <c:v>21317</c:v>
                </c:pt>
                <c:pt idx="12">
                  <c:v>17243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437-40C8-96A8-BCF03EA93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0785392"/>
        <c:axId val="1980235840"/>
      </c:lineChart>
      <c:catAx>
        <c:axId val="170078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235840"/>
        <c:crosses val="autoZero"/>
        <c:auto val="1"/>
        <c:lblAlgn val="ctr"/>
        <c:lblOffset val="100"/>
        <c:noMultiLvlLbl val="0"/>
      </c:catAx>
      <c:valAx>
        <c:axId val="19802358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78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475161</xdr:colOff>
      <xdr:row>2</xdr:row>
      <xdr:rowOff>90895</xdr:rowOff>
    </xdr:from>
    <xdr:to>
      <xdr:col>21</xdr:col>
      <xdr:colOff>475161</xdr:colOff>
      <xdr:row>25</xdr:row>
      <xdr:rowOff>54973</xdr:rowOff>
    </xdr:to>
    <xdr:graphicFrame macro="">
      <xdr:nvGraphicFramePr>
        <xdr:cNvPr id="4" name="YoY Growth Trend">
          <a:extLst>
            <a:ext uri="{FF2B5EF4-FFF2-40B4-BE49-F238E27FC236}">
              <a16:creationId xmlns:a16="http://schemas.microsoft.com/office/drawing/2014/main" id="{1BB88A68-35BF-D5C0-5376-321E4C3E0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194535</xdr:colOff>
      <xdr:row>3</xdr:row>
      <xdr:rowOff>87632</xdr:rowOff>
    </xdr:from>
    <xdr:to>
      <xdr:col>11</xdr:col>
      <xdr:colOff>179295</xdr:colOff>
      <xdr:row>22</xdr:row>
      <xdr:rowOff>126819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310EBE5-D097-7823-B830-DFD3A0790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104503</xdr:colOff>
      <xdr:row>24</xdr:row>
      <xdr:rowOff>74567</xdr:rowOff>
    </xdr:from>
    <xdr:to>
      <xdr:col>11</xdr:col>
      <xdr:colOff>104503</xdr:colOff>
      <xdr:row>47</xdr:row>
      <xdr:rowOff>31025</xdr:rowOff>
    </xdr:to>
    <xdr:graphicFrame macro="">
      <xdr:nvGraphicFramePr>
        <xdr:cNvPr id="5" name="yoy ad sales growth 2">
          <a:extLst>
            <a:ext uri="{FF2B5EF4-FFF2-40B4-BE49-F238E27FC236}">
              <a16:creationId xmlns:a16="http://schemas.microsoft.com/office/drawing/2014/main" id="{967DE901-A9EE-4427-BD2F-A0C0FDDE2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461010</xdr:colOff>
      <xdr:row>25</xdr:row>
      <xdr:rowOff>126818</xdr:rowOff>
    </xdr:from>
    <xdr:to>
      <xdr:col>21</xdr:col>
      <xdr:colOff>461010</xdr:colOff>
      <xdr:row>48</xdr:row>
      <xdr:rowOff>88719</xdr:rowOff>
    </xdr:to>
    <xdr:graphicFrame macro="">
      <xdr:nvGraphicFramePr>
        <xdr:cNvPr id="6" name="qoq just advertising sales growth">
          <a:extLst>
            <a:ext uri="{FF2B5EF4-FFF2-40B4-BE49-F238E27FC236}">
              <a16:creationId xmlns:a16="http://schemas.microsoft.com/office/drawing/2014/main" id="{8885946C-C4DB-4856-B976-1EF5DE0A9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42454</xdr:colOff>
      <xdr:row>48</xdr:row>
      <xdr:rowOff>113031</xdr:rowOff>
    </xdr:from>
    <xdr:to>
      <xdr:col>11</xdr:col>
      <xdr:colOff>112304</xdr:colOff>
      <xdr:row>70</xdr:row>
      <xdr:rowOff>195944</xdr:rowOff>
    </xdr:to>
    <xdr:graphicFrame macro="">
      <xdr:nvGraphicFramePr>
        <xdr:cNvPr id="9" name="Incremental Ad Sales Share">
          <a:extLst>
            <a:ext uri="{FF2B5EF4-FFF2-40B4-BE49-F238E27FC236}">
              <a16:creationId xmlns:a16="http://schemas.microsoft.com/office/drawing/2014/main" id="{45681BDC-8D0D-D4AE-49F8-7A387CB2B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439239</xdr:colOff>
      <xdr:row>49</xdr:row>
      <xdr:rowOff>83276</xdr:rowOff>
    </xdr:from>
    <xdr:to>
      <xdr:col>21</xdr:col>
      <xdr:colOff>439239</xdr:colOff>
      <xdr:row>72</xdr:row>
      <xdr:rowOff>16874</xdr:rowOff>
    </xdr:to>
    <xdr:graphicFrame macro="">
      <xdr:nvGraphicFramePr>
        <xdr:cNvPr id="10" name="yoy ad sales growth 2">
          <a:extLst>
            <a:ext uri="{FF2B5EF4-FFF2-40B4-BE49-F238E27FC236}">
              <a16:creationId xmlns:a16="http://schemas.microsoft.com/office/drawing/2014/main" id="{56C574FE-1F59-4F92-9BB2-7F8AA037D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990599</xdr:colOff>
      <xdr:row>145</xdr:row>
      <xdr:rowOff>154214</xdr:rowOff>
    </xdr:from>
    <xdr:to>
      <xdr:col>20</xdr:col>
      <xdr:colOff>990599</xdr:colOff>
      <xdr:row>168</xdr:row>
      <xdr:rowOff>118273</xdr:rowOff>
    </xdr:to>
    <xdr:graphicFrame macro="">
      <xdr:nvGraphicFramePr>
        <xdr:cNvPr id="11" name="Total Advertising Sales by Company">
          <a:extLst>
            <a:ext uri="{FF2B5EF4-FFF2-40B4-BE49-F238E27FC236}">
              <a16:creationId xmlns:a16="http://schemas.microsoft.com/office/drawing/2014/main" id="{FB4D94C3-3B81-5344-A26D-340148C45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Finance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0000FF"/>
      </a:accent4>
      <a:accent5>
        <a:srgbClr val="4472C4"/>
      </a:accent5>
      <a:accent6>
        <a:srgbClr val="FFF2CC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Finance">
    <a:dk1>
      <a:sysClr val="windowText" lastClr="000000"/>
    </a:dk1>
    <a:lt1>
      <a:sysClr val="window" lastClr="FFFFFF"/>
    </a:lt1>
    <a:dk2>
      <a:srgbClr val="1F497D"/>
    </a:dk2>
    <a:lt2>
      <a:srgbClr val="D9D9D9"/>
    </a:lt2>
    <a:accent1>
      <a:srgbClr val="0066CC"/>
    </a:accent1>
    <a:accent2>
      <a:srgbClr val="00B050"/>
    </a:accent2>
    <a:accent3>
      <a:srgbClr val="E6E6E6"/>
    </a:accent3>
    <a:accent4>
      <a:srgbClr val="0000FF"/>
    </a:accent4>
    <a:accent5>
      <a:srgbClr val="4472C4"/>
    </a:accent5>
    <a:accent6>
      <a:srgbClr val="FFF2CC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Finance">
    <a:dk1>
      <a:sysClr val="windowText" lastClr="000000"/>
    </a:dk1>
    <a:lt1>
      <a:sysClr val="window" lastClr="FFFFFF"/>
    </a:lt1>
    <a:dk2>
      <a:srgbClr val="1F497D"/>
    </a:dk2>
    <a:lt2>
      <a:srgbClr val="D9D9D9"/>
    </a:lt2>
    <a:accent1>
      <a:srgbClr val="0066CC"/>
    </a:accent1>
    <a:accent2>
      <a:srgbClr val="00B050"/>
    </a:accent2>
    <a:accent3>
      <a:srgbClr val="E6E6E6"/>
    </a:accent3>
    <a:accent4>
      <a:srgbClr val="0000FF"/>
    </a:accent4>
    <a:accent5>
      <a:srgbClr val="4472C4"/>
    </a:accent5>
    <a:accent6>
      <a:srgbClr val="FFF2CC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929501-0D7A-4D18-87AD-2AC7D738C619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30"/>
  <sheetViews>
    <sheetView showGridLines="0" workbookViewId="0">
      <selection activeCell="P15" sqref="P15"/>
    </sheetView>
  </sheetViews>
  <sheetFormatPr defaultRowHeight="14.4" x14ac:dyDescent="0.3"/>
  <sheetData>
    <row r="2" spans="2:23" x14ac:dyDescent="0.3">
      <c r="D2" s="29">
        <v>2023</v>
      </c>
      <c r="E2" s="29"/>
      <c r="F2" s="29"/>
      <c r="G2" s="29"/>
      <c r="H2" s="29">
        <v>2024</v>
      </c>
      <c r="I2" s="29"/>
      <c r="J2" s="29"/>
      <c r="K2" s="29"/>
      <c r="L2" s="29">
        <v>2025</v>
      </c>
      <c r="M2" s="29"/>
      <c r="N2" s="29"/>
      <c r="O2" s="29"/>
      <c r="P2" s="29">
        <v>2026</v>
      </c>
      <c r="Q2" s="29"/>
      <c r="R2" s="29"/>
      <c r="S2" s="29"/>
      <c r="T2" s="29">
        <v>2027</v>
      </c>
      <c r="U2" s="29"/>
      <c r="V2" s="29"/>
      <c r="W2" s="29"/>
    </row>
    <row r="3" spans="2:23" x14ac:dyDescent="0.3">
      <c r="B3" s="1" t="s">
        <v>0</v>
      </c>
      <c r="C3" s="1"/>
      <c r="D3" s="1" t="s">
        <v>2</v>
      </c>
      <c r="E3" s="1" t="s">
        <v>3</v>
      </c>
      <c r="F3" s="1" t="s">
        <v>4</v>
      </c>
      <c r="G3" s="1" t="s">
        <v>5</v>
      </c>
      <c r="H3" s="1" t="s">
        <v>2</v>
      </c>
      <c r="I3" s="1" t="s">
        <v>3</v>
      </c>
      <c r="J3" s="1" t="s">
        <v>4</v>
      </c>
      <c r="K3" s="1" t="s">
        <v>5</v>
      </c>
      <c r="L3" s="1" t="s">
        <v>2</v>
      </c>
      <c r="M3" s="1" t="s">
        <v>3</v>
      </c>
      <c r="N3" s="1" t="s">
        <v>4</v>
      </c>
      <c r="O3" s="1" t="s">
        <v>5</v>
      </c>
      <c r="P3" s="1" t="s">
        <v>2</v>
      </c>
      <c r="Q3" s="1" t="s">
        <v>7</v>
      </c>
      <c r="R3" s="1" t="s">
        <v>6</v>
      </c>
      <c r="S3" s="1" t="s">
        <v>8</v>
      </c>
      <c r="T3" s="1" t="s">
        <v>9</v>
      </c>
      <c r="U3" s="1" t="s">
        <v>7</v>
      </c>
      <c r="V3" s="1" t="s">
        <v>6</v>
      </c>
      <c r="W3" s="1" t="s">
        <v>8</v>
      </c>
    </row>
    <row r="4" spans="2:23" x14ac:dyDescent="0.3">
      <c r="B4" t="s">
        <v>1</v>
      </c>
      <c r="D4" s="2">
        <v>54548</v>
      </c>
      <c r="E4" s="2">
        <v>58143</v>
      </c>
      <c r="F4" s="2">
        <v>59647</v>
      </c>
      <c r="G4" s="2">
        <v>65517</v>
      </c>
      <c r="H4" s="2">
        <v>61659</v>
      </c>
      <c r="I4" s="2">
        <v>64616</v>
      </c>
      <c r="J4" s="2">
        <v>65854</v>
      </c>
      <c r="K4" s="2">
        <v>72461</v>
      </c>
      <c r="L4" s="2">
        <v>66885</v>
      </c>
      <c r="M4" s="2">
        <v>71340</v>
      </c>
      <c r="N4" s="2">
        <v>74182</v>
      </c>
      <c r="O4" s="2">
        <v>82284</v>
      </c>
      <c r="P4" s="2">
        <v>77253</v>
      </c>
      <c r="Q4" s="7">
        <v>81152</v>
      </c>
      <c r="R4" s="7">
        <v>83423</v>
      </c>
      <c r="S4" s="7">
        <v>91876</v>
      </c>
      <c r="T4" s="7">
        <v>87149</v>
      </c>
      <c r="U4" s="7">
        <v>90982</v>
      </c>
      <c r="V4" s="7">
        <v>92946</v>
      </c>
      <c r="W4" s="7">
        <v>99046</v>
      </c>
    </row>
    <row r="5" spans="2:23" x14ac:dyDescent="0.3">
      <c r="B5" s="4" t="s">
        <v>13</v>
      </c>
      <c r="D5" s="3"/>
      <c r="E5" s="3"/>
      <c r="F5" s="3"/>
      <c r="G5" s="3"/>
      <c r="H5" s="3">
        <f>(H4-D4)/D4</f>
        <v>0.13036224976167779</v>
      </c>
      <c r="I5" s="3">
        <f t="shared" ref="I5:W5" si="0">(I4-E4)/E4</f>
        <v>0.11132896479369829</v>
      </c>
      <c r="J5" s="3">
        <f t="shared" si="0"/>
        <v>0.10406223280299093</v>
      </c>
      <c r="K5" s="3">
        <f t="shared" si="0"/>
        <v>0.10598775890226964</v>
      </c>
      <c r="L5" s="3">
        <f t="shared" si="0"/>
        <v>8.4756483238456679E-2</v>
      </c>
      <c r="M5" s="3">
        <f t="shared" si="0"/>
        <v>0.10406091370558376</v>
      </c>
      <c r="N5" s="3">
        <f t="shared" si="0"/>
        <v>0.12646156649558113</v>
      </c>
      <c r="O5" s="3">
        <f t="shared" si="0"/>
        <v>0.13556257849049833</v>
      </c>
      <c r="P5" s="3">
        <f t="shared" si="0"/>
        <v>0.15501233460417133</v>
      </c>
      <c r="Q5" s="8">
        <f t="shared" si="0"/>
        <v>0.1375385477992711</v>
      </c>
      <c r="R5" s="8">
        <f t="shared" si="0"/>
        <v>0.12457199859804265</v>
      </c>
      <c r="S5" s="8">
        <f t="shared" si="0"/>
        <v>0.11657187302513247</v>
      </c>
      <c r="T5" s="8">
        <f t="shared" si="0"/>
        <v>0.12809858516821354</v>
      </c>
      <c r="U5" s="8">
        <f t="shared" si="0"/>
        <v>0.12113071766561515</v>
      </c>
      <c r="V5" s="8">
        <f t="shared" si="0"/>
        <v>0.11415317118780192</v>
      </c>
      <c r="W5" s="8">
        <f t="shared" si="0"/>
        <v>7.8039966911924774E-2</v>
      </c>
    </row>
    <row r="6" spans="2:23" x14ac:dyDescent="0.3">
      <c r="B6" s="4" t="s">
        <v>14</v>
      </c>
      <c r="D6" s="3">
        <f>D4/D$22</f>
        <v>0.59189652553223815</v>
      </c>
      <c r="E6" s="3">
        <f>E4/E$22</f>
        <v>0.579552250707707</v>
      </c>
      <c r="F6" s="3">
        <f>F4/F$22</f>
        <v>0.56617940199335548</v>
      </c>
      <c r="G6" s="3">
        <f>G4/G$22</f>
        <v>0.55113268336179411</v>
      </c>
      <c r="H6" s="3">
        <f>H4/H$22</f>
        <v>0.5650671749848788</v>
      </c>
      <c r="I6" s="3">
        <f>I4/I$22</f>
        <v>0.55840160392685545</v>
      </c>
      <c r="J6" s="3">
        <f>J4/J$22</f>
        <v>0.54846339635212793</v>
      </c>
      <c r="K6" s="3">
        <f>K4/K$22</f>
        <v>0.53072539770896199</v>
      </c>
      <c r="L6" s="3">
        <f>L4/L$22</f>
        <v>0.54734938378696874</v>
      </c>
      <c r="M6" s="3">
        <f>M4/M$22</f>
        <v>0.53399402681197927</v>
      </c>
      <c r="N6" s="3">
        <f>N4/N$22</f>
        <v>0.52252988370536813</v>
      </c>
      <c r="O6" s="3">
        <f>O4/O$22</f>
        <v>0.50874871706092573</v>
      </c>
      <c r="P6" s="3">
        <f>P4/P$22</f>
        <v>0.51667335473515252</v>
      </c>
      <c r="Q6" s="8">
        <f>Q4/Q$22</f>
        <v>0.50945113721255797</v>
      </c>
      <c r="R6" s="8">
        <f>R4/R$22</f>
        <v>0.50274808056215126</v>
      </c>
      <c r="S6" s="8">
        <f>S4/S$22</f>
        <v>0.4880816408926949</v>
      </c>
      <c r="T6" s="8">
        <f>T4/T$22</f>
        <v>0.50463820818084959</v>
      </c>
      <c r="U6" s="8">
        <f>U4/U$22</f>
        <v>0.49586605697592667</v>
      </c>
      <c r="V6" s="8">
        <f>V4/V$22</f>
        <v>0.48990370171249664</v>
      </c>
      <c r="W6" s="8">
        <f>W4/W$22</f>
        <v>0.46534113866363475</v>
      </c>
    </row>
    <row r="7" spans="2:23" x14ac:dyDescent="0.3">
      <c r="B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8"/>
      <c r="R7" s="8"/>
      <c r="S7" s="8"/>
      <c r="T7" s="8"/>
      <c r="U7" s="8"/>
      <c r="V7" s="8"/>
      <c r="W7" s="8"/>
    </row>
    <row r="8" spans="2:23" x14ac:dyDescent="0.3"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7"/>
      <c r="R8" s="7"/>
      <c r="S8" s="7"/>
      <c r="T8" s="7"/>
      <c r="U8" s="7"/>
      <c r="V8" s="7"/>
      <c r="W8" s="7"/>
    </row>
    <row r="9" spans="2:23" x14ac:dyDescent="0.3">
      <c r="B9" t="s">
        <v>10</v>
      </c>
      <c r="D9" s="2">
        <v>28101</v>
      </c>
      <c r="E9" s="2">
        <v>31498</v>
      </c>
      <c r="F9" s="2">
        <v>33643</v>
      </c>
      <c r="G9" s="2">
        <v>38706</v>
      </c>
      <c r="H9" s="2">
        <v>35635</v>
      </c>
      <c r="I9" s="2">
        <v>38329</v>
      </c>
      <c r="J9" s="2">
        <v>39885</v>
      </c>
      <c r="K9" s="2">
        <v>46783</v>
      </c>
      <c r="L9" s="2">
        <v>41392</v>
      </c>
      <c r="M9" s="2">
        <v>46563</v>
      </c>
      <c r="N9" s="2">
        <v>50082</v>
      </c>
      <c r="O9" s="2">
        <v>58137</v>
      </c>
      <c r="P9" s="2">
        <v>55024</v>
      </c>
      <c r="Q9" s="7">
        <v>58884</v>
      </c>
      <c r="R9" s="7">
        <v>61577</v>
      </c>
      <c r="S9" s="7">
        <v>70913</v>
      </c>
      <c r="T9" s="7">
        <v>65449</v>
      </c>
      <c r="U9" s="7">
        <v>69629</v>
      </c>
      <c r="V9" s="7">
        <v>72291</v>
      </c>
      <c r="W9" s="7">
        <v>83809</v>
      </c>
    </row>
    <row r="10" spans="2:23" x14ac:dyDescent="0.3">
      <c r="B10" s="4" t="s">
        <v>13</v>
      </c>
      <c r="D10" s="3"/>
      <c r="E10" s="3"/>
      <c r="F10" s="3"/>
      <c r="G10" s="3"/>
      <c r="H10" s="3">
        <f>(H9-D9)/D9</f>
        <v>0.2681043379239173</v>
      </c>
      <c r="I10" s="3">
        <f t="shared" ref="I10" si="1">(I9-E9)/E9</f>
        <v>0.21687091243888501</v>
      </c>
      <c r="J10" s="3">
        <f t="shared" ref="J10" si="2">(J9-F9)/F9</f>
        <v>0.18553636714918409</v>
      </c>
      <c r="K10" s="3">
        <f t="shared" ref="K10" si="3">(K9-G9)/G9</f>
        <v>0.20867565752079781</v>
      </c>
      <c r="L10" s="3">
        <f t="shared" ref="L10" si="4">(L9-H9)/H9</f>
        <v>0.1615546513259436</v>
      </c>
      <c r="M10" s="3">
        <f t="shared" ref="M10" si="5">(M9-I9)/I9</f>
        <v>0.21482428448433302</v>
      </c>
      <c r="N10" s="3">
        <f t="shared" ref="N10" si="6">(N9-J9)/J9</f>
        <v>0.25566002256487402</v>
      </c>
      <c r="O10" s="3">
        <f t="shared" ref="O10" si="7">(O9-K9)/K9</f>
        <v>0.2426949960455721</v>
      </c>
      <c r="P10" s="3">
        <f t="shared" ref="P10" si="8">(P9-L9)/L9</f>
        <v>0.32933900270583688</v>
      </c>
      <c r="Q10" s="8">
        <f t="shared" ref="Q10" si="9">(Q9-M9)/M9</f>
        <v>0.26460923909541911</v>
      </c>
      <c r="R10" s="8">
        <f t="shared" ref="R10" si="10">(R9-N9)/N9</f>
        <v>0.22952358132662434</v>
      </c>
      <c r="S10" s="8">
        <f t="shared" ref="S10" si="11">(S9-O9)/O9</f>
        <v>0.21975678139566884</v>
      </c>
      <c r="T10" s="8">
        <f t="shared" ref="T10" si="12">(T9-P9)/P9</f>
        <v>0.18946277987787147</v>
      </c>
      <c r="U10" s="8">
        <f t="shared" ref="U10" si="13">(U9-Q9)/Q9</f>
        <v>0.18247741321921065</v>
      </c>
      <c r="V10" s="8">
        <f t="shared" ref="V10" si="14">(V9-R9)/R9</f>
        <v>0.17399353654773697</v>
      </c>
      <c r="W10" s="8">
        <f t="shared" ref="W10" si="15">(W9-S9)/S9</f>
        <v>0.18185664123644465</v>
      </c>
    </row>
    <row r="11" spans="2:23" x14ac:dyDescent="0.3">
      <c r="B11" s="4" t="s">
        <v>14</v>
      </c>
      <c r="D11" s="3">
        <f>D9/D$22</f>
        <v>0.30492198181384145</v>
      </c>
      <c r="E11" s="3">
        <f>E9/E$22</f>
        <v>0.31396276065547624</v>
      </c>
      <c r="F11" s="3">
        <f>F9/F$22</f>
        <v>0.31934504034171807</v>
      </c>
      <c r="G11" s="3">
        <f>G9/G$22</f>
        <v>0.325597045685877</v>
      </c>
      <c r="H11" s="3">
        <f>H9/H$22</f>
        <v>0.32657306768819078</v>
      </c>
      <c r="I11" s="3">
        <f>I9/I$22</f>
        <v>0.33123336444398355</v>
      </c>
      <c r="J11" s="3">
        <f>J9/J$22</f>
        <v>0.3321812276172233</v>
      </c>
      <c r="K11" s="3">
        <f>K9/K$22</f>
        <v>0.34265227199484372</v>
      </c>
      <c r="L11" s="3">
        <f>L9/L$22</f>
        <v>0.33872894810062359</v>
      </c>
      <c r="M11" s="3">
        <f>M9/M$22</f>
        <v>0.34853327544780199</v>
      </c>
      <c r="N11" s="3">
        <f>N9/N$22</f>
        <v>0.35277212309903005</v>
      </c>
      <c r="O11" s="3">
        <f>O9/O$22</f>
        <v>0.35945170584525593</v>
      </c>
      <c r="P11" s="3">
        <f>P9/P$22</f>
        <v>0.36800428036383093</v>
      </c>
      <c r="Q11" s="8">
        <f>Q9/Q$22</f>
        <v>0.36965842817951827</v>
      </c>
      <c r="R11" s="8">
        <f>R9/R$22</f>
        <v>0.37109332626224883</v>
      </c>
      <c r="S11" s="8">
        <f>S9/S$22</f>
        <v>0.37671789586642512</v>
      </c>
      <c r="T11" s="8">
        <f>T9/T$22</f>
        <v>0.37898387918654747</v>
      </c>
      <c r="U11" s="8">
        <f>U9/U$22</f>
        <v>0.37948888440764983</v>
      </c>
      <c r="V11" s="8">
        <f>V9/V$22</f>
        <v>0.38103445549564363</v>
      </c>
      <c r="W11" s="8">
        <f>W9/W$22</f>
        <v>0.3937541696813659</v>
      </c>
    </row>
    <row r="12" spans="2:23" x14ac:dyDescent="0.3">
      <c r="B12" s="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8"/>
      <c r="R12" s="8"/>
      <c r="S12" s="8"/>
      <c r="T12" s="8"/>
      <c r="U12" s="8"/>
      <c r="V12" s="8"/>
      <c r="W12" s="8"/>
    </row>
    <row r="13" spans="2:23" x14ac:dyDescent="0.3"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7"/>
      <c r="R13" s="7"/>
      <c r="S13" s="7"/>
      <c r="T13" s="7"/>
      <c r="U13" s="7"/>
      <c r="V13" s="7"/>
      <c r="W13" s="7"/>
    </row>
    <row r="14" spans="2:23" x14ac:dyDescent="0.3">
      <c r="B14" t="s">
        <v>11</v>
      </c>
      <c r="D14" s="2">
        <v>9509</v>
      </c>
      <c r="E14" s="2">
        <v>10683</v>
      </c>
      <c r="F14" s="2">
        <v>12060</v>
      </c>
      <c r="G14" s="2">
        <v>14654</v>
      </c>
      <c r="H14" s="2">
        <v>11824</v>
      </c>
      <c r="I14" s="2">
        <v>12771</v>
      </c>
      <c r="J14" s="2">
        <v>14331</v>
      </c>
      <c r="K14" s="2">
        <v>17288</v>
      </c>
      <c r="L14" s="2">
        <v>13921</v>
      </c>
      <c r="M14" s="2">
        <v>15694</v>
      </c>
      <c r="N14" s="2">
        <v>17703</v>
      </c>
      <c r="O14" s="2">
        <v>21317</v>
      </c>
      <c r="P14" s="2">
        <v>17243</v>
      </c>
      <c r="Q14" s="7">
        <v>19257</v>
      </c>
      <c r="R14" s="7">
        <v>20934</v>
      </c>
      <c r="S14" s="7">
        <v>25450</v>
      </c>
      <c r="T14" s="7">
        <v>20098</v>
      </c>
      <c r="U14" s="7">
        <v>22870</v>
      </c>
      <c r="V14" s="7">
        <v>24486</v>
      </c>
      <c r="W14" s="7">
        <v>29991</v>
      </c>
    </row>
    <row r="15" spans="2:23" x14ac:dyDescent="0.3">
      <c r="B15" s="4" t="s">
        <v>13</v>
      </c>
      <c r="D15" s="3"/>
      <c r="E15" s="3"/>
      <c r="F15" s="3"/>
      <c r="G15" s="3"/>
      <c r="H15" s="3">
        <f>(H14-D14)/D14</f>
        <v>0.24345357030181933</v>
      </c>
      <c r="I15" s="3">
        <f t="shared" ref="I15" si="16">(I14-E14)/E14</f>
        <v>0.19545071609098569</v>
      </c>
      <c r="J15" s="3">
        <f t="shared" ref="J15" si="17">(J14-F14)/F14</f>
        <v>0.18830845771144278</v>
      </c>
      <c r="K15" s="3">
        <f t="shared" ref="K15" si="18">(K14-G14)/G14</f>
        <v>0.17974614439743414</v>
      </c>
      <c r="L15" s="3">
        <f t="shared" ref="L15" si="19">(L14-H14)/H14</f>
        <v>0.17735115020297701</v>
      </c>
      <c r="M15" s="3">
        <f t="shared" ref="M15" si="20">(M14-I14)/I14</f>
        <v>0.22887792655234515</v>
      </c>
      <c r="N15" s="3">
        <f t="shared" ref="N15" si="21">(N14-J14)/J14</f>
        <v>0.23529411764705882</v>
      </c>
      <c r="O15" s="3">
        <f t="shared" ref="O15" si="22">(O14-K14)/K14</f>
        <v>0.23305182785747339</v>
      </c>
      <c r="P15" s="3">
        <f t="shared" ref="P15" si="23">(P14-L14)/L14</f>
        <v>0.23863228216363766</v>
      </c>
      <c r="Q15" s="8">
        <f t="shared" ref="Q15" si="24">(Q14-M14)/M14</f>
        <v>0.22702943800178413</v>
      </c>
      <c r="R15" s="8">
        <f t="shared" ref="R15" si="25">(R14-N14)/N14</f>
        <v>0.18251143873919676</v>
      </c>
      <c r="S15" s="8">
        <f t="shared" ref="S15" si="26">(S14-O14)/O14</f>
        <v>0.19388281653140685</v>
      </c>
      <c r="T15" s="8">
        <f t="shared" ref="T15" si="27">(T14-P14)/P14</f>
        <v>0.16557443600301572</v>
      </c>
      <c r="U15" s="8">
        <f t="shared" ref="U15" si="28">(U14-Q14)/Q14</f>
        <v>0.18762008620241991</v>
      </c>
      <c r="V15" s="8">
        <f t="shared" ref="V15" si="29">(V14-R14)/R14</f>
        <v>0.16967612496417311</v>
      </c>
      <c r="W15" s="8">
        <f t="shared" ref="W15" si="30">(W14-S14)/S14</f>
        <v>0.17842829076620825</v>
      </c>
    </row>
    <row r="16" spans="2:23" x14ac:dyDescent="0.3">
      <c r="B16" s="4" t="s">
        <v>14</v>
      </c>
      <c r="D16" s="3">
        <f>D14/D$22</f>
        <v>0.10318149265392045</v>
      </c>
      <c r="E16" s="3">
        <f>E14/E$22</f>
        <v>0.10648498863681671</v>
      </c>
      <c r="F16" s="3">
        <f>F14/F$22</f>
        <v>0.11447555766492644</v>
      </c>
      <c r="G16" s="3">
        <f>G14/G$22</f>
        <v>0.12327027095232888</v>
      </c>
      <c r="H16" s="3">
        <f>H14/H$22</f>
        <v>0.10835975732693048</v>
      </c>
      <c r="I16" s="3">
        <f>I14/I$22</f>
        <v>0.11036503162916105</v>
      </c>
      <c r="J16" s="3">
        <f>J14/J$22</f>
        <v>0.11935537603064879</v>
      </c>
      <c r="K16" s="3">
        <f>K14/K$22</f>
        <v>0.1266223302961943</v>
      </c>
      <c r="L16" s="3">
        <f>L14/L$22</f>
        <v>0.11392166811240773</v>
      </c>
      <c r="M16" s="3">
        <f>M14/M$22</f>
        <v>0.11747269774021872</v>
      </c>
      <c r="N16" s="3">
        <f>N14/N$22</f>
        <v>0.12469799319560179</v>
      </c>
      <c r="O16" s="3">
        <f>O14/O$22</f>
        <v>0.1317995770938184</v>
      </c>
      <c r="P16" s="3">
        <f>P14/P$22</f>
        <v>0.11532236490101659</v>
      </c>
      <c r="Q16" s="8">
        <f>Q14/Q$22</f>
        <v>0.12089043460792376</v>
      </c>
      <c r="R16" s="8">
        <f>R14/R$22</f>
        <v>0.12615859317559994</v>
      </c>
      <c r="S16" s="8">
        <f>S14/S$22</f>
        <v>0.13520046324087995</v>
      </c>
      <c r="T16" s="8">
        <f>T14/T$22</f>
        <v>0.11637791263260296</v>
      </c>
      <c r="U16" s="8">
        <f>U14/U$22</f>
        <v>0.1246450586164235</v>
      </c>
      <c r="V16" s="8">
        <f>V14/V$22</f>
        <v>0.1290618427918597</v>
      </c>
      <c r="W16" s="8">
        <f>W14/W$22</f>
        <v>0.14090469165499939</v>
      </c>
    </row>
    <row r="17" spans="2:23" x14ac:dyDescent="0.3">
      <c r="B17" s="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8"/>
      <c r="R17" s="8"/>
      <c r="S17" s="8"/>
      <c r="T17" s="8"/>
      <c r="U17" s="8"/>
      <c r="V17" s="8"/>
      <c r="W17" s="8"/>
    </row>
    <row r="18" spans="2:23" x14ac:dyDescent="0.3">
      <c r="B18" t="s">
        <v>48</v>
      </c>
      <c r="D18" s="2">
        <v>354.75799999999998</v>
      </c>
      <c r="E18" s="2">
        <v>406.06299999999999</v>
      </c>
      <c r="F18" s="2">
        <v>504.452</v>
      </c>
      <c r="G18" s="2">
        <v>576.48900000000003</v>
      </c>
      <c r="H18" s="2">
        <v>678.37</v>
      </c>
      <c r="I18" s="2">
        <v>711.01499999999999</v>
      </c>
      <c r="J18" s="2">
        <v>835.18600000000004</v>
      </c>
      <c r="K18" s="2">
        <v>999.48699999999997</v>
      </c>
      <c r="L18" s="2">
        <v>1158.97</v>
      </c>
      <c r="M18" s="2">
        <v>1258.8</v>
      </c>
      <c r="N18" s="2">
        <v>1405</v>
      </c>
      <c r="O18" s="2">
        <v>1657.9</v>
      </c>
      <c r="P18" s="7">
        <v>1785.39</v>
      </c>
      <c r="Q18" s="7">
        <v>1916.26</v>
      </c>
      <c r="R18" s="7">
        <v>2061.08</v>
      </c>
      <c r="S18" s="7">
        <v>2321.7199999999998</v>
      </c>
      <c r="T18" s="7">
        <v>2368.9</v>
      </c>
      <c r="U18" s="7">
        <v>2487.34</v>
      </c>
      <c r="V18" s="7"/>
      <c r="W18" s="7"/>
    </row>
    <row r="19" spans="2:23" x14ac:dyDescent="0.3">
      <c r="B19" s="4" t="s">
        <v>13</v>
      </c>
      <c r="D19" s="3"/>
      <c r="E19" s="3"/>
      <c r="F19" s="3"/>
      <c r="G19" s="3"/>
      <c r="H19" s="3">
        <f>(H18-D18)/D18</f>
        <v>0.91220493970537675</v>
      </c>
      <c r="I19" s="3">
        <f t="shared" ref="I19" si="31">(I18-E18)/E18</f>
        <v>0.75099676651160041</v>
      </c>
      <c r="J19" s="3">
        <f t="shared" ref="J19" si="32">(J18-F18)/F18</f>
        <v>0.65563026809290093</v>
      </c>
      <c r="K19" s="3">
        <f t="shared" ref="K19" si="33">(K18-G18)/G18</f>
        <v>0.73374860578432533</v>
      </c>
      <c r="L19" s="3">
        <f t="shared" ref="L19" si="34">(L18-H18)/H18</f>
        <v>0.70846293320754161</v>
      </c>
      <c r="M19" s="3">
        <f t="shared" ref="M19" si="35">(M18-I18)/I18</f>
        <v>0.77042678424505806</v>
      </c>
      <c r="N19" s="3">
        <f t="shared" ref="N19" si="36">(N18-J18)/J18</f>
        <v>0.68225999956895822</v>
      </c>
      <c r="O19" s="3">
        <f t="shared" ref="O19" si="37">(O18-K18)/K18</f>
        <v>0.65875093923182604</v>
      </c>
      <c r="P19" s="7">
        <f t="shared" ref="P19" si="38">(P18-L18)/L18</f>
        <v>0.54049716558668481</v>
      </c>
      <c r="Q19" s="8">
        <f t="shared" ref="Q19" si="39">(Q18-M18)/M18</f>
        <v>0.52229107086113769</v>
      </c>
      <c r="R19" s="8">
        <f t="shared" ref="R19" si="40">(R18-N18)/N18</f>
        <v>0.46696085409252663</v>
      </c>
      <c r="S19" s="8">
        <f t="shared" ref="S19" si="41">(S18-O18)/O18</f>
        <v>0.40039809397430465</v>
      </c>
      <c r="T19" s="8">
        <f t="shared" ref="T19" si="42">(T18-P18)/P18</f>
        <v>0.32682495141117623</v>
      </c>
      <c r="U19" s="8">
        <f t="shared" ref="U19" si="43">(U18-Q18)/Q18</f>
        <v>0.29801801425693808</v>
      </c>
      <c r="V19" s="8">
        <f t="shared" ref="V19" si="44">(V18-R18)/R18</f>
        <v>-1</v>
      </c>
      <c r="W19" s="8">
        <f t="shared" ref="W19" si="45">(W18-S18)/S18</f>
        <v>-1</v>
      </c>
    </row>
    <row r="20" spans="2:23" x14ac:dyDescent="0.3">
      <c r="B20" s="4" t="s">
        <v>14</v>
      </c>
      <c r="D20" s="3">
        <f>D18/D$22</f>
        <v>3.8494541982247877E-3</v>
      </c>
      <c r="E20" s="3">
        <f>E18/E$22</f>
        <v>4.0475160480044651E-3</v>
      </c>
      <c r="F20" s="3">
        <f>F18/F$22</f>
        <v>4.788343616516374E-3</v>
      </c>
      <c r="G20" s="3">
        <f>G18/G$22</f>
        <v>4.8494578429805601E-3</v>
      </c>
      <c r="H20" s="3">
        <f>H18/H$22</f>
        <v>6.216847816125662E-3</v>
      </c>
      <c r="I20" s="3">
        <f>I18/I$22</f>
        <v>6.1444830446956344E-3</v>
      </c>
      <c r="J20" s="3">
        <f>J18/J$22</f>
        <v>6.9558257683018246E-3</v>
      </c>
      <c r="K20" s="3">
        <f>K18/K$22</f>
        <v>7.3205329153605012E-3</v>
      </c>
      <c r="L20" s="3">
        <f>L18/L$22</f>
        <v>9.4843614461775153E-3</v>
      </c>
      <c r="M20" s="3">
        <f>M18/M$22</f>
        <v>9.4223672687260944E-3</v>
      </c>
      <c r="N20" s="3">
        <f>N18/N$22</f>
        <v>9.8966661266350637E-3</v>
      </c>
      <c r="O20" s="3">
        <f>O18/O$22</f>
        <v>1.0250528632727003E-2</v>
      </c>
      <c r="P20" s="7">
        <f>P18/P$22</f>
        <v>1.1940810593900482E-2</v>
      </c>
      <c r="Q20" s="8">
        <f>Q18/Q$22</f>
        <v>1.202978159743366E-2</v>
      </c>
      <c r="R20" s="8">
        <f>R18/R$22</f>
        <v>1.2421083081225064E-2</v>
      </c>
      <c r="S20" s="8">
        <f>S18/S$22</f>
        <v>1.2333894676448557E-2</v>
      </c>
      <c r="T20" s="8">
        <f>T18/T$22</f>
        <v>1.3717167739843425E-2</v>
      </c>
      <c r="U20" s="8">
        <f>U18/U$22</f>
        <v>1.3556390034935499E-2</v>
      </c>
      <c r="V20" s="8">
        <f>V18/V$22</f>
        <v>0</v>
      </c>
      <c r="W20" s="8">
        <f>W18/W$22</f>
        <v>0</v>
      </c>
    </row>
    <row r="21" spans="2:23" x14ac:dyDescent="0.3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7"/>
      <c r="R21" s="7"/>
      <c r="S21" s="7"/>
      <c r="T21" s="7"/>
      <c r="U21" s="7"/>
      <c r="V21" s="7"/>
      <c r="W21" s="7"/>
    </row>
    <row r="22" spans="2:23" x14ac:dyDescent="0.3">
      <c r="B22" s="5" t="s">
        <v>12</v>
      </c>
      <c r="C22" s="5"/>
      <c r="D22" s="6">
        <f>SUM(D4+D9+D14)</f>
        <v>92158</v>
      </c>
      <c r="E22" s="6">
        <f>SUM(E4+E9+E14)</f>
        <v>100324</v>
      </c>
      <c r="F22" s="6">
        <f>SUM(F4+F9+F14)</f>
        <v>105350</v>
      </c>
      <c r="G22" s="6">
        <f>SUM(G4+G9+G14)</f>
        <v>118877</v>
      </c>
      <c r="H22" s="6">
        <f>SUM(H4+H9+H14)</f>
        <v>109118</v>
      </c>
      <c r="I22" s="6">
        <f>SUM(I4+I9+I14)</f>
        <v>115716</v>
      </c>
      <c r="J22" s="6">
        <f>SUM(J4+J9+J14)</f>
        <v>120070</v>
      </c>
      <c r="K22" s="6">
        <f>SUM(K4+K9+K14)</f>
        <v>136532</v>
      </c>
      <c r="L22" s="6">
        <f>SUM(L4+L9+L14)</f>
        <v>122198</v>
      </c>
      <c r="M22" s="6">
        <f>SUM(M4+M9+M14)</f>
        <v>133597</v>
      </c>
      <c r="N22" s="6">
        <f>SUM(N4+N9+N14)</f>
        <v>141967</v>
      </c>
      <c r="O22" s="6">
        <f>SUM(O4+O9+O14)</f>
        <v>161738</v>
      </c>
      <c r="P22" s="6">
        <f>SUM(P4+P9+P14)</f>
        <v>149520</v>
      </c>
      <c r="Q22" s="9">
        <f>SUM(Q4+Q9+Q14)</f>
        <v>159293</v>
      </c>
      <c r="R22" s="9">
        <f>SUM(R4+R9+R14)</f>
        <v>165934</v>
      </c>
      <c r="S22" s="9">
        <f>SUM(S4+S9+S14)</f>
        <v>188239</v>
      </c>
      <c r="T22" s="9">
        <f>SUM(T4+T9+T14)</f>
        <v>172696</v>
      </c>
      <c r="U22" s="9">
        <f>SUM(U4+U9+U14)</f>
        <v>183481</v>
      </c>
      <c r="V22" s="9">
        <f>SUM(V4+V9+V14)</f>
        <v>189723</v>
      </c>
      <c r="W22" s="9">
        <f>SUM(W4+W9+W14)</f>
        <v>212846</v>
      </c>
    </row>
    <row r="23" spans="2:23" x14ac:dyDescent="0.3">
      <c r="B23" s="4" t="s">
        <v>13</v>
      </c>
      <c r="D23" s="3"/>
      <c r="E23" s="3"/>
      <c r="F23" s="3"/>
      <c r="G23" s="3"/>
      <c r="H23" s="3">
        <f>(H22-D22)/D22</f>
        <v>0.18403177152281949</v>
      </c>
      <c r="I23" s="3">
        <f t="shared" ref="I23" si="46">(I22-E22)/E22</f>
        <v>0.15342290977233763</v>
      </c>
      <c r="J23" s="3">
        <f t="shared" ref="J23" si="47">(J22-F22)/F22</f>
        <v>0.13972472710014239</v>
      </c>
      <c r="K23" s="3">
        <f t="shared" ref="K23" si="48">(K22-G22)/G22</f>
        <v>0.14851485148514851</v>
      </c>
      <c r="L23" s="3">
        <f t="shared" ref="L23" si="49">(L22-H22)/H22</f>
        <v>0.11987023222566397</v>
      </c>
      <c r="M23" s="3">
        <f t="shared" ref="M23" si="50">(M22-I22)/I22</f>
        <v>0.15452487123647551</v>
      </c>
      <c r="N23" s="3">
        <f t="shared" ref="N23" si="51">(N22-J22)/J22</f>
        <v>0.18236861830598816</v>
      </c>
      <c r="O23" s="3">
        <f t="shared" ref="O23" si="52">(O22-K22)/K22</f>
        <v>0.1846160607037178</v>
      </c>
      <c r="P23" s="3">
        <f t="shared" ref="P23" si="53">(P22-L22)/L22</f>
        <v>0.22358794742958149</v>
      </c>
      <c r="Q23" s="8">
        <f t="shared" ref="Q23" si="54">(Q22-M22)/M22</f>
        <v>0.19233964834539699</v>
      </c>
      <c r="R23" s="8">
        <f t="shared" ref="R23" si="55">(R22-N22)/N22</f>
        <v>0.16882092317228653</v>
      </c>
      <c r="S23" s="8">
        <f t="shared" ref="S23" si="56">(S22-O22)/O22</f>
        <v>0.16385141401525924</v>
      </c>
      <c r="T23" s="8">
        <f t="shared" ref="T23" si="57">(T22-P22)/P22</f>
        <v>0.15500267522739433</v>
      </c>
      <c r="U23" s="8">
        <f t="shared" ref="U23" si="58">(U22-Q22)/Q22</f>
        <v>0.15184596937718545</v>
      </c>
      <c r="V23" s="8">
        <f t="shared" ref="V23" si="59">(V22-R22)/R22</f>
        <v>0.14336422915134933</v>
      </c>
      <c r="W23" s="8">
        <f>(W22-S22)/S22</f>
        <v>0.13072211390838243</v>
      </c>
    </row>
    <row r="24" spans="2:23" x14ac:dyDescent="0.3">
      <c r="Q24" s="10"/>
      <c r="R24" s="10"/>
      <c r="S24" s="10"/>
      <c r="T24" s="10"/>
      <c r="U24" s="10"/>
      <c r="V24" s="10"/>
      <c r="W24" s="10"/>
    </row>
    <row r="25" spans="2:23" x14ac:dyDescent="0.3">
      <c r="B25" t="s">
        <v>15</v>
      </c>
      <c r="D25" s="3">
        <f>D4/D9</f>
        <v>1.9411408846660261</v>
      </c>
      <c r="E25" s="3">
        <f>E4/E9</f>
        <v>1.8459267255063814</v>
      </c>
      <c r="F25" s="3">
        <f>F4/F9</f>
        <v>1.7729393930386708</v>
      </c>
      <c r="G25" s="3">
        <f>G4/G9</f>
        <v>1.6926833049139669</v>
      </c>
      <c r="H25" s="3">
        <f>H4/H9</f>
        <v>1.7302932510172584</v>
      </c>
      <c r="I25" s="3">
        <f>I4/I9</f>
        <v>1.6858253541704715</v>
      </c>
      <c r="J25" s="3">
        <f>J4/J9</f>
        <v>1.6510969035978438</v>
      </c>
      <c r="K25" s="3">
        <f>K4/K9</f>
        <v>1.5488745911976574</v>
      </c>
      <c r="L25" s="3">
        <f>L4/L9</f>
        <v>1.6158919597989949</v>
      </c>
      <c r="M25" s="3">
        <f>M4/M9</f>
        <v>1.5321177759165003</v>
      </c>
      <c r="N25" s="3">
        <f>N4/N9</f>
        <v>1.4812108142646061</v>
      </c>
      <c r="O25" s="3">
        <f>O4/O9</f>
        <v>1.415346509107797</v>
      </c>
      <c r="P25" s="3">
        <f>P4/P9</f>
        <v>1.4039873509741203</v>
      </c>
      <c r="Q25" s="8">
        <f>Q4/Q9</f>
        <v>1.3781672440730928</v>
      </c>
      <c r="R25" s="8">
        <f>R4/R9</f>
        <v>1.3547753219546259</v>
      </c>
      <c r="S25" s="8">
        <f>S4/S9</f>
        <v>1.2956157545160971</v>
      </c>
      <c r="T25" s="8">
        <f>T4/T9</f>
        <v>1.3315558679276995</v>
      </c>
      <c r="U25" s="8">
        <f>U4/U9</f>
        <v>1.3066681985954127</v>
      </c>
      <c r="V25" s="8">
        <f>V4/V9</f>
        <v>1.2857202141345396</v>
      </c>
      <c r="W25" s="8">
        <f>W4/W9</f>
        <v>1.1818062499254256</v>
      </c>
    </row>
    <row r="26" spans="2:23" x14ac:dyDescent="0.3">
      <c r="B26" t="s">
        <v>16</v>
      </c>
      <c r="D26" s="3">
        <f>D4/D14</f>
        <v>5.7364601956041641</v>
      </c>
      <c r="E26" s="3">
        <f>E4/E14</f>
        <v>5.4425723111485542</v>
      </c>
      <c r="F26" s="3">
        <f>F4/F14</f>
        <v>4.9458540630182419</v>
      </c>
      <c r="G26" s="3">
        <f>G4/G14</f>
        <v>4.470929439061007</v>
      </c>
      <c r="H26" s="3">
        <f>H4/H14</f>
        <v>5.2147327469553453</v>
      </c>
      <c r="I26" s="3">
        <f>I4/I14</f>
        <v>5.0595881293555713</v>
      </c>
      <c r="J26" s="3">
        <f>J4/J14</f>
        <v>4.5952131742376663</v>
      </c>
      <c r="K26" s="3">
        <f>K4/K14</f>
        <v>4.1914044423877836</v>
      </c>
      <c r="L26" s="3">
        <f>L4/L14</f>
        <v>4.8046117376625244</v>
      </c>
      <c r="M26" s="3">
        <f>M4/M14</f>
        <v>4.5456862495221104</v>
      </c>
      <c r="N26" s="3">
        <f>N4/N14</f>
        <v>4.1903632152742469</v>
      </c>
      <c r="O26" s="3">
        <f>O4/O14</f>
        <v>3.8600178261481446</v>
      </c>
      <c r="P26" s="3">
        <f>P4/P14</f>
        <v>4.4802528562315143</v>
      </c>
      <c r="Q26" s="8">
        <f>Q4/Q14</f>
        <v>4.2141558913641797</v>
      </c>
      <c r="R26" s="8">
        <f>R4/R14</f>
        <v>3.9850482468711186</v>
      </c>
      <c r="S26" s="8">
        <f>S4/S14</f>
        <v>3.6100589390962674</v>
      </c>
      <c r="T26" s="8">
        <f>T4/T14</f>
        <v>4.3362026072245996</v>
      </c>
      <c r="U26" s="8">
        <f>U4/U14</f>
        <v>3.9782247485789242</v>
      </c>
      <c r="V26" s="8">
        <f>V4/V14</f>
        <v>3.7958833619210979</v>
      </c>
      <c r="W26" s="8">
        <f t="shared" ref="W26" si="60">W4/W14</f>
        <v>3.3025240905605013</v>
      </c>
    </row>
    <row r="27" spans="2:23" x14ac:dyDescent="0.3">
      <c r="B27" t="s">
        <v>17</v>
      </c>
      <c r="D27" s="3">
        <f>D9/D4</f>
        <v>0.51516095915523941</v>
      </c>
      <c r="E27" s="3">
        <f>E9/E4</f>
        <v>0.54173331269456337</v>
      </c>
      <c r="F27" s="3">
        <f>F9/F4</f>
        <v>0.56403507301289246</v>
      </c>
      <c r="G27" s="3">
        <f>G9/G4</f>
        <v>0.59077796602408539</v>
      </c>
      <c r="H27" s="3">
        <f>H9/H4</f>
        <v>0.57793671645664058</v>
      </c>
      <c r="I27" s="3">
        <f>I9/I4</f>
        <v>0.59318125541661504</v>
      </c>
      <c r="J27" s="3">
        <f>J9/J4</f>
        <v>0.60565797066237437</v>
      </c>
      <c r="K27" s="3">
        <f>K9/K4</f>
        <v>0.6456300630684092</v>
      </c>
      <c r="L27" s="3">
        <f>L9/L4</f>
        <v>0.61885325558794946</v>
      </c>
      <c r="M27" s="3">
        <f>M9/M4</f>
        <v>0.65269133725820017</v>
      </c>
      <c r="N27" s="3">
        <f>N9/N4</f>
        <v>0.67512334528591844</v>
      </c>
      <c r="O27" s="3">
        <f>O9/O4</f>
        <v>0.70654076126585974</v>
      </c>
      <c r="P27" s="3">
        <f>P9/P4</f>
        <v>0.71225712917297712</v>
      </c>
      <c r="Q27" s="8">
        <f>Q9/Q4</f>
        <v>0.72560134069400628</v>
      </c>
      <c r="R27" s="8">
        <f>R9/R4</f>
        <v>0.73812977236493538</v>
      </c>
      <c r="S27" s="8">
        <f>S9/S4</f>
        <v>0.77183377595890112</v>
      </c>
      <c r="T27" s="8">
        <f>T9/T4</f>
        <v>0.7510011589346981</v>
      </c>
      <c r="U27" s="8">
        <f>U9/U4</f>
        <v>0.76530522520938205</v>
      </c>
      <c r="V27" s="8">
        <f>V9/V4</f>
        <v>0.77777419146601257</v>
      </c>
      <c r="W27" s="8">
        <f t="shared" ref="W27" si="61">W9/W4</f>
        <v>0.84616238919290032</v>
      </c>
    </row>
    <row r="28" spans="2:23" x14ac:dyDescent="0.3">
      <c r="B28" t="s">
        <v>18</v>
      </c>
      <c r="D28" s="3">
        <f>D9/D14</f>
        <v>2.9552003365232937</v>
      </c>
      <c r="E28" s="3">
        <f>E9/E14</f>
        <v>2.9484227276982122</v>
      </c>
      <c r="F28" s="3">
        <f>F9/F14</f>
        <v>2.7896351575456051</v>
      </c>
      <c r="G28" s="3">
        <f>G9/G14</f>
        <v>2.6413266002456668</v>
      </c>
      <c r="H28" s="3">
        <f>H9/H14</f>
        <v>3.0137855209742894</v>
      </c>
      <c r="I28" s="3">
        <f>I9/I14</f>
        <v>3.0012528384621406</v>
      </c>
      <c r="J28" s="3">
        <f>J9/J14</f>
        <v>2.7831274858697927</v>
      </c>
      <c r="K28" s="3">
        <f>K9/K14</f>
        <v>2.7060967144840351</v>
      </c>
      <c r="L28" s="3">
        <f>L9/L14</f>
        <v>2.973349615688528</v>
      </c>
      <c r="M28" s="3">
        <f>M9/M14</f>
        <v>2.9669300369567986</v>
      </c>
      <c r="N28" s="3">
        <f>N9/N14</f>
        <v>2.8290120318590071</v>
      </c>
      <c r="O28" s="3">
        <f>O9/O14</f>
        <v>2.7272599333864989</v>
      </c>
      <c r="P28" s="3">
        <f>P9/P14</f>
        <v>3.1910920373484895</v>
      </c>
      <c r="Q28" s="8">
        <f>Q9/Q14</f>
        <v>3.0577971646673938</v>
      </c>
      <c r="R28" s="8">
        <f>R9/R14</f>
        <v>2.9414827553262635</v>
      </c>
      <c r="S28" s="8">
        <f>S9/S14</f>
        <v>2.7863654223968566</v>
      </c>
      <c r="T28" s="8">
        <f>T9/T14</f>
        <v>3.2564931834013335</v>
      </c>
      <c r="U28" s="8">
        <f>U9/U14</f>
        <v>3.0445561871447313</v>
      </c>
      <c r="V28" s="8">
        <f>V9/V14</f>
        <v>2.9523401127174713</v>
      </c>
      <c r="W28" s="8">
        <f t="shared" ref="W28" si="62">W9/W14</f>
        <v>2.7944716748357838</v>
      </c>
    </row>
    <row r="29" spans="2:23" x14ac:dyDescent="0.3">
      <c r="B29" t="s">
        <v>19</v>
      </c>
      <c r="D29" s="3">
        <f>D14/D4</f>
        <v>0.17432353156852681</v>
      </c>
      <c r="E29" s="3">
        <f>E14/E4</f>
        <v>0.18373664929570196</v>
      </c>
      <c r="F29" s="3">
        <f>F14/F4</f>
        <v>0.20218954851040288</v>
      </c>
      <c r="G29" s="3">
        <f>G14/G4</f>
        <v>0.22366713982630462</v>
      </c>
      <c r="H29" s="3">
        <f>H14/H4</f>
        <v>0.1917643815177022</v>
      </c>
      <c r="I29" s="3">
        <f>I14/I4</f>
        <v>0.19764454624241673</v>
      </c>
      <c r="J29" s="3">
        <f>J14/J4</f>
        <v>0.21761776050050111</v>
      </c>
      <c r="K29" s="3">
        <f>K14/K4</f>
        <v>0.23858351389023061</v>
      </c>
      <c r="L29" s="3">
        <f>L14/L4</f>
        <v>0.20813336323540405</v>
      </c>
      <c r="M29" s="3">
        <f>M14/M4</f>
        <v>0.2199887860947575</v>
      </c>
      <c r="N29" s="3">
        <f>N14/N4</f>
        <v>0.23864279744412392</v>
      </c>
      <c r="O29" s="3">
        <f>O14/O4</f>
        <v>0.25906616110057851</v>
      </c>
      <c r="P29" s="3">
        <f>P14/P4</f>
        <v>0.2232016879603381</v>
      </c>
      <c r="Q29" s="8">
        <f>Q14/Q4</f>
        <v>0.23729544558359622</v>
      </c>
      <c r="R29" s="8">
        <f>R14/R4</f>
        <v>0.25093799072198314</v>
      </c>
      <c r="S29" s="8">
        <f>S14/S4</f>
        <v>0.27700378771387524</v>
      </c>
      <c r="T29" s="8">
        <f>T14/T4</f>
        <v>0.23061653031015847</v>
      </c>
      <c r="U29" s="8">
        <f>U14/U4</f>
        <v>0.25136840254116199</v>
      </c>
      <c r="V29" s="8">
        <f>V14/V4</f>
        <v>0.26344328965205605</v>
      </c>
      <c r="W29" s="8">
        <f t="shared" ref="W29" si="63">W14/W4</f>
        <v>0.30279869959412797</v>
      </c>
    </row>
    <row r="30" spans="2:23" x14ac:dyDescent="0.3">
      <c r="B30" t="s">
        <v>20</v>
      </c>
      <c r="D30" s="3">
        <f>D14/D9</f>
        <v>0.33838653428703602</v>
      </c>
      <c r="E30" s="3">
        <f>E14/E9</f>
        <v>0.33916439138992954</v>
      </c>
      <c r="F30" s="3">
        <f>F14/F9</f>
        <v>0.35846981541479656</v>
      </c>
      <c r="G30" s="3">
        <f>G14/G9</f>
        <v>0.37859763344184366</v>
      </c>
      <c r="H30" s="3">
        <f>H14/H9</f>
        <v>0.3318086151255788</v>
      </c>
      <c r="I30" s="3">
        <f>I14/I9</f>
        <v>0.3331941871689843</v>
      </c>
      <c r="J30" s="3">
        <f>J14/J9</f>
        <v>0.35930801053027456</v>
      </c>
      <c r="K30" s="3">
        <f>K14/K9</f>
        <v>0.36953594254323152</v>
      </c>
      <c r="L30" s="3">
        <f>L14/L9</f>
        <v>0.33632102821801313</v>
      </c>
      <c r="M30" s="3">
        <f>M14/M9</f>
        <v>0.33704872967807059</v>
      </c>
      <c r="N30" s="3">
        <f>N14/N9</f>
        <v>0.35348029232059425</v>
      </c>
      <c r="O30" s="3">
        <f>O14/O9</f>
        <v>0.36666838674166191</v>
      </c>
      <c r="P30" s="3">
        <f>P14/P9</f>
        <v>0.31337234661238733</v>
      </c>
      <c r="Q30" s="8">
        <f>Q14/Q9</f>
        <v>0.32703281027104136</v>
      </c>
      <c r="R30" s="8">
        <f>R14/R9</f>
        <v>0.33996459717102162</v>
      </c>
      <c r="S30" s="8">
        <f>S14/S9</f>
        <v>0.35889047142272928</v>
      </c>
      <c r="T30" s="8">
        <f>T14/T9</f>
        <v>0.30707879417561768</v>
      </c>
      <c r="U30" s="8">
        <f>U14/U9</f>
        <v>0.32845509773226672</v>
      </c>
      <c r="V30" s="8">
        <f>V14/V9</f>
        <v>0.338714362783749</v>
      </c>
      <c r="W30" s="8">
        <f t="shared" ref="W30" si="64">W14/W9</f>
        <v>0.35784939564963192</v>
      </c>
    </row>
  </sheetData>
  <mergeCells count="5">
    <mergeCell ref="D2:G2"/>
    <mergeCell ref="H2:K2"/>
    <mergeCell ref="L2:O2"/>
    <mergeCell ref="P2:S2"/>
    <mergeCell ref="T2:W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D0128-072D-4884-A8E0-BC0368751B91}">
  <sheetPr>
    <tabColor rgb="FF1D2330"/>
  </sheetPr>
  <dimension ref="B1:AN99"/>
  <sheetViews>
    <sheetView showGridLines="0" tabSelected="1" zoomScale="55" zoomScaleNormal="55" workbookViewId="0">
      <selection activeCell="L76" sqref="L76"/>
    </sheetView>
  </sheetViews>
  <sheetFormatPr defaultRowHeight="14.4" x14ac:dyDescent="0.3"/>
  <cols>
    <col min="2" max="21" width="14.44140625" customWidth="1"/>
    <col min="24" max="27" width="13.33203125" customWidth="1"/>
    <col min="28" max="28" width="45.6640625" bestFit="1" customWidth="1"/>
    <col min="29" max="40" width="8.5546875" bestFit="1" customWidth="1"/>
  </cols>
  <sheetData>
    <row r="1" spans="2:37" ht="21" x14ac:dyDescent="0.4"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spans="2:37" x14ac:dyDescent="0.3"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2:37" x14ac:dyDescent="0.3">
      <c r="X3" s="16" t="s">
        <v>21</v>
      </c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</row>
    <row r="4" spans="2:37" x14ac:dyDescent="0.3">
      <c r="X4" s="17" t="s">
        <v>22</v>
      </c>
      <c r="Y4" s="12" t="s">
        <v>23</v>
      </c>
      <c r="Z4" s="12" t="s">
        <v>24</v>
      </c>
      <c r="AA4" s="12" t="s">
        <v>25</v>
      </c>
      <c r="AB4" s="12" t="s">
        <v>26</v>
      </c>
      <c r="AC4" s="12" t="s">
        <v>27</v>
      </c>
      <c r="AD4" s="12" t="s">
        <v>28</v>
      </c>
      <c r="AE4" s="12" t="s">
        <v>29</v>
      </c>
      <c r="AF4" s="12" t="s">
        <v>30</v>
      </c>
      <c r="AG4" s="12" t="s">
        <v>31</v>
      </c>
      <c r="AH4" s="12" t="s">
        <v>32</v>
      </c>
      <c r="AI4" s="12" t="s">
        <v>33</v>
      </c>
      <c r="AJ4" s="12" t="s">
        <v>34</v>
      </c>
      <c r="AK4" s="12" t="s">
        <v>35</v>
      </c>
    </row>
    <row r="5" spans="2:37" x14ac:dyDescent="0.3">
      <c r="X5" s="18" t="s">
        <v>1</v>
      </c>
      <c r="Y5" s="14">
        <f>Sheet1!D4</f>
        <v>54548</v>
      </c>
      <c r="Z5" s="14">
        <f>Sheet1!E4</f>
        <v>58143</v>
      </c>
      <c r="AA5" s="14">
        <f>Sheet1!F4</f>
        <v>59647</v>
      </c>
      <c r="AB5" s="14">
        <f>Sheet1!G4</f>
        <v>65517</v>
      </c>
      <c r="AC5" s="14">
        <f>Sheet1!H4</f>
        <v>61659</v>
      </c>
      <c r="AD5" s="14">
        <f>Sheet1!I4</f>
        <v>64616</v>
      </c>
      <c r="AE5" s="14">
        <f>Sheet1!J4</f>
        <v>65854</v>
      </c>
      <c r="AF5" s="14">
        <f>Sheet1!K4</f>
        <v>72461</v>
      </c>
      <c r="AG5" s="14">
        <f>Sheet1!L4</f>
        <v>66885</v>
      </c>
      <c r="AH5" s="14">
        <f>Sheet1!M4</f>
        <v>71340</v>
      </c>
      <c r="AI5" s="14">
        <f>Sheet1!N4</f>
        <v>74182</v>
      </c>
      <c r="AJ5" s="14">
        <f>Sheet1!O4</f>
        <v>82284</v>
      </c>
      <c r="AK5" s="14">
        <f>Sheet1!P4</f>
        <v>77253</v>
      </c>
    </row>
    <row r="6" spans="2:37" x14ac:dyDescent="0.3">
      <c r="X6" s="18" t="s">
        <v>10</v>
      </c>
      <c r="Y6" s="14">
        <f>Sheet1!D9</f>
        <v>28101</v>
      </c>
      <c r="Z6" s="14">
        <f>Sheet1!E9</f>
        <v>31498</v>
      </c>
      <c r="AA6" s="14">
        <f>Sheet1!F9</f>
        <v>33643</v>
      </c>
      <c r="AB6" s="14">
        <f>Sheet1!G9</f>
        <v>38706</v>
      </c>
      <c r="AC6" s="14">
        <f>Sheet1!H9</f>
        <v>35635</v>
      </c>
      <c r="AD6" s="14">
        <f>Sheet1!I9</f>
        <v>38329</v>
      </c>
      <c r="AE6" s="14">
        <f>Sheet1!J9</f>
        <v>39885</v>
      </c>
      <c r="AF6" s="14">
        <f>Sheet1!K9</f>
        <v>46783</v>
      </c>
      <c r="AG6" s="14">
        <f>Sheet1!L9</f>
        <v>41392</v>
      </c>
      <c r="AH6" s="14">
        <f>Sheet1!M9</f>
        <v>46563</v>
      </c>
      <c r="AI6" s="14">
        <f>Sheet1!N9</f>
        <v>50082</v>
      </c>
      <c r="AJ6" s="14">
        <f>Sheet1!O9</f>
        <v>58137</v>
      </c>
      <c r="AK6" s="14">
        <f>Sheet1!P9</f>
        <v>55024</v>
      </c>
    </row>
    <row r="7" spans="2:37" x14ac:dyDescent="0.3">
      <c r="X7" s="18" t="s">
        <v>11</v>
      </c>
      <c r="Y7" s="14">
        <f>Sheet1!D14</f>
        <v>9509</v>
      </c>
      <c r="Z7" s="14">
        <f>Sheet1!E14</f>
        <v>10683</v>
      </c>
      <c r="AA7" s="14">
        <f>Sheet1!F14</f>
        <v>12060</v>
      </c>
      <c r="AB7" s="14">
        <f>Sheet1!G14</f>
        <v>14654</v>
      </c>
      <c r="AC7" s="14">
        <f>Sheet1!H14</f>
        <v>11824</v>
      </c>
      <c r="AD7" s="14">
        <f>Sheet1!I14</f>
        <v>12771</v>
      </c>
      <c r="AE7" s="14">
        <f>Sheet1!J14</f>
        <v>14331</v>
      </c>
      <c r="AF7" s="14">
        <f>Sheet1!K14</f>
        <v>17288</v>
      </c>
      <c r="AG7" s="14">
        <f>Sheet1!L14</f>
        <v>13921</v>
      </c>
      <c r="AH7" s="14">
        <f>Sheet1!M14</f>
        <v>15694</v>
      </c>
      <c r="AI7" s="14">
        <f>Sheet1!N14</f>
        <v>17703</v>
      </c>
      <c r="AJ7" s="14">
        <f>Sheet1!O14</f>
        <v>21317</v>
      </c>
      <c r="AK7" s="14">
        <f>Sheet1!P14</f>
        <v>17243</v>
      </c>
    </row>
    <row r="8" spans="2:37" x14ac:dyDescent="0.3">
      <c r="X8" s="18" t="s">
        <v>12</v>
      </c>
      <c r="Y8" s="14">
        <f>Sheet1!D22</f>
        <v>92158</v>
      </c>
      <c r="Z8" s="14">
        <f>Sheet1!E22</f>
        <v>100324</v>
      </c>
      <c r="AA8" s="14">
        <f>Sheet1!F22</f>
        <v>105350</v>
      </c>
      <c r="AB8" s="14">
        <f>Sheet1!G22</f>
        <v>118877</v>
      </c>
      <c r="AC8" s="14">
        <f>Sheet1!H22</f>
        <v>109118</v>
      </c>
      <c r="AD8" s="14">
        <f>Sheet1!I22</f>
        <v>115716</v>
      </c>
      <c r="AE8" s="14">
        <f>Sheet1!J22</f>
        <v>120070</v>
      </c>
      <c r="AF8" s="14">
        <f>Sheet1!K22</f>
        <v>136532</v>
      </c>
      <c r="AG8" s="14">
        <f>Sheet1!L22</f>
        <v>122198</v>
      </c>
      <c r="AH8" s="14">
        <f>Sheet1!M22</f>
        <v>133597</v>
      </c>
      <c r="AI8" s="14">
        <f>Sheet1!N22</f>
        <v>141967</v>
      </c>
      <c r="AJ8" s="14">
        <f>Sheet1!O22</f>
        <v>161738</v>
      </c>
      <c r="AK8" s="14">
        <f>Sheet1!P22</f>
        <v>149520</v>
      </c>
    </row>
    <row r="9" spans="2:37" x14ac:dyDescent="0.3">
      <c r="X9" s="18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</row>
    <row r="10" spans="2:37" x14ac:dyDescent="0.3">
      <c r="X10" s="16" t="s">
        <v>36</v>
      </c>
      <c r="Y10" s="11"/>
      <c r="Z10" s="11"/>
      <c r="AA10" s="11"/>
      <c r="AB10" s="11"/>
      <c r="AC10" s="11"/>
      <c r="AD10" s="11"/>
      <c r="AE10" s="11"/>
      <c r="AF10" s="11"/>
      <c r="AG10" s="11"/>
      <c r="AH10" s="13"/>
      <c r="AI10" s="13"/>
      <c r="AJ10" s="13"/>
      <c r="AK10" s="13"/>
    </row>
    <row r="11" spans="2:37" x14ac:dyDescent="0.3">
      <c r="X11" s="17" t="s">
        <v>22</v>
      </c>
      <c r="Y11" s="12" t="s">
        <v>27</v>
      </c>
      <c r="Z11" s="12" t="s">
        <v>28</v>
      </c>
      <c r="AA11" s="12" t="s">
        <v>29</v>
      </c>
      <c r="AB11" s="12" t="s">
        <v>30</v>
      </c>
      <c r="AC11" s="12" t="s">
        <v>31</v>
      </c>
      <c r="AD11" s="12" t="s">
        <v>32</v>
      </c>
      <c r="AE11" s="12" t="s">
        <v>33</v>
      </c>
      <c r="AF11" s="12" t="s">
        <v>34</v>
      </c>
      <c r="AG11" s="12" t="s">
        <v>35</v>
      </c>
      <c r="AH11" s="13"/>
      <c r="AI11" s="13"/>
      <c r="AJ11" s="13"/>
      <c r="AK11" s="13"/>
    </row>
    <row r="12" spans="2:37" x14ac:dyDescent="0.3">
      <c r="X12" s="18" t="s">
        <v>1</v>
      </c>
      <c r="Y12" s="15">
        <f>Sheet1!H5</f>
        <v>0.13036224976167779</v>
      </c>
      <c r="Z12" s="15">
        <f>Sheet1!I5</f>
        <v>0.11132896479369829</v>
      </c>
      <c r="AA12" s="15">
        <f>Sheet1!J5</f>
        <v>0.10406223280299093</v>
      </c>
      <c r="AB12" s="15">
        <f>Sheet1!K5</f>
        <v>0.10598775890226964</v>
      </c>
      <c r="AC12" s="15">
        <f>Sheet1!L5</f>
        <v>8.4756483238456679E-2</v>
      </c>
      <c r="AD12" s="15">
        <f>Sheet1!M5</f>
        <v>0.10406091370558376</v>
      </c>
      <c r="AE12" s="15">
        <f>Sheet1!N5</f>
        <v>0.12646156649558113</v>
      </c>
      <c r="AF12" s="15">
        <f>Sheet1!O5</f>
        <v>0.13556257849049833</v>
      </c>
      <c r="AG12" s="15">
        <f>Sheet1!P5</f>
        <v>0.15501233460417133</v>
      </c>
      <c r="AH12" s="13"/>
      <c r="AI12" s="13"/>
      <c r="AJ12" s="13"/>
      <c r="AK12" s="13"/>
    </row>
    <row r="13" spans="2:37" x14ac:dyDescent="0.3">
      <c r="X13" s="18" t="s">
        <v>10</v>
      </c>
      <c r="Y13" s="15">
        <f>Sheet1!H10</f>
        <v>0.2681043379239173</v>
      </c>
      <c r="Z13" s="15">
        <f>Sheet1!I10</f>
        <v>0.21687091243888501</v>
      </c>
      <c r="AA13" s="15">
        <f>Sheet1!J10</f>
        <v>0.18553636714918409</v>
      </c>
      <c r="AB13" s="15">
        <f>Sheet1!K10</f>
        <v>0.20867565752079781</v>
      </c>
      <c r="AC13" s="15">
        <f>Sheet1!L10</f>
        <v>0.1615546513259436</v>
      </c>
      <c r="AD13" s="15">
        <f>Sheet1!M10</f>
        <v>0.21482428448433302</v>
      </c>
      <c r="AE13" s="15">
        <f>Sheet1!N10</f>
        <v>0.25566002256487402</v>
      </c>
      <c r="AF13" s="15">
        <f>Sheet1!O10</f>
        <v>0.2426949960455721</v>
      </c>
      <c r="AG13" s="15">
        <f>Sheet1!P10</f>
        <v>0.32933900270583688</v>
      </c>
      <c r="AH13" s="13"/>
      <c r="AI13" s="13"/>
      <c r="AJ13" s="13"/>
      <c r="AK13" s="13"/>
    </row>
    <row r="14" spans="2:37" x14ac:dyDescent="0.3">
      <c r="X14" s="18" t="s">
        <v>11</v>
      </c>
      <c r="Y14" s="15">
        <f>Sheet1!H15</f>
        <v>0.24345357030181933</v>
      </c>
      <c r="Z14" s="15">
        <f>Sheet1!I15</f>
        <v>0.19545071609098569</v>
      </c>
      <c r="AA14" s="15">
        <f>Sheet1!J15</f>
        <v>0.18830845771144278</v>
      </c>
      <c r="AB14" s="15">
        <f>Sheet1!K15</f>
        <v>0.17974614439743414</v>
      </c>
      <c r="AC14" s="15">
        <f>Sheet1!L15</f>
        <v>0.17735115020297701</v>
      </c>
      <c r="AD14" s="15">
        <f>Sheet1!M15</f>
        <v>0.22887792655234515</v>
      </c>
      <c r="AE14" s="15">
        <f>Sheet1!N15</f>
        <v>0.23529411764705882</v>
      </c>
      <c r="AF14" s="15">
        <f>Sheet1!O15</f>
        <v>0.23305182785747339</v>
      </c>
      <c r="AG14" s="15">
        <f>Sheet1!P15</f>
        <v>0.23863228216363766</v>
      </c>
      <c r="AH14" s="13"/>
      <c r="AI14" s="13"/>
      <c r="AJ14" s="13"/>
      <c r="AK14" s="13"/>
    </row>
    <row r="15" spans="2:37" x14ac:dyDescent="0.3">
      <c r="X15" s="18" t="s">
        <v>12</v>
      </c>
      <c r="Y15" s="15">
        <f>Sheet1!H23</f>
        <v>0.18403177152281949</v>
      </c>
      <c r="Z15" s="15">
        <f>Sheet1!I23</f>
        <v>0.15342290977233763</v>
      </c>
      <c r="AA15" s="15">
        <f>Sheet1!J23</f>
        <v>0.13972472710014239</v>
      </c>
      <c r="AB15" s="15">
        <f>Sheet1!K23</f>
        <v>0.14851485148514851</v>
      </c>
      <c r="AC15" s="15">
        <f>Sheet1!L23</f>
        <v>0.11987023222566397</v>
      </c>
      <c r="AD15" s="15">
        <f>Sheet1!M23</f>
        <v>0.15452487123647551</v>
      </c>
      <c r="AE15" s="15">
        <f>Sheet1!N23</f>
        <v>0.18236861830598816</v>
      </c>
      <c r="AF15" s="15">
        <f>Sheet1!O23</f>
        <v>0.1846160607037178</v>
      </c>
      <c r="AG15" s="15">
        <f>Sheet1!P23</f>
        <v>0.22358794742958149</v>
      </c>
      <c r="AH15" s="13"/>
      <c r="AI15" s="13"/>
      <c r="AJ15" s="13"/>
      <c r="AK15" s="13"/>
    </row>
    <row r="16" spans="2:37" x14ac:dyDescent="0.3">
      <c r="X16" s="18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 spans="24:37" x14ac:dyDescent="0.3">
      <c r="X17" s="16" t="s">
        <v>37</v>
      </c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spans="24:37" x14ac:dyDescent="0.3">
      <c r="X18" s="17" t="s">
        <v>22</v>
      </c>
      <c r="Y18" s="12" t="s">
        <v>23</v>
      </c>
      <c r="Z18" s="12" t="s">
        <v>24</v>
      </c>
      <c r="AA18" s="12" t="s">
        <v>25</v>
      </c>
      <c r="AB18" s="12" t="s">
        <v>26</v>
      </c>
      <c r="AC18" s="12" t="s">
        <v>27</v>
      </c>
      <c r="AD18" s="12" t="s">
        <v>28</v>
      </c>
      <c r="AE18" s="12" t="s">
        <v>29</v>
      </c>
      <c r="AF18" s="12" t="s">
        <v>30</v>
      </c>
      <c r="AG18" s="12" t="s">
        <v>31</v>
      </c>
      <c r="AH18" s="12" t="s">
        <v>32</v>
      </c>
      <c r="AI18" s="12" t="s">
        <v>33</v>
      </c>
      <c r="AJ18" s="12" t="s">
        <v>34</v>
      </c>
      <c r="AK18" s="12" t="s">
        <v>35</v>
      </c>
    </row>
    <row r="19" spans="24:37" x14ac:dyDescent="0.3">
      <c r="X19" s="18" t="s">
        <v>1</v>
      </c>
      <c r="Y19" s="15">
        <f>Sheet1!D6</f>
        <v>0.59189652553223815</v>
      </c>
      <c r="Z19" s="15">
        <f>Sheet1!E6</f>
        <v>0.579552250707707</v>
      </c>
      <c r="AA19" s="15">
        <f>Sheet1!F6</f>
        <v>0.56617940199335548</v>
      </c>
      <c r="AB19" s="15">
        <f>Sheet1!G6</f>
        <v>0.55113268336179411</v>
      </c>
      <c r="AC19" s="15">
        <f>Sheet1!H6</f>
        <v>0.5650671749848788</v>
      </c>
      <c r="AD19" s="15">
        <f>Sheet1!I6</f>
        <v>0.55840160392685545</v>
      </c>
      <c r="AE19" s="15">
        <f>Sheet1!J6</f>
        <v>0.54846339635212793</v>
      </c>
      <c r="AF19" s="15">
        <f>Sheet1!K6</f>
        <v>0.53072539770896199</v>
      </c>
      <c r="AG19" s="15">
        <f>Sheet1!L6</f>
        <v>0.54734938378696874</v>
      </c>
      <c r="AH19" s="15">
        <f>Sheet1!M6</f>
        <v>0.53399402681197927</v>
      </c>
      <c r="AI19" s="15">
        <f>Sheet1!N6</f>
        <v>0.52252988370536813</v>
      </c>
      <c r="AJ19" s="15">
        <f>Sheet1!O6</f>
        <v>0.50874871706092573</v>
      </c>
      <c r="AK19" s="15">
        <f>Sheet1!P6</f>
        <v>0.51667335473515252</v>
      </c>
    </row>
    <row r="20" spans="24:37" x14ac:dyDescent="0.3">
      <c r="X20" s="18" t="s">
        <v>10</v>
      </c>
      <c r="Y20" s="15">
        <f>Sheet1!D11</f>
        <v>0.30492198181384145</v>
      </c>
      <c r="Z20" s="15">
        <f>Sheet1!E11</f>
        <v>0.31396276065547624</v>
      </c>
      <c r="AA20" s="15">
        <f>Sheet1!F11</f>
        <v>0.31934504034171807</v>
      </c>
      <c r="AB20" s="15">
        <f>Sheet1!G11</f>
        <v>0.325597045685877</v>
      </c>
      <c r="AC20" s="15">
        <f>Sheet1!H11</f>
        <v>0.32657306768819078</v>
      </c>
      <c r="AD20" s="15">
        <f>Sheet1!I11</f>
        <v>0.33123336444398355</v>
      </c>
      <c r="AE20" s="15">
        <f>Sheet1!J11</f>
        <v>0.3321812276172233</v>
      </c>
      <c r="AF20" s="15">
        <f>Sheet1!K11</f>
        <v>0.34265227199484372</v>
      </c>
      <c r="AG20" s="15">
        <f>Sheet1!L11</f>
        <v>0.33872894810062359</v>
      </c>
      <c r="AH20" s="15">
        <f>Sheet1!M11</f>
        <v>0.34853327544780199</v>
      </c>
      <c r="AI20" s="15">
        <f>Sheet1!N11</f>
        <v>0.35277212309903005</v>
      </c>
      <c r="AJ20" s="15">
        <f>Sheet1!O11</f>
        <v>0.35945170584525593</v>
      </c>
      <c r="AK20" s="15">
        <f>Sheet1!P11</f>
        <v>0.36800428036383093</v>
      </c>
    </row>
    <row r="21" spans="24:37" x14ac:dyDescent="0.3">
      <c r="X21" s="18" t="s">
        <v>11</v>
      </c>
      <c r="Y21" s="15">
        <f>Sheet1!D16</f>
        <v>0.10318149265392045</v>
      </c>
      <c r="Z21" s="15">
        <f>Sheet1!E16</f>
        <v>0.10648498863681671</v>
      </c>
      <c r="AA21" s="15">
        <f>Sheet1!F16</f>
        <v>0.11447555766492644</v>
      </c>
      <c r="AB21" s="15">
        <f>Sheet1!G16</f>
        <v>0.12327027095232888</v>
      </c>
      <c r="AC21" s="15">
        <f>Sheet1!H16</f>
        <v>0.10835975732693048</v>
      </c>
      <c r="AD21" s="15">
        <f>Sheet1!I16</f>
        <v>0.11036503162916105</v>
      </c>
      <c r="AE21" s="15">
        <f>Sheet1!J16</f>
        <v>0.11935537603064879</v>
      </c>
      <c r="AF21" s="15">
        <f>Sheet1!K16</f>
        <v>0.1266223302961943</v>
      </c>
      <c r="AG21" s="15">
        <f>Sheet1!L16</f>
        <v>0.11392166811240773</v>
      </c>
      <c r="AH21" s="15">
        <f>Sheet1!M16</f>
        <v>0.11747269774021872</v>
      </c>
      <c r="AI21" s="15">
        <f>Sheet1!N16</f>
        <v>0.12469799319560179</v>
      </c>
      <c r="AJ21" s="15">
        <f>Sheet1!O16</f>
        <v>0.1317995770938184</v>
      </c>
      <c r="AK21" s="15">
        <f>Sheet1!P16</f>
        <v>0.11532236490101659</v>
      </c>
    </row>
    <row r="22" spans="24:37" x14ac:dyDescent="0.3">
      <c r="X22" s="18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</row>
    <row r="23" spans="24:37" x14ac:dyDescent="0.3">
      <c r="X23" s="16" t="s">
        <v>44</v>
      </c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spans="24:37" x14ac:dyDescent="0.3">
      <c r="X24" s="17" t="s">
        <v>22</v>
      </c>
      <c r="Y24" s="12" t="s">
        <v>23</v>
      </c>
      <c r="Z24" s="12" t="s">
        <v>24</v>
      </c>
      <c r="AA24" s="12" t="s">
        <v>25</v>
      </c>
      <c r="AB24" s="12" t="s">
        <v>26</v>
      </c>
      <c r="AC24" s="12" t="s">
        <v>27</v>
      </c>
      <c r="AD24" s="12" t="s">
        <v>28</v>
      </c>
      <c r="AE24" s="12" t="s">
        <v>29</v>
      </c>
      <c r="AF24" s="12" t="s">
        <v>30</v>
      </c>
      <c r="AG24" s="12" t="s">
        <v>31</v>
      </c>
      <c r="AH24" s="12" t="s">
        <v>32</v>
      </c>
      <c r="AI24" s="12" t="s">
        <v>33</v>
      </c>
      <c r="AJ24" s="12" t="s">
        <v>34</v>
      </c>
      <c r="AK24" s="12" t="s">
        <v>35</v>
      </c>
    </row>
    <row r="25" spans="24:37" x14ac:dyDescent="0.3">
      <c r="X25" s="18" t="s">
        <v>15</v>
      </c>
      <c r="Y25" s="15">
        <f>Sheet1!D25</f>
        <v>1.9411408846660261</v>
      </c>
      <c r="Z25" s="15">
        <f>Sheet1!E25</f>
        <v>1.8459267255063814</v>
      </c>
      <c r="AA25" s="15">
        <f>Sheet1!F25</f>
        <v>1.7729393930386708</v>
      </c>
      <c r="AB25" s="15">
        <f>Sheet1!G25</f>
        <v>1.6926833049139669</v>
      </c>
      <c r="AC25" s="15">
        <f>Sheet1!H25</f>
        <v>1.7302932510172584</v>
      </c>
      <c r="AD25" s="15">
        <f>Sheet1!I25</f>
        <v>1.6858253541704715</v>
      </c>
      <c r="AE25" s="15">
        <f>Sheet1!J25</f>
        <v>1.6510969035978438</v>
      </c>
      <c r="AF25" s="15">
        <f>Sheet1!K25</f>
        <v>1.5488745911976574</v>
      </c>
      <c r="AG25" s="15">
        <f>Sheet1!L25</f>
        <v>1.6158919597989949</v>
      </c>
      <c r="AH25" s="15">
        <f>Sheet1!M25</f>
        <v>1.5321177759165003</v>
      </c>
      <c r="AI25" s="15">
        <f>Sheet1!N25</f>
        <v>1.4812108142646061</v>
      </c>
      <c r="AJ25" s="15">
        <f>Sheet1!O25</f>
        <v>1.415346509107797</v>
      </c>
      <c r="AK25" s="15">
        <f>Sheet1!P25</f>
        <v>1.4039873509741203</v>
      </c>
    </row>
    <row r="26" spans="24:37" x14ac:dyDescent="0.3">
      <c r="X26" s="18" t="s">
        <v>16</v>
      </c>
      <c r="Y26" s="15">
        <f>Sheet1!D26</f>
        <v>5.7364601956041641</v>
      </c>
      <c r="Z26" s="15">
        <f>Sheet1!E26</f>
        <v>5.4425723111485542</v>
      </c>
      <c r="AA26" s="15">
        <f>Sheet1!F26</f>
        <v>4.9458540630182419</v>
      </c>
      <c r="AB26" s="15">
        <f>Sheet1!G26</f>
        <v>4.470929439061007</v>
      </c>
      <c r="AC26" s="15">
        <f>Sheet1!H26</f>
        <v>5.2147327469553453</v>
      </c>
      <c r="AD26" s="15">
        <f>Sheet1!I26</f>
        <v>5.0595881293555713</v>
      </c>
      <c r="AE26" s="15">
        <f>Sheet1!J26</f>
        <v>4.5952131742376663</v>
      </c>
      <c r="AF26" s="15">
        <f>Sheet1!K26</f>
        <v>4.1914044423877836</v>
      </c>
      <c r="AG26" s="15">
        <f>Sheet1!L26</f>
        <v>4.8046117376625244</v>
      </c>
      <c r="AH26" s="15">
        <f>Sheet1!M26</f>
        <v>4.5456862495221104</v>
      </c>
      <c r="AI26" s="15">
        <f>Sheet1!N26</f>
        <v>4.1903632152742469</v>
      </c>
      <c r="AJ26" s="15">
        <f>Sheet1!O26</f>
        <v>3.8600178261481446</v>
      </c>
      <c r="AK26" s="15">
        <f>Sheet1!P26</f>
        <v>4.4802528562315143</v>
      </c>
    </row>
    <row r="27" spans="24:37" x14ac:dyDescent="0.3">
      <c r="X27" s="18" t="s">
        <v>18</v>
      </c>
      <c r="Y27" s="15">
        <f>Sheet1!D28</f>
        <v>2.9552003365232937</v>
      </c>
      <c r="Z27" s="15">
        <f>Sheet1!E28</f>
        <v>2.9484227276982122</v>
      </c>
      <c r="AA27" s="15">
        <f>Sheet1!F28</f>
        <v>2.7896351575456051</v>
      </c>
      <c r="AB27" s="15">
        <f>Sheet1!G28</f>
        <v>2.6413266002456668</v>
      </c>
      <c r="AC27" s="15">
        <f>Sheet1!H28</f>
        <v>3.0137855209742894</v>
      </c>
      <c r="AD27" s="15">
        <f>Sheet1!I28</f>
        <v>3.0012528384621406</v>
      </c>
      <c r="AE27" s="15">
        <f>Sheet1!J28</f>
        <v>2.7831274858697927</v>
      </c>
      <c r="AF27" s="15">
        <f>Sheet1!K28</f>
        <v>2.7060967144840351</v>
      </c>
      <c r="AG27" s="15">
        <f>Sheet1!L28</f>
        <v>2.973349615688528</v>
      </c>
      <c r="AH27" s="15">
        <f>Sheet1!M28</f>
        <v>2.9669300369567986</v>
      </c>
      <c r="AI27" s="15">
        <f>Sheet1!N28</f>
        <v>2.8290120318590071</v>
      </c>
      <c r="AJ27" s="15">
        <f>Sheet1!O28</f>
        <v>2.7272599333864989</v>
      </c>
      <c r="AK27" s="15">
        <f>Sheet1!P28</f>
        <v>3.1910920373484895</v>
      </c>
    </row>
    <row r="28" spans="24:37" x14ac:dyDescent="0.3">
      <c r="X28" s="18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spans="24:37" x14ac:dyDescent="0.3">
      <c r="X29" s="16" t="s">
        <v>45</v>
      </c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spans="24:37" x14ac:dyDescent="0.3">
      <c r="X30" s="17" t="s">
        <v>22</v>
      </c>
      <c r="Y30" s="12" t="s">
        <v>23</v>
      </c>
      <c r="Z30" s="12" t="s">
        <v>24</v>
      </c>
      <c r="AA30" s="12" t="s">
        <v>25</v>
      </c>
      <c r="AB30" s="12" t="s">
        <v>26</v>
      </c>
      <c r="AC30" s="12" t="s">
        <v>27</v>
      </c>
      <c r="AD30" s="12" t="s">
        <v>28</v>
      </c>
      <c r="AE30" s="12" t="s">
        <v>29</v>
      </c>
      <c r="AF30" s="12" t="s">
        <v>30</v>
      </c>
      <c r="AG30" s="12" t="s">
        <v>31</v>
      </c>
      <c r="AH30" s="12" t="s">
        <v>32</v>
      </c>
      <c r="AI30" s="12" t="s">
        <v>33</v>
      </c>
      <c r="AJ30" s="12" t="s">
        <v>34</v>
      </c>
      <c r="AK30" s="12" t="s">
        <v>35</v>
      </c>
    </row>
    <row r="31" spans="24:37" x14ac:dyDescent="0.3">
      <c r="X31" s="18" t="s">
        <v>19</v>
      </c>
      <c r="Y31" s="15">
        <f>Sheet1!D29</f>
        <v>0.17432353156852681</v>
      </c>
      <c r="Z31" s="15">
        <f>Sheet1!E29</f>
        <v>0.18373664929570196</v>
      </c>
      <c r="AA31" s="15">
        <f>Sheet1!F29</f>
        <v>0.20218954851040288</v>
      </c>
      <c r="AB31" s="15">
        <f>Sheet1!G29</f>
        <v>0.22366713982630462</v>
      </c>
      <c r="AC31" s="15">
        <f>Sheet1!H29</f>
        <v>0.1917643815177022</v>
      </c>
      <c r="AD31" s="15">
        <f>Sheet1!I29</f>
        <v>0.19764454624241673</v>
      </c>
      <c r="AE31" s="15">
        <f>Sheet1!J29</f>
        <v>0.21761776050050111</v>
      </c>
      <c r="AF31" s="15">
        <f>Sheet1!K29</f>
        <v>0.23858351389023061</v>
      </c>
      <c r="AG31" s="15">
        <f>Sheet1!L29</f>
        <v>0.20813336323540405</v>
      </c>
      <c r="AH31" s="15">
        <f>Sheet1!M29</f>
        <v>0.2199887860947575</v>
      </c>
      <c r="AI31" s="15">
        <f>Sheet1!N29</f>
        <v>0.23864279744412392</v>
      </c>
      <c r="AJ31" s="15">
        <f>Sheet1!O29</f>
        <v>0.25906616110057851</v>
      </c>
      <c r="AK31" s="15">
        <f>Sheet1!P29</f>
        <v>0.2232016879603381</v>
      </c>
    </row>
    <row r="32" spans="24:37" x14ac:dyDescent="0.3">
      <c r="X32" s="18" t="s">
        <v>20</v>
      </c>
      <c r="Y32" s="15">
        <f>Sheet1!D30</f>
        <v>0.33838653428703602</v>
      </c>
      <c r="Z32" s="15">
        <f>Sheet1!E30</f>
        <v>0.33916439138992954</v>
      </c>
      <c r="AA32" s="15">
        <f>Sheet1!F30</f>
        <v>0.35846981541479656</v>
      </c>
      <c r="AB32" s="15">
        <f>Sheet1!G30</f>
        <v>0.37859763344184366</v>
      </c>
      <c r="AC32" s="15">
        <f>Sheet1!H30</f>
        <v>0.3318086151255788</v>
      </c>
      <c r="AD32" s="15">
        <f>Sheet1!I30</f>
        <v>0.3331941871689843</v>
      </c>
      <c r="AE32" s="15">
        <f>Sheet1!J30</f>
        <v>0.35930801053027456</v>
      </c>
      <c r="AF32" s="15">
        <f>Sheet1!K30</f>
        <v>0.36953594254323152</v>
      </c>
      <c r="AG32" s="15">
        <f>Sheet1!L30</f>
        <v>0.33632102821801313</v>
      </c>
      <c r="AH32" s="15">
        <f>Sheet1!M30</f>
        <v>0.33704872967807059</v>
      </c>
      <c r="AI32" s="15">
        <f>Sheet1!N30</f>
        <v>0.35348029232059425</v>
      </c>
      <c r="AJ32" s="15">
        <f>Sheet1!O30</f>
        <v>0.36666838674166191</v>
      </c>
      <c r="AK32" s="15">
        <f>Sheet1!P30</f>
        <v>0.31337234661238733</v>
      </c>
    </row>
    <row r="33" spans="24:37" x14ac:dyDescent="0.3">
      <c r="X33" s="18" t="s">
        <v>17</v>
      </c>
      <c r="Y33" s="15">
        <f>Sheet1!D27</f>
        <v>0.51516095915523941</v>
      </c>
      <c r="Z33" s="15">
        <f>Sheet1!E27</f>
        <v>0.54173331269456337</v>
      </c>
      <c r="AA33" s="15">
        <f>Sheet1!F27</f>
        <v>0.56403507301289246</v>
      </c>
      <c r="AB33" s="15">
        <f>Sheet1!G27</f>
        <v>0.59077796602408539</v>
      </c>
      <c r="AC33" s="15">
        <f>Sheet1!H27</f>
        <v>0.57793671645664058</v>
      </c>
      <c r="AD33" s="15">
        <f>Sheet1!I27</f>
        <v>0.59318125541661504</v>
      </c>
      <c r="AE33" s="15">
        <f>Sheet1!J27</f>
        <v>0.60565797066237437</v>
      </c>
      <c r="AF33" s="15">
        <f>Sheet1!K27</f>
        <v>0.6456300630684092</v>
      </c>
      <c r="AG33" s="15">
        <f>Sheet1!L27</f>
        <v>0.61885325558794946</v>
      </c>
      <c r="AH33" s="15">
        <f>Sheet1!M27</f>
        <v>0.65269133725820017</v>
      </c>
      <c r="AI33" s="15">
        <f>Sheet1!N27</f>
        <v>0.67512334528591844</v>
      </c>
      <c r="AJ33" s="15">
        <f>Sheet1!O27</f>
        <v>0.70654076126585974</v>
      </c>
      <c r="AK33" s="15">
        <f>Sheet1!P27</f>
        <v>0.71225712917297712</v>
      </c>
    </row>
    <row r="34" spans="24:37" x14ac:dyDescent="0.3">
      <c r="X34" s="18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</row>
    <row r="35" spans="24:37" x14ac:dyDescent="0.3">
      <c r="X35" s="16" t="s">
        <v>38</v>
      </c>
      <c r="Y35" s="11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</row>
    <row r="36" spans="24:37" x14ac:dyDescent="0.3">
      <c r="X36" s="17" t="s">
        <v>39</v>
      </c>
      <c r="Y36" s="12" t="s">
        <v>35</v>
      </c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</row>
    <row r="37" spans="24:37" x14ac:dyDescent="0.3">
      <c r="X37" s="18" t="s">
        <v>1</v>
      </c>
      <c r="Y37" s="14">
        <f>Sheet1!P4</f>
        <v>77253</v>
      </c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</row>
    <row r="38" spans="24:37" x14ac:dyDescent="0.3">
      <c r="X38" s="18" t="s">
        <v>10</v>
      </c>
      <c r="Y38" s="14">
        <f>Sheet1!P9</f>
        <v>55024</v>
      </c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</row>
    <row r="39" spans="24:37" x14ac:dyDescent="0.3">
      <c r="X39" s="18" t="s">
        <v>11</v>
      </c>
      <c r="Y39" s="14">
        <f>Sheet1!P14</f>
        <v>17243</v>
      </c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</row>
    <row r="40" spans="24:37" x14ac:dyDescent="0.3">
      <c r="X40" s="18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</row>
    <row r="41" spans="24:37" x14ac:dyDescent="0.3">
      <c r="X41" s="16" t="s">
        <v>40</v>
      </c>
      <c r="Y41" s="11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</row>
    <row r="42" spans="24:37" x14ac:dyDescent="0.3">
      <c r="X42" s="17" t="s">
        <v>39</v>
      </c>
      <c r="Y42" s="12" t="s">
        <v>35</v>
      </c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</row>
    <row r="43" spans="24:37" x14ac:dyDescent="0.3">
      <c r="X43" s="18" t="s">
        <v>1</v>
      </c>
      <c r="Y43" s="15">
        <f>Sheet1!P6</f>
        <v>0.51667335473515252</v>
      </c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</row>
    <row r="44" spans="24:37" x14ac:dyDescent="0.3">
      <c r="X44" s="18" t="s">
        <v>10</v>
      </c>
      <c r="Y44" s="15">
        <f>Sheet1!P11</f>
        <v>0.36800428036383093</v>
      </c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</row>
    <row r="45" spans="24:37" x14ac:dyDescent="0.3">
      <c r="X45" s="18" t="s">
        <v>11</v>
      </c>
      <c r="Y45" s="15">
        <f>Sheet1!P16</f>
        <v>0.11532236490101659</v>
      </c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</row>
    <row r="46" spans="24:37" x14ac:dyDescent="0.3">
      <c r="X46" s="18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</row>
    <row r="47" spans="24:37" x14ac:dyDescent="0.3">
      <c r="X47" s="16" t="s">
        <v>22</v>
      </c>
      <c r="Y47" s="11" t="s">
        <v>1</v>
      </c>
      <c r="Z47" s="11" t="s">
        <v>10</v>
      </c>
      <c r="AA47" s="11" t="s">
        <v>11</v>
      </c>
      <c r="AB47" s="13"/>
      <c r="AC47" s="13"/>
      <c r="AD47" s="13"/>
      <c r="AE47" s="13"/>
      <c r="AF47" s="13"/>
      <c r="AG47" s="13"/>
      <c r="AH47" s="13"/>
      <c r="AI47" s="13"/>
      <c r="AJ47" s="13"/>
      <c r="AK47" s="13"/>
    </row>
    <row r="48" spans="24:37" x14ac:dyDescent="0.3">
      <c r="X48" s="18" t="s">
        <v>41</v>
      </c>
      <c r="Y48" s="14">
        <f>Sheet1!P4</f>
        <v>77253</v>
      </c>
      <c r="Z48" s="14">
        <f>Sheet1!P9</f>
        <v>55024</v>
      </c>
      <c r="AA48" s="14">
        <f>Sheet1!P14</f>
        <v>17243</v>
      </c>
      <c r="AB48" s="13"/>
      <c r="AC48" s="13"/>
      <c r="AD48" s="13"/>
      <c r="AE48" s="13"/>
      <c r="AF48" s="13"/>
      <c r="AG48" s="13"/>
      <c r="AH48" s="13"/>
      <c r="AI48" s="13"/>
      <c r="AJ48" s="13"/>
      <c r="AK48" s="13"/>
    </row>
    <row r="49" spans="24:37" x14ac:dyDescent="0.3">
      <c r="X49" s="18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</row>
    <row r="50" spans="24:37" x14ac:dyDescent="0.3">
      <c r="X50" s="16" t="s">
        <v>22</v>
      </c>
      <c r="Y50" s="11" t="s">
        <v>1</v>
      </c>
      <c r="Z50" s="11" t="s">
        <v>10</v>
      </c>
      <c r="AA50" s="11" t="s">
        <v>11</v>
      </c>
      <c r="AB50" s="13"/>
      <c r="AC50" s="13"/>
      <c r="AD50" s="13"/>
      <c r="AE50" s="13"/>
      <c r="AF50" s="13"/>
      <c r="AG50" s="13"/>
      <c r="AH50" s="13"/>
      <c r="AI50" s="13"/>
      <c r="AJ50" s="13"/>
      <c r="AK50" s="13"/>
    </row>
    <row r="51" spans="24:37" x14ac:dyDescent="0.3">
      <c r="X51" s="18" t="s">
        <v>42</v>
      </c>
      <c r="Y51" s="15">
        <f>Sheet1!P6</f>
        <v>0.51667335473515252</v>
      </c>
      <c r="Z51" s="15">
        <f>Sheet1!P11</f>
        <v>0.36800428036383093</v>
      </c>
      <c r="AA51" s="15">
        <f>Sheet1!P16</f>
        <v>0.11532236490101659</v>
      </c>
      <c r="AB51" s="13"/>
      <c r="AC51" s="13"/>
      <c r="AD51" s="13"/>
      <c r="AE51" s="13"/>
      <c r="AF51" s="13"/>
      <c r="AG51" s="13"/>
      <c r="AH51" s="13"/>
      <c r="AI51" s="13"/>
      <c r="AJ51" s="13"/>
      <c r="AK51" s="13"/>
    </row>
    <row r="53" spans="24:37" x14ac:dyDescent="0.3">
      <c r="X53" s="23" t="s">
        <v>43</v>
      </c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spans="24:37" x14ac:dyDescent="0.3">
      <c r="X54" s="21" t="s">
        <v>22</v>
      </c>
      <c r="Y54" s="21" t="s">
        <v>23</v>
      </c>
      <c r="Z54" s="21" t="s">
        <v>24</v>
      </c>
      <c r="AA54" s="21" t="s">
        <v>25</v>
      </c>
      <c r="AB54" s="21" t="s">
        <v>26</v>
      </c>
      <c r="AC54" s="21" t="s">
        <v>27</v>
      </c>
      <c r="AD54" s="21" t="s">
        <v>28</v>
      </c>
      <c r="AE54" s="21" t="s">
        <v>29</v>
      </c>
      <c r="AF54" s="21" t="s">
        <v>30</v>
      </c>
      <c r="AG54" s="21" t="s">
        <v>31</v>
      </c>
      <c r="AH54" s="21" t="s">
        <v>32</v>
      </c>
      <c r="AI54" s="21" t="s">
        <v>33</v>
      </c>
      <c r="AJ54" s="21" t="s">
        <v>34</v>
      </c>
      <c r="AK54" s="21" t="s">
        <v>35</v>
      </c>
    </row>
    <row r="55" spans="24:37" x14ac:dyDescent="0.3">
      <c r="X55" t="s">
        <v>20</v>
      </c>
      <c r="Y55" s="22">
        <f>Sheet1!D30</f>
        <v>0.33838653428703602</v>
      </c>
      <c r="Z55" s="22">
        <f>Sheet1!E30</f>
        <v>0.33916439138992954</v>
      </c>
      <c r="AA55" s="22">
        <f>Sheet1!F30</f>
        <v>0.35846981541479656</v>
      </c>
      <c r="AB55" s="22">
        <f>Sheet1!G30</f>
        <v>0.37859763344184366</v>
      </c>
      <c r="AC55" s="22">
        <f>Sheet1!H30</f>
        <v>0.3318086151255788</v>
      </c>
      <c r="AD55" s="22">
        <f>Sheet1!I30</f>
        <v>0.3331941871689843</v>
      </c>
      <c r="AE55" s="22">
        <f>Sheet1!J30</f>
        <v>0.35930801053027456</v>
      </c>
      <c r="AF55" s="22">
        <f>Sheet1!K30</f>
        <v>0.36953594254323152</v>
      </c>
      <c r="AG55" s="22">
        <f>Sheet1!L30</f>
        <v>0.33632102821801313</v>
      </c>
      <c r="AH55" s="22">
        <f>Sheet1!M30</f>
        <v>0.33704872967807059</v>
      </c>
      <c r="AI55" s="22">
        <f>Sheet1!N30</f>
        <v>0.35348029232059425</v>
      </c>
      <c r="AJ55" s="22">
        <f>Sheet1!O30</f>
        <v>0.36666838674166191</v>
      </c>
      <c r="AK55" s="22">
        <f>Sheet1!P30</f>
        <v>0.31337234661238733</v>
      </c>
    </row>
    <row r="58" spans="24:37" x14ac:dyDescent="0.3">
      <c r="X58" s="24" t="s">
        <v>46</v>
      </c>
      <c r="Y58" s="24" t="s">
        <v>47</v>
      </c>
      <c r="AB58" s="30" t="s">
        <v>49</v>
      </c>
      <c r="AC58" s="30"/>
      <c r="AD58" s="30"/>
      <c r="AE58" s="30"/>
      <c r="AF58" s="30"/>
      <c r="AG58" s="30"/>
      <c r="AH58" s="30"/>
      <c r="AI58" s="30"/>
      <c r="AJ58" s="30"/>
      <c r="AK58" s="30"/>
    </row>
    <row r="59" spans="24:37" x14ac:dyDescent="0.3">
      <c r="X59" s="25">
        <v>46146</v>
      </c>
      <c r="Y59" s="27">
        <v>-0.51723292641073704</v>
      </c>
      <c r="AB59" s="31" t="s">
        <v>22</v>
      </c>
      <c r="AC59" s="31" t="s">
        <v>27</v>
      </c>
      <c r="AD59" s="31" t="s">
        <v>28</v>
      </c>
      <c r="AE59" s="31" t="s">
        <v>29</v>
      </c>
      <c r="AF59" s="31" t="s">
        <v>30</v>
      </c>
      <c r="AG59" s="31" t="s">
        <v>31</v>
      </c>
      <c r="AH59" s="31" t="s">
        <v>32</v>
      </c>
      <c r="AI59" s="31" t="s">
        <v>33</v>
      </c>
      <c r="AJ59" s="31" t="s">
        <v>34</v>
      </c>
      <c r="AK59" s="31" t="s">
        <v>35</v>
      </c>
    </row>
    <row r="60" spans="24:37" x14ac:dyDescent="0.3">
      <c r="X60" s="26">
        <v>46142</v>
      </c>
      <c r="Y60" s="28">
        <v>6.95296523517381</v>
      </c>
      <c r="AB60" t="s">
        <v>1</v>
      </c>
      <c r="AC60" s="32">
        <f>AC5-Y5</f>
        <v>7111</v>
      </c>
      <c r="AD60" s="32">
        <f>AD5-Z5</f>
        <v>6473</v>
      </c>
      <c r="AE60" s="32">
        <f>AE5-AA5</f>
        <v>6207</v>
      </c>
      <c r="AF60" s="32">
        <f>AF5-AB5</f>
        <v>6944</v>
      </c>
      <c r="AG60" s="32">
        <f>AG5-AC5</f>
        <v>5226</v>
      </c>
      <c r="AH60" s="32">
        <f>AH5-AD5</f>
        <v>6724</v>
      </c>
      <c r="AI60" s="32">
        <f>AI5-AE5</f>
        <v>8328</v>
      </c>
      <c r="AJ60" s="32">
        <f>AJ5-AF5</f>
        <v>9823</v>
      </c>
      <c r="AK60" s="32">
        <f>AK5-AG5</f>
        <v>10368</v>
      </c>
    </row>
    <row r="61" spans="24:37" x14ac:dyDescent="0.3">
      <c r="X61" s="25">
        <v>46112</v>
      </c>
      <c r="Y61" s="27">
        <v>-11.732851985559501</v>
      </c>
      <c r="AB61" t="s">
        <v>10</v>
      </c>
      <c r="AC61" s="32">
        <f>AC6-Y6</f>
        <v>7534</v>
      </c>
      <c r="AD61" s="32">
        <f>AD6-Z6</f>
        <v>6831</v>
      </c>
      <c r="AE61" s="32">
        <f>AE6-AA6</f>
        <v>6242</v>
      </c>
      <c r="AF61" s="32">
        <f>AF6-AB6</f>
        <v>8077</v>
      </c>
      <c r="AG61" s="32">
        <f>AG6-AC6</f>
        <v>5757</v>
      </c>
      <c r="AH61" s="32">
        <f>AH6-AD6</f>
        <v>8234</v>
      </c>
      <c r="AI61" s="32">
        <f>AI6-AE6</f>
        <v>10197</v>
      </c>
      <c r="AJ61" s="32">
        <f>AJ6-AF6</f>
        <v>11354</v>
      </c>
      <c r="AK61" s="32">
        <f>AK6-AG6</f>
        <v>13632</v>
      </c>
    </row>
    <row r="62" spans="24:37" x14ac:dyDescent="0.3">
      <c r="X62" s="26">
        <v>46080</v>
      </c>
      <c r="Y62" s="28">
        <v>-9.5352407536636505</v>
      </c>
      <c r="AB62" t="s">
        <v>11</v>
      </c>
      <c r="AC62" s="32">
        <f>AC7-Y7</f>
        <v>2315</v>
      </c>
      <c r="AD62" s="32">
        <f>AD7-Z7</f>
        <v>2088</v>
      </c>
      <c r="AE62" s="32">
        <f>AE7-AA7</f>
        <v>2271</v>
      </c>
      <c r="AF62" s="32">
        <f>AF7-AB7</f>
        <v>2634</v>
      </c>
      <c r="AG62" s="32">
        <f>AG7-AC7</f>
        <v>2097</v>
      </c>
      <c r="AH62" s="32">
        <f>AH7-AD7</f>
        <v>2923</v>
      </c>
      <c r="AI62" s="32">
        <f>AI7-AE7</f>
        <v>3372</v>
      </c>
      <c r="AJ62" s="32">
        <f>AJ7-AF7</f>
        <v>4029</v>
      </c>
      <c r="AK62" s="32">
        <f>AK7-AG7</f>
        <v>3322</v>
      </c>
    </row>
    <row r="63" spans="24:37" x14ac:dyDescent="0.3">
      <c r="X63" s="25">
        <v>46052</v>
      </c>
      <c r="Y63" s="27">
        <v>8.5458043600115108</v>
      </c>
      <c r="AB63" s="37" t="s">
        <v>12</v>
      </c>
      <c r="AC63" s="38">
        <f>SUM(AC60:AC62)</f>
        <v>16960</v>
      </c>
      <c r="AD63" s="38">
        <f t="shared" ref="AD63:AK63" si="0">SUM(AD60:AD62)</f>
        <v>15392</v>
      </c>
      <c r="AE63" s="38">
        <f t="shared" si="0"/>
        <v>14720</v>
      </c>
      <c r="AF63" s="38">
        <f t="shared" si="0"/>
        <v>17655</v>
      </c>
      <c r="AG63" s="38">
        <f t="shared" si="0"/>
        <v>13080</v>
      </c>
      <c r="AH63" s="38">
        <f t="shared" si="0"/>
        <v>17881</v>
      </c>
      <c r="AI63" s="38">
        <f t="shared" si="0"/>
        <v>21897</v>
      </c>
      <c r="AJ63" s="38">
        <f t="shared" si="0"/>
        <v>25206</v>
      </c>
      <c r="AK63" s="38">
        <f t="shared" si="0"/>
        <v>27322</v>
      </c>
    </row>
    <row r="64" spans="24:37" x14ac:dyDescent="0.3">
      <c r="X64" s="26">
        <v>46022</v>
      </c>
      <c r="Y64" s="28">
        <v>1.8736013581294799</v>
      </c>
    </row>
    <row r="65" spans="24:40" x14ac:dyDescent="0.3">
      <c r="X65" s="25">
        <v>45989</v>
      </c>
      <c r="Y65" s="27">
        <v>-6.1695072106116002E-2</v>
      </c>
      <c r="AB65" s="30" t="s">
        <v>50</v>
      </c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</row>
    <row r="66" spans="24:40" x14ac:dyDescent="0.3">
      <c r="X66" s="26">
        <v>45961</v>
      </c>
      <c r="Y66" s="28">
        <v>-11.7146436449794</v>
      </c>
      <c r="AB66" s="31" t="s">
        <v>22</v>
      </c>
      <c r="AC66" s="31" t="s">
        <v>24</v>
      </c>
      <c r="AD66" s="31" t="s">
        <v>25</v>
      </c>
      <c r="AE66" s="31" t="s">
        <v>26</v>
      </c>
      <c r="AF66" s="31" t="s">
        <v>27</v>
      </c>
      <c r="AG66" s="31" t="s">
        <v>28</v>
      </c>
      <c r="AH66" s="31" t="s">
        <v>29</v>
      </c>
      <c r="AI66" s="31" t="s">
        <v>30</v>
      </c>
      <c r="AJ66" s="31" t="s">
        <v>31</v>
      </c>
      <c r="AK66" s="31" t="s">
        <v>32</v>
      </c>
      <c r="AL66" s="31" t="s">
        <v>33</v>
      </c>
      <c r="AM66" s="31" t="s">
        <v>34</v>
      </c>
      <c r="AN66" s="31" t="s">
        <v>35</v>
      </c>
    </row>
    <row r="67" spans="24:40" x14ac:dyDescent="0.3">
      <c r="X67" s="25">
        <v>45930</v>
      </c>
      <c r="Y67" s="27">
        <v>-0.58481115473128997</v>
      </c>
      <c r="AB67" t="s">
        <v>1</v>
      </c>
      <c r="AC67" s="32">
        <f>Z5-Y5</f>
        <v>3595</v>
      </c>
      <c r="AD67" s="32">
        <f>AA5-Z5</f>
        <v>1504</v>
      </c>
      <c r="AE67" s="32">
        <f>AB5-AA5</f>
        <v>5870</v>
      </c>
      <c r="AF67" s="32">
        <f>AC5-AB5</f>
        <v>-3858</v>
      </c>
      <c r="AG67" s="32">
        <f>AD5-AC5</f>
        <v>2957</v>
      </c>
      <c r="AH67" s="32">
        <f>AE5-AD5</f>
        <v>1238</v>
      </c>
      <c r="AI67" s="32">
        <f>AF5-AE5</f>
        <v>6607</v>
      </c>
      <c r="AJ67" s="32">
        <f>AG5-AF5</f>
        <v>-5576</v>
      </c>
      <c r="AK67" s="32">
        <f>AH5-AG5</f>
        <v>4455</v>
      </c>
      <c r="AL67" s="32">
        <f>AI5-AH5</f>
        <v>2842</v>
      </c>
      <c r="AM67" s="32">
        <f>AJ5-AI5</f>
        <v>8102</v>
      </c>
      <c r="AN67" s="32">
        <f>AK5-AJ5</f>
        <v>-5031</v>
      </c>
    </row>
    <row r="68" spans="24:40" x14ac:dyDescent="0.3">
      <c r="X68" s="26">
        <v>45898</v>
      </c>
      <c r="Y68" s="28">
        <v>-4.4916218452627197</v>
      </c>
      <c r="AB68" t="s">
        <v>10</v>
      </c>
      <c r="AC68" s="32">
        <f>Z6-Y6</f>
        <v>3397</v>
      </c>
      <c r="AD68" s="32">
        <f>AA6-Z6</f>
        <v>2145</v>
      </c>
      <c r="AE68" s="32">
        <f>AB6-AA6</f>
        <v>5063</v>
      </c>
      <c r="AF68" s="32">
        <f>AC6-AB6</f>
        <v>-3071</v>
      </c>
      <c r="AG68" s="32">
        <f>AD6-AC6</f>
        <v>2694</v>
      </c>
      <c r="AH68" s="32">
        <f>AE6-AD6</f>
        <v>1556</v>
      </c>
      <c r="AI68" s="32">
        <f>AF6-AE6</f>
        <v>6898</v>
      </c>
      <c r="AJ68" s="32">
        <f>AG6-AF6</f>
        <v>-5391</v>
      </c>
      <c r="AK68" s="32">
        <f>AH6-AG6</f>
        <v>5171</v>
      </c>
      <c r="AL68" s="32">
        <f>AI6-AH6</f>
        <v>3519</v>
      </c>
      <c r="AM68" s="32">
        <f>AJ6-AI6</f>
        <v>8055</v>
      </c>
      <c r="AN68" s="32">
        <f>AK6-AJ6</f>
        <v>-3113</v>
      </c>
    </row>
    <row r="69" spans="24:40" x14ac:dyDescent="0.3">
      <c r="X69" s="25">
        <v>45869</v>
      </c>
      <c r="Y69" s="27">
        <v>4.7893888279207202</v>
      </c>
      <c r="AB69" t="s">
        <v>11</v>
      </c>
      <c r="AC69" s="32">
        <f>Z7-Y7</f>
        <v>1174</v>
      </c>
      <c r="AD69" s="32">
        <f>AA7-Z7</f>
        <v>1377</v>
      </c>
      <c r="AE69" s="32">
        <f>AB7-AA7</f>
        <v>2594</v>
      </c>
      <c r="AF69" s="32">
        <f>AC7-AB7</f>
        <v>-2830</v>
      </c>
      <c r="AG69" s="32">
        <f>AD7-AC7</f>
        <v>947</v>
      </c>
      <c r="AH69" s="32">
        <f>AE7-AD7</f>
        <v>1560</v>
      </c>
      <c r="AI69" s="32">
        <f>AF7-AE7</f>
        <v>2957</v>
      </c>
      <c r="AJ69" s="32">
        <f>AG7-AF7</f>
        <v>-3367</v>
      </c>
      <c r="AK69" s="32">
        <f>AH7-AG7</f>
        <v>1773</v>
      </c>
      <c r="AL69" s="32">
        <f>AI7-AH7</f>
        <v>2009</v>
      </c>
      <c r="AM69" s="32">
        <f>AJ7-AI7</f>
        <v>3614</v>
      </c>
      <c r="AN69" s="32">
        <f>AK7-AJ7</f>
        <v>-4074</v>
      </c>
    </row>
    <row r="70" spans="24:40" x14ac:dyDescent="0.3">
      <c r="X70" s="26">
        <v>45838</v>
      </c>
      <c r="Y70" s="28">
        <v>13.9924940925728</v>
      </c>
    </row>
    <row r="71" spans="24:40" ht="16.2" thickBot="1" x14ac:dyDescent="0.35">
      <c r="X71" s="25">
        <v>45807</v>
      </c>
      <c r="Y71" s="27">
        <v>17.9398907103825</v>
      </c>
      <c r="AB71" s="34" t="s">
        <v>51</v>
      </c>
      <c r="AC71" s="34"/>
      <c r="AD71" s="34"/>
      <c r="AE71" s="34"/>
      <c r="AF71" s="34"/>
      <c r="AG71" s="34"/>
      <c r="AH71" s="34"/>
      <c r="AI71" s="34"/>
      <c r="AJ71" s="34"/>
      <c r="AK71" s="34"/>
    </row>
    <row r="72" spans="24:40" ht="15" thickTop="1" x14ac:dyDescent="0.3">
      <c r="X72" s="26">
        <v>45777</v>
      </c>
      <c r="Y72" s="28">
        <v>-4.7470331043098</v>
      </c>
      <c r="AB72" s="33" t="s">
        <v>22</v>
      </c>
      <c r="AC72" s="33" t="s">
        <v>27</v>
      </c>
      <c r="AD72" s="33" t="s">
        <v>28</v>
      </c>
      <c r="AE72" s="33" t="s">
        <v>29</v>
      </c>
      <c r="AF72" s="33" t="s">
        <v>30</v>
      </c>
      <c r="AG72" s="33" t="s">
        <v>31</v>
      </c>
      <c r="AH72" s="33" t="s">
        <v>32</v>
      </c>
      <c r="AI72" s="33" t="s">
        <v>33</v>
      </c>
      <c r="AJ72" s="33" t="s">
        <v>34</v>
      </c>
      <c r="AK72" s="33" t="s">
        <v>35</v>
      </c>
    </row>
    <row r="73" spans="24:40" x14ac:dyDescent="0.3">
      <c r="X73" s="25">
        <v>45747</v>
      </c>
      <c r="Y73" s="27">
        <v>-13.744387907811999</v>
      </c>
      <c r="AB73" s="36" t="s">
        <v>1</v>
      </c>
      <c r="AC73" s="35">
        <f t="shared" ref="AC73:AK73" si="1">AC60/AC63</f>
        <v>0.41928066037735851</v>
      </c>
      <c r="AD73" s="35">
        <f t="shared" si="1"/>
        <v>0.4205431392931393</v>
      </c>
      <c r="AE73" s="35">
        <f t="shared" si="1"/>
        <v>0.42167119565217392</v>
      </c>
      <c r="AF73" s="35">
        <f t="shared" si="1"/>
        <v>0.39331634097989238</v>
      </c>
      <c r="AG73" s="35">
        <f t="shared" si="1"/>
        <v>0.39954128440366971</v>
      </c>
      <c r="AH73" s="35">
        <f t="shared" si="1"/>
        <v>0.37604160841116269</v>
      </c>
      <c r="AI73" s="35">
        <f t="shared" si="1"/>
        <v>0.3803260720646664</v>
      </c>
      <c r="AJ73" s="35">
        <f t="shared" si="1"/>
        <v>0.3897087994921844</v>
      </c>
      <c r="AK73" s="35">
        <f>AK60/AK63</f>
        <v>0.37947441622136008</v>
      </c>
    </row>
    <row r="74" spans="24:40" x14ac:dyDescent="0.3">
      <c r="X74" s="26">
        <v>45716</v>
      </c>
      <c r="Y74" s="28">
        <v>-3.0441974520444499</v>
      </c>
      <c r="AB74" s="36" t="s">
        <v>10</v>
      </c>
      <c r="AC74" s="35">
        <f t="shared" ref="AC74:AK74" si="2">AC61/AC63</f>
        <v>0.44422169811320755</v>
      </c>
      <c r="AD74" s="35">
        <f t="shared" si="2"/>
        <v>0.44380197505197505</v>
      </c>
      <c r="AE74" s="35">
        <f t="shared" si="2"/>
        <v>0.42404891304347825</v>
      </c>
      <c r="AF74" s="35">
        <f t="shared" si="2"/>
        <v>0.45749079580855284</v>
      </c>
      <c r="AG74" s="35">
        <f t="shared" si="2"/>
        <v>0.44013761467889906</v>
      </c>
      <c r="AH74" s="35">
        <f t="shared" si="2"/>
        <v>0.46048878698059392</v>
      </c>
      <c r="AI74" s="35">
        <f t="shared" si="2"/>
        <v>0.46568023016851623</v>
      </c>
      <c r="AJ74" s="35">
        <f t="shared" si="2"/>
        <v>0.45044830595889868</v>
      </c>
      <c r="AK74" s="35">
        <f>AK61/AK63</f>
        <v>0.49893858429104748</v>
      </c>
    </row>
    <row r="75" spans="24:40" x14ac:dyDescent="0.3">
      <c r="X75" s="25">
        <v>45688</v>
      </c>
      <c r="Y75" s="27">
        <v>17.705931581014799</v>
      </c>
      <c r="AB75" s="36" t="s">
        <v>11</v>
      </c>
      <c r="AC75" s="35">
        <f t="shared" ref="AC75:AK75" si="3">AC62/AC63</f>
        <v>0.13649764150943397</v>
      </c>
      <c r="AD75" s="35">
        <f t="shared" si="3"/>
        <v>0.13565488565488565</v>
      </c>
      <c r="AE75" s="35">
        <f t="shared" si="3"/>
        <v>0.15427989130434783</v>
      </c>
      <c r="AF75" s="35">
        <f t="shared" si="3"/>
        <v>0.14919286321155481</v>
      </c>
      <c r="AG75" s="35">
        <f t="shared" si="3"/>
        <v>0.16032110091743118</v>
      </c>
      <c r="AH75" s="35">
        <f t="shared" si="3"/>
        <v>0.16346960460824339</v>
      </c>
      <c r="AI75" s="35">
        <f t="shared" si="3"/>
        <v>0.15399369776681737</v>
      </c>
      <c r="AJ75" s="35">
        <f t="shared" si="3"/>
        <v>0.15984289454891693</v>
      </c>
      <c r="AK75" s="35">
        <f>AK62/AK63</f>
        <v>0.12158699948759241</v>
      </c>
    </row>
    <row r="76" spans="24:40" x14ac:dyDescent="0.3">
      <c r="X76" s="26">
        <v>45657</v>
      </c>
      <c r="Y76" s="28">
        <v>1.9483911408274099</v>
      </c>
      <c r="AB76" s="36" t="s">
        <v>52</v>
      </c>
      <c r="AC76" s="35">
        <f>SUM(AC73:AC75)</f>
        <v>1</v>
      </c>
      <c r="AD76" s="35">
        <f t="shared" ref="AD76:AK76" si="4">SUM(AD73:AD75)</f>
        <v>1</v>
      </c>
      <c r="AE76" s="35">
        <f t="shared" si="4"/>
        <v>1</v>
      </c>
      <c r="AF76" s="35">
        <f t="shared" si="4"/>
        <v>1</v>
      </c>
      <c r="AG76" s="35">
        <f t="shared" si="4"/>
        <v>1</v>
      </c>
      <c r="AH76" s="35">
        <f t="shared" si="4"/>
        <v>1</v>
      </c>
      <c r="AI76" s="35">
        <f t="shared" si="4"/>
        <v>1</v>
      </c>
      <c r="AJ76" s="35">
        <f t="shared" si="4"/>
        <v>1</v>
      </c>
      <c r="AK76" s="35">
        <f t="shared" si="4"/>
        <v>1</v>
      </c>
    </row>
    <row r="77" spans="24:40" x14ac:dyDescent="0.3">
      <c r="X77" s="25">
        <v>45625</v>
      </c>
      <c r="Y77" s="27">
        <v>1.18749779766729</v>
      </c>
    </row>
    <row r="78" spans="24:40" x14ac:dyDescent="0.3">
      <c r="X78" s="26">
        <v>45596</v>
      </c>
      <c r="Y78" s="28">
        <v>-0.84899727482355902</v>
      </c>
    </row>
    <row r="79" spans="24:40" x14ac:dyDescent="0.3">
      <c r="X79" s="25">
        <v>45565</v>
      </c>
      <c r="Y79" s="27">
        <v>9.8079837332872994</v>
      </c>
    </row>
    <row r="80" spans="24:40" x14ac:dyDescent="0.3">
      <c r="X80" s="26">
        <v>45534</v>
      </c>
      <c r="Y80" s="28">
        <v>9.7887665059073594</v>
      </c>
    </row>
    <row r="81" spans="24:25" x14ac:dyDescent="0.3">
      <c r="X81" s="25">
        <v>45504</v>
      </c>
      <c r="Y81" s="27">
        <v>-5.8288048867557896</v>
      </c>
    </row>
    <row r="82" spans="24:25" x14ac:dyDescent="0.3">
      <c r="X82" s="26">
        <v>45471</v>
      </c>
      <c r="Y82" s="28">
        <v>8.0093395882869505</v>
      </c>
    </row>
    <row r="83" spans="24:25" x14ac:dyDescent="0.3">
      <c r="X83" s="25">
        <v>45443</v>
      </c>
      <c r="Y83" s="27">
        <v>8.5222121486853997</v>
      </c>
    </row>
    <row r="84" spans="24:25" x14ac:dyDescent="0.3">
      <c r="X84" s="26">
        <v>45412</v>
      </c>
      <c r="Y84" s="28">
        <v>-11.4110960088965</v>
      </c>
    </row>
    <row r="85" spans="24:25" x14ac:dyDescent="0.3">
      <c r="X85" s="25">
        <v>45379</v>
      </c>
      <c r="Y85" s="27">
        <v>-0.92832513822863605</v>
      </c>
    </row>
    <row r="86" spans="24:25" x14ac:dyDescent="0.3">
      <c r="X86" s="26">
        <v>45351</v>
      </c>
      <c r="Y86" s="28">
        <v>25.629261290818601</v>
      </c>
    </row>
    <row r="87" spans="24:25" x14ac:dyDescent="0.3">
      <c r="X87" s="25">
        <v>45322</v>
      </c>
      <c r="Y87" s="27">
        <v>10.221493954119101</v>
      </c>
    </row>
    <row r="88" spans="24:25" x14ac:dyDescent="0.3">
      <c r="X88" s="26">
        <v>45289</v>
      </c>
      <c r="Y88" s="28">
        <v>8.1950175760354593</v>
      </c>
    </row>
    <row r="89" spans="24:25" x14ac:dyDescent="0.3">
      <c r="X89" s="25">
        <v>45260</v>
      </c>
      <c r="Y89" s="27">
        <v>8.5903010588508497</v>
      </c>
    </row>
    <row r="90" spans="24:25" x14ac:dyDescent="0.3">
      <c r="X90" s="26">
        <v>45230</v>
      </c>
      <c r="Y90" s="28">
        <v>0.35308617301221801</v>
      </c>
    </row>
    <row r="91" spans="24:25" x14ac:dyDescent="0.3">
      <c r="X91" s="25">
        <v>45198</v>
      </c>
      <c r="Y91" s="27">
        <v>1.4600020277805801</v>
      </c>
    </row>
    <row r="92" spans="24:25" x14ac:dyDescent="0.3">
      <c r="X92" s="26">
        <v>45169</v>
      </c>
      <c r="Y92" s="28">
        <v>-7.1280602636534898</v>
      </c>
    </row>
    <row r="93" spans="24:25" x14ac:dyDescent="0.3">
      <c r="X93" s="25">
        <v>45138</v>
      </c>
      <c r="Y93" s="27">
        <v>11.0181894208655</v>
      </c>
    </row>
    <row r="94" spans="24:25" x14ac:dyDescent="0.3">
      <c r="X94" s="26">
        <v>45107</v>
      </c>
      <c r="Y94" s="28">
        <v>8.4088848594741492</v>
      </c>
    </row>
    <row r="95" spans="24:25" x14ac:dyDescent="0.3">
      <c r="X95" s="25">
        <v>45077</v>
      </c>
      <c r="Y95" s="27">
        <v>10.1531291611185</v>
      </c>
    </row>
    <row r="96" spans="24:25" x14ac:dyDescent="0.3">
      <c r="X96" s="26">
        <v>45044</v>
      </c>
      <c r="Y96" s="28">
        <v>13.390582240256601</v>
      </c>
    </row>
    <row r="97" spans="24:25" x14ac:dyDescent="0.3">
      <c r="X97" s="25">
        <v>45016</v>
      </c>
      <c r="Y97" s="27">
        <v>21.1501086086658</v>
      </c>
    </row>
    <row r="98" spans="24:25" x14ac:dyDescent="0.3">
      <c r="X98" s="26">
        <v>44985</v>
      </c>
      <c r="Y98" s="28">
        <v>17.433040209438101</v>
      </c>
    </row>
    <row r="99" spans="24:25" x14ac:dyDescent="0.3">
      <c r="X99" s="25">
        <v>44957</v>
      </c>
      <c r="Y99" s="27">
        <v>23.790925710486899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Ad Sales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2015-06-05T18:17:20Z</dcterms:created>
  <dcterms:modified xsi:type="dcterms:W3CDTF">2026-05-05T06:31:50Z</dcterms:modified>
</cp:coreProperties>
</file>