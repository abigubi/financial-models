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kerem\OneDrive\Masaüstü\Models\"/>
    </mc:Choice>
  </mc:AlternateContent>
  <xr:revisionPtr revIDLastSave="0" documentId="13_ncr:1_{AA7E908D-A4A3-4E13-BFEF-695D5F161BED}" xr6:coauthVersionLast="47" xr6:coauthVersionMax="47" xr10:uidLastSave="{00000000-0000-0000-0000-000000000000}"/>
  <bookViews>
    <workbookView xWindow="29004" yWindow="348" windowWidth="32016" windowHeight="162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5" i="1" l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E65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O9" i="1"/>
  <c r="W9" i="1"/>
  <c r="V9" i="1"/>
  <c r="U9" i="1"/>
  <c r="T9" i="1"/>
  <c r="S9" i="1"/>
  <c r="R9" i="1"/>
  <c r="Q9" i="1"/>
  <c r="P9" i="1"/>
  <c r="N9" i="1"/>
  <c r="M9" i="1"/>
  <c r="L9" i="1"/>
  <c r="K9" i="1"/>
  <c r="J9" i="1"/>
  <c r="I9" i="1"/>
  <c r="H9" i="1"/>
  <c r="G9" i="1"/>
  <c r="F9" i="1"/>
  <c r="E9" i="1"/>
</calcChain>
</file>

<file path=xl/sharedStrings.xml><?xml version="1.0" encoding="utf-8"?>
<sst xmlns="http://schemas.openxmlformats.org/spreadsheetml/2006/main" count="216" uniqueCount="33">
  <si>
    <t>NVDA</t>
  </si>
  <si>
    <t>AAPL</t>
  </si>
  <si>
    <t>GOOGL</t>
  </si>
  <si>
    <t>MSFT</t>
  </si>
  <si>
    <t>AMZN</t>
  </si>
  <si>
    <t>AVGO</t>
  </si>
  <si>
    <t>META</t>
  </si>
  <si>
    <t>TSLA</t>
  </si>
  <si>
    <t>Real EPS</t>
  </si>
  <si>
    <t>Surprise %</t>
  </si>
  <si>
    <t>Consensus EPS</t>
  </si>
  <si>
    <t>Consensus Revenue</t>
  </si>
  <si>
    <t>Real Revenue</t>
  </si>
  <si>
    <t>Q3 21</t>
  </si>
  <si>
    <t>Q4 22</t>
  </si>
  <si>
    <t>Q4 21</t>
  </si>
  <si>
    <t>Q1 21</t>
  </si>
  <si>
    <t>Q2 22</t>
  </si>
  <si>
    <t>Q2 21</t>
  </si>
  <si>
    <t>Q1 22</t>
  </si>
  <si>
    <t>Q3 22</t>
  </si>
  <si>
    <t>Q1 23</t>
  </si>
  <si>
    <t>Q2 23</t>
  </si>
  <si>
    <t>Q4 23</t>
  </si>
  <si>
    <t>Q3 23</t>
  </si>
  <si>
    <t>Q1 24</t>
  </si>
  <si>
    <t>Q2 24</t>
  </si>
  <si>
    <t>Q3 24</t>
  </si>
  <si>
    <t>Q4 24</t>
  </si>
  <si>
    <t>Q1 25</t>
  </si>
  <si>
    <t>Q2 25</t>
  </si>
  <si>
    <t>Q3 25</t>
  </si>
  <si>
    <t>Q4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</si>
</sst>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#,##0.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76B900"/>
        <bgColor indexed="64"/>
      </patternFill>
    </fill>
    <fill>
      <patternFill patternType="solid">
        <fgColor rgb="FF51A0D5"/>
        <bgColor indexed="64"/>
      </patternFill>
    </fill>
    <fill>
      <patternFill patternType="solid">
        <fgColor rgb="FF34A853"/>
        <bgColor indexed="64"/>
      </patternFill>
    </fill>
    <fill>
      <patternFill patternType="solid">
        <fgColor rgb="FFF04E1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0081FB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81818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1" fillId="0" borderId="1" xfId="0" applyFont="1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1" fillId="0" borderId="5" xfId="0" applyFont="1" applyBorder="1"/>
    <xf numFmtId="43" fontId="1" fillId="0" borderId="0" xfId="0" applyNumberFormat="1" applyFont="1"/>
    <xf numFmtId="0" fontId="1" fillId="0" borderId="6" xfId="0" applyFont="1" applyBorder="1"/>
    <xf numFmtId="0" fontId="2" fillId="0" borderId="5" xfId="0" applyFont="1" applyBorder="1"/>
    <xf numFmtId="164" fontId="2" fillId="0" borderId="0" xfId="0" applyNumberFormat="1" applyFont="1"/>
    <xf numFmtId="0" fontId="2" fillId="0" borderId="7" xfId="0" applyFont="1" applyBorder="1"/>
    <xf numFmtId="164" fontId="2" fillId="0" borderId="1" xfId="0" applyNumberFormat="1" applyFont="1" applyBorder="1"/>
    <xf numFmtId="0" fontId="1" fillId="0" borderId="8" xfId="0" applyFont="1" applyBorder="1"/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164" fontId="2" fillId="0" borderId="6" xfId="0" applyNumberFormat="1" applyFont="1" applyBorder="1"/>
    <xf numFmtId="0" fontId="3" fillId="4" borderId="2" xfId="0" applyFont="1" applyFill="1" applyBorder="1"/>
    <xf numFmtId="0" fontId="4" fillId="4" borderId="3" xfId="0" applyFont="1" applyFill="1" applyBorder="1"/>
    <xf numFmtId="0" fontId="3" fillId="4" borderId="3" xfId="0" applyFont="1" applyFill="1" applyBorder="1"/>
    <xf numFmtId="0" fontId="3" fillId="4" borderId="4" xfId="0" applyFont="1" applyFill="1" applyBorder="1"/>
    <xf numFmtId="165" fontId="1" fillId="0" borderId="0" xfId="0" applyNumberFormat="1" applyFont="1"/>
    <xf numFmtId="0" fontId="3" fillId="5" borderId="9" xfId="0" applyFont="1" applyFill="1" applyBorder="1"/>
    <xf numFmtId="0" fontId="1" fillId="5" borderId="10" xfId="0" applyFont="1" applyFill="1" applyBorder="1"/>
    <xf numFmtId="0" fontId="3" fillId="5" borderId="10" xfId="0" applyFont="1" applyFill="1" applyBorder="1"/>
    <xf numFmtId="0" fontId="3" fillId="5" borderId="3" xfId="0" applyFont="1" applyFill="1" applyBorder="1"/>
    <xf numFmtId="0" fontId="3" fillId="5" borderId="4" xfId="0" applyFont="1" applyFill="1" applyBorder="1"/>
    <xf numFmtId="0" fontId="3" fillId="6" borderId="9" xfId="0" applyFont="1" applyFill="1" applyBorder="1"/>
    <xf numFmtId="0" fontId="3" fillId="6" borderId="10" xfId="0" applyFont="1" applyFill="1" applyBorder="1"/>
    <xf numFmtId="0" fontId="3" fillId="6" borderId="3" xfId="0" applyFont="1" applyFill="1" applyBorder="1"/>
    <xf numFmtId="0" fontId="3" fillId="6" borderId="4" xfId="0" applyFont="1" applyFill="1" applyBorder="1"/>
    <xf numFmtId="0" fontId="3" fillId="8" borderId="9" xfId="0" applyFont="1" applyFill="1" applyBorder="1"/>
    <xf numFmtId="0" fontId="3" fillId="8" borderId="10" xfId="0" applyFont="1" applyFill="1" applyBorder="1"/>
    <xf numFmtId="0" fontId="3" fillId="8" borderId="3" xfId="0" applyFont="1" applyFill="1" applyBorder="1"/>
    <xf numFmtId="0" fontId="3" fillId="8" borderId="4" xfId="0" applyFont="1" applyFill="1" applyBorder="1"/>
    <xf numFmtId="0" fontId="3" fillId="7" borderId="9" xfId="0" applyFont="1" applyFill="1" applyBorder="1"/>
    <xf numFmtId="0" fontId="3" fillId="7" borderId="10" xfId="0" applyFont="1" applyFill="1" applyBorder="1"/>
    <xf numFmtId="0" fontId="3" fillId="7" borderId="3" xfId="0" applyFont="1" applyFill="1" applyBorder="1"/>
    <xf numFmtId="0" fontId="3" fillId="7" borderId="4" xfId="0" applyFont="1" applyFill="1" applyBorder="1"/>
    <xf numFmtId="0" fontId="3" fillId="9" borderId="9" xfId="0" applyFont="1" applyFill="1" applyBorder="1"/>
    <xf numFmtId="0" fontId="3" fillId="9" borderId="10" xfId="0" applyFont="1" applyFill="1" applyBorder="1"/>
    <xf numFmtId="0" fontId="3" fillId="9" borderId="3" xfId="0" applyFont="1" applyFill="1" applyBorder="1"/>
    <xf numFmtId="0" fontId="3" fillId="9" borderId="4" xfId="0" applyFont="1" applyFill="1" applyBorder="1"/>
    <xf numFmtId="164" fontId="2" fillId="0" borderId="8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18181"/>
      <color rgb="FF0081FB"/>
      <color rgb="FFCC092F"/>
      <color rgb="FFFF9900"/>
      <color rgb="FFF04E1F"/>
      <color rgb="FFF14F21"/>
      <color rgb="FFF65314"/>
      <color rgb="FF34A853"/>
      <color rgb="FF51A0D5"/>
      <color rgb="FF78C5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X65"/>
  <sheetViews>
    <sheetView showGridLines="0" tabSelected="1" topLeftCell="C16" zoomScale="85" zoomScaleNormal="85" workbookViewId="0">
      <selection activeCell="R33" sqref="R33"/>
    </sheetView>
  </sheetViews>
  <sheetFormatPr defaultColWidth="15.33203125" defaultRowHeight="16.05" customHeight="1" x14ac:dyDescent="0.3"/>
  <cols>
    <col min="1" max="16384" width="15.33203125" style="1"/>
  </cols>
  <sheetData>
    <row r="3" spans="3:24" ht="16.05" customHeight="1" x14ac:dyDescent="0.3">
      <c r="C3" s="3" t="s">
        <v>0</v>
      </c>
      <c r="D3" s="4"/>
      <c r="E3" s="4" t="s">
        <v>16</v>
      </c>
      <c r="F3" s="4" t="s">
        <v>18</v>
      </c>
      <c r="G3" s="4" t="s">
        <v>13</v>
      </c>
      <c r="H3" s="4" t="s">
        <v>15</v>
      </c>
      <c r="I3" s="4" t="s">
        <v>19</v>
      </c>
      <c r="J3" s="4" t="s">
        <v>17</v>
      </c>
      <c r="K3" s="4" t="s">
        <v>20</v>
      </c>
      <c r="L3" s="4" t="s">
        <v>14</v>
      </c>
      <c r="M3" s="4" t="s">
        <v>21</v>
      </c>
      <c r="N3" s="4" t="s">
        <v>22</v>
      </c>
      <c r="O3" s="4" t="s">
        <v>24</v>
      </c>
      <c r="P3" s="4" t="s">
        <v>23</v>
      </c>
      <c r="Q3" s="4" t="s">
        <v>25</v>
      </c>
      <c r="R3" s="4" t="s">
        <v>26</v>
      </c>
      <c r="S3" s="4" t="s">
        <v>27</v>
      </c>
      <c r="T3" s="4" t="s">
        <v>28</v>
      </c>
      <c r="U3" s="4" t="s">
        <v>29</v>
      </c>
      <c r="V3" s="4" t="s">
        <v>30</v>
      </c>
      <c r="W3" s="4" t="s">
        <v>31</v>
      </c>
      <c r="X3" s="5" t="s">
        <v>32</v>
      </c>
    </row>
    <row r="4" spans="3:24" ht="16.05" customHeight="1" x14ac:dyDescent="0.3">
      <c r="C4" s="6" t="s">
        <v>8</v>
      </c>
      <c r="E4" s="7">
        <v>0.09</v>
      </c>
      <c r="F4" s="7">
        <v>0.09</v>
      </c>
      <c r="G4" s="7">
        <v>0.12</v>
      </c>
      <c r="H4" s="7">
        <v>0.13</v>
      </c>
      <c r="I4" s="7">
        <v>0.14000000000000001</v>
      </c>
      <c r="J4" s="7">
        <v>0.05</v>
      </c>
      <c r="K4" s="7">
        <v>0.06</v>
      </c>
      <c r="L4" s="7">
        <v>0.09</v>
      </c>
      <c r="M4" s="7">
        <v>0.11</v>
      </c>
      <c r="N4" s="7">
        <v>0.27</v>
      </c>
      <c r="O4" s="7">
        <v>0.4</v>
      </c>
      <c r="P4" s="7">
        <v>0.52</v>
      </c>
      <c r="Q4" s="7">
        <v>0.61</v>
      </c>
      <c r="R4" s="7">
        <v>0.68</v>
      </c>
      <c r="S4" s="7">
        <v>0.81</v>
      </c>
      <c r="T4" s="7">
        <v>0.89</v>
      </c>
      <c r="U4" s="7">
        <v>0.81</v>
      </c>
      <c r="V4" s="7">
        <v>1.05</v>
      </c>
      <c r="W4" s="7">
        <v>1.3</v>
      </c>
      <c r="X4" s="8"/>
    </row>
    <row r="5" spans="3:24" ht="16.05" customHeight="1" x14ac:dyDescent="0.3">
      <c r="C5" s="6" t="s">
        <v>10</v>
      </c>
      <c r="E5" s="7">
        <v>0.08</v>
      </c>
      <c r="F5" s="7">
        <v>0.1</v>
      </c>
      <c r="G5" s="7">
        <v>0.11</v>
      </c>
      <c r="H5" s="7">
        <v>0.12</v>
      </c>
      <c r="I5" s="7">
        <v>0.13</v>
      </c>
      <c r="J5" s="7">
        <v>0.05</v>
      </c>
      <c r="K5" s="7">
        <v>7.0000000000000007E-2</v>
      </c>
      <c r="L5" s="7">
        <v>0.08</v>
      </c>
      <c r="M5" s="7">
        <v>0.09</v>
      </c>
      <c r="N5" s="7">
        <v>0.21</v>
      </c>
      <c r="O5" s="7">
        <v>0.34</v>
      </c>
      <c r="P5" s="7">
        <v>0.46</v>
      </c>
      <c r="Q5" s="7">
        <v>0.56000000000000005</v>
      </c>
      <c r="R5" s="7">
        <v>0.65</v>
      </c>
      <c r="S5" s="7">
        <v>0.75</v>
      </c>
      <c r="T5" s="7">
        <v>0.85</v>
      </c>
      <c r="U5" s="7">
        <v>0.74</v>
      </c>
      <c r="V5" s="7">
        <v>1.01</v>
      </c>
      <c r="W5" s="7">
        <v>1.26</v>
      </c>
      <c r="X5" s="8"/>
    </row>
    <row r="6" spans="3:24" ht="16.05" customHeight="1" x14ac:dyDescent="0.3">
      <c r="C6" s="9" t="s">
        <v>9</v>
      </c>
      <c r="E6" s="10">
        <v>0.113</v>
      </c>
      <c r="F6" s="10">
        <v>2.3E-2</v>
      </c>
      <c r="G6" s="10">
        <v>5.7000000000000002E-2</v>
      </c>
      <c r="H6" s="10">
        <v>7.6999999999999999E-2</v>
      </c>
      <c r="I6" s="10">
        <v>4.7E-2</v>
      </c>
      <c r="J6" s="10">
        <v>2.1999999999999999E-2</v>
      </c>
      <c r="K6" s="10">
        <v>-0.17799999999999999</v>
      </c>
      <c r="L6" s="10">
        <v>8.5000000000000006E-2</v>
      </c>
      <c r="M6" s="10">
        <v>0.18</v>
      </c>
      <c r="N6" s="10">
        <v>0.29699999999999999</v>
      </c>
      <c r="O6" s="10">
        <v>0.185</v>
      </c>
      <c r="P6" s="10">
        <v>0.123</v>
      </c>
      <c r="Q6" s="10">
        <v>9.1999999999999998E-2</v>
      </c>
      <c r="R6" s="10">
        <v>5.3999999999999999E-2</v>
      </c>
      <c r="S6" s="10">
        <v>8.3000000000000004E-2</v>
      </c>
      <c r="T6" s="10">
        <v>0.05</v>
      </c>
      <c r="U6" s="10">
        <v>9.9000000000000005E-2</v>
      </c>
      <c r="V6" s="10">
        <v>4.1000000000000002E-2</v>
      </c>
      <c r="W6" s="10">
        <v>3.1E-2</v>
      </c>
      <c r="X6" s="8"/>
    </row>
    <row r="7" spans="3:24" ht="16.05" customHeight="1" x14ac:dyDescent="0.3">
      <c r="C7" s="6" t="s">
        <v>12</v>
      </c>
      <c r="E7" s="22">
        <v>5661</v>
      </c>
      <c r="F7" s="22">
        <v>6507</v>
      </c>
      <c r="G7" s="22">
        <v>7103</v>
      </c>
      <c r="H7" s="22">
        <v>7643</v>
      </c>
      <c r="I7" s="22">
        <v>8288</v>
      </c>
      <c r="J7" s="22">
        <v>6704</v>
      </c>
      <c r="K7" s="22">
        <v>5931</v>
      </c>
      <c r="L7" s="22">
        <v>6051</v>
      </c>
      <c r="M7" s="22">
        <v>7192</v>
      </c>
      <c r="N7" s="22">
        <v>13507</v>
      </c>
      <c r="O7" s="22">
        <v>18120</v>
      </c>
      <c r="P7" s="22">
        <v>22103</v>
      </c>
      <c r="Q7" s="22">
        <v>26044</v>
      </c>
      <c r="R7" s="22">
        <v>30040</v>
      </c>
      <c r="S7" s="22">
        <v>35082</v>
      </c>
      <c r="T7" s="22">
        <v>39331</v>
      </c>
      <c r="U7" s="22">
        <v>44062</v>
      </c>
      <c r="V7" s="22">
        <v>46743</v>
      </c>
      <c r="W7" s="22">
        <v>57006</v>
      </c>
      <c r="X7" s="8"/>
    </row>
    <row r="8" spans="3:24" ht="16.05" customHeight="1" x14ac:dyDescent="0.3">
      <c r="C8" s="6" t="s">
        <v>11</v>
      </c>
      <c r="E8" s="22">
        <v>5398.4</v>
      </c>
      <c r="F8" s="22">
        <v>6326.1</v>
      </c>
      <c r="G8" s="22">
        <v>6820.8</v>
      </c>
      <c r="H8" s="22">
        <v>7420.3</v>
      </c>
      <c r="I8" s="22">
        <v>8123.4</v>
      </c>
      <c r="J8" s="22">
        <v>6699.5</v>
      </c>
      <c r="K8" s="22">
        <v>5780.8</v>
      </c>
      <c r="L8" s="22">
        <v>6015.1</v>
      </c>
      <c r="M8" s="22">
        <v>6532.5</v>
      </c>
      <c r="N8" s="22">
        <v>11190.4</v>
      </c>
      <c r="O8" s="22">
        <v>16294.1</v>
      </c>
      <c r="P8" s="22">
        <v>20395.3</v>
      </c>
      <c r="Q8" s="22">
        <v>24620.1</v>
      </c>
      <c r="R8" s="22">
        <v>28779.5</v>
      </c>
      <c r="S8" s="22">
        <v>33171.599999999999</v>
      </c>
      <c r="T8" s="22">
        <v>38171.599999999999</v>
      </c>
      <c r="U8" s="22">
        <v>43334.2</v>
      </c>
      <c r="V8" s="22">
        <v>46027</v>
      </c>
      <c r="W8" s="22">
        <v>54961.1</v>
      </c>
      <c r="X8" s="8"/>
    </row>
    <row r="9" spans="3:24" ht="16.05" customHeight="1" x14ac:dyDescent="0.3">
      <c r="C9" s="11" t="s">
        <v>9</v>
      </c>
      <c r="D9" s="2"/>
      <c r="E9" s="12">
        <f t="shared" ref="E9:W9" si="0">E7/E8-1</f>
        <v>4.8644042679312438E-2</v>
      </c>
      <c r="F9" s="12">
        <f t="shared" si="0"/>
        <v>2.8595817328211703E-2</v>
      </c>
      <c r="G9" s="12">
        <f t="shared" si="0"/>
        <v>4.1373445930096064E-2</v>
      </c>
      <c r="H9" s="12">
        <f t="shared" si="0"/>
        <v>3.001226365510834E-2</v>
      </c>
      <c r="I9" s="12">
        <f t="shared" si="0"/>
        <v>2.0262451682792948E-2</v>
      </c>
      <c r="J9" s="12">
        <f t="shared" si="0"/>
        <v>6.7169191730731548E-4</v>
      </c>
      <c r="K9" s="12">
        <f t="shared" si="0"/>
        <v>2.5982562967063361E-2</v>
      </c>
      <c r="L9" s="12">
        <f t="shared" si="0"/>
        <v>5.9683130787517857E-3</v>
      </c>
      <c r="M9" s="12">
        <f t="shared" si="0"/>
        <v>0.10095675468809806</v>
      </c>
      <c r="N9" s="12">
        <f t="shared" si="0"/>
        <v>0.20701672862453546</v>
      </c>
      <c r="O9" s="12">
        <f t="shared" si="0"/>
        <v>0.11205896612884425</v>
      </c>
      <c r="P9" s="12">
        <f t="shared" si="0"/>
        <v>8.3730075066314358E-2</v>
      </c>
      <c r="Q9" s="12">
        <f t="shared" si="0"/>
        <v>5.7834858509916653E-2</v>
      </c>
      <c r="R9" s="12">
        <f t="shared" si="0"/>
        <v>4.3798537153181938E-2</v>
      </c>
      <c r="S9" s="12">
        <f t="shared" si="0"/>
        <v>5.7591433636001943E-2</v>
      </c>
      <c r="T9" s="12">
        <f t="shared" si="0"/>
        <v>3.0373366586676998E-2</v>
      </c>
      <c r="U9" s="12">
        <f t="shared" si="0"/>
        <v>1.6795048714410399E-2</v>
      </c>
      <c r="V9" s="12">
        <f t="shared" si="0"/>
        <v>1.5556086644795464E-2</v>
      </c>
      <c r="W9" s="12">
        <f t="shared" si="0"/>
        <v>3.7206315011890201E-2</v>
      </c>
      <c r="X9" s="13"/>
    </row>
    <row r="11" spans="3:24" ht="16.05" customHeight="1" x14ac:dyDescent="0.3">
      <c r="C11" s="14" t="s">
        <v>1</v>
      </c>
      <c r="D11" s="15"/>
      <c r="E11" s="15" t="s">
        <v>16</v>
      </c>
      <c r="F11" s="15" t="s">
        <v>18</v>
      </c>
      <c r="G11" s="15" t="s">
        <v>13</v>
      </c>
      <c r="H11" s="15" t="s">
        <v>15</v>
      </c>
      <c r="I11" s="15" t="s">
        <v>19</v>
      </c>
      <c r="J11" s="15" t="s">
        <v>17</v>
      </c>
      <c r="K11" s="15" t="s">
        <v>20</v>
      </c>
      <c r="L11" s="15" t="s">
        <v>14</v>
      </c>
      <c r="M11" s="15" t="s">
        <v>21</v>
      </c>
      <c r="N11" s="15" t="s">
        <v>22</v>
      </c>
      <c r="O11" s="15" t="s">
        <v>24</v>
      </c>
      <c r="P11" s="15" t="s">
        <v>23</v>
      </c>
      <c r="Q11" s="15" t="s">
        <v>25</v>
      </c>
      <c r="R11" s="15" t="s">
        <v>26</v>
      </c>
      <c r="S11" s="15" t="s">
        <v>27</v>
      </c>
      <c r="T11" s="15" t="s">
        <v>28</v>
      </c>
      <c r="U11" s="15" t="s">
        <v>29</v>
      </c>
      <c r="V11" s="15" t="s">
        <v>30</v>
      </c>
      <c r="W11" s="15" t="s">
        <v>31</v>
      </c>
      <c r="X11" s="16" t="s">
        <v>32</v>
      </c>
    </row>
    <row r="12" spans="3:24" ht="16.05" customHeight="1" x14ac:dyDescent="0.3">
      <c r="C12" s="6" t="s">
        <v>8</v>
      </c>
      <c r="E12" s="7">
        <v>1.4</v>
      </c>
      <c r="F12" s="7">
        <v>1.3</v>
      </c>
      <c r="G12" s="7">
        <v>1.24</v>
      </c>
      <c r="H12" s="7">
        <v>2.1</v>
      </c>
      <c r="I12" s="7">
        <v>1.52</v>
      </c>
      <c r="J12" s="7">
        <v>1.2</v>
      </c>
      <c r="K12" s="7">
        <v>1.29</v>
      </c>
      <c r="L12" s="7">
        <v>1.88</v>
      </c>
      <c r="M12" s="7">
        <v>1.52</v>
      </c>
      <c r="N12" s="7">
        <v>1.26</v>
      </c>
      <c r="O12" s="7">
        <v>1.46</v>
      </c>
      <c r="P12" s="7">
        <v>2.1800000000000002</v>
      </c>
      <c r="Q12" s="7">
        <v>1.53</v>
      </c>
      <c r="R12" s="7">
        <v>1.4</v>
      </c>
      <c r="S12" s="7">
        <v>1.64</v>
      </c>
      <c r="T12" s="7">
        <v>2.4</v>
      </c>
      <c r="U12" s="7">
        <v>1.65</v>
      </c>
      <c r="V12" s="7">
        <v>1.57</v>
      </c>
      <c r="W12" s="7">
        <v>1.85</v>
      </c>
      <c r="X12" s="8"/>
    </row>
    <row r="13" spans="3:24" ht="16.05" customHeight="1" x14ac:dyDescent="0.3">
      <c r="C13" s="6" t="s">
        <v>10</v>
      </c>
      <c r="E13" s="7">
        <v>0.98639600000000005</v>
      </c>
      <c r="F13" s="7">
        <v>1.0106599999999999</v>
      </c>
      <c r="G13" s="7">
        <v>1.23878</v>
      </c>
      <c r="H13" s="7">
        <v>1.8991100000000001</v>
      </c>
      <c r="I13" s="7">
        <v>1.42404</v>
      </c>
      <c r="J13" s="7">
        <v>1.1635</v>
      </c>
      <c r="K13" s="7">
        <v>1.2679800000000001</v>
      </c>
      <c r="L13" s="7">
        <v>1.93875</v>
      </c>
      <c r="M13" s="7">
        <v>1.4290799999999999</v>
      </c>
      <c r="N13" s="7">
        <v>1.19526</v>
      </c>
      <c r="O13" s="7">
        <v>1.39314</v>
      </c>
      <c r="P13" s="7">
        <v>2.1007099999999999</v>
      </c>
      <c r="Q13" s="7">
        <v>1.50508</v>
      </c>
      <c r="R13" s="7">
        <v>1.3455299999999999</v>
      </c>
      <c r="S13" s="7">
        <v>1.6003799999999999</v>
      </c>
      <c r="T13" s="7">
        <v>2.3476900000000001</v>
      </c>
      <c r="U13" s="7">
        <v>1.62734</v>
      </c>
      <c r="V13" s="7">
        <v>1.4393800000000001</v>
      </c>
      <c r="W13" s="7">
        <v>1.77715</v>
      </c>
      <c r="X13" s="8"/>
    </row>
    <row r="14" spans="3:24" ht="16.05" customHeight="1" x14ac:dyDescent="0.3">
      <c r="C14" s="9" t="s">
        <v>9</v>
      </c>
      <c r="E14" s="10">
        <f t="shared" ref="E14:W14" si="1">E12/E13-1</f>
        <v>0.41930826970101243</v>
      </c>
      <c r="F14" s="10">
        <f t="shared" si="1"/>
        <v>0.28628816812775826</v>
      </c>
      <c r="G14" s="10">
        <f t="shared" si="1"/>
        <v>9.8483992315023805E-4</v>
      </c>
      <c r="H14" s="10">
        <f t="shared" si="1"/>
        <v>0.1057811290551891</v>
      </c>
      <c r="I14" s="10">
        <f t="shared" si="1"/>
        <v>6.7385747591359735E-2</v>
      </c>
      <c r="J14" s="10">
        <f t="shared" si="1"/>
        <v>3.1370863773098501E-2</v>
      </c>
      <c r="K14" s="10">
        <f t="shared" si="1"/>
        <v>1.7366204514266625E-2</v>
      </c>
      <c r="L14" s="10">
        <f t="shared" si="1"/>
        <v>-3.0303030303030387E-2</v>
      </c>
      <c r="M14" s="10">
        <f t="shared" si="1"/>
        <v>6.3621350799115683E-2</v>
      </c>
      <c r="N14" s="10">
        <f t="shared" si="1"/>
        <v>5.4163947592992256E-2</v>
      </c>
      <c r="O14" s="10">
        <f t="shared" si="1"/>
        <v>4.7992305152389614E-2</v>
      </c>
      <c r="P14" s="10">
        <f t="shared" si="1"/>
        <v>3.7744381661438453E-2</v>
      </c>
      <c r="Q14" s="10">
        <f t="shared" si="1"/>
        <v>1.6557259414782033E-2</v>
      </c>
      <c r="R14" s="10">
        <f t="shared" si="1"/>
        <v>4.0482189174525951E-2</v>
      </c>
      <c r="S14" s="10">
        <f t="shared" si="1"/>
        <v>2.4756620302678112E-2</v>
      </c>
      <c r="T14" s="10">
        <f t="shared" si="1"/>
        <v>2.2281476685592994E-2</v>
      </c>
      <c r="U14" s="10">
        <f t="shared" si="1"/>
        <v>1.3924564012437468E-2</v>
      </c>
      <c r="V14" s="10">
        <f t="shared" si="1"/>
        <v>9.0747405132765468E-2</v>
      </c>
      <c r="W14" s="10">
        <f t="shared" si="1"/>
        <v>4.0992600512055777E-2</v>
      </c>
      <c r="X14" s="17"/>
    </row>
    <row r="15" spans="3:24" ht="16.05" customHeight="1" x14ac:dyDescent="0.3">
      <c r="C15" s="6" t="s">
        <v>12</v>
      </c>
      <c r="E15" s="22">
        <v>89584</v>
      </c>
      <c r="F15" s="22">
        <v>81434</v>
      </c>
      <c r="G15" s="22">
        <v>83360</v>
      </c>
      <c r="H15" s="22">
        <v>123945</v>
      </c>
      <c r="I15" s="22">
        <v>97278</v>
      </c>
      <c r="J15" s="22">
        <v>82959</v>
      </c>
      <c r="K15" s="22">
        <v>90146</v>
      </c>
      <c r="L15" s="22">
        <v>117154</v>
      </c>
      <c r="M15" s="22">
        <v>94836</v>
      </c>
      <c r="N15" s="22">
        <v>81797</v>
      </c>
      <c r="O15" s="22">
        <v>89498</v>
      </c>
      <c r="P15" s="22">
        <v>119575</v>
      </c>
      <c r="Q15" s="22">
        <v>90753</v>
      </c>
      <c r="R15" s="22">
        <v>85777</v>
      </c>
      <c r="S15" s="22">
        <v>94930</v>
      </c>
      <c r="T15" s="22">
        <v>124300</v>
      </c>
      <c r="U15" s="22">
        <v>95359</v>
      </c>
      <c r="V15" s="22">
        <v>94036</v>
      </c>
      <c r="W15" s="22">
        <v>102466</v>
      </c>
      <c r="X15" s="8"/>
    </row>
    <row r="16" spans="3:24" ht="16.05" customHeight="1" x14ac:dyDescent="0.3">
      <c r="C16" s="6" t="s">
        <v>11</v>
      </c>
      <c r="E16" s="22">
        <v>77088.7</v>
      </c>
      <c r="F16" s="22">
        <v>73334.8</v>
      </c>
      <c r="G16" s="22">
        <v>85054.9</v>
      </c>
      <c r="H16" s="22">
        <v>119002</v>
      </c>
      <c r="I16" s="22">
        <v>94033.8</v>
      </c>
      <c r="J16" s="22">
        <v>82791.199999999997</v>
      </c>
      <c r="K16" s="22">
        <v>88739.3</v>
      </c>
      <c r="L16" s="22">
        <v>121333</v>
      </c>
      <c r="M16" s="22">
        <v>92906</v>
      </c>
      <c r="N16" s="22">
        <v>81794.899999999994</v>
      </c>
      <c r="O16" s="22">
        <v>89303.8</v>
      </c>
      <c r="P16" s="22">
        <v>117987</v>
      </c>
      <c r="Q16" s="22">
        <v>90366.1</v>
      </c>
      <c r="R16" s="22">
        <v>84480.7</v>
      </c>
      <c r="S16" s="22">
        <v>94512</v>
      </c>
      <c r="T16" s="22">
        <v>124141</v>
      </c>
      <c r="U16" s="22">
        <v>94542.2</v>
      </c>
      <c r="V16" s="22">
        <v>89632.8</v>
      </c>
      <c r="W16" s="22">
        <v>102227</v>
      </c>
      <c r="X16" s="8"/>
    </row>
    <row r="17" spans="3:24" ht="16.05" customHeight="1" x14ac:dyDescent="0.3">
      <c r="C17" s="11" t="s">
        <v>9</v>
      </c>
      <c r="D17" s="2"/>
      <c r="E17" s="12">
        <f>E15/E16-1</f>
        <v>0.16208990422720837</v>
      </c>
      <c r="F17" s="12">
        <f t="shared" ref="F17:W17" si="2">F15/F16-1</f>
        <v>0.11044142753508557</v>
      </c>
      <c r="G17" s="12">
        <f t="shared" si="2"/>
        <v>-1.9927129418763623E-2</v>
      </c>
      <c r="H17" s="12">
        <f t="shared" si="2"/>
        <v>4.1537117023243253E-2</v>
      </c>
      <c r="I17" s="12">
        <f t="shared" si="2"/>
        <v>3.4500360508668226E-2</v>
      </c>
      <c r="J17" s="12">
        <f t="shared" si="2"/>
        <v>2.0267854554589793E-3</v>
      </c>
      <c r="K17" s="12">
        <f t="shared" si="2"/>
        <v>1.5852052022046648E-2</v>
      </c>
      <c r="L17" s="12">
        <f t="shared" si="2"/>
        <v>-3.4442402314292075E-2</v>
      </c>
      <c r="M17" s="12">
        <f t="shared" si="2"/>
        <v>2.0773685230232708E-2</v>
      </c>
      <c r="N17" s="12">
        <f t="shared" si="2"/>
        <v>2.5673972338102757E-5</v>
      </c>
      <c r="O17" s="12">
        <f t="shared" si="2"/>
        <v>2.1745995131225992E-3</v>
      </c>
      <c r="P17" s="12">
        <f t="shared" si="2"/>
        <v>1.3459109901938326E-2</v>
      </c>
      <c r="Q17" s="12">
        <f t="shared" si="2"/>
        <v>4.281472808940423E-3</v>
      </c>
      <c r="R17" s="12">
        <f t="shared" si="2"/>
        <v>1.5344333084361228E-2</v>
      </c>
      <c r="S17" s="12">
        <f t="shared" si="2"/>
        <v>4.4227188081935598E-3</v>
      </c>
      <c r="T17" s="12">
        <f t="shared" si="2"/>
        <v>1.2808016690697421E-3</v>
      </c>
      <c r="U17" s="12">
        <f t="shared" si="2"/>
        <v>8.6395281683735448E-3</v>
      </c>
      <c r="V17" s="12">
        <f t="shared" si="2"/>
        <v>4.9124873930079138E-2</v>
      </c>
      <c r="W17" s="12">
        <f t="shared" si="2"/>
        <v>2.3379342052491925E-3</v>
      </c>
      <c r="X17" s="13"/>
    </row>
    <row r="19" spans="3:24" ht="16.05" customHeight="1" x14ac:dyDescent="0.3">
      <c r="C19" s="18" t="s">
        <v>2</v>
      </c>
      <c r="D19" s="19"/>
      <c r="E19" s="20" t="s">
        <v>16</v>
      </c>
      <c r="F19" s="20" t="s">
        <v>18</v>
      </c>
      <c r="G19" s="20" t="s">
        <v>13</v>
      </c>
      <c r="H19" s="20" t="s">
        <v>15</v>
      </c>
      <c r="I19" s="20" t="s">
        <v>19</v>
      </c>
      <c r="J19" s="20" t="s">
        <v>17</v>
      </c>
      <c r="K19" s="20" t="s">
        <v>20</v>
      </c>
      <c r="L19" s="20" t="s">
        <v>14</v>
      </c>
      <c r="M19" s="20" t="s">
        <v>21</v>
      </c>
      <c r="N19" s="20" t="s">
        <v>22</v>
      </c>
      <c r="O19" s="20" t="s">
        <v>24</v>
      </c>
      <c r="P19" s="20" t="s">
        <v>23</v>
      </c>
      <c r="Q19" s="20" t="s">
        <v>25</v>
      </c>
      <c r="R19" s="20" t="s">
        <v>26</v>
      </c>
      <c r="S19" s="20" t="s">
        <v>27</v>
      </c>
      <c r="T19" s="20" t="s">
        <v>28</v>
      </c>
      <c r="U19" s="20" t="s">
        <v>29</v>
      </c>
      <c r="V19" s="20" t="s">
        <v>30</v>
      </c>
      <c r="W19" s="20" t="s">
        <v>31</v>
      </c>
      <c r="X19" s="21" t="s">
        <v>32</v>
      </c>
    </row>
    <row r="20" spans="3:24" ht="16.05" customHeight="1" x14ac:dyDescent="0.3">
      <c r="C20" s="6" t="s">
        <v>8</v>
      </c>
      <c r="E20" s="7">
        <v>1.3145</v>
      </c>
      <c r="F20" s="7">
        <v>1.363</v>
      </c>
      <c r="G20" s="7">
        <v>1.3995</v>
      </c>
      <c r="H20" s="7">
        <v>1.5345</v>
      </c>
      <c r="I20" s="7">
        <v>1.2310000000000001</v>
      </c>
      <c r="J20" s="7">
        <v>1.21</v>
      </c>
      <c r="K20" s="7">
        <v>1.06</v>
      </c>
      <c r="L20" s="7">
        <v>1.05</v>
      </c>
      <c r="M20" s="7">
        <v>1.17</v>
      </c>
      <c r="N20" s="7">
        <v>1.44</v>
      </c>
      <c r="O20" s="7">
        <v>1.55</v>
      </c>
      <c r="P20" s="7">
        <v>1.64</v>
      </c>
      <c r="Q20" s="7">
        <v>1.89</v>
      </c>
      <c r="R20" s="7">
        <v>1.89</v>
      </c>
      <c r="S20" s="7">
        <v>2.12</v>
      </c>
      <c r="T20" s="7">
        <v>2.15</v>
      </c>
      <c r="U20" s="7">
        <v>2.81</v>
      </c>
      <c r="V20" s="7">
        <v>2.31</v>
      </c>
      <c r="W20" s="7">
        <v>2.87</v>
      </c>
      <c r="X20" s="8"/>
    </row>
    <row r="21" spans="3:24" ht="16.05" customHeight="1" x14ac:dyDescent="0.3">
      <c r="C21" s="6" t="s">
        <v>10</v>
      </c>
      <c r="E21" s="7">
        <v>0.78794699999999995</v>
      </c>
      <c r="F21" s="7">
        <v>0.96206999999999998</v>
      </c>
      <c r="G21" s="7">
        <v>1.18668</v>
      </c>
      <c r="H21" s="7">
        <v>1.3839999999999999</v>
      </c>
      <c r="I21" s="7">
        <v>1.28844</v>
      </c>
      <c r="J21" s="7">
        <v>1.2659800000000001</v>
      </c>
      <c r="K21" s="7">
        <v>1.2633799999999999</v>
      </c>
      <c r="L21" s="7">
        <v>1.1765000000000001</v>
      </c>
      <c r="M21" s="7">
        <v>1.07534</v>
      </c>
      <c r="N21" s="7">
        <v>1.34372</v>
      </c>
      <c r="O21" s="7">
        <v>1.4599599999999999</v>
      </c>
      <c r="P21" s="7">
        <v>1.5942499999999999</v>
      </c>
      <c r="Q21" s="7">
        <v>1.51135</v>
      </c>
      <c r="R21" s="7">
        <v>1.8470500000000001</v>
      </c>
      <c r="S21" s="7">
        <v>1.8444499999999999</v>
      </c>
      <c r="T21" s="7">
        <v>2.1200899999999998</v>
      </c>
      <c r="U21" s="7">
        <v>2.0244300000000002</v>
      </c>
      <c r="V21" s="7">
        <v>2.1827000000000001</v>
      </c>
      <c r="W21" s="7">
        <v>2.2635800000000001</v>
      </c>
      <c r="X21" s="8"/>
    </row>
    <row r="22" spans="3:24" ht="16.05" customHeight="1" x14ac:dyDescent="0.3">
      <c r="C22" s="9" t="s">
        <v>9</v>
      </c>
      <c r="E22" s="10">
        <f t="shared" ref="E22:W22" si="3">E20/E21-1</f>
        <v>0.66825941338694106</v>
      </c>
      <c r="F22" s="10">
        <f t="shared" si="3"/>
        <v>0.41673682788154709</v>
      </c>
      <c r="G22" s="10">
        <f t="shared" si="3"/>
        <v>0.17934068156537575</v>
      </c>
      <c r="H22" s="10">
        <f t="shared" si="3"/>
        <v>0.10874277456647397</v>
      </c>
      <c r="I22" s="10">
        <f t="shared" si="3"/>
        <v>-4.4581043742820681E-2</v>
      </c>
      <c r="J22" s="10">
        <f t="shared" si="3"/>
        <v>-4.4218708036461996E-2</v>
      </c>
      <c r="K22" s="10">
        <f t="shared" si="3"/>
        <v>-0.16098086086529773</v>
      </c>
      <c r="L22" s="10">
        <f t="shared" si="3"/>
        <v>-0.10752231194220152</v>
      </c>
      <c r="M22" s="10">
        <f t="shared" si="3"/>
        <v>8.802797254821737E-2</v>
      </c>
      <c r="N22" s="10">
        <f t="shared" si="3"/>
        <v>7.1651832226951928E-2</v>
      </c>
      <c r="O22" s="10">
        <f t="shared" si="3"/>
        <v>6.1672922545823239E-2</v>
      </c>
      <c r="P22" s="10">
        <f t="shared" si="3"/>
        <v>2.8696879410381015E-2</v>
      </c>
      <c r="Q22" s="10">
        <f t="shared" si="3"/>
        <v>0.2505375988354781</v>
      </c>
      <c r="R22" s="10">
        <f t="shared" si="3"/>
        <v>2.3253295795998996E-2</v>
      </c>
      <c r="S22" s="10">
        <f t="shared" si="3"/>
        <v>0.14939412833093879</v>
      </c>
      <c r="T22" s="10">
        <f t="shared" si="3"/>
        <v>1.4107891646109483E-2</v>
      </c>
      <c r="U22" s="10">
        <f t="shared" si="3"/>
        <v>0.3880450299590501</v>
      </c>
      <c r="V22" s="10">
        <f t="shared" si="3"/>
        <v>5.8322261419343047E-2</v>
      </c>
      <c r="W22" s="10">
        <f t="shared" si="3"/>
        <v>0.267903056220677</v>
      </c>
      <c r="X22" s="8"/>
    </row>
    <row r="23" spans="3:24" ht="16.05" customHeight="1" x14ac:dyDescent="0.3">
      <c r="C23" s="6" t="s">
        <v>12</v>
      </c>
      <c r="E23" s="22">
        <v>55314</v>
      </c>
      <c r="F23" s="22">
        <v>61880</v>
      </c>
      <c r="G23" s="22">
        <v>65118</v>
      </c>
      <c r="H23" s="22">
        <v>75325</v>
      </c>
      <c r="I23" s="22">
        <v>68011</v>
      </c>
      <c r="J23" s="22">
        <v>69685</v>
      </c>
      <c r="K23" s="22">
        <v>69092</v>
      </c>
      <c r="L23" s="22">
        <v>76048</v>
      </c>
      <c r="M23" s="22">
        <v>69787</v>
      </c>
      <c r="N23" s="22">
        <v>74604</v>
      </c>
      <c r="O23" s="22">
        <v>76693</v>
      </c>
      <c r="P23" s="22">
        <v>86310</v>
      </c>
      <c r="Q23" s="22">
        <v>80539</v>
      </c>
      <c r="R23" s="22">
        <v>84742</v>
      </c>
      <c r="S23" s="22">
        <v>88268</v>
      </c>
      <c r="T23" s="22">
        <v>96469</v>
      </c>
      <c r="U23" s="22">
        <v>90234</v>
      </c>
      <c r="V23" s="22">
        <v>96428</v>
      </c>
      <c r="W23" s="22">
        <v>102346</v>
      </c>
      <c r="X23" s="8"/>
    </row>
    <row r="24" spans="3:24" ht="16.05" customHeight="1" x14ac:dyDescent="0.3">
      <c r="C24" s="6" t="s">
        <v>11</v>
      </c>
      <c r="E24" s="22">
        <v>51508.5</v>
      </c>
      <c r="F24" s="22">
        <v>56190.400000000001</v>
      </c>
      <c r="G24" s="22">
        <v>63529.3</v>
      </c>
      <c r="H24" s="22">
        <v>72271</v>
      </c>
      <c r="I24" s="22">
        <v>68112.600000000006</v>
      </c>
      <c r="J24" s="22">
        <v>69798.8</v>
      </c>
      <c r="K24" s="22">
        <v>70976.600000000006</v>
      </c>
      <c r="L24" s="22">
        <v>76554.8</v>
      </c>
      <c r="M24" s="22">
        <v>68887</v>
      </c>
      <c r="N24" s="22">
        <v>72854</v>
      </c>
      <c r="O24" s="22">
        <v>75955.199999999997</v>
      </c>
      <c r="P24" s="22">
        <v>85277</v>
      </c>
      <c r="Q24" s="22">
        <v>78745.7</v>
      </c>
      <c r="R24" s="22">
        <v>84219.9</v>
      </c>
      <c r="S24" s="22">
        <v>86391.8</v>
      </c>
      <c r="T24" s="22">
        <v>96692.1</v>
      </c>
      <c r="U24" s="22">
        <v>89210.3</v>
      </c>
      <c r="V24" s="22">
        <v>94035.3</v>
      </c>
      <c r="W24" s="22">
        <v>99940.3</v>
      </c>
      <c r="X24" s="8"/>
    </row>
    <row r="25" spans="3:24" ht="16.05" customHeight="1" x14ac:dyDescent="0.3">
      <c r="C25" s="11" t="s">
        <v>9</v>
      </c>
      <c r="D25" s="2"/>
      <c r="E25" s="12">
        <f>E23/E24-1</f>
        <v>7.3881009930399921E-2</v>
      </c>
      <c r="F25" s="12">
        <f t="shared" ref="F25:W25" si="4">F23/F24-1</f>
        <v>0.1012557305162447</v>
      </c>
      <c r="G25" s="12">
        <f t="shared" si="4"/>
        <v>2.5007358809242319E-2</v>
      </c>
      <c r="H25" s="12">
        <f t="shared" si="4"/>
        <v>4.2257613703975405E-2</v>
      </c>
      <c r="I25" s="12">
        <f t="shared" si="4"/>
        <v>-1.491647654031758E-3</v>
      </c>
      <c r="J25" s="12">
        <f t="shared" si="4"/>
        <v>-1.6304005226451812E-3</v>
      </c>
      <c r="K25" s="12">
        <f t="shared" si="4"/>
        <v>-2.6552413048807733E-2</v>
      </c>
      <c r="L25" s="12">
        <f t="shared" si="4"/>
        <v>-6.6200943637760856E-3</v>
      </c>
      <c r="M25" s="12">
        <f t="shared" si="4"/>
        <v>1.3064874359458134E-2</v>
      </c>
      <c r="N25" s="12">
        <f t="shared" si="4"/>
        <v>2.4020644027781701E-2</v>
      </c>
      <c r="O25" s="12">
        <f t="shared" si="4"/>
        <v>9.7136206605998865E-3</v>
      </c>
      <c r="P25" s="12">
        <f t="shared" si="4"/>
        <v>1.2113465529978829E-2</v>
      </c>
      <c r="Q25" s="12">
        <f t="shared" si="4"/>
        <v>2.2773306986921149E-2</v>
      </c>
      <c r="R25" s="12">
        <f t="shared" si="4"/>
        <v>6.199247446268652E-3</v>
      </c>
      <c r="S25" s="12">
        <f t="shared" si="4"/>
        <v>2.1717338914109874E-2</v>
      </c>
      <c r="T25" s="12">
        <f t="shared" si="4"/>
        <v>-2.3073239695901027E-3</v>
      </c>
      <c r="U25" s="12">
        <f t="shared" si="4"/>
        <v>1.1475132355792894E-2</v>
      </c>
      <c r="V25" s="12">
        <f t="shared" si="4"/>
        <v>2.5444700022225764E-2</v>
      </c>
      <c r="W25" s="12">
        <f t="shared" si="4"/>
        <v>2.4071370608253151E-2</v>
      </c>
      <c r="X25" s="13"/>
    </row>
    <row r="27" spans="3:24" ht="16.05" customHeight="1" x14ac:dyDescent="0.3">
      <c r="C27" s="23" t="s">
        <v>3</v>
      </c>
      <c r="D27" s="24"/>
      <c r="E27" s="25" t="s">
        <v>16</v>
      </c>
      <c r="F27" s="25" t="s">
        <v>18</v>
      </c>
      <c r="G27" s="25" t="s">
        <v>13</v>
      </c>
      <c r="H27" s="25" t="s">
        <v>15</v>
      </c>
      <c r="I27" s="25" t="s">
        <v>19</v>
      </c>
      <c r="J27" s="25" t="s">
        <v>17</v>
      </c>
      <c r="K27" s="25" t="s">
        <v>20</v>
      </c>
      <c r="L27" s="25" t="s">
        <v>14</v>
      </c>
      <c r="M27" s="25" t="s">
        <v>21</v>
      </c>
      <c r="N27" s="25" t="s">
        <v>22</v>
      </c>
      <c r="O27" s="25" t="s">
        <v>24</v>
      </c>
      <c r="P27" s="25" t="s">
        <v>23</v>
      </c>
      <c r="Q27" s="25" t="s">
        <v>25</v>
      </c>
      <c r="R27" s="25" t="s">
        <v>26</v>
      </c>
      <c r="S27" s="25" t="s">
        <v>27</v>
      </c>
      <c r="T27" s="25" t="s">
        <v>28</v>
      </c>
      <c r="U27" s="26" t="s">
        <v>29</v>
      </c>
      <c r="V27" s="26" t="s">
        <v>30</v>
      </c>
      <c r="W27" s="26" t="s">
        <v>31</v>
      </c>
      <c r="X27" s="27" t="s">
        <v>32</v>
      </c>
    </row>
    <row r="28" spans="3:24" ht="16.05" customHeight="1" x14ac:dyDescent="0.3">
      <c r="C28" s="6" t="s">
        <v>8</v>
      </c>
      <c r="E28" s="7">
        <v>1.95</v>
      </c>
      <c r="F28" s="7">
        <v>2.17</v>
      </c>
      <c r="G28" s="7">
        <v>2.27</v>
      </c>
      <c r="H28" s="7">
        <v>2.48</v>
      </c>
      <c r="I28" s="7">
        <v>2.2200000000000002</v>
      </c>
      <c r="J28" s="7">
        <v>2.23</v>
      </c>
      <c r="K28" s="7">
        <v>2.35</v>
      </c>
      <c r="L28" s="7">
        <v>2.3199999999999998</v>
      </c>
      <c r="M28" s="7">
        <v>2.4500000000000002</v>
      </c>
      <c r="N28" s="7">
        <v>2.69</v>
      </c>
      <c r="O28" s="7">
        <v>2.99</v>
      </c>
      <c r="P28" s="7">
        <v>2.93</v>
      </c>
      <c r="Q28" s="7">
        <v>2.94</v>
      </c>
      <c r="R28" s="7">
        <v>2.95</v>
      </c>
      <c r="S28" s="7">
        <v>3.3</v>
      </c>
      <c r="T28" s="7">
        <v>3.23</v>
      </c>
      <c r="U28" s="7">
        <v>3.46</v>
      </c>
      <c r="V28" s="7">
        <v>3.65</v>
      </c>
      <c r="W28" s="7">
        <v>4.13</v>
      </c>
      <c r="X28" s="8"/>
    </row>
    <row r="29" spans="3:24" ht="16.05" customHeight="1" x14ac:dyDescent="0.3">
      <c r="C29" s="6" t="s">
        <v>10</v>
      </c>
      <c r="E29" s="7">
        <v>1.7813000000000001</v>
      </c>
      <c r="F29" s="7">
        <v>1.9180200000000001</v>
      </c>
      <c r="G29" s="7">
        <v>2.07687</v>
      </c>
      <c r="H29" s="7">
        <v>2.3189600000000001</v>
      </c>
      <c r="I29" s="7">
        <v>2.18879</v>
      </c>
      <c r="J29" s="7">
        <v>2.2922400000000001</v>
      </c>
      <c r="K29" s="7">
        <v>2.3045900000000001</v>
      </c>
      <c r="L29" s="7">
        <v>2.29332</v>
      </c>
      <c r="M29" s="7">
        <v>2.2391000000000001</v>
      </c>
      <c r="N29" s="7">
        <v>2.55063</v>
      </c>
      <c r="O29" s="7">
        <v>2.65401</v>
      </c>
      <c r="P29" s="7">
        <v>2.7713199999999998</v>
      </c>
      <c r="Q29" s="7">
        <v>2.82464</v>
      </c>
      <c r="R29" s="7">
        <v>2.9375</v>
      </c>
      <c r="S29" s="7">
        <v>3.1012200000000001</v>
      </c>
      <c r="T29" s="7">
        <v>3.1194899999999999</v>
      </c>
      <c r="U29" s="7">
        <v>3.2222200000000001</v>
      </c>
      <c r="V29" s="7">
        <v>3.3747099999999999</v>
      </c>
      <c r="W29" s="7">
        <v>3.6715599999999999</v>
      </c>
      <c r="X29" s="8"/>
    </row>
    <row r="30" spans="3:24" ht="16.05" customHeight="1" x14ac:dyDescent="0.3">
      <c r="C30" s="9" t="s">
        <v>9</v>
      </c>
      <c r="E30" s="10">
        <f t="shared" ref="E30:W30" si="5">E28/E29-1</f>
        <v>9.4706113512603052E-2</v>
      </c>
      <c r="F30" s="10">
        <f t="shared" si="5"/>
        <v>0.13137506386794717</v>
      </c>
      <c r="G30" s="10">
        <f t="shared" si="5"/>
        <v>9.299089495250068E-2</v>
      </c>
      <c r="H30" s="10">
        <f t="shared" si="5"/>
        <v>6.944492358643517E-2</v>
      </c>
      <c r="I30" s="10">
        <f t="shared" si="5"/>
        <v>1.4259019823738228E-2</v>
      </c>
      <c r="J30" s="10">
        <f t="shared" si="5"/>
        <v>-2.7152479670540686E-2</v>
      </c>
      <c r="K30" s="10">
        <f t="shared" si="5"/>
        <v>1.9704155619871599E-2</v>
      </c>
      <c r="L30" s="10">
        <f t="shared" si="5"/>
        <v>1.1633788568538028E-2</v>
      </c>
      <c r="M30" s="10">
        <f t="shared" si="5"/>
        <v>9.4189629761957994E-2</v>
      </c>
      <c r="N30" s="10">
        <f t="shared" si="5"/>
        <v>5.4641402320211085E-2</v>
      </c>
      <c r="O30" s="10">
        <f t="shared" si="5"/>
        <v>0.1265971115406499</v>
      </c>
      <c r="P30" s="10">
        <f t="shared" si="5"/>
        <v>5.7257913196599564E-2</v>
      </c>
      <c r="Q30" s="10">
        <f t="shared" si="5"/>
        <v>4.0840602696272876E-2</v>
      </c>
      <c r="R30" s="10">
        <f t="shared" si="5"/>
        <v>4.2553191489362874E-3</v>
      </c>
      <c r="S30" s="10">
        <f t="shared" si="5"/>
        <v>6.4097355234391529E-2</v>
      </c>
      <c r="T30" s="10">
        <f t="shared" si="5"/>
        <v>3.5425662528169699E-2</v>
      </c>
      <c r="U30" s="10">
        <f t="shared" si="5"/>
        <v>7.3793843995754393E-2</v>
      </c>
      <c r="V30" s="10">
        <f t="shared" si="5"/>
        <v>8.1574416764699897E-2</v>
      </c>
      <c r="W30" s="10">
        <f t="shared" si="5"/>
        <v>0.12486245628561154</v>
      </c>
      <c r="X30" s="8"/>
    </row>
    <row r="31" spans="3:24" ht="16.05" customHeight="1" x14ac:dyDescent="0.3">
      <c r="C31" s="6" t="s">
        <v>12</v>
      </c>
      <c r="E31" s="22">
        <v>41706</v>
      </c>
      <c r="F31" s="22">
        <v>46152</v>
      </c>
      <c r="G31" s="22">
        <v>45317</v>
      </c>
      <c r="H31" s="22">
        <v>51728</v>
      </c>
      <c r="I31" s="22">
        <v>49360</v>
      </c>
      <c r="J31" s="22">
        <v>51865</v>
      </c>
      <c r="K31" s="22">
        <v>50122</v>
      </c>
      <c r="L31" s="22">
        <v>52747</v>
      </c>
      <c r="M31" s="22">
        <v>52857</v>
      </c>
      <c r="N31" s="22">
        <v>56189</v>
      </c>
      <c r="O31" s="22">
        <v>56517</v>
      </c>
      <c r="P31" s="22">
        <v>62020</v>
      </c>
      <c r="Q31" s="22">
        <v>61858</v>
      </c>
      <c r="R31" s="22">
        <v>64727</v>
      </c>
      <c r="S31" s="22">
        <v>65585</v>
      </c>
      <c r="T31" s="22">
        <v>69632</v>
      </c>
      <c r="U31" s="22">
        <v>70066</v>
      </c>
      <c r="V31" s="22">
        <v>76441</v>
      </c>
      <c r="W31" s="22">
        <v>77673</v>
      </c>
      <c r="X31" s="8"/>
    </row>
    <row r="32" spans="3:24" ht="16.05" customHeight="1" x14ac:dyDescent="0.3">
      <c r="C32" s="6" t="s">
        <v>11</v>
      </c>
      <c r="E32" s="22">
        <v>41035.5</v>
      </c>
      <c r="F32" s="22">
        <v>44260.4</v>
      </c>
      <c r="G32" s="22">
        <v>44011.8</v>
      </c>
      <c r="H32" s="22">
        <v>50745.5</v>
      </c>
      <c r="I32" s="22">
        <v>49022.6</v>
      </c>
      <c r="J32" s="22">
        <v>52384.3</v>
      </c>
      <c r="K32" s="22">
        <v>49609.2</v>
      </c>
      <c r="L32" s="22">
        <v>52986.7</v>
      </c>
      <c r="M32" s="22">
        <v>51018.6</v>
      </c>
      <c r="N32" s="22">
        <v>55485.4</v>
      </c>
      <c r="O32" s="22">
        <v>54523.4</v>
      </c>
      <c r="P32" s="22">
        <v>61140.9</v>
      </c>
      <c r="Q32" s="22">
        <v>60846</v>
      </c>
      <c r="R32" s="22">
        <v>64382.3</v>
      </c>
      <c r="S32" s="22">
        <v>64562.400000000001</v>
      </c>
      <c r="T32" s="22">
        <v>68816.7</v>
      </c>
      <c r="U32" s="22">
        <v>68439.899999999994</v>
      </c>
      <c r="V32" s="22">
        <v>73961.100000000006</v>
      </c>
      <c r="W32" s="22">
        <v>75494.7</v>
      </c>
      <c r="X32" s="8"/>
    </row>
    <row r="33" spans="3:24" ht="16.05" customHeight="1" x14ac:dyDescent="0.3">
      <c r="C33" s="11" t="s">
        <v>9</v>
      </c>
      <c r="D33" s="2"/>
      <c r="E33" s="12">
        <f t="shared" ref="E33:W33" si="6">E31/E32-1</f>
        <v>1.633951091128405E-2</v>
      </c>
      <c r="F33" s="12">
        <f t="shared" si="6"/>
        <v>4.2737977966760266E-2</v>
      </c>
      <c r="G33" s="12">
        <f t="shared" si="6"/>
        <v>2.9655683248583253E-2</v>
      </c>
      <c r="H33" s="12">
        <f t="shared" si="6"/>
        <v>1.9361322678858262E-2</v>
      </c>
      <c r="I33" s="12">
        <f t="shared" si="6"/>
        <v>6.8825398897651713E-3</v>
      </c>
      <c r="J33" s="12">
        <f t="shared" si="6"/>
        <v>-9.9132755424813368E-3</v>
      </c>
      <c r="K33" s="12">
        <f t="shared" si="6"/>
        <v>1.0336792369157299E-2</v>
      </c>
      <c r="L33" s="12">
        <f t="shared" si="6"/>
        <v>-4.5237767213280877E-3</v>
      </c>
      <c r="M33" s="12">
        <f t="shared" si="6"/>
        <v>3.6033917042020081E-2</v>
      </c>
      <c r="N33" s="12">
        <f t="shared" si="6"/>
        <v>1.2680813331074514E-2</v>
      </c>
      <c r="O33" s="12">
        <f t="shared" si="6"/>
        <v>3.6564117424812137E-2</v>
      </c>
      <c r="P33" s="12">
        <f t="shared" si="6"/>
        <v>1.4378263977141259E-2</v>
      </c>
      <c r="Q33" s="12">
        <f t="shared" si="6"/>
        <v>1.6632153305065289E-2</v>
      </c>
      <c r="R33" s="12">
        <f t="shared" si="6"/>
        <v>5.353955978584235E-3</v>
      </c>
      <c r="S33" s="12">
        <f t="shared" si="6"/>
        <v>1.5838940312008276E-2</v>
      </c>
      <c r="T33" s="12">
        <f t="shared" si="6"/>
        <v>1.184741494433772E-2</v>
      </c>
      <c r="U33" s="12">
        <f t="shared" si="6"/>
        <v>2.3759532085815493E-2</v>
      </c>
      <c r="V33" s="12">
        <f t="shared" si="6"/>
        <v>3.3529787956101176E-2</v>
      </c>
      <c r="W33" s="12">
        <f t="shared" si="6"/>
        <v>2.8853681119336949E-2</v>
      </c>
      <c r="X33" s="13"/>
    </row>
    <row r="35" spans="3:24" ht="16.05" customHeight="1" x14ac:dyDescent="0.3">
      <c r="C35" s="28" t="s">
        <v>4</v>
      </c>
      <c r="D35" s="29"/>
      <c r="E35" s="29" t="s">
        <v>16</v>
      </c>
      <c r="F35" s="29" t="s">
        <v>18</v>
      </c>
      <c r="G35" s="29" t="s">
        <v>13</v>
      </c>
      <c r="H35" s="29" t="s">
        <v>15</v>
      </c>
      <c r="I35" s="29" t="s">
        <v>19</v>
      </c>
      <c r="J35" s="29" t="s">
        <v>17</v>
      </c>
      <c r="K35" s="29" t="s">
        <v>20</v>
      </c>
      <c r="L35" s="29" t="s">
        <v>14</v>
      </c>
      <c r="M35" s="29" t="s">
        <v>21</v>
      </c>
      <c r="N35" s="29" t="s">
        <v>22</v>
      </c>
      <c r="O35" s="29" t="s">
        <v>24</v>
      </c>
      <c r="P35" s="29" t="s">
        <v>23</v>
      </c>
      <c r="Q35" s="29" t="s">
        <v>25</v>
      </c>
      <c r="R35" s="29" t="s">
        <v>26</v>
      </c>
      <c r="S35" s="29" t="s">
        <v>27</v>
      </c>
      <c r="T35" s="29" t="s">
        <v>28</v>
      </c>
      <c r="U35" s="30" t="s">
        <v>29</v>
      </c>
      <c r="V35" s="30" t="s">
        <v>30</v>
      </c>
      <c r="W35" s="30" t="s">
        <v>31</v>
      </c>
      <c r="X35" s="31" t="s">
        <v>32</v>
      </c>
    </row>
    <row r="36" spans="3:24" ht="16.05" customHeight="1" x14ac:dyDescent="0.3">
      <c r="C36" s="6" t="s">
        <v>8</v>
      </c>
      <c r="E36" s="7">
        <v>0.78949999999999998</v>
      </c>
      <c r="F36" s="7">
        <v>0.75600000000000001</v>
      </c>
      <c r="G36" s="7">
        <v>0.30599999999999999</v>
      </c>
      <c r="H36" s="7">
        <v>1.3875</v>
      </c>
      <c r="I36" s="7">
        <v>-0.378</v>
      </c>
      <c r="J36" s="7">
        <v>-0.2</v>
      </c>
      <c r="K36" s="7">
        <v>0.28000000000000003</v>
      </c>
      <c r="L36" s="7">
        <v>0.03</v>
      </c>
      <c r="M36" s="7">
        <v>0.31</v>
      </c>
      <c r="N36" s="7">
        <v>0.65</v>
      </c>
      <c r="O36" s="7">
        <v>0.94</v>
      </c>
      <c r="P36" s="7">
        <v>1</v>
      </c>
      <c r="Q36" s="7">
        <v>0.98</v>
      </c>
      <c r="R36" s="7">
        <v>1.26</v>
      </c>
      <c r="S36" s="7">
        <v>1.43</v>
      </c>
      <c r="T36" s="7">
        <v>1.86</v>
      </c>
      <c r="U36" s="7">
        <v>1.59</v>
      </c>
      <c r="V36" s="7">
        <v>1.68</v>
      </c>
      <c r="W36" s="7">
        <v>1.95</v>
      </c>
      <c r="X36" s="8"/>
    </row>
    <row r="37" spans="3:24" ht="16.05" customHeight="1" x14ac:dyDescent="0.3">
      <c r="C37" s="6" t="s">
        <v>10</v>
      </c>
      <c r="E37" s="7">
        <v>0.47691800000000001</v>
      </c>
      <c r="F37" s="7">
        <v>0.61158199999999996</v>
      </c>
      <c r="G37" s="7">
        <v>0.44489200000000001</v>
      </c>
      <c r="H37" s="7">
        <v>0.18060599999999999</v>
      </c>
      <c r="I37" s="7">
        <v>0.41753299999999999</v>
      </c>
      <c r="J37" s="7">
        <v>0.119897</v>
      </c>
      <c r="K37" s="7">
        <v>0.21759600000000001</v>
      </c>
      <c r="L37" s="7">
        <v>0.173899</v>
      </c>
      <c r="M37" s="7">
        <v>0.213199</v>
      </c>
      <c r="N37" s="7">
        <v>0.35390899999999997</v>
      </c>
      <c r="O37" s="7">
        <v>0.58538699999999999</v>
      </c>
      <c r="P37" s="7">
        <v>0.79459000000000002</v>
      </c>
      <c r="Q37" s="7">
        <v>0.84165500000000004</v>
      </c>
      <c r="R37" s="7">
        <v>1.0339700000000001</v>
      </c>
      <c r="S37" s="7">
        <v>1.1400300000000001</v>
      </c>
      <c r="T37" s="7">
        <v>1.48631</v>
      </c>
      <c r="U37" s="7">
        <v>1.36619</v>
      </c>
      <c r="V37" s="7">
        <v>1.3287</v>
      </c>
      <c r="W37" s="7">
        <v>1.5683199999999999</v>
      </c>
      <c r="X37" s="8"/>
    </row>
    <row r="38" spans="3:24" ht="16.05" customHeight="1" x14ac:dyDescent="0.3">
      <c r="C38" s="9" t="s">
        <v>9</v>
      </c>
      <c r="E38" s="10">
        <f t="shared" ref="E38:W38" si="7">E36/E37-1</f>
        <v>0.65542084802838207</v>
      </c>
      <c r="F38" s="10">
        <f t="shared" si="7"/>
        <v>0.23613840825923593</v>
      </c>
      <c r="G38" s="10">
        <f t="shared" si="7"/>
        <v>-0.31219262202961617</v>
      </c>
      <c r="H38" s="10">
        <f t="shared" si="7"/>
        <v>6.6824690209627589</v>
      </c>
      <c r="I38" s="10">
        <f t="shared" si="7"/>
        <v>-1.9053176635140217</v>
      </c>
      <c r="J38" s="10">
        <f t="shared" si="7"/>
        <v>-2.6680984511705881</v>
      </c>
      <c r="K38" s="10">
        <f t="shared" si="7"/>
        <v>0.28678836008014863</v>
      </c>
      <c r="L38" s="10">
        <f t="shared" si="7"/>
        <v>-0.82748606950011216</v>
      </c>
      <c r="M38" s="10">
        <f t="shared" si="7"/>
        <v>0.45404059118476159</v>
      </c>
      <c r="N38" s="10">
        <f t="shared" si="7"/>
        <v>0.83663032022356054</v>
      </c>
      <c r="O38" s="10">
        <f t="shared" si="7"/>
        <v>0.60577532469972839</v>
      </c>
      <c r="P38" s="10">
        <f t="shared" si="7"/>
        <v>0.25851067846310682</v>
      </c>
      <c r="Q38" s="10">
        <f t="shared" si="7"/>
        <v>0.16437257546144202</v>
      </c>
      <c r="R38" s="10">
        <f t="shared" si="7"/>
        <v>0.21860402139327051</v>
      </c>
      <c r="S38" s="10">
        <f t="shared" si="7"/>
        <v>0.25435295562397475</v>
      </c>
      <c r="T38" s="10">
        <f t="shared" si="7"/>
        <v>0.25142130511131588</v>
      </c>
      <c r="U38" s="10">
        <f t="shared" si="7"/>
        <v>0.1638205520462015</v>
      </c>
      <c r="V38" s="10">
        <f t="shared" si="7"/>
        <v>0.26439376834499884</v>
      </c>
      <c r="W38" s="10">
        <f t="shared" si="7"/>
        <v>0.24336870026525204</v>
      </c>
      <c r="X38" s="8"/>
    </row>
    <row r="39" spans="3:24" ht="16.05" customHeight="1" x14ac:dyDescent="0.3">
      <c r="C39" s="6" t="s">
        <v>12</v>
      </c>
      <c r="E39" s="22">
        <v>108518</v>
      </c>
      <c r="F39" s="22">
        <v>113080</v>
      </c>
      <c r="G39" s="22">
        <v>110812</v>
      </c>
      <c r="H39" s="22">
        <v>137412</v>
      </c>
      <c r="I39" s="22">
        <v>116444</v>
      </c>
      <c r="J39" s="22">
        <v>121234</v>
      </c>
      <c r="K39" s="22">
        <v>127101</v>
      </c>
      <c r="L39" s="22">
        <v>149204</v>
      </c>
      <c r="M39" s="22">
        <v>127358</v>
      </c>
      <c r="N39" s="22">
        <v>134383</v>
      </c>
      <c r="O39" s="22">
        <v>143083</v>
      </c>
      <c r="P39" s="22">
        <v>169961</v>
      </c>
      <c r="Q39" s="22">
        <v>143313</v>
      </c>
      <c r="R39" s="22">
        <v>147977</v>
      </c>
      <c r="S39" s="22">
        <v>158877</v>
      </c>
      <c r="T39" s="22">
        <v>187792</v>
      </c>
      <c r="U39" s="22">
        <v>155667</v>
      </c>
      <c r="V39" s="22">
        <v>167702</v>
      </c>
      <c r="W39" s="22">
        <v>180169</v>
      </c>
      <c r="X39" s="8"/>
    </row>
    <row r="40" spans="3:24" ht="16.05" customHeight="1" x14ac:dyDescent="0.3">
      <c r="C40" s="6" t="s">
        <v>11</v>
      </c>
      <c r="E40" s="22">
        <v>104510</v>
      </c>
      <c r="F40" s="22">
        <v>115421</v>
      </c>
      <c r="G40" s="22">
        <v>111551</v>
      </c>
      <c r="H40" s="22">
        <v>137682</v>
      </c>
      <c r="I40" s="22">
        <v>116450</v>
      </c>
      <c r="J40" s="22">
        <v>118999</v>
      </c>
      <c r="K40" s="22">
        <v>127308</v>
      </c>
      <c r="L40" s="22">
        <v>145713</v>
      </c>
      <c r="M40" s="22">
        <v>124603</v>
      </c>
      <c r="N40" s="22">
        <v>131494</v>
      </c>
      <c r="O40" s="22">
        <v>141503</v>
      </c>
      <c r="P40" s="22">
        <v>165926</v>
      </c>
      <c r="Q40" s="22">
        <v>142654</v>
      </c>
      <c r="R40" s="22">
        <v>148665</v>
      </c>
      <c r="S40" s="22">
        <v>157275</v>
      </c>
      <c r="T40" s="22">
        <v>187337</v>
      </c>
      <c r="U40" s="22">
        <v>155148</v>
      </c>
      <c r="V40" s="22">
        <v>162426</v>
      </c>
      <c r="W40" s="22">
        <v>177913</v>
      </c>
      <c r="X40" s="8"/>
    </row>
    <row r="41" spans="3:24" ht="16.05" customHeight="1" x14ac:dyDescent="0.3">
      <c r="C41" s="11" t="s">
        <v>9</v>
      </c>
      <c r="D41" s="2"/>
      <c r="E41" s="12">
        <f t="shared" ref="E41" si="8">E39/E40-1</f>
        <v>3.8350397091187372E-2</v>
      </c>
      <c r="F41" s="12">
        <f t="shared" ref="F41" si="9">F39/F40-1</f>
        <v>-2.0282270990547691E-2</v>
      </c>
      <c r="G41" s="12">
        <f t="shared" ref="G41" si="10">G39/G40-1</f>
        <v>-6.6247725255712542E-3</v>
      </c>
      <c r="H41" s="12">
        <f t="shared" ref="H41" si="11">H39/H40-1</f>
        <v>-1.9610406589096741E-3</v>
      </c>
      <c r="I41" s="12">
        <f t="shared" ref="I41" si="12">I39/I40-1</f>
        <v>-5.1524259338742162E-5</v>
      </c>
      <c r="J41" s="12">
        <f t="shared" ref="J41" si="13">J39/J40-1</f>
        <v>1.8781670434205422E-2</v>
      </c>
      <c r="K41" s="12">
        <f t="shared" ref="K41" si="14">K39/K40-1</f>
        <v>-1.6259779432556964E-3</v>
      </c>
      <c r="L41" s="12">
        <f t="shared" ref="L41" si="15">L39/L40-1</f>
        <v>2.3958054531853623E-2</v>
      </c>
      <c r="M41" s="12">
        <f t="shared" ref="M41" si="16">M39/M40-1</f>
        <v>2.211022206527935E-2</v>
      </c>
      <c r="N41" s="12">
        <f t="shared" ref="N41" si="17">N39/N40-1</f>
        <v>2.1970584209165533E-2</v>
      </c>
      <c r="O41" s="12">
        <f t="shared" ref="O41" si="18">O39/O40-1</f>
        <v>1.1165841006904431E-2</v>
      </c>
      <c r="P41" s="12">
        <f t="shared" ref="P41" si="19">P39/P40-1</f>
        <v>2.4318069500861794E-2</v>
      </c>
      <c r="Q41" s="12">
        <f t="shared" ref="Q41" si="20">Q39/Q40-1</f>
        <v>4.6195690271566558E-3</v>
      </c>
      <c r="R41" s="12">
        <f t="shared" ref="R41" si="21">R39/R40-1</f>
        <v>-4.6278545723607012E-3</v>
      </c>
      <c r="S41" s="12">
        <f t="shared" ref="S41" si="22">S39/S40-1</f>
        <v>1.0185979971387704E-2</v>
      </c>
      <c r="T41" s="12">
        <f t="shared" ref="T41" si="23">T39/T40-1</f>
        <v>2.4287780844147733E-3</v>
      </c>
      <c r="U41" s="12">
        <f t="shared" ref="U41" si="24">U39/U40-1</f>
        <v>3.3451929770282884E-3</v>
      </c>
      <c r="V41" s="12">
        <f t="shared" ref="V41" si="25">V39/V40-1</f>
        <v>3.2482484331326278E-2</v>
      </c>
      <c r="W41" s="12">
        <f t="shared" ref="W41" si="26">W39/W40-1</f>
        <v>1.2680355004974331E-2</v>
      </c>
      <c r="X41" s="13"/>
    </row>
    <row r="43" spans="3:24" ht="16.05" customHeight="1" x14ac:dyDescent="0.3">
      <c r="C43" s="32" t="s">
        <v>5</v>
      </c>
      <c r="D43" s="33"/>
      <c r="E43" s="33" t="s">
        <v>16</v>
      </c>
      <c r="F43" s="33" t="s">
        <v>18</v>
      </c>
      <c r="G43" s="33" t="s">
        <v>13</v>
      </c>
      <c r="H43" s="33" t="s">
        <v>15</v>
      </c>
      <c r="I43" s="33" t="s">
        <v>19</v>
      </c>
      <c r="J43" s="33" t="s">
        <v>17</v>
      </c>
      <c r="K43" s="33" t="s">
        <v>20</v>
      </c>
      <c r="L43" s="33" t="s">
        <v>14</v>
      </c>
      <c r="M43" s="33" t="s">
        <v>21</v>
      </c>
      <c r="N43" s="33" t="s">
        <v>22</v>
      </c>
      <c r="O43" s="33" t="s">
        <v>24</v>
      </c>
      <c r="P43" s="33" t="s">
        <v>23</v>
      </c>
      <c r="Q43" s="33" t="s">
        <v>25</v>
      </c>
      <c r="R43" s="33" t="s">
        <v>26</v>
      </c>
      <c r="S43" s="33" t="s">
        <v>27</v>
      </c>
      <c r="T43" s="33" t="s">
        <v>28</v>
      </c>
      <c r="U43" s="34" t="s">
        <v>29</v>
      </c>
      <c r="V43" s="34" t="s">
        <v>30</v>
      </c>
      <c r="W43" s="34" t="s">
        <v>31</v>
      </c>
      <c r="X43" s="35" t="s">
        <v>32</v>
      </c>
    </row>
    <row r="44" spans="3:24" ht="16.05" customHeight="1" x14ac:dyDescent="0.3">
      <c r="C44" s="6" t="s">
        <v>8</v>
      </c>
      <c r="E44" s="7">
        <v>0.66200000000000003</v>
      </c>
      <c r="F44" s="7">
        <v>0.69599999999999995</v>
      </c>
      <c r="G44" s="7">
        <v>0.78100000000000003</v>
      </c>
      <c r="H44" s="7">
        <v>0.83899999999999997</v>
      </c>
      <c r="I44" s="7">
        <v>0.90700000000000003</v>
      </c>
      <c r="J44" s="7">
        <v>0.97299999999999998</v>
      </c>
      <c r="K44" s="7">
        <v>1.0449999999999999</v>
      </c>
      <c r="L44" s="7">
        <v>1.0329999999999999</v>
      </c>
      <c r="M44" s="7">
        <v>1.032</v>
      </c>
      <c r="N44" s="7">
        <v>1.054</v>
      </c>
      <c r="O44" s="7">
        <v>1.1060000000000001</v>
      </c>
      <c r="P44" s="7">
        <v>1.099</v>
      </c>
      <c r="Q44" s="7">
        <v>1.0960000000000001</v>
      </c>
      <c r="R44" s="7">
        <v>1.24</v>
      </c>
      <c r="S44" s="7">
        <v>1.42</v>
      </c>
      <c r="T44" s="7">
        <v>1.6</v>
      </c>
      <c r="U44" s="7">
        <v>1.58</v>
      </c>
      <c r="V44" s="7">
        <v>1.69</v>
      </c>
      <c r="W44" s="7">
        <v>1.95</v>
      </c>
      <c r="X44" s="8"/>
    </row>
    <row r="45" spans="3:24" ht="16.05" customHeight="1" x14ac:dyDescent="0.3">
      <c r="C45" s="6" t="s">
        <v>10</v>
      </c>
      <c r="E45" s="7">
        <v>0.64330600000000004</v>
      </c>
      <c r="F45" s="7">
        <v>0.68800899999999998</v>
      </c>
      <c r="G45" s="7">
        <v>0.77393299999999998</v>
      </c>
      <c r="H45" s="7">
        <v>0.81276099999999996</v>
      </c>
      <c r="I45" s="7">
        <v>0.87134400000000001</v>
      </c>
      <c r="J45" s="7">
        <v>0.95591899999999996</v>
      </c>
      <c r="K45" s="7">
        <v>1.02807</v>
      </c>
      <c r="L45" s="7">
        <v>1.0166599999999999</v>
      </c>
      <c r="M45" s="7">
        <v>1.0119400000000001</v>
      </c>
      <c r="N45" s="7">
        <v>1.0440400000000001</v>
      </c>
      <c r="O45" s="7">
        <v>1.09596</v>
      </c>
      <c r="P45" s="7">
        <v>1.0367599999999999</v>
      </c>
      <c r="Q45" s="7">
        <v>1.0838700000000001</v>
      </c>
      <c r="R45" s="7">
        <v>1.21658</v>
      </c>
      <c r="S45" s="7">
        <v>1.39374</v>
      </c>
      <c r="T45" s="7">
        <v>1.5077199999999999</v>
      </c>
      <c r="U45" s="7">
        <v>1.5691200000000001</v>
      </c>
      <c r="V45" s="7">
        <v>1.6618299999999999</v>
      </c>
      <c r="W45" s="7">
        <v>1.86724</v>
      </c>
      <c r="X45" s="8"/>
    </row>
    <row r="46" spans="3:24" ht="16.05" customHeight="1" x14ac:dyDescent="0.3">
      <c r="C46" s="9" t="s">
        <v>9</v>
      </c>
      <c r="E46" s="10">
        <f t="shared" ref="E46:W46" si="27">E44/E45-1</f>
        <v>2.9059265730461137E-2</v>
      </c>
      <c r="F46" s="10">
        <f t="shared" si="27"/>
        <v>1.1614673645257589E-2</v>
      </c>
      <c r="G46" s="10">
        <f t="shared" si="27"/>
        <v>9.1312813899910861E-3</v>
      </c>
      <c r="H46" s="10">
        <f t="shared" si="27"/>
        <v>3.2283783301610303E-2</v>
      </c>
      <c r="I46" s="10">
        <f t="shared" si="27"/>
        <v>4.0920692631153832E-2</v>
      </c>
      <c r="J46" s="10">
        <f t="shared" si="27"/>
        <v>1.7868668788882713E-2</v>
      </c>
      <c r="K46" s="10">
        <f t="shared" si="27"/>
        <v>1.6467750250469315E-2</v>
      </c>
      <c r="L46" s="10">
        <f t="shared" si="27"/>
        <v>1.6072236539256046E-2</v>
      </c>
      <c r="M46" s="10">
        <f t="shared" si="27"/>
        <v>1.9823309682392098E-2</v>
      </c>
      <c r="N46" s="10">
        <f t="shared" si="27"/>
        <v>9.5398643730124633E-3</v>
      </c>
      <c r="O46" s="10">
        <f t="shared" si="27"/>
        <v>9.1609182816891899E-3</v>
      </c>
      <c r="P46" s="10">
        <f t="shared" si="27"/>
        <v>6.0033180292449639E-2</v>
      </c>
      <c r="Q46" s="10">
        <f t="shared" si="27"/>
        <v>1.1191379039921845E-2</v>
      </c>
      <c r="R46" s="10">
        <f t="shared" si="27"/>
        <v>1.9250686350260615E-2</v>
      </c>
      <c r="S46" s="10">
        <f t="shared" si="27"/>
        <v>1.8841390790247825E-2</v>
      </c>
      <c r="T46" s="10">
        <f t="shared" si="27"/>
        <v>6.1204998275542044E-2</v>
      </c>
      <c r="U46" s="10">
        <f t="shared" si="27"/>
        <v>6.9338227796471585E-3</v>
      </c>
      <c r="V46" s="10">
        <f t="shared" si="27"/>
        <v>1.6951192360229461E-2</v>
      </c>
      <c r="W46" s="10">
        <f t="shared" si="27"/>
        <v>4.4322101068957398E-2</v>
      </c>
      <c r="X46" s="8"/>
    </row>
    <row r="47" spans="3:24" ht="16.05" customHeight="1" x14ac:dyDescent="0.3">
      <c r="C47" s="6" t="s">
        <v>12</v>
      </c>
      <c r="E47" s="22">
        <v>6610</v>
      </c>
      <c r="F47" s="22">
        <v>6778</v>
      </c>
      <c r="G47" s="22">
        <v>7407</v>
      </c>
      <c r="H47" s="22">
        <v>7706</v>
      </c>
      <c r="I47" s="22">
        <v>8103</v>
      </c>
      <c r="J47" s="22">
        <v>8464</v>
      </c>
      <c r="K47" s="22">
        <v>8930</v>
      </c>
      <c r="L47" s="22">
        <v>8915</v>
      </c>
      <c r="M47" s="22">
        <v>8733</v>
      </c>
      <c r="N47" s="22">
        <v>8876</v>
      </c>
      <c r="O47" s="22">
        <v>9295</v>
      </c>
      <c r="P47" s="22">
        <v>11961</v>
      </c>
      <c r="Q47" s="22">
        <v>12487</v>
      </c>
      <c r="R47" s="22">
        <v>13072</v>
      </c>
      <c r="S47" s="22">
        <v>14054</v>
      </c>
      <c r="T47" s="22">
        <v>14916</v>
      </c>
      <c r="U47" s="22">
        <v>15004</v>
      </c>
      <c r="V47" s="22">
        <v>15952</v>
      </c>
      <c r="W47" s="22">
        <v>18015</v>
      </c>
      <c r="X47" s="8"/>
    </row>
    <row r="48" spans="3:24" ht="16.05" customHeight="1" x14ac:dyDescent="0.3">
      <c r="C48" s="6" t="s">
        <v>11</v>
      </c>
      <c r="E48" s="22">
        <v>6505.69</v>
      </c>
      <c r="F48" s="22">
        <v>6755.17</v>
      </c>
      <c r="G48" s="22">
        <v>7356.46</v>
      </c>
      <c r="H48" s="22">
        <v>7606.38</v>
      </c>
      <c r="I48" s="22">
        <v>7911.63</v>
      </c>
      <c r="J48" s="22">
        <v>8410.7800000000007</v>
      </c>
      <c r="K48" s="22">
        <v>8901.09</v>
      </c>
      <c r="L48" s="22">
        <v>8895.85</v>
      </c>
      <c r="M48" s="22">
        <v>8703.0499999999993</v>
      </c>
      <c r="N48" s="22">
        <v>8855.2099999999991</v>
      </c>
      <c r="O48" s="22">
        <v>9276.8700000000008</v>
      </c>
      <c r="P48" s="22">
        <v>11794.5</v>
      </c>
      <c r="Q48" s="22">
        <v>12048.8</v>
      </c>
      <c r="R48" s="22">
        <v>12978.6</v>
      </c>
      <c r="S48" s="22">
        <v>14068.1</v>
      </c>
      <c r="T48" s="22">
        <v>14615.7</v>
      </c>
      <c r="U48" s="22">
        <v>14958.4</v>
      </c>
      <c r="V48" s="22">
        <v>15826.1</v>
      </c>
      <c r="W48" s="22">
        <v>17465.900000000001</v>
      </c>
      <c r="X48" s="8"/>
    </row>
    <row r="49" spans="3:24" ht="16.05" customHeight="1" x14ac:dyDescent="0.3">
      <c r="C49" s="11" t="s">
        <v>9</v>
      </c>
      <c r="D49" s="2"/>
      <c r="E49" s="12">
        <f t="shared" ref="E49" si="28">E47/E48-1</f>
        <v>1.6033656691296416E-2</v>
      </c>
      <c r="F49" s="12">
        <f t="shared" ref="F49" si="29">F47/F48-1</f>
        <v>3.3796336731717336E-3</v>
      </c>
      <c r="G49" s="12">
        <f t="shared" ref="G49" si="30">G47/G48-1</f>
        <v>6.8701522199536846E-3</v>
      </c>
      <c r="H49" s="12">
        <f t="shared" ref="H49" si="31">H47/H48-1</f>
        <v>1.3096900233751096E-2</v>
      </c>
      <c r="I49" s="12">
        <f t="shared" ref="I49" si="32">I47/I48-1</f>
        <v>2.4188441572722708E-2</v>
      </c>
      <c r="J49" s="12">
        <f t="shared" ref="J49" si="33">J47/J48-1</f>
        <v>6.3275938735765092E-3</v>
      </c>
      <c r="K49" s="12">
        <f t="shared" ref="K49" si="34">K47/K48-1</f>
        <v>3.2479168281638326E-3</v>
      </c>
      <c r="L49" s="12">
        <f t="shared" ref="L49" si="35">L47/L48-1</f>
        <v>2.1526891752896571E-3</v>
      </c>
      <c r="M49" s="12">
        <f t="shared" ref="M49" si="36">M47/M48-1</f>
        <v>3.4413222950575584E-3</v>
      </c>
      <c r="N49" s="12">
        <f t="shared" ref="N49" si="37">N47/N48-1</f>
        <v>2.3477704086070084E-3</v>
      </c>
      <c r="O49" s="12">
        <f t="shared" ref="O49" si="38">O47/O48-1</f>
        <v>1.9543229559106923E-3</v>
      </c>
      <c r="P49" s="12">
        <f t="shared" ref="P49" si="39">P47/P48-1</f>
        <v>1.4116749332315992E-2</v>
      </c>
      <c r="Q49" s="12">
        <f t="shared" ref="Q49" si="40">Q47/Q48-1</f>
        <v>3.63687670141426E-2</v>
      </c>
      <c r="R49" s="12">
        <f t="shared" ref="R49" si="41">R47/R48-1</f>
        <v>7.1964618679980497E-3</v>
      </c>
      <c r="S49" s="12">
        <f t="shared" ref="S49" si="42">S47/S48-1</f>
        <v>-1.0022675414590454E-3</v>
      </c>
      <c r="T49" s="12">
        <f t="shared" ref="T49" si="43">T47/T48-1</f>
        <v>2.0546398735606264E-2</v>
      </c>
      <c r="U49" s="12">
        <f t="shared" ref="U49" si="44">U47/U48-1</f>
        <v>3.0484543801476693E-3</v>
      </c>
      <c r="V49" s="12">
        <f t="shared" ref="V49" si="45">V47/V48-1</f>
        <v>7.9552132237252771E-3</v>
      </c>
      <c r="W49" s="12">
        <f t="shared" ref="W49" si="46">W47/W48-1</f>
        <v>3.1438402830658463E-2</v>
      </c>
      <c r="X49" s="13"/>
    </row>
    <row r="51" spans="3:24" ht="16.05" customHeight="1" x14ac:dyDescent="0.3">
      <c r="C51" s="36" t="s">
        <v>6</v>
      </c>
      <c r="D51" s="37"/>
      <c r="E51" s="37" t="s">
        <v>16</v>
      </c>
      <c r="F51" s="37" t="s">
        <v>18</v>
      </c>
      <c r="G51" s="37" t="s">
        <v>13</v>
      </c>
      <c r="H51" s="37" t="s">
        <v>15</v>
      </c>
      <c r="I51" s="37" t="s">
        <v>19</v>
      </c>
      <c r="J51" s="37" t="s">
        <v>17</v>
      </c>
      <c r="K51" s="37" t="s">
        <v>20</v>
      </c>
      <c r="L51" s="37" t="s">
        <v>14</v>
      </c>
      <c r="M51" s="37" t="s">
        <v>21</v>
      </c>
      <c r="N51" s="37" t="s">
        <v>22</v>
      </c>
      <c r="O51" s="37" t="s">
        <v>24</v>
      </c>
      <c r="P51" s="37" t="s">
        <v>23</v>
      </c>
      <c r="Q51" s="37" t="s">
        <v>25</v>
      </c>
      <c r="R51" s="37" t="s">
        <v>26</v>
      </c>
      <c r="S51" s="37" t="s">
        <v>27</v>
      </c>
      <c r="T51" s="37" t="s">
        <v>28</v>
      </c>
      <c r="U51" s="38" t="s">
        <v>29</v>
      </c>
      <c r="V51" s="38" t="s">
        <v>30</v>
      </c>
      <c r="W51" s="38" t="s">
        <v>31</v>
      </c>
      <c r="X51" s="39" t="s">
        <v>32</v>
      </c>
    </row>
    <row r="52" spans="3:24" ht="16.05" customHeight="1" x14ac:dyDescent="0.3">
      <c r="C52" s="6" t="s">
        <v>8</v>
      </c>
      <c r="E52" s="7">
        <v>3.3</v>
      </c>
      <c r="F52" s="7">
        <v>3.61</v>
      </c>
      <c r="G52" s="7">
        <v>3.22</v>
      </c>
      <c r="H52" s="7">
        <v>3.67</v>
      </c>
      <c r="I52" s="7">
        <v>2.72</v>
      </c>
      <c r="J52" s="7">
        <v>2.46</v>
      </c>
      <c r="K52" s="7">
        <v>1.64</v>
      </c>
      <c r="L52" s="7">
        <v>1.76</v>
      </c>
      <c r="M52" s="7">
        <v>2.2000000000000002</v>
      </c>
      <c r="N52" s="7">
        <v>2.98</v>
      </c>
      <c r="O52" s="7">
        <v>4.3899999999999997</v>
      </c>
      <c r="P52" s="7">
        <v>5.33</v>
      </c>
      <c r="Q52" s="7">
        <v>4.71</v>
      </c>
      <c r="R52" s="7">
        <v>5.16</v>
      </c>
      <c r="S52" s="7">
        <v>6.03</v>
      </c>
      <c r="T52" s="7">
        <v>8.02</v>
      </c>
      <c r="U52" s="7">
        <v>6.43</v>
      </c>
      <c r="V52" s="7">
        <v>7.14</v>
      </c>
      <c r="W52" s="7">
        <v>1.05</v>
      </c>
      <c r="X52" s="8"/>
    </row>
    <row r="53" spans="3:24" ht="16.05" customHeight="1" x14ac:dyDescent="0.3">
      <c r="C53" s="6" t="s">
        <v>10</v>
      </c>
      <c r="E53" s="7">
        <v>2.3475600000000001</v>
      </c>
      <c r="F53" s="7">
        <v>3.04217</v>
      </c>
      <c r="G53" s="7">
        <v>3.1877200000000001</v>
      </c>
      <c r="H53" s="7">
        <v>3.8393899999999999</v>
      </c>
      <c r="I53" s="7">
        <v>2.5488900000000001</v>
      </c>
      <c r="J53" s="7">
        <v>2.5371800000000002</v>
      </c>
      <c r="K53" s="7">
        <v>1.8964700000000001</v>
      </c>
      <c r="L53" s="7">
        <v>2.2593899999999998</v>
      </c>
      <c r="M53" s="7">
        <v>2.0209999999999999</v>
      </c>
      <c r="N53" s="7">
        <v>2.9094000000000002</v>
      </c>
      <c r="O53" s="7">
        <v>3.6434899999999999</v>
      </c>
      <c r="P53" s="7">
        <v>4.8219700000000003</v>
      </c>
      <c r="Q53" s="7">
        <v>4.3202100000000003</v>
      </c>
      <c r="R53" s="7">
        <v>4.7171200000000004</v>
      </c>
      <c r="S53" s="7">
        <v>5.24627</v>
      </c>
      <c r="T53" s="7">
        <v>6.7559699999999996</v>
      </c>
      <c r="U53" s="7">
        <v>5.23475</v>
      </c>
      <c r="V53" s="7">
        <v>5.8832100000000001</v>
      </c>
      <c r="W53" s="7">
        <v>6.7226400000000002</v>
      </c>
      <c r="X53" s="8"/>
    </row>
    <row r="54" spans="3:24" ht="16.05" customHeight="1" x14ac:dyDescent="0.3">
      <c r="C54" s="9" t="s">
        <v>9</v>
      </c>
      <c r="E54" s="10">
        <f t="shared" ref="E54:W54" si="47">E52/E53-1</f>
        <v>0.40571486990747818</v>
      </c>
      <c r="F54" s="10">
        <f t="shared" si="47"/>
        <v>0.18665294838881441</v>
      </c>
      <c r="G54" s="10">
        <f t="shared" si="47"/>
        <v>1.0126359906139859E-2</v>
      </c>
      <c r="H54" s="10">
        <f t="shared" si="47"/>
        <v>-4.4118987651684205E-2</v>
      </c>
      <c r="I54" s="10">
        <f t="shared" si="47"/>
        <v>6.7131182593207273E-2</v>
      </c>
      <c r="J54" s="10">
        <f t="shared" si="47"/>
        <v>-3.0419599713067402E-2</v>
      </c>
      <c r="K54" s="10">
        <f t="shared" si="47"/>
        <v>-0.13523546378271223</v>
      </c>
      <c r="L54" s="10">
        <f t="shared" si="47"/>
        <v>-0.22102868473348991</v>
      </c>
      <c r="M54" s="10">
        <f t="shared" si="47"/>
        <v>8.8570014844136624E-2</v>
      </c>
      <c r="N54" s="10">
        <f t="shared" si="47"/>
        <v>2.4266171719254714E-2</v>
      </c>
      <c r="O54" s="10">
        <f t="shared" si="47"/>
        <v>0.20488871933228858</v>
      </c>
      <c r="P54" s="10">
        <f t="shared" si="47"/>
        <v>0.10535735394454959</v>
      </c>
      <c r="Q54" s="10">
        <f t="shared" si="47"/>
        <v>9.0224780739825094E-2</v>
      </c>
      <c r="R54" s="10">
        <f t="shared" si="47"/>
        <v>9.3887795943287333E-2</v>
      </c>
      <c r="S54" s="10">
        <f t="shared" si="47"/>
        <v>0.1493880414084674</v>
      </c>
      <c r="T54" s="10">
        <f t="shared" si="47"/>
        <v>0.18709822571740253</v>
      </c>
      <c r="U54" s="10">
        <f t="shared" si="47"/>
        <v>0.22832991069296527</v>
      </c>
      <c r="V54" s="10">
        <f t="shared" si="47"/>
        <v>0.21362317510338746</v>
      </c>
      <c r="W54" s="10">
        <f t="shared" si="47"/>
        <v>-0.84381135982292665</v>
      </c>
      <c r="X54" s="8"/>
    </row>
    <row r="55" spans="3:24" ht="16.05" customHeight="1" x14ac:dyDescent="0.3">
      <c r="C55" s="6" t="s">
        <v>12</v>
      </c>
      <c r="E55" s="22">
        <v>26171</v>
      </c>
      <c r="F55" s="22">
        <v>29077</v>
      </c>
      <c r="G55" s="22">
        <v>29010</v>
      </c>
      <c r="H55" s="22">
        <v>33671</v>
      </c>
      <c r="I55" s="22">
        <v>27908</v>
      </c>
      <c r="J55" s="22">
        <v>28822</v>
      </c>
      <c r="K55" s="22">
        <v>27714</v>
      </c>
      <c r="L55" s="22">
        <v>32165</v>
      </c>
      <c r="M55" s="22">
        <v>28645</v>
      </c>
      <c r="N55" s="22">
        <v>31999</v>
      </c>
      <c r="O55" s="22">
        <v>34146</v>
      </c>
      <c r="P55" s="22">
        <v>40111</v>
      </c>
      <c r="Q55" s="22">
        <v>36455</v>
      </c>
      <c r="R55" s="22">
        <v>39071</v>
      </c>
      <c r="S55" s="22">
        <v>40589</v>
      </c>
      <c r="T55" s="22">
        <v>48385</v>
      </c>
      <c r="U55" s="22">
        <v>42314</v>
      </c>
      <c r="V55" s="22">
        <v>47516</v>
      </c>
      <c r="W55" s="22">
        <v>51242</v>
      </c>
      <c r="X55" s="8"/>
    </row>
    <row r="56" spans="3:24" ht="16.05" customHeight="1" x14ac:dyDescent="0.3">
      <c r="C56" s="6" t="s">
        <v>11</v>
      </c>
      <c r="E56" s="22">
        <v>23728.799999999999</v>
      </c>
      <c r="F56" s="22">
        <v>27854</v>
      </c>
      <c r="G56" s="22">
        <v>29490.5</v>
      </c>
      <c r="H56" s="22">
        <v>33370.199999999997</v>
      </c>
      <c r="I56" s="22">
        <v>28311.1</v>
      </c>
      <c r="J56" s="22">
        <v>28908.400000000001</v>
      </c>
      <c r="K56" s="22">
        <v>27439.5</v>
      </c>
      <c r="L56" s="22">
        <v>31551</v>
      </c>
      <c r="M56" s="22">
        <v>27668.9</v>
      </c>
      <c r="N56" s="22">
        <v>31077.8</v>
      </c>
      <c r="O56" s="22">
        <v>33579.300000000003</v>
      </c>
      <c r="P56" s="22">
        <v>39124.199999999997</v>
      </c>
      <c r="Q56" s="22">
        <v>36146.699999999997</v>
      </c>
      <c r="R56" s="22">
        <v>38261.4</v>
      </c>
      <c r="S56" s="22">
        <v>40282.699999999997</v>
      </c>
      <c r="T56" s="22">
        <v>47004.1</v>
      </c>
      <c r="U56" s="22">
        <v>41352.5</v>
      </c>
      <c r="V56" s="22">
        <v>44821.4</v>
      </c>
      <c r="W56" s="22">
        <v>49508.1</v>
      </c>
      <c r="X56" s="8"/>
    </row>
    <row r="57" spans="3:24" ht="16.05" customHeight="1" x14ac:dyDescent="0.3">
      <c r="C57" s="11" t="s">
        <v>9</v>
      </c>
      <c r="D57" s="2"/>
      <c r="E57" s="12">
        <f t="shared" ref="E57" si="48">E55/E56-1</f>
        <v>0.10292134452648272</v>
      </c>
      <c r="F57" s="12">
        <f t="shared" ref="F57" si="49">F55/F56-1</f>
        <v>4.3907517771235804E-2</v>
      </c>
      <c r="G57" s="12">
        <f t="shared" ref="G57" si="50">G55/G56-1</f>
        <v>-1.6293382614740337E-2</v>
      </c>
      <c r="H57" s="12">
        <f t="shared" ref="H57" si="51">H55/H56-1</f>
        <v>9.0140304822867723E-3</v>
      </c>
      <c r="I57" s="12">
        <f t="shared" ref="I57" si="52">I55/I56-1</f>
        <v>-1.4238231647657584E-2</v>
      </c>
      <c r="J57" s="12">
        <f t="shared" ref="J57" si="53">J55/J56-1</f>
        <v>-2.9887506745445158E-3</v>
      </c>
      <c r="K57" s="12">
        <f t="shared" ref="K57" si="54">K55/K56-1</f>
        <v>1.0003826600338828E-2</v>
      </c>
      <c r="L57" s="12">
        <f t="shared" ref="L57" si="55">L55/L56-1</f>
        <v>1.9460555925327139E-2</v>
      </c>
      <c r="M57" s="12">
        <f t="shared" ref="M57" si="56">M55/M56-1</f>
        <v>3.5277875159475114E-2</v>
      </c>
      <c r="N57" s="12">
        <f t="shared" ref="N57" si="57">N55/N56-1</f>
        <v>2.9641737832150294E-2</v>
      </c>
      <c r="O57" s="12">
        <f t="shared" ref="O57" si="58">O55/O56-1</f>
        <v>1.68764685386531E-2</v>
      </c>
      <c r="P57" s="12">
        <f t="shared" ref="P57" si="59">P55/P56-1</f>
        <v>2.5222240965949494E-2</v>
      </c>
      <c r="Q57" s="12">
        <f t="shared" ref="Q57" si="60">Q55/Q56-1</f>
        <v>8.5291326732455097E-3</v>
      </c>
      <c r="R57" s="12">
        <f t="shared" ref="R57" si="61">R55/R56-1</f>
        <v>2.1159706649521492E-2</v>
      </c>
      <c r="S57" s="12">
        <f t="shared" ref="S57" si="62">S55/S56-1</f>
        <v>7.6037604232090938E-3</v>
      </c>
      <c r="T57" s="12">
        <f t="shared" ref="T57" si="63">T55/T56-1</f>
        <v>2.9378288276980191E-2</v>
      </c>
      <c r="U57" s="12">
        <f t="shared" ref="U57" si="64">U55/U56-1</f>
        <v>2.325131491445509E-2</v>
      </c>
      <c r="V57" s="12">
        <f t="shared" ref="V57" si="65">V55/V56-1</f>
        <v>6.0118604059667957E-2</v>
      </c>
      <c r="W57" s="12">
        <f t="shared" ref="W57" si="66">W55/W56-1</f>
        <v>3.5022551865250273E-2</v>
      </c>
      <c r="X57" s="13"/>
    </row>
    <row r="59" spans="3:24" ht="16.05" customHeight="1" x14ac:dyDescent="0.3">
      <c r="C59" s="40" t="s">
        <v>7</v>
      </c>
      <c r="D59" s="41"/>
      <c r="E59" s="41" t="s">
        <v>16</v>
      </c>
      <c r="F59" s="41" t="s">
        <v>18</v>
      </c>
      <c r="G59" s="41" t="s">
        <v>13</v>
      </c>
      <c r="H59" s="41" t="s">
        <v>15</v>
      </c>
      <c r="I59" s="41" t="s">
        <v>19</v>
      </c>
      <c r="J59" s="41" t="s">
        <v>17</v>
      </c>
      <c r="K59" s="41" t="s">
        <v>20</v>
      </c>
      <c r="L59" s="41" t="s">
        <v>14</v>
      </c>
      <c r="M59" s="41" t="s">
        <v>21</v>
      </c>
      <c r="N59" s="41" t="s">
        <v>22</v>
      </c>
      <c r="O59" s="41" t="s">
        <v>24</v>
      </c>
      <c r="P59" s="41" t="s">
        <v>23</v>
      </c>
      <c r="Q59" s="41" t="s">
        <v>25</v>
      </c>
      <c r="R59" s="41" t="s">
        <v>26</v>
      </c>
      <c r="S59" s="41" t="s">
        <v>27</v>
      </c>
      <c r="T59" s="41" t="s">
        <v>28</v>
      </c>
      <c r="U59" s="42" t="s">
        <v>29</v>
      </c>
      <c r="V59" s="42" t="s">
        <v>30</v>
      </c>
      <c r="W59" s="42" t="s">
        <v>31</v>
      </c>
      <c r="X59" s="43" t="s">
        <v>32</v>
      </c>
    </row>
    <row r="60" spans="3:24" ht="16.05" customHeight="1" x14ac:dyDescent="0.3">
      <c r="C60" s="6" t="s">
        <v>8</v>
      </c>
      <c r="E60" s="7">
        <v>0.31</v>
      </c>
      <c r="F60" s="7">
        <v>0.48333300000000001</v>
      </c>
      <c r="G60" s="7">
        <v>0.62</v>
      </c>
      <c r="H60" s="7">
        <v>0.84666699999999995</v>
      </c>
      <c r="I60" s="7">
        <v>1.0733299999999999</v>
      </c>
      <c r="J60" s="7">
        <v>0.75666699999999998</v>
      </c>
      <c r="K60" s="7">
        <v>1.05</v>
      </c>
      <c r="L60" s="7">
        <v>1.19</v>
      </c>
      <c r="M60" s="7">
        <v>0.85</v>
      </c>
      <c r="N60" s="7">
        <v>0.91</v>
      </c>
      <c r="O60" s="7">
        <v>0.66</v>
      </c>
      <c r="P60" s="7">
        <v>0.71</v>
      </c>
      <c r="Q60" s="7">
        <v>0.45</v>
      </c>
      <c r="R60" s="7">
        <v>0.52</v>
      </c>
      <c r="S60" s="7">
        <v>0.72</v>
      </c>
      <c r="T60" s="7">
        <v>0.73</v>
      </c>
      <c r="U60" s="7">
        <v>0.27</v>
      </c>
      <c r="V60" s="7">
        <v>0.4</v>
      </c>
      <c r="W60" s="7">
        <v>0.5</v>
      </c>
      <c r="X60" s="8"/>
    </row>
    <row r="61" spans="3:24" ht="16.05" customHeight="1" x14ac:dyDescent="0.3">
      <c r="C61" s="6" t="s">
        <v>10</v>
      </c>
      <c r="E61" s="7">
        <v>0.26994600000000002</v>
      </c>
      <c r="F61" s="7">
        <v>0.31252200000000002</v>
      </c>
      <c r="G61" s="7">
        <v>0.53863799999999995</v>
      </c>
      <c r="H61" s="7">
        <v>0.80891000000000002</v>
      </c>
      <c r="I61" s="7">
        <v>0.706538</v>
      </c>
      <c r="J61" s="7">
        <v>0.58087</v>
      </c>
      <c r="K61" s="7">
        <v>0.96746900000000002</v>
      </c>
      <c r="L61" s="7">
        <v>1.11792</v>
      </c>
      <c r="M61" s="7">
        <v>0.83888499999999999</v>
      </c>
      <c r="N61" s="7">
        <v>0.80975600000000003</v>
      </c>
      <c r="O61" s="7">
        <v>0.69719200000000003</v>
      </c>
      <c r="P61" s="7">
        <v>0.74124599999999996</v>
      </c>
      <c r="Q61" s="7">
        <v>0.45271800000000001</v>
      </c>
      <c r="R61" s="7">
        <v>0.61339399999999999</v>
      </c>
      <c r="S61" s="7">
        <v>0.58537099999999997</v>
      </c>
      <c r="T61" s="7">
        <v>0.77982600000000002</v>
      </c>
      <c r="U61" s="7">
        <v>0.36658400000000002</v>
      </c>
      <c r="V61" s="7">
        <v>0.38249300000000003</v>
      </c>
      <c r="W61" s="7">
        <v>0.56716900000000003</v>
      </c>
      <c r="X61" s="8"/>
    </row>
    <row r="62" spans="3:24" ht="16.05" customHeight="1" x14ac:dyDescent="0.3">
      <c r="C62" s="9" t="s">
        <v>9</v>
      </c>
      <c r="E62" s="10">
        <f t="shared" ref="E62:W62" si="67">E60/E61-1</f>
        <v>0.14837782371289054</v>
      </c>
      <c r="F62" s="10">
        <f t="shared" si="67"/>
        <v>0.54655672240674247</v>
      </c>
      <c r="G62" s="10">
        <f t="shared" si="67"/>
        <v>0.15105135545579795</v>
      </c>
      <c r="H62" s="10">
        <f t="shared" si="67"/>
        <v>4.6676391687579422E-2</v>
      </c>
      <c r="I62" s="10">
        <f t="shared" si="67"/>
        <v>0.51913980564385764</v>
      </c>
      <c r="J62" s="10">
        <f t="shared" si="67"/>
        <v>0.30264430939797204</v>
      </c>
      <c r="K62" s="10">
        <f t="shared" si="67"/>
        <v>8.5306092494953356E-2</v>
      </c>
      <c r="L62" s="10">
        <f t="shared" si="67"/>
        <v>6.4476885644768833E-2</v>
      </c>
      <c r="M62" s="10">
        <f t="shared" si="67"/>
        <v>1.3249730296762907E-2</v>
      </c>
      <c r="N62" s="10">
        <f t="shared" si="67"/>
        <v>0.12379531611991768</v>
      </c>
      <c r="O62" s="10">
        <f t="shared" si="67"/>
        <v>-5.3345419913022551E-2</v>
      </c>
      <c r="P62" s="10">
        <f t="shared" si="67"/>
        <v>-4.2153347201873581E-2</v>
      </c>
      <c r="Q62" s="10">
        <f t="shared" si="67"/>
        <v>-6.0037374259472864E-3</v>
      </c>
      <c r="R62" s="10">
        <f t="shared" si="67"/>
        <v>-0.15225776580794725</v>
      </c>
      <c r="S62" s="10">
        <f t="shared" si="67"/>
        <v>0.22998918634507004</v>
      </c>
      <c r="T62" s="10">
        <f t="shared" si="67"/>
        <v>-6.3893740398499155E-2</v>
      </c>
      <c r="U62" s="10">
        <f t="shared" si="67"/>
        <v>-0.26347030966981644</v>
      </c>
      <c r="V62" s="10">
        <f t="shared" si="67"/>
        <v>4.5770772275571137E-2</v>
      </c>
      <c r="W62" s="10">
        <f t="shared" si="67"/>
        <v>-0.11842854598893815</v>
      </c>
      <c r="X62" s="8"/>
    </row>
    <row r="63" spans="3:24" ht="16.05" customHeight="1" x14ac:dyDescent="0.3">
      <c r="C63" s="6" t="s">
        <v>12</v>
      </c>
      <c r="E63" s="22">
        <v>10389</v>
      </c>
      <c r="F63" s="22">
        <v>11958</v>
      </c>
      <c r="G63" s="22">
        <v>13757</v>
      </c>
      <c r="H63" s="22">
        <v>17719</v>
      </c>
      <c r="I63" s="22">
        <v>18756</v>
      </c>
      <c r="J63" s="22">
        <v>16934</v>
      </c>
      <c r="K63" s="22">
        <v>21454</v>
      </c>
      <c r="L63" s="22">
        <v>24318</v>
      </c>
      <c r="M63" s="22">
        <v>23329</v>
      </c>
      <c r="N63" s="22">
        <v>24927</v>
      </c>
      <c r="O63" s="22">
        <v>23350</v>
      </c>
      <c r="P63" s="22">
        <v>25167</v>
      </c>
      <c r="Q63" s="22">
        <v>21301</v>
      </c>
      <c r="R63" s="22">
        <v>25500</v>
      </c>
      <c r="S63" s="22">
        <v>25182</v>
      </c>
      <c r="T63" s="22">
        <v>25707</v>
      </c>
      <c r="U63" s="22">
        <v>19335</v>
      </c>
      <c r="V63" s="22">
        <v>22496</v>
      </c>
      <c r="W63" s="22">
        <v>28095</v>
      </c>
      <c r="X63" s="8"/>
    </row>
    <row r="64" spans="3:24" ht="16.05" customHeight="1" x14ac:dyDescent="0.3">
      <c r="C64" s="6" t="s">
        <v>11</v>
      </c>
      <c r="E64" s="22">
        <v>10440.4</v>
      </c>
      <c r="F64" s="22">
        <v>11236.3</v>
      </c>
      <c r="G64" s="22">
        <v>14004.6</v>
      </c>
      <c r="H64" s="22">
        <v>17226.900000000001</v>
      </c>
      <c r="I64" s="22">
        <v>17893.2</v>
      </c>
      <c r="J64" s="22">
        <v>16253.5</v>
      </c>
      <c r="K64" s="22">
        <v>21158.799999999999</v>
      </c>
      <c r="L64" s="22">
        <v>24015.4</v>
      </c>
      <c r="M64" s="22">
        <v>23664.2</v>
      </c>
      <c r="N64" s="22">
        <v>24820.9</v>
      </c>
      <c r="O64" s="22">
        <v>23902.3</v>
      </c>
      <c r="P64" s="22">
        <v>25889</v>
      </c>
      <c r="Q64" s="22">
        <v>21584.799999999999</v>
      </c>
      <c r="R64" s="22">
        <v>24522</v>
      </c>
      <c r="S64" s="22">
        <v>25371.599999999999</v>
      </c>
      <c r="T64" s="22">
        <v>27244.3</v>
      </c>
      <c r="U64" s="22">
        <v>20107.400000000001</v>
      </c>
      <c r="V64" s="22">
        <v>22070.6</v>
      </c>
      <c r="W64" s="22">
        <v>27231.7</v>
      </c>
      <c r="X64" s="8"/>
    </row>
    <row r="65" spans="3:24" ht="16.05" customHeight="1" x14ac:dyDescent="0.3">
      <c r="C65" s="11" t="s">
        <v>9</v>
      </c>
      <c r="D65" s="2"/>
      <c r="E65" s="12">
        <f t="shared" ref="E65" si="68">E63/E64-1</f>
        <v>-4.9231830198076532E-3</v>
      </c>
      <c r="F65" s="12">
        <f t="shared" ref="F65" si="69">F63/F64-1</f>
        <v>6.4229328159625565E-2</v>
      </c>
      <c r="G65" s="12">
        <f t="shared" ref="G65" si="70">G63/G64-1</f>
        <v>-1.7679905174014299E-2</v>
      </c>
      <c r="H65" s="12">
        <f t="shared" ref="H65" si="71">H63/H64-1</f>
        <v>2.8565789550063947E-2</v>
      </c>
      <c r="I65" s="12">
        <f t="shared" ref="I65" si="72">I63/I64-1</f>
        <v>4.8219435316209536E-2</v>
      </c>
      <c r="J65" s="12">
        <f t="shared" ref="J65" si="73">J63/J64-1</f>
        <v>4.1867905374227021E-2</v>
      </c>
      <c r="K65" s="12">
        <f t="shared" ref="K65" si="74">K63/K64-1</f>
        <v>1.3951641870049381E-2</v>
      </c>
      <c r="L65" s="12">
        <f t="shared" ref="L65" si="75">L63/L64-1</f>
        <v>1.2600248174088335E-2</v>
      </c>
      <c r="M65" s="12">
        <f t="shared" ref="M65" si="76">M63/M64-1</f>
        <v>-1.4164856618858912E-2</v>
      </c>
      <c r="N65" s="12">
        <f t="shared" ref="N65" si="77">N63/N64-1</f>
        <v>4.2746234020523133E-3</v>
      </c>
      <c r="O65" s="12">
        <f t="shared" ref="O65" si="78">O63/O64-1</f>
        <v>-2.3106562966743738E-2</v>
      </c>
      <c r="P65" s="12">
        <f t="shared" ref="P65" si="79">P63/P64-1</f>
        <v>-2.7888292324925623E-2</v>
      </c>
      <c r="Q65" s="12">
        <f t="shared" ref="Q65" si="80">Q63/Q64-1</f>
        <v>-1.3148141284607617E-2</v>
      </c>
      <c r="R65" s="12">
        <f t="shared" ref="R65" si="81">R63/R64-1</f>
        <v>3.9882554440910267E-2</v>
      </c>
      <c r="S65" s="12">
        <f t="shared" ref="S65" si="82">S63/S64-1</f>
        <v>-7.4729224802534411E-3</v>
      </c>
      <c r="T65" s="12">
        <f t="shared" ref="T65" si="83">T63/T64-1</f>
        <v>-5.6426481869602085E-2</v>
      </c>
      <c r="U65" s="12">
        <f t="shared" ref="U65" si="84">U63/U64-1</f>
        <v>-3.8413718332554248E-2</v>
      </c>
      <c r="V65" s="12">
        <f t="shared" ref="V65" si="85">V63/V64-1</f>
        <v>1.9274509981604515E-2</v>
      </c>
      <c r="W65" s="12">
        <f t="shared" ref="W65" si="86">W63/W64-1</f>
        <v>3.1702023744386132E-2</v>
      </c>
      <c r="X65" s="44"/>
    </row>
  </sheetData>
  <dataConsolidate/>
  <conditionalFormatting sqref="E6:W6">
    <cfRule type="colorScale" priority="28">
      <colorScale>
        <cfvo type="min"/>
        <cfvo type="num" val="0"/>
        <cfvo type="max"/>
        <color rgb="FFFF0000"/>
        <color theme="2"/>
        <color rgb="FF00B050"/>
      </colorScale>
    </cfRule>
  </conditionalFormatting>
  <conditionalFormatting sqref="E9:W9">
    <cfRule type="colorScale" priority="27">
      <colorScale>
        <cfvo type="min"/>
        <cfvo type="num" val="0"/>
        <cfvo type="max"/>
        <color rgb="FFFF0000"/>
        <color theme="2"/>
        <color rgb="FF00B050"/>
      </colorScale>
    </cfRule>
  </conditionalFormatting>
  <conditionalFormatting sqref="E17:W17">
    <cfRule type="colorScale" priority="20">
      <colorScale>
        <cfvo type="min"/>
        <cfvo type="num" val="0"/>
        <cfvo type="max"/>
        <color rgb="FFFF0000"/>
        <color theme="2"/>
        <color rgb="FF00B050"/>
      </colorScale>
    </cfRule>
  </conditionalFormatting>
  <conditionalFormatting sqref="E22:W22">
    <cfRule type="colorScale" priority="17">
      <colorScale>
        <cfvo type="min"/>
        <cfvo type="num" val="0"/>
        <cfvo type="max"/>
        <color rgb="FFFF0000"/>
        <color theme="2"/>
        <color rgb="FF00B050"/>
      </colorScale>
    </cfRule>
  </conditionalFormatting>
  <conditionalFormatting sqref="E25:W25">
    <cfRule type="colorScale" priority="19">
      <colorScale>
        <cfvo type="min"/>
        <cfvo type="num" val="0"/>
        <cfvo type="max"/>
        <color rgb="FFFF0000"/>
        <color theme="2"/>
        <color rgb="FF00B050"/>
      </colorScale>
    </cfRule>
  </conditionalFormatting>
  <conditionalFormatting sqref="E30:W30">
    <cfRule type="colorScale" priority="15">
      <colorScale>
        <cfvo type="min"/>
        <cfvo type="num" val="0"/>
        <cfvo type="max"/>
        <color rgb="FFFF0000"/>
        <color theme="2"/>
        <color rgb="FF00B050"/>
      </colorScale>
    </cfRule>
  </conditionalFormatting>
  <conditionalFormatting sqref="E33:W33">
    <cfRule type="colorScale" priority="13">
      <colorScale>
        <cfvo type="min"/>
        <cfvo type="num" val="0"/>
        <cfvo type="max"/>
        <color rgb="FFFF0000"/>
        <color theme="2"/>
        <color rgb="FF00B050"/>
      </colorScale>
    </cfRule>
  </conditionalFormatting>
  <conditionalFormatting sqref="E38:W38">
    <cfRule type="colorScale" priority="10">
      <colorScale>
        <cfvo type="min"/>
        <cfvo type="num" val="0"/>
        <cfvo type="max"/>
        <color rgb="FFFF0000"/>
        <color theme="2"/>
        <color rgb="FF00B050"/>
      </colorScale>
    </cfRule>
  </conditionalFormatting>
  <conditionalFormatting sqref="E41:W41">
    <cfRule type="colorScale" priority="11">
      <colorScale>
        <cfvo type="min"/>
        <cfvo type="num" val="0"/>
        <cfvo type="max"/>
        <color rgb="FFFF0000"/>
        <color theme="2"/>
        <color rgb="FF00B050"/>
      </colorScale>
    </cfRule>
  </conditionalFormatting>
  <conditionalFormatting sqref="E46:W46">
    <cfRule type="colorScale" priority="9">
      <colorScale>
        <cfvo type="min"/>
        <cfvo type="num" val="0"/>
        <cfvo type="max"/>
        <color rgb="FFFF0000"/>
        <color theme="2"/>
        <color rgb="FF00B050"/>
      </colorScale>
    </cfRule>
  </conditionalFormatting>
  <conditionalFormatting sqref="E49:W49">
    <cfRule type="colorScale" priority="7">
      <colorScale>
        <cfvo type="min"/>
        <cfvo type="num" val="0"/>
        <cfvo type="max"/>
        <color rgb="FFFF0000"/>
        <color theme="2"/>
        <color rgb="FF00B050"/>
      </colorScale>
    </cfRule>
  </conditionalFormatting>
  <conditionalFormatting sqref="E54:W54">
    <cfRule type="colorScale" priority="5">
      <colorScale>
        <cfvo type="min"/>
        <cfvo type="num" val="0"/>
        <cfvo type="max"/>
        <color rgb="FFFF0000"/>
        <color theme="2"/>
        <color rgb="FF00B050"/>
      </colorScale>
    </cfRule>
  </conditionalFormatting>
  <conditionalFormatting sqref="E57:W57">
    <cfRule type="colorScale" priority="6">
      <colorScale>
        <cfvo type="min"/>
        <cfvo type="num" val="0"/>
        <cfvo type="max"/>
        <color rgb="FFFF0000"/>
        <color theme="2"/>
        <color rgb="FF00B050"/>
      </colorScale>
    </cfRule>
  </conditionalFormatting>
  <conditionalFormatting sqref="E62:W62">
    <cfRule type="colorScale" priority="29">
      <colorScale>
        <cfvo type="min"/>
        <cfvo type="num" val="0"/>
        <cfvo type="max"/>
        <color rgb="FFFF0000"/>
        <color theme="2"/>
        <color rgb="FF00B050"/>
      </colorScale>
    </cfRule>
  </conditionalFormatting>
  <conditionalFormatting sqref="E65:W65">
    <cfRule type="colorScale" priority="1">
      <colorScale>
        <cfvo type="min"/>
        <cfvo type="num" val="0"/>
        <cfvo type="max"/>
        <color rgb="FFFF0000"/>
        <color theme="2"/>
        <color rgb="FF00B050"/>
      </colorScale>
    </cfRule>
  </conditionalFormatting>
  <conditionalFormatting sqref="E14:X14">
    <cfRule type="colorScale" priority="21">
      <colorScale>
        <cfvo type="min"/>
        <cfvo type="num" val="0"/>
        <cfvo type="max"/>
        <color rgb="FFFF0000"/>
        <color theme="2"/>
        <color rgb="FF00B050"/>
      </colorScale>
    </cfRule>
  </conditionalFormatting>
  <conditionalFormatting sqref="F17:W17">
    <cfRule type="colorScale" priority="25">
      <colorScale>
        <cfvo type="min"/>
        <cfvo type="num" val="0"/>
        <cfvo type="max"/>
        <color rgb="FFFF0000"/>
        <color theme="2"/>
        <color rgb="FF00B050"/>
      </colorScale>
    </cfRule>
  </conditionalFormatting>
  <conditionalFormatting sqref="X65">
    <cfRule type="colorScale" priority="3">
      <colorScale>
        <cfvo type="min"/>
        <cfvo type="num" val="0"/>
        <cfvo type="max"/>
        <color rgb="FFFF0000"/>
        <color theme="2"/>
        <color rgb="FF00B050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Kerem Odabasi</dc:creator>
  <cp:lastModifiedBy>Kerem Odabasi</cp:lastModifiedBy>
  <dcterms:created xsi:type="dcterms:W3CDTF">2015-06-05T18:17:20Z</dcterms:created>
  <dcterms:modified xsi:type="dcterms:W3CDTF">2026-01-03T06:57:13Z</dcterms:modified>
</cp:coreProperties>
</file>