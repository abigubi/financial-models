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e4885f5b5840770/Masaüstü/Financial Models/"/>
    </mc:Choice>
  </mc:AlternateContent>
  <xr:revisionPtr revIDLastSave="18" documentId="13_ncr:1_{BAC8DAEF-6E31-4655-A44B-5B4BEE3B7789}" xr6:coauthVersionLast="47" xr6:coauthVersionMax="47" xr10:uidLastSave="{7C9AAEB4-9FBE-4C17-812B-91100D048615}"/>
  <bookViews>
    <workbookView xWindow="16644" yWindow="4296" windowWidth="22116" windowHeight="10668" xr2:uid="{64BEE0EA-45A1-4490-9445-11F5F6D37C44}"/>
  </bookViews>
  <sheets>
    <sheet name="Main" sheetId="1" r:id="rId1"/>
    <sheet name="Segments" sheetId="3" r:id="rId2"/>
    <sheet name="Extras" sheetId="4" r:id="rId3"/>
    <sheet name="Quarterly Segment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4" i="1" l="1"/>
  <c r="U43" i="1"/>
  <c r="U42" i="1"/>
  <c r="Z38" i="1"/>
  <c r="Y38" i="1"/>
  <c r="X38" i="1"/>
  <c r="W38" i="1"/>
  <c r="V38" i="1"/>
  <c r="U38" i="1"/>
  <c r="R36" i="1"/>
  <c r="R30" i="1"/>
  <c r="R28" i="1"/>
  <c r="Q102" i="3"/>
  <c r="Q101" i="3"/>
  <c r="Q100" i="3"/>
  <c r="AA159" i="3"/>
  <c r="AA158" i="3"/>
  <c r="AA156" i="3"/>
  <c r="W155" i="3"/>
  <c r="Q155" i="3"/>
  <c r="G217" i="3"/>
  <c r="G216" i="3"/>
  <c r="G212" i="3"/>
  <c r="G208" i="3"/>
  <c r="G207" i="3"/>
  <c r="F217" i="3"/>
  <c r="E217" i="3"/>
  <c r="F216" i="3"/>
  <c r="E216" i="3"/>
  <c r="F212" i="3"/>
  <c r="E212" i="3"/>
  <c r="F208" i="3"/>
  <c r="E208" i="3"/>
  <c r="F207" i="3"/>
  <c r="E207" i="3"/>
  <c r="B217" i="3"/>
  <c r="B216" i="3"/>
  <c r="B215" i="3"/>
  <c r="B214" i="3"/>
  <c r="B213" i="3"/>
  <c r="B212" i="3"/>
  <c r="B210" i="3"/>
  <c r="B209" i="3"/>
  <c r="B208" i="3"/>
  <c r="B207" i="3"/>
  <c r="B206" i="3"/>
  <c r="B204" i="3"/>
  <c r="AG186" i="3"/>
  <c r="AB186" i="3"/>
  <c r="AC186" i="3"/>
  <c r="AD186" i="3"/>
  <c r="AE186" i="3"/>
  <c r="AF186" i="3"/>
  <c r="AG187" i="3"/>
  <c r="AB187" i="3"/>
  <c r="AC187" i="3"/>
  <c r="AD187" i="3"/>
  <c r="AE187" i="3"/>
  <c r="AF187" i="3"/>
  <c r="AG185" i="3"/>
  <c r="AF185" i="3"/>
  <c r="AE185" i="3"/>
  <c r="AD185" i="3"/>
  <c r="AC185" i="3"/>
  <c r="AB185" i="3"/>
  <c r="AG184" i="3"/>
  <c r="AF184" i="3"/>
  <c r="AE184" i="3"/>
  <c r="AD184" i="3"/>
  <c r="AC184" i="3"/>
  <c r="AB184" i="3"/>
  <c r="P10" i="1"/>
  <c r="Z21" i="1"/>
  <c r="X21" i="1"/>
  <c r="N112" i="3"/>
  <c r="N126" i="3"/>
  <c r="K126" i="3"/>
  <c r="N132" i="3"/>
  <c r="K132" i="3"/>
  <c r="O41" i="1"/>
  <c r="N41" i="1"/>
  <c r="M41" i="1"/>
  <c r="L41" i="1"/>
  <c r="J88" i="3"/>
  <c r="K88" i="3"/>
  <c r="L88" i="3"/>
  <c r="M88" i="3"/>
  <c r="N88" i="3"/>
  <c r="H88" i="3"/>
  <c r="H82" i="3" s="1"/>
  <c r="G88" i="3"/>
  <c r="G82" i="3" s="1"/>
  <c r="F88" i="3"/>
  <c r="L123" i="3"/>
  <c r="I131" i="3"/>
  <c r="N116" i="3"/>
  <c r="I116" i="3"/>
  <c r="I171" i="3"/>
  <c r="N171" i="3"/>
  <c r="J168" i="3"/>
  <c r="K168" i="3"/>
  <c r="L168" i="3"/>
  <c r="M168" i="3"/>
  <c r="J164" i="3"/>
  <c r="K164" i="3"/>
  <c r="L164" i="3"/>
  <c r="M164" i="3"/>
  <c r="J160" i="3"/>
  <c r="K160" i="3"/>
  <c r="L160" i="3"/>
  <c r="M160" i="3"/>
  <c r="J156" i="3"/>
  <c r="K156" i="3"/>
  <c r="L156" i="3"/>
  <c r="M156" i="3"/>
  <c r="N102" i="3"/>
  <c r="N131" i="3"/>
  <c r="N130" i="3"/>
  <c r="I130" i="3"/>
  <c r="N129" i="3"/>
  <c r="I129" i="3"/>
  <c r="N124" i="3"/>
  <c r="I124" i="3"/>
  <c r="N123" i="3"/>
  <c r="N122" i="3"/>
  <c r="I122" i="3"/>
  <c r="N121" i="3"/>
  <c r="I121" i="3"/>
  <c r="N118" i="3"/>
  <c r="I118" i="3"/>
  <c r="N117" i="3"/>
  <c r="I117" i="3"/>
  <c r="N113" i="3"/>
  <c r="I113" i="3"/>
  <c r="I112" i="3"/>
  <c r="N109" i="3"/>
  <c r="I109" i="3"/>
  <c r="N108" i="3"/>
  <c r="I108" i="3"/>
  <c r="N105" i="3"/>
  <c r="I105" i="3"/>
  <c r="N104" i="3"/>
  <c r="I104" i="3"/>
  <c r="N103" i="3"/>
  <c r="I103" i="3"/>
  <c r="I102" i="3"/>
  <c r="I50" i="3"/>
  <c r="M133" i="3"/>
  <c r="L133" i="3"/>
  <c r="K133" i="3"/>
  <c r="J133" i="3"/>
  <c r="H51" i="3"/>
  <c r="G51" i="3"/>
  <c r="H44" i="3"/>
  <c r="G44" i="3"/>
  <c r="F44" i="3"/>
  <c r="M252" i="3"/>
  <c r="L252" i="3"/>
  <c r="K252" i="3"/>
  <c r="J252" i="3"/>
  <c r="M250" i="3"/>
  <c r="L250" i="3"/>
  <c r="K250" i="3"/>
  <c r="J250" i="3"/>
  <c r="M264" i="3"/>
  <c r="L264" i="3"/>
  <c r="K264" i="3"/>
  <c r="J264" i="3"/>
  <c r="M263" i="3"/>
  <c r="L263" i="3"/>
  <c r="K263" i="3"/>
  <c r="J263" i="3"/>
  <c r="M262" i="3"/>
  <c r="L262" i="3"/>
  <c r="K262" i="3"/>
  <c r="J262" i="3"/>
  <c r="M261" i="3"/>
  <c r="L261" i="3"/>
  <c r="K261" i="3"/>
  <c r="J261" i="3"/>
  <c r="M259" i="3"/>
  <c r="L259" i="3"/>
  <c r="K259" i="3"/>
  <c r="J259" i="3"/>
  <c r="M258" i="3"/>
  <c r="L258" i="3"/>
  <c r="K258" i="3"/>
  <c r="J258" i="3"/>
  <c r="M257" i="3"/>
  <c r="L257" i="3"/>
  <c r="K257" i="3"/>
  <c r="J257" i="3"/>
  <c r="M256" i="3"/>
  <c r="L256" i="3"/>
  <c r="K256" i="3"/>
  <c r="J256" i="3"/>
  <c r="M245" i="3"/>
  <c r="L245" i="3"/>
  <c r="K245" i="3"/>
  <c r="J245" i="3"/>
  <c r="M243" i="3"/>
  <c r="L243" i="3"/>
  <c r="K243" i="3"/>
  <c r="J243" i="3"/>
  <c r="M242" i="3"/>
  <c r="L242" i="3"/>
  <c r="K242" i="3"/>
  <c r="J242" i="3"/>
  <c r="M232" i="3"/>
  <c r="L232" i="3"/>
  <c r="K232" i="3"/>
  <c r="J232" i="3"/>
  <c r="M230" i="3"/>
  <c r="L230" i="3"/>
  <c r="K230" i="3"/>
  <c r="J230" i="3"/>
  <c r="M228" i="3"/>
  <c r="L228" i="3"/>
  <c r="K228" i="3"/>
  <c r="J228" i="3"/>
  <c r="M227" i="3"/>
  <c r="L227" i="3"/>
  <c r="K227" i="3"/>
  <c r="J227" i="3"/>
  <c r="M225" i="3"/>
  <c r="L225" i="3"/>
  <c r="K225" i="3"/>
  <c r="J225" i="3"/>
  <c r="M224" i="3"/>
  <c r="L224" i="3"/>
  <c r="K224" i="3"/>
  <c r="J224" i="3"/>
  <c r="M223" i="3"/>
  <c r="L223" i="3"/>
  <c r="K223" i="3"/>
  <c r="J223" i="3"/>
  <c r="N250" i="3"/>
  <c r="I250" i="3"/>
  <c r="N244" i="3"/>
  <c r="I244" i="3"/>
  <c r="I236" i="3"/>
  <c r="N229" i="3"/>
  <c r="I229" i="3"/>
  <c r="H76" i="3"/>
  <c r="G76" i="3"/>
  <c r="F76" i="3"/>
  <c r="H70" i="3"/>
  <c r="G70" i="3"/>
  <c r="F70" i="3"/>
  <c r="H67" i="3"/>
  <c r="G67" i="3"/>
  <c r="F67" i="3"/>
  <c r="H64" i="3"/>
  <c r="G64" i="3"/>
  <c r="F64" i="3"/>
  <c r="H60" i="3"/>
  <c r="G60" i="3"/>
  <c r="F60" i="3"/>
  <c r="H39" i="3"/>
  <c r="G39" i="3"/>
  <c r="G23" i="3"/>
  <c r="F23" i="3"/>
  <c r="H23" i="3"/>
  <c r="H30" i="3"/>
  <c r="G30" i="3"/>
  <c r="G27" i="3"/>
  <c r="H27" i="3"/>
  <c r="P11" i="1"/>
  <c r="J22" i="1"/>
  <c r="I22" i="1"/>
  <c r="H22" i="1"/>
  <c r="G22" i="1"/>
  <c r="F22" i="1"/>
  <c r="E22" i="1"/>
  <c r="J18" i="1"/>
  <c r="G24" i="4"/>
  <c r="G22" i="4"/>
  <c r="L70" i="1"/>
  <c r="J115" i="1"/>
  <c r="I115" i="1"/>
  <c r="H115" i="1"/>
  <c r="G115" i="1"/>
  <c r="F115" i="1"/>
  <c r="I116" i="1"/>
  <c r="G110" i="1"/>
  <c r="N3" i="4" a="1"/>
  <c r="H11" i="4"/>
  <c r="J102" i="1"/>
  <c r="I102" i="1"/>
  <c r="H102" i="1"/>
  <c r="G102" i="1"/>
  <c r="F102" i="1"/>
  <c r="E102" i="1"/>
  <c r="J96" i="1"/>
  <c r="I96" i="1"/>
  <c r="H96" i="1"/>
  <c r="G96" i="1"/>
  <c r="F96" i="1"/>
  <c r="E96" i="1"/>
  <c r="J90" i="1"/>
  <c r="I90" i="1"/>
  <c r="H90" i="1"/>
  <c r="G90" i="1"/>
  <c r="F90" i="1"/>
  <c r="E90" i="1"/>
  <c r="K89" i="1"/>
  <c r="J86" i="1"/>
  <c r="I86" i="1"/>
  <c r="H86" i="1"/>
  <c r="G86" i="1"/>
  <c r="F86" i="1"/>
  <c r="E86" i="1"/>
  <c r="J79" i="1"/>
  <c r="J82" i="1"/>
  <c r="I82" i="1"/>
  <c r="H82" i="1"/>
  <c r="G82" i="1"/>
  <c r="F82" i="1"/>
  <c r="E82" i="1"/>
  <c r="I79" i="1"/>
  <c r="H79" i="1"/>
  <c r="G79" i="1"/>
  <c r="F79" i="1"/>
  <c r="E79" i="1"/>
  <c r="I71" i="1"/>
  <c r="H71" i="1"/>
  <c r="G71" i="1"/>
  <c r="F71" i="1"/>
  <c r="J65" i="1"/>
  <c r="E65" i="1"/>
  <c r="F65" i="1"/>
  <c r="G65" i="1"/>
  <c r="H65" i="1"/>
  <c r="I65" i="1"/>
  <c r="J56" i="1"/>
  <c r="I56" i="1"/>
  <c r="H56" i="1"/>
  <c r="G56" i="1"/>
  <c r="F56" i="1"/>
  <c r="E56" i="1"/>
  <c r="J53" i="1"/>
  <c r="I53" i="1"/>
  <c r="H53" i="1"/>
  <c r="G53" i="1"/>
  <c r="F53" i="1"/>
  <c r="E53" i="1"/>
  <c r="J44" i="1"/>
  <c r="I44" i="1"/>
  <c r="H44" i="1"/>
  <c r="G44" i="1"/>
  <c r="F44" i="1"/>
  <c r="E44" i="1"/>
  <c r="J41" i="1"/>
  <c r="I41" i="1"/>
  <c r="H41" i="1"/>
  <c r="G41" i="1"/>
  <c r="F41" i="1"/>
  <c r="E41" i="1"/>
  <c r="J38" i="1"/>
  <c r="I38" i="1"/>
  <c r="G38" i="1"/>
  <c r="F38" i="1"/>
  <c r="E38" i="1"/>
  <c r="H38" i="1"/>
  <c r="J34" i="1"/>
  <c r="I34" i="1"/>
  <c r="H34" i="1"/>
  <c r="G34" i="1"/>
  <c r="G46" i="1" s="1"/>
  <c r="G47" i="1" s="1"/>
  <c r="F34" i="1"/>
  <c r="F35" i="1" s="1"/>
  <c r="E34" i="1"/>
  <c r="E46" i="1" s="1"/>
  <c r="J32" i="1"/>
  <c r="I32" i="1"/>
  <c r="H32" i="1"/>
  <c r="G32" i="1"/>
  <c r="F32" i="1"/>
  <c r="E32" i="1"/>
  <c r="J29" i="1"/>
  <c r="I29" i="1"/>
  <c r="H29" i="1"/>
  <c r="G29" i="1"/>
  <c r="F29" i="1"/>
  <c r="Z4" i="1"/>
  <c r="AA4" i="1" s="1"/>
  <c r="AB4" i="1" s="1"/>
  <c r="AC4" i="1" s="1"/>
  <c r="V102" i="3" l="1"/>
  <c r="V101" i="3"/>
  <c r="U101" i="3"/>
  <c r="W101" i="3" s="1"/>
  <c r="V100" i="3"/>
  <c r="U100" i="3"/>
  <c r="W100" i="3" s="1"/>
  <c r="U155" i="3"/>
  <c r="E206" i="3"/>
  <c r="H216" i="3"/>
  <c r="F206" i="3"/>
  <c r="G214" i="3"/>
  <c r="G206" i="3"/>
  <c r="F214" i="3"/>
  <c r="E214" i="3"/>
  <c r="J116" i="1"/>
  <c r="N140" i="3"/>
  <c r="M132" i="3"/>
  <c r="L132" i="3"/>
  <c r="M126" i="3"/>
  <c r="L126" i="3"/>
  <c r="I53" i="3"/>
  <c r="H217" i="3" s="1"/>
  <c r="I246" i="3"/>
  <c r="I248" i="3" s="1"/>
  <c r="N246" i="3"/>
  <c r="N248" i="3" s="1"/>
  <c r="N249" i="3" s="1"/>
  <c r="N251" i="3" s="1"/>
  <c r="N53" i="3"/>
  <c r="M217" i="3" s="1"/>
  <c r="G49" i="1"/>
  <c r="E49" i="1"/>
  <c r="M123" i="3"/>
  <c r="G25" i="4"/>
  <c r="G21" i="4"/>
  <c r="J121" i="3"/>
  <c r="K121" i="3"/>
  <c r="L121" i="3"/>
  <c r="F82" i="3"/>
  <c r="I169" i="3"/>
  <c r="N169" i="3"/>
  <c r="G121" i="1"/>
  <c r="J121" i="1"/>
  <c r="H121" i="1"/>
  <c r="I121" i="1"/>
  <c r="F116" i="1"/>
  <c r="K18" i="1"/>
  <c r="F121" i="1"/>
  <c r="L115" i="1"/>
  <c r="K22" i="1"/>
  <c r="H116" i="1"/>
  <c r="L171" i="3"/>
  <c r="J171" i="3"/>
  <c r="K171" i="3"/>
  <c r="I165" i="3"/>
  <c r="I166" i="3" s="1"/>
  <c r="N165" i="3"/>
  <c r="N166" i="3" s="1"/>
  <c r="I161" i="3"/>
  <c r="I162" i="3" s="1"/>
  <c r="N161" i="3"/>
  <c r="N162" i="3" s="1"/>
  <c r="I157" i="3"/>
  <c r="I158" i="3" s="1"/>
  <c r="N157" i="3"/>
  <c r="N147" i="3"/>
  <c r="N142" i="3"/>
  <c r="I142" i="3"/>
  <c r="G119" i="1"/>
  <c r="G120" i="1"/>
  <c r="I180" i="3"/>
  <c r="I35" i="3" s="1"/>
  <c r="H210" i="3" s="1"/>
  <c r="I147" i="3"/>
  <c r="L103" i="3"/>
  <c r="M103" i="3"/>
  <c r="M171" i="3"/>
  <c r="I138" i="3"/>
  <c r="I26" i="3"/>
  <c r="H207" i="3" s="1"/>
  <c r="M131" i="3"/>
  <c r="N41" i="3"/>
  <c r="M213" i="3" s="1"/>
  <c r="I41" i="3"/>
  <c r="H213" i="3" s="1"/>
  <c r="M117" i="3"/>
  <c r="J105" i="3"/>
  <c r="J147" i="3" s="1"/>
  <c r="K104" i="3"/>
  <c r="K112" i="3"/>
  <c r="L131" i="3"/>
  <c r="K131" i="3"/>
  <c r="J131" i="3"/>
  <c r="M130" i="3"/>
  <c r="L130" i="3"/>
  <c r="K130" i="3"/>
  <c r="J130" i="3"/>
  <c r="M129" i="3"/>
  <c r="L129" i="3"/>
  <c r="K129" i="3"/>
  <c r="J129" i="3"/>
  <c r="M124" i="3"/>
  <c r="L124" i="3"/>
  <c r="K124" i="3"/>
  <c r="J124" i="3"/>
  <c r="J112" i="3"/>
  <c r="M104" i="3"/>
  <c r="M122" i="3"/>
  <c r="L122" i="3"/>
  <c r="K122" i="3"/>
  <c r="J122" i="3"/>
  <c r="M121" i="3"/>
  <c r="M118" i="3"/>
  <c r="L118" i="3"/>
  <c r="K118" i="3"/>
  <c r="J118" i="3"/>
  <c r="L113" i="3"/>
  <c r="J113" i="3"/>
  <c r="M112" i="3"/>
  <c r="L104" i="3"/>
  <c r="L117" i="3"/>
  <c r="K117" i="3"/>
  <c r="J117" i="3"/>
  <c r="M116" i="3"/>
  <c r="L116" i="3"/>
  <c r="K116" i="3"/>
  <c r="J116" i="3"/>
  <c r="M113" i="3"/>
  <c r="K113" i="3"/>
  <c r="L112" i="3"/>
  <c r="J104" i="3"/>
  <c r="M109" i="3"/>
  <c r="L109" i="3"/>
  <c r="K109" i="3"/>
  <c r="J109" i="3"/>
  <c r="M108" i="3"/>
  <c r="M142" i="3" s="1"/>
  <c r="L108" i="3"/>
  <c r="L142" i="3" s="1"/>
  <c r="K108" i="3"/>
  <c r="K142" i="3" s="1"/>
  <c r="J108" i="3"/>
  <c r="J142" i="3" s="1"/>
  <c r="M105" i="3"/>
  <c r="M147" i="3" s="1"/>
  <c r="L105" i="3"/>
  <c r="L147" i="3" s="1"/>
  <c r="K105" i="3"/>
  <c r="K147" i="3" s="1"/>
  <c r="K103" i="3"/>
  <c r="J103" i="3"/>
  <c r="M102" i="3"/>
  <c r="L102" i="3"/>
  <c r="K102" i="3"/>
  <c r="J102" i="3"/>
  <c r="I140" i="3"/>
  <c r="N138" i="3"/>
  <c r="N137" i="3"/>
  <c r="I137" i="3"/>
  <c r="I75" i="3"/>
  <c r="J50" i="3"/>
  <c r="I216" i="3" s="1"/>
  <c r="I51" i="3"/>
  <c r="H45" i="3"/>
  <c r="G45" i="3"/>
  <c r="H41" i="3"/>
  <c r="G213" i="3" s="1"/>
  <c r="G41" i="3"/>
  <c r="F213" i="3" s="1"/>
  <c r="F41" i="3"/>
  <c r="E213" i="3" s="1"/>
  <c r="J236" i="3"/>
  <c r="K236" i="3" s="1"/>
  <c r="L236" i="3" s="1"/>
  <c r="M236" i="3" s="1"/>
  <c r="N236" i="3" s="1"/>
  <c r="F80" i="3"/>
  <c r="M244" i="3"/>
  <c r="M246" i="3" s="1"/>
  <c r="M248" i="3" s="1"/>
  <c r="M249" i="3" s="1"/>
  <c r="M251" i="3" s="1"/>
  <c r="L244" i="3"/>
  <c r="L246" i="3" s="1"/>
  <c r="L248" i="3" s="1"/>
  <c r="L249" i="3" s="1"/>
  <c r="L251" i="3" s="1"/>
  <c r="K244" i="3"/>
  <c r="K246" i="3" s="1"/>
  <c r="K248" i="3" s="1"/>
  <c r="K249" i="3" s="1"/>
  <c r="K251" i="3" s="1"/>
  <c r="J244" i="3"/>
  <c r="J246" i="3" s="1"/>
  <c r="J248" i="3" s="1"/>
  <c r="J249" i="3" s="1"/>
  <c r="J251" i="3" s="1"/>
  <c r="M229" i="3"/>
  <c r="M231" i="3" s="1"/>
  <c r="M233" i="3" s="1"/>
  <c r="L229" i="3"/>
  <c r="L231" i="3" s="1"/>
  <c r="L233" i="3" s="1"/>
  <c r="K229" i="3"/>
  <c r="K231" i="3" s="1"/>
  <c r="K233" i="3" s="1"/>
  <c r="J229" i="3"/>
  <c r="J231" i="3" s="1"/>
  <c r="J233" i="3" s="1"/>
  <c r="I231" i="3"/>
  <c r="I233" i="3" s="1"/>
  <c r="I271" i="3"/>
  <c r="G80" i="3"/>
  <c r="N231" i="3"/>
  <c r="N233" i="3" s="1"/>
  <c r="H80" i="3"/>
  <c r="H57" i="3"/>
  <c r="G57" i="3"/>
  <c r="H61" i="3"/>
  <c r="G61" i="3"/>
  <c r="F61" i="3"/>
  <c r="G20" i="3"/>
  <c r="F204" i="3" s="1"/>
  <c r="H24" i="3"/>
  <c r="G24" i="3"/>
  <c r="F20" i="3"/>
  <c r="E204" i="3" s="1"/>
  <c r="H20" i="3"/>
  <c r="G204" i="3" s="1"/>
  <c r="T19" i="1"/>
  <c r="M70" i="1"/>
  <c r="G116" i="1"/>
  <c r="J71" i="1"/>
  <c r="L89" i="1"/>
  <c r="M89" i="1" s="1"/>
  <c r="N89" i="1" s="1"/>
  <c r="O89" i="1" s="1"/>
  <c r="E103" i="1"/>
  <c r="J103" i="1"/>
  <c r="I103" i="1"/>
  <c r="H103" i="1"/>
  <c r="G103" i="1"/>
  <c r="F103" i="1"/>
  <c r="K115" i="1"/>
  <c r="J97" i="1"/>
  <c r="I97" i="1"/>
  <c r="H97" i="1"/>
  <c r="G97" i="1"/>
  <c r="F97" i="1"/>
  <c r="H110" i="1"/>
  <c r="I110" i="1" s="1"/>
  <c r="J110" i="1" s="1"/>
  <c r="E9" i="1"/>
  <c r="X22" i="1" s="1"/>
  <c r="X23" i="1" s="1"/>
  <c r="E58" i="1"/>
  <c r="E47" i="1"/>
  <c r="G58" i="1"/>
  <c r="F46" i="1"/>
  <c r="F49" i="1" s="1"/>
  <c r="F50" i="1" s="1"/>
  <c r="J46" i="1"/>
  <c r="J49" i="1" s="1"/>
  <c r="J50" i="1" s="1"/>
  <c r="H46" i="1"/>
  <c r="H49" i="1" s="1"/>
  <c r="H50" i="1" s="1"/>
  <c r="I46" i="1"/>
  <c r="I49" i="1" s="1"/>
  <c r="I50" i="1" s="1"/>
  <c r="G35" i="1"/>
  <c r="I35" i="1"/>
  <c r="J35" i="1"/>
  <c r="E35" i="1"/>
  <c r="H35" i="1"/>
  <c r="T20" i="1"/>
  <c r="N217" i="3" l="1"/>
  <c r="N158" i="3"/>
  <c r="U156" i="3"/>
  <c r="N213" i="3"/>
  <c r="I249" i="3"/>
  <c r="I251" i="3" s="1"/>
  <c r="E50" i="1"/>
  <c r="M53" i="3"/>
  <c r="L217" i="3" s="1"/>
  <c r="L53" i="3"/>
  <c r="K217" i="3" s="1"/>
  <c r="K53" i="3"/>
  <c r="J217" i="3" s="1"/>
  <c r="J53" i="3"/>
  <c r="I217" i="3" s="1"/>
  <c r="G50" i="1"/>
  <c r="G92" i="3"/>
  <c r="G95" i="3"/>
  <c r="F95" i="3"/>
  <c r="F92" i="3"/>
  <c r="H92" i="3"/>
  <c r="H95" i="3"/>
  <c r="G26" i="4"/>
  <c r="G20" i="4"/>
  <c r="F57" i="3"/>
  <c r="I170" i="3"/>
  <c r="N170" i="3"/>
  <c r="N70" i="1"/>
  <c r="M115" i="1"/>
  <c r="L169" i="3"/>
  <c r="L170" i="3" s="1"/>
  <c r="L165" i="3"/>
  <c r="L166" i="3" s="1"/>
  <c r="L161" i="3"/>
  <c r="L162" i="3" s="1"/>
  <c r="L157" i="3"/>
  <c r="L158" i="3" s="1"/>
  <c r="K169" i="3"/>
  <c r="K170" i="3" s="1"/>
  <c r="K165" i="3"/>
  <c r="K166" i="3" s="1"/>
  <c r="K161" i="3"/>
  <c r="K162" i="3" s="1"/>
  <c r="K157" i="3"/>
  <c r="K158" i="3" s="1"/>
  <c r="J169" i="3"/>
  <c r="J170" i="3" s="1"/>
  <c r="J165" i="3"/>
  <c r="J166" i="3" s="1"/>
  <c r="J161" i="3"/>
  <c r="J162" i="3" s="1"/>
  <c r="J157" i="3"/>
  <c r="J158" i="3" s="1"/>
  <c r="F119" i="1"/>
  <c r="F120" i="1"/>
  <c r="J120" i="1"/>
  <c r="J119" i="1"/>
  <c r="H119" i="1"/>
  <c r="H120" i="1"/>
  <c r="I119" i="1"/>
  <c r="I120" i="1"/>
  <c r="J180" i="3"/>
  <c r="M169" i="3"/>
  <c r="M170" i="3" s="1"/>
  <c r="M165" i="3"/>
  <c r="M166" i="3" s="1"/>
  <c r="M161" i="3"/>
  <c r="M162" i="3" s="1"/>
  <c r="M157" i="3"/>
  <c r="M158" i="3" s="1"/>
  <c r="J75" i="3"/>
  <c r="K140" i="3"/>
  <c r="J51" i="3"/>
  <c r="I76" i="3"/>
  <c r="K50" i="3"/>
  <c r="J216" i="3" s="1"/>
  <c r="M140" i="3"/>
  <c r="I27" i="3"/>
  <c r="I268" i="3"/>
  <c r="I63" i="3"/>
  <c r="J26" i="3"/>
  <c r="I207" i="3" s="1"/>
  <c r="N272" i="3"/>
  <c r="I272" i="3"/>
  <c r="M41" i="3"/>
  <c r="L213" i="3" s="1"/>
  <c r="L41" i="3"/>
  <c r="K213" i="3" s="1"/>
  <c r="K41" i="3"/>
  <c r="J213" i="3" s="1"/>
  <c r="J41" i="3"/>
  <c r="I213" i="3" s="1"/>
  <c r="K138" i="3"/>
  <c r="J138" i="3"/>
  <c r="J140" i="3"/>
  <c r="K137" i="3"/>
  <c r="M138" i="3"/>
  <c r="L140" i="3"/>
  <c r="L138" i="3"/>
  <c r="J137" i="3"/>
  <c r="N139" i="3"/>
  <c r="N141" i="3" s="1"/>
  <c r="N143" i="3" s="1"/>
  <c r="I139" i="3"/>
  <c r="I141" i="3" s="1"/>
  <c r="I143" i="3" s="1"/>
  <c r="M137" i="3"/>
  <c r="L137" i="3"/>
  <c r="G42" i="3"/>
  <c r="H42" i="3"/>
  <c r="K237" i="3"/>
  <c r="J237" i="3"/>
  <c r="M237" i="3"/>
  <c r="L237" i="3"/>
  <c r="I237" i="3"/>
  <c r="N237" i="3"/>
  <c r="J271" i="3"/>
  <c r="G89" i="3"/>
  <c r="G86" i="3"/>
  <c r="F89" i="3"/>
  <c r="F86" i="3"/>
  <c r="H89" i="3"/>
  <c r="H86" i="3"/>
  <c r="G83" i="3"/>
  <c r="H83" i="3"/>
  <c r="F21" i="3"/>
  <c r="F83" i="3"/>
  <c r="G58" i="3"/>
  <c r="H58" i="3"/>
  <c r="G21" i="3"/>
  <c r="H21" i="3"/>
  <c r="K116" i="1"/>
  <c r="P89" i="1"/>
  <c r="K71" i="1"/>
  <c r="I58" i="1"/>
  <c r="I47" i="1"/>
  <c r="H58" i="1"/>
  <c r="H47" i="1"/>
  <c r="J58" i="1"/>
  <c r="J62" i="1" s="1"/>
  <c r="J47" i="1"/>
  <c r="F58" i="1"/>
  <c r="F47" i="1"/>
  <c r="G59" i="1"/>
  <c r="G67" i="1"/>
  <c r="G62" i="1"/>
  <c r="E59" i="1"/>
  <c r="E62" i="1"/>
  <c r="E67" i="1"/>
  <c r="K180" i="3" l="1"/>
  <c r="J35" i="3"/>
  <c r="N172" i="3"/>
  <c r="U157" i="3" s="1"/>
  <c r="I172" i="3"/>
  <c r="F58" i="3"/>
  <c r="N115" i="1"/>
  <c r="O70" i="1"/>
  <c r="K172" i="3"/>
  <c r="K173" i="3" s="1"/>
  <c r="L172" i="3"/>
  <c r="L173" i="3" s="1"/>
  <c r="J172" i="3"/>
  <c r="J173" i="3" s="1"/>
  <c r="M172" i="3"/>
  <c r="J139" i="3"/>
  <c r="J141" i="3" s="1"/>
  <c r="J143" i="3" s="1"/>
  <c r="J76" i="3"/>
  <c r="K51" i="3"/>
  <c r="L50" i="3"/>
  <c r="K216" i="3" s="1"/>
  <c r="K75" i="3"/>
  <c r="K139" i="3"/>
  <c r="K141" i="3" s="1"/>
  <c r="K143" i="3" s="1"/>
  <c r="M139" i="3"/>
  <c r="M141" i="3" s="1"/>
  <c r="M143" i="3" s="1"/>
  <c r="J63" i="3"/>
  <c r="K26" i="3"/>
  <c r="J207" i="3" s="1"/>
  <c r="I64" i="3"/>
  <c r="J268" i="3"/>
  <c r="J272" i="3"/>
  <c r="J27" i="3"/>
  <c r="L272" i="3"/>
  <c r="M272" i="3"/>
  <c r="K272" i="3"/>
  <c r="L139" i="3"/>
  <c r="L141" i="3" s="1"/>
  <c r="L143" i="3" s="1"/>
  <c r="K238" i="3"/>
  <c r="N238" i="3"/>
  <c r="L238" i="3"/>
  <c r="J238" i="3"/>
  <c r="M238" i="3"/>
  <c r="I238" i="3"/>
  <c r="K271" i="3"/>
  <c r="L116" i="1"/>
  <c r="L71" i="1"/>
  <c r="G68" i="1"/>
  <c r="G92" i="1"/>
  <c r="G99" i="1" s="1"/>
  <c r="G123" i="1" s="1"/>
  <c r="G73" i="1"/>
  <c r="E68" i="1"/>
  <c r="E92" i="1"/>
  <c r="E99" i="1" s="1"/>
  <c r="E73" i="1"/>
  <c r="E112" i="1" s="1"/>
  <c r="F62" i="1"/>
  <c r="F67" i="1"/>
  <c r="F59" i="1"/>
  <c r="H67" i="1"/>
  <c r="H59" i="1"/>
  <c r="H62" i="1"/>
  <c r="I67" i="1"/>
  <c r="I59" i="1"/>
  <c r="I62" i="1"/>
  <c r="J59" i="1"/>
  <c r="J67" i="1"/>
  <c r="J36" i="3" l="1"/>
  <c r="I210" i="3"/>
  <c r="I173" i="3"/>
  <c r="K174" i="3"/>
  <c r="L174" i="3"/>
  <c r="J174" i="3"/>
  <c r="N173" i="3"/>
  <c r="U158" i="3" s="1"/>
  <c r="K35" i="3"/>
  <c r="L180" i="3"/>
  <c r="P70" i="1"/>
  <c r="O115" i="1"/>
  <c r="M173" i="3"/>
  <c r="K76" i="3"/>
  <c r="L51" i="3"/>
  <c r="K27" i="3"/>
  <c r="M50" i="3"/>
  <c r="L216" i="3" s="1"/>
  <c r="L75" i="3"/>
  <c r="K63" i="3"/>
  <c r="L26" i="3"/>
  <c r="K207" i="3" s="1"/>
  <c r="J64" i="3"/>
  <c r="K268" i="3"/>
  <c r="L271" i="3"/>
  <c r="M116" i="1"/>
  <c r="N116" i="1"/>
  <c r="M71" i="1"/>
  <c r="G100" i="1"/>
  <c r="G105" i="1"/>
  <c r="G106" i="1" s="1"/>
  <c r="G112" i="1"/>
  <c r="G118" i="1" s="1"/>
  <c r="E100" i="1"/>
  <c r="E105" i="1"/>
  <c r="E106" i="1" s="1"/>
  <c r="F68" i="1"/>
  <c r="F73" i="1"/>
  <c r="F92" i="1"/>
  <c r="F99" i="1" s="1"/>
  <c r="F123" i="1" s="1"/>
  <c r="H68" i="1"/>
  <c r="H92" i="1"/>
  <c r="H99" i="1" s="1"/>
  <c r="H123" i="1" s="1"/>
  <c r="H73" i="1"/>
  <c r="I68" i="1"/>
  <c r="I92" i="1"/>
  <c r="I99" i="1" s="1"/>
  <c r="I123" i="1" s="1"/>
  <c r="I73" i="1"/>
  <c r="J68" i="1"/>
  <c r="J92" i="1"/>
  <c r="J99" i="1" s="1"/>
  <c r="J123" i="1" s="1"/>
  <c r="J73" i="1"/>
  <c r="K36" i="3" l="1"/>
  <c r="J210" i="3"/>
  <c r="I174" i="3"/>
  <c r="N174" i="3"/>
  <c r="U159" i="3" s="1"/>
  <c r="AA155" i="3" s="1"/>
  <c r="K44" i="3"/>
  <c r="L44" i="3"/>
  <c r="J44" i="3"/>
  <c r="M174" i="3"/>
  <c r="P115" i="1"/>
  <c r="L12" i="4"/>
  <c r="L35" i="3"/>
  <c r="M180" i="3"/>
  <c r="K144" i="3"/>
  <c r="K175" i="3"/>
  <c r="K125" i="3" s="1"/>
  <c r="K47" i="3" s="1"/>
  <c r="J144" i="3"/>
  <c r="J175" i="3"/>
  <c r="L144" i="3"/>
  <c r="L175" i="3"/>
  <c r="G122" i="1"/>
  <c r="M51" i="3"/>
  <c r="N50" i="3"/>
  <c r="L268" i="3"/>
  <c r="K64" i="3"/>
  <c r="L76" i="3"/>
  <c r="M75" i="3"/>
  <c r="M26" i="3"/>
  <c r="L207" i="3" s="1"/>
  <c r="L63" i="3"/>
  <c r="L27" i="3"/>
  <c r="M271" i="3"/>
  <c r="O116" i="1"/>
  <c r="N71" i="1"/>
  <c r="F74" i="1"/>
  <c r="F112" i="1"/>
  <c r="F118" i="1" s="1"/>
  <c r="F100" i="1"/>
  <c r="F105" i="1"/>
  <c r="F106" i="1" s="1"/>
  <c r="H100" i="1"/>
  <c r="H105" i="1"/>
  <c r="H106" i="1" s="1"/>
  <c r="H74" i="1"/>
  <c r="H112" i="1"/>
  <c r="I100" i="1"/>
  <c r="I105" i="1"/>
  <c r="I106" i="1" s="1"/>
  <c r="I74" i="1"/>
  <c r="I112" i="1"/>
  <c r="I118" i="1" s="1"/>
  <c r="J100" i="1"/>
  <c r="J105" i="1"/>
  <c r="J74" i="1"/>
  <c r="J112" i="1"/>
  <c r="J118" i="1" s="1"/>
  <c r="G74" i="1"/>
  <c r="K38" i="3" l="1"/>
  <c r="J214" i="3"/>
  <c r="L38" i="3"/>
  <c r="K214" i="3"/>
  <c r="J38" i="3"/>
  <c r="I214" i="3"/>
  <c r="L36" i="3"/>
  <c r="K210" i="3"/>
  <c r="K72" i="3"/>
  <c r="J215" i="3"/>
  <c r="N75" i="3"/>
  <c r="M216" i="3"/>
  <c r="N216" i="3" s="1"/>
  <c r="I175" i="3"/>
  <c r="I44" i="3"/>
  <c r="I144" i="3"/>
  <c r="I179" i="3" s="1"/>
  <c r="N175" i="3"/>
  <c r="N144" i="3"/>
  <c r="N44" i="3"/>
  <c r="AA160" i="3" s="1"/>
  <c r="AA157" i="3" s="1"/>
  <c r="M44" i="3"/>
  <c r="P116" i="1"/>
  <c r="J122" i="1"/>
  <c r="J106" i="1"/>
  <c r="M35" i="3"/>
  <c r="N180" i="3"/>
  <c r="N35" i="3" s="1"/>
  <c r="M210" i="3" s="1"/>
  <c r="N210" i="3" s="1"/>
  <c r="N51" i="3"/>
  <c r="K146" i="3"/>
  <c r="K145" i="3"/>
  <c r="K148" i="3" s="1"/>
  <c r="K179" i="3"/>
  <c r="J145" i="3"/>
  <c r="J148" i="3" s="1"/>
  <c r="L145" i="3"/>
  <c r="L148" i="3" s="1"/>
  <c r="J146" i="3"/>
  <c r="J179" i="3"/>
  <c r="L146" i="3"/>
  <c r="L179" i="3"/>
  <c r="M144" i="3"/>
  <c r="M175" i="3"/>
  <c r="F122" i="1"/>
  <c r="H122" i="1"/>
  <c r="H113" i="1"/>
  <c r="H118" i="1"/>
  <c r="I122" i="1"/>
  <c r="M63" i="3"/>
  <c r="N26" i="3"/>
  <c r="M76" i="3"/>
  <c r="M27" i="3"/>
  <c r="M268" i="3"/>
  <c r="L64" i="3"/>
  <c r="N271" i="3"/>
  <c r="I113" i="1"/>
  <c r="O71" i="1"/>
  <c r="P71" i="1"/>
  <c r="G113" i="1"/>
  <c r="F113" i="1"/>
  <c r="J113" i="1"/>
  <c r="N125" i="3" l="1"/>
  <c r="U160" i="3"/>
  <c r="N76" i="3"/>
  <c r="J212" i="3"/>
  <c r="K69" i="3"/>
  <c r="K212" i="3"/>
  <c r="L69" i="3"/>
  <c r="I212" i="3"/>
  <c r="J69" i="3"/>
  <c r="I38" i="3"/>
  <c r="H214" i="3"/>
  <c r="N38" i="3"/>
  <c r="M214" i="3"/>
  <c r="M38" i="3"/>
  <c r="L214" i="3"/>
  <c r="M36" i="3"/>
  <c r="L210" i="3"/>
  <c r="N63" i="3"/>
  <c r="M207" i="3"/>
  <c r="N207" i="3" s="1"/>
  <c r="I146" i="3"/>
  <c r="I145" i="3"/>
  <c r="I148" i="3" s="1"/>
  <c r="N179" i="3"/>
  <c r="N146" i="3"/>
  <c r="N145" i="3"/>
  <c r="N148" i="3" s="1"/>
  <c r="J29" i="3"/>
  <c r="I208" i="3" s="1"/>
  <c r="J149" i="3"/>
  <c r="J150" i="3" s="1"/>
  <c r="L29" i="3"/>
  <c r="K208" i="3" s="1"/>
  <c r="L149" i="3"/>
  <c r="L150" i="3" s="1"/>
  <c r="K29" i="3"/>
  <c r="J208" i="3" s="1"/>
  <c r="K149" i="3"/>
  <c r="K150" i="3" s="1"/>
  <c r="N36" i="3"/>
  <c r="M146" i="3"/>
  <c r="M145" i="3"/>
  <c r="M148" i="3" s="1"/>
  <c r="M179" i="3"/>
  <c r="N27" i="3"/>
  <c r="N268" i="3"/>
  <c r="M64" i="3"/>
  <c r="P16" i="1"/>
  <c r="I20" i="1"/>
  <c r="H20" i="1"/>
  <c r="G20" i="1"/>
  <c r="G23" i="1" s="1"/>
  <c r="F20" i="1"/>
  <c r="E20" i="1"/>
  <c r="P17" i="1"/>
  <c r="F15" i="1"/>
  <c r="N214" i="3" l="1"/>
  <c r="L125" i="3"/>
  <c r="L47" i="3" s="1"/>
  <c r="M125" i="3"/>
  <c r="M47" i="3" s="1"/>
  <c r="L215" i="3" s="1"/>
  <c r="N47" i="3"/>
  <c r="U102" i="3"/>
  <c r="W102" i="3" s="1"/>
  <c r="W103" i="3" s="1"/>
  <c r="N64" i="3"/>
  <c r="H212" i="3"/>
  <c r="I69" i="3"/>
  <c r="M212" i="3"/>
  <c r="N69" i="3"/>
  <c r="L212" i="3"/>
  <c r="M69" i="3"/>
  <c r="I149" i="3"/>
  <c r="I150" i="3" s="1"/>
  <c r="I29" i="3"/>
  <c r="N29" i="3"/>
  <c r="N149" i="3"/>
  <c r="N150" i="3" s="1"/>
  <c r="J176" i="3"/>
  <c r="J32" i="3"/>
  <c r="I209" i="3" s="1"/>
  <c r="J269" i="3"/>
  <c r="J23" i="3"/>
  <c r="I206" i="3" s="1"/>
  <c r="J66" i="3"/>
  <c r="L176" i="3"/>
  <c r="L32" i="3"/>
  <c r="K209" i="3" s="1"/>
  <c r="K176" i="3"/>
  <c r="K32" i="3"/>
  <c r="J209" i="3" s="1"/>
  <c r="L269" i="3"/>
  <c r="K30" i="3"/>
  <c r="L23" i="3"/>
  <c r="K206" i="3" s="1"/>
  <c r="L30" i="3"/>
  <c r="L66" i="3"/>
  <c r="L60" i="3" s="1"/>
  <c r="M29" i="3"/>
  <c r="M149" i="3"/>
  <c r="M150" i="3" s="1"/>
  <c r="K23" i="3"/>
  <c r="J206" i="3" s="1"/>
  <c r="K269" i="3"/>
  <c r="K66" i="3"/>
  <c r="K67" i="3" s="1"/>
  <c r="G15" i="1"/>
  <c r="H23" i="1"/>
  <c r="P18" i="1"/>
  <c r="I23" i="1"/>
  <c r="E23" i="1"/>
  <c r="F23" i="1"/>
  <c r="L72" i="3" l="1"/>
  <c r="L73" i="3" s="1"/>
  <c r="K215" i="3"/>
  <c r="N48" i="3"/>
  <c r="M72" i="3"/>
  <c r="M48" i="3"/>
  <c r="L48" i="3"/>
  <c r="M215" i="3"/>
  <c r="N215" i="3" s="1"/>
  <c r="N72" i="3"/>
  <c r="U99" i="3"/>
  <c r="N212" i="3"/>
  <c r="I176" i="3"/>
  <c r="H208" i="3"/>
  <c r="N176" i="3"/>
  <c r="M208" i="3"/>
  <c r="M176" i="3"/>
  <c r="L208" i="3"/>
  <c r="I269" i="3"/>
  <c r="I23" i="3"/>
  <c r="H206" i="3" s="1"/>
  <c r="I66" i="3"/>
  <c r="I30" i="3"/>
  <c r="I32" i="3"/>
  <c r="H209" i="3" s="1"/>
  <c r="J30" i="3"/>
  <c r="N32" i="3"/>
  <c r="M209" i="3" s="1"/>
  <c r="N23" i="3"/>
  <c r="M206" i="3" s="1"/>
  <c r="N66" i="3"/>
  <c r="N269" i="3"/>
  <c r="L33" i="3"/>
  <c r="M32" i="3"/>
  <c r="L209" i="3" s="1"/>
  <c r="M269" i="3"/>
  <c r="M23" i="3"/>
  <c r="L206" i="3" s="1"/>
  <c r="N30" i="3"/>
  <c r="M30" i="3"/>
  <c r="M66" i="3"/>
  <c r="K33" i="3"/>
  <c r="J67" i="3"/>
  <c r="J60" i="3"/>
  <c r="L67" i="3"/>
  <c r="L24" i="3"/>
  <c r="K24" i="3"/>
  <c r="K60" i="3"/>
  <c r="K61" i="3" s="1"/>
  <c r="L61" i="3"/>
  <c r="H15" i="1"/>
  <c r="P23" i="1"/>
  <c r="P21" i="1"/>
  <c r="M73" i="3" l="1"/>
  <c r="N73" i="3"/>
  <c r="N209" i="3"/>
  <c r="N208" i="3"/>
  <c r="N206" i="3"/>
  <c r="I67" i="3"/>
  <c r="J24" i="3"/>
  <c r="I24" i="3"/>
  <c r="I60" i="3"/>
  <c r="J33" i="3"/>
  <c r="N60" i="3"/>
  <c r="N67" i="3"/>
  <c r="J61" i="3"/>
  <c r="M24" i="3"/>
  <c r="N33" i="3"/>
  <c r="M33" i="3"/>
  <c r="M60" i="3"/>
  <c r="M67" i="3"/>
  <c r="N24" i="3"/>
  <c r="I15" i="1"/>
  <c r="I61" i="3" l="1"/>
  <c r="N61" i="3"/>
  <c r="M61" i="3"/>
  <c r="P19" i="1"/>
  <c r="I42" i="3" l="1"/>
  <c r="J42" i="3" l="1"/>
  <c r="K42" i="3" l="1"/>
  <c r="L42" i="3" l="1"/>
  <c r="M42" i="3" l="1"/>
  <c r="N42" i="3" l="1"/>
  <c r="I177" i="3" l="1"/>
  <c r="I45" i="3"/>
  <c r="I20" i="3" l="1"/>
  <c r="H204" i="3" s="1"/>
  <c r="I270" i="3"/>
  <c r="I273" i="3" s="1"/>
  <c r="I39" i="3"/>
  <c r="K28" i="1" l="1"/>
  <c r="U28" i="1" s="1"/>
  <c r="I95" i="3"/>
  <c r="I92" i="3"/>
  <c r="I80" i="3"/>
  <c r="I70" i="3"/>
  <c r="I21" i="3"/>
  <c r="I85" i="3"/>
  <c r="K29" i="1" l="1"/>
  <c r="U29" i="1" s="1"/>
  <c r="K121" i="1"/>
  <c r="K53" i="1"/>
  <c r="I178" i="3"/>
  <c r="K55" i="1"/>
  <c r="K56" i="1" s="1"/>
  <c r="K96" i="1"/>
  <c r="K97" i="1" s="1"/>
  <c r="I275" i="3"/>
  <c r="K65" i="1"/>
  <c r="K31" i="1"/>
  <c r="K32" i="1" s="1"/>
  <c r="K85" i="1"/>
  <c r="K86" i="1" s="1"/>
  <c r="K90" i="1"/>
  <c r="K43" i="1"/>
  <c r="K40" i="1"/>
  <c r="K81" i="1"/>
  <c r="K78" i="1" s="1"/>
  <c r="I86" i="3"/>
  <c r="I88" i="3" l="1"/>
  <c r="K82" i="1"/>
  <c r="K102" i="1"/>
  <c r="K44" i="1"/>
  <c r="K34" i="1"/>
  <c r="U30" i="1" s="1"/>
  <c r="I276" i="3"/>
  <c r="K79" i="1"/>
  <c r="J177" i="3"/>
  <c r="J45" i="3"/>
  <c r="I82" i="3" l="1"/>
  <c r="K103" i="1"/>
  <c r="I89" i="3"/>
  <c r="K35" i="1"/>
  <c r="U31" i="1" s="1"/>
  <c r="J39" i="3"/>
  <c r="J270" i="3"/>
  <c r="J273" i="3" s="1"/>
  <c r="J20" i="3"/>
  <c r="I204" i="3" s="1"/>
  <c r="I57" i="3" l="1"/>
  <c r="K46" i="1" s="1"/>
  <c r="I83" i="3"/>
  <c r="L28" i="1"/>
  <c r="V28" i="1" s="1"/>
  <c r="J95" i="3"/>
  <c r="J92" i="3"/>
  <c r="J89" i="3"/>
  <c r="J80" i="3"/>
  <c r="J70" i="3"/>
  <c r="J21" i="3"/>
  <c r="J85" i="3"/>
  <c r="K37" i="1" l="1"/>
  <c r="K38" i="1" s="1"/>
  <c r="U34" i="1"/>
  <c r="K49" i="1"/>
  <c r="P22" i="1"/>
  <c r="K47" i="1"/>
  <c r="U35" i="1" s="1"/>
  <c r="K58" i="1"/>
  <c r="I58" i="3"/>
  <c r="K120" i="1"/>
  <c r="I277" i="3"/>
  <c r="K119" i="1"/>
  <c r="L55" i="1"/>
  <c r="L56" i="1" s="1"/>
  <c r="L53" i="1"/>
  <c r="L65" i="1"/>
  <c r="L85" i="1"/>
  <c r="L86" i="1" s="1"/>
  <c r="L44" i="1"/>
  <c r="J178" i="3"/>
  <c r="L90" i="1"/>
  <c r="L96" i="1"/>
  <c r="L97" i="1" s="1"/>
  <c r="L29" i="1"/>
  <c r="V29" i="1" s="1"/>
  <c r="L121" i="1"/>
  <c r="J275" i="3"/>
  <c r="J276" i="3" s="1"/>
  <c r="L40" i="1"/>
  <c r="L31" i="1"/>
  <c r="L32" i="1" s="1"/>
  <c r="L81" i="1"/>
  <c r="J82" i="3"/>
  <c r="J86" i="3"/>
  <c r="L78" i="1" l="1"/>
  <c r="L79" i="1" s="1"/>
  <c r="V43" i="1"/>
  <c r="K50" i="1"/>
  <c r="U33" i="1" s="1"/>
  <c r="U32" i="1"/>
  <c r="K59" i="1"/>
  <c r="K61" i="1"/>
  <c r="K62" i="1" s="1"/>
  <c r="I278" i="3"/>
  <c r="L102" i="1"/>
  <c r="L103" i="1" s="1"/>
  <c r="V44" i="1" s="1"/>
  <c r="L82" i="1"/>
  <c r="L34" i="1"/>
  <c r="V30" i="1" s="1"/>
  <c r="J57" i="3"/>
  <c r="L46" i="1" s="1"/>
  <c r="V34" i="1" s="1"/>
  <c r="J83" i="3"/>
  <c r="K67" i="1" l="1"/>
  <c r="U36" i="1" s="1"/>
  <c r="L35" i="1"/>
  <c r="V31" i="1" s="1"/>
  <c r="L49" i="1"/>
  <c r="L119" i="1"/>
  <c r="L120" i="1"/>
  <c r="L47" i="1"/>
  <c r="V35" i="1" s="1"/>
  <c r="L58" i="1"/>
  <c r="J277" i="3"/>
  <c r="J58" i="3"/>
  <c r="K177" i="3"/>
  <c r="K45" i="3"/>
  <c r="L50" i="1" l="1"/>
  <c r="V33" i="1" s="1"/>
  <c r="V32" i="1"/>
  <c r="K73" i="1"/>
  <c r="U39" i="1" s="1"/>
  <c r="K68" i="1"/>
  <c r="U37" i="1" s="1"/>
  <c r="P20" i="1"/>
  <c r="K92" i="1"/>
  <c r="K99" i="1" s="1"/>
  <c r="J278" i="3"/>
  <c r="L59" i="1"/>
  <c r="L61" i="1"/>
  <c r="L62" i="1" s="1"/>
  <c r="K39" i="3"/>
  <c r="K270" i="3"/>
  <c r="K273" i="3" s="1"/>
  <c r="K20" i="3"/>
  <c r="J204" i="3" s="1"/>
  <c r="K112" i="1" l="1"/>
  <c r="K74" i="1"/>
  <c r="K100" i="1"/>
  <c r="K105" i="1"/>
  <c r="K123" i="1"/>
  <c r="M28" i="1"/>
  <c r="W28" i="1" s="1"/>
  <c r="K92" i="3"/>
  <c r="K95" i="3"/>
  <c r="K89" i="3"/>
  <c r="L67" i="1"/>
  <c r="V36" i="1" s="1"/>
  <c r="K85" i="3"/>
  <c r="K21" i="3"/>
  <c r="K70" i="3"/>
  <c r="K80" i="3"/>
  <c r="K106" i="1" l="1"/>
  <c r="U41" i="1"/>
  <c r="K113" i="1"/>
  <c r="K118" i="1"/>
  <c r="K108" i="1"/>
  <c r="K122" i="1"/>
  <c r="K178" i="3"/>
  <c r="M29" i="1"/>
  <c r="W29" i="1" s="1"/>
  <c r="M55" i="1"/>
  <c r="M56" i="1" s="1"/>
  <c r="M121" i="1"/>
  <c r="M53" i="1"/>
  <c r="M44" i="1"/>
  <c r="M65" i="1"/>
  <c r="M90" i="1"/>
  <c r="M85" i="1"/>
  <c r="M86" i="1" s="1"/>
  <c r="M96" i="1"/>
  <c r="M97" i="1" s="1"/>
  <c r="K275" i="3"/>
  <c r="K276" i="3" s="1"/>
  <c r="M40" i="1"/>
  <c r="M31" i="1"/>
  <c r="M32" i="1" s="1"/>
  <c r="M81" i="1"/>
  <c r="W43" i="1" s="1"/>
  <c r="L68" i="1"/>
  <c r="V37" i="1" s="1"/>
  <c r="L92" i="1"/>
  <c r="L99" i="1" s="1"/>
  <c r="L73" i="1"/>
  <c r="V39" i="1" s="1"/>
  <c r="K82" i="3"/>
  <c r="K86" i="3"/>
  <c r="M82" i="1" l="1"/>
  <c r="M102" i="1"/>
  <c r="M78" i="1"/>
  <c r="M79" i="1" s="1"/>
  <c r="M34" i="1"/>
  <c r="W30" i="1" s="1"/>
  <c r="L100" i="1"/>
  <c r="L105" i="1"/>
  <c r="L123" i="1"/>
  <c r="L74" i="1"/>
  <c r="V40" i="1" s="1"/>
  <c r="L112" i="1"/>
  <c r="K57" i="3"/>
  <c r="M46" i="1" s="1"/>
  <c r="W34" i="1" s="1"/>
  <c r="K83" i="3"/>
  <c r="L106" i="1" l="1"/>
  <c r="V42" i="1" s="1"/>
  <c r="V41" i="1"/>
  <c r="M103" i="1"/>
  <c r="W44" i="1" s="1"/>
  <c r="M35" i="1"/>
  <c r="W31" i="1" s="1"/>
  <c r="M49" i="1"/>
  <c r="L108" i="1"/>
  <c r="L122" i="1"/>
  <c r="L113" i="1"/>
  <c r="L118" i="1"/>
  <c r="M119" i="1"/>
  <c r="M58" i="1"/>
  <c r="M47" i="1"/>
  <c r="W35" i="1" s="1"/>
  <c r="M120" i="1"/>
  <c r="K277" i="3"/>
  <c r="K58" i="3"/>
  <c r="L177" i="3"/>
  <c r="L45" i="3"/>
  <c r="M50" i="1" l="1"/>
  <c r="W33" i="1" s="1"/>
  <c r="W32" i="1"/>
  <c r="K278" i="3"/>
  <c r="M61" i="1"/>
  <c r="M62" i="1" s="1"/>
  <c r="M59" i="1"/>
  <c r="L70" i="3"/>
  <c r="L39" i="3"/>
  <c r="L20" i="3"/>
  <c r="K204" i="3" s="1"/>
  <c r="L270" i="3"/>
  <c r="L273" i="3" s="1"/>
  <c r="N28" i="1" l="1"/>
  <c r="X28" i="1" s="1"/>
  <c r="L89" i="3"/>
  <c r="L92" i="3"/>
  <c r="L95" i="3"/>
  <c r="M67" i="1"/>
  <c r="W36" i="1" s="1"/>
  <c r="L80" i="3"/>
  <c r="L21" i="3"/>
  <c r="L85" i="3"/>
  <c r="N55" i="1" l="1"/>
  <c r="N56" i="1" s="1"/>
  <c r="N53" i="1"/>
  <c r="N29" i="1"/>
  <c r="X29" i="1" s="1"/>
  <c r="L275" i="3"/>
  <c r="L276" i="3" s="1"/>
  <c r="N44" i="1"/>
  <c r="N121" i="1"/>
  <c r="N85" i="1"/>
  <c r="N86" i="1" s="1"/>
  <c r="N90" i="1"/>
  <c r="N96" i="1"/>
  <c r="N97" i="1" s="1"/>
  <c r="L178" i="3"/>
  <c r="N65" i="1"/>
  <c r="N40" i="1"/>
  <c r="N31" i="1"/>
  <c r="N32" i="1" s="1"/>
  <c r="N81" i="1"/>
  <c r="X43" i="1" s="1"/>
  <c r="M73" i="1"/>
  <c r="W39" i="1" s="1"/>
  <c r="M68" i="1"/>
  <c r="W37" i="1" s="1"/>
  <c r="M92" i="1"/>
  <c r="M99" i="1" s="1"/>
  <c r="L86" i="3"/>
  <c r="L82" i="3"/>
  <c r="N102" i="1" l="1"/>
  <c r="N103" i="1" s="1"/>
  <c r="X44" i="1" s="1"/>
  <c r="N82" i="1"/>
  <c r="N78" i="1"/>
  <c r="N79" i="1" s="1"/>
  <c r="N34" i="1"/>
  <c r="X30" i="1" s="1"/>
  <c r="M74" i="1"/>
  <c r="W40" i="1" s="1"/>
  <c r="M112" i="1"/>
  <c r="M100" i="1"/>
  <c r="M105" i="1"/>
  <c r="M123" i="1"/>
  <c r="L57" i="3"/>
  <c r="L83" i="3"/>
  <c r="M106" i="1" l="1"/>
  <c r="W42" i="1" s="1"/>
  <c r="W41" i="1"/>
  <c r="N46" i="1"/>
  <c r="X34" i="1" s="1"/>
  <c r="N35" i="1"/>
  <c r="X31" i="1" s="1"/>
  <c r="M113" i="1"/>
  <c r="M118" i="1"/>
  <c r="M108" i="1"/>
  <c r="M122" i="1"/>
  <c r="L58" i="3"/>
  <c r="M177" i="3"/>
  <c r="M45" i="3"/>
  <c r="N49" i="1" l="1"/>
  <c r="N119" i="1"/>
  <c r="L277" i="3"/>
  <c r="N120" i="1"/>
  <c r="N47" i="1"/>
  <c r="X35" i="1" s="1"/>
  <c r="N58" i="1"/>
  <c r="M39" i="3"/>
  <c r="M20" i="3"/>
  <c r="L204" i="3" s="1"/>
  <c r="M270" i="3"/>
  <c r="M273" i="3" s="1"/>
  <c r="N50" i="1" l="1"/>
  <c r="X33" i="1" s="1"/>
  <c r="X32" i="1"/>
  <c r="N59" i="1"/>
  <c r="N61" i="1"/>
  <c r="N62" i="1" s="1"/>
  <c r="L278" i="3"/>
  <c r="O28" i="1"/>
  <c r="Y28" i="1" s="1"/>
  <c r="M92" i="3"/>
  <c r="M95" i="3"/>
  <c r="M89" i="3"/>
  <c r="M70" i="3"/>
  <c r="M80" i="3"/>
  <c r="M21" i="3"/>
  <c r="M85" i="3"/>
  <c r="N67" i="1" l="1"/>
  <c r="X36" i="1" s="1"/>
  <c r="M275" i="3"/>
  <c r="M178" i="3"/>
  <c r="O85" i="1"/>
  <c r="O86" i="1" s="1"/>
  <c r="O121" i="1"/>
  <c r="O29" i="1"/>
  <c r="Y29" i="1" s="1"/>
  <c r="O44" i="1"/>
  <c r="O55" i="1"/>
  <c r="O56" i="1" s="1"/>
  <c r="O96" i="1"/>
  <c r="O97" i="1" s="1"/>
  <c r="O53" i="1"/>
  <c r="O65" i="1"/>
  <c r="O90" i="1"/>
  <c r="O40" i="1"/>
  <c r="O31" i="1"/>
  <c r="O32" i="1" s="1"/>
  <c r="O81" i="1"/>
  <c r="Y43" i="1" s="1"/>
  <c r="M82" i="3"/>
  <c r="M86" i="3"/>
  <c r="N92" i="1" l="1"/>
  <c r="N99" i="1" s="1"/>
  <c r="N68" i="1"/>
  <c r="X37" i="1" s="1"/>
  <c r="N73" i="1"/>
  <c r="X39" i="1" s="1"/>
  <c r="M276" i="3"/>
  <c r="O82" i="1"/>
  <c r="O102" i="1"/>
  <c r="O103" i="1" s="1"/>
  <c r="Y44" i="1" s="1"/>
  <c r="O78" i="1"/>
  <c r="O79" i="1" s="1"/>
  <c r="O34" i="1"/>
  <c r="Y30" i="1" s="1"/>
  <c r="M57" i="3"/>
  <c r="M83" i="3"/>
  <c r="N100" i="1" l="1"/>
  <c r="N123" i="1"/>
  <c r="N112" i="1"/>
  <c r="N105" i="1"/>
  <c r="N74" i="1"/>
  <c r="X40" i="1" s="1"/>
  <c r="O46" i="1"/>
  <c r="Y34" i="1" s="1"/>
  <c r="O35" i="1"/>
  <c r="Y31" i="1" s="1"/>
  <c r="M58" i="3"/>
  <c r="N177" i="3"/>
  <c r="N45" i="3"/>
  <c r="N106" i="1" l="1"/>
  <c r="X42" i="1" s="1"/>
  <c r="X41" i="1"/>
  <c r="N108" i="1"/>
  <c r="N122" i="1"/>
  <c r="N118" i="1"/>
  <c r="N113" i="1"/>
  <c r="O49" i="1"/>
  <c r="O119" i="1"/>
  <c r="O120" i="1"/>
  <c r="O47" i="1"/>
  <c r="Y35" i="1" s="1"/>
  <c r="O58" i="1"/>
  <c r="M277" i="3"/>
  <c r="N20" i="3"/>
  <c r="M204" i="3" s="1"/>
  <c r="N204" i="3" s="1"/>
  <c r="N39" i="3"/>
  <c r="N270" i="3"/>
  <c r="N273" i="3" s="1"/>
  <c r="O50" i="1" l="1"/>
  <c r="Y33" i="1" s="1"/>
  <c r="Y32" i="1"/>
  <c r="O61" i="1"/>
  <c r="O62" i="1" s="1"/>
  <c r="M278" i="3"/>
  <c r="O59" i="1"/>
  <c r="N89" i="3"/>
  <c r="N95" i="3"/>
  <c r="P28" i="1"/>
  <c r="Z28" i="1" s="1"/>
  <c r="N92" i="3"/>
  <c r="N85" i="3"/>
  <c r="N21" i="3"/>
  <c r="N70" i="3"/>
  <c r="N80" i="3"/>
  <c r="O67" i="1" l="1"/>
  <c r="Y36" i="1" s="1"/>
  <c r="P121" i="1"/>
  <c r="N178" i="3"/>
  <c r="P81" i="1"/>
  <c r="Z43" i="1" s="1"/>
  <c r="P40" i="1"/>
  <c r="P31" i="1"/>
  <c r="P32" i="1" s="1"/>
  <c r="P56" i="1"/>
  <c r="P53" i="1"/>
  <c r="N275" i="3"/>
  <c r="N276" i="3" s="1"/>
  <c r="P65" i="1"/>
  <c r="P44" i="1"/>
  <c r="P29" i="1"/>
  <c r="Z29" i="1" s="1"/>
  <c r="P85" i="1"/>
  <c r="P86" i="1" s="1"/>
  <c r="P96" i="1"/>
  <c r="Y6" i="1" s="1"/>
  <c r="P90" i="1"/>
  <c r="N86" i="3"/>
  <c r="N82" i="3"/>
  <c r="O68" i="1" l="1"/>
  <c r="Y37" i="1" s="1"/>
  <c r="O92" i="1"/>
  <c r="O99" i="1" s="1"/>
  <c r="O73" i="1"/>
  <c r="Y39" i="1" s="1"/>
  <c r="Y10" i="1"/>
  <c r="Z6" i="1"/>
  <c r="P102" i="1"/>
  <c r="P103" i="1" s="1"/>
  <c r="Z44" i="1" s="1"/>
  <c r="P82" i="1"/>
  <c r="P78" i="1"/>
  <c r="P79" i="1" s="1"/>
  <c r="P97" i="1"/>
  <c r="P34" i="1"/>
  <c r="Z30" i="1" s="1"/>
  <c r="N57" i="3"/>
  <c r="N83" i="3"/>
  <c r="AA6" i="1" l="1"/>
  <c r="O105" i="1"/>
  <c r="O100" i="1"/>
  <c r="O123" i="1"/>
  <c r="O74" i="1"/>
  <c r="Y40" i="1" s="1"/>
  <c r="O112" i="1"/>
  <c r="P46" i="1"/>
  <c r="Z34" i="1" s="1"/>
  <c r="P35" i="1"/>
  <c r="Z31" i="1" s="1"/>
  <c r="Z10" i="1"/>
  <c r="Y13" i="1"/>
  <c r="N58" i="3"/>
  <c r="O106" i="1" l="1"/>
  <c r="Y42" i="1" s="1"/>
  <c r="Y41" i="1"/>
  <c r="AA10" i="1"/>
  <c r="AB6" i="1"/>
  <c r="AB7" i="1" s="1"/>
  <c r="O108" i="1"/>
  <c r="O122" i="1"/>
  <c r="O113" i="1"/>
  <c r="O118" i="1"/>
  <c r="P58" i="1"/>
  <c r="P49" i="1"/>
  <c r="Z32" i="1" s="1"/>
  <c r="P120" i="1"/>
  <c r="N277" i="3"/>
  <c r="P119" i="1"/>
  <c r="P47" i="1"/>
  <c r="Z35" i="1" s="1"/>
  <c r="Z13" i="1"/>
  <c r="AB10" i="1" l="1"/>
  <c r="P50" i="1"/>
  <c r="Z33" i="1" s="1"/>
  <c r="P8" i="1"/>
  <c r="P61" i="1"/>
  <c r="P62" i="1" s="1"/>
  <c r="P59" i="1"/>
  <c r="N278" i="3"/>
  <c r="AC6" i="1"/>
  <c r="AA13" i="1"/>
  <c r="AC10" i="1" l="1"/>
  <c r="T18" i="1" s="1"/>
  <c r="AC7" i="1"/>
  <c r="P9" i="1"/>
  <c r="P67" i="1"/>
  <c r="AB13" i="1"/>
  <c r="P92" i="1" l="1"/>
  <c r="P99" i="1" s="1"/>
  <c r="Z36" i="1"/>
  <c r="P68" i="1"/>
  <c r="Z37" i="1" s="1"/>
  <c r="P73" i="1"/>
  <c r="AC13" i="1"/>
  <c r="H12" i="4" l="1"/>
  <c r="L15" i="4" s="1"/>
  <c r="L13" i="4" s="1"/>
  <c r="Z39" i="1"/>
  <c r="P74" i="1"/>
  <c r="Z40" i="1" s="1"/>
  <c r="P112" i="1"/>
  <c r="P105" i="1"/>
  <c r="P100" i="1"/>
  <c r="P123" i="1"/>
  <c r="P106" i="1" l="1"/>
  <c r="Z41" i="1"/>
  <c r="O23" i="4"/>
  <c r="Q26" i="4"/>
  <c r="N25" i="4"/>
  <c r="J24" i="4"/>
  <c r="M23" i="4"/>
  <c r="J23" i="4"/>
  <c r="H23" i="4"/>
  <c r="O22" i="4"/>
  <c r="M22" i="4"/>
  <c r="K22" i="4"/>
  <c r="H24" i="4"/>
  <c r="H22" i="4"/>
  <c r="I21" i="4"/>
  <c r="L20" i="4"/>
  <c r="Q20" i="4"/>
  <c r="Q23" i="4"/>
  <c r="K23" i="4"/>
  <c r="K26" i="4"/>
  <c r="O25" i="4"/>
  <c r="J25" i="4"/>
  <c r="N24" i="4"/>
  <c r="L21" i="4"/>
  <c r="O20" i="4"/>
  <c r="J20" i="4"/>
  <c r="H20" i="4"/>
  <c r="Q25" i="4"/>
  <c r="Q24" i="4"/>
  <c r="Q21" i="4"/>
  <c r="P25" i="4"/>
  <c r="P24" i="4"/>
  <c r="P22" i="4"/>
  <c r="H26" i="4"/>
  <c r="N26" i="4"/>
  <c r="I26" i="4"/>
  <c r="L25" i="4"/>
  <c r="H25" i="4"/>
  <c r="N21" i="4"/>
  <c r="P23" i="4"/>
  <c r="K24" i="4"/>
  <c r="I25" i="4"/>
  <c r="M24" i="4"/>
  <c r="I24" i="4"/>
  <c r="N22" i="4"/>
  <c r="L22" i="4"/>
  <c r="J22" i="4"/>
  <c r="M21" i="4"/>
  <c r="H21" i="4"/>
  <c r="I20" i="4"/>
  <c r="M26" i="4"/>
  <c r="P118" i="1"/>
  <c r="I22" i="4"/>
  <c r="J21" i="4"/>
  <c r="N20" i="4"/>
  <c r="H14" i="4"/>
  <c r="H16" i="4" s="1"/>
  <c r="Q22" i="4"/>
  <c r="P20" i="4"/>
  <c r="O26" i="4"/>
  <c r="L26" i="4"/>
  <c r="J26" i="4"/>
  <c r="M25" i="4"/>
  <c r="K25" i="4"/>
  <c r="O24" i="4"/>
  <c r="L24" i="4"/>
  <c r="N23" i="4"/>
  <c r="L23" i="4"/>
  <c r="I23" i="4"/>
  <c r="P26" i="4"/>
  <c r="P21" i="4"/>
  <c r="O21" i="4"/>
  <c r="K21" i="4"/>
  <c r="M20" i="4"/>
  <c r="K20" i="4"/>
  <c r="P113" i="1"/>
  <c r="P108" i="1"/>
  <c r="P122" i="1"/>
  <c r="Z42" i="1" l="1"/>
  <c r="Y11" i="1"/>
  <c r="Z11" i="1" s="1"/>
  <c r="AA11" i="1" s="1"/>
  <c r="AB11" i="1" s="1"/>
  <c r="AC11" i="1" s="1"/>
  <c r="T17" i="1"/>
  <c r="T21" i="1" s="1"/>
  <c r="T23" i="1" s="1"/>
  <c r="P7" i="1"/>
  <c r="P13" i="1" s="1"/>
  <c r="E8" i="1" l="1"/>
  <c r="E10" i="1" s="1"/>
  <c r="U13" i="1"/>
  <c r="J17" i="1" s="1"/>
  <c r="K17" i="1" l="1"/>
  <c r="J20" i="1"/>
  <c r="J23" i="1" s="1"/>
  <c r="K20" i="1" l="1"/>
  <c r="K23" i="1" s="1"/>
  <c r="E11" i="1"/>
  <c r="L37" i="1"/>
  <c r="L38" i="1" s="1"/>
  <c r="M37" i="1" l="1"/>
  <c r="M38" i="1" s="1"/>
  <c r="N37" i="1" l="1"/>
  <c r="N38" i="1" s="1"/>
  <c r="O37" i="1" l="1"/>
  <c r="O38" i="1" s="1"/>
  <c r="P37" i="1" l="1"/>
  <c r="P3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<sst xmlns="http://schemas.openxmlformats.org/spreadsheetml/2006/main" count="533" uniqueCount="288">
  <si>
    <t>Ticker</t>
  </si>
  <si>
    <t>Implied Share Price</t>
  </si>
  <si>
    <t>Current Share Price</t>
  </si>
  <si>
    <t>Implied Upside / (Downside)</t>
  </si>
  <si>
    <t>2026E</t>
  </si>
  <si>
    <t>2027E</t>
  </si>
  <si>
    <t>2028E</t>
  </si>
  <si>
    <t>2029E</t>
  </si>
  <si>
    <t>2030E</t>
  </si>
  <si>
    <t>Revenue</t>
  </si>
  <si>
    <t>% of sales</t>
  </si>
  <si>
    <t>Cash Flow Items</t>
  </si>
  <si>
    <t>DCF</t>
  </si>
  <si>
    <t>Key Statistics</t>
  </si>
  <si>
    <t>Stock Price</t>
  </si>
  <si>
    <t>Market Cap</t>
  </si>
  <si>
    <t>Cash</t>
  </si>
  <si>
    <t>Debt</t>
  </si>
  <si>
    <t>Enterprise Value</t>
  </si>
  <si>
    <t>Net Debt</t>
  </si>
  <si>
    <t>WACC</t>
  </si>
  <si>
    <t>Total</t>
  </si>
  <si>
    <t>Notes</t>
  </si>
  <si>
    <t>Valuation</t>
  </si>
  <si>
    <t>PV of FCF</t>
  </si>
  <si>
    <t>Terminal Value</t>
  </si>
  <si>
    <t>Shares Outstanding</t>
  </si>
  <si>
    <t>Implied Market Cap</t>
  </si>
  <si>
    <t>all values in millions except per share numbers</t>
  </si>
  <si>
    <t>PV of Terminal Value</t>
  </si>
  <si>
    <t>Company Overview</t>
  </si>
  <si>
    <t>Price</t>
  </si>
  <si>
    <t>Key Stats</t>
  </si>
  <si>
    <t>Employees</t>
  </si>
  <si>
    <t>Founded</t>
  </si>
  <si>
    <t>CEO</t>
  </si>
  <si>
    <t>Headquarters</t>
  </si>
  <si>
    <t>Primary Industry</t>
  </si>
  <si>
    <t>Fiscal Year End</t>
  </si>
  <si>
    <t>Last Updated</t>
  </si>
  <si>
    <t>x</t>
  </si>
  <si>
    <t>P/E (LTM)</t>
  </si>
  <si>
    <t>EV/EBITDA (LTM)</t>
  </si>
  <si>
    <t>Financial Ratios</t>
  </si>
  <si>
    <t>P/E (NTM)</t>
  </si>
  <si>
    <t>Sep '24</t>
  </si>
  <si>
    <t>Dec '24</t>
  </si>
  <si>
    <t>Mar '25</t>
  </si>
  <si>
    <t>Jun '25</t>
  </si>
  <si>
    <t>Sep '25</t>
  </si>
  <si>
    <t>Dec '25</t>
  </si>
  <si>
    <t>Mar '26E</t>
  </si>
  <si>
    <t>Jun '26E</t>
  </si>
  <si>
    <t>Sep '26E</t>
  </si>
  <si>
    <t>Dec '26E</t>
  </si>
  <si>
    <t>Mar '27E</t>
  </si>
  <si>
    <t xml:space="preserve">Q1  </t>
  </si>
  <si>
    <t xml:space="preserve">Q2  </t>
  </si>
  <si>
    <t xml:space="preserve">Q3  </t>
  </si>
  <si>
    <t xml:space="preserve">Q4  </t>
  </si>
  <si>
    <t>Quarterly Product Segments</t>
  </si>
  <si>
    <t>FY 25</t>
  </si>
  <si>
    <t>FY 26</t>
  </si>
  <si>
    <t>FY 27</t>
  </si>
  <si>
    <t>IRR</t>
  </si>
  <si>
    <t>Product Segments ($M)</t>
  </si>
  <si>
    <t>Income Statement ($M)</t>
  </si>
  <si>
    <t>Gross Profit</t>
  </si>
  <si>
    <t>Research &amp; Development</t>
  </si>
  <si>
    <t>Operating Income (EBIT)</t>
  </si>
  <si>
    <t>Pre-Tax Income</t>
  </si>
  <si>
    <t>Tax Expense</t>
  </si>
  <si>
    <t>Net Income</t>
  </si>
  <si>
    <t>Cash Flow from Operations</t>
  </si>
  <si>
    <t>Management Team</t>
  </si>
  <si>
    <t>2031E</t>
  </si>
  <si>
    <t xml:space="preserve">  Tax Rate %</t>
  </si>
  <si>
    <t xml:space="preserve"> % of sales </t>
  </si>
  <si>
    <t>% growth</t>
  </si>
  <si>
    <t>D&amp;A</t>
  </si>
  <si>
    <t>Stock Based Compensation</t>
  </si>
  <si>
    <t>CapEx</t>
  </si>
  <si>
    <t>% of capex</t>
  </si>
  <si>
    <t>% of ocf</t>
  </si>
  <si>
    <t>Change in NWC</t>
  </si>
  <si>
    <t>% of changes in sales</t>
  </si>
  <si>
    <t>Present Value of FCF</t>
  </si>
  <si>
    <t>Strategic Investments</t>
  </si>
  <si>
    <t>EV/EBIT (LTM)</t>
  </si>
  <si>
    <t>Gordon Growth Method</t>
  </si>
  <si>
    <t>FCF Value</t>
  </si>
  <si>
    <t>Share Price</t>
  </si>
  <si>
    <t>10 Year DCF</t>
  </si>
  <si>
    <t>Free Cash Flow</t>
  </si>
  <si>
    <t>COGS</t>
  </si>
  <si>
    <t>Operating Cash Flow</t>
  </si>
  <si>
    <t>INTC</t>
  </si>
  <si>
    <t>SG&amp;A</t>
  </si>
  <si>
    <t>Restructuring and Other Changes</t>
  </si>
  <si>
    <t>Gains on Equity Investments</t>
  </si>
  <si>
    <t>Interest Income</t>
  </si>
  <si>
    <t>Non Controlling Stake Income</t>
  </si>
  <si>
    <t>Semiconductors</t>
  </si>
  <si>
    <t>Santa Clara, California</t>
  </si>
  <si>
    <t>shares outstanding</t>
  </si>
  <si>
    <t>EPS</t>
  </si>
  <si>
    <t>Years</t>
  </si>
  <si>
    <t>Multiple</t>
  </si>
  <si>
    <t>PV Today</t>
  </si>
  <si>
    <t>Discount Rate</t>
  </si>
  <si>
    <t>Lip Bu Tan</t>
  </si>
  <si>
    <t>EV/EBITDA (NTM)</t>
  </si>
  <si>
    <t>Per Share</t>
  </si>
  <si>
    <t>% change</t>
  </si>
  <si>
    <t>P/E</t>
  </si>
  <si>
    <t>P/EBIT</t>
  </si>
  <si>
    <t>P/EBITDA</t>
  </si>
  <si>
    <t>P/S</t>
  </si>
  <si>
    <t>P/FCF</t>
  </si>
  <si>
    <t>P/OCF</t>
  </si>
  <si>
    <t>DCAI AI CPU Revenue</t>
  </si>
  <si>
    <t>DCAI</t>
  </si>
  <si>
    <t>Client Computing</t>
  </si>
  <si>
    <t>Intel Products</t>
  </si>
  <si>
    <t>Intel Foundry</t>
  </si>
  <si>
    <t>Other</t>
  </si>
  <si>
    <t>Inter Segment Eliminations</t>
  </si>
  <si>
    <t>Operating Income</t>
  </si>
  <si>
    <t>Operating Income by Segment</t>
  </si>
  <si>
    <t>Intersegment Eliminations</t>
  </si>
  <si>
    <t>Corporate Unallocated</t>
  </si>
  <si>
    <t>Share-based compensation</t>
  </si>
  <si>
    <t>Restructuring and other charges</t>
  </si>
  <si>
    <t>Acquisition-related costs</t>
  </si>
  <si>
    <t>External Foundry Revenue</t>
  </si>
  <si>
    <t>Segment Operating Income</t>
  </si>
  <si>
    <t>Revenue Forecast Drivers</t>
  </si>
  <si>
    <t>CCG Growth</t>
  </si>
  <si>
    <t>DCAI Non-AI Growth</t>
  </si>
  <si>
    <t>Other Growth</t>
  </si>
  <si>
    <t>GPU / XPU Units (M)</t>
  </si>
  <si>
    <t>CPU Attach Ratio</t>
  </si>
  <si>
    <t>Total AI CPU Units (M)</t>
  </si>
  <si>
    <t>Intel AI CPU Share</t>
  </si>
  <si>
    <t>Intel AI CPU Units (M)</t>
  </si>
  <si>
    <t>AI CPU ASP ($)</t>
  </si>
  <si>
    <t>HBM3 / Zam Revenue</t>
  </si>
  <si>
    <t>DCAI Non-AI CPU Revenue</t>
  </si>
  <si>
    <t>Total DCAI Revenue</t>
  </si>
  <si>
    <t>DCAI Revenue Check</t>
  </si>
  <si>
    <t>Internal Foundry Revenue</t>
  </si>
  <si>
    <t>External Foundry Available WSPM (000s)</t>
  </si>
  <si>
    <t>External Foundry Utilization</t>
  </si>
  <si>
    <t>External Effective WSPM (000s)</t>
  </si>
  <si>
    <t>Revenue / Wafer ($000)</t>
  </si>
  <si>
    <t>External Foundry Revenue (Core)</t>
  </si>
  <si>
    <t>TeraFab Royalty Revenue</t>
  </si>
  <si>
    <t>Total Intel Foundry Revenue</t>
  </si>
  <si>
    <t>External Foundry Revenue Check</t>
  </si>
  <si>
    <t>Segment Margin Drivers</t>
  </si>
  <si>
    <t>CCG Operating Margin</t>
  </si>
  <si>
    <t>DCAI Operating Margin</t>
  </si>
  <si>
    <t>Intel Foundry Operating Margin</t>
  </si>
  <si>
    <t>Other Operating Margin</t>
  </si>
  <si>
    <t>SBC % of Sales</t>
  </si>
  <si>
    <t>Restructuring % of Sales</t>
  </si>
  <si>
    <t>Acquisition-related costs % of Sales</t>
  </si>
  <si>
    <t>Other Corporate Items % of Sales</t>
  </si>
  <si>
    <t>Total Revenue Check</t>
  </si>
  <si>
    <t>CCG Revenue</t>
  </si>
  <si>
    <t>Intel Foundry Revenue</t>
  </si>
  <si>
    <t>Other Revenue</t>
  </si>
  <si>
    <t>Consolidated Revenue</t>
  </si>
  <si>
    <t>Main Model Revenue</t>
  </si>
  <si>
    <t>Revenue Check vs Main Model</t>
  </si>
  <si>
    <t>Main Model OI (EBIT)</t>
  </si>
  <si>
    <t>OI Check vs Main Model</t>
  </si>
  <si>
    <t>EMIB / Adv Packaging Revenue</t>
  </si>
  <si>
    <t>Levers</t>
  </si>
  <si>
    <t>Internal Foundry</t>
  </si>
  <si>
    <t>External Foundry</t>
  </si>
  <si>
    <t>Core Levers</t>
  </si>
  <si>
    <t>Ramp Weight</t>
  </si>
  <si>
    <t>AI CPU Demand</t>
  </si>
  <si>
    <t>Wafer Economics</t>
  </si>
  <si>
    <t>Segment Growth</t>
  </si>
  <si>
    <t>Foundry</t>
  </si>
  <si>
    <t>Optionality (Probability-Weighted)</t>
  </si>
  <si>
    <t>TeraFab Probability</t>
  </si>
  <si>
    <t>Operating Margins</t>
  </si>
  <si>
    <t>AI CPU Demand vs Supply</t>
  </si>
  <si>
    <t>Fab Capacity / Supply Build</t>
  </si>
  <si>
    <t>Arizona 18A / 18A-P</t>
  </si>
  <si>
    <t>GPU/XPU Units</t>
  </si>
  <si>
    <t>CPU Attach</t>
  </si>
  <si>
    <t>Intel AI Share</t>
  </si>
  <si>
    <t>AI CPU ASP</t>
  </si>
  <si>
    <t>Good Dies / Wafer Eq.</t>
  </si>
  <si>
    <t>Foundry Rev / Wafer</t>
  </si>
  <si>
    <t>Internal Foundry Rev</t>
  </si>
  <si>
    <t>EMIB / Packaging Rev</t>
  </si>
  <si>
    <t>TeraFab Gross Rev</t>
  </si>
  <si>
    <t>HBM/ZAM Gross Rev</t>
  </si>
  <si>
    <t>HBM/ZAM Probability</t>
  </si>
  <si>
    <t>CCG Margin</t>
  </si>
  <si>
    <t>DCAI Margin</t>
  </si>
  <si>
    <t>Foundry Margin</t>
  </si>
  <si>
    <t>Non-AI DCAI Growth</t>
  </si>
  <si>
    <t>Supply Check</t>
  </si>
  <si>
    <t>AI CPU Revenue</t>
  </si>
  <si>
    <t>Ireland Intel 3 / 18A-equivalent</t>
  </si>
  <si>
    <t>Israel / Legacy Internal</t>
  </si>
  <si>
    <t>Non-AI DCAI Revenue</t>
  </si>
  <si>
    <t>Total Available WSPM</t>
  </si>
  <si>
    <t>DCAI Check</t>
  </si>
  <si>
    <t>Foundry Check</t>
  </si>
  <si>
    <t>Revenue Check</t>
  </si>
  <si>
    <t>Usable Capacity %</t>
  </si>
  <si>
    <t>Intel AI Demand Units</t>
  </si>
  <si>
    <t>AI CPU Required WSPM</t>
  </si>
  <si>
    <t>Internal Product WSPM Available</t>
  </si>
  <si>
    <t>AI CPU Sold Units</t>
  </si>
  <si>
    <t xml:space="preserve">  Available WSPM</t>
  </si>
  <si>
    <t xml:space="preserve">  Usable Capacity %</t>
  </si>
  <si>
    <t xml:space="preserve">  Usable WSPM</t>
  </si>
  <si>
    <t>Total Usable WSPM</t>
  </si>
  <si>
    <t>Internal Product WSPM Need</t>
  </si>
  <si>
    <t>External Foundry Sold WSPM</t>
  </si>
  <si>
    <t>Excess / Shortfall WSPM</t>
  </si>
  <si>
    <t>EBITDA</t>
  </si>
  <si>
    <t>EV/EBITDA Multiple</t>
  </si>
  <si>
    <t>AI Data Center</t>
  </si>
  <si>
    <t>Traditional Data Center</t>
  </si>
  <si>
    <t>Shares</t>
  </si>
  <si>
    <t>Year</t>
  </si>
  <si>
    <t>Disregard below</t>
  </si>
  <si>
    <t>ASIC Silicon</t>
  </si>
  <si>
    <t>ASIC Margin</t>
  </si>
  <si>
    <t>ZAM Gross Rev (2029)</t>
  </si>
  <si>
    <t>Custom ASIC Probability</t>
  </si>
  <si>
    <t>Custom ASIC Margin</t>
  </si>
  <si>
    <t>ASIC Rev/Wafer (2028)</t>
  </si>
  <si>
    <t>ASIC Probability 2028</t>
  </si>
  <si>
    <t>ASIC Probability 2031</t>
  </si>
  <si>
    <t>Custom ASIC Gross Rev</t>
  </si>
  <si>
    <t>Custom ASIC</t>
  </si>
  <si>
    <t>Oregon Leading Edge / 14A Ramp</t>
  </si>
  <si>
    <t>Implied AI CPU TAM</t>
  </si>
  <si>
    <t>Implied DC CPU TAM</t>
  </si>
  <si>
    <t>Probability Weighted</t>
  </si>
  <si>
    <t>Bear</t>
  </si>
  <si>
    <t>Base</t>
  </si>
  <si>
    <t>Bull</t>
  </si>
  <si>
    <t>Current</t>
  </si>
  <si>
    <t>Upside</t>
  </si>
  <si>
    <t>TGR</t>
  </si>
  <si>
    <t>AI CPU TAM</t>
  </si>
  <si>
    <t>DC CPU TAM</t>
  </si>
  <si>
    <t>CPU TAM</t>
  </si>
  <si>
    <t>Base Case</t>
  </si>
  <si>
    <t>Bull Case</t>
  </si>
  <si>
    <t>Bear Case</t>
  </si>
  <si>
    <t>Non-AI CPU TAM</t>
  </si>
  <si>
    <t>CAGR</t>
  </si>
  <si>
    <t>Foundry Capacity / Supply Build</t>
  </si>
  <si>
    <t>Usable Capacity</t>
  </si>
  <si>
    <t>Usable WSPM</t>
  </si>
  <si>
    <t>External Foundry Revenue Build</t>
  </si>
  <si>
    <t>Revenue / Wafer</t>
  </si>
  <si>
    <t>Core External Wafer Revenue</t>
  </si>
  <si>
    <t>EMIB / Packaging Revenue</t>
  </si>
  <si>
    <t>TeraFab Contribution</t>
  </si>
  <si>
    <t>Gross Optionality Revenue</t>
  </si>
  <si>
    <t>Probability</t>
  </si>
  <si>
    <t>Optionality Revenue Build</t>
  </si>
  <si>
    <t>Weighted Rev</t>
  </si>
  <si>
    <t>Probability-Weighted Optionality Revenue</t>
  </si>
  <si>
    <t>Revenue Growth</t>
  </si>
  <si>
    <t>Gross Margin</t>
  </si>
  <si>
    <t>EBITDA Margin</t>
  </si>
  <si>
    <t>EBIT Margin</t>
  </si>
  <si>
    <t>Net Margin</t>
  </si>
  <si>
    <t>EPS Growth</t>
  </si>
  <si>
    <t>FCF Margin</t>
  </si>
  <si>
    <t>N/A</t>
  </si>
  <si>
    <t>CapEx % of Sales</t>
  </si>
  <si>
    <t>$ mm, except per share</t>
  </si>
  <si>
    <t>Lip-Bu 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</si>
</sst>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_(* \(#,##0\);_(* &quot;-&quot;_);_(@_)"/>
    <numFmt numFmtId="164" formatCode="&quot;$&quot;#,##0.00"/>
    <numFmt numFmtId="165" formatCode="&quot;$&quot;#,##0"/>
    <numFmt numFmtId="166" formatCode="0.0%"/>
    <numFmt numFmtId="167" formatCode="0.0%;\(0.0%\)"/>
    <numFmt numFmtId="168" formatCode="#,##0;\(#,##0\)"/>
    <numFmt numFmtId="169" formatCode="0.000"/>
    <numFmt numFmtId="170" formatCode="0.0&quot;x&quot;"/>
    <numFmt numFmtId="171" formatCode="#,##0;\(#,##0\);\-"/>
    <numFmt numFmtId="172" formatCode="0.0%;\(0.0%\);\-"/>
    <numFmt numFmtId="173" formatCode="0.00;\(0.00\)"/>
    <numFmt numFmtId="174" formatCode="0&quot;x&quot;"/>
    <numFmt numFmtId="175" formatCode="_([$$-409]* #,##0.00_);_([$$-409]* \(#,##0.00\);_([$$-409]* &quot;-&quot;??_);_(@_)"/>
    <numFmt numFmtId="176" formatCode="#,##0.00;\(#,##0.00\)"/>
    <numFmt numFmtId="177" formatCode="0.00%;\(0.00%\)"/>
    <numFmt numFmtId="178" formatCode="#.00%;\(#.00%\)"/>
    <numFmt numFmtId="179" formatCode="#,##0.0"/>
    <numFmt numFmtId="180" formatCode="0.00&quot;x&quot;"/>
    <numFmt numFmtId="181" formatCode="#,##0.0;\(#,##0.0\);\-"/>
    <numFmt numFmtId="182" formatCode="0%;\(0%\);\-"/>
    <numFmt numFmtId="183" formatCode="#,##0.0%;\(0.0%\);\-"/>
    <numFmt numFmtId="184" formatCode="#,##0.00&quot;x&quot;;\(#,##0.00&quot;x&quot;\)"/>
  </numFmts>
  <fonts count="40" x14ac:knownFonts="1">
    <font>
      <sz val="12"/>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sz val="11"/>
      <color theme="7" tint="-0.249977111117893"/>
      <name val="Calibri"/>
      <family val="2"/>
    </font>
    <font>
      <b/>
      <sz val="11"/>
      <name val="calibri"/>
      <family val="2"/>
    </font>
    <font>
      <sz val="11"/>
      <name val="Calibri"/>
      <family val="2"/>
    </font>
    <font>
      <b/>
      <sz val="11"/>
      <color theme="7" tint="-0.249977111117893"/>
      <name val="Calibri"/>
      <family val="2"/>
    </font>
    <font>
      <i/>
      <sz val="11"/>
      <color rgb="FF595959"/>
      <name val="calibri"/>
      <family val="2"/>
    </font>
    <font>
      <b/>
      <sz val="10"/>
      <color rgb="FFFFFFFF"/>
      <name val="calibri"/>
      <family val="2"/>
    </font>
    <font>
      <sz val="9"/>
      <color theme="1"/>
      <name val="calibri"/>
      <family val="2"/>
    </font>
    <font>
      <sz val="9"/>
      <color rgb="FF0000BF"/>
      <name val="calibri"/>
      <family val="2"/>
    </font>
    <font>
      <b/>
      <sz val="11"/>
      <color rgb="FFFFFFFF"/>
      <name val="calibri"/>
      <family val="2"/>
    </font>
    <font>
      <b/>
      <sz val="11"/>
      <color rgb="FF0000BF"/>
      <name val="calibri"/>
      <family val="2"/>
    </font>
    <font>
      <sz val="11"/>
      <color rgb="FF0000BF"/>
      <name val="calibri"/>
      <family val="2"/>
    </font>
    <font>
      <b/>
      <sz val="11"/>
      <color rgb="FF000000"/>
      <name val="calibri"/>
      <family val="2"/>
    </font>
    <font>
      <i/>
      <sz val="11"/>
      <color rgb="FF000000"/>
      <name val="calibri"/>
      <family val="2"/>
    </font>
    <font>
      <sz val="11"/>
      <color rgb="FF000000"/>
      <name val="calibri"/>
      <family val="2"/>
    </font>
    <font>
      <b/>
      <i/>
      <sz val="11"/>
      <color theme="1"/>
      <name val="calibri"/>
      <family val="2"/>
    </font>
    <font>
      <sz val="12"/>
      <color theme="1"/>
      <name val="calibri"/>
      <family val="2"/>
    </font>
    <font>
      <sz val="8"/>
      <color theme="1"/>
      <name val="calibri"/>
      <family val="2"/>
    </font>
    <font>
      <sz val="11"/>
      <color rgb="FF7030A0"/>
      <name val="calibri"/>
      <family val="2"/>
    </font>
    <font>
      <i/>
      <sz val="11"/>
      <color rgb="FF0000BF"/>
      <name val="calibri"/>
      <family val="2"/>
    </font>
    <font>
      <sz val="11"/>
      <color rgb="FF008000"/>
      <name val="calibri"/>
      <family val="2"/>
    </font>
    <font>
      <b/>
      <i/>
      <sz val="10"/>
      <color rgb="FF595959"/>
      <name val="calibri"/>
      <family val="2"/>
    </font>
    <font>
      <i/>
      <sz val="10"/>
      <color rgb="FF595959"/>
      <name val="calibri"/>
      <family val="2"/>
    </font>
    <font>
      <i/>
      <sz val="11"/>
      <name val="calibri"/>
      <family val="2"/>
    </font>
    <font>
      <b/>
      <i/>
      <sz val="11"/>
      <color theme="4"/>
      <name val="calibri"/>
      <family val="2"/>
    </font>
    <font>
      <b/>
      <sz val="11"/>
      <color theme="4"/>
      <name val="calibri"/>
      <family val="2"/>
    </font>
    <font>
      <sz val="11"/>
      <color theme="5" tint="-0.249977111117893"/>
      <name val="calibri"/>
      <family val="2"/>
    </font>
    <font>
      <b/>
      <sz val="10"/>
      <color rgb="FF000000"/>
      <name val="calibri"/>
      <family val="2"/>
    </font>
    <font>
      <b/>
      <sz val="10"/>
      <color theme="4"/>
      <name val="calibri"/>
      <family val="2"/>
    </font>
    <font>
      <b/>
      <sz val="10"/>
      <color theme="0"/>
      <name val="calibri"/>
      <family val="2"/>
    </font>
    <font>
      <sz val="10"/>
      <color theme="1"/>
      <name val="calibri"/>
      <family val="2"/>
    </font>
    <font>
      <sz val="10"/>
      <color theme="4"/>
      <name val="calibri"/>
      <family val="2"/>
    </font>
    <font>
      <sz val="10"/>
      <color rgb="FF000000"/>
      <name val="calibri"/>
      <family val="2"/>
    </font>
    <font>
      <b/>
      <sz val="10"/>
      <color theme="1"/>
      <name val="calibri"/>
      <family val="2"/>
    </font>
    <font>
      <i/>
      <sz val="11"/>
      <color theme="0" tint="-0.499984740745262"/>
      <name val="calibri"/>
      <family val="2"/>
    </font>
    <font>
      <sz val="11"/>
      <color theme="0" tint="-0.499984740745262"/>
      <name val="calibri"/>
      <family val="2"/>
    </font>
  </fonts>
  <fills count="12">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6"/>
        <bgColor indexed="64"/>
      </patternFill>
    </fill>
    <fill>
      <patternFill patternType="solid">
        <fgColor rgb="FF0066CC"/>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theme="9"/>
        <bgColor indexed="64"/>
      </patternFill>
    </fill>
    <fill>
      <patternFill patternType="solid">
        <fgColor rgb="FFE6E6E6"/>
        <bgColor indexed="64"/>
      </patternFill>
    </fill>
    <fill>
      <patternFill patternType="solid">
        <fgColor rgb="FFFFF2CC"/>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0" fillId="0" borderId="0" applyFont="0" applyFill="0" applyBorder="0" applyAlignment="0" applyProtection="0"/>
  </cellStyleXfs>
  <cellXfs count="263">
    <xf numFmtId="0" fontId="0" fillId="0" borderId="0" xfId="0"/>
    <xf numFmtId="0" fontId="1" fillId="0" borderId="0" xfId="0" applyFont="1"/>
    <xf numFmtId="0" fontId="2" fillId="2" borderId="0" xfId="0" applyFont="1" applyFill="1"/>
    <xf numFmtId="0" fontId="2" fillId="2" borderId="0" xfId="0" applyFont="1" applyFill="1" applyAlignment="1">
      <alignment horizontal="right"/>
    </xf>
    <xf numFmtId="0" fontId="3" fillId="0" borderId="0" xfId="0" applyFont="1"/>
    <xf numFmtId="0" fontId="4" fillId="0" borderId="0" xfId="0" applyFont="1"/>
    <xf numFmtId="0" fontId="1" fillId="0" borderId="1" xfId="0" applyFont="1" applyBorder="1"/>
    <xf numFmtId="164" fontId="5" fillId="0" borderId="0" xfId="0" applyNumberFormat="1" applyFont="1" applyAlignment="1">
      <alignment horizontal="right"/>
    </xf>
    <xf numFmtId="3" fontId="1" fillId="0" borderId="0" xfId="0" applyNumberFormat="1" applyFont="1"/>
    <xf numFmtId="3" fontId="1" fillId="0" borderId="1" xfId="0" applyNumberFormat="1" applyFont="1" applyBorder="1"/>
    <xf numFmtId="10" fontId="1" fillId="0" borderId="0" xfId="0" applyNumberFormat="1" applyFont="1"/>
    <xf numFmtId="10" fontId="4" fillId="0" borderId="0" xfId="0" applyNumberFormat="1" applyFont="1"/>
    <xf numFmtId="3" fontId="5" fillId="0" borderId="0" xfId="0" applyNumberFormat="1" applyFont="1"/>
    <xf numFmtId="0" fontId="3" fillId="0" borderId="1" xfId="0" applyFont="1" applyBorder="1"/>
    <xf numFmtId="0" fontId="1" fillId="0" borderId="0" xfId="0" applyFont="1" applyAlignment="1">
      <alignment horizontal="center"/>
    </xf>
    <xf numFmtId="14" fontId="1" fillId="0" borderId="0" xfId="0" applyNumberFormat="1" applyFont="1" applyAlignment="1">
      <alignment horizontal="center"/>
    </xf>
    <xf numFmtId="0" fontId="6" fillId="0" borderId="1" xfId="0" applyFont="1" applyBorder="1"/>
    <xf numFmtId="165" fontId="1" fillId="0" borderId="0" xfId="0" applyNumberFormat="1" applyFont="1" applyAlignment="1">
      <alignment horizontal="center" vertical="center"/>
    </xf>
    <xf numFmtId="0" fontId="7" fillId="0" borderId="0" xfId="0" applyFont="1"/>
    <xf numFmtId="0" fontId="1" fillId="3" borderId="0" xfId="0" applyFont="1" applyFill="1"/>
    <xf numFmtId="0" fontId="2" fillId="3" borderId="0" xfId="0" applyFont="1" applyFill="1"/>
    <xf numFmtId="0" fontId="2" fillId="3" borderId="0" xfId="0" applyFont="1" applyFill="1" applyAlignment="1">
      <alignment horizontal="right"/>
    </xf>
    <xf numFmtId="3" fontId="3" fillId="0" borderId="0" xfId="0" applyNumberFormat="1" applyFont="1"/>
    <xf numFmtId="4" fontId="1" fillId="0" borderId="0" xfId="0" applyNumberFormat="1" applyFont="1"/>
    <xf numFmtId="0" fontId="2" fillId="2" borderId="0" xfId="0" applyFont="1" applyFill="1" applyAlignment="1">
      <alignment horizontal="center"/>
    </xf>
    <xf numFmtId="0" fontId="9" fillId="0" borderId="0" xfId="0" applyFont="1"/>
    <xf numFmtId="166" fontId="9" fillId="0" borderId="0" xfId="0" applyNumberFormat="1" applyFont="1"/>
    <xf numFmtId="3" fontId="8" fillId="0" borderId="0" xfId="0" applyNumberFormat="1" applyFont="1"/>
    <xf numFmtId="167" fontId="9" fillId="0" borderId="0" xfId="0" applyNumberFormat="1" applyFont="1"/>
    <xf numFmtId="0" fontId="10" fillId="5" borderId="0" xfId="0" applyFont="1" applyFill="1"/>
    <xf numFmtId="0" fontId="11" fillId="0" borderId="0" xfId="0" applyFont="1"/>
    <xf numFmtId="0" fontId="11" fillId="0" borderId="0" xfId="0" applyFont="1" applyAlignment="1">
      <alignment horizontal="right"/>
    </xf>
    <xf numFmtId="3" fontId="12" fillId="0" borderId="0" xfId="0" applyNumberFormat="1" applyFont="1" applyAlignment="1">
      <alignment horizontal="right"/>
    </xf>
    <xf numFmtId="0" fontId="13" fillId="5" borderId="0" xfId="0" applyFont="1" applyFill="1"/>
    <xf numFmtId="0" fontId="13" fillId="5" borderId="0" xfId="0" applyFont="1" applyFill="1" applyAlignment="1">
      <alignment horizontal="right"/>
    </xf>
    <xf numFmtId="166" fontId="4" fillId="0" borderId="0" xfId="0" applyNumberFormat="1" applyFont="1" applyAlignment="1">
      <alignment horizontal="right"/>
    </xf>
    <xf numFmtId="0" fontId="1" fillId="0" borderId="0" xfId="0" applyFont="1" applyAlignment="1">
      <alignment horizontal="right"/>
    </xf>
    <xf numFmtId="3" fontId="1" fillId="0" borderId="0" xfId="0" applyNumberFormat="1" applyFont="1" applyAlignment="1">
      <alignment horizontal="right"/>
    </xf>
    <xf numFmtId="3" fontId="15" fillId="0" borderId="0" xfId="0" applyNumberFormat="1" applyFont="1" applyAlignment="1">
      <alignment horizontal="right"/>
    </xf>
    <xf numFmtId="168" fontId="1" fillId="0" borderId="0" xfId="0" applyNumberFormat="1" applyFont="1" applyAlignment="1">
      <alignment horizontal="right"/>
    </xf>
    <xf numFmtId="168" fontId="15" fillId="0" borderId="0" xfId="0" applyNumberFormat="1" applyFont="1" applyAlignment="1">
      <alignment horizontal="right"/>
    </xf>
    <xf numFmtId="166" fontId="11" fillId="0" borderId="0" xfId="0" applyNumberFormat="1" applyFont="1" applyAlignment="1">
      <alignment horizontal="right"/>
    </xf>
    <xf numFmtId="10" fontId="12" fillId="0" borderId="0" xfId="0" applyNumberFormat="1" applyFont="1" applyAlignment="1">
      <alignment horizontal="right"/>
    </xf>
    <xf numFmtId="166" fontId="12" fillId="0" borderId="0" xfId="0" applyNumberFormat="1" applyFont="1" applyAlignment="1">
      <alignment horizontal="right"/>
    </xf>
    <xf numFmtId="0" fontId="18" fillId="0" borderId="0" xfId="0" applyFont="1" applyAlignment="1">
      <alignment horizontal="right"/>
    </xf>
    <xf numFmtId="0" fontId="18" fillId="0" borderId="0" xfId="0" applyFont="1"/>
    <xf numFmtId="3" fontId="18" fillId="0" borderId="0" xfId="0" applyNumberFormat="1" applyFont="1" applyAlignment="1">
      <alignment horizontal="right"/>
    </xf>
    <xf numFmtId="171" fontId="16" fillId="0" borderId="0" xfId="0" applyNumberFormat="1" applyFont="1" applyAlignment="1">
      <alignment horizontal="right"/>
    </xf>
    <xf numFmtId="172" fontId="17" fillId="0" borderId="0" xfId="0" applyNumberFormat="1" applyFont="1" applyAlignment="1">
      <alignment horizontal="right"/>
    </xf>
    <xf numFmtId="171" fontId="15" fillId="0" borderId="0" xfId="0" applyNumberFormat="1" applyFont="1" applyAlignment="1">
      <alignment horizontal="right"/>
    </xf>
    <xf numFmtId="171" fontId="18" fillId="0" borderId="0" xfId="0" applyNumberFormat="1" applyFont="1" applyAlignment="1">
      <alignment horizontal="right"/>
    </xf>
    <xf numFmtId="171" fontId="18" fillId="0" borderId="0" xfId="0" applyNumberFormat="1" applyFont="1"/>
    <xf numFmtId="0" fontId="15" fillId="0" borderId="0" xfId="0" applyFont="1"/>
    <xf numFmtId="0" fontId="17" fillId="0" borderId="0" xfId="0" applyFont="1"/>
    <xf numFmtId="0" fontId="19" fillId="0" borderId="0" xfId="0" applyFont="1"/>
    <xf numFmtId="3" fontId="18" fillId="3" borderId="0" xfId="0" applyNumberFormat="1" applyFont="1" applyFill="1"/>
    <xf numFmtId="172" fontId="18" fillId="0" borderId="0" xfId="0" applyNumberFormat="1" applyFont="1" applyAlignment="1">
      <alignment horizontal="right"/>
    </xf>
    <xf numFmtId="14" fontId="1" fillId="0" borderId="0" xfId="0" applyNumberFormat="1" applyFont="1"/>
    <xf numFmtId="2" fontId="1" fillId="0" borderId="0" xfId="0" applyNumberFormat="1" applyFont="1"/>
    <xf numFmtId="169" fontId="1" fillId="0" borderId="0" xfId="0" applyNumberFormat="1" applyFont="1"/>
    <xf numFmtId="171" fontId="1" fillId="0" borderId="0" xfId="0" applyNumberFormat="1" applyFont="1"/>
    <xf numFmtId="164" fontId="1" fillId="0" borderId="0" xfId="0" applyNumberFormat="1" applyFont="1"/>
    <xf numFmtId="171" fontId="3" fillId="0" borderId="0" xfId="0" applyNumberFormat="1" applyFont="1"/>
    <xf numFmtId="164" fontId="3" fillId="0" borderId="0" xfId="0" applyNumberFormat="1" applyFont="1"/>
    <xf numFmtId="167" fontId="4" fillId="0" borderId="0" xfId="1" applyNumberFormat="1" applyFont="1"/>
    <xf numFmtId="0" fontId="3" fillId="0" borderId="0" xfId="0" applyFont="1" applyAlignment="1">
      <alignment horizontal="right"/>
    </xf>
    <xf numFmtId="168" fontId="1" fillId="0" borderId="0" xfId="0" applyNumberFormat="1" applyFont="1"/>
    <xf numFmtId="168" fontId="1" fillId="3" borderId="0" xfId="0" applyNumberFormat="1" applyFont="1" applyFill="1"/>
    <xf numFmtId="168" fontId="1" fillId="3" borderId="1" xfId="0" applyNumberFormat="1" applyFont="1" applyFill="1" applyBorder="1"/>
    <xf numFmtId="164" fontId="7" fillId="0" borderId="0" xfId="0" applyNumberFormat="1" applyFont="1" applyAlignment="1">
      <alignment horizontal="right"/>
    </xf>
    <xf numFmtId="0" fontId="0" fillId="0" borderId="0" xfId="0" applyAlignment="1">
      <alignment horizontal="center"/>
    </xf>
    <xf numFmtId="0" fontId="13" fillId="0" borderId="0" xfId="0" applyFont="1"/>
    <xf numFmtId="0" fontId="1" fillId="3" borderId="0" xfId="0" applyFont="1" applyFill="1" applyAlignment="1">
      <alignment horizontal="center"/>
    </xf>
    <xf numFmtId="3" fontId="22" fillId="0" borderId="0" xfId="0" applyNumberFormat="1" applyFont="1"/>
    <xf numFmtId="3" fontId="7" fillId="0" borderId="0" xfId="0" applyNumberFormat="1" applyFont="1" applyAlignment="1">
      <alignment horizontal="right"/>
    </xf>
    <xf numFmtId="168" fontId="7" fillId="0" borderId="0" xfId="0" applyNumberFormat="1" applyFont="1" applyAlignment="1">
      <alignment horizontal="right"/>
    </xf>
    <xf numFmtId="39" fontId="7" fillId="0" borderId="0" xfId="0" applyNumberFormat="1" applyFont="1" applyAlignment="1">
      <alignment horizontal="right"/>
    </xf>
    <xf numFmtId="173" fontId="1" fillId="0" borderId="0" xfId="0" applyNumberFormat="1" applyFont="1"/>
    <xf numFmtId="164" fontId="1" fillId="0" borderId="0" xfId="0" applyNumberFormat="1" applyFont="1" applyAlignment="1">
      <alignment horizontal="center"/>
    </xf>
    <xf numFmtId="164" fontId="16" fillId="0" borderId="0" xfId="0" applyNumberFormat="1" applyFont="1"/>
    <xf numFmtId="164" fontId="1" fillId="6" borderId="0" xfId="0" applyNumberFormat="1" applyFont="1" applyFill="1" applyAlignment="1">
      <alignment horizontal="center"/>
    </xf>
    <xf numFmtId="164" fontId="1" fillId="7" borderId="0" xfId="0" applyNumberFormat="1" applyFont="1" applyFill="1" applyAlignment="1">
      <alignment horizontal="center"/>
    </xf>
    <xf numFmtId="164" fontId="3" fillId="7" borderId="0" xfId="0" applyNumberFormat="1" applyFont="1" applyFill="1" applyAlignment="1">
      <alignment horizontal="center"/>
    </xf>
    <xf numFmtId="39" fontId="1" fillId="0" borderId="0" xfId="0" applyNumberFormat="1" applyFont="1"/>
    <xf numFmtId="175" fontId="1" fillId="0" borderId="0" xfId="0" applyNumberFormat="1" applyFont="1"/>
    <xf numFmtId="174" fontId="6" fillId="0" borderId="2" xfId="0" applyNumberFormat="1" applyFont="1" applyBorder="1" applyAlignment="1">
      <alignment horizontal="center"/>
    </xf>
    <xf numFmtId="10" fontId="6" fillId="0" borderId="4" xfId="0" applyNumberFormat="1" applyFont="1" applyBorder="1" applyAlignment="1">
      <alignment horizontal="center"/>
    </xf>
    <xf numFmtId="176" fontId="1" fillId="0" borderId="0" xfId="0" applyNumberFormat="1" applyFont="1"/>
    <xf numFmtId="177" fontId="4" fillId="0" borderId="0" xfId="1" applyNumberFormat="1" applyFont="1"/>
    <xf numFmtId="41" fontId="1" fillId="0" borderId="0" xfId="0" applyNumberFormat="1" applyFont="1"/>
    <xf numFmtId="164" fontId="1" fillId="0" borderId="0" xfId="0" applyNumberFormat="1" applyFont="1" applyAlignment="1">
      <alignment horizontal="right"/>
    </xf>
    <xf numFmtId="39" fontId="1" fillId="0" borderId="0" xfId="0" applyNumberFormat="1" applyFont="1" applyAlignment="1">
      <alignment horizontal="right"/>
    </xf>
    <xf numFmtId="178" fontId="1" fillId="0" borderId="0" xfId="0" applyNumberFormat="1" applyFont="1" applyAlignment="1">
      <alignment horizontal="center" vertical="center"/>
    </xf>
    <xf numFmtId="0" fontId="1" fillId="4" borderId="0" xfId="0" applyFont="1" applyFill="1"/>
    <xf numFmtId="0" fontId="3" fillId="4" borderId="0" xfId="0" applyFont="1" applyFill="1"/>
    <xf numFmtId="3" fontId="1" fillId="4" borderId="0" xfId="0" applyNumberFormat="1" applyFont="1" applyFill="1"/>
    <xf numFmtId="168" fontId="1" fillId="4" borderId="0" xfId="0" applyNumberFormat="1" applyFont="1" applyFill="1"/>
    <xf numFmtId="0" fontId="3" fillId="3" borderId="0" xfId="0" applyFont="1" applyFill="1"/>
    <xf numFmtId="172" fontId="1" fillId="0" borderId="0" xfId="0" applyNumberFormat="1" applyFont="1"/>
    <xf numFmtId="3" fontId="3" fillId="4" borderId="0" xfId="0" applyNumberFormat="1" applyFont="1" applyFill="1"/>
    <xf numFmtId="171" fontId="1" fillId="4" borderId="0" xfId="0" applyNumberFormat="1" applyFont="1" applyFill="1"/>
    <xf numFmtId="0" fontId="18" fillId="10" borderId="0" xfId="0" applyFont="1" applyFill="1"/>
    <xf numFmtId="0" fontId="1" fillId="10" borderId="0" xfId="0" applyFont="1" applyFill="1"/>
    <xf numFmtId="3" fontId="18" fillId="0" borderId="0" xfId="0" applyNumberFormat="1" applyFont="1"/>
    <xf numFmtId="3" fontId="18" fillId="10" borderId="0" xfId="0" applyNumberFormat="1" applyFont="1" applyFill="1"/>
    <xf numFmtId="171" fontId="18" fillId="10" borderId="0" xfId="0" applyNumberFormat="1" applyFont="1" applyFill="1"/>
    <xf numFmtId="172" fontId="15" fillId="11" borderId="0" xfId="0" applyNumberFormat="1" applyFont="1" applyFill="1" applyAlignment="1">
      <alignment horizontal="right"/>
    </xf>
    <xf numFmtId="179" fontId="18" fillId="0" borderId="0" xfId="0" applyNumberFormat="1" applyFont="1" applyAlignment="1">
      <alignment horizontal="right"/>
    </xf>
    <xf numFmtId="171" fontId="18" fillId="10" borderId="0" xfId="0" applyNumberFormat="1" applyFont="1" applyFill="1" applyAlignment="1">
      <alignment horizontal="right"/>
    </xf>
    <xf numFmtId="0" fontId="1" fillId="5" borderId="0" xfId="0" applyFont="1" applyFill="1"/>
    <xf numFmtId="168" fontId="18" fillId="10" borderId="0" xfId="0" applyNumberFormat="1" applyFont="1" applyFill="1"/>
    <xf numFmtId="3" fontId="16" fillId="10" borderId="0" xfId="0" applyNumberFormat="1" applyFont="1" applyFill="1"/>
    <xf numFmtId="0" fontId="18" fillId="0" borderId="0" xfId="0" applyFont="1" applyAlignment="1">
      <alignment horizontal="center"/>
    </xf>
    <xf numFmtId="171" fontId="18" fillId="4" borderId="0" xfId="0" applyNumberFormat="1" applyFont="1" applyFill="1"/>
    <xf numFmtId="172" fontId="18" fillId="0" borderId="0" xfId="0" applyNumberFormat="1" applyFont="1"/>
    <xf numFmtId="171" fontId="24" fillId="0" borderId="0" xfId="0" applyNumberFormat="1" applyFont="1" applyAlignment="1">
      <alignment horizontal="right"/>
    </xf>
    <xf numFmtId="0" fontId="3" fillId="5" borderId="0" xfId="0" applyFont="1" applyFill="1"/>
    <xf numFmtId="0" fontId="16" fillId="3" borderId="0" xfId="0" applyFont="1" applyFill="1"/>
    <xf numFmtId="171" fontId="14" fillId="3" borderId="0" xfId="0" applyNumberFormat="1" applyFont="1" applyFill="1" applyAlignment="1">
      <alignment horizontal="right"/>
    </xf>
    <xf numFmtId="171" fontId="16" fillId="3" borderId="0" xfId="0" applyNumberFormat="1" applyFont="1" applyFill="1" applyAlignment="1">
      <alignment horizontal="right"/>
    </xf>
    <xf numFmtId="0" fontId="17" fillId="3" borderId="0" xfId="0" applyFont="1" applyFill="1"/>
    <xf numFmtId="0" fontId="4" fillId="3" borderId="0" xfId="0" applyFont="1" applyFill="1"/>
    <xf numFmtId="172" fontId="17" fillId="3" borderId="0" xfId="0" applyNumberFormat="1" applyFont="1" applyFill="1" applyAlignment="1">
      <alignment horizontal="right"/>
    </xf>
    <xf numFmtId="172" fontId="23" fillId="3" borderId="0" xfId="0" applyNumberFormat="1" applyFont="1" applyFill="1" applyAlignment="1">
      <alignment horizontal="right"/>
    </xf>
    <xf numFmtId="0" fontId="18" fillId="3" borderId="0" xfId="0" applyFont="1" applyFill="1"/>
    <xf numFmtId="0" fontId="15" fillId="3" borderId="0" xfId="0" applyFont="1" applyFill="1" applyAlignment="1">
      <alignment horizontal="right"/>
    </xf>
    <xf numFmtId="172" fontId="15" fillId="3" borderId="0" xfId="0" applyNumberFormat="1" applyFont="1" applyFill="1" applyAlignment="1">
      <alignment horizontal="right"/>
    </xf>
    <xf numFmtId="171" fontId="15" fillId="3" borderId="0" xfId="0" applyNumberFormat="1" applyFont="1" applyFill="1" applyAlignment="1">
      <alignment horizontal="right"/>
    </xf>
    <xf numFmtId="0" fontId="18" fillId="3" borderId="0" xfId="0" applyFont="1" applyFill="1" applyAlignment="1">
      <alignment horizontal="right"/>
    </xf>
    <xf numFmtId="179" fontId="15" fillId="3" borderId="0" xfId="0" applyNumberFormat="1" applyFont="1" applyFill="1" applyAlignment="1">
      <alignment horizontal="right"/>
    </xf>
    <xf numFmtId="179" fontId="18" fillId="3" borderId="0" xfId="0" applyNumberFormat="1" applyFont="1" applyFill="1" applyAlignment="1">
      <alignment horizontal="right"/>
    </xf>
    <xf numFmtId="180" fontId="23" fillId="3" borderId="0" xfId="0" applyNumberFormat="1" applyFont="1" applyFill="1" applyAlignment="1">
      <alignment horizontal="right"/>
    </xf>
    <xf numFmtId="179" fontId="17" fillId="3" borderId="0" xfId="0" applyNumberFormat="1" applyFont="1" applyFill="1" applyAlignment="1">
      <alignment horizontal="right"/>
    </xf>
    <xf numFmtId="165" fontId="15" fillId="3" borderId="0" xfId="0" applyNumberFormat="1" applyFont="1" applyFill="1" applyAlignment="1">
      <alignment horizontal="right"/>
    </xf>
    <xf numFmtId="171" fontId="18" fillId="3" borderId="0" xfId="0" applyNumberFormat="1" applyFont="1" applyFill="1" applyAlignment="1">
      <alignment horizontal="right"/>
    </xf>
    <xf numFmtId="0" fontId="26" fillId="3" borderId="0" xfId="0" applyFont="1" applyFill="1"/>
    <xf numFmtId="9" fontId="23" fillId="3" borderId="0" xfId="0" applyNumberFormat="1" applyFont="1" applyFill="1" applyAlignment="1">
      <alignment horizontal="right"/>
    </xf>
    <xf numFmtId="171" fontId="23" fillId="3" borderId="0" xfId="0" applyNumberFormat="1" applyFont="1" applyFill="1" applyAlignment="1">
      <alignment horizontal="right"/>
    </xf>
    <xf numFmtId="171" fontId="17" fillId="3" borderId="0" xfId="0" applyNumberFormat="1" applyFont="1" applyFill="1" applyAlignment="1">
      <alignment horizontal="right"/>
    </xf>
    <xf numFmtId="0" fontId="15" fillId="3" borderId="0" xfId="0" applyFont="1" applyFill="1"/>
    <xf numFmtId="0" fontId="25" fillId="3" borderId="0" xfId="0" applyFont="1" applyFill="1"/>
    <xf numFmtId="0" fontId="13" fillId="3" borderId="0" xfId="0" applyFont="1" applyFill="1"/>
    <xf numFmtId="0" fontId="25" fillId="3" borderId="0" xfId="0" applyFont="1" applyFill="1" applyAlignment="1">
      <alignment horizontal="right"/>
    </xf>
    <xf numFmtId="3" fontId="15" fillId="3" borderId="0" xfId="0" applyNumberFormat="1" applyFont="1" applyFill="1" applyAlignment="1">
      <alignment horizontal="right"/>
    </xf>
    <xf numFmtId="3" fontId="18" fillId="3" borderId="0" xfId="0" applyNumberFormat="1" applyFont="1" applyFill="1" applyAlignment="1">
      <alignment horizontal="right"/>
    </xf>
    <xf numFmtId="9" fontId="15" fillId="3" borderId="0" xfId="0" applyNumberFormat="1" applyFont="1" applyFill="1" applyAlignment="1">
      <alignment horizontal="right"/>
    </xf>
    <xf numFmtId="0" fontId="26" fillId="3" borderId="0" xfId="0" applyFont="1" applyFill="1" applyAlignment="1">
      <alignment horizontal="right"/>
    </xf>
    <xf numFmtId="3" fontId="26" fillId="3" borderId="0" xfId="0" applyNumberFormat="1" applyFont="1" applyFill="1" applyAlignment="1">
      <alignment horizontal="right"/>
    </xf>
    <xf numFmtId="172" fontId="7" fillId="3" borderId="0" xfId="0" applyNumberFormat="1" applyFont="1" applyFill="1" applyAlignment="1">
      <alignment horizontal="right"/>
    </xf>
    <xf numFmtId="171" fontId="26" fillId="3" borderId="0" xfId="0" applyNumberFormat="1" applyFont="1" applyFill="1" applyAlignment="1">
      <alignment horizontal="right"/>
    </xf>
    <xf numFmtId="0" fontId="16" fillId="10" borderId="0" xfId="0" applyFont="1" applyFill="1"/>
    <xf numFmtId="180" fontId="18" fillId="0" borderId="0" xfId="0" applyNumberFormat="1" applyFont="1" applyAlignment="1">
      <alignment horizontal="right"/>
    </xf>
    <xf numFmtId="165" fontId="18" fillId="0" borderId="0" xfId="0" applyNumberFormat="1" applyFont="1" applyAlignment="1">
      <alignment horizontal="right"/>
    </xf>
    <xf numFmtId="181" fontId="9" fillId="0" borderId="0" xfId="0" applyNumberFormat="1" applyFont="1" applyAlignment="1">
      <alignment horizontal="right"/>
    </xf>
    <xf numFmtId="0" fontId="13" fillId="5" borderId="0" xfId="0" applyFont="1" applyFill="1" applyAlignment="1">
      <alignment horizontal="center"/>
    </xf>
    <xf numFmtId="171" fontId="9" fillId="0" borderId="0" xfId="0" applyNumberFormat="1" applyFont="1" applyAlignment="1">
      <alignment horizontal="right"/>
    </xf>
    <xf numFmtId="3" fontId="9" fillId="0" borderId="0" xfId="0" applyNumberFormat="1" applyFont="1" applyAlignment="1">
      <alignment horizontal="right"/>
    </xf>
    <xf numFmtId="172" fontId="16" fillId="5" borderId="0" xfId="0" applyNumberFormat="1" applyFont="1" applyFill="1" applyAlignment="1">
      <alignment horizontal="right"/>
    </xf>
    <xf numFmtId="172" fontId="13" fillId="5" borderId="0" xfId="0" applyNumberFormat="1" applyFont="1" applyFill="1" applyAlignment="1">
      <alignment horizontal="right"/>
    </xf>
    <xf numFmtId="0" fontId="18" fillId="8" borderId="0" xfId="0" applyFont="1" applyFill="1" applyAlignment="1">
      <alignment horizontal="left"/>
    </xf>
    <xf numFmtId="179" fontId="18" fillId="8" borderId="0" xfId="0" applyNumberFormat="1" applyFont="1" applyFill="1" applyAlignment="1">
      <alignment horizontal="right"/>
    </xf>
    <xf numFmtId="180" fontId="18" fillId="8" borderId="0" xfId="0" applyNumberFormat="1" applyFont="1" applyFill="1" applyAlignment="1">
      <alignment horizontal="right"/>
    </xf>
    <xf numFmtId="172" fontId="18" fillId="8" borderId="0" xfId="0" applyNumberFormat="1" applyFont="1" applyFill="1" applyAlignment="1">
      <alignment horizontal="right"/>
    </xf>
    <xf numFmtId="165" fontId="18" fillId="8" borderId="0" xfId="0" applyNumberFormat="1" applyFont="1" applyFill="1" applyAlignment="1">
      <alignment horizontal="right"/>
    </xf>
    <xf numFmtId="3" fontId="18" fillId="8" borderId="0" xfId="0" applyNumberFormat="1" applyFont="1" applyFill="1" applyAlignment="1">
      <alignment horizontal="right"/>
    </xf>
    <xf numFmtId="0" fontId="18" fillId="8" borderId="0" xfId="0" applyFont="1" applyFill="1" applyAlignment="1">
      <alignment horizontal="right"/>
    </xf>
    <xf numFmtId="181" fontId="18" fillId="8" borderId="0" xfId="0" applyNumberFormat="1" applyFont="1" applyFill="1" applyAlignment="1">
      <alignment horizontal="right"/>
    </xf>
    <xf numFmtId="171" fontId="16" fillId="10" borderId="0" xfId="0" applyNumberFormat="1" applyFont="1" applyFill="1" applyAlignment="1">
      <alignment horizontal="right"/>
    </xf>
    <xf numFmtId="0" fontId="17" fillId="8" borderId="0" xfId="0" applyFont="1" applyFill="1" applyAlignment="1">
      <alignment horizontal="left"/>
    </xf>
    <xf numFmtId="0" fontId="16" fillId="10" borderId="0" xfId="0" applyFont="1" applyFill="1" applyAlignment="1">
      <alignment horizontal="left"/>
    </xf>
    <xf numFmtId="165" fontId="7" fillId="11" borderId="5" xfId="0" applyNumberFormat="1" applyFont="1" applyFill="1" applyBorder="1" applyAlignment="1">
      <alignment horizontal="right"/>
    </xf>
    <xf numFmtId="3" fontId="7" fillId="11" borderId="5" xfId="0" applyNumberFormat="1" applyFont="1" applyFill="1" applyBorder="1" applyAlignment="1">
      <alignment horizontal="right"/>
    </xf>
    <xf numFmtId="180" fontId="7" fillId="11" borderId="5" xfId="0" applyNumberFormat="1" applyFont="1" applyFill="1" applyBorder="1" applyAlignment="1">
      <alignment horizontal="right"/>
    </xf>
    <xf numFmtId="9" fontId="27" fillId="11" borderId="5" xfId="0" applyNumberFormat="1" applyFont="1" applyFill="1" applyBorder="1" applyAlignment="1">
      <alignment horizontal="right"/>
    </xf>
    <xf numFmtId="181" fontId="18" fillId="0" borderId="0" xfId="0" applyNumberFormat="1" applyFont="1" applyAlignment="1">
      <alignment horizontal="right"/>
    </xf>
    <xf numFmtId="166" fontId="18" fillId="8" borderId="0" xfId="0" applyNumberFormat="1" applyFont="1" applyFill="1" applyAlignment="1">
      <alignment horizontal="right"/>
    </xf>
    <xf numFmtId="0" fontId="28" fillId="0" borderId="0" xfId="0" applyFont="1"/>
    <xf numFmtId="182" fontId="7" fillId="11" borderId="5" xfId="0" applyNumberFormat="1" applyFont="1" applyFill="1" applyBorder="1" applyAlignment="1">
      <alignment horizontal="right"/>
    </xf>
    <xf numFmtId="3" fontId="22" fillId="0" borderId="0" xfId="0" applyNumberFormat="1" applyFont="1" applyAlignment="1">
      <alignment horizontal="right"/>
    </xf>
    <xf numFmtId="179" fontId="18" fillId="9" borderId="5" xfId="0" applyNumberFormat="1" applyFont="1" applyFill="1" applyBorder="1" applyAlignment="1">
      <alignment horizontal="right"/>
    </xf>
    <xf numFmtId="180" fontId="18" fillId="9" borderId="5" xfId="0" applyNumberFormat="1" applyFont="1" applyFill="1" applyBorder="1" applyAlignment="1">
      <alignment horizontal="right"/>
    </xf>
    <xf numFmtId="172" fontId="18" fillId="9" borderId="5" xfId="0" applyNumberFormat="1" applyFont="1" applyFill="1" applyBorder="1" applyAlignment="1">
      <alignment horizontal="right"/>
    </xf>
    <xf numFmtId="165" fontId="18" fillId="9" borderId="5" xfId="0" applyNumberFormat="1" applyFont="1" applyFill="1" applyBorder="1" applyAlignment="1">
      <alignment horizontal="right"/>
    </xf>
    <xf numFmtId="3" fontId="18" fillId="9" borderId="5" xfId="0" applyNumberFormat="1" applyFont="1" applyFill="1" applyBorder="1" applyAlignment="1">
      <alignment horizontal="right"/>
    </xf>
    <xf numFmtId="0" fontId="16" fillId="0" borderId="2" xfId="0" applyFont="1" applyBorder="1"/>
    <xf numFmtId="0" fontId="1" fillId="0" borderId="2" xfId="0" applyFont="1" applyBorder="1"/>
    <xf numFmtId="179" fontId="18" fillId="0" borderId="2" xfId="0" applyNumberFormat="1" applyFont="1" applyBorder="1" applyAlignment="1">
      <alignment horizontal="right"/>
    </xf>
    <xf numFmtId="0" fontId="16" fillId="0" borderId="6" xfId="0" applyFont="1" applyBorder="1"/>
    <xf numFmtId="0" fontId="1" fillId="0" borderId="6" xfId="0" applyFont="1" applyBorder="1"/>
    <xf numFmtId="179" fontId="18" fillId="0" borderId="6" xfId="0" applyNumberFormat="1" applyFont="1" applyBorder="1" applyAlignment="1">
      <alignment horizontal="right"/>
    </xf>
    <xf numFmtId="0" fontId="16" fillId="0" borderId="1" xfId="0" applyFont="1" applyBorder="1"/>
    <xf numFmtId="179" fontId="18" fillId="0" borderId="1" xfId="0" applyNumberFormat="1" applyFont="1" applyBorder="1" applyAlignment="1">
      <alignment horizontal="right"/>
    </xf>
    <xf numFmtId="183" fontId="17" fillId="0" borderId="0" xfId="0" applyNumberFormat="1" applyFont="1" applyAlignment="1">
      <alignment horizontal="right"/>
    </xf>
    <xf numFmtId="0" fontId="29" fillId="0" borderId="0" xfId="0" applyFont="1"/>
    <xf numFmtId="0" fontId="4" fillId="6" borderId="7" xfId="0" applyFont="1" applyFill="1" applyBorder="1"/>
    <xf numFmtId="0" fontId="1" fillId="6" borderId="6" xfId="0" applyFont="1" applyFill="1" applyBorder="1"/>
    <xf numFmtId="3" fontId="4" fillId="6" borderId="6" xfId="0" applyNumberFormat="1" applyFont="1" applyFill="1" applyBorder="1" applyAlignment="1">
      <alignment horizontal="right"/>
    </xf>
    <xf numFmtId="3" fontId="4" fillId="6" borderId="8" xfId="0" applyNumberFormat="1" applyFont="1" applyFill="1" applyBorder="1" applyAlignment="1">
      <alignment horizontal="right"/>
    </xf>
    <xf numFmtId="0" fontId="4" fillId="6" borderId="9" xfId="0" applyFont="1" applyFill="1" applyBorder="1"/>
    <xf numFmtId="0" fontId="1" fillId="6" borderId="0" xfId="0" applyFont="1" applyFill="1"/>
    <xf numFmtId="3" fontId="4" fillId="6" borderId="0" xfId="0" applyNumberFormat="1" applyFont="1" applyFill="1" applyAlignment="1">
      <alignment horizontal="right"/>
    </xf>
    <xf numFmtId="3" fontId="4" fillId="6" borderId="3" xfId="0" applyNumberFormat="1" applyFont="1" applyFill="1" applyBorder="1" applyAlignment="1">
      <alignment horizontal="right"/>
    </xf>
    <xf numFmtId="0" fontId="4" fillId="6" borderId="10" xfId="0" applyFont="1" applyFill="1" applyBorder="1"/>
    <xf numFmtId="0" fontId="1" fillId="6" borderId="1" xfId="0" applyFont="1" applyFill="1" applyBorder="1"/>
    <xf numFmtId="3" fontId="4" fillId="6" borderId="1" xfId="0" applyNumberFormat="1" applyFont="1" applyFill="1" applyBorder="1" applyAlignment="1">
      <alignment horizontal="right"/>
    </xf>
    <xf numFmtId="3" fontId="4" fillId="6" borderId="11" xfId="0" applyNumberFormat="1" applyFont="1" applyFill="1" applyBorder="1" applyAlignment="1">
      <alignment horizontal="right"/>
    </xf>
    <xf numFmtId="184" fontId="1" fillId="0" borderId="0" xfId="0" applyNumberFormat="1" applyFont="1"/>
    <xf numFmtId="184" fontId="1" fillId="4" borderId="0" xfId="0" applyNumberFormat="1" applyFont="1" applyFill="1"/>
    <xf numFmtId="3" fontId="5" fillId="4" borderId="0" xfId="0" applyNumberFormat="1" applyFont="1" applyFill="1"/>
    <xf numFmtId="168" fontId="5" fillId="4" borderId="0" xfId="0" applyNumberFormat="1" applyFont="1" applyFill="1"/>
    <xf numFmtId="171" fontId="5" fillId="0" borderId="0" xfId="0" applyNumberFormat="1" applyFont="1"/>
    <xf numFmtId="171" fontId="22" fillId="0" borderId="0" xfId="0" applyNumberFormat="1" applyFont="1"/>
    <xf numFmtId="3" fontId="30" fillId="0" borderId="0" xfId="0" applyNumberFormat="1" applyFont="1" applyAlignment="1">
      <alignment horizontal="right"/>
    </xf>
    <xf numFmtId="165" fontId="1" fillId="0" borderId="0" xfId="0" applyNumberFormat="1" applyFont="1" applyAlignment="1">
      <alignment horizontal="right" vertical="center"/>
    </xf>
    <xf numFmtId="9" fontId="1" fillId="0" borderId="0" xfId="0" applyNumberFormat="1" applyFont="1"/>
    <xf numFmtId="16" fontId="1" fillId="0" borderId="1" xfId="0" applyNumberFormat="1" applyFont="1" applyBorder="1"/>
    <xf numFmtId="165" fontId="1" fillId="0" borderId="0" xfId="0" applyNumberFormat="1" applyFont="1"/>
    <xf numFmtId="170" fontId="1" fillId="0" borderId="0" xfId="0" applyNumberFormat="1" applyFont="1" applyAlignment="1">
      <alignment horizontal="right"/>
    </xf>
    <xf numFmtId="10" fontId="1" fillId="0" borderId="0" xfId="0" applyNumberFormat="1" applyFont="1" applyAlignment="1">
      <alignment horizontal="right"/>
    </xf>
    <xf numFmtId="3" fontId="31" fillId="10" borderId="0" xfId="0" applyNumberFormat="1" applyFont="1" applyFill="1"/>
    <xf numFmtId="166" fontId="32" fillId="4" borderId="0" xfId="0" applyNumberFormat="1" applyFont="1" applyFill="1"/>
    <xf numFmtId="0" fontId="33" fillId="3" borderId="0" xfId="0" applyFont="1" applyFill="1" applyAlignment="1">
      <alignment horizontal="right"/>
    </xf>
    <xf numFmtId="0" fontId="34" fillId="3" borderId="0" xfId="0" applyFont="1" applyFill="1"/>
    <xf numFmtId="0" fontId="34" fillId="0" borderId="0" xfId="0" applyFont="1"/>
    <xf numFmtId="0" fontId="35" fillId="0" borderId="0" xfId="0" applyFont="1"/>
    <xf numFmtId="3" fontId="34" fillId="4" borderId="0" xfId="0" applyNumberFormat="1" applyFont="1" applyFill="1"/>
    <xf numFmtId="3" fontId="36" fillId="4" borderId="0" xfId="0" applyNumberFormat="1" applyFont="1" applyFill="1"/>
    <xf numFmtId="166" fontId="35" fillId="4" borderId="0" xfId="0" applyNumberFormat="1" applyFont="1" applyFill="1"/>
    <xf numFmtId="171" fontId="36" fillId="0" borderId="0" xfId="0" applyNumberFormat="1" applyFont="1"/>
    <xf numFmtId="166" fontId="35" fillId="0" borderId="0" xfId="0" applyNumberFormat="1" applyFont="1"/>
    <xf numFmtId="3" fontId="36" fillId="10" borderId="0" xfId="0" applyNumberFormat="1" applyFont="1" applyFill="1"/>
    <xf numFmtId="0" fontId="10" fillId="5" borderId="0" xfId="0" applyFont="1" applyFill="1" applyAlignment="1">
      <alignment horizontal="right"/>
    </xf>
    <xf numFmtId="0" fontId="33" fillId="3" borderId="0" xfId="0" applyFont="1" applyFill="1"/>
    <xf numFmtId="3" fontId="37" fillId="4" borderId="0" xfId="0" applyNumberFormat="1" applyFont="1" applyFill="1"/>
    <xf numFmtId="0" fontId="34" fillId="4" borderId="0" xfId="0" applyFont="1" applyFill="1"/>
    <xf numFmtId="0" fontId="37" fillId="4" borderId="0" xfId="0" applyFont="1" applyFill="1"/>
    <xf numFmtId="9" fontId="34" fillId="0" borderId="0" xfId="0" applyNumberFormat="1" applyFont="1" applyAlignment="1">
      <alignment horizontal="left" indent="1"/>
    </xf>
    <xf numFmtId="0" fontId="34" fillId="0" borderId="0" xfId="0" applyFont="1" applyAlignment="1">
      <alignment horizontal="left" indent="1"/>
    </xf>
    <xf numFmtId="0" fontId="34" fillId="0" borderId="0" xfId="0" applyFont="1" applyAlignment="1">
      <alignment horizontal="left"/>
    </xf>
    <xf numFmtId="166" fontId="1" fillId="0" borderId="0" xfId="0" applyNumberFormat="1" applyFont="1"/>
    <xf numFmtId="0" fontId="1" fillId="0" borderId="12" xfId="0" applyFont="1" applyBorder="1"/>
    <xf numFmtId="3" fontId="1" fillId="0" borderId="13" xfId="0" applyNumberFormat="1" applyFont="1" applyBorder="1"/>
    <xf numFmtId="3" fontId="1" fillId="3" borderId="0" xfId="0" applyNumberFormat="1" applyFont="1" applyFill="1"/>
    <xf numFmtId="3" fontId="1" fillId="3" borderId="13" xfId="0" applyNumberFormat="1" applyFont="1" applyFill="1" applyBorder="1"/>
    <xf numFmtId="172" fontId="18" fillId="4" borderId="0" xfId="0" applyNumberFormat="1" applyFont="1" applyFill="1"/>
    <xf numFmtId="171" fontId="18" fillId="0" borderId="2" xfId="0" applyNumberFormat="1" applyFont="1" applyBorder="1"/>
    <xf numFmtId="0" fontId="1" fillId="0" borderId="0" xfId="0" applyFont="1" applyAlignment="1">
      <alignment horizontal="left"/>
    </xf>
    <xf numFmtId="0" fontId="38" fillId="0" borderId="0" xfId="0" applyFont="1" applyAlignment="1">
      <alignment horizontal="left" indent="1"/>
    </xf>
    <xf numFmtId="0" fontId="39" fillId="0" borderId="0" xfId="0" applyFont="1"/>
    <xf numFmtId="172" fontId="38" fillId="0" borderId="0" xfId="0" applyNumberFormat="1" applyFont="1" applyAlignment="1">
      <alignment horizontal="right"/>
    </xf>
    <xf numFmtId="0" fontId="13" fillId="5" borderId="0" xfId="0" applyFont="1" applyFill="1" applyAlignment="1">
      <alignment horizontal="center"/>
    </xf>
    <xf numFmtId="171" fontId="18" fillId="0" borderId="0" xfId="0" applyNumberFormat="1" applyFont="1" applyAlignment="1">
      <alignment horizontal="center"/>
    </xf>
    <xf numFmtId="171" fontId="18" fillId="0" borderId="2" xfId="0" applyNumberFormat="1" applyFont="1" applyBorder="1" applyAlignment="1">
      <alignment horizontal="center"/>
    </xf>
    <xf numFmtId="171" fontId="18" fillId="0" borderId="13" xfId="0" applyNumberFormat="1" applyFont="1" applyBorder="1" applyAlignment="1">
      <alignment horizontal="center"/>
    </xf>
    <xf numFmtId="14" fontId="1" fillId="0" borderId="0" xfId="0" applyNumberFormat="1" applyFont="1" applyAlignment="1">
      <alignment horizontal="center"/>
    </xf>
    <xf numFmtId="0" fontId="1" fillId="0" borderId="0" xfId="0" applyFont="1" applyAlignment="1">
      <alignment horizontal="center"/>
    </xf>
    <xf numFmtId="0" fontId="21" fillId="0" borderId="0" xfId="0" applyFont="1" applyAlignment="1">
      <alignment horizontal="center"/>
    </xf>
    <xf numFmtId="0" fontId="2" fillId="2" borderId="0" xfId="0" applyFont="1" applyFill="1" applyAlignment="1">
      <alignment horizontal="center"/>
    </xf>
    <xf numFmtId="3" fontId="1" fillId="0" borderId="0" xfId="0" applyNumberFormat="1" applyFont="1" applyAlignment="1">
      <alignment horizontal="center"/>
    </xf>
    <xf numFmtId="0" fontId="3" fillId="0" borderId="0" xfId="0" applyFont="1" applyAlignment="1">
      <alignment horizontal="center"/>
    </xf>
    <xf numFmtId="0" fontId="1" fillId="0" borderId="1" xfId="0" applyFont="1" applyBorder="1" applyAlignment="1">
      <alignment horizontal="center"/>
    </xf>
    <xf numFmtId="164" fontId="1" fillId="0" borderId="3" xfId="0" applyNumberFormat="1" applyFont="1" applyBorder="1" applyAlignment="1">
      <alignment vertical="center" textRotation="90"/>
    </xf>
    <xf numFmtId="0" fontId="1" fillId="0" borderId="0" xfId="0" applyFont="1"/>
  </cellXfs>
  <cellStyles count="2">
    <cellStyle name="Normal" xfId="0" builtinId="0"/>
    <cellStyle name="Percent" xfId="1" builtinId="5"/>
  </cellStyles>
  <dxfs count="0"/>
  <tableStyles count="0" defaultTableStyle="TableStyleMedium2" defaultPivotStyle="PivotStyleLight16"/>
  <colors>
    <mruColors>
      <color rgb="FF666666"/>
      <color rgb="FFF2F4F7"/>
      <color rgb="FFF0F0F0"/>
      <color rgb="FF00AEEF"/>
      <color rgb="FF00C7FD"/>
      <color rgb="FF0068B5"/>
      <color rgb="FFDDDDDD"/>
      <color rgb="FFC9D5E3"/>
      <color rgb="FFBFC9D4"/>
      <color rgb="FFD7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microsoft.com/office/2017/10/relationships/person" Target="persons/perso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22222"/>
                </a:solidFill>
                <a:latin typeface="Calibri"/>
                <a:ea typeface="Calibri"/>
                <a:cs typeface="Calibri"/>
              </a:defRPr>
            </a:pPr>
            <a:r>
              <a:rPr lang="en-US"/>
              <a:t>Server</a:t>
            </a:r>
            <a:r>
              <a:rPr lang="en-US" baseline="0"/>
              <a:t> CPU TAM</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22222"/>
              </a:solidFill>
              <a:latin typeface="Calibri"/>
              <a:ea typeface="Calibri"/>
              <a:cs typeface="Calibri"/>
            </a:defRPr>
          </a:pPr>
          <a:endParaRPr lang="en-US"/>
        </a:p>
      </c:txPr>
    </c:title>
    <c:autoTitleDeleted val="0"/>
    <c:plotArea>
      <c:layout/>
      <c:barChart>
        <c:barDir val="col"/>
        <c:grouping val="stacked"/>
        <c:varyColors val="0"/>
        <c:ser>
          <c:idx val="0"/>
          <c:order val="0"/>
          <c:tx>
            <c:v>Traditional</c:v>
          </c:tx>
          <c:spPr>
            <a:solidFill>
              <a:srgbClr val="0068B5"/>
            </a:solidFill>
            <a:ln>
              <a:no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Segments!$AB$184:$AG$184</c:f>
              <c:strCache>
                <c:ptCount val="6"/>
                <c:pt idx="0">
                  <c:v>2026E</c:v>
                </c:pt>
                <c:pt idx="1">
                  <c:v>2027E</c:v>
                </c:pt>
                <c:pt idx="2">
                  <c:v>2028E</c:v>
                </c:pt>
                <c:pt idx="3">
                  <c:v>2029E</c:v>
                </c:pt>
                <c:pt idx="4">
                  <c:v>2030E</c:v>
                </c:pt>
                <c:pt idx="5">
                  <c:v>2031E</c:v>
                </c:pt>
              </c:strCache>
            </c:strRef>
          </c:cat>
          <c:val>
            <c:numRef>
              <c:f>Segments!$AB$185:$AG$185</c:f>
              <c:numCache>
                <c:formatCode>#,##0</c:formatCode>
                <c:ptCount val="6"/>
                <c:pt idx="0">
                  <c:v>25.021056338028171</c:v>
                </c:pt>
                <c:pt idx="1">
                  <c:v>27.300548161764702</c:v>
                </c:pt>
                <c:pt idx="2">
                  <c:v>29.252950999999999</c:v>
                </c:pt>
                <c:pt idx="3">
                  <c:v>31.222954418906244</c:v>
                </c:pt>
                <c:pt idx="4">
                  <c:v>33.261511184837424</c:v>
                </c:pt>
                <c:pt idx="5">
                  <c:v>35.401335071061943</c:v>
                </c:pt>
              </c:numCache>
            </c:numRef>
          </c:val>
          <c:extLst>
            <c:ext xmlns:c16="http://schemas.microsoft.com/office/drawing/2014/chart" uri="{C3380CC4-5D6E-409C-BE32-E72D297353CC}">
              <c16:uniqueId val="{00000000-ADCA-44E9-A0A0-6DD1B48E40F5}"/>
            </c:ext>
          </c:extLst>
        </c:ser>
        <c:ser>
          <c:idx val="1"/>
          <c:order val="1"/>
          <c:tx>
            <c:v>AI</c:v>
          </c:tx>
          <c:spPr>
            <a:solidFill>
              <a:srgbClr val="00AEEF"/>
            </a:solidFill>
            <a:ln>
              <a:noFill/>
              <a:prstDash val="solid"/>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ADCA-44E9-A0A0-6DD1B48E40F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Segments!$AB$184:$AG$184</c:f>
              <c:strCache>
                <c:ptCount val="6"/>
                <c:pt idx="0">
                  <c:v>2026E</c:v>
                </c:pt>
                <c:pt idx="1">
                  <c:v>2027E</c:v>
                </c:pt>
                <c:pt idx="2">
                  <c:v>2028E</c:v>
                </c:pt>
                <c:pt idx="3">
                  <c:v>2029E</c:v>
                </c:pt>
                <c:pt idx="4">
                  <c:v>2030E</c:v>
                </c:pt>
                <c:pt idx="5">
                  <c:v>2031E</c:v>
                </c:pt>
              </c:strCache>
            </c:strRef>
          </c:cat>
          <c:val>
            <c:numRef>
              <c:f>Segments!$AB$186:$AG$186</c:f>
              <c:numCache>
                <c:formatCode>#,##0</c:formatCode>
                <c:ptCount val="6"/>
                <c:pt idx="0">
                  <c:v>6.4999999999999991</c:v>
                </c:pt>
                <c:pt idx="1">
                  <c:v>21.902343749999993</c:v>
                </c:pt>
                <c:pt idx="2">
                  <c:v>49.21875</c:v>
                </c:pt>
                <c:pt idx="3">
                  <c:v>91.050781249999957</c:v>
                </c:pt>
                <c:pt idx="4">
                  <c:v>124.19975000000001</c:v>
                </c:pt>
                <c:pt idx="5">
                  <c:v>149.99999999999997</c:v>
                </c:pt>
              </c:numCache>
            </c:numRef>
          </c:val>
          <c:extLst>
            <c:ext xmlns:c16="http://schemas.microsoft.com/office/drawing/2014/chart" uri="{C3380CC4-5D6E-409C-BE32-E72D297353CC}">
              <c16:uniqueId val="{00000001-ADCA-44E9-A0A0-6DD1B48E40F5}"/>
            </c:ext>
          </c:extLst>
        </c:ser>
        <c:dLbls>
          <c:showLegendKey val="0"/>
          <c:showVal val="0"/>
          <c:showCatName val="0"/>
          <c:showSerName val="0"/>
          <c:showPercent val="0"/>
          <c:showBubbleSize val="0"/>
        </c:dLbls>
        <c:gapWidth val="150"/>
        <c:overlap val="100"/>
        <c:axId val="351499663"/>
        <c:axId val="351497263"/>
      </c:barChart>
      <c:lineChart>
        <c:grouping val="standard"/>
        <c:varyColors val="0"/>
        <c:ser>
          <c:idx val="2"/>
          <c:order val="2"/>
          <c:tx>
            <c:strRef>
              <c:f>Segments!$AA$187</c:f>
              <c:strCache>
                <c:ptCount val="1"/>
                <c:pt idx="0">
                  <c:v>Total</c:v>
                </c:pt>
              </c:strCache>
            </c:strRef>
          </c:tx>
          <c:spPr>
            <a:ln w="28575" cap="rnd">
              <a:solidFill>
                <a:srgbClr val="FFFFFF">
                  <a:alpha val="0"/>
                </a:srgb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Segments!$AB$187:$AG$187</c:f>
              <c:numCache>
                <c:formatCode>#,##0</c:formatCode>
                <c:ptCount val="6"/>
                <c:pt idx="0">
                  <c:v>31.521056338028171</c:v>
                </c:pt>
                <c:pt idx="1">
                  <c:v>49.202891911764695</c:v>
                </c:pt>
                <c:pt idx="2">
                  <c:v>78.471700999999996</c:v>
                </c:pt>
                <c:pt idx="3">
                  <c:v>122.2737356689062</c:v>
                </c:pt>
                <c:pt idx="4">
                  <c:v>157.46126118483744</c:v>
                </c:pt>
                <c:pt idx="5">
                  <c:v>185.40133507106191</c:v>
                </c:pt>
              </c:numCache>
            </c:numRef>
          </c:val>
          <c:smooth val="0"/>
          <c:extLst>
            <c:ext xmlns:c16="http://schemas.microsoft.com/office/drawing/2014/chart" uri="{C3380CC4-5D6E-409C-BE32-E72D297353CC}">
              <c16:uniqueId val="{00000002-ADCA-44E9-A0A0-6DD1B48E40F5}"/>
            </c:ext>
          </c:extLst>
        </c:ser>
        <c:dLbls>
          <c:showLegendKey val="0"/>
          <c:showVal val="0"/>
          <c:showCatName val="0"/>
          <c:showSerName val="0"/>
          <c:showPercent val="0"/>
          <c:showBubbleSize val="0"/>
        </c:dLbls>
        <c:marker val="1"/>
        <c:smooth val="0"/>
        <c:axId val="351499663"/>
        <c:axId val="351497263"/>
      </c:lineChart>
      <c:catAx>
        <c:axId val="351499663"/>
        <c:scaling>
          <c:orientation val="minMax"/>
        </c:scaling>
        <c:delete val="0"/>
        <c:axPos val="b"/>
        <c:numFmt formatCode="General" sourceLinked="1"/>
        <c:majorTickMark val="none"/>
        <c:minorTickMark val="none"/>
        <c:tickLblPos val="nextTo"/>
        <c:spPr>
          <a:solidFill>
            <a:schemeClr val="bg1">
              <a:alpha val="0"/>
            </a:schemeClr>
          </a:solidFill>
          <a:ln w="9525" cap="flat" cmpd="sng" algn="ctr">
            <a:solidFill>
              <a:srgbClr val="DDDDDD"/>
            </a:solidFill>
            <a:prstDash val="solid"/>
            <a:round/>
          </a:ln>
          <a:effectLst/>
        </c:spPr>
        <c:txPr>
          <a:bodyPr rot="-60000000" spcFirstLastPara="1" vertOverflow="ellipsis" vert="horz" wrap="square" anchor="ctr" anchorCtr="1"/>
          <a:lstStyle/>
          <a:p>
            <a:pPr>
              <a:defRPr sz="1000" b="0" i="0" u="none" strike="noStrike" kern="1200" baseline="0">
                <a:solidFill>
                  <a:srgbClr val="404040"/>
                </a:solidFill>
                <a:latin typeface="+mn-lt"/>
                <a:ea typeface="+mn-ea"/>
                <a:cs typeface="+mn-cs"/>
              </a:defRPr>
            </a:pPr>
            <a:endParaRPr lang="en-US"/>
          </a:p>
        </c:txPr>
        <c:crossAx val="351497263"/>
        <c:crosses val="autoZero"/>
        <c:auto val="1"/>
        <c:lblAlgn val="ctr"/>
        <c:lblOffset val="100"/>
        <c:noMultiLvlLbl val="0"/>
      </c:catAx>
      <c:valAx>
        <c:axId val="351497263"/>
        <c:scaling>
          <c:orientation val="minMax"/>
        </c:scaling>
        <c:delete val="0"/>
        <c:axPos val="l"/>
        <c:numFmt formatCode="&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404040"/>
                </a:solidFill>
                <a:latin typeface="+mn-lt"/>
                <a:ea typeface="+mn-ea"/>
                <a:cs typeface="+mn-cs"/>
              </a:defRPr>
            </a:pPr>
            <a:endParaRPr lang="en-US"/>
          </a:p>
        </c:txPr>
        <c:crossAx val="351499663"/>
        <c:crosses val="autoZero"/>
        <c:crossBetween val="between"/>
        <c:majorUnit val="50"/>
      </c:valAx>
      <c:spPr>
        <a:noFill/>
        <a:ln w="25400">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1200" b="0" i="0" u="none" strike="noStrike" kern="1200" baseline="0">
              <a:solidFill>
                <a:srgbClr val="40404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53009</xdr:colOff>
      <xdr:row>0</xdr:row>
      <xdr:rowOff>66261</xdr:rowOff>
    </xdr:from>
    <xdr:to>
      <xdr:col>2</xdr:col>
      <xdr:colOff>490993</xdr:colOff>
      <xdr:row>2</xdr:row>
      <xdr:rowOff>127753</xdr:rowOff>
    </xdr:to>
    <xdr:pic>
      <xdr:nvPicPr>
        <xdr:cNvPr id="3" name="Picture 2">
          <a:extLst>
            <a:ext uri="{FF2B5EF4-FFF2-40B4-BE49-F238E27FC236}">
              <a16:creationId xmlns:a16="http://schemas.microsoft.com/office/drawing/2014/main" id="{24E5CC1F-B350-BEC5-C8D7-4E96C694A5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931" y="66261"/>
          <a:ext cx="1100592" cy="432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72887</xdr:colOff>
      <xdr:row>0</xdr:row>
      <xdr:rowOff>66261</xdr:rowOff>
    </xdr:from>
    <xdr:to>
      <xdr:col>2</xdr:col>
      <xdr:colOff>510871</xdr:colOff>
      <xdr:row>2</xdr:row>
      <xdr:rowOff>127753</xdr:rowOff>
    </xdr:to>
    <xdr:pic>
      <xdr:nvPicPr>
        <xdr:cNvPr id="2" name="Picture 1">
          <a:extLst>
            <a:ext uri="{FF2B5EF4-FFF2-40B4-BE49-F238E27FC236}">
              <a16:creationId xmlns:a16="http://schemas.microsoft.com/office/drawing/2014/main" id="{1234D19F-579A-49D6-BFAF-D4F601D48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809" y="66261"/>
          <a:ext cx="1100592" cy="432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337668</xdr:colOff>
      <xdr:row>180</xdr:row>
      <xdr:rowOff>167638</xdr:rowOff>
    </xdr:from>
    <xdr:to>
      <xdr:col>20</xdr:col>
      <xdr:colOff>190499</xdr:colOff>
      <xdr:row>197</xdr:row>
      <xdr:rowOff>99060</xdr:rowOff>
    </xdr:to>
    <xdr:graphicFrame macro="">
      <xdr:nvGraphicFramePr>
        <xdr:cNvPr id="8" name="CPU TAM Base Split Chart">
          <a:extLst>
            <a:ext uri="{FF2B5EF4-FFF2-40B4-BE49-F238E27FC236}">
              <a16:creationId xmlns:a16="http://schemas.microsoft.com/office/drawing/2014/main" id="{AC28B102-EAFA-DA45-3EB6-B0CADAF84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https://www.bing.com/financeapi/forcetrigger?t=a1vmf2&amp;q=XNAS%3aINTC&amp;form=skydnc</v>
    <v>Learn more on Bing</v>
  </rv>
  <rv s="1">
    <v>en-US</v>
    <v>a1vmf2</v>
    <v>268435456</v>
    <v>1</v>
    <v>Powered by Refinitiv</v>
    <v>0</v>
    <v>INTEL CORPORATION (XNAS:INTC)</v>
    <v>2</v>
    <v>3</v>
    <v>Finance</v>
    <v>4</v>
    <v>142.35</v>
    <v>32.89</v>
    <v>2.2642000000000002</v>
    <v>-4.3899999999999997</v>
    <v>-4.2439999999999996E-4</v>
    <v>-3.4460999999999999E-2</v>
    <v>-5.2200000000000003E-2</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82300</v>
    <v>Nasdaq Stock Market</v>
    <v>XNAS</v>
    <v>XNAS</v>
    <v>2200 Mission College Blvd, Rnb-4-151, SANTA CLARA, CA, 95054 US</v>
    <v>126.93</v>
    <v>Semiconductors &amp; Semiconductor Equipment</v>
    <v>Stock</v>
    <v>46290.999997858591</v>
    <v>0</v>
    <v>122.84</v>
    <v>650063487000</v>
    <v>INTEL CORPORATION</v>
    <v>INTEL CORPORATION</v>
    <v>126.83</v>
    <v>0</v>
    <v>127.39</v>
    <v>123</v>
    <v>122.9478</v>
    <v>5285069000</v>
    <v>INTC</v>
    <v>INTEL CORPORATION (XNAS:INTC)</v>
    <v>97728428</v>
    <v>101957193</v>
    <v>1989</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F2CC"/>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EF9E150-0837-48A7-9315-EFD32F36373C}">
  <we:reference id="wa200009404" version="1.0.0.5" store="en-US" storeType="OMEX"/>
  <we:alternateReferences>
    <we:reference id="wa200009404" version="1.0.0.5" store="" storeType="OMEX"/>
  </we:alternateReferences>
  <we:properties>
    <we:property name="claude.fileId" value="&quot;2598d38c-ee10-4d71-9eee-6c5baddc58a5&quot;"/>
  </we:properties>
  <we:bindings/>
  <we:snapshot xmlns:r="http://schemas.openxmlformats.org/officeDocument/2006/relationships"/>
</we:webextension>
</file>

<file path=xl/webextensions/webextension2.xml><?xml version="1.0" encoding="utf-8"?>
<we:webextension xmlns:we="http://schemas.microsoft.com/office/webextensions/webextension/2010/11" id="{4469EE86-32CD-4EC1-8F4B-4FD319E98C1C}">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6BA9-FD26-46A5-A630-9D65D6C233D8}">
  <dimension ref="A2:AJ232"/>
  <sheetViews>
    <sheetView showGridLines="0" tabSelected="1" zoomScaleNormal="100" workbookViewId="0">
      <selection activeCell="I10" sqref="I10:K10"/>
    </sheetView>
  </sheetViews>
  <sheetFormatPr defaultColWidth="8.69921875" defaultRowHeight="14.4" customHeight="1" x14ac:dyDescent="0.3"/>
  <cols>
    <col min="1" max="1" width="3.69921875" style="1" customWidth="1"/>
    <col min="2" max="37" width="8.69921875" style="1" customWidth="1"/>
    <col min="38" max="16384" width="8.69921875" style="1"/>
  </cols>
  <sheetData>
    <row r="2" spans="1:36" ht="14.4" customHeight="1" x14ac:dyDescent="0.3">
      <c r="A2"/>
      <c r="B2"/>
      <c r="C2"/>
      <c r="D2"/>
      <c r="E2"/>
      <c r="F2"/>
      <c r="G2"/>
      <c r="H2"/>
      <c r="I2"/>
      <c r="J2"/>
      <c r="K2"/>
      <c r="L2"/>
      <c r="M2"/>
      <c r="N2"/>
      <c r="O2"/>
      <c r="P2"/>
      <c r="Q2"/>
      <c r="R2"/>
      <c r="S2"/>
      <c r="T2"/>
      <c r="U2"/>
      <c r="V2"/>
      <c r="W2"/>
      <c r="X2"/>
      <c r="Y2"/>
      <c r="Z2"/>
    </row>
    <row r="3" spans="1:36" ht="14.4" customHeight="1" x14ac:dyDescent="0.3">
      <c r="A3"/>
      <c r="B3"/>
      <c r="C3"/>
      <c r="D3"/>
      <c r="E3"/>
      <c r="F3"/>
      <c r="G3"/>
      <c r="H3"/>
      <c r="I3"/>
      <c r="J3"/>
      <c r="K3"/>
      <c r="L3"/>
      <c r="M3"/>
      <c r="N3"/>
      <c r="O3"/>
      <c r="P3"/>
      <c r="Q3"/>
      <c r="R3"/>
      <c r="S3"/>
      <c r="T3"/>
      <c r="U3"/>
      <c r="V3"/>
      <c r="W3"/>
      <c r="X3"/>
      <c r="Y3"/>
      <c r="Z3"/>
    </row>
    <row r="4" spans="1:36" ht="14.4" customHeight="1" x14ac:dyDescent="0.3">
      <c r="A4" s="70" t="s">
        <v>40</v>
      </c>
      <c r="B4" s="29" t="s">
        <v>30</v>
      </c>
      <c r="C4" s="29"/>
      <c r="D4" s="29"/>
      <c r="E4" s="29"/>
      <c r="F4" s="29"/>
      <c r="G4" s="29"/>
      <c r="H4" s="29"/>
      <c r="I4" s="29"/>
      <c r="J4" s="29"/>
      <c r="K4" s="29"/>
      <c r="L4" s="29"/>
      <c r="M4" s="29"/>
      <c r="N4" s="29"/>
      <c r="O4" s="29"/>
      <c r="P4" s="29"/>
      <c r="Q4" s="29"/>
      <c r="R4" s="29"/>
      <c r="S4" s="29"/>
      <c r="T4" s="29"/>
      <c r="U4" s="29"/>
      <c r="V4" s="29"/>
      <c r="W4" s="257" t="s">
        <v>92</v>
      </c>
      <c r="X4" s="257"/>
      <c r="Y4" s="3">
        <v>2032</v>
      </c>
      <c r="Z4" s="3">
        <f>Y4+1</f>
        <v>2033</v>
      </c>
      <c r="AA4" s="3">
        <f t="shared" ref="AA4:AC4" si="0">Z4+1</f>
        <v>2034</v>
      </c>
      <c r="AB4" s="3">
        <f t="shared" si="0"/>
        <v>2035</v>
      </c>
      <c r="AC4" s="3">
        <f t="shared" si="0"/>
        <v>2036</v>
      </c>
      <c r="AD4" s="8"/>
      <c r="AE4" s="30"/>
      <c r="AF4" s="30"/>
    </row>
    <row r="5" spans="1:36" s="19" customFormat="1" ht="1.95" customHeight="1" x14ac:dyDescent="0.3">
      <c r="B5" s="20"/>
      <c r="C5" s="20"/>
      <c r="D5" s="20"/>
      <c r="E5" s="20"/>
      <c r="F5" s="20"/>
      <c r="G5" s="20"/>
      <c r="H5" s="20"/>
      <c r="I5" s="20"/>
      <c r="J5" s="20"/>
      <c r="K5" s="20"/>
      <c r="L5" s="21"/>
      <c r="M5" s="21"/>
      <c r="N5" s="21"/>
      <c r="O5" s="21"/>
      <c r="P5" s="21"/>
    </row>
    <row r="6" spans="1:36" ht="14.4" customHeight="1" x14ac:dyDescent="0.3">
      <c r="B6" s="13" t="s">
        <v>31</v>
      </c>
      <c r="C6" s="6"/>
      <c r="D6" s="6"/>
      <c r="E6" s="6"/>
      <c r="G6" s="13" t="s">
        <v>32</v>
      </c>
      <c r="H6" s="6"/>
      <c r="I6" s="6"/>
      <c r="J6" s="6"/>
      <c r="K6" s="6"/>
      <c r="M6" s="16" t="s">
        <v>23</v>
      </c>
      <c r="N6" s="16"/>
      <c r="O6" s="16"/>
      <c r="P6" s="6"/>
      <c r="R6" s="16" t="s">
        <v>22</v>
      </c>
      <c r="S6" s="16"/>
      <c r="T6" s="16"/>
      <c r="U6" s="6"/>
      <c r="V6"/>
      <c r="W6" s="1" t="s">
        <v>9</v>
      </c>
      <c r="Y6" s="8">
        <f>P96*1.11</f>
        <v>160392.5822671222</v>
      </c>
      <c r="Z6" s="8">
        <f>Y6*1.1</f>
        <v>176431.84049383443</v>
      </c>
      <c r="AA6" s="8">
        <f>Z6*1.09</f>
        <v>192310.70613827955</v>
      </c>
      <c r="AB6" s="8">
        <f>AA6*1.08</f>
        <v>207695.56262934193</v>
      </c>
      <c r="AC6" s="8">
        <f>AB6*1.07</f>
        <v>222234.25201339589</v>
      </c>
      <c r="AD6" s="8"/>
      <c r="AE6" s="30"/>
      <c r="AF6" s="30"/>
      <c r="AG6" s="30"/>
      <c r="AH6" s="30"/>
      <c r="AI6" s="30"/>
      <c r="AJ6" s="30"/>
    </row>
    <row r="7" spans="1:36" s="19" customFormat="1" ht="14.4" customHeight="1" x14ac:dyDescent="0.3">
      <c r="A7" s="1"/>
      <c r="B7" s="1" t="s">
        <v>0</v>
      </c>
      <c r="C7" s="1"/>
      <c r="D7" s="1"/>
      <c r="E7" s="14" t="s">
        <v>96</v>
      </c>
      <c r="F7" s="1"/>
      <c r="G7" s="1" t="s">
        <v>33</v>
      </c>
      <c r="H7" s="1"/>
      <c r="I7" s="258">
        <v>85100</v>
      </c>
      <c r="J7" s="258"/>
      <c r="K7" s="258"/>
      <c r="L7" s="1"/>
      <c r="M7" s="1" t="s">
        <v>24</v>
      </c>
      <c r="N7" s="1"/>
      <c r="O7" s="1"/>
      <c r="P7" s="8">
        <f>SUM(K108:P108)</f>
        <v>67691.075789058057</v>
      </c>
      <c r="Q7" s="1"/>
      <c r="R7" s="1" t="s">
        <v>20</v>
      </c>
      <c r="S7" s="1"/>
      <c r="T7" s="1"/>
      <c r="U7" s="10">
        <v>0.105</v>
      </c>
      <c r="V7"/>
      <c r="W7" s="1" t="s">
        <v>78</v>
      </c>
      <c r="X7" s="1"/>
      <c r="Y7" s="11">
        <v>9.5000000000000001E-2</v>
      </c>
      <c r="Z7" s="11">
        <v>0.09</v>
      </c>
      <c r="AA7" s="11">
        <v>8.5000000000000006E-2</v>
      </c>
      <c r="AB7" s="11">
        <f t="shared" ref="AB7:AC7" si="1">(AB6-AA6)/AA6</f>
        <v>8.0000000000000099E-2</v>
      </c>
      <c r="AC7" s="11">
        <f t="shared" si="1"/>
        <v>7.0000000000000104E-2</v>
      </c>
      <c r="AD7" s="11"/>
      <c r="AE7" s="30"/>
      <c r="AF7" s="30"/>
      <c r="AG7" s="30"/>
      <c r="AH7" s="30"/>
      <c r="AI7" s="30"/>
      <c r="AJ7" s="30"/>
    </row>
    <row r="8" spans="1:36" ht="14.4" customHeight="1" x14ac:dyDescent="0.3">
      <c r="B8" s="1" t="s">
        <v>1</v>
      </c>
      <c r="E8" s="17">
        <f>AVERAGE((P13/P12),(T23))</f>
        <v>93.304565313983744</v>
      </c>
      <c r="G8" s="1" t="s">
        <v>34</v>
      </c>
      <c r="I8" s="254">
        <v>1968</v>
      </c>
      <c r="J8" s="254"/>
      <c r="K8" s="254"/>
      <c r="M8" s="1" t="s">
        <v>25</v>
      </c>
      <c r="P8" s="8">
        <f>(P49*U8)</f>
        <v>779654.26250972052</v>
      </c>
      <c r="R8" s="1" t="s">
        <v>230</v>
      </c>
      <c r="U8" s="18">
        <v>12</v>
      </c>
      <c r="V8"/>
      <c r="W8" s="19"/>
      <c r="X8" s="19"/>
      <c r="AE8" s="30"/>
      <c r="AF8" s="30"/>
      <c r="AG8" s="30"/>
      <c r="AH8" s="30"/>
      <c r="AI8" s="30"/>
      <c r="AJ8" s="30"/>
    </row>
    <row r="9" spans="1:36" ht="14.4" customHeight="1" x14ac:dyDescent="0.3">
      <c r="B9" s="1" t="s">
        <v>2</v>
      </c>
      <c r="E9" s="17">
        <f ca="1">Extras!N3</f>
        <v>123</v>
      </c>
      <c r="G9" s="1" t="s">
        <v>35</v>
      </c>
      <c r="I9" s="254" t="s">
        <v>287</v>
      </c>
      <c r="J9" s="255"/>
      <c r="K9" s="255"/>
      <c r="M9" s="1" t="s">
        <v>29</v>
      </c>
      <c r="P9" s="8">
        <f>-(PV(U7,(DATE(2031,12,31)-$E$12)/365,0,P8))</f>
        <v>443057.08306021191</v>
      </c>
      <c r="R9" s="1" t="s">
        <v>255</v>
      </c>
      <c r="U9" s="10">
        <v>0.03</v>
      </c>
      <c r="V9"/>
      <c r="AE9" s="30"/>
      <c r="AF9" s="30"/>
      <c r="AG9" s="30"/>
      <c r="AH9" s="30"/>
      <c r="AI9" s="30"/>
      <c r="AJ9" s="30"/>
    </row>
    <row r="10" spans="1:36" ht="14.4" customHeight="1" x14ac:dyDescent="0.3">
      <c r="B10" s="1" t="s">
        <v>3</v>
      </c>
      <c r="E10" s="92">
        <f ca="1">E8/E9-1</f>
        <v>-0.24142629826029471</v>
      </c>
      <c r="G10" s="1" t="s">
        <v>36</v>
      </c>
      <c r="I10" s="255" t="s">
        <v>103</v>
      </c>
      <c r="J10" s="255"/>
      <c r="K10" s="255"/>
      <c r="M10" s="1" t="s">
        <v>19</v>
      </c>
      <c r="P10" s="66">
        <f>-32789+43027+2004</f>
        <v>12242</v>
      </c>
      <c r="V10"/>
      <c r="W10" s="1" t="s">
        <v>93</v>
      </c>
      <c r="Y10" s="8">
        <f>Y6*0.22</f>
        <v>35286.368098766885</v>
      </c>
      <c r="Z10" s="8">
        <f>Z6*0.23</f>
        <v>40579.323313581925</v>
      </c>
      <c r="AA10" s="8">
        <f>AA6*0.24</f>
        <v>46154.56947318709</v>
      </c>
      <c r="AB10" s="8">
        <f>AB6*0.25</f>
        <v>51923.890657335483</v>
      </c>
      <c r="AC10" s="8">
        <f>AC6*0.25</f>
        <v>55558.563003348972</v>
      </c>
      <c r="AD10" s="8"/>
      <c r="AE10" s="30"/>
      <c r="AF10" s="30"/>
      <c r="AG10" s="30"/>
      <c r="AH10" s="30"/>
      <c r="AI10" s="30"/>
      <c r="AJ10" s="30"/>
    </row>
    <row r="11" spans="1:36" ht="14.4" customHeight="1" x14ac:dyDescent="0.3">
      <c r="B11" s="1" t="s">
        <v>64</v>
      </c>
      <c r="E11" s="92">
        <f ca="1">(K17/E9)^(1/2)-1</f>
        <v>-4.304616920694504E-2</v>
      </c>
      <c r="G11" s="1" t="s">
        <v>37</v>
      </c>
      <c r="I11" s="255" t="s">
        <v>102</v>
      </c>
      <c r="J11" s="255"/>
      <c r="K11" s="255"/>
      <c r="M11" s="1" t="s">
        <v>87</v>
      </c>
      <c r="P11" s="8">
        <f>6000+4300</f>
        <v>10300</v>
      </c>
      <c r="R11" s="256"/>
      <c r="S11" s="256"/>
      <c r="T11" s="256"/>
      <c r="U11" s="256"/>
      <c r="V11"/>
      <c r="W11" s="5" t="s">
        <v>10</v>
      </c>
      <c r="Y11" s="11">
        <f>P106+0.003</f>
        <v>0.24961500651644764</v>
      </c>
      <c r="Z11" s="11">
        <f>Y11+0.0004</f>
        <v>0.25001500651644765</v>
      </c>
      <c r="AA11" s="11">
        <f>Z11</f>
        <v>0.25001500651644765</v>
      </c>
      <c r="AB11" s="11">
        <f t="shared" ref="AB11:AC11" si="2">AA11+0.0004</f>
        <v>0.25041500651644766</v>
      </c>
      <c r="AC11" s="11">
        <f t="shared" si="2"/>
        <v>0.25081500651644767</v>
      </c>
      <c r="AD11" s="11"/>
      <c r="AE11" s="30"/>
      <c r="AF11" s="30"/>
      <c r="AG11" s="30"/>
      <c r="AH11" s="30"/>
      <c r="AI11" s="30"/>
      <c r="AJ11" s="30"/>
    </row>
    <row r="12" spans="1:36" ht="14.4" customHeight="1" x14ac:dyDescent="0.3">
      <c r="B12" s="1" t="s">
        <v>39</v>
      </c>
      <c r="E12" s="15">
        <v>46147</v>
      </c>
      <c r="G12" s="1" t="s">
        <v>38</v>
      </c>
      <c r="I12" s="254">
        <v>46387</v>
      </c>
      <c r="J12" s="254"/>
      <c r="K12" s="254"/>
      <c r="M12" s="6" t="s">
        <v>26</v>
      </c>
      <c r="N12" s="6"/>
      <c r="O12" s="6"/>
      <c r="P12" s="9">
        <v>5026</v>
      </c>
      <c r="V12"/>
      <c r="AE12" s="30"/>
      <c r="AF12" s="30"/>
      <c r="AG12" s="30"/>
      <c r="AH12" s="30"/>
      <c r="AI12" s="30"/>
      <c r="AJ12" s="30"/>
    </row>
    <row r="13" spans="1:36" ht="14.4" customHeight="1" x14ac:dyDescent="0.3">
      <c r="I13" s="10"/>
      <c r="M13" s="1" t="s">
        <v>27</v>
      </c>
      <c r="P13" s="8">
        <f>P9+P7-P10+P11</f>
        <v>508806.15884926997</v>
      </c>
      <c r="R13" s="1" t="s">
        <v>91</v>
      </c>
      <c r="U13" s="17">
        <f>P13/P12</f>
        <v>101.23481075393354</v>
      </c>
      <c r="V13"/>
      <c r="W13" s="1" t="s">
        <v>86</v>
      </c>
      <c r="Y13" s="8">
        <f>Y10/(1+$U$7)^((DATE(2032,7,1)-$E$12)/365)</f>
        <v>19073.221274601758</v>
      </c>
      <c r="Z13" s="8">
        <f>Z10/(1+$U$7)^((DATE(2033,7,1)-$E$12)/365)</f>
        <v>19849.958792571968</v>
      </c>
      <c r="AA13" s="8">
        <f>AA10/(1+$U$7)^((DATE(2034,7,1)-$E$12)/365)</f>
        <v>20431.828526999125</v>
      </c>
      <c r="AB13" s="8">
        <f>AB10/(1+$U$7)^((DATE(2035,7,1)-$E$12)/365)</f>
        <v>20801.635378166535</v>
      </c>
      <c r="AC13" s="8">
        <f>AC10/(1+$U$7)^((DATE(2036,7,1)-$E$12)/365)</f>
        <v>20137.250773900898</v>
      </c>
      <c r="AD13" s="8"/>
      <c r="AE13" s="30"/>
      <c r="AF13" s="30"/>
      <c r="AG13" s="30"/>
      <c r="AH13" s="30"/>
      <c r="AI13" s="30"/>
      <c r="AJ13" s="30"/>
    </row>
    <row r="14" spans="1:36" ht="14.4" customHeight="1" x14ac:dyDescent="0.3">
      <c r="V14"/>
      <c r="AE14" s="30"/>
      <c r="AF14" s="30"/>
      <c r="AG14" s="30"/>
      <c r="AH14" s="30"/>
      <c r="AI14" s="30"/>
      <c r="AJ14" s="30"/>
    </row>
    <row r="15" spans="1:36" ht="14.4" customHeight="1" x14ac:dyDescent="0.3">
      <c r="A15" s="14" t="s">
        <v>40</v>
      </c>
      <c r="B15" s="2" t="s">
        <v>13</v>
      </c>
      <c r="C15" s="2"/>
      <c r="D15" s="2"/>
      <c r="E15" s="2">
        <v>2021</v>
      </c>
      <c r="F15" s="2">
        <f>E15+1</f>
        <v>2022</v>
      </c>
      <c r="G15" s="2">
        <f>F15+1</f>
        <v>2023</v>
      </c>
      <c r="H15" s="2">
        <f>G15+1</f>
        <v>2024</v>
      </c>
      <c r="I15" s="2">
        <f>H15+1</f>
        <v>2025</v>
      </c>
      <c r="J15" s="3" t="s">
        <v>4</v>
      </c>
      <c r="K15" s="3" t="s">
        <v>5</v>
      </c>
      <c r="M15" s="16" t="s">
        <v>43</v>
      </c>
      <c r="N15" s="16"/>
      <c r="O15" s="16"/>
      <c r="P15" s="6"/>
      <c r="R15" s="13" t="s">
        <v>89</v>
      </c>
      <c r="S15" s="6"/>
      <c r="T15" s="6"/>
      <c r="V15"/>
      <c r="W15" s="13" t="s">
        <v>249</v>
      </c>
      <c r="X15" s="6"/>
      <c r="Y15" s="6"/>
      <c r="Z15" s="215">
        <v>46165</v>
      </c>
      <c r="AE15" s="30"/>
      <c r="AF15" s="30"/>
      <c r="AG15" s="30"/>
      <c r="AH15" s="30"/>
      <c r="AI15" s="30"/>
      <c r="AJ15" s="30"/>
    </row>
    <row r="16" spans="1:36" s="19" customFormat="1" ht="1.95" customHeight="1" x14ac:dyDescent="0.3">
      <c r="B16" s="20"/>
      <c r="C16" s="20"/>
      <c r="D16" s="20"/>
      <c r="E16" s="20"/>
      <c r="F16" s="20"/>
      <c r="G16" s="20"/>
      <c r="H16" s="20"/>
      <c r="I16" s="20"/>
      <c r="J16" s="20"/>
      <c r="K16" s="20"/>
      <c r="L16" s="1"/>
      <c r="M16" s="1" t="s">
        <v>24</v>
      </c>
      <c r="N16" s="1"/>
      <c r="O16" s="1"/>
      <c r="P16" s="8">
        <f>SUM(J111:N111)</f>
        <v>0</v>
      </c>
      <c r="U16" s="8"/>
      <c r="AE16" s="30"/>
      <c r="AF16" s="30"/>
      <c r="AG16" s="30"/>
      <c r="AH16" s="30"/>
      <c r="AI16" s="30"/>
      <c r="AJ16" s="30"/>
    </row>
    <row r="17" spans="1:36" ht="14.4" customHeight="1" x14ac:dyDescent="0.3">
      <c r="A17" s="19"/>
      <c r="B17" s="1" t="s">
        <v>14</v>
      </c>
      <c r="E17" s="7">
        <v>51.5</v>
      </c>
      <c r="F17" s="7">
        <v>26.43</v>
      </c>
      <c r="G17" s="7">
        <v>50.25</v>
      </c>
      <c r="H17" s="7">
        <v>20.05</v>
      </c>
      <c r="I17" s="7">
        <v>36.9</v>
      </c>
      <c r="J17" s="69">
        <f>AVERAGE($U$13*(1+$U$7)-K105/J18,$T$23*(1+$U$7)-K105/J18)</f>
        <v>102.74639043784855</v>
      </c>
      <c r="K17" s="69">
        <f>AVERAGE($U$13*(1+$U$7)^2-(K105/J18)*(1+$U$7)-L105/K18,$T$23*(1+$U$7)^2-(K105/J18)*(1+$U$7)-L105/K18)</f>
        <v>112.63855801514886</v>
      </c>
      <c r="M17" s="1" t="s">
        <v>15</v>
      </c>
      <c r="P17" s="8">
        <f ca="1">E9*P12</f>
        <v>618198</v>
      </c>
      <c r="Q17" s="19"/>
      <c r="R17" s="1" t="s">
        <v>90</v>
      </c>
      <c r="T17" s="8">
        <f>SUM(K108:P108)+SUM((Y13:AC13))</f>
        <v>167984.97053529834</v>
      </c>
      <c r="U17" s="10"/>
      <c r="V17"/>
      <c r="W17" s="1" t="s">
        <v>250</v>
      </c>
      <c r="X17" s="213">
        <v>63</v>
      </c>
      <c r="Y17" s="214">
        <v>0.2</v>
      </c>
      <c r="Z17" s="213">
        <v>58</v>
      </c>
      <c r="AE17" s="30"/>
      <c r="AF17" s="30"/>
      <c r="AG17" s="30"/>
      <c r="AH17" s="30"/>
      <c r="AI17" s="30"/>
      <c r="AJ17" s="30"/>
    </row>
    <row r="18" spans="1:36" ht="14.4" customHeight="1" x14ac:dyDescent="0.3">
      <c r="B18" s="1" t="s">
        <v>104</v>
      </c>
      <c r="E18" s="12">
        <v>4059</v>
      </c>
      <c r="F18" s="12">
        <v>4108</v>
      </c>
      <c r="G18" s="12">
        <v>4190</v>
      </c>
      <c r="H18" s="12">
        <v>4280</v>
      </c>
      <c r="I18" s="12">
        <v>4530</v>
      </c>
      <c r="J18" s="8">
        <f>K70</f>
        <v>5237</v>
      </c>
      <c r="K18" s="8">
        <f>L70</f>
        <v>5446.4800000000005</v>
      </c>
      <c r="M18" s="1" t="s">
        <v>18</v>
      </c>
      <c r="P18" s="8">
        <f ca="1">P17+P10</f>
        <v>630440</v>
      </c>
      <c r="R18" s="1" t="s">
        <v>25</v>
      </c>
      <c r="T18" s="8">
        <f>(AC10*(1+U9)/($U$7-U9))/(1+$U$7)^((DATE(2036,12,31)-$E$12)/365)</f>
        <v>263048.36115159624</v>
      </c>
      <c r="U18" s="10"/>
      <c r="V18"/>
      <c r="W18" s="1" t="s">
        <v>251</v>
      </c>
      <c r="X18" s="213">
        <v>103</v>
      </c>
      <c r="Y18" s="214">
        <v>0.55000000000000004</v>
      </c>
      <c r="Z18" s="213">
        <v>93</v>
      </c>
      <c r="AE18"/>
      <c r="AF18" s="30"/>
      <c r="AG18" s="30"/>
      <c r="AH18" s="30"/>
      <c r="AI18" s="31"/>
    </row>
    <row r="19" spans="1:36" s="19" customFormat="1" ht="14.4" customHeight="1" x14ac:dyDescent="0.3">
      <c r="A19" s="1"/>
      <c r="B19" s="1"/>
      <c r="C19" s="1"/>
      <c r="D19" s="1"/>
      <c r="E19" s="1"/>
      <c r="F19" s="1"/>
      <c r="G19" s="1"/>
      <c r="H19" s="1"/>
      <c r="I19" s="1"/>
      <c r="J19" s="1"/>
      <c r="K19" s="1"/>
      <c r="L19" s="1"/>
      <c r="M19" s="1" t="s">
        <v>41</v>
      </c>
      <c r="N19" s="1"/>
      <c r="O19" s="1"/>
      <c r="P19" s="87">
        <f ca="1">$P$17/J67</f>
        <v>-2315.3483146067415</v>
      </c>
      <c r="Q19" s="1"/>
      <c r="R19" s="1" t="s">
        <v>19</v>
      </c>
      <c r="T19" s="67">
        <f>P10</f>
        <v>12242</v>
      </c>
      <c r="U19" s="10"/>
      <c r="V19"/>
      <c r="W19" s="19" t="s">
        <v>252</v>
      </c>
      <c r="X19" s="213">
        <v>273</v>
      </c>
      <c r="Y19" s="214">
        <v>0.25</v>
      </c>
      <c r="Z19" s="213">
        <v>248</v>
      </c>
      <c r="AE19"/>
      <c r="AF19" s="30"/>
      <c r="AG19" s="30"/>
      <c r="AH19" s="30"/>
      <c r="AI19" s="32"/>
    </row>
    <row r="20" spans="1:36" ht="14.4" customHeight="1" x14ac:dyDescent="0.3">
      <c r="B20" s="1" t="s">
        <v>15</v>
      </c>
      <c r="E20" s="8">
        <f>E18*E17</f>
        <v>209038.5</v>
      </c>
      <c r="F20" s="8">
        <f>F18*F17</f>
        <v>108574.44</v>
      </c>
      <c r="G20" s="8">
        <f>G18*G17</f>
        <v>210547.5</v>
      </c>
      <c r="H20" s="8">
        <f>H18*H17</f>
        <v>85814</v>
      </c>
      <c r="I20" s="8">
        <f>I18*I17</f>
        <v>167157</v>
      </c>
      <c r="J20" s="8">
        <f>J17*J18</f>
        <v>538082.84672301286</v>
      </c>
      <c r="K20" s="8">
        <f>K17*K18</f>
        <v>613483.65345834801</v>
      </c>
      <c r="M20" s="1" t="s">
        <v>44</v>
      </c>
      <c r="P20" s="23">
        <f ca="1">$P$17/K67</f>
        <v>177.8608615164876</v>
      </c>
      <c r="R20" s="6" t="s">
        <v>87</v>
      </c>
      <c r="S20" s="6"/>
      <c r="T20" s="68">
        <f>P11</f>
        <v>10300</v>
      </c>
      <c r="V20"/>
      <c r="AE20"/>
      <c r="AF20" s="30"/>
      <c r="AG20" s="30"/>
      <c r="AH20" s="30"/>
      <c r="AI20" s="41"/>
    </row>
    <row r="21" spans="1:36" ht="14.4" customHeight="1" x14ac:dyDescent="0.3">
      <c r="B21" s="1" t="s">
        <v>16</v>
      </c>
      <c r="E21" s="12">
        <v>29253</v>
      </c>
      <c r="F21" s="12">
        <v>28338</v>
      </c>
      <c r="G21" s="12">
        <v>25034</v>
      </c>
      <c r="H21" s="12">
        <v>22062</v>
      </c>
      <c r="I21" s="12">
        <v>37416</v>
      </c>
      <c r="J21" s="8">
        <v>30859</v>
      </c>
      <c r="K21" s="8">
        <v>45000</v>
      </c>
      <c r="M21" s="1" t="s">
        <v>42</v>
      </c>
      <c r="P21" s="23">
        <f ca="1">P18/(J46+J78)</f>
        <v>66.418036241045087</v>
      </c>
      <c r="R21" s="1" t="s">
        <v>21</v>
      </c>
      <c r="T21" s="8">
        <f>T17+T18-T19+T20</f>
        <v>429091.33168689458</v>
      </c>
      <c r="U21" s="19"/>
      <c r="V21"/>
      <c r="W21" s="1" t="s">
        <v>21</v>
      </c>
      <c r="X21" s="213">
        <f>SUMPRODUCT(X17:X19,Y17:Y19)</f>
        <v>137.5</v>
      </c>
      <c r="Z21" s="213">
        <f>SUMPRODUCT(Z17:Z19,Y17:Y19)</f>
        <v>124.75</v>
      </c>
      <c r="AE21"/>
      <c r="AF21" s="30"/>
      <c r="AG21" s="30"/>
      <c r="AH21" s="30"/>
      <c r="AI21" s="42"/>
    </row>
    <row r="22" spans="1:36" ht="14.4" customHeight="1" x14ac:dyDescent="0.3">
      <c r="B22" s="6" t="s">
        <v>17</v>
      </c>
      <c r="C22" s="6"/>
      <c r="D22" s="6"/>
      <c r="E22" s="9">
        <f>33510+4591</f>
        <v>38101</v>
      </c>
      <c r="F22" s="9">
        <f>37684+4367</f>
        <v>42051</v>
      </c>
      <c r="G22" s="9">
        <f>46978+2288</f>
        <v>49266</v>
      </c>
      <c r="H22" s="9">
        <f>46282+3729</f>
        <v>50011</v>
      </c>
      <c r="I22" s="9">
        <f>44086+2499</f>
        <v>46585</v>
      </c>
      <c r="J22" s="9">
        <f>42509+2066</f>
        <v>44575</v>
      </c>
      <c r="K22" s="9">
        <f>J22*1.01</f>
        <v>45020.75</v>
      </c>
      <c r="M22" s="1" t="s">
        <v>111</v>
      </c>
      <c r="P22" s="23">
        <f ca="1">P18/(K46+K78)</f>
        <v>40.805205931227725</v>
      </c>
      <c r="U22" s="10"/>
      <c r="V22"/>
      <c r="W22" s="1" t="s">
        <v>253</v>
      </c>
      <c r="X22" s="216">
        <f ca="1">E9</f>
        <v>123</v>
      </c>
      <c r="AE22"/>
      <c r="AF22" s="30"/>
      <c r="AG22" s="30"/>
      <c r="AH22" s="30"/>
      <c r="AI22" s="43"/>
    </row>
    <row r="23" spans="1:36" ht="14.4" customHeight="1" x14ac:dyDescent="0.3">
      <c r="B23" s="1" t="s">
        <v>18</v>
      </c>
      <c r="E23" s="8">
        <f t="shared" ref="E23:I23" si="3">E20-E21+E22</f>
        <v>217886.5</v>
      </c>
      <c r="F23" s="8">
        <f t="shared" si="3"/>
        <v>122287.44</v>
      </c>
      <c r="G23" s="8">
        <f t="shared" si="3"/>
        <v>234779.5</v>
      </c>
      <c r="H23" s="8">
        <f t="shared" si="3"/>
        <v>113763</v>
      </c>
      <c r="I23" s="8">
        <f t="shared" si="3"/>
        <v>176326</v>
      </c>
      <c r="J23" s="8">
        <f>J20-J21+J22</f>
        <v>551798.84672301286</v>
      </c>
      <c r="K23" s="8">
        <f t="shared" ref="K23" si="4">K20-K21+K22</f>
        <v>613504.40345834801</v>
      </c>
      <c r="M23" s="1" t="s">
        <v>88</v>
      </c>
      <c r="P23" s="87">
        <f ca="1">P18/J46</f>
        <v>-284.75158084914182</v>
      </c>
      <c r="R23" s="1" t="s">
        <v>91</v>
      </c>
      <c r="T23" s="17">
        <f>T21/P12</f>
        <v>85.374319874033944</v>
      </c>
      <c r="U23" s="8"/>
      <c r="W23" s="1" t="s">
        <v>254</v>
      </c>
      <c r="X23" s="10">
        <f ca="1">(X21-X22)/X22</f>
        <v>0.11788617886178862</v>
      </c>
      <c r="Y23" s="52"/>
      <c r="AD23" s="217"/>
      <c r="AI23" s="218"/>
    </row>
    <row r="24" spans="1:36" ht="14.4" customHeight="1" x14ac:dyDescent="0.3">
      <c r="P24" s="23"/>
      <c r="U24" s="10"/>
      <c r="AD24" s="217"/>
      <c r="AI24" s="36"/>
    </row>
    <row r="25" spans="1:36" ht="14.4" customHeight="1" x14ac:dyDescent="0.3">
      <c r="T25" s="37"/>
      <c r="U25" s="37"/>
    </row>
    <row r="26" spans="1:36" ht="14.4" customHeight="1" x14ac:dyDescent="0.3">
      <c r="A26" s="14" t="s">
        <v>40</v>
      </c>
      <c r="B26" s="33" t="s">
        <v>66</v>
      </c>
      <c r="C26" s="33"/>
      <c r="D26" s="33"/>
      <c r="E26" s="33">
        <v>2020</v>
      </c>
      <c r="F26" s="33">
        <v>2021</v>
      </c>
      <c r="G26" s="33">
        <v>2022</v>
      </c>
      <c r="H26" s="33">
        <v>2023</v>
      </c>
      <c r="I26" s="33">
        <v>2024</v>
      </c>
      <c r="J26" s="33">
        <v>2025</v>
      </c>
      <c r="K26" s="34" t="s">
        <v>4</v>
      </c>
      <c r="L26" s="34" t="s">
        <v>5</v>
      </c>
      <c r="M26" s="34" t="s">
        <v>6</v>
      </c>
      <c r="N26" s="34" t="s">
        <v>7</v>
      </c>
      <c r="O26" s="34" t="s">
        <v>8</v>
      </c>
      <c r="P26" s="34" t="s">
        <v>75</v>
      </c>
      <c r="R26" s="29" t="s">
        <v>286</v>
      </c>
      <c r="S26" s="33"/>
      <c r="T26" s="33"/>
      <c r="U26" s="34" t="s">
        <v>4</v>
      </c>
      <c r="V26" s="34" t="s">
        <v>5</v>
      </c>
      <c r="W26" s="34" t="s">
        <v>6</v>
      </c>
      <c r="X26" s="34" t="s">
        <v>7</v>
      </c>
      <c r="Y26" s="34" t="s">
        <v>8</v>
      </c>
      <c r="Z26" s="34" t="s">
        <v>75</v>
      </c>
    </row>
    <row r="27" spans="1:36" s="19" customFormat="1" ht="1.95" customHeight="1" x14ac:dyDescent="0.3">
      <c r="B27" s="20"/>
      <c r="C27" s="20"/>
      <c r="D27" s="20"/>
      <c r="E27" s="20"/>
      <c r="F27" s="20"/>
      <c r="G27" s="20"/>
      <c r="H27" s="20"/>
      <c r="I27" s="20"/>
      <c r="J27" s="20"/>
      <c r="K27" s="21"/>
      <c r="L27" s="21"/>
      <c r="M27" s="21"/>
      <c r="N27" s="21"/>
      <c r="O27" s="21"/>
    </row>
    <row r="28" spans="1:36" ht="14.4" customHeight="1" x14ac:dyDescent="0.3">
      <c r="B28" s="1" t="s">
        <v>9</v>
      </c>
      <c r="E28" s="12">
        <v>77867</v>
      </c>
      <c r="F28" s="12">
        <v>79024</v>
      </c>
      <c r="G28" s="12">
        <v>63054</v>
      </c>
      <c r="H28" s="12">
        <v>54228</v>
      </c>
      <c r="I28" s="12">
        <v>53101</v>
      </c>
      <c r="J28" s="12">
        <v>52853</v>
      </c>
      <c r="K28" s="212">
        <f>Segments!I20</f>
        <v>58495.857499999998</v>
      </c>
      <c r="L28" s="212">
        <f>Segments!J20</f>
        <v>74214.817791269961</v>
      </c>
      <c r="M28" s="212">
        <f>Segments!K20</f>
        <v>92740.818610000002</v>
      </c>
      <c r="N28" s="212">
        <f>Segments!L20</f>
        <v>114902.72623001219</v>
      </c>
      <c r="O28" s="212">
        <f>Segments!M20</f>
        <v>131644.53077994319</v>
      </c>
      <c r="P28" s="212">
        <f>Segments!N20</f>
        <v>144497.82186227225</v>
      </c>
      <c r="R28" s="1" t="str">
        <f>B28</f>
        <v>Revenue</v>
      </c>
      <c r="S28" s="8"/>
      <c r="U28" s="8">
        <f t="shared" ref="U28:Z28" si="5">K28</f>
        <v>58495.857499999998</v>
      </c>
      <c r="V28" s="8">
        <f t="shared" si="5"/>
        <v>74214.817791269961</v>
      </c>
      <c r="W28" s="8">
        <f t="shared" si="5"/>
        <v>92740.818610000002</v>
      </c>
      <c r="X28" s="8">
        <f t="shared" si="5"/>
        <v>114902.72623001219</v>
      </c>
      <c r="Y28" s="8">
        <f t="shared" si="5"/>
        <v>131644.53077994319</v>
      </c>
      <c r="Z28" s="8">
        <f t="shared" si="5"/>
        <v>144497.82186227225</v>
      </c>
    </row>
    <row r="29" spans="1:36" ht="14.4" customHeight="1" x14ac:dyDescent="0.3">
      <c r="B29" s="5" t="s">
        <v>78</v>
      </c>
      <c r="C29" s="5"/>
      <c r="D29" s="5"/>
      <c r="F29" s="48">
        <f>(F28-E28)/E28</f>
        <v>1.4858669269395251E-2</v>
      </c>
      <c r="G29" s="48">
        <f t="shared" ref="G29:P29" si="6">(G28-F28)/F28</f>
        <v>-0.20209050415063778</v>
      </c>
      <c r="H29" s="48">
        <f t="shared" si="6"/>
        <v>-0.13997525930155105</v>
      </c>
      <c r="I29" s="48">
        <f t="shared" si="6"/>
        <v>-2.0782621523935976E-2</v>
      </c>
      <c r="J29" s="48">
        <f t="shared" si="6"/>
        <v>-4.6703451912393362E-3</v>
      </c>
      <c r="K29" s="48">
        <f t="shared" si="6"/>
        <v>0.10676513159139497</v>
      </c>
      <c r="L29" s="48">
        <f t="shared" si="6"/>
        <v>0.2687192044542635</v>
      </c>
      <c r="M29" s="48">
        <f t="shared" si="6"/>
        <v>0.2496267102728007</v>
      </c>
      <c r="N29" s="48">
        <f t="shared" si="6"/>
        <v>0.23896605563952325</v>
      </c>
      <c r="O29" s="48">
        <f t="shared" si="6"/>
        <v>0.14570415428105041</v>
      </c>
      <c r="P29" s="48">
        <f t="shared" si="6"/>
        <v>9.7636346957813244E-2</v>
      </c>
      <c r="R29" s="247" t="s">
        <v>277</v>
      </c>
      <c r="S29" s="248"/>
      <c r="T29" s="248"/>
      <c r="U29" s="249">
        <f>K29</f>
        <v>0.10676513159139497</v>
      </c>
      <c r="V29" s="249">
        <f t="shared" ref="V29:Z29" si="7">L29</f>
        <v>0.2687192044542635</v>
      </c>
      <c r="W29" s="249">
        <f t="shared" si="7"/>
        <v>0.2496267102728007</v>
      </c>
      <c r="X29" s="249">
        <f t="shared" si="7"/>
        <v>0.23896605563952325</v>
      </c>
      <c r="Y29" s="249">
        <f t="shared" si="7"/>
        <v>0.14570415428105041</v>
      </c>
      <c r="Z29" s="249">
        <f t="shared" si="7"/>
        <v>9.7636346957813244E-2</v>
      </c>
    </row>
    <row r="30" spans="1:36" ht="14.4" customHeight="1" x14ac:dyDescent="0.3">
      <c r="E30" s="36"/>
      <c r="F30" s="36"/>
      <c r="G30" s="36"/>
      <c r="H30" s="36"/>
      <c r="I30" s="36"/>
      <c r="J30" s="36"/>
      <c r="K30" s="36"/>
      <c r="L30" s="36"/>
      <c r="M30" s="36"/>
      <c r="R30" s="246" t="str">
        <f>B34</f>
        <v>Gross Profit</v>
      </c>
      <c r="S30" s="77"/>
      <c r="U30" s="8">
        <f>K34</f>
        <v>22228.42585</v>
      </c>
      <c r="V30" s="8">
        <f t="shared" ref="V30:Z30" si="8">L34</f>
        <v>30799.149383377036</v>
      </c>
      <c r="W30" s="8">
        <f t="shared" si="8"/>
        <v>44051.888839749998</v>
      </c>
      <c r="X30" s="8">
        <f t="shared" si="8"/>
        <v>58600.390377306219</v>
      </c>
      <c r="Y30" s="8">
        <f t="shared" si="8"/>
        <v>70429.823967269593</v>
      </c>
      <c r="Z30" s="8">
        <f t="shared" si="8"/>
        <v>79473.802024249744</v>
      </c>
    </row>
    <row r="31" spans="1:36" ht="14.4" customHeight="1" x14ac:dyDescent="0.3">
      <c r="B31" s="1" t="s">
        <v>94</v>
      </c>
      <c r="E31" s="38">
        <v>34255</v>
      </c>
      <c r="F31" s="38">
        <v>35209</v>
      </c>
      <c r="G31" s="38">
        <v>36188</v>
      </c>
      <c r="H31" s="38">
        <v>32517</v>
      </c>
      <c r="I31" s="38">
        <v>35756</v>
      </c>
      <c r="J31" s="38">
        <v>34478</v>
      </c>
      <c r="K31" s="46">
        <f>K28*0.62</f>
        <v>36267.431649999999</v>
      </c>
      <c r="L31" s="46">
        <f>L28*0.585</f>
        <v>43415.668407892925</v>
      </c>
      <c r="M31" s="46">
        <f>M28*0.525</f>
        <v>48688.929770250004</v>
      </c>
      <c r="N31" s="46">
        <f>N28*0.49</f>
        <v>56302.335852705975</v>
      </c>
      <c r="O31" s="46">
        <f>O28*0.465</f>
        <v>61214.70681267359</v>
      </c>
      <c r="P31" s="46">
        <f>P28*0.45</f>
        <v>65024.019838022512</v>
      </c>
      <c r="R31" s="247" t="s">
        <v>278</v>
      </c>
      <c r="S31" s="248"/>
      <c r="T31" s="248"/>
      <c r="U31" s="249">
        <f>K35</f>
        <v>0.38</v>
      </c>
      <c r="V31" s="249">
        <f t="shared" ref="V31:Z31" si="9">L35</f>
        <v>0.41500000000000004</v>
      </c>
      <c r="W31" s="249">
        <f t="shared" si="9"/>
        <v>0.47499999999999998</v>
      </c>
      <c r="X31" s="249">
        <f t="shared" si="9"/>
        <v>0.51</v>
      </c>
      <c r="Y31" s="249">
        <f t="shared" si="9"/>
        <v>0.53499999999999992</v>
      </c>
      <c r="Z31" s="249">
        <f t="shared" si="9"/>
        <v>0.55000000000000004</v>
      </c>
    </row>
    <row r="32" spans="1:36" ht="14.4" customHeight="1" x14ac:dyDescent="0.3">
      <c r="B32" s="5" t="s">
        <v>10</v>
      </c>
      <c r="C32" s="5"/>
      <c r="D32" s="5"/>
      <c r="E32" s="35">
        <f t="shared" ref="E32:P32" si="10">E31/E28</f>
        <v>0.43991678117816274</v>
      </c>
      <c r="F32" s="35">
        <f t="shared" si="10"/>
        <v>0.4455481878922859</v>
      </c>
      <c r="G32" s="35">
        <f t="shared" si="10"/>
        <v>0.57392076632727507</v>
      </c>
      <c r="H32" s="35">
        <f t="shared" si="10"/>
        <v>0.59963487497233903</v>
      </c>
      <c r="I32" s="35">
        <f t="shared" si="10"/>
        <v>0.67335831716916816</v>
      </c>
      <c r="J32" s="35">
        <f t="shared" si="10"/>
        <v>0.65233761565095638</v>
      </c>
      <c r="K32" s="35">
        <f t="shared" si="10"/>
        <v>0.62</v>
      </c>
      <c r="L32" s="35">
        <f t="shared" si="10"/>
        <v>0.58499999999999996</v>
      </c>
      <c r="M32" s="35">
        <f t="shared" si="10"/>
        <v>0.52500000000000002</v>
      </c>
      <c r="N32" s="35">
        <f t="shared" si="10"/>
        <v>0.49</v>
      </c>
      <c r="O32" s="35">
        <f t="shared" si="10"/>
        <v>0.46500000000000002</v>
      </c>
      <c r="P32" s="35">
        <f t="shared" si="10"/>
        <v>0.45</v>
      </c>
      <c r="R32" s="246" t="s">
        <v>229</v>
      </c>
      <c r="S32" s="77"/>
      <c r="U32" s="8">
        <f>K49</f>
        <v>15449.989422000001</v>
      </c>
      <c r="V32" s="8">
        <f t="shared" ref="V32:Z32" si="11">L49</f>
        <v>21720.518222823659</v>
      </c>
      <c r="W32" s="8">
        <f t="shared" si="11"/>
        <v>31100.005531743001</v>
      </c>
      <c r="X32" s="8">
        <f t="shared" si="11"/>
        <v>44484.956022704595</v>
      </c>
      <c r="Y32" s="8">
        <f t="shared" si="11"/>
        <v>56181.399921602861</v>
      </c>
      <c r="Z32" s="8">
        <f t="shared" si="11"/>
        <v>64971.18854247671</v>
      </c>
    </row>
    <row r="33" spans="1:26" ht="14.4" customHeight="1" x14ac:dyDescent="0.3">
      <c r="E33" s="36"/>
      <c r="F33" s="36"/>
      <c r="G33" s="36"/>
      <c r="H33" s="36"/>
      <c r="I33" s="36"/>
      <c r="J33" s="36"/>
      <c r="K33" s="36"/>
      <c r="L33" s="36"/>
      <c r="M33" s="36"/>
      <c r="R33" s="247" t="s">
        <v>279</v>
      </c>
      <c r="S33" s="248"/>
      <c r="T33" s="248"/>
      <c r="U33" s="249">
        <f>K50</f>
        <v>0.26412108621537861</v>
      </c>
      <c r="V33" s="249">
        <f t="shared" ref="V33" si="12">L50</f>
        <v>0.29267090951988683</v>
      </c>
      <c r="W33" s="249">
        <f t="shared" ref="W33" si="13">M50</f>
        <v>0.33534322855750132</v>
      </c>
      <c r="X33" s="249">
        <f t="shared" ref="X33" si="14">N50</f>
        <v>0.38715318149766648</v>
      </c>
      <c r="Y33" s="249">
        <f t="shared" ref="Y33" si="15">O50</f>
        <v>0.4267659247881373</v>
      </c>
      <c r="Z33" s="249">
        <f t="shared" ref="Z33" si="16">P50</f>
        <v>0.44963437998673672</v>
      </c>
    </row>
    <row r="34" spans="1:26" ht="14.4" customHeight="1" x14ac:dyDescent="0.3">
      <c r="B34" s="1" t="s">
        <v>67</v>
      </c>
      <c r="E34" s="46">
        <f t="shared" ref="E34:P34" si="17">E28-E31</f>
        <v>43612</v>
      </c>
      <c r="F34" s="46">
        <f t="shared" si="17"/>
        <v>43815</v>
      </c>
      <c r="G34" s="46">
        <f t="shared" si="17"/>
        <v>26866</v>
      </c>
      <c r="H34" s="46">
        <f t="shared" si="17"/>
        <v>21711</v>
      </c>
      <c r="I34" s="46">
        <f t="shared" si="17"/>
        <v>17345</v>
      </c>
      <c r="J34" s="46">
        <f t="shared" si="17"/>
        <v>18375</v>
      </c>
      <c r="K34" s="46">
        <f t="shared" si="17"/>
        <v>22228.42585</v>
      </c>
      <c r="L34" s="46">
        <f t="shared" si="17"/>
        <v>30799.149383377036</v>
      </c>
      <c r="M34" s="46">
        <f t="shared" si="17"/>
        <v>44051.888839749998</v>
      </c>
      <c r="N34" s="46">
        <f t="shared" si="17"/>
        <v>58600.390377306219</v>
      </c>
      <c r="O34" s="46">
        <f t="shared" si="17"/>
        <v>70429.823967269593</v>
      </c>
      <c r="P34" s="46">
        <f t="shared" si="17"/>
        <v>79473.802024249744</v>
      </c>
      <c r="R34" s="246" t="s">
        <v>127</v>
      </c>
      <c r="S34" s="77"/>
      <c r="U34" s="8">
        <f>K46</f>
        <v>3657.2245500000008</v>
      </c>
      <c r="V34" s="8">
        <f t="shared" ref="V34:Z34" si="18">L46</f>
        <v>7827.5043322979218</v>
      </c>
      <c r="W34" s="8">
        <f t="shared" si="18"/>
        <v>16029.622507617998</v>
      </c>
      <c r="X34" s="8">
        <f t="shared" si="18"/>
        <v>29317.796160342987</v>
      </c>
      <c r="Y34" s="8">
        <f t="shared" si="18"/>
        <v>40384.056228009678</v>
      </c>
      <c r="Z34" s="8">
        <f t="shared" si="18"/>
        <v>49365.42378135131</v>
      </c>
    </row>
    <row r="35" spans="1:26" ht="14.4" customHeight="1" x14ac:dyDescent="0.3">
      <c r="B35" s="5" t="s">
        <v>10</v>
      </c>
      <c r="C35" s="5"/>
      <c r="D35" s="5"/>
      <c r="E35" s="35">
        <f t="shared" ref="E35:P35" si="19">E34/E28</f>
        <v>0.5600832188218372</v>
      </c>
      <c r="F35" s="35">
        <f t="shared" si="19"/>
        <v>0.5544518121077141</v>
      </c>
      <c r="G35" s="35">
        <f t="shared" si="19"/>
        <v>0.42607923367272499</v>
      </c>
      <c r="H35" s="35">
        <f t="shared" si="19"/>
        <v>0.40036512502766097</v>
      </c>
      <c r="I35" s="35">
        <f t="shared" si="19"/>
        <v>0.32664168283083184</v>
      </c>
      <c r="J35" s="35">
        <f t="shared" si="19"/>
        <v>0.34766238434904356</v>
      </c>
      <c r="K35" s="35">
        <f t="shared" si="19"/>
        <v>0.38</v>
      </c>
      <c r="L35" s="35">
        <f t="shared" si="19"/>
        <v>0.41500000000000004</v>
      </c>
      <c r="M35" s="35">
        <f t="shared" si="19"/>
        <v>0.47499999999999998</v>
      </c>
      <c r="N35" s="35">
        <f t="shared" si="19"/>
        <v>0.51</v>
      </c>
      <c r="O35" s="35">
        <f t="shared" si="19"/>
        <v>0.53499999999999992</v>
      </c>
      <c r="P35" s="35">
        <f t="shared" si="19"/>
        <v>0.55000000000000004</v>
      </c>
      <c r="R35" s="247" t="s">
        <v>280</v>
      </c>
      <c r="S35" s="248"/>
      <c r="T35" s="248"/>
      <c r="U35" s="249">
        <f>K47</f>
        <v>6.2521086215378607E-2</v>
      </c>
      <c r="V35" s="249">
        <f t="shared" ref="V35:Z35" si="20">L47</f>
        <v>0.10547090951988683</v>
      </c>
      <c r="W35" s="249">
        <f t="shared" si="20"/>
        <v>0.17284322855750128</v>
      </c>
      <c r="X35" s="249">
        <f t="shared" si="20"/>
        <v>0.25515318149766653</v>
      </c>
      <c r="Y35" s="249">
        <f t="shared" si="20"/>
        <v>0.3067659247881373</v>
      </c>
      <c r="Z35" s="249">
        <f t="shared" si="20"/>
        <v>0.34163437998673674</v>
      </c>
    </row>
    <row r="36" spans="1:26" ht="14.4" customHeight="1" x14ac:dyDescent="0.3">
      <c r="E36" s="36"/>
      <c r="F36" s="36"/>
      <c r="G36" s="36"/>
      <c r="H36" s="36"/>
      <c r="I36" s="36"/>
      <c r="J36" s="36"/>
      <c r="K36" s="36"/>
      <c r="L36" s="36"/>
      <c r="M36" s="36"/>
      <c r="R36" s="246" t="str">
        <f>B67</f>
        <v>Net Income</v>
      </c>
      <c r="S36"/>
      <c r="T36"/>
      <c r="U36" s="66">
        <f>K67</f>
        <v>3475.7393770000008</v>
      </c>
      <c r="V36" s="66">
        <f t="shared" ref="V36:Z36" si="21">L67</f>
        <v>7108.8181530301263</v>
      </c>
      <c r="W36" s="66">
        <f t="shared" si="21"/>
        <v>14187.825118199758</v>
      </c>
      <c r="X36" s="66">
        <f t="shared" si="21"/>
        <v>25558.675395074602</v>
      </c>
      <c r="Y36" s="66">
        <f t="shared" si="21"/>
        <v>34843.502652559073</v>
      </c>
      <c r="Z36" s="66">
        <f t="shared" si="21"/>
        <v>41960.610214148612</v>
      </c>
    </row>
    <row r="37" spans="1:26" s="46" customFormat="1" ht="14.4" customHeight="1" x14ac:dyDescent="0.3">
      <c r="A37" s="1"/>
      <c r="B37" s="1" t="s">
        <v>68</v>
      </c>
      <c r="C37" s="1"/>
      <c r="D37" s="1"/>
      <c r="E37" s="38">
        <v>13556</v>
      </c>
      <c r="F37" s="38">
        <v>15190</v>
      </c>
      <c r="G37" s="38">
        <v>17528</v>
      </c>
      <c r="H37" s="38">
        <v>16046</v>
      </c>
      <c r="I37" s="38">
        <v>16546</v>
      </c>
      <c r="J37" s="38">
        <v>13774</v>
      </c>
      <c r="K37" s="46">
        <f>K34-K40-N(K43)-K46</f>
        <v>13482.061697499999</v>
      </c>
      <c r="L37" s="46">
        <f t="shared" ref="L37:P37" si="22">L34-N(L43)-L46-L40</f>
        <v>18251.582639554344</v>
      </c>
      <c r="M37" s="46">
        <f t="shared" si="22"/>
        <v>22439.269051809999</v>
      </c>
      <c r="N37" s="46">
        <f t="shared" si="22"/>
        <v>22756.119367098538</v>
      </c>
      <c r="O37" s="46">
        <f t="shared" si="22"/>
        <v>23015.949795610948</v>
      </c>
      <c r="P37" s="46">
        <f t="shared" si="22"/>
        <v>22883.487149784822</v>
      </c>
      <c r="R37" s="247" t="s">
        <v>281</v>
      </c>
      <c r="S37" s="248"/>
      <c r="T37" s="248"/>
      <c r="U37" s="249">
        <f>K68</f>
        <v>5.9418555869533173E-2</v>
      </c>
      <c r="V37" s="249">
        <f t="shared" ref="V37:Z37" si="23">L68</f>
        <v>9.5787045829900982E-2</v>
      </c>
      <c r="W37" s="249">
        <f t="shared" si="23"/>
        <v>0.1529836088450261</v>
      </c>
      <c r="X37" s="249">
        <f t="shared" si="23"/>
        <v>0.22243750199548151</v>
      </c>
      <c r="Y37" s="249">
        <f t="shared" si="23"/>
        <v>0.26467869531779809</v>
      </c>
      <c r="Z37" s="249">
        <f t="shared" si="23"/>
        <v>0.29038922298872621</v>
      </c>
    </row>
    <row r="38" spans="1:26" ht="14.4" customHeight="1" x14ac:dyDescent="0.3">
      <c r="B38" s="5" t="s">
        <v>10</v>
      </c>
      <c r="E38" s="35">
        <f t="shared" ref="E38:G38" si="24">E37/E$28</f>
        <v>0.17409172049777183</v>
      </c>
      <c r="F38" s="35">
        <f t="shared" si="24"/>
        <v>0.19222008503745697</v>
      </c>
      <c r="G38" s="35">
        <f t="shared" si="24"/>
        <v>0.27798395026485234</v>
      </c>
      <c r="H38" s="35">
        <f>H37/H$28</f>
        <v>0.29589879766910082</v>
      </c>
      <c r="I38" s="35">
        <f t="shared" ref="I38:N38" si="25">I37/I$28</f>
        <v>0.31159488521873413</v>
      </c>
      <c r="J38" s="35">
        <f t="shared" si="25"/>
        <v>0.26060961534823002</v>
      </c>
      <c r="K38" s="35">
        <f t="shared" si="25"/>
        <v>0.2304789137846214</v>
      </c>
      <c r="L38" s="35">
        <f t="shared" si="25"/>
        <v>0.24592909048011319</v>
      </c>
      <c r="M38" s="35">
        <f t="shared" si="25"/>
        <v>0.24195677144249869</v>
      </c>
      <c r="N38" s="35">
        <f t="shared" si="25"/>
        <v>0.19804681850233349</v>
      </c>
      <c r="O38" s="35">
        <f t="shared" ref="O38" si="26">O37/O$28</f>
        <v>0.17483407521186259</v>
      </c>
      <c r="P38" s="35">
        <f t="shared" ref="P38" si="27">P37/P$28</f>
        <v>0.15836562001326332</v>
      </c>
      <c r="Q38" s="35"/>
      <c r="R38" s="1" t="s">
        <v>26</v>
      </c>
      <c r="S38" s="8"/>
      <c r="U38" s="66">
        <f>K70</f>
        <v>5237</v>
      </c>
      <c r="V38" s="66">
        <f t="shared" ref="V38:Z38" si="28">L70</f>
        <v>5446.4800000000005</v>
      </c>
      <c r="W38" s="66">
        <f t="shared" si="28"/>
        <v>5555.4096000000009</v>
      </c>
      <c r="X38" s="66">
        <f t="shared" si="28"/>
        <v>5666.5177920000006</v>
      </c>
      <c r="Y38" s="66">
        <f t="shared" si="28"/>
        <v>5779.8481478400008</v>
      </c>
      <c r="Z38" s="66">
        <f t="shared" si="28"/>
        <v>5895.4451107968007</v>
      </c>
    </row>
    <row r="39" spans="1:26" ht="14.4" customHeight="1" x14ac:dyDescent="0.3">
      <c r="E39" s="37"/>
      <c r="F39" s="37"/>
      <c r="G39" s="37"/>
      <c r="H39" s="37"/>
      <c r="I39" s="38"/>
      <c r="J39" s="38"/>
      <c r="K39" s="38"/>
      <c r="L39" s="38"/>
      <c r="M39" s="38"/>
      <c r="R39" s="1" t="s">
        <v>105</v>
      </c>
      <c r="S39" s="8"/>
      <c r="U39" s="76">
        <f t="shared" ref="U39:Z39" si="29">K73</f>
        <v>0.66368901603971753</v>
      </c>
      <c r="V39" s="76">
        <f t="shared" si="29"/>
        <v>1.3052133034602396</v>
      </c>
      <c r="W39" s="76">
        <f t="shared" si="29"/>
        <v>2.5538756166961578</v>
      </c>
      <c r="X39" s="76">
        <f t="shared" si="29"/>
        <v>4.5104729806299</v>
      </c>
      <c r="Y39" s="76">
        <f t="shared" si="29"/>
        <v>6.0284460354863318</v>
      </c>
      <c r="Z39" s="76">
        <f t="shared" si="29"/>
        <v>7.1174626216607102</v>
      </c>
    </row>
    <row r="40" spans="1:26" ht="14.4" customHeight="1" x14ac:dyDescent="0.3">
      <c r="B40" s="1" t="s">
        <v>97</v>
      </c>
      <c r="E40" s="38">
        <v>6180</v>
      </c>
      <c r="F40" s="38">
        <v>6543</v>
      </c>
      <c r="G40" s="38">
        <v>7002</v>
      </c>
      <c r="H40" s="38">
        <v>5634</v>
      </c>
      <c r="I40" s="38">
        <v>5507</v>
      </c>
      <c r="J40" s="38">
        <v>4624</v>
      </c>
      <c r="K40" s="46">
        <f>K28*K41</f>
        <v>3919.2224525000001</v>
      </c>
      <c r="L40" s="46">
        <f t="shared" ref="L40:P40" si="30">L28*L41</f>
        <v>4720.0624115247701</v>
      </c>
      <c r="M40" s="46">
        <f t="shared" si="30"/>
        <v>5582.9972803220007</v>
      </c>
      <c r="N40" s="46">
        <f t="shared" si="30"/>
        <v>6526.4748498646932</v>
      </c>
      <c r="O40" s="46">
        <f t="shared" si="30"/>
        <v>7029.8179436489663</v>
      </c>
      <c r="P40" s="46">
        <f t="shared" si="30"/>
        <v>7224.8910931136124</v>
      </c>
      <c r="R40" s="247" t="s">
        <v>282</v>
      </c>
      <c r="S40" s="248"/>
      <c r="T40" s="248"/>
      <c r="U40" s="249" t="s">
        <v>284</v>
      </c>
      <c r="V40" s="249">
        <f t="shared" ref="V40:Z40" si="31">L74</f>
        <v>0.96660374349502709</v>
      </c>
      <c r="W40" s="249">
        <f t="shared" si="31"/>
        <v>0.95667298971409542</v>
      </c>
      <c r="X40" s="249">
        <f t="shared" si="31"/>
        <v>0.7661286834575407</v>
      </c>
      <c r="Y40" s="249">
        <f t="shared" si="31"/>
        <v>0.3365440966779592</v>
      </c>
      <c r="Z40" s="249">
        <f t="shared" si="31"/>
        <v>0.18064631909515372</v>
      </c>
    </row>
    <row r="41" spans="1:26" ht="14.4" customHeight="1" x14ac:dyDescent="0.3">
      <c r="B41" s="5" t="s">
        <v>10</v>
      </c>
      <c r="E41" s="35">
        <f t="shared" ref="E41" si="32">E40/E$28</f>
        <v>7.9366098604029947E-2</v>
      </c>
      <c r="F41" s="35">
        <f t="shared" ref="F41" si="33">F40/F$28</f>
        <v>8.2797631099412836E-2</v>
      </c>
      <c r="G41" s="35">
        <f t="shared" ref="G41" si="34">G40/G$28</f>
        <v>0.11104767342278048</v>
      </c>
      <c r="H41" s="35">
        <f t="shared" ref="H41" si="35">H40/H$28</f>
        <v>0.10389466696171719</v>
      </c>
      <c r="I41" s="35">
        <f t="shared" ref="I41" si="36">I40/I$28</f>
        <v>0.10370802809739929</v>
      </c>
      <c r="J41" s="35">
        <f t="shared" ref="J41" si="37">J40/J$28</f>
        <v>8.7487938243808294E-2</v>
      </c>
      <c r="K41" s="35">
        <v>6.7000000000000004E-2</v>
      </c>
      <c r="L41" s="35">
        <f>$K$41+($P$41-$K$41)*(COLUMNS($K$41:L41)-1)/(COLUMNS($K$41:$P$41)-1)</f>
        <v>6.3600000000000004E-2</v>
      </c>
      <c r="M41" s="35">
        <f>$K$41+($P$41-$K$41)*(COLUMNS($K$41:M41)-1)/(COLUMNS($K$41:$P$41)-1)</f>
        <v>6.0200000000000004E-2</v>
      </c>
      <c r="N41" s="35">
        <f>$K$41+($P$41-$K$41)*(COLUMNS($K$41:N41)-1)/(COLUMNS($K$41:$P$41)-1)</f>
        <v>5.6800000000000003E-2</v>
      </c>
      <c r="O41" s="35">
        <f>$K$41+($P$41-$K$41)*(COLUMNS($K$41:O41)-1)/(COLUMNS($K$41:$P$41)-1)</f>
        <v>5.3400000000000003E-2</v>
      </c>
      <c r="P41" s="35">
        <v>0.05</v>
      </c>
      <c r="R41" s="246" t="s">
        <v>93</v>
      </c>
      <c r="S41"/>
      <c r="U41" s="66">
        <f>K105</f>
        <v>1859.9427240000005</v>
      </c>
      <c r="V41" s="66">
        <f t="shared" ref="V41:Z41" si="38">L105</f>
        <v>4881.153995738372</v>
      </c>
      <c r="W41" s="66">
        <f t="shared" si="38"/>
        <v>9482.0986039247582</v>
      </c>
      <c r="X41" s="66">
        <f t="shared" si="38"/>
        <v>19127.583415693647</v>
      </c>
      <c r="Y41" s="66">
        <f t="shared" si="38"/>
        <v>28210.332577854249</v>
      </c>
      <c r="Z41" s="66">
        <f t="shared" si="38"/>
        <v>35635.331280176761</v>
      </c>
    </row>
    <row r="42" spans="1:26" ht="14.4" customHeight="1" x14ac:dyDescent="0.3">
      <c r="B42" s="5"/>
      <c r="E42" s="35"/>
      <c r="F42" s="35"/>
      <c r="G42" s="35"/>
      <c r="H42" s="35"/>
      <c r="I42" s="35"/>
      <c r="J42" s="35"/>
      <c r="K42" s="35"/>
      <c r="L42" s="35"/>
      <c r="M42" s="35"/>
      <c r="N42" s="35"/>
      <c r="O42" s="35"/>
      <c r="P42" s="35"/>
      <c r="R42" s="247" t="s">
        <v>283</v>
      </c>
      <c r="U42" s="249">
        <f>K106</f>
        <v>3.1796144265429406E-2</v>
      </c>
      <c r="V42" s="249">
        <f t="shared" ref="V42:Z42" si="39">L106</f>
        <v>6.5770612136604234E-2</v>
      </c>
      <c r="W42" s="249">
        <f t="shared" si="39"/>
        <v>0.10224299015301476</v>
      </c>
      <c r="X42" s="249">
        <f t="shared" si="39"/>
        <v>0.16646762042359259</v>
      </c>
      <c r="Y42" s="249">
        <f t="shared" si="39"/>
        <v>0.21429171732937846</v>
      </c>
      <c r="Z42" s="249">
        <f t="shared" si="39"/>
        <v>0.24661500651644763</v>
      </c>
    </row>
    <row r="43" spans="1:26" ht="14.4" customHeight="1" x14ac:dyDescent="0.3">
      <c r="B43" s="1" t="s">
        <v>98</v>
      </c>
      <c r="E43" s="40">
        <v>198</v>
      </c>
      <c r="F43" s="40">
        <v>2626</v>
      </c>
      <c r="G43" s="40">
        <v>2</v>
      </c>
      <c r="H43" s="40">
        <v>-62</v>
      </c>
      <c r="I43" s="40">
        <v>6970</v>
      </c>
      <c r="J43" s="40">
        <v>2191</v>
      </c>
      <c r="K43" s="50">
        <f>K28*0.02</f>
        <v>1169.91715</v>
      </c>
      <c r="L43" s="50">
        <v>0</v>
      </c>
      <c r="M43" s="50">
        <v>0</v>
      </c>
      <c r="N43" s="50">
        <v>0</v>
      </c>
      <c r="O43" s="50">
        <v>0</v>
      </c>
      <c r="P43" s="50">
        <v>0</v>
      </c>
      <c r="R43" s="246" t="s">
        <v>81</v>
      </c>
      <c r="S43"/>
      <c r="T43"/>
      <c r="U43" s="8">
        <f>K81</f>
        <v>16378.840100000001</v>
      </c>
      <c r="V43" s="8">
        <f t="shared" ref="V43:Z43" si="40">L81</f>
        <v>19295.852625730189</v>
      </c>
      <c r="W43" s="8">
        <f t="shared" si="40"/>
        <v>23185.204652500001</v>
      </c>
      <c r="X43" s="8">
        <f t="shared" si="40"/>
        <v>25278.599770602683</v>
      </c>
      <c r="Y43" s="8">
        <f t="shared" si="40"/>
        <v>26328.90615598864</v>
      </c>
      <c r="Z43" s="8">
        <f t="shared" si="40"/>
        <v>26009.607935209006</v>
      </c>
    </row>
    <row r="44" spans="1:26" ht="14.4" customHeight="1" x14ac:dyDescent="0.3">
      <c r="B44" s="5" t="s">
        <v>10</v>
      </c>
      <c r="E44" s="48">
        <f t="shared" ref="E44" si="41">E43/E$28</f>
        <v>2.5427973339155227E-3</v>
      </c>
      <c r="F44" s="48">
        <f t="shared" ref="F44" si="42">F43/F$28</f>
        <v>3.3230411014375377E-2</v>
      </c>
      <c r="G44" s="48">
        <f t="shared" ref="G44" si="43">G43/G$28</f>
        <v>3.1718844165318618E-5</v>
      </c>
      <c r="H44" s="48">
        <f t="shared" ref="H44" si="44">H43/H$28</f>
        <v>-1.1433207936859186E-3</v>
      </c>
      <c r="I44" s="48">
        <f t="shared" ref="I44" si="45">I43/I$28</f>
        <v>0.13125929831829908</v>
      </c>
      <c r="J44" s="48">
        <f t="shared" ref="J44:K44" si="46">J43/J$28</f>
        <v>4.1454600495714526E-2</v>
      </c>
      <c r="K44" s="48">
        <f t="shared" si="46"/>
        <v>0.02</v>
      </c>
      <c r="L44" s="48">
        <f t="shared" ref="L44" si="47">L43/L$28</f>
        <v>0</v>
      </c>
      <c r="M44" s="48">
        <f t="shared" ref="M44" si="48">M43/M$28</f>
        <v>0</v>
      </c>
      <c r="N44" s="48">
        <f t="shared" ref="N44" si="49">N43/N$28</f>
        <v>0</v>
      </c>
      <c r="O44" s="48">
        <f t="shared" ref="O44" si="50">O43/O$28</f>
        <v>0</v>
      </c>
      <c r="P44" s="48">
        <f t="shared" ref="P44" si="51">P43/P$28</f>
        <v>0</v>
      </c>
      <c r="R44" s="247" t="s">
        <v>285</v>
      </c>
      <c r="U44" s="249">
        <f>K103</f>
        <v>0.28000000000000003</v>
      </c>
      <c r="V44" s="249">
        <f t="shared" ref="V44:Z44" si="52">L103</f>
        <v>0.26</v>
      </c>
      <c r="W44" s="249">
        <f t="shared" si="52"/>
        <v>0.25</v>
      </c>
      <c r="X44" s="249">
        <f t="shared" si="52"/>
        <v>0.22</v>
      </c>
      <c r="Y44" s="249">
        <f t="shared" si="52"/>
        <v>0.2</v>
      </c>
      <c r="Z44" s="249">
        <f t="shared" si="52"/>
        <v>0.18</v>
      </c>
    </row>
    <row r="45" spans="1:26" ht="14.4" customHeight="1" x14ac:dyDescent="0.3">
      <c r="E45" s="37"/>
      <c r="F45" s="37"/>
      <c r="G45" s="37"/>
      <c r="R45"/>
      <c r="S45"/>
      <c r="T45"/>
    </row>
    <row r="46" spans="1:26" ht="14.4" customHeight="1" x14ac:dyDescent="0.3">
      <c r="B46" s="1" t="s">
        <v>69</v>
      </c>
      <c r="E46" s="74">
        <f t="shared" ref="E46:G46" si="53">E34-E37-E40-E43</f>
        <v>23678</v>
      </c>
      <c r="F46" s="74">
        <f t="shared" si="53"/>
        <v>19456</v>
      </c>
      <c r="G46" s="74">
        <f t="shared" si="53"/>
        <v>2334</v>
      </c>
      <c r="H46" s="75">
        <f t="shared" ref="H46:I46" si="54">H34-H37-H40-H43</f>
        <v>93</v>
      </c>
      <c r="I46" s="75">
        <f t="shared" si="54"/>
        <v>-11678</v>
      </c>
      <c r="J46" s="75">
        <f>J34-J37-J40-J43</f>
        <v>-2214</v>
      </c>
      <c r="K46" s="212">
        <f>Segments!I57</f>
        <v>3657.2245500000008</v>
      </c>
      <c r="L46" s="212">
        <f>Segments!J57</f>
        <v>7827.5043322979218</v>
      </c>
      <c r="M46" s="212">
        <f>Segments!K57</f>
        <v>16029.622507617998</v>
      </c>
      <c r="N46" s="212">
        <f>Segments!L57</f>
        <v>29317.796160342987</v>
      </c>
      <c r="O46" s="212">
        <f>Segments!M57</f>
        <v>40384.056228009678</v>
      </c>
      <c r="P46" s="212">
        <f>Segments!N57</f>
        <v>49365.42378135131</v>
      </c>
      <c r="Q46" s="8"/>
      <c r="R46" s="8"/>
      <c r="S46" s="8"/>
      <c r="T46" s="8"/>
      <c r="U46" s="8"/>
      <c r="V46" s="8"/>
      <c r="W46" s="8"/>
    </row>
    <row r="47" spans="1:26" ht="14.4" customHeight="1" x14ac:dyDescent="0.3">
      <c r="B47" s="5" t="s">
        <v>10</v>
      </c>
      <c r="C47" s="5"/>
      <c r="D47" s="5"/>
      <c r="E47" s="48">
        <f t="shared" ref="E47" si="55">E46/E$28</f>
        <v>0.30408260238611995</v>
      </c>
      <c r="F47" s="48">
        <f t="shared" ref="F47" si="56">F46/F$28</f>
        <v>0.24620368495646891</v>
      </c>
      <c r="G47" s="48">
        <f t="shared" ref="G47" si="57">G46/G$28</f>
        <v>3.7015891140926828E-2</v>
      </c>
      <c r="H47" s="48">
        <f t="shared" ref="H47" si="58">H46/H$28</f>
        <v>1.714981190528878E-3</v>
      </c>
      <c r="I47" s="48">
        <f t="shared" ref="I47" si="59">I46/I$28</f>
        <v>-0.21992052880360069</v>
      </c>
      <c r="J47" s="48">
        <f t="shared" ref="J47" si="60">J46/J$28</f>
        <v>-4.1889769738709247E-2</v>
      </c>
      <c r="K47" s="48">
        <f t="shared" ref="K47" si="61">K46/K$28</f>
        <v>6.2521086215378607E-2</v>
      </c>
      <c r="L47" s="48">
        <f t="shared" ref="L47" si="62">L46/L$28</f>
        <v>0.10547090951988683</v>
      </c>
      <c r="M47" s="48">
        <f t="shared" ref="M47" si="63">M46/M$28</f>
        <v>0.17284322855750128</v>
      </c>
      <c r="N47" s="48">
        <f t="shared" ref="N47" si="64">N46/N$28</f>
        <v>0.25515318149766653</v>
      </c>
      <c r="O47" s="48">
        <f t="shared" ref="O47" si="65">O46/O$28</f>
        <v>0.3067659247881373</v>
      </c>
      <c r="P47" s="48">
        <f t="shared" ref="P47" si="66">P46/P$28</f>
        <v>0.34163437998673674</v>
      </c>
      <c r="R47" s="8"/>
      <c r="S47" s="8"/>
      <c r="T47" s="8"/>
      <c r="U47" s="8"/>
    </row>
    <row r="48" spans="1:26" ht="14.4" customHeight="1" x14ac:dyDescent="0.3">
      <c r="B48" s="5"/>
      <c r="C48" s="5"/>
      <c r="D48" s="5"/>
      <c r="E48" s="48"/>
      <c r="F48" s="48"/>
      <c r="G48" s="48"/>
      <c r="H48" s="48"/>
      <c r="I48" s="48"/>
      <c r="J48" s="48"/>
      <c r="K48" s="178"/>
      <c r="L48" s="48"/>
      <c r="M48" s="48"/>
      <c r="N48" s="48"/>
      <c r="O48" s="48"/>
      <c r="P48" s="48"/>
      <c r="R48" s="8"/>
      <c r="S48" s="8"/>
      <c r="T48" s="8"/>
      <c r="U48" s="8"/>
    </row>
    <row r="49" spans="2:21" ht="14.4" customHeight="1" x14ac:dyDescent="0.3">
      <c r="B49" s="1" t="s">
        <v>229</v>
      </c>
      <c r="E49" s="74">
        <f>E46+E78</f>
        <v>35917</v>
      </c>
      <c r="F49" s="74">
        <f t="shared" ref="F49:O49" si="67">F46+F78</f>
        <v>31248</v>
      </c>
      <c r="G49" s="74">
        <f t="shared" si="67"/>
        <v>15369</v>
      </c>
      <c r="H49" s="74">
        <f t="shared" si="67"/>
        <v>9695</v>
      </c>
      <c r="I49" s="74">
        <f t="shared" si="67"/>
        <v>-299</v>
      </c>
      <c r="J49" s="74">
        <f t="shared" si="67"/>
        <v>9492</v>
      </c>
      <c r="K49" s="74">
        <f t="shared" si="67"/>
        <v>15449.989422000001</v>
      </c>
      <c r="L49" s="74">
        <f t="shared" si="67"/>
        <v>21720.518222823659</v>
      </c>
      <c r="M49" s="74">
        <f t="shared" si="67"/>
        <v>31100.005531743001</v>
      </c>
      <c r="N49" s="74">
        <f t="shared" si="67"/>
        <v>44484.956022704595</v>
      </c>
      <c r="O49" s="74">
        <f t="shared" si="67"/>
        <v>56181.399921602861</v>
      </c>
      <c r="P49" s="74">
        <f>P46+P78</f>
        <v>64971.18854247671</v>
      </c>
      <c r="R49" s="8"/>
      <c r="S49" s="8"/>
      <c r="T49" s="8"/>
      <c r="U49" s="8"/>
    </row>
    <row r="50" spans="2:21" ht="14.4" customHeight="1" x14ac:dyDescent="0.3">
      <c r="B50" s="5" t="s">
        <v>10</v>
      </c>
      <c r="C50" s="5"/>
      <c r="D50" s="5"/>
      <c r="E50" s="48">
        <f t="shared" ref="E50:P50" si="68">E49/E$28</f>
        <v>0.46126086789012033</v>
      </c>
      <c r="F50" s="48">
        <f t="shared" si="68"/>
        <v>0.39542417493419718</v>
      </c>
      <c r="G50" s="48">
        <f t="shared" si="68"/>
        <v>0.24374345798839089</v>
      </c>
      <c r="H50" s="48">
        <f t="shared" si="68"/>
        <v>0.17878217894814488</v>
      </c>
      <c r="I50" s="48">
        <f t="shared" si="68"/>
        <v>-5.6307790813732318E-3</v>
      </c>
      <c r="J50" s="48">
        <f t="shared" si="68"/>
        <v>0.17959245454373451</v>
      </c>
      <c r="K50" s="48">
        <f t="shared" si="68"/>
        <v>0.26412108621537861</v>
      </c>
      <c r="L50" s="48">
        <f t="shared" si="68"/>
        <v>0.29267090951988683</v>
      </c>
      <c r="M50" s="48">
        <f t="shared" si="68"/>
        <v>0.33534322855750132</v>
      </c>
      <c r="N50" s="48">
        <f t="shared" si="68"/>
        <v>0.38715318149766648</v>
      </c>
      <c r="O50" s="48">
        <f t="shared" si="68"/>
        <v>0.4267659247881373</v>
      </c>
      <c r="P50" s="48">
        <f t="shared" si="68"/>
        <v>0.44963437998673672</v>
      </c>
      <c r="R50" s="8"/>
      <c r="S50" s="8"/>
      <c r="T50" s="8"/>
      <c r="U50" s="8"/>
    </row>
    <row r="51" spans="2:21" ht="14.4" customHeight="1" x14ac:dyDescent="0.3">
      <c r="E51" s="36"/>
      <c r="F51" s="36"/>
      <c r="G51" s="36"/>
      <c r="H51" s="36"/>
      <c r="I51" s="36"/>
      <c r="J51" s="36"/>
      <c r="K51" s="36"/>
      <c r="L51" s="36"/>
      <c r="M51" s="36"/>
      <c r="R51"/>
      <c r="S51"/>
      <c r="T51"/>
    </row>
    <row r="52" spans="2:21" ht="14.4" customHeight="1" x14ac:dyDescent="0.3">
      <c r="B52" s="1" t="s">
        <v>99</v>
      </c>
      <c r="E52" s="49">
        <v>1904</v>
      </c>
      <c r="F52" s="49">
        <v>2729</v>
      </c>
      <c r="G52" s="49">
        <v>4268</v>
      </c>
      <c r="H52" s="49">
        <v>40</v>
      </c>
      <c r="I52" s="49">
        <v>242</v>
      </c>
      <c r="J52" s="49">
        <v>514</v>
      </c>
      <c r="K52" s="50">
        <v>0</v>
      </c>
      <c r="L52" s="50">
        <v>0</v>
      </c>
      <c r="M52" s="50">
        <v>0</v>
      </c>
      <c r="N52" s="50">
        <v>0</v>
      </c>
      <c r="O52" s="50">
        <v>0</v>
      </c>
      <c r="P52" s="50">
        <v>0</v>
      </c>
      <c r="R52"/>
      <c r="S52"/>
      <c r="T52"/>
    </row>
    <row r="53" spans="2:21" ht="14.4" customHeight="1" x14ac:dyDescent="0.3">
      <c r="B53" s="5" t="s">
        <v>10</v>
      </c>
      <c r="C53" s="5"/>
      <c r="D53" s="5"/>
      <c r="E53" s="48">
        <f t="shared" ref="E53" si="69">E52/E$28</f>
        <v>2.4451950120076539E-2</v>
      </c>
      <c r="F53" s="48">
        <f t="shared" ref="F53" si="70">F52/F$28</f>
        <v>3.4533812512654381E-2</v>
      </c>
      <c r="G53" s="48">
        <f t="shared" ref="G53" si="71">G52/G$28</f>
        <v>6.7688013448789927E-2</v>
      </c>
      <c r="H53" s="48">
        <f t="shared" ref="H53" si="72">H52/H$28</f>
        <v>7.3762631850704432E-4</v>
      </c>
      <c r="I53" s="48">
        <f t="shared" ref="I53" si="73">I52/I$28</f>
        <v>4.5573529688706423E-3</v>
      </c>
      <c r="J53" s="48">
        <f t="shared" ref="J53" si="74">J52/J$28</f>
        <v>9.7250865608385518E-3</v>
      </c>
      <c r="K53" s="48">
        <f t="shared" ref="K53" si="75">K52/K$28</f>
        <v>0</v>
      </c>
      <c r="L53" s="48">
        <f t="shared" ref="L53" si="76">L52/L$28</f>
        <v>0</v>
      </c>
      <c r="M53" s="48">
        <f t="shared" ref="M53" si="77">M52/M$28</f>
        <v>0</v>
      </c>
      <c r="N53" s="48">
        <f t="shared" ref="N53" si="78">N52/N$28</f>
        <v>0</v>
      </c>
      <c r="O53" s="48">
        <f t="shared" ref="O53" si="79">O52/O$28</f>
        <v>0</v>
      </c>
      <c r="P53" s="48">
        <f t="shared" ref="P53" si="80">P52/P$28</f>
        <v>0</v>
      </c>
      <c r="R53"/>
      <c r="S53"/>
      <c r="T53"/>
    </row>
    <row r="54" spans="2:21" ht="14.4" customHeight="1" x14ac:dyDescent="0.3">
      <c r="B54" s="5"/>
      <c r="C54" s="5"/>
      <c r="D54" s="5"/>
      <c r="E54" s="48"/>
      <c r="F54" s="48"/>
      <c r="G54" s="48"/>
      <c r="K54" s="48"/>
      <c r="L54" s="48"/>
      <c r="M54" s="48"/>
      <c r="N54" s="48"/>
      <c r="O54" s="48"/>
      <c r="P54" s="48"/>
      <c r="R54"/>
      <c r="S54"/>
      <c r="T54"/>
    </row>
    <row r="55" spans="2:21" ht="14.4" customHeight="1" x14ac:dyDescent="0.3">
      <c r="B55" s="1" t="s">
        <v>100</v>
      </c>
      <c r="E55" s="40">
        <v>-504</v>
      </c>
      <c r="F55" s="40">
        <v>-482</v>
      </c>
      <c r="G55" s="40">
        <v>1166</v>
      </c>
      <c r="H55" s="40">
        <v>629</v>
      </c>
      <c r="I55" s="40">
        <v>226</v>
      </c>
      <c r="J55" s="40">
        <v>3257</v>
      </c>
      <c r="K55" s="75">
        <f>K28*0.005</f>
        <v>292.4792875</v>
      </c>
      <c r="L55" s="75">
        <f>L28*0.004</f>
        <v>296.85927116507986</v>
      </c>
      <c r="M55" s="75">
        <f>M28*0.003</f>
        <v>278.22245583</v>
      </c>
      <c r="N55" s="75">
        <f>N28*0.002</f>
        <v>229.80545246002438</v>
      </c>
      <c r="O55" s="75">
        <f>O28*0.001</f>
        <v>131.64453077994318</v>
      </c>
      <c r="P55" s="75">
        <v>0</v>
      </c>
      <c r="R55"/>
      <c r="S55"/>
      <c r="T55"/>
    </row>
    <row r="56" spans="2:21" ht="14.4" customHeight="1" x14ac:dyDescent="0.3">
      <c r="B56" s="5" t="s">
        <v>10</v>
      </c>
      <c r="C56" s="5"/>
      <c r="D56" s="5"/>
      <c r="E56" s="48">
        <f t="shared" ref="E56" si="81">E55/E$28</f>
        <v>-6.4725750317849665E-3</v>
      </c>
      <c r="F56" s="48">
        <f t="shared" ref="F56" si="82">F55/F$28</f>
        <v>-6.0994128366066002E-3</v>
      </c>
      <c r="G56" s="48">
        <f t="shared" ref="G56" si="83">G55/G$28</f>
        <v>1.8492086148380753E-2</v>
      </c>
      <c r="H56" s="48">
        <f t="shared" ref="H56" si="84">H55/H$28</f>
        <v>1.1599173858523272E-2</v>
      </c>
      <c r="I56" s="48">
        <f t="shared" ref="I56" si="85">I55/I$28</f>
        <v>4.25604037588746E-3</v>
      </c>
      <c r="J56" s="48">
        <f t="shared" ref="J56" si="86">J55/J$28</f>
        <v>6.1623748888426387E-2</v>
      </c>
      <c r="K56" s="48">
        <f t="shared" ref="K56" si="87">K55/K$28</f>
        <v>5.0000000000000001E-3</v>
      </c>
      <c r="L56" s="48">
        <f t="shared" ref="L56" si="88">L55/L$28</f>
        <v>4.0000000000000001E-3</v>
      </c>
      <c r="M56" s="48">
        <f t="shared" ref="M56" si="89">M55/M$28</f>
        <v>3.0000000000000001E-3</v>
      </c>
      <c r="N56" s="48">
        <f t="shared" ref="N56" si="90">N55/N$28</f>
        <v>2E-3</v>
      </c>
      <c r="O56" s="48">
        <f t="shared" ref="O56" si="91">O55/O$28</f>
        <v>1E-3</v>
      </c>
      <c r="P56" s="48">
        <f t="shared" ref="P56" si="92">P55/P$28</f>
        <v>0</v>
      </c>
      <c r="R56"/>
      <c r="S56"/>
      <c r="T56"/>
    </row>
    <row r="57" spans="2:21" ht="14.4" customHeight="1" x14ac:dyDescent="0.3">
      <c r="E57" s="39"/>
      <c r="F57" s="39"/>
      <c r="G57" s="39"/>
      <c r="K57" s="40"/>
      <c r="L57" s="40"/>
      <c r="M57" s="40"/>
      <c r="R57"/>
      <c r="S57"/>
      <c r="T57"/>
    </row>
    <row r="58" spans="2:21" ht="14.4" customHeight="1" x14ac:dyDescent="0.3">
      <c r="B58" s="1" t="s">
        <v>70</v>
      </c>
      <c r="E58" s="75">
        <f t="shared" ref="E58:G58" si="93">E46+E52+E55</f>
        <v>25078</v>
      </c>
      <c r="F58" s="75">
        <f t="shared" si="93"/>
        <v>21703</v>
      </c>
      <c r="G58" s="75">
        <f t="shared" si="93"/>
        <v>7768</v>
      </c>
      <c r="H58" s="75">
        <f>H46+H52+H55</f>
        <v>762</v>
      </c>
      <c r="I58" s="75">
        <f>I46+I52+I55</f>
        <v>-11210</v>
      </c>
      <c r="J58" s="75">
        <f>J46+J52+J55</f>
        <v>1557</v>
      </c>
      <c r="K58" s="75">
        <f t="shared" ref="K58:P58" si="94">K46+K52+K55</f>
        <v>3949.7038375000006</v>
      </c>
      <c r="L58" s="75">
        <f t="shared" si="94"/>
        <v>8124.3636034630017</v>
      </c>
      <c r="M58" s="75">
        <f t="shared" si="94"/>
        <v>16307.844963447998</v>
      </c>
      <c r="N58" s="75">
        <f t="shared" si="94"/>
        <v>29547.60161280301</v>
      </c>
      <c r="O58" s="75">
        <f t="shared" si="94"/>
        <v>40515.700758789622</v>
      </c>
      <c r="P58" s="75">
        <f t="shared" si="94"/>
        <v>49365.42378135131</v>
      </c>
      <c r="R58"/>
      <c r="S58"/>
      <c r="T58"/>
    </row>
    <row r="59" spans="2:21" ht="14.4" customHeight="1" x14ac:dyDescent="0.3">
      <c r="B59" s="5" t="s">
        <v>10</v>
      </c>
      <c r="E59" s="48">
        <f t="shared" ref="E59" si="95">E58/E$28</f>
        <v>0.32206197747441151</v>
      </c>
      <c r="F59" s="48">
        <f t="shared" ref="F59" si="96">F58/F$28</f>
        <v>0.27463808463251671</v>
      </c>
      <c r="G59" s="48">
        <f t="shared" ref="G59" si="97">G58/G$28</f>
        <v>0.12319599073809751</v>
      </c>
      <c r="H59" s="48">
        <f t="shared" ref="H59" si="98">H58/H$28</f>
        <v>1.4051781367559194E-2</v>
      </c>
      <c r="I59" s="48">
        <f t="shared" ref="I59" si="99">I58/I$28</f>
        <v>-0.21110713545884258</v>
      </c>
      <c r="J59" s="48">
        <f t="shared" ref="J59" si="100">J58/J$28</f>
        <v>2.9459065710555694E-2</v>
      </c>
      <c r="K59" s="48">
        <f t="shared" ref="K59" si="101">K58/K$28</f>
        <v>6.7521086215378598E-2</v>
      </c>
      <c r="L59" s="48">
        <f t="shared" ref="L59" si="102">L58/L$28</f>
        <v>0.10947090951988683</v>
      </c>
      <c r="M59" s="48">
        <f t="shared" ref="M59" si="103">M58/M$28</f>
        <v>0.17584322855750129</v>
      </c>
      <c r="N59" s="48">
        <f t="shared" ref="N59" si="104">N58/N$28</f>
        <v>0.25715318149766647</v>
      </c>
      <c r="O59" s="48">
        <f t="shared" ref="O59" si="105">O58/O$28</f>
        <v>0.3077659247881373</v>
      </c>
      <c r="P59" s="48">
        <f t="shared" ref="P59" si="106">P58/P$28</f>
        <v>0.34163437998673674</v>
      </c>
      <c r="R59"/>
      <c r="S59"/>
      <c r="T59"/>
    </row>
    <row r="60" spans="2:21" ht="14.4" customHeight="1" x14ac:dyDescent="0.3">
      <c r="E60" s="37"/>
      <c r="F60" s="37"/>
      <c r="G60" s="37"/>
      <c r="H60" s="37"/>
      <c r="I60" s="37"/>
      <c r="J60" s="37"/>
      <c r="K60" s="37"/>
      <c r="L60" s="37"/>
      <c r="M60" s="37"/>
      <c r="R60"/>
      <c r="S60"/>
      <c r="T60"/>
    </row>
    <row r="61" spans="2:21" ht="14.4" customHeight="1" x14ac:dyDescent="0.3">
      <c r="B61" s="1" t="s">
        <v>71</v>
      </c>
      <c r="E61" s="49">
        <v>4179</v>
      </c>
      <c r="F61" s="49">
        <v>1835</v>
      </c>
      <c r="G61" s="49">
        <v>-249</v>
      </c>
      <c r="H61" s="49">
        <v>-913</v>
      </c>
      <c r="I61" s="49">
        <v>8023</v>
      </c>
      <c r="J61" s="49">
        <v>1531</v>
      </c>
      <c r="K61" s="46">
        <f>K58*0.12</f>
        <v>473.96446050000009</v>
      </c>
      <c r="L61" s="46">
        <f>L58*0.125</f>
        <v>1015.5454504328752</v>
      </c>
      <c r="M61" s="46">
        <f>M58*0.13</f>
        <v>2120.01984524824</v>
      </c>
      <c r="N61" s="46">
        <f>N58*0.135</f>
        <v>3988.9262177284068</v>
      </c>
      <c r="O61" s="46">
        <f>O58*0.14</f>
        <v>5672.1981062305476</v>
      </c>
      <c r="P61" s="46">
        <f>P58*0.15</f>
        <v>7404.8135672026965</v>
      </c>
      <c r="R61"/>
      <c r="S61"/>
      <c r="T61"/>
    </row>
    <row r="62" spans="2:21" ht="14.4" customHeight="1" x14ac:dyDescent="0.3">
      <c r="B62" s="5" t="s">
        <v>76</v>
      </c>
      <c r="C62" s="5"/>
      <c r="D62" s="5"/>
      <c r="E62" s="48">
        <f t="shared" ref="E62:I62" si="107">E61/E58</f>
        <v>0.16664008294122337</v>
      </c>
      <c r="F62" s="48">
        <f t="shared" si="107"/>
        <v>8.4550522969174771E-2</v>
      </c>
      <c r="G62" s="48">
        <f t="shared" si="107"/>
        <v>-3.2054582904222452E-2</v>
      </c>
      <c r="H62" s="48">
        <f t="shared" si="107"/>
        <v>-1.1981627296587927</v>
      </c>
      <c r="I62" s="48">
        <f t="shared" si="107"/>
        <v>-0.71570026761819805</v>
      </c>
      <c r="J62" s="48">
        <f>J61/J58</f>
        <v>0.98330122029543998</v>
      </c>
      <c r="K62" s="48">
        <f>K61/K58</f>
        <v>0.12</v>
      </c>
      <c r="L62" s="48">
        <f t="shared" ref="L62:P62" si="108">L61/L58</f>
        <v>0.125</v>
      </c>
      <c r="M62" s="48">
        <f t="shared" si="108"/>
        <v>0.13</v>
      </c>
      <c r="N62" s="48">
        <f t="shared" si="108"/>
        <v>0.13500000000000001</v>
      </c>
      <c r="O62" s="48">
        <f t="shared" si="108"/>
        <v>0.14000000000000001</v>
      </c>
      <c r="P62" s="48">
        <f t="shared" si="108"/>
        <v>0.15</v>
      </c>
      <c r="R62"/>
      <c r="S62"/>
      <c r="T62"/>
    </row>
    <row r="63" spans="2:21" ht="14.4" customHeight="1" x14ac:dyDescent="0.3">
      <c r="B63" s="5"/>
      <c r="C63" s="5"/>
      <c r="D63" s="5"/>
      <c r="E63" s="35"/>
      <c r="F63" s="35"/>
      <c r="G63" s="35"/>
      <c r="H63" s="35"/>
      <c r="I63" s="35"/>
      <c r="J63" s="35"/>
      <c r="K63" s="35"/>
      <c r="L63" s="35"/>
      <c r="M63" s="35"/>
      <c r="N63" s="35"/>
      <c r="O63" s="35"/>
      <c r="P63" s="35"/>
      <c r="R63"/>
      <c r="S63"/>
      <c r="T63"/>
    </row>
    <row r="64" spans="2:21" ht="14.4" customHeight="1" x14ac:dyDescent="0.3">
      <c r="B64" s="1" t="s">
        <v>101</v>
      </c>
      <c r="E64" s="49">
        <v>0</v>
      </c>
      <c r="F64" s="49">
        <v>0</v>
      </c>
      <c r="G64" s="49">
        <v>3</v>
      </c>
      <c r="H64" s="49">
        <v>-14</v>
      </c>
      <c r="I64" s="49">
        <v>-477</v>
      </c>
      <c r="J64" s="49">
        <v>293</v>
      </c>
      <c r="K64" s="50">
        <v>0</v>
      </c>
      <c r="L64" s="50">
        <v>0</v>
      </c>
      <c r="M64" s="50">
        <v>0</v>
      </c>
      <c r="N64" s="50">
        <v>0</v>
      </c>
      <c r="O64" s="50">
        <v>0</v>
      </c>
      <c r="P64" s="50">
        <v>0</v>
      </c>
      <c r="R64"/>
      <c r="S64"/>
      <c r="T64"/>
    </row>
    <row r="65" spans="1:26" ht="14.4" customHeight="1" x14ac:dyDescent="0.3">
      <c r="B65" s="5" t="s">
        <v>76</v>
      </c>
      <c r="C65" s="5"/>
      <c r="D65" s="5"/>
      <c r="E65" s="48">
        <f t="shared" ref="E65" si="109">E64/E$28</f>
        <v>0</v>
      </c>
      <c r="F65" s="48">
        <f t="shared" ref="F65" si="110">F64/F$28</f>
        <v>0</v>
      </c>
      <c r="G65" s="48">
        <f t="shared" ref="G65" si="111">G64/G$28</f>
        <v>4.7578266247977927E-5</v>
      </c>
      <c r="H65" s="48">
        <f t="shared" ref="H65" si="112">H64/H$28</f>
        <v>-2.5816921147746552E-4</v>
      </c>
      <c r="I65" s="48">
        <f t="shared" ref="I65" si="113">I64/I$28</f>
        <v>-8.9828816783111432E-3</v>
      </c>
      <c r="J65" s="48">
        <f t="shared" ref="J65" si="114">J64/J$28</f>
        <v>5.5436777477153613E-3</v>
      </c>
      <c r="K65" s="48">
        <f t="shared" ref="K65" si="115">K64/K$28</f>
        <v>0</v>
      </c>
      <c r="L65" s="48">
        <f t="shared" ref="L65" si="116">L64/L$28</f>
        <v>0</v>
      </c>
      <c r="M65" s="48">
        <f t="shared" ref="M65" si="117">M64/M$28</f>
        <v>0</v>
      </c>
      <c r="N65" s="48">
        <f t="shared" ref="N65" si="118">N64/N$28</f>
        <v>0</v>
      </c>
      <c r="O65" s="48">
        <f t="shared" ref="O65" si="119">O64/O$28</f>
        <v>0</v>
      </c>
      <c r="P65" s="48">
        <f t="shared" ref="P65" si="120">P64/P$28</f>
        <v>0</v>
      </c>
      <c r="R65" s="49"/>
      <c r="S65"/>
      <c r="T65"/>
    </row>
    <row r="66" spans="1:26" ht="14.4" customHeight="1" x14ac:dyDescent="0.3">
      <c r="B66" s="5"/>
      <c r="C66" s="5"/>
      <c r="D66" s="5"/>
      <c r="E66" s="35"/>
      <c r="F66" s="35"/>
      <c r="G66" s="35"/>
      <c r="H66" s="35"/>
      <c r="I66" s="35"/>
      <c r="J66" s="35"/>
      <c r="K66" s="36"/>
      <c r="L66" s="36"/>
      <c r="M66" s="36"/>
      <c r="R66" s="49"/>
      <c r="S66"/>
      <c r="T66"/>
    </row>
    <row r="67" spans="1:26" ht="14.4" customHeight="1" x14ac:dyDescent="0.3">
      <c r="B67" s="1" t="s">
        <v>72</v>
      </c>
      <c r="E67" s="75">
        <f t="shared" ref="E67:G67" si="121">E58-E61-E64</f>
        <v>20899</v>
      </c>
      <c r="F67" s="75">
        <f t="shared" si="121"/>
        <v>19868</v>
      </c>
      <c r="G67" s="75">
        <f t="shared" si="121"/>
        <v>8014</v>
      </c>
      <c r="H67" s="75">
        <f t="shared" ref="H67:I67" si="122">H58-H61-H64</f>
        <v>1689</v>
      </c>
      <c r="I67" s="75">
        <f t="shared" si="122"/>
        <v>-18756</v>
      </c>
      <c r="J67" s="75">
        <f>J58-J61-J64</f>
        <v>-267</v>
      </c>
      <c r="K67" s="75">
        <f t="shared" ref="K67:P67" si="123">K58-K61-K64</f>
        <v>3475.7393770000008</v>
      </c>
      <c r="L67" s="75">
        <f t="shared" si="123"/>
        <v>7108.8181530301263</v>
      </c>
      <c r="M67" s="75">
        <f t="shared" si="123"/>
        <v>14187.825118199758</v>
      </c>
      <c r="N67" s="75">
        <f t="shared" si="123"/>
        <v>25558.675395074602</v>
      </c>
      <c r="O67" s="75">
        <f t="shared" si="123"/>
        <v>34843.502652559073</v>
      </c>
      <c r="P67" s="75">
        <f t="shared" si="123"/>
        <v>41960.610214148612</v>
      </c>
      <c r="R67"/>
      <c r="S67"/>
      <c r="T67"/>
    </row>
    <row r="68" spans="1:26" ht="14.4" customHeight="1" x14ac:dyDescent="0.3">
      <c r="B68" s="5" t="s">
        <v>77</v>
      </c>
      <c r="C68" s="5"/>
      <c r="D68" s="5"/>
      <c r="E68" s="48">
        <f t="shared" ref="E68" si="124">E67/E$28</f>
        <v>0.26839354283586114</v>
      </c>
      <c r="F68" s="48">
        <f t="shared" ref="F68" si="125">F67/F$28</f>
        <v>0.25141729094958493</v>
      </c>
      <c r="G68" s="48">
        <f t="shared" ref="G68" si="126">G67/G$28</f>
        <v>0.1270974085704317</v>
      </c>
      <c r="H68" s="48">
        <f t="shared" ref="H68" si="127">H67/H$28</f>
        <v>3.1146271298959947E-2</v>
      </c>
      <c r="I68" s="48">
        <f t="shared" ref="I68" si="128">I67/I$28</f>
        <v>-0.35321368712453627</v>
      </c>
      <c r="J68" s="48">
        <f t="shared" ref="J68" si="129">J67/J$28</f>
        <v>-5.0517472991126328E-3</v>
      </c>
      <c r="K68" s="48">
        <f t="shared" ref="K68" si="130">K67/K$28</f>
        <v>5.9418555869533173E-2</v>
      </c>
      <c r="L68" s="48">
        <f t="shared" ref="L68" si="131">L67/L$28</f>
        <v>9.5787045829900982E-2</v>
      </c>
      <c r="M68" s="48">
        <f t="shared" ref="M68" si="132">M67/M$28</f>
        <v>0.1529836088450261</v>
      </c>
      <c r="N68" s="48">
        <f t="shared" ref="N68" si="133">N67/N$28</f>
        <v>0.22243750199548151</v>
      </c>
      <c r="O68" s="48">
        <f t="shared" ref="O68" si="134">O67/O$28</f>
        <v>0.26467869531779809</v>
      </c>
      <c r="P68" s="48">
        <f t="shared" ref="P68" si="135">P67/P$28</f>
        <v>0.29038922298872621</v>
      </c>
      <c r="R68"/>
      <c r="S68"/>
      <c r="T68"/>
    </row>
    <row r="69" spans="1:26" ht="14.4" customHeight="1" x14ac:dyDescent="0.3">
      <c r="B69" s="5"/>
      <c r="C69" s="5"/>
      <c r="D69" s="5"/>
      <c r="E69" s="48"/>
      <c r="F69" s="48"/>
      <c r="G69" s="48"/>
      <c r="H69" s="48"/>
      <c r="I69" s="48"/>
      <c r="J69" s="48"/>
      <c r="K69" s="48"/>
      <c r="L69" s="48"/>
      <c r="M69" s="48"/>
      <c r="N69" s="48"/>
      <c r="O69" s="48"/>
      <c r="P69" s="48"/>
      <c r="R69"/>
      <c r="S69"/>
      <c r="T69"/>
    </row>
    <row r="70" spans="1:26" ht="14.4" customHeight="1" x14ac:dyDescent="0.3">
      <c r="B70" s="1" t="s">
        <v>26</v>
      </c>
      <c r="C70" s="5"/>
      <c r="D70" s="5"/>
      <c r="E70" s="12">
        <v>4199</v>
      </c>
      <c r="F70" s="12">
        <v>4059</v>
      </c>
      <c r="G70" s="12">
        <v>4108</v>
      </c>
      <c r="H70" s="12">
        <v>4190</v>
      </c>
      <c r="I70" s="12">
        <v>4280</v>
      </c>
      <c r="J70" s="12">
        <v>4530</v>
      </c>
      <c r="K70" s="12">
        <v>5237</v>
      </c>
      <c r="L70" s="8">
        <f>K70*1.04</f>
        <v>5446.4800000000005</v>
      </c>
      <c r="M70" s="8">
        <f>L70*1.02</f>
        <v>5555.4096000000009</v>
      </c>
      <c r="N70" s="8">
        <f t="shared" ref="N70:P70" si="136">M70*1.02</f>
        <v>5666.5177920000006</v>
      </c>
      <c r="O70" s="8">
        <f t="shared" si="136"/>
        <v>5779.8481478400008</v>
      </c>
      <c r="P70" s="8">
        <f t="shared" si="136"/>
        <v>5895.4451107968007</v>
      </c>
      <c r="R70"/>
      <c r="S70"/>
      <c r="T70"/>
    </row>
    <row r="71" spans="1:26" ht="14.4" customHeight="1" x14ac:dyDescent="0.3">
      <c r="B71" s="5" t="s">
        <v>78</v>
      </c>
      <c r="C71" s="5"/>
      <c r="D71" s="5"/>
      <c r="E71" s="48"/>
      <c r="F71" s="48">
        <f t="shared" ref="F71:J71" si="137">(F70-E70)/E70</f>
        <v>-3.3341271731364613E-2</v>
      </c>
      <c r="G71" s="48">
        <f t="shared" si="137"/>
        <v>1.2071938901207195E-2</v>
      </c>
      <c r="H71" s="48">
        <f t="shared" si="137"/>
        <v>1.9961051606621226E-2</v>
      </c>
      <c r="I71" s="48">
        <f t="shared" si="137"/>
        <v>2.1479713603818614E-2</v>
      </c>
      <c r="J71" s="48">
        <f t="shared" si="137"/>
        <v>5.8411214953271028E-2</v>
      </c>
      <c r="K71" s="48">
        <f>(K70-J70)/J70</f>
        <v>0.15607064017660044</v>
      </c>
      <c r="L71" s="48">
        <f t="shared" ref="L71:P71" si="138">(L70-K70)/K70</f>
        <v>4.0000000000000091E-2</v>
      </c>
      <c r="M71" s="48">
        <f t="shared" si="138"/>
        <v>2.000000000000007E-2</v>
      </c>
      <c r="N71" s="48">
        <f t="shared" si="138"/>
        <v>1.9999999999999941E-2</v>
      </c>
      <c r="O71" s="48">
        <f t="shared" si="138"/>
        <v>2.0000000000000046E-2</v>
      </c>
      <c r="P71" s="48">
        <f t="shared" si="138"/>
        <v>1.9999999999999976E-2</v>
      </c>
      <c r="R71"/>
      <c r="S71"/>
      <c r="T71"/>
    </row>
    <row r="72" spans="1:26" ht="14.4" customHeight="1" x14ac:dyDescent="0.3">
      <c r="B72" s="5"/>
      <c r="C72" s="5"/>
      <c r="D72" s="5"/>
      <c r="E72" s="48"/>
      <c r="F72" s="48"/>
      <c r="G72" s="48"/>
      <c r="H72" s="48"/>
      <c r="I72" s="48"/>
      <c r="J72" s="48"/>
      <c r="K72" s="48"/>
      <c r="L72" s="48"/>
      <c r="M72" s="48"/>
      <c r="N72" s="48"/>
      <c r="O72" s="48"/>
      <c r="P72" s="48"/>
      <c r="R72"/>
      <c r="S72"/>
      <c r="T72"/>
    </row>
    <row r="73" spans="1:26" ht="14.4" customHeight="1" x14ac:dyDescent="0.3">
      <c r="B73" s="1" t="s">
        <v>105</v>
      </c>
      <c r="C73" s="5"/>
      <c r="D73" s="5"/>
      <c r="E73" s="76">
        <f>E67/E70</f>
        <v>4.9771374136699214</v>
      </c>
      <c r="F73" s="76">
        <f t="shared" ref="F73:P73" si="139">F67/F70</f>
        <v>4.8948016752894805</v>
      </c>
      <c r="G73" s="76">
        <f t="shared" si="139"/>
        <v>1.950827653359299</v>
      </c>
      <c r="H73" s="76">
        <f t="shared" si="139"/>
        <v>0.40310262529832935</v>
      </c>
      <c r="I73" s="76">
        <f t="shared" si="139"/>
        <v>-4.3822429906542055</v>
      </c>
      <c r="J73" s="76">
        <f t="shared" si="139"/>
        <v>-5.8940397350993379E-2</v>
      </c>
      <c r="K73" s="76">
        <f t="shared" si="139"/>
        <v>0.66368901603971753</v>
      </c>
      <c r="L73" s="76">
        <f t="shared" si="139"/>
        <v>1.3052133034602396</v>
      </c>
      <c r="M73" s="76">
        <f t="shared" si="139"/>
        <v>2.5538756166961578</v>
      </c>
      <c r="N73" s="76">
        <f t="shared" si="139"/>
        <v>4.5104729806299</v>
      </c>
      <c r="O73" s="76">
        <f t="shared" si="139"/>
        <v>6.0284460354863318</v>
      </c>
      <c r="P73" s="76">
        <f t="shared" si="139"/>
        <v>7.1174626216607102</v>
      </c>
      <c r="R73"/>
      <c r="S73"/>
      <c r="T73"/>
    </row>
    <row r="74" spans="1:26" ht="14.4" customHeight="1" x14ac:dyDescent="0.3">
      <c r="B74" s="5" t="s">
        <v>78</v>
      </c>
      <c r="C74" s="5"/>
      <c r="D74" s="5"/>
      <c r="E74" s="48"/>
      <c r="F74" s="48">
        <f t="shared" ref="F74:G74" si="140">(F73-E73)/E73</f>
        <v>-1.6542789868389449E-2</v>
      </c>
      <c r="G74" s="48">
        <f t="shared" si="140"/>
        <v>-0.601449091756322</v>
      </c>
      <c r="H74" s="48">
        <f>(H73-G73)/G73</f>
        <v>-0.79336840719671364</v>
      </c>
      <c r="I74" s="48">
        <f t="shared" ref="I74:P74" si="141">(I73-H73)/H73</f>
        <v>-11.871283677229792</v>
      </c>
      <c r="J74" s="48">
        <f t="shared" si="141"/>
        <v>-0.98655017590838912</v>
      </c>
      <c r="K74" s="48">
        <f>(-K73-J73)/J73</f>
        <v>10.260341732808689</v>
      </c>
      <c r="L74" s="48">
        <f t="shared" si="141"/>
        <v>0.96660374349502709</v>
      </c>
      <c r="M74" s="48">
        <f t="shared" si="141"/>
        <v>0.95667298971409542</v>
      </c>
      <c r="N74" s="48">
        <f t="shared" si="141"/>
        <v>0.7661286834575407</v>
      </c>
      <c r="O74" s="48">
        <f t="shared" si="141"/>
        <v>0.3365440966779592</v>
      </c>
      <c r="P74" s="48">
        <f t="shared" si="141"/>
        <v>0.18064631909515372</v>
      </c>
      <c r="R74"/>
      <c r="S74"/>
      <c r="T74"/>
    </row>
    <row r="75" spans="1:26" s="19" customFormat="1" ht="14.4" customHeight="1" x14ac:dyDescent="0.3">
      <c r="A75" s="1"/>
      <c r="B75" s="1"/>
      <c r="C75" s="1"/>
      <c r="D75" s="1"/>
      <c r="E75" s="1"/>
      <c r="F75" s="1"/>
      <c r="G75" s="1"/>
      <c r="H75" s="1"/>
      <c r="I75" s="1"/>
      <c r="J75" s="1"/>
      <c r="K75" s="1"/>
      <c r="L75" s="1"/>
      <c r="M75" s="1"/>
      <c r="N75" s="1"/>
      <c r="O75" s="1"/>
      <c r="P75" s="1"/>
      <c r="Q75" s="1"/>
      <c r="R75" s="55"/>
      <c r="S75"/>
      <c r="T75" s="55"/>
      <c r="U75" s="1"/>
      <c r="V75" s="55"/>
      <c r="W75" s="1"/>
      <c r="X75" s="1"/>
      <c r="Y75" s="1"/>
      <c r="Z75" s="1"/>
    </row>
    <row r="76" spans="1:26" ht="14.4" customHeight="1" x14ac:dyDescent="0.3">
      <c r="A76" s="14" t="s">
        <v>40</v>
      </c>
      <c r="B76" s="33" t="s">
        <v>11</v>
      </c>
      <c r="C76" s="33"/>
      <c r="D76" s="33"/>
      <c r="E76" s="33">
        <v>2020</v>
      </c>
      <c r="F76" s="33">
        <v>2021</v>
      </c>
      <c r="G76" s="33">
        <v>2022</v>
      </c>
      <c r="H76" s="33">
        <v>2023</v>
      </c>
      <c r="I76" s="33">
        <v>2024</v>
      </c>
      <c r="J76" s="33">
        <v>2025</v>
      </c>
      <c r="K76" s="34" t="s">
        <v>4</v>
      </c>
      <c r="L76" s="34" t="s">
        <v>5</v>
      </c>
      <c r="M76" s="34" t="s">
        <v>6</v>
      </c>
      <c r="N76" s="34" t="s">
        <v>7</v>
      </c>
      <c r="O76" s="34" t="s">
        <v>8</v>
      </c>
      <c r="P76" s="34" t="s">
        <v>75</v>
      </c>
      <c r="R76"/>
      <c r="S76"/>
      <c r="T76"/>
      <c r="V76" s="55"/>
    </row>
    <row r="77" spans="1:26" s="19" customFormat="1" ht="1.95" customHeight="1" x14ac:dyDescent="0.3">
      <c r="A77" s="1"/>
      <c r="B77" s="1" t="s">
        <v>10</v>
      </c>
      <c r="C77" s="1"/>
      <c r="D77" s="1"/>
      <c r="E77" s="11"/>
      <c r="F77" s="11"/>
      <c r="G77" s="11"/>
      <c r="H77" s="11"/>
      <c r="I77" s="11"/>
      <c r="J77" s="11"/>
      <c r="K77" s="11"/>
      <c r="L77" s="11"/>
      <c r="M77" s="11"/>
      <c r="N77" s="11"/>
      <c r="O77" s="11"/>
      <c r="P77" s="11"/>
      <c r="Q77" s="1"/>
    </row>
    <row r="78" spans="1:26" ht="14.4" customHeight="1" x14ac:dyDescent="0.3">
      <c r="B78" s="1" t="s">
        <v>79</v>
      </c>
      <c r="E78" s="38">
        <v>12239</v>
      </c>
      <c r="F78" s="38">
        <v>11792</v>
      </c>
      <c r="G78" s="38">
        <v>13035</v>
      </c>
      <c r="H78" s="38">
        <v>9602</v>
      </c>
      <c r="I78" s="38">
        <v>11379</v>
      </c>
      <c r="J78" s="38">
        <v>11706</v>
      </c>
      <c r="K78" s="46">
        <f>K81*0.72</f>
        <v>11792.764872</v>
      </c>
      <c r="L78" s="46">
        <f>L81*0.72</f>
        <v>13893.013890525735</v>
      </c>
      <c r="M78" s="46">
        <f>M81*0.65</f>
        <v>15070.383024125002</v>
      </c>
      <c r="N78" s="46">
        <f>N81*0.6</f>
        <v>15167.159862361608</v>
      </c>
      <c r="O78" s="46">
        <f t="shared" ref="O78:P78" si="142">O81*0.6</f>
        <v>15797.343693593182</v>
      </c>
      <c r="P78" s="46">
        <f t="shared" si="142"/>
        <v>15605.764761125403</v>
      </c>
      <c r="R78" s="55"/>
      <c r="S78"/>
      <c r="T78" s="55"/>
    </row>
    <row r="79" spans="1:26" ht="14.4" customHeight="1" x14ac:dyDescent="0.3">
      <c r="B79" s="1" t="s">
        <v>82</v>
      </c>
      <c r="E79" s="48">
        <f>E78/E81</f>
        <v>0.85839528685650157</v>
      </c>
      <c r="F79" s="48">
        <f t="shared" ref="F79:J79" si="143">F78/F81</f>
        <v>0.62947739283617143</v>
      </c>
      <c r="G79" s="48">
        <f t="shared" si="143"/>
        <v>0.52494865289356052</v>
      </c>
      <c r="H79" s="48">
        <f t="shared" si="143"/>
        <v>0.37289320388349517</v>
      </c>
      <c r="I79" s="48">
        <f t="shared" si="143"/>
        <v>0.4752338790511193</v>
      </c>
      <c r="J79" s="48">
        <f t="shared" si="143"/>
        <v>0.80931969026548678</v>
      </c>
      <c r="K79" s="48">
        <f t="shared" ref="K79" si="144">K78/K81</f>
        <v>0.72</v>
      </c>
      <c r="L79" s="48">
        <f t="shared" ref="L79" si="145">L78/L81</f>
        <v>0.72</v>
      </c>
      <c r="M79" s="48">
        <f t="shared" ref="M79" si="146">M78/M81</f>
        <v>0.65</v>
      </c>
      <c r="N79" s="48">
        <f t="shared" ref="N79" si="147">N78/N81</f>
        <v>0.6</v>
      </c>
      <c r="O79" s="48">
        <f t="shared" ref="O79" si="148">O78/O81</f>
        <v>0.6</v>
      </c>
      <c r="P79" s="48">
        <f t="shared" ref="P79" si="149">P78/P81</f>
        <v>0.6</v>
      </c>
    </row>
    <row r="80" spans="1:26" ht="14.4" customHeight="1" x14ac:dyDescent="0.3">
      <c r="E80" s="11"/>
      <c r="F80" s="11"/>
      <c r="G80" s="11"/>
      <c r="H80" s="11"/>
      <c r="I80" s="11"/>
      <c r="J80" s="11"/>
      <c r="K80" s="11"/>
      <c r="L80" s="11"/>
      <c r="M80" s="11"/>
      <c r="N80" s="11"/>
      <c r="O80" s="11"/>
      <c r="P80" s="11"/>
      <c r="R80"/>
      <c r="S80"/>
      <c r="T80"/>
    </row>
    <row r="81" spans="1:28" ht="14.4" customHeight="1" x14ac:dyDescent="0.3">
      <c r="B81" s="1" t="s">
        <v>81</v>
      </c>
      <c r="E81" s="38">
        <v>14258</v>
      </c>
      <c r="F81" s="38">
        <v>18733</v>
      </c>
      <c r="G81" s="38">
        <v>24831</v>
      </c>
      <c r="H81" s="38">
        <v>25750</v>
      </c>
      <c r="I81" s="38">
        <v>23944</v>
      </c>
      <c r="J81" s="38">
        <v>14464</v>
      </c>
      <c r="K81" s="74">
        <f>K28*0.28</f>
        <v>16378.840100000001</v>
      </c>
      <c r="L81" s="74">
        <f>L28*0.26</f>
        <v>19295.852625730189</v>
      </c>
      <c r="M81" s="74">
        <f>M28*0.25</f>
        <v>23185.204652500001</v>
      </c>
      <c r="N81" s="74">
        <f>N28*0.22</f>
        <v>25278.599770602683</v>
      </c>
      <c r="O81" s="74">
        <f>O28*0.2</f>
        <v>26328.90615598864</v>
      </c>
      <c r="P81" s="74">
        <f>P28*0.18</f>
        <v>26009.607935209006</v>
      </c>
      <c r="R81" s="10"/>
      <c r="S81"/>
      <c r="T81"/>
    </row>
    <row r="82" spans="1:28" ht="14.4" customHeight="1" x14ac:dyDescent="0.3">
      <c r="B82" s="1" t="s">
        <v>10</v>
      </c>
      <c r="E82" s="48">
        <f t="shared" ref="E82:P82" si="150">E81/E28</f>
        <v>0.18310709286347232</v>
      </c>
      <c r="F82" s="48">
        <f t="shared" si="150"/>
        <v>0.23705456570155903</v>
      </c>
      <c r="G82" s="48">
        <f t="shared" si="150"/>
        <v>0.39380530973451328</v>
      </c>
      <c r="H82" s="48">
        <f t="shared" si="150"/>
        <v>0.4748469425389098</v>
      </c>
      <c r="I82" s="48">
        <f t="shared" si="150"/>
        <v>0.45091429539933336</v>
      </c>
      <c r="J82" s="48">
        <f t="shared" si="150"/>
        <v>0.27366469263807164</v>
      </c>
      <c r="K82" s="48">
        <f t="shared" si="150"/>
        <v>0.28000000000000003</v>
      </c>
      <c r="L82" s="48">
        <f t="shared" si="150"/>
        <v>0.26</v>
      </c>
      <c r="M82" s="48">
        <f t="shared" si="150"/>
        <v>0.25</v>
      </c>
      <c r="N82" s="48">
        <f t="shared" si="150"/>
        <v>0.22</v>
      </c>
      <c r="O82" s="48">
        <f t="shared" si="150"/>
        <v>0.2</v>
      </c>
      <c r="P82" s="48">
        <f t="shared" si="150"/>
        <v>0.18</v>
      </c>
      <c r="R82"/>
      <c r="S82"/>
      <c r="T82"/>
    </row>
    <row r="83" spans="1:28" ht="14.4" customHeight="1" x14ac:dyDescent="0.3">
      <c r="B83" s="1" t="s">
        <v>83</v>
      </c>
      <c r="E83" s="11"/>
      <c r="F83" s="11"/>
      <c r="G83" s="11"/>
      <c r="H83" s="11"/>
      <c r="I83" s="11"/>
      <c r="J83" s="11"/>
      <c r="K83" s="11"/>
      <c r="L83" s="11"/>
      <c r="M83" s="11"/>
      <c r="N83" s="11"/>
      <c r="O83" s="11"/>
      <c r="P83" s="11"/>
      <c r="R83"/>
      <c r="S83"/>
      <c r="T83"/>
    </row>
    <row r="84" spans="1:28" ht="14.4" customHeight="1" x14ac:dyDescent="0.3">
      <c r="R84"/>
      <c r="S84"/>
      <c r="T84"/>
    </row>
    <row r="85" spans="1:28" ht="14.4" customHeight="1" x14ac:dyDescent="0.3">
      <c r="B85" s="1" t="s">
        <v>84</v>
      </c>
      <c r="E85" s="49">
        <v>1192</v>
      </c>
      <c r="F85" s="49">
        <v>-1498</v>
      </c>
      <c r="G85" s="49">
        <v>-4351</v>
      </c>
      <c r="H85" s="49">
        <v>-569</v>
      </c>
      <c r="I85" s="49">
        <v>1103</v>
      </c>
      <c r="J85" s="49">
        <v>-1747</v>
      </c>
      <c r="K85" s="50">
        <f t="shared" ref="K85:P85" si="151">K28*0.01</f>
        <v>584.958575</v>
      </c>
      <c r="L85" s="50">
        <f t="shared" si="151"/>
        <v>742.14817791269968</v>
      </c>
      <c r="M85" s="50">
        <f t="shared" si="151"/>
        <v>927.40818610000008</v>
      </c>
      <c r="N85" s="50">
        <f t="shared" si="151"/>
        <v>1149.0272623001219</v>
      </c>
      <c r="O85" s="50">
        <f t="shared" si="151"/>
        <v>1316.4453077994319</v>
      </c>
      <c r="P85" s="50">
        <f t="shared" si="151"/>
        <v>1444.9782186227226</v>
      </c>
      <c r="R85"/>
      <c r="S85"/>
      <c r="T85"/>
    </row>
    <row r="86" spans="1:28" ht="14.4" customHeight="1" x14ac:dyDescent="0.3">
      <c r="B86" s="1" t="s">
        <v>10</v>
      </c>
      <c r="E86" s="64">
        <f t="shared" ref="E86:P86" si="152">E85/E28</f>
        <v>1.530815364660254E-2</v>
      </c>
      <c r="F86" s="64">
        <f t="shared" si="152"/>
        <v>-1.8956266450698523E-2</v>
      </c>
      <c r="G86" s="64">
        <f t="shared" si="152"/>
        <v>-6.9004345481650645E-2</v>
      </c>
      <c r="H86" s="64">
        <f t="shared" si="152"/>
        <v>-1.0492734380762706E-2</v>
      </c>
      <c r="I86" s="64">
        <f t="shared" si="152"/>
        <v>2.0771736878778178E-2</v>
      </c>
      <c r="J86" s="64">
        <f t="shared" si="152"/>
        <v>-3.3053942065729473E-2</v>
      </c>
      <c r="K86" s="64">
        <f t="shared" si="152"/>
        <v>0.01</v>
      </c>
      <c r="L86" s="64">
        <f t="shared" si="152"/>
        <v>0.01</v>
      </c>
      <c r="M86" s="64">
        <f t="shared" si="152"/>
        <v>0.01</v>
      </c>
      <c r="N86" s="64">
        <f t="shared" si="152"/>
        <v>0.01</v>
      </c>
      <c r="O86" s="64">
        <f t="shared" si="152"/>
        <v>0.01</v>
      </c>
      <c r="P86" s="64">
        <f t="shared" si="152"/>
        <v>0.01</v>
      </c>
      <c r="R86"/>
      <c r="S86"/>
      <c r="T86"/>
    </row>
    <row r="87" spans="1:28" ht="14.4" customHeight="1" x14ac:dyDescent="0.3">
      <c r="B87" s="1" t="s">
        <v>85</v>
      </c>
      <c r="E87" s="64"/>
      <c r="F87" s="64"/>
      <c r="G87" s="64"/>
      <c r="H87" s="64"/>
      <c r="I87" s="64"/>
      <c r="J87" s="64"/>
      <c r="K87" s="64"/>
      <c r="L87" s="64"/>
      <c r="M87" s="64"/>
      <c r="N87" s="64"/>
      <c r="O87" s="64"/>
      <c r="P87" s="64"/>
      <c r="R87"/>
      <c r="S87"/>
      <c r="T87"/>
    </row>
    <row r="88" spans="1:28" ht="14.4" customHeight="1" x14ac:dyDescent="0.3">
      <c r="E88" s="64"/>
      <c r="F88" s="64"/>
      <c r="G88" s="64"/>
      <c r="H88" s="64"/>
      <c r="I88" s="64"/>
      <c r="J88" s="64"/>
      <c r="K88" s="64"/>
      <c r="L88" s="64"/>
      <c r="M88" s="64"/>
      <c r="N88" s="64"/>
      <c r="O88" s="64"/>
      <c r="P88" s="64"/>
      <c r="R88"/>
      <c r="S88"/>
      <c r="T88"/>
    </row>
    <row r="89" spans="1:28" ht="14.4" customHeight="1" x14ac:dyDescent="0.3">
      <c r="B89" s="1" t="s">
        <v>80</v>
      </c>
      <c r="E89" s="38">
        <v>1911</v>
      </c>
      <c r="F89" s="38">
        <v>2143</v>
      </c>
      <c r="G89" s="38">
        <v>3071</v>
      </c>
      <c r="H89" s="38">
        <v>3229</v>
      </c>
      <c r="I89" s="38">
        <v>3410</v>
      </c>
      <c r="J89" s="38">
        <v>2434</v>
      </c>
      <c r="K89" s="50">
        <f>J89*0.98</f>
        <v>2385.3200000000002</v>
      </c>
      <c r="L89" s="50">
        <f>K89*1.02</f>
        <v>2433.0264000000002</v>
      </c>
      <c r="M89" s="50">
        <f t="shared" ref="M89:P89" si="153">L89*1.02</f>
        <v>2481.6869280000001</v>
      </c>
      <c r="N89" s="50">
        <f t="shared" si="153"/>
        <v>2531.3206665600001</v>
      </c>
      <c r="O89" s="50">
        <f t="shared" si="153"/>
        <v>2581.9470798912002</v>
      </c>
      <c r="P89" s="50">
        <f t="shared" si="153"/>
        <v>2633.5860214890245</v>
      </c>
      <c r="R89"/>
      <c r="S89"/>
      <c r="T89"/>
    </row>
    <row r="90" spans="1:28" ht="14.4" customHeight="1" x14ac:dyDescent="0.3">
      <c r="B90" s="1" t="s">
        <v>10</v>
      </c>
      <c r="E90" s="64">
        <f t="shared" ref="E90:P90" si="154">E89/E28</f>
        <v>2.4541846995517997E-2</v>
      </c>
      <c r="F90" s="64">
        <f t="shared" si="154"/>
        <v>2.7118343794290341E-2</v>
      </c>
      <c r="G90" s="64">
        <f t="shared" si="154"/>
        <v>4.8704285215846736E-2</v>
      </c>
      <c r="H90" s="64">
        <f t="shared" si="154"/>
        <v>5.9544884561481153E-2</v>
      </c>
      <c r="I90" s="64">
        <f t="shared" si="154"/>
        <v>6.4217246379540877E-2</v>
      </c>
      <c r="J90" s="64">
        <f t="shared" si="154"/>
        <v>4.6052258149963103E-2</v>
      </c>
      <c r="K90" s="64">
        <f t="shared" si="154"/>
        <v>4.0777588395896243E-2</v>
      </c>
      <c r="L90" s="64">
        <f t="shared" si="154"/>
        <v>3.2783566306703267E-2</v>
      </c>
      <c r="M90" s="64">
        <f t="shared" si="154"/>
        <v>2.6759381307988651E-2</v>
      </c>
      <c r="N90" s="64">
        <f t="shared" si="154"/>
        <v>2.2030118428111131E-2</v>
      </c>
      <c r="O90" s="64">
        <f t="shared" si="154"/>
        <v>1.9613022011580408E-2</v>
      </c>
      <c r="P90" s="64">
        <f t="shared" si="154"/>
        <v>1.8225783527721411E-2</v>
      </c>
      <c r="R90"/>
      <c r="S90"/>
      <c r="T90"/>
    </row>
    <row r="91" spans="1:28" ht="14.4" customHeight="1" x14ac:dyDescent="0.3">
      <c r="N91" s="45"/>
      <c r="O91" s="45"/>
      <c r="P91" s="45"/>
      <c r="R91"/>
      <c r="S91"/>
      <c r="T91"/>
    </row>
    <row r="92" spans="1:28" ht="14.4" customHeight="1" x14ac:dyDescent="0.3">
      <c r="B92" s="1" t="s">
        <v>73</v>
      </c>
      <c r="E92" s="66">
        <f t="shared" ref="E92:J92" si="155">E67+E78+E85+E89</f>
        <v>36241</v>
      </c>
      <c r="F92" s="66">
        <f t="shared" si="155"/>
        <v>32305</v>
      </c>
      <c r="G92" s="66">
        <f t="shared" si="155"/>
        <v>19769</v>
      </c>
      <c r="H92" s="66">
        <f t="shared" si="155"/>
        <v>13951</v>
      </c>
      <c r="I92" s="66">
        <f t="shared" si="155"/>
        <v>-2864</v>
      </c>
      <c r="J92" s="66">
        <f t="shared" si="155"/>
        <v>12126</v>
      </c>
      <c r="K92" s="66">
        <f t="shared" ref="K92:O92" si="156">K67+K78+K85+K89</f>
        <v>18238.782824000002</v>
      </c>
      <c r="L92" s="66">
        <f t="shared" si="156"/>
        <v>24177.006621468561</v>
      </c>
      <c r="M92" s="66">
        <f t="shared" si="156"/>
        <v>32667.303256424759</v>
      </c>
      <c r="N92" s="66">
        <f t="shared" si="156"/>
        <v>44406.18318629633</v>
      </c>
      <c r="O92" s="66">
        <f t="shared" si="156"/>
        <v>54539.238733842889</v>
      </c>
      <c r="P92" s="66">
        <f>P67+P78+P85+P89</f>
        <v>61644.939215385763</v>
      </c>
      <c r="R92"/>
      <c r="S92"/>
      <c r="T92"/>
    </row>
    <row r="93" spans="1:28" ht="14.4" customHeight="1" x14ac:dyDescent="0.3">
      <c r="R93"/>
      <c r="S93"/>
      <c r="T93"/>
    </row>
    <row r="94" spans="1:28" ht="14.4" customHeight="1" x14ac:dyDescent="0.3">
      <c r="A94" s="14" t="s">
        <v>40</v>
      </c>
      <c r="B94" s="33" t="s">
        <v>12</v>
      </c>
      <c r="C94" s="33"/>
      <c r="D94" s="33"/>
      <c r="E94" s="33">
        <v>2020</v>
      </c>
      <c r="F94" s="33">
        <v>2021</v>
      </c>
      <c r="G94" s="33">
        <v>2022</v>
      </c>
      <c r="H94" s="33">
        <v>2023</v>
      </c>
      <c r="I94" s="33">
        <v>2024</v>
      </c>
      <c r="J94" s="33">
        <v>2025</v>
      </c>
      <c r="K94" s="34" t="s">
        <v>4</v>
      </c>
      <c r="L94" s="34" t="s">
        <v>5</v>
      </c>
      <c r="M94" s="34" t="s">
        <v>6</v>
      </c>
      <c r="N94" s="34" t="s">
        <v>7</v>
      </c>
      <c r="O94" s="34" t="s">
        <v>8</v>
      </c>
      <c r="P94" s="34" t="s">
        <v>75</v>
      </c>
      <c r="R94"/>
      <c r="S94"/>
      <c r="T94"/>
    </row>
    <row r="95" spans="1:28" s="19" customFormat="1" ht="1.95" customHeight="1" x14ac:dyDescent="0.3">
      <c r="A95" s="1"/>
      <c r="B95" s="5" t="s">
        <v>78</v>
      </c>
      <c r="C95" s="5"/>
      <c r="D95" s="5"/>
      <c r="E95" s="11"/>
      <c r="F95" s="11"/>
      <c r="G95" s="11"/>
      <c r="H95" s="11"/>
      <c r="I95" s="11"/>
      <c r="J95" s="11"/>
      <c r="K95" s="11"/>
      <c r="L95" s="11"/>
      <c r="M95" s="11"/>
      <c r="N95" s="11"/>
      <c r="O95" s="11"/>
      <c r="P95" s="11"/>
      <c r="Q95" s="1"/>
    </row>
    <row r="96" spans="1:28" ht="14.4" customHeight="1" x14ac:dyDescent="0.3">
      <c r="B96" s="1" t="s">
        <v>9</v>
      </c>
      <c r="E96" s="73">
        <f t="shared" ref="E96:P96" si="157">E28</f>
        <v>77867</v>
      </c>
      <c r="F96" s="73">
        <f t="shared" si="157"/>
        <v>79024</v>
      </c>
      <c r="G96" s="73">
        <f t="shared" si="157"/>
        <v>63054</v>
      </c>
      <c r="H96" s="73">
        <f t="shared" si="157"/>
        <v>54228</v>
      </c>
      <c r="I96" s="73">
        <f t="shared" si="157"/>
        <v>53101</v>
      </c>
      <c r="J96" s="73">
        <f t="shared" si="157"/>
        <v>52853</v>
      </c>
      <c r="K96" s="73">
        <f t="shared" si="157"/>
        <v>58495.857499999998</v>
      </c>
      <c r="L96" s="73">
        <f t="shared" si="157"/>
        <v>74214.817791269961</v>
      </c>
      <c r="M96" s="73">
        <f t="shared" si="157"/>
        <v>92740.818610000002</v>
      </c>
      <c r="N96" s="73">
        <f t="shared" si="157"/>
        <v>114902.72623001219</v>
      </c>
      <c r="O96" s="73">
        <f t="shared" si="157"/>
        <v>131644.53077994319</v>
      </c>
      <c r="P96" s="73">
        <f t="shared" si="157"/>
        <v>144497.82186227225</v>
      </c>
      <c r="R96"/>
      <c r="S96"/>
      <c r="T96"/>
      <c r="AA96" s="11"/>
      <c r="AB96" s="11"/>
    </row>
    <row r="97" spans="1:28" ht="14.4" customHeight="1" x14ac:dyDescent="0.3">
      <c r="B97" s="5" t="s">
        <v>78</v>
      </c>
      <c r="E97" s="64"/>
      <c r="F97" s="64">
        <f>(F96-E96)/E96</f>
        <v>1.4858669269395251E-2</v>
      </c>
      <c r="G97" s="64">
        <f t="shared" ref="G97:P97" si="158">(G96-F96)/F96</f>
        <v>-0.20209050415063778</v>
      </c>
      <c r="H97" s="64">
        <f t="shared" si="158"/>
        <v>-0.13997525930155105</v>
      </c>
      <c r="I97" s="64">
        <f t="shared" si="158"/>
        <v>-2.0782621523935976E-2</v>
      </c>
      <c r="J97" s="64">
        <f t="shared" si="158"/>
        <v>-4.6703451912393362E-3</v>
      </c>
      <c r="K97" s="64">
        <f t="shared" si="158"/>
        <v>0.10676513159139497</v>
      </c>
      <c r="L97" s="64">
        <f t="shared" si="158"/>
        <v>0.2687192044542635</v>
      </c>
      <c r="M97" s="64">
        <f t="shared" si="158"/>
        <v>0.2496267102728007</v>
      </c>
      <c r="N97" s="64">
        <f t="shared" si="158"/>
        <v>0.23896605563952325</v>
      </c>
      <c r="O97" s="64">
        <f t="shared" si="158"/>
        <v>0.14570415428105041</v>
      </c>
      <c r="P97" s="64">
        <f t="shared" si="158"/>
        <v>9.7636346957813244E-2</v>
      </c>
      <c r="R97"/>
      <c r="S97"/>
      <c r="T97"/>
      <c r="AA97" s="11"/>
      <c r="AB97" s="11"/>
    </row>
    <row r="98" spans="1:28" ht="14.4" customHeight="1" x14ac:dyDescent="0.3">
      <c r="E98" s="8"/>
      <c r="F98" s="8"/>
      <c r="G98" s="8"/>
      <c r="H98" s="8"/>
      <c r="I98" s="8"/>
      <c r="J98" s="8"/>
      <c r="K98" s="8"/>
      <c r="L98" s="8"/>
      <c r="M98" s="8"/>
      <c r="N98" s="8"/>
      <c r="R98"/>
      <c r="S98"/>
      <c r="T98"/>
    </row>
    <row r="99" spans="1:28" ht="14.4" customHeight="1" x14ac:dyDescent="0.3">
      <c r="B99" s="1" t="s">
        <v>95</v>
      </c>
      <c r="E99" s="73">
        <f t="shared" ref="E99:P99" si="159">E92</f>
        <v>36241</v>
      </c>
      <c r="F99" s="73">
        <f t="shared" si="159"/>
        <v>32305</v>
      </c>
      <c r="G99" s="73">
        <f t="shared" si="159"/>
        <v>19769</v>
      </c>
      <c r="H99" s="73">
        <f t="shared" si="159"/>
        <v>13951</v>
      </c>
      <c r="I99" s="73">
        <f t="shared" si="159"/>
        <v>-2864</v>
      </c>
      <c r="J99" s="73">
        <f t="shared" si="159"/>
        <v>12126</v>
      </c>
      <c r="K99" s="73">
        <f t="shared" si="159"/>
        <v>18238.782824000002</v>
      </c>
      <c r="L99" s="73">
        <f t="shared" si="159"/>
        <v>24177.006621468561</v>
      </c>
      <c r="M99" s="73">
        <f t="shared" si="159"/>
        <v>32667.303256424759</v>
      </c>
      <c r="N99" s="73">
        <f t="shared" si="159"/>
        <v>44406.18318629633</v>
      </c>
      <c r="O99" s="73">
        <f t="shared" si="159"/>
        <v>54539.238733842889</v>
      </c>
      <c r="P99" s="73">
        <f t="shared" si="159"/>
        <v>61644.939215385763</v>
      </c>
      <c r="R99"/>
      <c r="S99"/>
      <c r="T99"/>
    </row>
    <row r="100" spans="1:28" ht="14.4" customHeight="1" x14ac:dyDescent="0.3">
      <c r="B100" s="1" t="s">
        <v>10</v>
      </c>
      <c r="E100" s="11">
        <f>E99/E96</f>
        <v>0.4654218089819821</v>
      </c>
      <c r="F100" s="11">
        <f t="shared" ref="F100:P100" si="160">F99/F96</f>
        <v>0.40879985827090504</v>
      </c>
      <c r="G100" s="11">
        <f t="shared" si="160"/>
        <v>0.31352491515209185</v>
      </c>
      <c r="H100" s="11">
        <f t="shared" si="160"/>
        <v>0.25726561923729441</v>
      </c>
      <c r="I100" s="11">
        <f t="shared" si="160"/>
        <v>-5.3934954143989758E-2</v>
      </c>
      <c r="J100" s="11">
        <f t="shared" si="160"/>
        <v>0.22942879306756475</v>
      </c>
      <c r="K100" s="11">
        <f t="shared" si="160"/>
        <v>0.31179614426542945</v>
      </c>
      <c r="L100" s="11">
        <f t="shared" si="160"/>
        <v>0.32577061213660424</v>
      </c>
      <c r="M100" s="11">
        <f t="shared" si="160"/>
        <v>0.35224299015301475</v>
      </c>
      <c r="N100" s="11">
        <f t="shared" si="160"/>
        <v>0.38646762042359262</v>
      </c>
      <c r="O100" s="11">
        <f t="shared" si="160"/>
        <v>0.41429171732937847</v>
      </c>
      <c r="P100" s="11">
        <f t="shared" si="160"/>
        <v>0.42661500651644763</v>
      </c>
      <c r="R100"/>
      <c r="S100"/>
      <c r="T100"/>
    </row>
    <row r="101" spans="1:28" ht="14.4" customHeight="1" x14ac:dyDescent="0.3">
      <c r="E101" s="8"/>
      <c r="F101" s="8"/>
      <c r="G101" s="8"/>
      <c r="H101" s="8"/>
      <c r="I101" s="8"/>
      <c r="J101" s="8"/>
      <c r="K101" s="8"/>
      <c r="L101" s="8"/>
      <c r="M101" s="8"/>
      <c r="N101" s="8"/>
      <c r="R101"/>
      <c r="S101"/>
      <c r="T101"/>
    </row>
    <row r="102" spans="1:28" ht="14.4" customHeight="1" x14ac:dyDescent="0.3">
      <c r="B102" s="1" t="s">
        <v>81</v>
      </c>
      <c r="E102" s="73">
        <f t="shared" ref="E102:P102" si="161">E81</f>
        <v>14258</v>
      </c>
      <c r="F102" s="73">
        <f t="shared" si="161"/>
        <v>18733</v>
      </c>
      <c r="G102" s="73">
        <f t="shared" si="161"/>
        <v>24831</v>
      </c>
      <c r="H102" s="73">
        <f t="shared" si="161"/>
        <v>25750</v>
      </c>
      <c r="I102" s="73">
        <f t="shared" si="161"/>
        <v>23944</v>
      </c>
      <c r="J102" s="73">
        <f t="shared" si="161"/>
        <v>14464</v>
      </c>
      <c r="K102" s="73">
        <f t="shared" si="161"/>
        <v>16378.840100000001</v>
      </c>
      <c r="L102" s="73">
        <f t="shared" si="161"/>
        <v>19295.852625730189</v>
      </c>
      <c r="M102" s="73">
        <f t="shared" si="161"/>
        <v>23185.204652500001</v>
      </c>
      <c r="N102" s="73">
        <f t="shared" si="161"/>
        <v>25278.599770602683</v>
      </c>
      <c r="O102" s="73">
        <f t="shared" si="161"/>
        <v>26328.90615598864</v>
      </c>
      <c r="P102" s="73">
        <f t="shared" si="161"/>
        <v>26009.607935209006</v>
      </c>
      <c r="R102"/>
      <c r="S102"/>
      <c r="T102"/>
    </row>
    <row r="103" spans="1:28" ht="14.4" customHeight="1" x14ac:dyDescent="0.3">
      <c r="B103" s="1" t="s">
        <v>10</v>
      </c>
      <c r="E103" s="11">
        <f>E102/E96</f>
        <v>0.18310709286347232</v>
      </c>
      <c r="F103" s="11">
        <f t="shared" ref="F103:P103" si="162">F102/F96</f>
        <v>0.23705456570155903</v>
      </c>
      <c r="G103" s="11">
        <f t="shared" si="162"/>
        <v>0.39380530973451328</v>
      </c>
      <c r="H103" s="11">
        <f t="shared" si="162"/>
        <v>0.4748469425389098</v>
      </c>
      <c r="I103" s="11">
        <f t="shared" si="162"/>
        <v>0.45091429539933336</v>
      </c>
      <c r="J103" s="11">
        <f t="shared" si="162"/>
        <v>0.27366469263807164</v>
      </c>
      <c r="K103" s="11">
        <f t="shared" si="162"/>
        <v>0.28000000000000003</v>
      </c>
      <c r="L103" s="11">
        <f t="shared" si="162"/>
        <v>0.26</v>
      </c>
      <c r="M103" s="11">
        <f t="shared" si="162"/>
        <v>0.25</v>
      </c>
      <c r="N103" s="11">
        <f t="shared" si="162"/>
        <v>0.22</v>
      </c>
      <c r="O103" s="11">
        <f t="shared" si="162"/>
        <v>0.2</v>
      </c>
      <c r="P103" s="11">
        <f t="shared" si="162"/>
        <v>0.18</v>
      </c>
      <c r="R103"/>
      <c r="S103"/>
      <c r="T103"/>
    </row>
    <row r="104" spans="1:28" ht="14.4" customHeight="1" x14ac:dyDescent="0.3">
      <c r="R104"/>
      <c r="S104"/>
      <c r="T104"/>
    </row>
    <row r="105" spans="1:28" ht="14.4" customHeight="1" x14ac:dyDescent="0.3">
      <c r="B105" s="1" t="s">
        <v>93</v>
      </c>
      <c r="E105" s="66">
        <f t="shared" ref="E105:J105" si="163">E99-E102</f>
        <v>21983</v>
      </c>
      <c r="F105" s="66">
        <f t="shared" si="163"/>
        <v>13572</v>
      </c>
      <c r="G105" s="66">
        <f t="shared" si="163"/>
        <v>-5062</v>
      </c>
      <c r="H105" s="66">
        <f t="shared" si="163"/>
        <v>-11799</v>
      </c>
      <c r="I105" s="66">
        <f t="shared" si="163"/>
        <v>-26808</v>
      </c>
      <c r="J105" s="66">
        <f t="shared" si="163"/>
        <v>-2338</v>
      </c>
      <c r="K105" s="66">
        <f t="shared" ref="K105:O105" si="164">K99-K102</f>
        <v>1859.9427240000005</v>
      </c>
      <c r="L105" s="66">
        <f t="shared" si="164"/>
        <v>4881.153995738372</v>
      </c>
      <c r="M105" s="66">
        <f t="shared" si="164"/>
        <v>9482.0986039247582</v>
      </c>
      <c r="N105" s="66">
        <f t="shared" si="164"/>
        <v>19127.583415693647</v>
      </c>
      <c r="O105" s="66">
        <f t="shared" si="164"/>
        <v>28210.332577854249</v>
      </c>
      <c r="P105" s="66">
        <f>P99-P102</f>
        <v>35635.331280176761</v>
      </c>
      <c r="R105"/>
      <c r="S105"/>
      <c r="T105"/>
    </row>
    <row r="106" spans="1:28" ht="14.4" customHeight="1" x14ac:dyDescent="0.3">
      <c r="B106" s="5" t="s">
        <v>10</v>
      </c>
      <c r="C106" s="5"/>
      <c r="D106" s="5"/>
      <c r="E106" s="64">
        <f t="shared" ref="E106:P106" si="165">E105/E96</f>
        <v>0.28231471611850978</v>
      </c>
      <c r="F106" s="64">
        <f t="shared" si="165"/>
        <v>0.17174529256934601</v>
      </c>
      <c r="G106" s="64">
        <f t="shared" si="165"/>
        <v>-8.0280394582421422E-2</v>
      </c>
      <c r="H106" s="64">
        <f t="shared" si="165"/>
        <v>-0.21758132330161539</v>
      </c>
      <c r="I106" s="64">
        <f t="shared" si="165"/>
        <v>-0.50484924954332311</v>
      </c>
      <c r="J106" s="64">
        <f t="shared" si="165"/>
        <v>-4.423589957050688E-2</v>
      </c>
      <c r="K106" s="64">
        <f t="shared" si="165"/>
        <v>3.1796144265429406E-2</v>
      </c>
      <c r="L106" s="64">
        <f t="shared" si="165"/>
        <v>6.5770612136604234E-2</v>
      </c>
      <c r="M106" s="64">
        <f t="shared" si="165"/>
        <v>0.10224299015301476</v>
      </c>
      <c r="N106" s="64">
        <f t="shared" si="165"/>
        <v>0.16646762042359259</v>
      </c>
      <c r="O106" s="64">
        <f t="shared" si="165"/>
        <v>0.21429171732937846</v>
      </c>
      <c r="P106" s="64">
        <f t="shared" si="165"/>
        <v>0.24661500651644763</v>
      </c>
      <c r="R106"/>
      <c r="S106"/>
      <c r="T106"/>
    </row>
    <row r="107" spans="1:28" ht="14.4" customHeight="1" x14ac:dyDescent="0.3">
      <c r="R107"/>
      <c r="S107"/>
      <c r="T107"/>
    </row>
    <row r="108" spans="1:28" ht="14.4" customHeight="1" x14ac:dyDescent="0.3">
      <c r="B108" s="1" t="s">
        <v>86</v>
      </c>
      <c r="K108" s="8">
        <f>K105/(1+$U$7)^((DATE(2026,7,1)-$E$12)/365)</f>
        <v>1831.1668901145208</v>
      </c>
      <c r="L108" s="8">
        <f>L105/(1+$U$7)^((DATE(2027,7,1)-$E$12)/365)</f>
        <v>4348.9917920254165</v>
      </c>
      <c r="M108" s="8">
        <f>M105/(1+$U$7)^((DATE(2028,7,1)-$E$12)/365)</f>
        <v>7643.4506693272488</v>
      </c>
      <c r="N108" s="8">
        <f>N105/(1+$U$7)^((DATE(2029,7,1)-$E$12)/365)</f>
        <v>13953.489386057796</v>
      </c>
      <c r="O108" s="8">
        <f>O105/(1+$U$7)^((DATE(2030,7,1)-$E$12)/365)</f>
        <v>18623.815042749557</v>
      </c>
      <c r="P108" s="8">
        <f>P105/(1+$U$7)^((DATE(2031,7,1)-$E$12)/365)</f>
        <v>21290.162008783525</v>
      </c>
      <c r="R108"/>
      <c r="S108"/>
      <c r="T108"/>
    </row>
    <row r="109" spans="1:28" ht="14.4" customHeight="1" x14ac:dyDescent="0.3">
      <c r="K109" s="11"/>
      <c r="L109" s="11"/>
      <c r="M109" s="11"/>
      <c r="N109" s="11"/>
      <c r="O109" s="11"/>
      <c r="P109" s="11"/>
      <c r="R109"/>
      <c r="S109"/>
      <c r="T109"/>
    </row>
    <row r="110" spans="1:28" ht="14.4" customHeight="1" x14ac:dyDescent="0.3">
      <c r="A110" s="14" t="s">
        <v>40</v>
      </c>
      <c r="B110" s="2" t="s">
        <v>112</v>
      </c>
      <c r="C110" s="2"/>
      <c r="D110" s="2"/>
      <c r="E110" s="2">
        <v>2020</v>
      </c>
      <c r="F110" s="2">
        <v>2021</v>
      </c>
      <c r="G110" s="2">
        <f>F110+1</f>
        <v>2022</v>
      </c>
      <c r="H110" s="2">
        <f>G110+1</f>
        <v>2023</v>
      </c>
      <c r="I110" s="2">
        <f>H110+1</f>
        <v>2024</v>
      </c>
      <c r="J110" s="2">
        <f>I110+1</f>
        <v>2025</v>
      </c>
      <c r="K110" s="3" t="s">
        <v>4</v>
      </c>
      <c r="L110" s="3" t="s">
        <v>5</v>
      </c>
      <c r="M110" s="3" t="s">
        <v>6</v>
      </c>
      <c r="N110" s="3" t="s">
        <v>7</v>
      </c>
      <c r="O110" s="3" t="s">
        <v>8</v>
      </c>
      <c r="P110" s="34" t="s">
        <v>75</v>
      </c>
      <c r="R110"/>
      <c r="S110"/>
      <c r="T110"/>
    </row>
    <row r="111" spans="1:28" s="19" customFormat="1" ht="1.95" customHeight="1" x14ac:dyDescent="0.3">
      <c r="A111" s="1"/>
      <c r="B111" s="5"/>
      <c r="C111" s="5"/>
      <c r="D111" s="5"/>
      <c r="E111" s="11"/>
      <c r="F111" s="11"/>
      <c r="G111" s="11"/>
      <c r="H111" s="11"/>
      <c r="I111" s="11"/>
      <c r="J111" s="11"/>
      <c r="K111" s="11"/>
      <c r="L111" s="11"/>
      <c r="M111" s="11"/>
      <c r="N111" s="11"/>
      <c r="O111" s="11"/>
      <c r="P111" s="11"/>
      <c r="Q111" s="1"/>
    </row>
    <row r="112" spans="1:28" ht="14.4" customHeight="1" x14ac:dyDescent="0.3">
      <c r="B112" s="1" t="s">
        <v>105</v>
      </c>
      <c r="E112" s="83">
        <f t="shared" ref="E112:P112" si="166">E73</f>
        <v>4.9771374136699214</v>
      </c>
      <c r="F112" s="83">
        <f t="shared" si="166"/>
        <v>4.8948016752894805</v>
      </c>
      <c r="G112" s="83">
        <f t="shared" si="166"/>
        <v>1.950827653359299</v>
      </c>
      <c r="H112" s="83">
        <f t="shared" si="166"/>
        <v>0.40310262529832935</v>
      </c>
      <c r="I112" s="83">
        <f t="shared" si="166"/>
        <v>-4.3822429906542055</v>
      </c>
      <c r="J112" s="83">
        <f t="shared" si="166"/>
        <v>-5.8940397350993379E-2</v>
      </c>
      <c r="K112" s="83">
        <f t="shared" si="166"/>
        <v>0.66368901603971753</v>
      </c>
      <c r="L112" s="83">
        <f t="shared" si="166"/>
        <v>1.3052133034602396</v>
      </c>
      <c r="M112" s="83">
        <f t="shared" si="166"/>
        <v>2.5538756166961578</v>
      </c>
      <c r="N112" s="83">
        <f t="shared" si="166"/>
        <v>4.5104729806299</v>
      </c>
      <c r="O112" s="83">
        <f t="shared" si="166"/>
        <v>6.0284460354863318</v>
      </c>
      <c r="P112" s="83">
        <f t="shared" si="166"/>
        <v>7.1174626216607102</v>
      </c>
      <c r="R112"/>
      <c r="S112"/>
      <c r="T112"/>
    </row>
    <row r="113" spans="2:20" ht="14.4" customHeight="1" x14ac:dyDescent="0.3">
      <c r="B113" s="5" t="s">
        <v>113</v>
      </c>
      <c r="F113" s="48">
        <f t="shared" ref="F113" si="167">(F112-E112)/E112</f>
        <v>-1.6542789868389449E-2</v>
      </c>
      <c r="G113" s="48">
        <f t="shared" ref="G113" si="168">(G112-F112)/F112</f>
        <v>-0.601449091756322</v>
      </c>
      <c r="H113" s="48">
        <f t="shared" ref="H113" si="169">(H112-G112)/G112</f>
        <v>-0.79336840719671364</v>
      </c>
      <c r="I113" s="48">
        <f t="shared" ref="I113" si="170">(I112-H112)/H112</f>
        <v>-11.871283677229792</v>
      </c>
      <c r="J113" s="48">
        <f t="shared" ref="J113" si="171">(J112-I112)/I112</f>
        <v>-0.98655017590838912</v>
      </c>
      <c r="K113" s="48">
        <f t="shared" ref="K113" si="172">(K112-J112)/J112</f>
        <v>-12.260341732808691</v>
      </c>
      <c r="L113" s="48">
        <f t="shared" ref="L113" si="173">(L112-K112)/K112</f>
        <v>0.96660374349502709</v>
      </c>
      <c r="M113" s="48">
        <f t="shared" ref="M113" si="174">(M112-L112)/L112</f>
        <v>0.95667298971409542</v>
      </c>
      <c r="N113" s="48">
        <f t="shared" ref="N113" si="175">(N112-M112)/M112</f>
        <v>0.7661286834575407</v>
      </c>
      <c r="O113" s="48">
        <f t="shared" ref="O113" si="176">(O112-N112)/N112</f>
        <v>0.3365440966779592</v>
      </c>
      <c r="P113" s="48">
        <f t="shared" ref="P113" si="177">(P112-O112)/O112</f>
        <v>0.18064631909515372</v>
      </c>
      <c r="R113"/>
      <c r="S113"/>
      <c r="T113"/>
    </row>
    <row r="114" spans="2:20" ht="14.4" customHeight="1" x14ac:dyDescent="0.3">
      <c r="R114"/>
      <c r="S114"/>
      <c r="T114"/>
    </row>
    <row r="115" spans="2:20" ht="14.4" customHeight="1" x14ac:dyDescent="0.3">
      <c r="B115" s="1" t="s">
        <v>26</v>
      </c>
      <c r="E115" s="89">
        <v>4199</v>
      </c>
      <c r="F115" s="89">
        <f>E18</f>
        <v>4059</v>
      </c>
      <c r="G115" s="89">
        <f>F18</f>
        <v>4108</v>
      </c>
      <c r="H115" s="89">
        <f>G18</f>
        <v>4190</v>
      </c>
      <c r="I115" s="89">
        <f>H18</f>
        <v>4280</v>
      </c>
      <c r="J115" s="89">
        <f>I18</f>
        <v>4530</v>
      </c>
      <c r="K115" s="89">
        <f t="shared" ref="K115:P115" si="178">K70</f>
        <v>5237</v>
      </c>
      <c r="L115" s="89">
        <f t="shared" si="178"/>
        <v>5446.4800000000005</v>
      </c>
      <c r="M115" s="89">
        <f t="shared" si="178"/>
        <v>5555.4096000000009</v>
      </c>
      <c r="N115" s="89">
        <f t="shared" si="178"/>
        <v>5666.5177920000006</v>
      </c>
      <c r="O115" s="89">
        <f t="shared" si="178"/>
        <v>5779.8481478400008</v>
      </c>
      <c r="P115" s="89">
        <f t="shared" si="178"/>
        <v>5895.4451107968007</v>
      </c>
      <c r="R115"/>
      <c r="S115"/>
      <c r="T115"/>
    </row>
    <row r="116" spans="2:20" ht="14.4" customHeight="1" x14ac:dyDescent="0.3">
      <c r="B116" s="5" t="s">
        <v>113</v>
      </c>
      <c r="F116" s="88">
        <f>(F115-E115)/E115</f>
        <v>-3.3341271731364613E-2</v>
      </c>
      <c r="G116" s="88">
        <f t="shared" ref="G116:P116" si="179">(G115-F115)/F115</f>
        <v>1.2071938901207195E-2</v>
      </c>
      <c r="H116" s="88">
        <f t="shared" si="179"/>
        <v>1.9961051606621226E-2</v>
      </c>
      <c r="I116" s="88">
        <f t="shared" si="179"/>
        <v>2.1479713603818614E-2</v>
      </c>
      <c r="J116" s="88">
        <f t="shared" si="179"/>
        <v>5.8411214953271028E-2</v>
      </c>
      <c r="K116" s="88">
        <f t="shared" si="179"/>
        <v>0.15607064017660044</v>
      </c>
      <c r="L116" s="88">
        <f t="shared" si="179"/>
        <v>4.0000000000000091E-2</v>
      </c>
      <c r="M116" s="88">
        <f t="shared" si="179"/>
        <v>2.000000000000007E-2</v>
      </c>
      <c r="N116" s="88">
        <f t="shared" si="179"/>
        <v>1.9999999999999941E-2</v>
      </c>
      <c r="O116" s="88">
        <f t="shared" si="179"/>
        <v>2.0000000000000046E-2</v>
      </c>
      <c r="P116" s="88">
        <f t="shared" si="179"/>
        <v>1.9999999999999976E-2</v>
      </c>
      <c r="R116"/>
      <c r="S116"/>
      <c r="T116"/>
    </row>
    <row r="117" spans="2:20" ht="14.4" customHeight="1" x14ac:dyDescent="0.3">
      <c r="R117"/>
      <c r="S117"/>
      <c r="T117"/>
    </row>
    <row r="118" spans="2:20" ht="14.4" customHeight="1" x14ac:dyDescent="0.3">
      <c r="B118" s="1" t="s">
        <v>114</v>
      </c>
      <c r="F118" s="206">
        <f>E17/F112</f>
        <v>10.521366015703643</v>
      </c>
      <c r="G118" s="206">
        <f>F17/G112</f>
        <v>13.548095832293486</v>
      </c>
      <c r="H118" s="206">
        <f>G17/H112</f>
        <v>124.65808170515098</v>
      </c>
      <c r="I118" s="206">
        <f>H17/I112</f>
        <v>-4.5752825762422695</v>
      </c>
      <c r="J118" s="206">
        <f>I17/J112</f>
        <v>-626.05617977528084</v>
      </c>
      <c r="K118" s="207">
        <f t="shared" ref="K118:P118" ca="1" si="180">$E$9/K112</f>
        <v>185.327761990021</v>
      </c>
      <c r="L118" s="207">
        <f t="shared" ca="1" si="180"/>
        <v>94.237470361293262</v>
      </c>
      <c r="M118" s="207">
        <f t="shared" ca="1" si="180"/>
        <v>48.162094972784914</v>
      </c>
      <c r="N118" s="207">
        <f t="shared" ca="1" si="180"/>
        <v>27.269867379367987</v>
      </c>
      <c r="O118" s="207">
        <f t="shared" ca="1" si="180"/>
        <v>20.403267985806437</v>
      </c>
      <c r="P118" s="207">
        <f t="shared" ca="1" si="180"/>
        <v>17.281439543591244</v>
      </c>
      <c r="R118"/>
      <c r="S118"/>
      <c r="T118"/>
    </row>
    <row r="119" spans="2:20" ht="14.4" customHeight="1" x14ac:dyDescent="0.3">
      <c r="B119" s="1" t="s">
        <v>115</v>
      </c>
      <c r="F119" s="206">
        <f>E17*F115/F46</f>
        <v>10.744166324013158</v>
      </c>
      <c r="G119" s="206">
        <f>F17*G115/G46</f>
        <v>46.518611825192806</v>
      </c>
      <c r="H119" s="206">
        <f>G17*H115/H46</f>
        <v>2263.9516129032259</v>
      </c>
      <c r="I119" s="206">
        <f>H17*I115/I46</f>
        <v>-7.3483473197465319</v>
      </c>
      <c r="J119" s="206">
        <f>I17*J115/J46</f>
        <v>-75.5</v>
      </c>
      <c r="K119" s="207">
        <f t="shared" ref="K119:P119" ca="1" si="181">$E$9*K115/K46</f>
        <v>176.13110466514829</v>
      </c>
      <c r="L119" s="207">
        <f t="shared" ca="1" si="181"/>
        <v>85.585010440145282</v>
      </c>
      <c r="M119" s="207">
        <f t="shared" ca="1" si="181"/>
        <v>42.628288999024022</v>
      </c>
      <c r="N119" s="207">
        <f t="shared" ca="1" si="181"/>
        <v>23.773331549346789</v>
      </c>
      <c r="O119" s="207">
        <f t="shared" ca="1" si="181"/>
        <v>17.604009814428633</v>
      </c>
      <c r="P119" s="207">
        <f t="shared" ca="1" si="181"/>
        <v>14.689223612052556</v>
      </c>
      <c r="R119"/>
      <c r="S119"/>
      <c r="T119"/>
    </row>
    <row r="120" spans="2:20" ht="14.4" customHeight="1" x14ac:dyDescent="0.3">
      <c r="B120" s="1" t="s">
        <v>116</v>
      </c>
      <c r="F120" s="206">
        <f>E17*F115/(F46+F78)</f>
        <v>6.6896601382488479</v>
      </c>
      <c r="G120" s="206">
        <f>F17*G115/(G46+G78)</f>
        <v>7.0645090767128638</v>
      </c>
      <c r="H120" s="206">
        <f>G17*H115/(H46+H78)</f>
        <v>21.717122227952554</v>
      </c>
      <c r="I120" s="206">
        <f>H17*I115/(I46+I78)</f>
        <v>-287.00334448160532</v>
      </c>
      <c r="J120" s="206">
        <f>I17*J115/(J46+J78)</f>
        <v>17.610303413400757</v>
      </c>
      <c r="K120" s="207">
        <f t="shared" ref="K120:P120" ca="1" si="182">$E$9*K115/(K46+K78)</f>
        <v>41.692649904521076</v>
      </c>
      <c r="L120" s="207">
        <f t="shared" ca="1" si="182"/>
        <v>30.842590085905929</v>
      </c>
      <c r="M120" s="207">
        <f t="shared" ca="1" si="182"/>
        <v>21.971551744663106</v>
      </c>
      <c r="N120" s="207">
        <f t="shared" ca="1" si="182"/>
        <v>15.667806618944816</v>
      </c>
      <c r="O120" s="207">
        <f t="shared" ca="1" si="182"/>
        <v>12.654033597887558</v>
      </c>
      <c r="P120" s="207">
        <f t="shared" ca="1" si="182"/>
        <v>11.160943256470155</v>
      </c>
      <c r="R120"/>
      <c r="S120"/>
      <c r="T120"/>
    </row>
    <row r="121" spans="2:20" ht="14.4" customHeight="1" x14ac:dyDescent="0.3">
      <c r="B121" s="1" t="s">
        <v>117</v>
      </c>
      <c r="F121" s="206">
        <f>E17*F115/F28</f>
        <v>2.6452533407572383</v>
      </c>
      <c r="G121" s="206">
        <f>F17*G115/G28</f>
        <v>1.7219278713483681</v>
      </c>
      <c r="H121" s="206">
        <f>G17*H115/H28</f>
        <v>3.8826344323965478</v>
      </c>
      <c r="I121" s="206">
        <f>H17*I115/I28</f>
        <v>1.616052428391179</v>
      </c>
      <c r="J121" s="206">
        <f>I17*J115/J28</f>
        <v>3.1626776152725484</v>
      </c>
      <c r="K121" s="207">
        <f t="shared" ref="K121:P121" ca="1" si="183">$E$9*K115/K28</f>
        <v>11.011907979979608</v>
      </c>
      <c r="L121" s="207">
        <f t="shared" ca="1" si="183"/>
        <v>9.0267288923911337</v>
      </c>
      <c r="M121" s="207">
        <f t="shared" ca="1" si="183"/>
        <v>7.3680110984735263</v>
      </c>
      <c r="N121" s="207">
        <f t="shared" ca="1" si="183"/>
        <v>6.0658411796146829</v>
      </c>
      <c r="O121" s="207">
        <f t="shared" ca="1" si="183"/>
        <v>5.400310350702644</v>
      </c>
      <c r="P121" s="207">
        <f t="shared" ca="1" si="183"/>
        <v>5.0183438011901078</v>
      </c>
      <c r="R121"/>
      <c r="S121"/>
      <c r="T121"/>
    </row>
    <row r="122" spans="2:20" ht="14.4" customHeight="1" x14ac:dyDescent="0.3">
      <c r="B122" s="1" t="s">
        <v>118</v>
      </c>
      <c r="F122" s="206">
        <f>E17*F115/F105</f>
        <v>15.402188328912468</v>
      </c>
      <c r="G122" s="206">
        <f>F17*G115/G105</f>
        <v>-21.448921374950611</v>
      </c>
      <c r="H122" s="206">
        <f>G17*H115/H105</f>
        <v>-17.844520722095094</v>
      </c>
      <c r="I122" s="206">
        <f>H17*I115/I105</f>
        <v>-3.2010593852581319</v>
      </c>
      <c r="J122" s="206">
        <f>I17*J115/J105</f>
        <v>-71.495722840034219</v>
      </c>
      <c r="K122" s="207">
        <f t="shared" ref="K122:P122" ca="1" si="184">$E$9*K115/K105</f>
        <v>346.32840661603075</v>
      </c>
      <c r="L122" s="207">
        <f t="shared" ca="1" si="184"/>
        <v>137.24562687120502</v>
      </c>
      <c r="M122" s="207">
        <f t="shared" ca="1" si="184"/>
        <v>72.063728647281465</v>
      </c>
      <c r="N122" s="207">
        <f t="shared" ca="1" si="184"/>
        <v>36.438564834287753</v>
      </c>
      <c r="O122" s="207">
        <f t="shared" ca="1" si="184"/>
        <v>25.200742324548468</v>
      </c>
      <c r="P122" s="207">
        <f t="shared" ca="1" si="184"/>
        <v>20.348898763609572</v>
      </c>
      <c r="R122"/>
      <c r="S122"/>
      <c r="T122"/>
    </row>
    <row r="123" spans="2:20" ht="14.4" customHeight="1" x14ac:dyDescent="0.3">
      <c r="B123" s="1" t="s">
        <v>119</v>
      </c>
      <c r="F123" s="206">
        <f>E17*F115/F99</f>
        <v>6.4707785172573908</v>
      </c>
      <c r="G123" s="206">
        <f>F17*G115/G99</f>
        <v>5.4921564064950177</v>
      </c>
      <c r="H123" s="206">
        <f>G17*H115/H99</f>
        <v>15.091928893986093</v>
      </c>
      <c r="I123" s="206">
        <f>H17*I115/I99</f>
        <v>-29.962988826815643</v>
      </c>
      <c r="J123" s="206">
        <f>I17*J115/J99</f>
        <v>13.785007422068283</v>
      </c>
      <c r="K123" s="207">
        <f t="shared" ref="K123:P123" ca="1" si="185">$E$9*K115/K99</f>
        <v>35.317652839880097</v>
      </c>
      <c r="L123" s="207">
        <f t="shared" ca="1" si="185"/>
        <v>27.708849589557165</v>
      </c>
      <c r="M123" s="207">
        <f t="shared" ca="1" si="185"/>
        <v>20.917410152783603</v>
      </c>
      <c r="N123" s="207">
        <f t="shared" ca="1" si="185"/>
        <v>15.695599990928457</v>
      </c>
      <c r="O123" s="207">
        <f t="shared" ca="1" si="185"/>
        <v>13.035043001859441</v>
      </c>
      <c r="P123" s="207">
        <f t="shared" ca="1" si="185"/>
        <v>11.763167550451913</v>
      </c>
      <c r="R123"/>
      <c r="S123"/>
      <c r="T123"/>
    </row>
    <row r="124" spans="2:20" ht="14.4" customHeight="1" x14ac:dyDescent="0.3">
      <c r="R124"/>
      <c r="S124"/>
      <c r="T124"/>
    </row>
    <row r="125" spans="2:20" ht="14.4" customHeight="1" x14ac:dyDescent="0.3">
      <c r="R125"/>
      <c r="S125"/>
      <c r="T125"/>
    </row>
    <row r="126" spans="2:20" ht="14.4" customHeight="1" x14ac:dyDescent="0.3">
      <c r="R126"/>
      <c r="S126"/>
      <c r="T126"/>
    </row>
    <row r="127" spans="2:20" ht="14.4" customHeight="1" x14ac:dyDescent="0.3">
      <c r="R127"/>
      <c r="S127"/>
      <c r="T127"/>
    </row>
    <row r="128" spans="2:20" ht="14.4" customHeight="1" x14ac:dyDescent="0.3">
      <c r="R128"/>
      <c r="S128"/>
      <c r="T128"/>
    </row>
    <row r="129" spans="2:20" ht="14.4" customHeight="1" x14ac:dyDescent="0.3">
      <c r="R129"/>
      <c r="S129"/>
      <c r="T129"/>
    </row>
    <row r="130" spans="2:20" ht="14.4" customHeight="1" x14ac:dyDescent="0.3">
      <c r="R130"/>
      <c r="S130"/>
      <c r="T130"/>
    </row>
    <row r="131" spans="2:20" ht="14.4" customHeight="1" x14ac:dyDescent="0.3">
      <c r="R131"/>
      <c r="S131"/>
      <c r="T131"/>
    </row>
    <row r="132" spans="2:20" ht="14.4" customHeight="1" x14ac:dyDescent="0.3">
      <c r="R132"/>
      <c r="S132"/>
      <c r="T132"/>
    </row>
    <row r="133" spans="2:20" ht="14.4" customHeight="1" x14ac:dyDescent="0.3">
      <c r="R133"/>
      <c r="S133"/>
      <c r="T133"/>
    </row>
    <row r="134" spans="2:20" ht="14.4" customHeight="1" x14ac:dyDescent="0.3">
      <c r="B134"/>
      <c r="C134"/>
      <c r="D134"/>
      <c r="E134"/>
      <c r="F134"/>
      <c r="G134"/>
      <c r="H134"/>
      <c r="I134"/>
      <c r="J134"/>
      <c r="K134"/>
      <c r="L134"/>
      <c r="M134"/>
      <c r="N134"/>
      <c r="O134"/>
      <c r="R134"/>
      <c r="S134"/>
      <c r="T134"/>
    </row>
    <row r="135" spans="2:20" ht="14.4" customHeight="1" x14ac:dyDescent="0.3">
      <c r="B135"/>
      <c r="C135"/>
      <c r="D135"/>
      <c r="E135"/>
      <c r="F135"/>
      <c r="G135"/>
      <c r="H135"/>
      <c r="I135"/>
      <c r="J135"/>
      <c r="K135"/>
      <c r="L135"/>
      <c r="M135"/>
      <c r="N135"/>
      <c r="O135"/>
      <c r="R135"/>
      <c r="S135"/>
      <c r="T135"/>
    </row>
    <row r="136" spans="2:20" ht="14.4" customHeight="1" x14ac:dyDescent="0.3">
      <c r="B136"/>
      <c r="C136"/>
      <c r="D136"/>
      <c r="E136"/>
      <c r="F136"/>
      <c r="G136"/>
      <c r="H136"/>
      <c r="I136"/>
      <c r="J136"/>
      <c r="K136"/>
      <c r="L136"/>
      <c r="M136"/>
      <c r="N136"/>
      <c r="O136"/>
      <c r="R136"/>
      <c r="S136"/>
      <c r="T136"/>
    </row>
    <row r="137" spans="2:20" ht="14.4" customHeight="1" x14ac:dyDescent="0.3">
      <c r="B137"/>
      <c r="C137"/>
      <c r="D137"/>
      <c r="E137"/>
      <c r="F137"/>
      <c r="G137"/>
      <c r="H137"/>
      <c r="I137"/>
      <c r="J137"/>
      <c r="K137"/>
      <c r="L137"/>
      <c r="M137"/>
      <c r="N137"/>
      <c r="O137"/>
      <c r="R137"/>
      <c r="S137"/>
      <c r="T137"/>
    </row>
    <row r="138" spans="2:20" ht="14.4" customHeight="1" x14ac:dyDescent="0.3">
      <c r="B138"/>
      <c r="C138"/>
      <c r="D138"/>
      <c r="E138"/>
      <c r="F138"/>
      <c r="G138"/>
      <c r="H138"/>
      <c r="I138"/>
      <c r="J138"/>
      <c r="K138"/>
      <c r="L138"/>
      <c r="M138"/>
      <c r="N138"/>
      <c r="O138"/>
      <c r="R138"/>
      <c r="S138"/>
      <c r="T138"/>
    </row>
    <row r="139" spans="2:20" ht="14.4" customHeight="1" x14ac:dyDescent="0.3">
      <c r="B139"/>
      <c r="C139"/>
      <c r="D139"/>
      <c r="E139"/>
      <c r="F139"/>
      <c r="G139"/>
      <c r="H139"/>
      <c r="I139"/>
      <c r="J139"/>
      <c r="K139"/>
      <c r="L139"/>
      <c r="M139"/>
      <c r="N139"/>
      <c r="O139"/>
      <c r="R139"/>
      <c r="S139"/>
      <c r="T139"/>
    </row>
    <row r="140" spans="2:20" ht="14.4" customHeight="1" x14ac:dyDescent="0.3">
      <c r="B140"/>
      <c r="C140"/>
      <c r="D140"/>
      <c r="E140"/>
      <c r="F140"/>
      <c r="G140"/>
      <c r="H140"/>
      <c r="I140"/>
      <c r="J140"/>
      <c r="K140"/>
      <c r="L140"/>
      <c r="M140"/>
      <c r="N140"/>
      <c r="O140"/>
      <c r="R140"/>
      <c r="S140"/>
      <c r="T140"/>
    </row>
    <row r="141" spans="2:20" ht="14.4" customHeight="1" x14ac:dyDescent="0.3">
      <c r="B141"/>
      <c r="C141"/>
      <c r="D141"/>
      <c r="E141"/>
      <c r="F141"/>
      <c r="G141"/>
      <c r="H141"/>
      <c r="I141"/>
      <c r="J141"/>
      <c r="K141"/>
      <c r="L141"/>
      <c r="M141"/>
      <c r="N141"/>
      <c r="O141"/>
      <c r="R141"/>
      <c r="S141"/>
      <c r="T141"/>
    </row>
    <row r="142" spans="2:20" ht="14.4" customHeight="1" x14ac:dyDescent="0.3">
      <c r="B142"/>
      <c r="C142"/>
      <c r="D142"/>
      <c r="E142"/>
      <c r="F142"/>
      <c r="G142"/>
      <c r="H142"/>
      <c r="I142"/>
      <c r="J142"/>
      <c r="K142"/>
      <c r="L142"/>
      <c r="M142"/>
      <c r="N142"/>
      <c r="O142"/>
      <c r="R142"/>
      <c r="S142"/>
      <c r="T142"/>
    </row>
    <row r="143" spans="2:20" ht="14.4" customHeight="1" x14ac:dyDescent="0.3">
      <c r="B143"/>
      <c r="C143"/>
      <c r="D143"/>
      <c r="E143"/>
      <c r="F143"/>
      <c r="G143"/>
      <c r="H143"/>
      <c r="I143"/>
      <c r="J143"/>
      <c r="K143"/>
      <c r="L143"/>
      <c r="M143"/>
      <c r="N143"/>
      <c r="O143"/>
      <c r="R143"/>
      <c r="S143"/>
      <c r="T143"/>
    </row>
    <row r="144" spans="2:20" ht="14.4" customHeight="1" x14ac:dyDescent="0.3">
      <c r="B144"/>
      <c r="C144"/>
      <c r="D144"/>
      <c r="E144"/>
      <c r="F144"/>
      <c r="G144"/>
      <c r="H144"/>
      <c r="I144"/>
      <c r="J144"/>
      <c r="K144"/>
      <c r="L144"/>
      <c r="M144"/>
      <c r="N144"/>
      <c r="O144"/>
      <c r="R144"/>
      <c r="S144"/>
      <c r="T144"/>
    </row>
    <row r="145" spans="1:20" ht="14.4" customHeight="1" x14ac:dyDescent="0.3">
      <c r="B145"/>
      <c r="C145"/>
      <c r="D145"/>
      <c r="E145"/>
      <c r="F145"/>
      <c r="G145"/>
      <c r="H145"/>
      <c r="I145"/>
      <c r="J145"/>
      <c r="K145"/>
      <c r="L145"/>
      <c r="M145"/>
      <c r="N145"/>
      <c r="O145"/>
      <c r="R145"/>
      <c r="S145"/>
      <c r="T145"/>
    </row>
    <row r="146" spans="1:20" ht="14.4" customHeight="1" x14ac:dyDescent="0.3">
      <c r="B146"/>
      <c r="C146"/>
      <c r="D146"/>
      <c r="E146"/>
      <c r="F146"/>
      <c r="G146"/>
      <c r="H146"/>
      <c r="I146"/>
      <c r="J146"/>
      <c r="K146"/>
      <c r="L146"/>
      <c r="M146"/>
      <c r="N146"/>
      <c r="O146"/>
      <c r="R146"/>
      <c r="S146"/>
      <c r="T146"/>
    </row>
    <row r="147" spans="1:20" ht="14.4" customHeight="1" x14ac:dyDescent="0.3">
      <c r="B147"/>
      <c r="C147"/>
      <c r="D147"/>
      <c r="E147"/>
      <c r="F147"/>
      <c r="G147"/>
      <c r="H147"/>
      <c r="I147"/>
      <c r="J147"/>
      <c r="K147"/>
      <c r="L147"/>
      <c r="M147"/>
      <c r="N147"/>
      <c r="O147"/>
      <c r="R147"/>
      <c r="S147"/>
      <c r="T147"/>
    </row>
    <row r="148" spans="1:20" ht="14.4" customHeight="1" x14ac:dyDescent="0.3">
      <c r="B148"/>
      <c r="C148"/>
      <c r="D148"/>
      <c r="E148"/>
      <c r="F148"/>
      <c r="G148"/>
      <c r="H148"/>
      <c r="I148"/>
      <c r="J148"/>
      <c r="K148"/>
      <c r="L148"/>
      <c r="M148"/>
      <c r="N148"/>
      <c r="O148"/>
      <c r="R148"/>
      <c r="S148"/>
      <c r="T148"/>
    </row>
    <row r="149" spans="1:20" ht="14.4" customHeight="1" x14ac:dyDescent="0.3">
      <c r="B149"/>
      <c r="C149"/>
      <c r="D149"/>
      <c r="E149"/>
      <c r="F149"/>
      <c r="G149"/>
      <c r="H149"/>
      <c r="I149"/>
      <c r="J149"/>
      <c r="K149"/>
      <c r="L149"/>
      <c r="M149"/>
      <c r="N149"/>
      <c r="O149"/>
      <c r="R149"/>
      <c r="S149"/>
      <c r="T149"/>
    </row>
    <row r="150" spans="1:20" ht="14.4" customHeight="1" x14ac:dyDescent="0.3">
      <c r="B150"/>
      <c r="C150"/>
      <c r="D150"/>
      <c r="E150"/>
      <c r="F150"/>
      <c r="G150"/>
      <c r="H150"/>
      <c r="I150"/>
      <c r="J150"/>
      <c r="K150"/>
      <c r="L150"/>
      <c r="M150"/>
      <c r="N150"/>
      <c r="O150"/>
      <c r="R150"/>
      <c r="S150"/>
      <c r="T150"/>
    </row>
    <row r="151" spans="1:20" ht="14.4" customHeight="1" x14ac:dyDescent="0.3">
      <c r="B151"/>
      <c r="C151"/>
      <c r="D151"/>
      <c r="E151"/>
      <c r="F151"/>
      <c r="G151"/>
      <c r="H151"/>
      <c r="I151"/>
      <c r="J151"/>
      <c r="K151"/>
      <c r="L151"/>
      <c r="M151"/>
      <c r="N151"/>
      <c r="O151"/>
      <c r="R151"/>
      <c r="S151"/>
      <c r="T151"/>
    </row>
    <row r="152" spans="1:20" ht="14.4" customHeight="1" x14ac:dyDescent="0.3">
      <c r="B152"/>
      <c r="C152"/>
      <c r="D152"/>
      <c r="E152"/>
      <c r="F152"/>
      <c r="G152"/>
      <c r="H152"/>
      <c r="I152"/>
      <c r="J152"/>
      <c r="K152"/>
      <c r="L152"/>
      <c r="M152"/>
      <c r="N152"/>
      <c r="O152"/>
      <c r="R152"/>
      <c r="S152"/>
      <c r="T152"/>
    </row>
    <row r="153" spans="1:20" ht="14.4" customHeight="1" x14ac:dyDescent="0.3">
      <c r="A153"/>
      <c r="B153"/>
      <c r="C153"/>
      <c r="D153"/>
      <c r="E153"/>
      <c r="F153"/>
      <c r="G153"/>
      <c r="H153"/>
      <c r="I153"/>
      <c r="J153"/>
      <c r="K153"/>
      <c r="L153"/>
      <c r="M153"/>
      <c r="N153"/>
      <c r="O153"/>
      <c r="Q153"/>
      <c r="R153"/>
      <c r="S153"/>
      <c r="T153"/>
    </row>
    <row r="154" spans="1:20" ht="14.4" customHeight="1" x14ac:dyDescent="0.3">
      <c r="A154"/>
      <c r="B154"/>
      <c r="C154"/>
      <c r="D154"/>
      <c r="E154"/>
      <c r="F154"/>
      <c r="G154"/>
      <c r="H154"/>
      <c r="I154"/>
      <c r="J154"/>
      <c r="K154"/>
      <c r="L154"/>
      <c r="M154"/>
      <c r="N154"/>
      <c r="O154"/>
      <c r="Q154"/>
      <c r="R154"/>
      <c r="S154"/>
      <c r="T154"/>
    </row>
    <row r="155" spans="1:20" ht="14.4" customHeight="1" x14ac:dyDescent="0.3">
      <c r="A155"/>
      <c r="B155"/>
      <c r="C155"/>
      <c r="D155"/>
      <c r="E155"/>
      <c r="F155"/>
      <c r="G155"/>
      <c r="H155"/>
      <c r="I155"/>
      <c r="J155"/>
      <c r="K155"/>
      <c r="L155"/>
      <c r="M155"/>
      <c r="N155"/>
      <c r="O155"/>
      <c r="Q155"/>
      <c r="R155"/>
      <c r="S155"/>
      <c r="T155"/>
    </row>
    <row r="156" spans="1:20" ht="14.4" customHeight="1" x14ac:dyDescent="0.3">
      <c r="A156"/>
      <c r="B156"/>
      <c r="C156"/>
      <c r="D156"/>
      <c r="E156"/>
      <c r="F156"/>
      <c r="G156"/>
      <c r="H156"/>
      <c r="I156"/>
      <c r="J156"/>
      <c r="K156"/>
      <c r="L156"/>
      <c r="M156"/>
      <c r="N156"/>
      <c r="O156"/>
      <c r="Q156"/>
      <c r="R156"/>
      <c r="S156"/>
      <c r="T156"/>
    </row>
    <row r="157" spans="1:20" ht="14.4" customHeight="1" x14ac:dyDescent="0.3">
      <c r="A157"/>
      <c r="B157"/>
      <c r="C157"/>
      <c r="D157"/>
      <c r="E157"/>
      <c r="F157"/>
      <c r="G157"/>
      <c r="H157"/>
      <c r="I157"/>
      <c r="J157"/>
      <c r="K157"/>
      <c r="L157"/>
      <c r="M157"/>
      <c r="N157"/>
      <c r="O157"/>
      <c r="Q157"/>
      <c r="R157"/>
      <c r="S157"/>
      <c r="T157"/>
    </row>
    <row r="158" spans="1:20" ht="14.4" customHeight="1" x14ac:dyDescent="0.3">
      <c r="A158"/>
      <c r="B158"/>
      <c r="C158"/>
      <c r="D158"/>
      <c r="E158"/>
      <c r="F158"/>
      <c r="G158"/>
      <c r="H158"/>
      <c r="I158"/>
      <c r="J158"/>
      <c r="K158"/>
      <c r="L158"/>
      <c r="M158"/>
      <c r="N158"/>
      <c r="O158"/>
      <c r="Q158"/>
      <c r="R158"/>
      <c r="S158"/>
      <c r="T158"/>
    </row>
    <row r="159" spans="1:20" ht="14.4" customHeight="1" x14ac:dyDescent="0.3">
      <c r="A159"/>
      <c r="B159"/>
      <c r="C159"/>
      <c r="D159"/>
      <c r="E159"/>
      <c r="F159"/>
      <c r="G159"/>
      <c r="H159"/>
      <c r="I159"/>
      <c r="J159"/>
      <c r="K159"/>
      <c r="L159"/>
      <c r="M159"/>
      <c r="N159"/>
      <c r="O159"/>
      <c r="Q159"/>
      <c r="R159"/>
      <c r="S159"/>
      <c r="T159"/>
    </row>
    <row r="160" spans="1:20" ht="14.4" customHeight="1" x14ac:dyDescent="0.3">
      <c r="A160"/>
      <c r="B160"/>
      <c r="C160"/>
      <c r="D160"/>
      <c r="E160"/>
      <c r="F160"/>
      <c r="G160"/>
      <c r="H160"/>
      <c r="I160"/>
      <c r="J160"/>
      <c r="K160"/>
      <c r="L160"/>
      <c r="M160"/>
      <c r="N160"/>
      <c r="O160"/>
      <c r="Q160"/>
      <c r="R160"/>
      <c r="S160"/>
      <c r="T160"/>
    </row>
    <row r="161" spans="1:20" ht="14.4" customHeight="1" x14ac:dyDescent="0.3">
      <c r="A161"/>
      <c r="B161"/>
      <c r="C161"/>
      <c r="D161"/>
      <c r="E161"/>
      <c r="F161"/>
      <c r="G161"/>
      <c r="H161"/>
      <c r="I161"/>
      <c r="J161"/>
      <c r="K161"/>
      <c r="L161"/>
      <c r="M161"/>
      <c r="N161"/>
      <c r="O161"/>
      <c r="Q161"/>
      <c r="R161"/>
      <c r="S161"/>
      <c r="T161"/>
    </row>
    <row r="162" spans="1:20" ht="14.4" customHeight="1" x14ac:dyDescent="0.3">
      <c r="A162"/>
      <c r="B162"/>
      <c r="C162"/>
      <c r="D162"/>
      <c r="E162"/>
      <c r="F162"/>
      <c r="G162"/>
      <c r="H162"/>
      <c r="I162"/>
      <c r="J162"/>
      <c r="K162"/>
      <c r="L162"/>
      <c r="M162"/>
      <c r="N162"/>
      <c r="O162"/>
      <c r="Q162"/>
      <c r="R162"/>
      <c r="S162"/>
      <c r="T162"/>
    </row>
    <row r="163" spans="1:20" ht="14.4" customHeight="1" x14ac:dyDescent="0.3">
      <c r="A163"/>
      <c r="B163"/>
      <c r="C163"/>
      <c r="D163"/>
      <c r="E163"/>
      <c r="F163"/>
      <c r="G163"/>
      <c r="H163"/>
      <c r="I163"/>
      <c r="J163"/>
      <c r="K163"/>
      <c r="L163"/>
      <c r="M163"/>
      <c r="N163"/>
      <c r="O163"/>
      <c r="Q163"/>
      <c r="R163"/>
      <c r="S163"/>
      <c r="T163"/>
    </row>
    <row r="164" spans="1:20" ht="14.4" customHeight="1" x14ac:dyDescent="0.3">
      <c r="A164"/>
      <c r="B164"/>
      <c r="C164"/>
      <c r="D164"/>
      <c r="E164"/>
      <c r="F164"/>
      <c r="G164"/>
      <c r="H164"/>
      <c r="I164"/>
      <c r="J164"/>
      <c r="K164"/>
      <c r="L164"/>
      <c r="M164"/>
      <c r="N164"/>
      <c r="O164"/>
      <c r="Q164"/>
      <c r="R164"/>
      <c r="S164"/>
      <c r="T164"/>
    </row>
    <row r="165" spans="1:20" ht="14.4" customHeight="1" x14ac:dyDescent="0.3">
      <c r="A165"/>
      <c r="B165"/>
      <c r="C165"/>
      <c r="D165"/>
      <c r="E165"/>
      <c r="F165"/>
      <c r="G165"/>
      <c r="H165"/>
      <c r="I165"/>
      <c r="J165"/>
      <c r="K165"/>
      <c r="L165"/>
      <c r="M165"/>
      <c r="N165"/>
      <c r="O165"/>
      <c r="Q165"/>
      <c r="R165"/>
      <c r="S165"/>
      <c r="T165"/>
    </row>
    <row r="166" spans="1:20" ht="14.4" customHeight="1" x14ac:dyDescent="0.3">
      <c r="A166"/>
      <c r="B166"/>
      <c r="C166"/>
      <c r="D166"/>
      <c r="E166"/>
      <c r="F166"/>
      <c r="G166"/>
      <c r="H166"/>
      <c r="I166"/>
      <c r="J166"/>
      <c r="K166"/>
      <c r="L166"/>
      <c r="M166"/>
      <c r="N166"/>
      <c r="O166"/>
      <c r="Q166"/>
      <c r="R166"/>
      <c r="S166"/>
      <c r="T166"/>
    </row>
    <row r="167" spans="1:20" ht="14.4" customHeight="1" x14ac:dyDescent="0.3">
      <c r="A167"/>
      <c r="B167"/>
      <c r="C167"/>
      <c r="D167"/>
      <c r="E167"/>
      <c r="F167"/>
      <c r="G167"/>
      <c r="H167"/>
      <c r="I167"/>
      <c r="J167"/>
      <c r="K167"/>
      <c r="L167"/>
      <c r="M167"/>
      <c r="N167"/>
      <c r="O167"/>
      <c r="Q167"/>
      <c r="R167"/>
      <c r="S167"/>
      <c r="T167"/>
    </row>
    <row r="168" spans="1:20" ht="14.4" customHeight="1" x14ac:dyDescent="0.3">
      <c r="A168"/>
      <c r="B168"/>
      <c r="C168"/>
      <c r="D168"/>
      <c r="E168"/>
      <c r="F168"/>
      <c r="G168"/>
      <c r="H168"/>
      <c r="I168"/>
      <c r="J168"/>
      <c r="K168"/>
      <c r="L168"/>
      <c r="M168"/>
      <c r="N168"/>
      <c r="O168"/>
      <c r="Q168"/>
      <c r="R168"/>
      <c r="S168"/>
      <c r="T168"/>
    </row>
    <row r="169" spans="1:20" ht="14.4" customHeight="1" x14ac:dyDescent="0.3">
      <c r="A169"/>
      <c r="B169"/>
      <c r="C169"/>
      <c r="D169"/>
      <c r="E169"/>
      <c r="F169"/>
      <c r="G169"/>
      <c r="H169"/>
      <c r="I169"/>
      <c r="J169"/>
      <c r="K169"/>
      <c r="L169"/>
      <c r="M169"/>
      <c r="N169"/>
      <c r="O169"/>
      <c r="Q169"/>
      <c r="R169"/>
      <c r="S169"/>
      <c r="T169"/>
    </row>
    <row r="170" spans="1:20" ht="14.4" customHeight="1" x14ac:dyDescent="0.3">
      <c r="A170"/>
      <c r="B170"/>
      <c r="C170"/>
      <c r="D170"/>
      <c r="E170"/>
      <c r="F170"/>
      <c r="G170"/>
      <c r="H170"/>
      <c r="I170"/>
      <c r="J170"/>
      <c r="K170"/>
      <c r="L170"/>
      <c r="M170"/>
      <c r="N170"/>
      <c r="O170"/>
      <c r="Q170"/>
      <c r="R170"/>
      <c r="S170"/>
      <c r="T170"/>
    </row>
    <row r="171" spans="1:20" ht="14.4" customHeight="1" x14ac:dyDescent="0.3">
      <c r="A171"/>
      <c r="B171"/>
      <c r="C171"/>
      <c r="D171"/>
      <c r="E171"/>
      <c r="F171"/>
      <c r="G171"/>
      <c r="H171"/>
      <c r="I171"/>
      <c r="J171"/>
      <c r="K171"/>
      <c r="L171"/>
      <c r="M171"/>
      <c r="N171"/>
      <c r="O171"/>
      <c r="Q171"/>
      <c r="R171"/>
      <c r="S171"/>
      <c r="T171"/>
    </row>
    <row r="172" spans="1:20" ht="14.4" customHeight="1" x14ac:dyDescent="0.3">
      <c r="A172"/>
      <c r="B172"/>
      <c r="C172"/>
      <c r="D172"/>
      <c r="E172"/>
      <c r="F172"/>
      <c r="G172"/>
      <c r="H172"/>
      <c r="I172"/>
      <c r="J172"/>
      <c r="K172"/>
      <c r="L172"/>
      <c r="M172"/>
      <c r="N172"/>
      <c r="O172"/>
      <c r="Q172"/>
      <c r="R172"/>
      <c r="S172"/>
      <c r="T172"/>
    </row>
    <row r="173" spans="1:20" ht="14.4" customHeight="1" x14ac:dyDescent="0.3">
      <c r="A173"/>
      <c r="B173"/>
      <c r="C173"/>
      <c r="D173"/>
      <c r="E173"/>
      <c r="F173"/>
      <c r="G173"/>
      <c r="H173"/>
      <c r="I173"/>
      <c r="J173"/>
      <c r="K173"/>
      <c r="L173"/>
      <c r="M173"/>
      <c r="N173"/>
      <c r="O173"/>
      <c r="Q173"/>
      <c r="R173"/>
      <c r="S173"/>
      <c r="T173"/>
    </row>
    <row r="174" spans="1:20" ht="14.4" customHeight="1" x14ac:dyDescent="0.3">
      <c r="A174"/>
      <c r="B174"/>
      <c r="C174"/>
      <c r="D174"/>
      <c r="E174"/>
      <c r="F174"/>
      <c r="G174"/>
      <c r="H174"/>
      <c r="I174"/>
      <c r="J174"/>
      <c r="K174"/>
      <c r="L174"/>
      <c r="M174"/>
      <c r="N174"/>
      <c r="O174"/>
      <c r="Q174"/>
      <c r="R174"/>
      <c r="S174"/>
      <c r="T174"/>
    </row>
    <row r="175" spans="1:20" ht="14.4" customHeight="1" x14ac:dyDescent="0.3">
      <c r="A175"/>
      <c r="B175"/>
      <c r="C175"/>
      <c r="D175"/>
      <c r="E175"/>
      <c r="F175"/>
      <c r="G175"/>
      <c r="H175"/>
      <c r="I175"/>
      <c r="J175"/>
      <c r="K175"/>
      <c r="L175"/>
      <c r="M175"/>
      <c r="N175"/>
      <c r="O175"/>
      <c r="Q175"/>
      <c r="R175"/>
      <c r="S175"/>
      <c r="T175"/>
    </row>
    <row r="176" spans="1:20" ht="14.4" customHeight="1" x14ac:dyDescent="0.3">
      <c r="A176"/>
      <c r="B176"/>
      <c r="C176"/>
      <c r="D176"/>
      <c r="E176"/>
      <c r="F176"/>
      <c r="G176"/>
      <c r="H176"/>
      <c r="I176"/>
      <c r="J176"/>
      <c r="K176"/>
      <c r="L176"/>
      <c r="M176"/>
      <c r="N176"/>
      <c r="O176"/>
      <c r="Q176"/>
      <c r="R176"/>
      <c r="S176"/>
      <c r="T176"/>
    </row>
    <row r="177" spans="1:20" ht="14.4" customHeight="1" x14ac:dyDescent="0.3">
      <c r="A177"/>
      <c r="B177"/>
      <c r="C177"/>
      <c r="D177"/>
      <c r="E177"/>
      <c r="F177"/>
      <c r="G177"/>
      <c r="H177"/>
      <c r="I177"/>
      <c r="J177"/>
      <c r="K177"/>
      <c r="L177"/>
      <c r="M177"/>
      <c r="N177"/>
      <c r="O177"/>
      <c r="Q177"/>
      <c r="R177"/>
      <c r="S177"/>
      <c r="T177"/>
    </row>
    <row r="178" spans="1:20" ht="14.4" customHeight="1" x14ac:dyDescent="0.3">
      <c r="A178"/>
      <c r="B178"/>
      <c r="C178"/>
      <c r="D178"/>
      <c r="E178"/>
      <c r="F178"/>
      <c r="G178"/>
      <c r="H178"/>
      <c r="I178"/>
      <c r="J178"/>
      <c r="K178"/>
      <c r="L178"/>
      <c r="M178"/>
      <c r="N178"/>
      <c r="O178"/>
      <c r="Q178"/>
      <c r="R178"/>
      <c r="S178"/>
      <c r="T178"/>
    </row>
    <row r="179" spans="1:20" ht="14.4" customHeight="1" x14ac:dyDescent="0.3">
      <c r="A179"/>
      <c r="B179"/>
      <c r="C179"/>
      <c r="D179"/>
      <c r="E179"/>
      <c r="F179"/>
      <c r="G179"/>
      <c r="H179"/>
      <c r="I179"/>
      <c r="J179"/>
      <c r="K179"/>
      <c r="L179"/>
      <c r="M179"/>
      <c r="N179"/>
      <c r="O179"/>
      <c r="Q179"/>
      <c r="R179"/>
      <c r="S179"/>
      <c r="T179"/>
    </row>
    <row r="180" spans="1:20" ht="14.4" customHeight="1" x14ac:dyDescent="0.3">
      <c r="A180"/>
      <c r="B180"/>
      <c r="C180"/>
      <c r="D180"/>
      <c r="E180"/>
      <c r="F180"/>
      <c r="G180"/>
      <c r="H180"/>
      <c r="I180"/>
      <c r="J180"/>
      <c r="K180"/>
      <c r="L180"/>
      <c r="M180"/>
      <c r="N180"/>
      <c r="O180"/>
      <c r="Q180"/>
      <c r="R180"/>
      <c r="S180"/>
      <c r="T180"/>
    </row>
    <row r="181" spans="1:20" ht="14.4" customHeight="1" x14ac:dyDescent="0.3">
      <c r="A181"/>
      <c r="B181"/>
      <c r="C181"/>
      <c r="D181"/>
      <c r="E181"/>
      <c r="F181"/>
      <c r="G181"/>
      <c r="H181"/>
      <c r="I181"/>
      <c r="J181"/>
      <c r="K181"/>
      <c r="L181"/>
      <c r="M181"/>
      <c r="N181"/>
      <c r="O181"/>
      <c r="Q181"/>
      <c r="R181"/>
      <c r="S181"/>
      <c r="T181"/>
    </row>
    <row r="182" spans="1:20" ht="14.4" customHeight="1" x14ac:dyDescent="0.3">
      <c r="A182"/>
      <c r="B182"/>
      <c r="C182"/>
      <c r="D182"/>
      <c r="E182"/>
      <c r="F182"/>
      <c r="G182"/>
      <c r="H182"/>
      <c r="I182"/>
      <c r="J182"/>
      <c r="K182"/>
      <c r="L182"/>
      <c r="M182"/>
      <c r="N182"/>
      <c r="O182"/>
      <c r="Q182"/>
      <c r="R182"/>
      <c r="S182"/>
      <c r="T182"/>
    </row>
    <row r="183" spans="1:20" ht="14.4" customHeight="1" x14ac:dyDescent="0.3">
      <c r="A183"/>
      <c r="B183"/>
      <c r="C183"/>
      <c r="D183"/>
      <c r="E183"/>
      <c r="F183"/>
      <c r="G183"/>
      <c r="H183"/>
      <c r="I183"/>
      <c r="J183"/>
      <c r="K183"/>
      <c r="L183"/>
      <c r="M183"/>
      <c r="N183"/>
      <c r="O183"/>
      <c r="Q183"/>
      <c r="R183"/>
      <c r="S183"/>
      <c r="T183"/>
    </row>
    <row r="184" spans="1:20" ht="14.4" customHeight="1" x14ac:dyDescent="0.3">
      <c r="A184"/>
      <c r="B184"/>
      <c r="C184"/>
      <c r="D184"/>
      <c r="E184"/>
      <c r="F184"/>
      <c r="G184"/>
      <c r="H184"/>
      <c r="I184"/>
      <c r="J184"/>
      <c r="K184"/>
      <c r="L184"/>
      <c r="M184"/>
      <c r="N184"/>
      <c r="O184"/>
      <c r="Q184"/>
      <c r="R184"/>
      <c r="S184"/>
      <c r="T184"/>
    </row>
    <row r="185" spans="1:20" ht="14.4" customHeight="1" x14ac:dyDescent="0.3">
      <c r="A185"/>
      <c r="B185"/>
      <c r="C185"/>
      <c r="D185"/>
      <c r="E185"/>
      <c r="F185"/>
      <c r="G185"/>
      <c r="H185"/>
      <c r="I185"/>
      <c r="J185"/>
      <c r="K185"/>
      <c r="L185"/>
      <c r="M185"/>
      <c r="N185"/>
      <c r="O185"/>
      <c r="Q185"/>
      <c r="R185"/>
      <c r="S185"/>
      <c r="T185"/>
    </row>
    <row r="186" spans="1:20" ht="14.4" customHeight="1" x14ac:dyDescent="0.3">
      <c r="A186"/>
      <c r="B186"/>
      <c r="C186"/>
      <c r="D186"/>
      <c r="E186"/>
      <c r="F186"/>
      <c r="G186"/>
      <c r="H186"/>
      <c r="I186"/>
      <c r="J186"/>
      <c r="K186"/>
      <c r="L186"/>
      <c r="M186"/>
      <c r="N186"/>
      <c r="O186"/>
      <c r="Q186"/>
      <c r="R186"/>
      <c r="S186"/>
      <c r="T186"/>
    </row>
    <row r="187" spans="1:20" ht="14.4" customHeight="1" x14ac:dyDescent="0.3">
      <c r="A187"/>
      <c r="B187"/>
      <c r="C187"/>
      <c r="D187"/>
      <c r="E187"/>
      <c r="F187"/>
      <c r="G187"/>
      <c r="H187"/>
      <c r="I187"/>
      <c r="J187"/>
      <c r="K187"/>
      <c r="L187"/>
      <c r="M187"/>
      <c r="N187"/>
      <c r="O187"/>
      <c r="Q187"/>
      <c r="R187"/>
      <c r="S187"/>
      <c r="T187"/>
    </row>
    <row r="188" spans="1:20" ht="14.4" customHeight="1" x14ac:dyDescent="0.3">
      <c r="A188"/>
      <c r="B188"/>
      <c r="C188"/>
      <c r="D188"/>
      <c r="E188"/>
      <c r="F188"/>
      <c r="G188"/>
      <c r="H188"/>
      <c r="I188"/>
      <c r="J188"/>
      <c r="K188"/>
      <c r="L188"/>
      <c r="M188"/>
      <c r="N188"/>
      <c r="O188"/>
      <c r="Q188"/>
      <c r="R188"/>
      <c r="S188"/>
      <c r="T188"/>
    </row>
    <row r="189" spans="1:20" ht="14.4" customHeight="1" x14ac:dyDescent="0.3">
      <c r="A189"/>
      <c r="B189"/>
      <c r="C189"/>
      <c r="D189"/>
      <c r="E189"/>
      <c r="F189"/>
      <c r="G189"/>
      <c r="H189"/>
      <c r="I189"/>
      <c r="J189"/>
      <c r="K189"/>
      <c r="L189"/>
      <c r="M189"/>
      <c r="N189"/>
      <c r="O189"/>
      <c r="Q189"/>
      <c r="R189"/>
      <c r="S189"/>
      <c r="T189"/>
    </row>
    <row r="190" spans="1:20" ht="14.4" customHeight="1" x14ac:dyDescent="0.3">
      <c r="A190"/>
      <c r="B190"/>
      <c r="C190"/>
      <c r="D190"/>
      <c r="E190"/>
      <c r="F190"/>
      <c r="G190"/>
      <c r="H190"/>
      <c r="I190"/>
      <c r="J190"/>
      <c r="K190"/>
      <c r="L190"/>
      <c r="M190"/>
      <c r="N190"/>
      <c r="O190"/>
      <c r="Q190"/>
      <c r="R190"/>
      <c r="S190"/>
      <c r="T190"/>
    </row>
    <row r="191" spans="1:20" ht="14.4" customHeight="1" x14ac:dyDescent="0.3">
      <c r="A191"/>
      <c r="B191"/>
      <c r="C191"/>
      <c r="D191"/>
      <c r="E191"/>
      <c r="F191"/>
      <c r="G191"/>
      <c r="H191"/>
      <c r="I191"/>
      <c r="J191"/>
      <c r="K191"/>
      <c r="L191"/>
      <c r="M191"/>
      <c r="N191"/>
      <c r="O191"/>
      <c r="Q191"/>
      <c r="R191"/>
      <c r="S191"/>
      <c r="T191"/>
    </row>
    <row r="192" spans="1:20" ht="14.4" customHeight="1" x14ac:dyDescent="0.3">
      <c r="A192"/>
      <c r="B192"/>
      <c r="C192"/>
      <c r="D192"/>
      <c r="E192"/>
      <c r="F192"/>
      <c r="G192"/>
      <c r="H192"/>
      <c r="I192"/>
      <c r="J192"/>
      <c r="K192"/>
      <c r="L192"/>
      <c r="M192"/>
      <c r="N192"/>
      <c r="O192"/>
      <c r="Q192"/>
      <c r="R192"/>
      <c r="S192"/>
      <c r="T192"/>
    </row>
    <row r="193" spans="1:20" ht="14.4" customHeight="1" x14ac:dyDescent="0.3">
      <c r="A193"/>
      <c r="B193"/>
      <c r="C193"/>
      <c r="D193"/>
      <c r="E193"/>
      <c r="F193"/>
      <c r="G193"/>
      <c r="H193"/>
      <c r="I193"/>
      <c r="J193"/>
      <c r="K193"/>
      <c r="L193"/>
      <c r="M193"/>
      <c r="N193"/>
      <c r="O193"/>
      <c r="Q193"/>
      <c r="R193"/>
      <c r="S193"/>
      <c r="T193"/>
    </row>
    <row r="194" spans="1:20" ht="14.4" customHeight="1" x14ac:dyDescent="0.3">
      <c r="A194"/>
      <c r="B194"/>
      <c r="C194"/>
      <c r="D194"/>
      <c r="E194"/>
      <c r="F194"/>
      <c r="G194"/>
      <c r="H194"/>
      <c r="I194"/>
      <c r="J194"/>
      <c r="K194"/>
      <c r="L194"/>
      <c r="M194"/>
      <c r="N194"/>
      <c r="O194"/>
      <c r="Q194"/>
      <c r="R194"/>
      <c r="S194"/>
      <c r="T194"/>
    </row>
    <row r="195" spans="1:20" ht="14.4" customHeight="1" x14ac:dyDescent="0.3">
      <c r="A195"/>
      <c r="B195"/>
      <c r="C195"/>
      <c r="D195"/>
      <c r="E195"/>
      <c r="F195"/>
      <c r="G195"/>
      <c r="H195"/>
      <c r="I195"/>
      <c r="J195"/>
      <c r="K195"/>
      <c r="L195"/>
      <c r="M195"/>
      <c r="N195"/>
      <c r="O195"/>
      <c r="Q195"/>
      <c r="R195"/>
      <c r="S195"/>
      <c r="T195"/>
    </row>
    <row r="196" spans="1:20" ht="14.4" customHeight="1" x14ac:dyDescent="0.3">
      <c r="A196"/>
      <c r="B196"/>
      <c r="C196"/>
      <c r="D196"/>
      <c r="E196"/>
      <c r="F196"/>
      <c r="G196"/>
      <c r="H196"/>
      <c r="I196"/>
      <c r="J196"/>
      <c r="K196"/>
      <c r="L196"/>
      <c r="M196"/>
      <c r="N196"/>
      <c r="O196"/>
      <c r="Q196"/>
      <c r="R196"/>
      <c r="S196"/>
      <c r="T196"/>
    </row>
    <row r="197" spans="1:20" ht="14.4" customHeight="1" x14ac:dyDescent="0.3">
      <c r="A197"/>
      <c r="B197"/>
      <c r="C197"/>
      <c r="D197"/>
      <c r="E197"/>
      <c r="F197"/>
      <c r="G197"/>
      <c r="H197"/>
      <c r="I197"/>
      <c r="J197"/>
      <c r="K197"/>
      <c r="L197"/>
      <c r="M197"/>
      <c r="N197"/>
      <c r="O197"/>
      <c r="Q197"/>
      <c r="R197"/>
      <c r="S197"/>
      <c r="T197"/>
    </row>
    <row r="198" spans="1:20" ht="14.4" customHeight="1" x14ac:dyDescent="0.3">
      <c r="A198"/>
      <c r="B198"/>
      <c r="C198"/>
      <c r="D198"/>
      <c r="E198"/>
      <c r="F198"/>
      <c r="G198"/>
      <c r="H198"/>
      <c r="I198"/>
      <c r="J198"/>
      <c r="K198"/>
      <c r="L198"/>
      <c r="M198"/>
      <c r="N198"/>
      <c r="O198"/>
      <c r="Q198"/>
      <c r="R198"/>
      <c r="S198"/>
      <c r="T198"/>
    </row>
    <row r="199" spans="1:20" ht="14.4" customHeight="1" x14ac:dyDescent="0.3">
      <c r="A199"/>
      <c r="B199"/>
      <c r="C199"/>
      <c r="D199"/>
      <c r="E199"/>
      <c r="F199"/>
      <c r="G199"/>
      <c r="H199"/>
      <c r="I199"/>
      <c r="J199"/>
      <c r="K199"/>
      <c r="L199"/>
      <c r="M199"/>
      <c r="N199"/>
      <c r="O199"/>
      <c r="Q199"/>
      <c r="R199"/>
      <c r="S199"/>
      <c r="T199"/>
    </row>
    <row r="200" spans="1:20" ht="14.4" customHeight="1" x14ac:dyDescent="0.3">
      <c r="A200"/>
      <c r="B200"/>
      <c r="C200"/>
      <c r="D200"/>
      <c r="E200"/>
      <c r="F200"/>
      <c r="G200"/>
      <c r="H200"/>
      <c r="I200"/>
      <c r="J200"/>
      <c r="K200"/>
      <c r="L200"/>
      <c r="M200"/>
      <c r="N200"/>
      <c r="O200"/>
      <c r="Q200"/>
      <c r="R200"/>
      <c r="S200"/>
      <c r="T200"/>
    </row>
    <row r="201" spans="1:20" ht="14.4" customHeight="1" x14ac:dyDescent="0.3">
      <c r="A201"/>
      <c r="B201"/>
      <c r="C201"/>
      <c r="D201"/>
      <c r="E201"/>
      <c r="F201"/>
      <c r="G201"/>
      <c r="H201"/>
      <c r="I201"/>
      <c r="J201"/>
      <c r="K201"/>
      <c r="L201"/>
      <c r="M201"/>
      <c r="N201"/>
      <c r="O201"/>
      <c r="Q201"/>
      <c r="R201"/>
      <c r="S201"/>
      <c r="T201"/>
    </row>
    <row r="202" spans="1:20" ht="14.4" customHeight="1" x14ac:dyDescent="0.3">
      <c r="A202"/>
      <c r="B202"/>
      <c r="C202"/>
      <c r="D202"/>
      <c r="E202"/>
      <c r="F202"/>
      <c r="G202"/>
      <c r="H202"/>
      <c r="I202"/>
      <c r="J202"/>
      <c r="K202"/>
      <c r="L202"/>
      <c r="M202"/>
      <c r="N202"/>
      <c r="O202"/>
      <c r="Q202"/>
      <c r="R202"/>
      <c r="S202"/>
      <c r="T202"/>
    </row>
    <row r="203" spans="1:20" ht="14.4" customHeight="1" x14ac:dyDescent="0.3">
      <c r="A203"/>
      <c r="B203"/>
      <c r="C203"/>
      <c r="D203"/>
      <c r="E203"/>
      <c r="F203"/>
      <c r="G203"/>
      <c r="H203"/>
      <c r="I203"/>
      <c r="J203"/>
      <c r="K203"/>
      <c r="L203"/>
      <c r="M203"/>
      <c r="N203"/>
      <c r="O203"/>
      <c r="Q203"/>
      <c r="R203"/>
      <c r="S203"/>
      <c r="T203"/>
    </row>
    <row r="204" spans="1:20" ht="14.4" customHeight="1" x14ac:dyDescent="0.3">
      <c r="A204"/>
      <c r="B204"/>
      <c r="C204"/>
      <c r="D204"/>
      <c r="E204"/>
      <c r="F204"/>
      <c r="G204"/>
      <c r="H204"/>
      <c r="I204"/>
      <c r="J204"/>
      <c r="K204"/>
      <c r="L204"/>
      <c r="M204"/>
      <c r="N204"/>
      <c r="O204"/>
      <c r="Q204"/>
      <c r="R204"/>
      <c r="S204"/>
      <c r="T204"/>
    </row>
    <row r="205" spans="1:20" ht="14.4" customHeight="1" x14ac:dyDescent="0.3">
      <c r="A205"/>
      <c r="B205"/>
      <c r="C205"/>
      <c r="D205"/>
      <c r="E205"/>
      <c r="F205"/>
      <c r="G205"/>
      <c r="H205"/>
      <c r="I205"/>
      <c r="J205"/>
      <c r="K205"/>
      <c r="L205"/>
      <c r="M205"/>
      <c r="N205"/>
      <c r="O205"/>
      <c r="Q205"/>
      <c r="R205"/>
      <c r="S205"/>
      <c r="T205"/>
    </row>
    <row r="206" spans="1:20" ht="14.4" customHeight="1" x14ac:dyDescent="0.3">
      <c r="A206"/>
      <c r="B206"/>
      <c r="C206"/>
      <c r="D206"/>
      <c r="E206"/>
      <c r="F206"/>
      <c r="G206"/>
      <c r="H206"/>
      <c r="I206"/>
      <c r="J206"/>
      <c r="K206"/>
      <c r="L206"/>
      <c r="M206"/>
      <c r="N206"/>
      <c r="O206"/>
      <c r="Q206"/>
      <c r="R206"/>
      <c r="S206"/>
      <c r="T206"/>
    </row>
    <row r="207" spans="1:20" ht="14.4" customHeight="1" x14ac:dyDescent="0.3">
      <c r="A207"/>
      <c r="B207"/>
      <c r="C207"/>
      <c r="D207"/>
      <c r="E207"/>
      <c r="F207"/>
      <c r="G207"/>
      <c r="H207"/>
      <c r="I207"/>
      <c r="J207"/>
      <c r="K207"/>
      <c r="L207"/>
      <c r="M207"/>
      <c r="N207"/>
      <c r="O207"/>
      <c r="Q207"/>
      <c r="R207"/>
      <c r="S207"/>
      <c r="T207"/>
    </row>
    <row r="208" spans="1:20" ht="14.4" customHeight="1" x14ac:dyDescent="0.3">
      <c r="A208"/>
      <c r="B208"/>
      <c r="C208"/>
      <c r="D208"/>
      <c r="E208"/>
      <c r="F208"/>
      <c r="G208"/>
      <c r="H208"/>
      <c r="I208"/>
      <c r="J208"/>
      <c r="K208"/>
      <c r="L208"/>
      <c r="M208"/>
      <c r="N208"/>
      <c r="O208"/>
      <c r="Q208"/>
      <c r="R208"/>
      <c r="S208"/>
      <c r="T208"/>
    </row>
    <row r="209" spans="1:20" ht="14.4" customHeight="1" x14ac:dyDescent="0.3">
      <c r="A209"/>
      <c r="B209"/>
      <c r="C209"/>
      <c r="D209"/>
      <c r="E209"/>
      <c r="F209"/>
      <c r="G209"/>
      <c r="H209"/>
      <c r="I209"/>
      <c r="J209"/>
      <c r="K209"/>
      <c r="L209"/>
      <c r="M209"/>
      <c r="N209"/>
      <c r="O209"/>
      <c r="Q209"/>
      <c r="R209"/>
      <c r="S209"/>
      <c r="T209"/>
    </row>
    <row r="210" spans="1:20" ht="14.4" customHeight="1" x14ac:dyDescent="0.3">
      <c r="A210"/>
      <c r="B210"/>
      <c r="C210"/>
      <c r="D210"/>
      <c r="E210"/>
      <c r="F210"/>
      <c r="G210"/>
      <c r="H210"/>
      <c r="I210"/>
      <c r="J210"/>
      <c r="K210"/>
      <c r="L210"/>
      <c r="M210"/>
      <c r="N210"/>
      <c r="O210"/>
      <c r="Q210"/>
      <c r="R210"/>
      <c r="S210"/>
      <c r="T210"/>
    </row>
    <row r="211" spans="1:20" ht="14.4" customHeight="1" x14ac:dyDescent="0.3">
      <c r="A211"/>
      <c r="B211"/>
      <c r="C211"/>
      <c r="D211"/>
      <c r="E211"/>
      <c r="F211"/>
      <c r="G211"/>
      <c r="H211"/>
      <c r="I211"/>
      <c r="J211"/>
      <c r="K211"/>
      <c r="L211"/>
      <c r="M211"/>
      <c r="N211"/>
      <c r="O211"/>
      <c r="Q211"/>
      <c r="R211"/>
      <c r="S211"/>
      <c r="T211"/>
    </row>
    <row r="212" spans="1:20" ht="14.4" customHeight="1" x14ac:dyDescent="0.3">
      <c r="A212"/>
      <c r="Q212"/>
      <c r="R212"/>
      <c r="S212"/>
      <c r="T212"/>
    </row>
    <row r="213" spans="1:20" ht="14.4" customHeight="1" x14ac:dyDescent="0.3">
      <c r="A213"/>
      <c r="Q213"/>
      <c r="R213"/>
      <c r="S213"/>
      <c r="T213"/>
    </row>
    <row r="214" spans="1:20" ht="14.4" customHeight="1" x14ac:dyDescent="0.3">
      <c r="A214"/>
      <c r="Q214"/>
      <c r="R214"/>
      <c r="S214"/>
      <c r="T214"/>
    </row>
    <row r="215" spans="1:20" ht="14.4" customHeight="1" x14ac:dyDescent="0.3">
      <c r="A215"/>
      <c r="Q215"/>
      <c r="R215"/>
      <c r="S215"/>
      <c r="T215"/>
    </row>
    <row r="216" spans="1:20" ht="14.4" customHeight="1" x14ac:dyDescent="0.3">
      <c r="A216"/>
      <c r="Q216"/>
      <c r="R216"/>
      <c r="S216"/>
      <c r="T216"/>
    </row>
    <row r="217" spans="1:20" ht="14.4" customHeight="1" x14ac:dyDescent="0.3">
      <c r="A217"/>
      <c r="Q217"/>
      <c r="R217"/>
      <c r="S217"/>
      <c r="T217"/>
    </row>
    <row r="218" spans="1:20" ht="14.4" customHeight="1" x14ac:dyDescent="0.3">
      <c r="A218"/>
      <c r="Q218"/>
      <c r="R218"/>
      <c r="S218"/>
      <c r="T218"/>
    </row>
    <row r="219" spans="1:20" ht="14.4" customHeight="1" x14ac:dyDescent="0.3">
      <c r="A219"/>
      <c r="Q219"/>
      <c r="R219"/>
      <c r="S219"/>
      <c r="T219"/>
    </row>
    <row r="220" spans="1:20" ht="14.4" customHeight="1" x14ac:dyDescent="0.3">
      <c r="A220"/>
      <c r="Q220"/>
      <c r="R220"/>
      <c r="S220"/>
      <c r="T220"/>
    </row>
    <row r="221" spans="1:20" ht="14.4" customHeight="1" x14ac:dyDescent="0.3">
      <c r="A221"/>
      <c r="Q221"/>
      <c r="R221"/>
      <c r="S221"/>
      <c r="T221"/>
    </row>
    <row r="222" spans="1:20" ht="14.4" customHeight="1" x14ac:dyDescent="0.3">
      <c r="A222"/>
      <c r="Q222"/>
      <c r="R222"/>
      <c r="S222"/>
      <c r="T222"/>
    </row>
    <row r="223" spans="1:20" ht="14.4" customHeight="1" x14ac:dyDescent="0.3">
      <c r="A223"/>
      <c r="Q223"/>
      <c r="R223"/>
      <c r="S223"/>
      <c r="T223"/>
    </row>
    <row r="224" spans="1:20" ht="14.4" customHeight="1" x14ac:dyDescent="0.3">
      <c r="A224"/>
      <c r="Q224"/>
      <c r="R224"/>
      <c r="S224"/>
      <c r="T224"/>
    </row>
    <row r="225" spans="1:20" ht="14.4" customHeight="1" x14ac:dyDescent="0.3">
      <c r="A225"/>
      <c r="Q225"/>
      <c r="R225"/>
      <c r="S225"/>
      <c r="T225"/>
    </row>
    <row r="226" spans="1:20" ht="14.4" customHeight="1" x14ac:dyDescent="0.3">
      <c r="A226"/>
      <c r="Q226"/>
      <c r="R226"/>
      <c r="S226"/>
      <c r="T226"/>
    </row>
    <row r="227" spans="1:20" ht="14.4" customHeight="1" x14ac:dyDescent="0.3">
      <c r="A227"/>
      <c r="Q227"/>
      <c r="R227"/>
      <c r="S227"/>
      <c r="T227"/>
    </row>
    <row r="228" spans="1:20" ht="14.4" customHeight="1" x14ac:dyDescent="0.3">
      <c r="A228"/>
      <c r="Q228"/>
      <c r="R228"/>
      <c r="S228"/>
      <c r="T228"/>
    </row>
    <row r="229" spans="1:20" ht="14.4" customHeight="1" x14ac:dyDescent="0.3">
      <c r="A229"/>
      <c r="Q229"/>
      <c r="R229"/>
      <c r="S229"/>
      <c r="T229"/>
    </row>
    <row r="230" spans="1:20" ht="14.4" customHeight="1" x14ac:dyDescent="0.3">
      <c r="A230"/>
      <c r="Q230"/>
      <c r="R230"/>
      <c r="S230"/>
      <c r="T230"/>
    </row>
    <row r="231" spans="1:20" ht="14.4" customHeight="1" x14ac:dyDescent="0.3">
      <c r="R231"/>
      <c r="S231"/>
      <c r="T231"/>
    </row>
    <row r="232" spans="1:20" ht="14.4" customHeight="1" x14ac:dyDescent="0.3">
      <c r="R232"/>
      <c r="S232"/>
      <c r="T232"/>
    </row>
  </sheetData>
  <mergeCells count="8">
    <mergeCell ref="I12:K12"/>
    <mergeCell ref="I11:K11"/>
    <mergeCell ref="I10:K10"/>
    <mergeCell ref="R11:U11"/>
    <mergeCell ref="W4:X4"/>
    <mergeCell ref="I7:K7"/>
    <mergeCell ref="I8:K8"/>
    <mergeCell ref="I9:K9"/>
  </mergeCells>
  <pageMargins left="0.7" right="0.7" top="0.75" bottom="0.75" header="0.3" footer="0.3"/>
  <pageSetup orientation="portrait" r:id="rId1"/>
  <ignoredErrors>
    <ignoredError sqref="K74"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55C1-F80B-4C2F-AFEE-9D4756B0A66A}">
  <dimension ref="A1:AN316"/>
  <sheetViews>
    <sheetView showGridLines="0" zoomScaleNormal="100" zoomScaleSheetLayoutView="100" workbookViewId="0">
      <selection activeCell="E7" sqref="E7"/>
    </sheetView>
  </sheetViews>
  <sheetFormatPr defaultColWidth="8.69921875" defaultRowHeight="14.4" customHeight="1" x14ac:dyDescent="0.3"/>
  <cols>
    <col min="1" max="1" width="8.69921875" style="14" customWidth="1"/>
    <col min="2" max="37" width="8.69921875" style="1" customWidth="1"/>
    <col min="38" max="16384" width="8.69921875" style="1"/>
  </cols>
  <sheetData>
    <row r="1" spans="1:40" x14ac:dyDescent="0.3"/>
    <row r="2" spans="1:40" ht="14.4" customHeight="1" x14ac:dyDescent="0.3">
      <c r="A2" s="70"/>
      <c r="K2" s="5" t="s">
        <v>28</v>
      </c>
      <c r="U2" s="57"/>
      <c r="AE2" s="61"/>
      <c r="AN2" s="56"/>
    </row>
    <row r="3" spans="1:40" ht="15.6" x14ac:dyDescent="0.3">
      <c r="A3" s="70"/>
      <c r="AE3" s="61"/>
    </row>
    <row r="4" spans="1:40" ht="15.6" x14ac:dyDescent="0.3">
      <c r="A4" s="70" t="s">
        <v>40</v>
      </c>
      <c r="B4" s="33" t="s">
        <v>178</v>
      </c>
      <c r="C4" s="33"/>
      <c r="D4" s="33">
        <v>2026</v>
      </c>
      <c r="E4" s="33">
        <v>2031</v>
      </c>
      <c r="F4" s="33"/>
      <c r="G4" s="33"/>
      <c r="H4" s="33"/>
      <c r="I4" s="33">
        <v>2026</v>
      </c>
      <c r="J4" s="33">
        <v>2031</v>
      </c>
      <c r="K4" s="34"/>
      <c r="L4" s="34"/>
      <c r="M4" s="34"/>
      <c r="N4" s="34"/>
      <c r="AE4" s="61"/>
    </row>
    <row r="5" spans="1:40" s="19" customFormat="1" ht="1.95" customHeight="1" x14ac:dyDescent="0.3">
      <c r="A5" s="72"/>
      <c r="B5" s="20"/>
      <c r="C5" s="20"/>
      <c r="D5" s="20"/>
      <c r="E5" s="20"/>
      <c r="F5" s="20"/>
      <c r="G5" s="20"/>
      <c r="H5" s="21"/>
      <c r="I5" s="21"/>
      <c r="J5" s="21"/>
      <c r="K5" s="21"/>
      <c r="L5" s="21"/>
    </row>
    <row r="6" spans="1:40" ht="15.6" x14ac:dyDescent="0.3">
      <c r="A6" s="70"/>
      <c r="B6" s="159" t="s">
        <v>193</v>
      </c>
      <c r="D6" s="171">
        <v>13</v>
      </c>
      <c r="E6" s="171">
        <v>50</v>
      </c>
      <c r="G6" s="159" t="s">
        <v>217</v>
      </c>
      <c r="I6" s="177">
        <v>0.5</v>
      </c>
      <c r="J6" s="177">
        <v>0.85</v>
      </c>
      <c r="L6" s="1" t="s">
        <v>242</v>
      </c>
      <c r="N6" s="177">
        <v>0.2</v>
      </c>
      <c r="AE6" s="61"/>
    </row>
    <row r="7" spans="1:40" ht="15.6" x14ac:dyDescent="0.3">
      <c r="A7" s="70"/>
      <c r="B7" s="159" t="s">
        <v>194</v>
      </c>
      <c r="D7" s="172">
        <v>0.25</v>
      </c>
      <c r="E7" s="172">
        <v>1</v>
      </c>
      <c r="G7" s="159" t="s">
        <v>198</v>
      </c>
      <c r="I7" s="170">
        <v>22</v>
      </c>
      <c r="J7" s="170">
        <v>28</v>
      </c>
      <c r="L7" s="1" t="s">
        <v>243</v>
      </c>
      <c r="N7" s="177">
        <v>0.4</v>
      </c>
      <c r="AE7" s="61"/>
    </row>
    <row r="8" spans="1:40" ht="15.6" x14ac:dyDescent="0.3">
      <c r="A8" s="70"/>
      <c r="B8" s="159" t="s">
        <v>195</v>
      </c>
      <c r="D8" s="177">
        <v>0.35</v>
      </c>
      <c r="E8" s="177">
        <v>0.3</v>
      </c>
      <c r="G8" s="159" t="s">
        <v>199</v>
      </c>
      <c r="I8" s="171">
        <v>18500</v>
      </c>
      <c r="J8" s="171">
        <v>25000</v>
      </c>
      <c r="AE8" s="61"/>
    </row>
    <row r="9" spans="1:40" ht="15.6" x14ac:dyDescent="0.3">
      <c r="A9" s="70"/>
      <c r="B9" s="159" t="s">
        <v>196</v>
      </c>
      <c r="D9" s="170">
        <v>2000</v>
      </c>
      <c r="E9" s="170">
        <v>3000</v>
      </c>
      <c r="G9" s="159" t="s">
        <v>200</v>
      </c>
      <c r="I9" s="171">
        <v>2000</v>
      </c>
      <c r="J9" s="171">
        <v>12000</v>
      </c>
      <c r="AE9" s="61"/>
    </row>
    <row r="10" spans="1:40" ht="15.6" x14ac:dyDescent="0.3">
      <c r="A10" s="70"/>
      <c r="B10" s="159" t="s">
        <v>197</v>
      </c>
      <c r="D10" s="171">
        <v>80</v>
      </c>
      <c r="E10" s="171">
        <v>130</v>
      </c>
      <c r="G10" s="159" t="s">
        <v>201</v>
      </c>
      <c r="I10" s="171">
        <v>0</v>
      </c>
      <c r="J10" s="171">
        <v>8000</v>
      </c>
      <c r="AE10" s="61"/>
    </row>
    <row r="11" spans="1:40" ht="15.6" x14ac:dyDescent="0.3">
      <c r="A11" s="70"/>
      <c r="B11" s="159"/>
      <c r="O11" s="159"/>
      <c r="P11" s="159"/>
      <c r="Q11" s="159"/>
      <c r="AE11" s="61"/>
    </row>
    <row r="12" spans="1:40" ht="15.6" x14ac:dyDescent="0.3">
      <c r="A12" s="70"/>
      <c r="B12" s="159" t="s">
        <v>188</v>
      </c>
      <c r="D12" s="177">
        <v>0.4</v>
      </c>
      <c r="E12" s="177">
        <v>0.4</v>
      </c>
      <c r="G12" s="159" t="s">
        <v>206</v>
      </c>
      <c r="I12" s="177">
        <v>-0.4</v>
      </c>
      <c r="J12" s="177">
        <v>0.25</v>
      </c>
      <c r="O12" s="159"/>
      <c r="P12" s="159"/>
      <c r="Q12" s="159"/>
      <c r="AE12" s="61"/>
    </row>
    <row r="13" spans="1:40" ht="15.6" x14ac:dyDescent="0.3">
      <c r="A13" s="70"/>
      <c r="B13" s="159" t="s">
        <v>238</v>
      </c>
      <c r="D13" s="171">
        <v>500</v>
      </c>
      <c r="E13" s="171">
        <v>5000</v>
      </c>
      <c r="G13" s="159" t="s">
        <v>137</v>
      </c>
      <c r="I13" s="177">
        <v>-0.01</v>
      </c>
      <c r="J13" s="177">
        <v>0.03</v>
      </c>
      <c r="O13" s="159"/>
      <c r="P13" s="159"/>
      <c r="Q13" s="159"/>
      <c r="AE13" s="61"/>
    </row>
    <row r="14" spans="1:40" ht="15.6" x14ac:dyDescent="0.3">
      <c r="A14" s="70"/>
      <c r="B14" s="159" t="s">
        <v>203</v>
      </c>
      <c r="D14" s="177">
        <v>0.2</v>
      </c>
      <c r="E14" s="177">
        <v>0.2</v>
      </c>
      <c r="G14" s="159" t="s">
        <v>207</v>
      </c>
      <c r="I14" s="177">
        <v>0.05</v>
      </c>
      <c r="J14" s="177">
        <v>0.03</v>
      </c>
      <c r="O14" s="159"/>
      <c r="P14" s="159"/>
      <c r="Q14" s="159"/>
      <c r="AE14" s="61"/>
    </row>
    <row r="15" spans="1:40" ht="15.6" x14ac:dyDescent="0.3">
      <c r="A15" s="70"/>
      <c r="B15" s="159" t="s">
        <v>204</v>
      </c>
      <c r="D15" s="177">
        <v>0.3</v>
      </c>
      <c r="E15" s="177">
        <v>0.35</v>
      </c>
      <c r="G15" s="1" t="s">
        <v>241</v>
      </c>
      <c r="I15" s="171">
        <v>50</v>
      </c>
      <c r="J15" s="171">
        <v>100</v>
      </c>
      <c r="O15" s="159"/>
      <c r="P15" s="159"/>
      <c r="Q15" s="159"/>
      <c r="AE15" s="61"/>
    </row>
    <row r="16" spans="1:40" ht="15.6" x14ac:dyDescent="0.3">
      <c r="A16" s="70"/>
      <c r="B16" s="159" t="s">
        <v>205</v>
      </c>
      <c r="D16" s="177">
        <v>0.3</v>
      </c>
      <c r="E16" s="177">
        <v>0.35</v>
      </c>
      <c r="G16" s="1" t="s">
        <v>237</v>
      </c>
      <c r="I16" s="177">
        <v>0.1</v>
      </c>
      <c r="J16" s="177">
        <v>0.35</v>
      </c>
      <c r="O16" s="159"/>
      <c r="P16" s="159"/>
      <c r="Q16" s="159"/>
      <c r="AE16" s="61"/>
    </row>
    <row r="17" spans="1:40" ht="15.6" x14ac:dyDescent="0.3">
      <c r="A17" s="70"/>
      <c r="B17" s="168"/>
      <c r="AE17" s="61"/>
    </row>
    <row r="18" spans="1:40" ht="14.4" customHeight="1" x14ac:dyDescent="0.3">
      <c r="A18" s="70" t="s">
        <v>40</v>
      </c>
      <c r="B18" s="33" t="s">
        <v>65</v>
      </c>
      <c r="C18" s="33"/>
      <c r="D18" s="33"/>
      <c r="E18" s="33"/>
      <c r="F18" s="33">
        <v>2023</v>
      </c>
      <c r="G18" s="33">
        <v>2024</v>
      </c>
      <c r="H18" s="33">
        <v>2025</v>
      </c>
      <c r="I18" s="34" t="s">
        <v>4</v>
      </c>
      <c r="J18" s="34" t="s">
        <v>5</v>
      </c>
      <c r="K18" s="34" t="s">
        <v>6</v>
      </c>
      <c r="L18" s="34" t="s">
        <v>7</v>
      </c>
      <c r="M18" s="34" t="s">
        <v>8</v>
      </c>
      <c r="N18" s="34" t="s">
        <v>75</v>
      </c>
      <c r="AN18" s="56"/>
    </row>
    <row r="19" spans="1:40" s="19" customFormat="1" ht="1.95" customHeight="1" x14ac:dyDescent="0.3">
      <c r="A19" s="72"/>
      <c r="B19" s="20"/>
      <c r="C19" s="20"/>
      <c r="D19" s="20"/>
      <c r="E19" s="20"/>
      <c r="F19" s="20"/>
      <c r="G19" s="20"/>
      <c r="H19" s="21"/>
      <c r="I19" s="21"/>
      <c r="J19" s="21"/>
      <c r="K19" s="21"/>
      <c r="L19" s="21"/>
    </row>
    <row r="20" spans="1:40" x14ac:dyDescent="0.3">
      <c r="B20" s="94" t="s">
        <v>9</v>
      </c>
      <c r="C20" s="94"/>
      <c r="D20" s="94"/>
      <c r="E20" s="94"/>
      <c r="F20" s="99">
        <f>SUM(F23+F38+F50+F53)</f>
        <v>54228</v>
      </c>
      <c r="G20" s="99">
        <f>SUM(G23+G38+G50+G53)</f>
        <v>53101</v>
      </c>
      <c r="H20" s="99">
        <f>SUM(H23+H38+H50+H53)</f>
        <v>52853</v>
      </c>
      <c r="I20" s="111">
        <f t="shared" ref="I20:N20" si="0">I23+I38+I50+I53</f>
        <v>58495.857499999998</v>
      </c>
      <c r="J20" s="111">
        <f t="shared" si="0"/>
        <v>74214.817791269961</v>
      </c>
      <c r="K20" s="111">
        <f t="shared" si="0"/>
        <v>92740.818610000002</v>
      </c>
      <c r="L20" s="111">
        <f t="shared" si="0"/>
        <v>114902.72623001219</v>
      </c>
      <c r="M20" s="111">
        <f t="shared" si="0"/>
        <v>131644.53077994319</v>
      </c>
      <c r="N20" s="111">
        <f t="shared" si="0"/>
        <v>144497.82186227225</v>
      </c>
    </row>
    <row r="21" spans="1:40" x14ac:dyDescent="0.3">
      <c r="B21" s="5" t="s">
        <v>78</v>
      </c>
      <c r="C21" s="4"/>
      <c r="D21" s="4"/>
      <c r="E21" s="4"/>
      <c r="F21" s="48">
        <f>(F20-63054)/63054</f>
        <v>-0.13997525930155105</v>
      </c>
      <c r="G21" s="48">
        <f t="shared" ref="G21" si="1">(G20-F20)/F20</f>
        <v>-2.0782621523935976E-2</v>
      </c>
      <c r="H21" s="48">
        <f t="shared" ref="H21:N21" si="2">(H20-G20)/G20</f>
        <v>-4.6703451912393362E-3</v>
      </c>
      <c r="I21" s="48">
        <f t="shared" si="2"/>
        <v>0.10676513159139497</v>
      </c>
      <c r="J21" s="48">
        <f t="shared" si="2"/>
        <v>0.2687192044542635</v>
      </c>
      <c r="K21" s="48">
        <f t="shared" si="2"/>
        <v>0.2496267102728007</v>
      </c>
      <c r="L21" s="48">
        <f t="shared" si="2"/>
        <v>0.23896605563952325</v>
      </c>
      <c r="M21" s="48">
        <f t="shared" si="2"/>
        <v>0.14570415428105041</v>
      </c>
      <c r="N21" s="48">
        <f t="shared" si="2"/>
        <v>9.7636346957813244E-2</v>
      </c>
    </row>
    <row r="22" spans="1:40" x14ac:dyDescent="0.3">
      <c r="B22" s="5"/>
      <c r="C22" s="4"/>
      <c r="D22" s="4"/>
      <c r="E22" s="4"/>
      <c r="F22" s="4"/>
      <c r="G22" s="4"/>
      <c r="H22" s="4"/>
      <c r="I22" s="4"/>
      <c r="J22" s="4"/>
      <c r="K22" s="4"/>
      <c r="L22" s="4"/>
      <c r="M22" s="4"/>
      <c r="N22" s="4"/>
    </row>
    <row r="23" spans="1:40" x14ac:dyDescent="0.3">
      <c r="B23" s="93" t="s">
        <v>123</v>
      </c>
      <c r="C23" s="94"/>
      <c r="D23" s="93"/>
      <c r="E23" s="93"/>
      <c r="F23" s="95">
        <f t="shared" ref="F23:G23" si="3">F26+F29</f>
        <v>48285</v>
      </c>
      <c r="G23" s="95">
        <f t="shared" si="3"/>
        <v>49471</v>
      </c>
      <c r="H23" s="95">
        <f t="shared" ref="H23:N23" si="4">H26+H29</f>
        <v>49147</v>
      </c>
      <c r="I23" s="104">
        <f t="shared" si="4"/>
        <v>51945.67</v>
      </c>
      <c r="J23" s="104">
        <f t="shared" si="4"/>
        <v>57862.133765624996</v>
      </c>
      <c r="K23" s="104">
        <f t="shared" si="4"/>
        <v>67527.818610000002</v>
      </c>
      <c r="L23" s="104">
        <f t="shared" si="4"/>
        <v>81405.33271272498</v>
      </c>
      <c r="M23" s="104">
        <f t="shared" si="4"/>
        <v>92866.934519943199</v>
      </c>
      <c r="N23" s="104">
        <f t="shared" si="4"/>
        <v>101976.39109304149</v>
      </c>
    </row>
    <row r="24" spans="1:40" x14ac:dyDescent="0.3">
      <c r="B24" s="5" t="s">
        <v>78</v>
      </c>
      <c r="C24" s="4"/>
      <c r="D24" s="4"/>
      <c r="E24" s="4"/>
      <c r="F24" s="48"/>
      <c r="G24" s="48">
        <f t="shared" ref="G24" si="5">(G23-F23)/F23</f>
        <v>2.4562493528010768E-2</v>
      </c>
      <c r="H24" s="48">
        <f t="shared" ref="H24:N24" si="6">(H23-G23)/G23</f>
        <v>-6.5492915041135214E-3</v>
      </c>
      <c r="I24" s="48">
        <f t="shared" si="6"/>
        <v>5.694487964677393E-2</v>
      </c>
      <c r="J24" s="48">
        <f t="shared" si="6"/>
        <v>0.11389714995734963</v>
      </c>
      <c r="K24" s="48">
        <f t="shared" si="6"/>
        <v>0.16704680963765703</v>
      </c>
      <c r="L24" s="48">
        <f t="shared" si="6"/>
        <v>0.20550810596849187</v>
      </c>
      <c r="M24" s="48">
        <f t="shared" si="6"/>
        <v>0.14079669507236819</v>
      </c>
      <c r="N24" s="48">
        <f t="shared" si="6"/>
        <v>9.8091496399528813E-2</v>
      </c>
    </row>
    <row r="25" spans="1:40" x14ac:dyDescent="0.3">
      <c r="B25" s="4"/>
      <c r="C25" s="4"/>
      <c r="D25" s="4"/>
      <c r="E25" s="4"/>
      <c r="F25" s="4"/>
      <c r="G25" s="4"/>
      <c r="H25" s="4"/>
      <c r="I25" s="4"/>
      <c r="J25" s="4"/>
      <c r="K25" s="4"/>
      <c r="L25" s="4"/>
      <c r="M25" s="4"/>
      <c r="N25" s="4"/>
      <c r="AE25" s="60"/>
      <c r="AF25" s="60"/>
      <c r="AG25" s="60"/>
      <c r="AH25" s="60"/>
      <c r="AI25" s="60"/>
      <c r="AJ25" s="60"/>
      <c r="AL25" s="5"/>
      <c r="AN25" s="60"/>
    </row>
    <row r="26" spans="1:40" x14ac:dyDescent="0.3">
      <c r="B26" s="1" t="s">
        <v>122</v>
      </c>
      <c r="C26" s="4"/>
      <c r="D26" s="4"/>
      <c r="E26" s="4"/>
      <c r="F26" s="12">
        <v>32305</v>
      </c>
      <c r="G26" s="12">
        <v>33346</v>
      </c>
      <c r="H26" s="12">
        <v>32228</v>
      </c>
      <c r="I26" s="103">
        <f t="shared" ref="I26:N26" si="7">H26*(1+I112)</f>
        <v>31905.72</v>
      </c>
      <c r="J26" s="103">
        <f t="shared" si="7"/>
        <v>31905.72</v>
      </c>
      <c r="K26" s="103">
        <f t="shared" si="7"/>
        <v>32224.7772</v>
      </c>
      <c r="L26" s="103">
        <f t="shared" si="7"/>
        <v>32869.272744000002</v>
      </c>
      <c r="M26" s="103">
        <f t="shared" si="7"/>
        <v>33723.873835344006</v>
      </c>
      <c r="N26" s="103">
        <f t="shared" si="7"/>
        <v>34735.590050404324</v>
      </c>
      <c r="AE26" s="48"/>
      <c r="AF26" s="48"/>
      <c r="AG26" s="48"/>
      <c r="AH26" s="48"/>
      <c r="AI26" s="48"/>
      <c r="AJ26" s="48"/>
      <c r="AL26" s="5"/>
      <c r="AN26" s="60"/>
    </row>
    <row r="27" spans="1:40" x14ac:dyDescent="0.3">
      <c r="B27" s="5" t="s">
        <v>78</v>
      </c>
      <c r="C27" s="4"/>
      <c r="D27" s="4"/>
      <c r="E27" s="4"/>
      <c r="F27" s="48"/>
      <c r="G27" s="48">
        <f>(G26-F26)/F26</f>
        <v>3.2224113914254761E-2</v>
      </c>
      <c r="H27" s="48">
        <f>(H26-G26)/G26</f>
        <v>-3.3527259641336293E-2</v>
      </c>
      <c r="I27" s="48">
        <f t="shared" ref="I27:N27" si="8">(I26-H26)/H26</f>
        <v>-9.9999999999999638E-3</v>
      </c>
      <c r="J27" s="48">
        <f t="shared" si="8"/>
        <v>0</v>
      </c>
      <c r="K27" s="48">
        <f t="shared" si="8"/>
        <v>9.9999999999999777E-3</v>
      </c>
      <c r="L27" s="48">
        <f t="shared" si="8"/>
        <v>2.0000000000000039E-2</v>
      </c>
      <c r="M27" s="48">
        <f t="shared" si="8"/>
        <v>2.6000000000000124E-2</v>
      </c>
      <c r="N27" s="48">
        <f t="shared" si="8"/>
        <v>2.9999999999999936E-2</v>
      </c>
      <c r="AE27" s="47"/>
      <c r="AF27" s="47"/>
      <c r="AG27" s="47"/>
      <c r="AH27" s="47"/>
      <c r="AI27" s="47"/>
      <c r="AJ27" s="47"/>
      <c r="AL27" s="5"/>
      <c r="AN27" s="60"/>
    </row>
    <row r="28" spans="1:40" x14ac:dyDescent="0.3">
      <c r="B28" s="4"/>
      <c r="C28" s="4"/>
      <c r="D28" s="4"/>
      <c r="E28" s="4"/>
      <c r="F28" s="4"/>
      <c r="G28" s="4"/>
      <c r="H28" s="4"/>
      <c r="I28" s="4"/>
      <c r="J28" s="4"/>
      <c r="K28" s="4"/>
      <c r="L28" s="4"/>
      <c r="M28" s="4"/>
      <c r="N28" s="4"/>
      <c r="AE28" s="48"/>
      <c r="AF28" s="48"/>
      <c r="AG28" s="48"/>
      <c r="AH28" s="48"/>
      <c r="AI28" s="48"/>
      <c r="AJ28" s="48"/>
      <c r="AL28" s="5"/>
      <c r="AN28" s="60"/>
    </row>
    <row r="29" spans="1:40" x14ac:dyDescent="0.3">
      <c r="B29" s="1" t="s">
        <v>121</v>
      </c>
      <c r="C29" s="4"/>
      <c r="D29" s="4"/>
      <c r="E29" s="4"/>
      <c r="F29" s="12">
        <v>15980</v>
      </c>
      <c r="G29" s="12">
        <v>16125</v>
      </c>
      <c r="H29" s="12">
        <v>16919</v>
      </c>
      <c r="I29" s="103">
        <f t="shared" ref="I29:N29" si="9">I148+I180+I123*I124</f>
        <v>20039.95</v>
      </c>
      <c r="J29" s="103">
        <f t="shared" si="9"/>
        <v>25956.413765624995</v>
      </c>
      <c r="K29" s="103">
        <f t="shared" si="9"/>
        <v>35303.041409999998</v>
      </c>
      <c r="L29" s="103">
        <f t="shared" si="9"/>
        <v>48536.059968724978</v>
      </c>
      <c r="M29" s="103">
        <f t="shared" si="9"/>
        <v>59143.060684599201</v>
      </c>
      <c r="N29" s="103">
        <f t="shared" si="9"/>
        <v>67240.801042637162</v>
      </c>
      <c r="AE29" s="47"/>
      <c r="AL29" s="5"/>
      <c r="AN29" s="60"/>
    </row>
    <row r="30" spans="1:40" x14ac:dyDescent="0.3">
      <c r="B30" s="5" t="s">
        <v>78</v>
      </c>
      <c r="C30" s="4"/>
      <c r="D30" s="4"/>
      <c r="E30" s="4"/>
      <c r="F30" s="48"/>
      <c r="G30" s="48">
        <f t="shared" ref="G30" si="10">(G29-F29)/F29</f>
        <v>9.0738423028785976E-3</v>
      </c>
      <c r="H30" s="48">
        <f>(H29-G29)/G29</f>
        <v>4.9240310077519382E-2</v>
      </c>
      <c r="I30" s="48">
        <f t="shared" ref="I30:N30" si="11">(I29-H29)/H29</f>
        <v>0.18446421183285069</v>
      </c>
      <c r="J30" s="48">
        <f t="shared" si="11"/>
        <v>0.29523345944600632</v>
      </c>
      <c r="K30" s="48">
        <f t="shared" si="11"/>
        <v>0.36008933008893068</v>
      </c>
      <c r="L30" s="48">
        <f t="shared" si="11"/>
        <v>0.37484075111377152</v>
      </c>
      <c r="M30" s="48">
        <f t="shared" si="11"/>
        <v>0.21853856128225119</v>
      </c>
      <c r="N30" s="48">
        <f t="shared" si="11"/>
        <v>0.1369178440260635</v>
      </c>
      <c r="AE30" s="58"/>
      <c r="AF30" s="58"/>
      <c r="AG30" s="58"/>
      <c r="AH30" s="58"/>
      <c r="AI30" s="58"/>
      <c r="AJ30" s="58"/>
      <c r="AL30" s="5"/>
      <c r="AN30" s="60"/>
    </row>
    <row r="31" spans="1:40" x14ac:dyDescent="0.3">
      <c r="B31" s="5"/>
      <c r="C31" s="4"/>
      <c r="D31" s="4"/>
      <c r="E31" s="4"/>
      <c r="F31" s="48"/>
      <c r="G31" s="48"/>
      <c r="H31" s="48"/>
      <c r="I31" s="48"/>
      <c r="J31" s="48"/>
      <c r="K31" s="48"/>
      <c r="L31" s="48"/>
      <c r="M31" s="48"/>
      <c r="N31" s="48"/>
      <c r="AE31" s="58"/>
      <c r="AF31" s="58"/>
      <c r="AG31" s="58"/>
      <c r="AH31" s="58"/>
      <c r="AI31" s="58"/>
      <c r="AJ31" s="58"/>
      <c r="AL31" s="5"/>
      <c r="AN31" s="60"/>
    </row>
    <row r="32" spans="1:40" ht="14.4" customHeight="1" x14ac:dyDescent="0.3">
      <c r="B32" s="1" t="s">
        <v>231</v>
      </c>
      <c r="C32" s="4"/>
      <c r="D32" s="4"/>
      <c r="E32" s="4"/>
      <c r="F32" s="8"/>
      <c r="G32" s="8"/>
      <c r="H32" s="8"/>
      <c r="I32" s="103">
        <f>I29-I35</f>
        <v>2275</v>
      </c>
      <c r="J32" s="103">
        <f t="shared" ref="J32:N32" si="12">J29-J35</f>
        <v>7392.0410156249964</v>
      </c>
      <c r="K32" s="103">
        <f t="shared" si="12"/>
        <v>15996.09375</v>
      </c>
      <c r="L32" s="103">
        <f t="shared" si="12"/>
        <v>28553.369140624982</v>
      </c>
      <c r="M32" s="103">
        <f t="shared" si="12"/>
        <v>38520.923750000002</v>
      </c>
      <c r="N32" s="103">
        <f t="shared" si="12"/>
        <v>45999.999999999985</v>
      </c>
      <c r="T32" s="5"/>
      <c r="Z32" s="58"/>
      <c r="AA32" s="58"/>
      <c r="AB32" s="58"/>
      <c r="AC32" s="58"/>
      <c r="AD32" s="58"/>
      <c r="AE32" s="58"/>
      <c r="AF32" s="58"/>
      <c r="AG32" s="58"/>
      <c r="AH32" s="58"/>
      <c r="AI32" s="58"/>
      <c r="AJ32" s="58"/>
      <c r="AL32" s="5"/>
      <c r="AN32" s="60"/>
    </row>
    <row r="33" spans="1:40" ht="14.4" customHeight="1" x14ac:dyDescent="0.3">
      <c r="B33" s="5" t="s">
        <v>78</v>
      </c>
      <c r="C33" s="4"/>
      <c r="D33" s="4"/>
      <c r="E33" s="4"/>
      <c r="F33" s="48"/>
      <c r="G33" s="48"/>
      <c r="H33" s="48"/>
      <c r="I33" s="48"/>
      <c r="J33" s="48">
        <f t="shared" ref="J33" si="13">(J32-I32)/I32</f>
        <v>2.2492487980769216</v>
      </c>
      <c r="K33" s="48">
        <f t="shared" ref="K33" si="14">(K32-J32)/J32</f>
        <v>1.1639617145235133</v>
      </c>
      <c r="L33" s="48">
        <f t="shared" ref="L33" si="15">(L32-K32)/K32</f>
        <v>0.78502136752136642</v>
      </c>
      <c r="M33" s="48">
        <f t="shared" ref="M33" si="16">(M32-L32)/L32</f>
        <v>0.34908506104078085</v>
      </c>
      <c r="N33" s="48">
        <f t="shared" ref="N33" si="17">(N32-M32)/M32</f>
        <v>0.19415620192649152</v>
      </c>
      <c r="T33" s="5"/>
      <c r="Z33" s="58"/>
      <c r="AA33" s="58"/>
      <c r="AB33" s="58"/>
      <c r="AC33" s="58"/>
      <c r="AD33" s="58"/>
      <c r="AE33" s="58"/>
      <c r="AF33" s="58"/>
      <c r="AG33" s="58"/>
      <c r="AH33" s="58"/>
      <c r="AI33" s="58"/>
      <c r="AJ33" s="58"/>
      <c r="AL33" s="5"/>
      <c r="AN33" s="60"/>
    </row>
    <row r="34" spans="1:40" ht="14.4" customHeight="1" x14ac:dyDescent="0.3">
      <c r="B34" s="5"/>
      <c r="C34" s="4"/>
      <c r="D34" s="4"/>
      <c r="E34" s="4"/>
      <c r="F34" s="48"/>
      <c r="G34" s="48"/>
      <c r="H34" s="48"/>
      <c r="I34" s="48"/>
      <c r="J34" s="48"/>
      <c r="K34" s="48"/>
      <c r="L34" s="48"/>
      <c r="M34" s="48"/>
      <c r="N34" s="48"/>
      <c r="T34" s="5"/>
      <c r="Z34" s="58"/>
      <c r="AA34" s="58"/>
      <c r="AB34" s="58"/>
      <c r="AC34" s="58"/>
      <c r="AD34" s="58"/>
      <c r="AE34" s="58"/>
      <c r="AF34" s="58"/>
      <c r="AG34" s="58"/>
      <c r="AH34" s="58"/>
      <c r="AI34" s="58"/>
      <c r="AJ34" s="58"/>
      <c r="AL34" s="5"/>
      <c r="AN34" s="60"/>
    </row>
    <row r="35" spans="1:40" ht="14.4" customHeight="1" x14ac:dyDescent="0.3">
      <c r="B35" s="1" t="s">
        <v>232</v>
      </c>
      <c r="C35" s="4"/>
      <c r="D35" s="4"/>
      <c r="E35" s="4"/>
      <c r="F35" s="8"/>
      <c r="G35" s="8"/>
      <c r="H35" s="8"/>
      <c r="I35" s="103">
        <f>I180</f>
        <v>17764.95</v>
      </c>
      <c r="J35" s="103">
        <f t="shared" ref="J35:N35" si="18">J180</f>
        <v>18564.372749999999</v>
      </c>
      <c r="K35" s="103">
        <f t="shared" si="18"/>
        <v>19306.947659999998</v>
      </c>
      <c r="L35" s="103">
        <f t="shared" si="18"/>
        <v>19982.690828099996</v>
      </c>
      <c r="M35" s="103">
        <f t="shared" si="18"/>
        <v>20622.136934599195</v>
      </c>
      <c r="N35" s="103">
        <f t="shared" si="18"/>
        <v>21240.801042637173</v>
      </c>
      <c r="T35" s="5"/>
      <c r="Z35" s="58"/>
      <c r="AA35" s="58"/>
      <c r="AB35" s="58"/>
      <c r="AC35" s="58"/>
      <c r="AD35" s="58"/>
      <c r="AE35" s="58"/>
      <c r="AF35" s="58"/>
      <c r="AG35" s="58"/>
      <c r="AH35" s="58"/>
      <c r="AI35" s="58"/>
      <c r="AJ35" s="58"/>
      <c r="AL35" s="5"/>
      <c r="AN35" s="60"/>
    </row>
    <row r="36" spans="1:40" ht="14.4" customHeight="1" x14ac:dyDescent="0.3">
      <c r="B36" s="5" t="s">
        <v>78</v>
      </c>
      <c r="C36" s="4"/>
      <c r="D36" s="4"/>
      <c r="E36" s="4"/>
      <c r="F36" s="48"/>
      <c r="G36" s="48"/>
      <c r="H36" s="48"/>
      <c r="I36" s="48"/>
      <c r="J36" s="48">
        <f t="shared" ref="J36" si="19">(J35-I35)/I35</f>
        <v>4.499999999999988E-2</v>
      </c>
      <c r="K36" s="48">
        <f t="shared" ref="K36" si="20">(K35-J35)/J35</f>
        <v>3.9999999999999966E-2</v>
      </c>
      <c r="L36" s="48">
        <f t="shared" ref="L36" si="21">(L35-K35)/K35</f>
        <v>3.4999999999999899E-2</v>
      </c>
      <c r="M36" s="48">
        <f t="shared" ref="M36" si="22">(M35-L35)/L35</f>
        <v>3.1999999999999966E-2</v>
      </c>
      <c r="N36" s="48">
        <f t="shared" ref="N36" si="23">(N35-M35)/M35</f>
        <v>3.0000000000000089E-2</v>
      </c>
      <c r="T36" s="5"/>
      <c r="Z36" s="58"/>
      <c r="AA36" s="58"/>
      <c r="AB36" s="58"/>
      <c r="AC36" s="58"/>
      <c r="AD36" s="58"/>
      <c r="AE36" s="58"/>
      <c r="AF36" s="58"/>
      <c r="AG36" s="58"/>
      <c r="AH36" s="58"/>
      <c r="AI36" s="58"/>
      <c r="AJ36" s="58"/>
      <c r="AL36" s="5"/>
      <c r="AN36" s="60"/>
    </row>
    <row r="37" spans="1:40" ht="14.4" customHeight="1" x14ac:dyDescent="0.3">
      <c r="B37" s="4"/>
      <c r="C37" s="4"/>
      <c r="D37" s="4"/>
      <c r="E37" s="4"/>
      <c r="F37" s="4"/>
      <c r="G37" s="4"/>
      <c r="H37" s="4"/>
      <c r="I37" s="4"/>
      <c r="J37" s="4"/>
      <c r="K37" s="4"/>
      <c r="L37" s="4"/>
      <c r="M37" s="4"/>
      <c r="N37" s="4"/>
      <c r="T37" s="5"/>
      <c r="Z37" s="59"/>
      <c r="AA37" s="59"/>
      <c r="AB37" s="59"/>
      <c r="AC37" s="59"/>
      <c r="AD37" s="59"/>
      <c r="AE37" s="59"/>
      <c r="AF37" s="59"/>
      <c r="AG37" s="59"/>
      <c r="AH37" s="59"/>
      <c r="AI37" s="59"/>
      <c r="AJ37" s="59"/>
      <c r="AL37" s="5"/>
      <c r="AN37" s="60"/>
    </row>
    <row r="38" spans="1:40" ht="14.4" customHeight="1" x14ac:dyDescent="0.3">
      <c r="B38" s="93" t="s">
        <v>124</v>
      </c>
      <c r="C38" s="94"/>
      <c r="D38" s="94"/>
      <c r="E38" s="93"/>
      <c r="F38" s="208">
        <v>18504</v>
      </c>
      <c r="G38" s="208">
        <v>17317</v>
      </c>
      <c r="H38" s="208">
        <v>17826</v>
      </c>
      <c r="I38" s="104">
        <f t="shared" ref="I38:N38" si="24">I118+I44</f>
        <v>21487.1875</v>
      </c>
      <c r="J38" s="104">
        <f t="shared" si="24"/>
        <v>32914.684025644965</v>
      </c>
      <c r="K38" s="104">
        <f t="shared" si="24"/>
        <v>43400</v>
      </c>
      <c r="L38" s="104">
        <f t="shared" si="24"/>
        <v>53309.39351728723</v>
      </c>
      <c r="M38" s="104">
        <f t="shared" si="24"/>
        <v>59564.596259999991</v>
      </c>
      <c r="N38" s="104">
        <f t="shared" si="24"/>
        <v>63958.430769230763</v>
      </c>
      <c r="T38" s="54"/>
      <c r="Z38" s="62"/>
      <c r="AA38" s="62"/>
      <c r="AB38" s="62"/>
      <c r="AC38" s="62"/>
      <c r="AD38" s="62"/>
      <c r="AE38" s="62"/>
      <c r="AF38" s="62"/>
      <c r="AG38" s="62"/>
      <c r="AH38" s="62"/>
      <c r="AI38" s="62"/>
      <c r="AJ38" s="62"/>
    </row>
    <row r="39" spans="1:40" ht="14.4" customHeight="1" x14ac:dyDescent="0.3">
      <c r="A39" s="72"/>
      <c r="B39" s="5" t="s">
        <v>78</v>
      </c>
      <c r="C39" s="4"/>
      <c r="D39" s="4"/>
      <c r="E39" s="4"/>
      <c r="F39" s="48"/>
      <c r="G39" s="48">
        <f t="shared" ref="G39" si="25">(G38-F38)/F38</f>
        <v>-6.4148292261132722E-2</v>
      </c>
      <c r="H39" s="48">
        <f>(H38-G38)/G38</f>
        <v>2.9393081942599757E-2</v>
      </c>
      <c r="I39" s="48">
        <f t="shared" ref="I39:N39" si="26">(I38-H38)/H38</f>
        <v>0.20538469090093123</v>
      </c>
      <c r="J39" s="48">
        <f t="shared" si="26"/>
        <v>0.5318283989305238</v>
      </c>
      <c r="K39" s="48">
        <f t="shared" si="26"/>
        <v>0.31856043236464199</v>
      </c>
      <c r="L39" s="48">
        <f t="shared" si="26"/>
        <v>0.22832703956883019</v>
      </c>
      <c r="M39" s="48">
        <f t="shared" si="26"/>
        <v>0.11733772099066025</v>
      </c>
      <c r="N39" s="48">
        <f t="shared" si="26"/>
        <v>7.3765874111723098E-2</v>
      </c>
      <c r="AL39" s="54"/>
      <c r="AM39" s="4"/>
      <c r="AN39" s="63"/>
    </row>
    <row r="40" spans="1:40" ht="14.4" customHeight="1" x14ac:dyDescent="0.3">
      <c r="A40" s="72"/>
      <c r="B40" s="5"/>
      <c r="C40" s="4"/>
      <c r="D40" s="4"/>
      <c r="E40" s="4"/>
      <c r="F40" s="48"/>
      <c r="G40" s="48"/>
      <c r="H40" s="48"/>
      <c r="I40" s="48"/>
      <c r="J40" s="48"/>
      <c r="K40" s="48"/>
      <c r="L40" s="48"/>
      <c r="M40" s="48"/>
      <c r="N40" s="48"/>
      <c r="AL40" s="54"/>
      <c r="AM40" s="4"/>
      <c r="AN40" s="63"/>
    </row>
    <row r="41" spans="1:40" ht="14.4" customHeight="1" x14ac:dyDescent="0.3">
      <c r="A41" s="72"/>
      <c r="B41" s="1" t="s">
        <v>179</v>
      </c>
      <c r="C41" s="4"/>
      <c r="D41" s="4"/>
      <c r="E41" s="4"/>
      <c r="F41" s="8">
        <f>F38-F44</f>
        <v>18024</v>
      </c>
      <c r="G41" s="8">
        <f t="shared" ref="G41:H41" si="27">G38-G44</f>
        <v>17288</v>
      </c>
      <c r="H41" s="8">
        <f t="shared" si="27"/>
        <v>17683</v>
      </c>
      <c r="I41" s="8">
        <f t="shared" ref="I41:N41" si="28">I118</f>
        <v>18500</v>
      </c>
      <c r="J41" s="8">
        <f t="shared" si="28"/>
        <v>20125</v>
      </c>
      <c r="K41" s="8">
        <f t="shared" si="28"/>
        <v>21750</v>
      </c>
      <c r="L41" s="8">
        <f t="shared" si="28"/>
        <v>23375</v>
      </c>
      <c r="M41" s="8">
        <f t="shared" si="28"/>
        <v>24350</v>
      </c>
      <c r="N41" s="8">
        <f t="shared" si="28"/>
        <v>25000</v>
      </c>
      <c r="AL41" s="54"/>
      <c r="AM41" s="4"/>
      <c r="AN41" s="63"/>
    </row>
    <row r="42" spans="1:40" ht="14.4" customHeight="1" x14ac:dyDescent="0.3">
      <c r="A42" s="72"/>
      <c r="B42" s="5" t="s">
        <v>78</v>
      </c>
      <c r="C42" s="4"/>
      <c r="D42" s="4"/>
      <c r="E42" s="4"/>
      <c r="F42" s="48"/>
      <c r="G42" s="48">
        <f t="shared" ref="G42" si="29">(G41-F41)/F41</f>
        <v>-4.0834442964935644E-2</v>
      </c>
      <c r="H42" s="48">
        <f>(H41-G41)/G41</f>
        <v>2.2848218417399351E-2</v>
      </c>
      <c r="I42" s="48">
        <f t="shared" ref="I42" si="30">(I41-H41)/H41</f>
        <v>4.6202567437651984E-2</v>
      </c>
      <c r="J42" s="48">
        <f t="shared" ref="J42" si="31">(J41-I41)/I41</f>
        <v>8.7837837837837843E-2</v>
      </c>
      <c r="K42" s="48">
        <f t="shared" ref="K42" si="32">(K41-J41)/J41</f>
        <v>8.0745341614906832E-2</v>
      </c>
      <c r="L42" s="48">
        <f t="shared" ref="L42" si="33">(L41-K41)/K41</f>
        <v>7.4712643678160925E-2</v>
      </c>
      <c r="M42" s="48">
        <f t="shared" ref="M42" si="34">(M41-L41)/L41</f>
        <v>4.1711229946524063E-2</v>
      </c>
      <c r="N42" s="48">
        <f t="shared" ref="N42" si="35">(N41-M41)/M41</f>
        <v>2.6694045174537988E-2</v>
      </c>
      <c r="AL42" s="54"/>
      <c r="AM42" s="4"/>
      <c r="AN42" s="63"/>
    </row>
    <row r="43" spans="1:40" ht="14.4" customHeight="1" x14ac:dyDescent="0.3">
      <c r="A43" s="72"/>
      <c r="B43" s="4"/>
      <c r="C43" s="4"/>
      <c r="D43" s="4"/>
      <c r="E43" s="4"/>
      <c r="F43" s="4"/>
      <c r="G43" s="4"/>
      <c r="H43" s="4"/>
      <c r="I43" s="4"/>
      <c r="J43" s="4"/>
      <c r="K43" s="4"/>
      <c r="L43" s="4"/>
      <c r="M43" s="4"/>
      <c r="N43" s="4"/>
      <c r="AL43" s="54"/>
      <c r="AM43" s="4"/>
      <c r="AN43" s="63"/>
    </row>
    <row r="44" spans="1:40" ht="14.4" customHeight="1" x14ac:dyDescent="0.3">
      <c r="A44" s="72"/>
      <c r="B44" s="1" t="s">
        <v>180</v>
      </c>
      <c r="C44" s="4"/>
      <c r="D44" s="4"/>
      <c r="E44" s="4"/>
      <c r="F44" s="8">
        <f>F38+F53</f>
        <v>480</v>
      </c>
      <c r="G44" s="8">
        <f t="shared" ref="G44:H44" si="36">G38+G53</f>
        <v>29</v>
      </c>
      <c r="H44" s="8">
        <f t="shared" si="36"/>
        <v>143</v>
      </c>
      <c r="I44" s="8">
        <f t="shared" ref="I44:N44" si="37">I174*12*I116+I117+I121*I122</f>
        <v>2987.1874999999995</v>
      </c>
      <c r="J44" s="8">
        <f t="shared" si="37"/>
        <v>12789.684025644963</v>
      </c>
      <c r="K44" s="8">
        <f t="shared" si="37"/>
        <v>21650.000000000004</v>
      </c>
      <c r="L44" s="8">
        <f t="shared" si="37"/>
        <v>29934.393517287233</v>
      </c>
      <c r="M44" s="8">
        <f t="shared" si="37"/>
        <v>35214.596259999991</v>
      </c>
      <c r="N44" s="8">
        <f t="shared" si="37"/>
        <v>38958.430769230763</v>
      </c>
      <c r="AL44" s="54"/>
      <c r="AM44" s="4"/>
      <c r="AN44" s="63"/>
    </row>
    <row r="45" spans="1:40" ht="14.4" customHeight="1" x14ac:dyDescent="0.3">
      <c r="A45" s="72"/>
      <c r="B45" s="5" t="s">
        <v>78</v>
      </c>
      <c r="C45" s="4"/>
      <c r="D45" s="4"/>
      <c r="E45" s="4"/>
      <c r="F45" s="48"/>
      <c r="G45" s="48">
        <f t="shared" ref="G45" si="38">(G44-F44)/F44</f>
        <v>-0.93958333333333333</v>
      </c>
      <c r="H45" s="48">
        <f>(H44-G44)/G44</f>
        <v>3.9310344827586206</v>
      </c>
      <c r="I45" s="192">
        <f t="shared" ref="I45" si="39">(I44-H44)/H44</f>
        <v>19.889423076923073</v>
      </c>
      <c r="J45" s="48">
        <f t="shared" ref="J45" si="40">(J44-I44)/I44</f>
        <v>3.2815136397179505</v>
      </c>
      <c r="K45" s="48">
        <f t="shared" ref="K45" si="41">(K44-J44)/J44</f>
        <v>0.69277051384451449</v>
      </c>
      <c r="L45" s="48">
        <f t="shared" ref="L45" si="42">(L44-K44)/K44</f>
        <v>0.38265097077539162</v>
      </c>
      <c r="M45" s="48">
        <f t="shared" ref="M45" si="43">(M44-L44)/L44</f>
        <v>0.17639250782426641</v>
      </c>
      <c r="N45" s="48">
        <f t="shared" ref="N45" si="44">(N44-M44)/M44</f>
        <v>0.1063148497171148</v>
      </c>
      <c r="AL45" s="54"/>
      <c r="AM45" s="4"/>
      <c r="AN45" s="63"/>
    </row>
    <row r="46" spans="1:40" ht="14.4" customHeight="1" x14ac:dyDescent="0.3">
      <c r="A46" s="72"/>
      <c r="B46" s="5"/>
      <c r="C46" s="4"/>
      <c r="D46" s="4"/>
      <c r="E46" s="4"/>
      <c r="F46" s="48"/>
      <c r="G46" s="48"/>
      <c r="H46" s="48"/>
      <c r="I46" s="192"/>
      <c r="J46" s="48"/>
      <c r="K46" s="48"/>
      <c r="L46" s="48"/>
      <c r="M46" s="48"/>
      <c r="N46" s="48"/>
      <c r="AL46" s="54"/>
      <c r="AM46" s="4"/>
      <c r="AN46" s="63"/>
    </row>
    <row r="47" spans="1:40" ht="14.4" customHeight="1" x14ac:dyDescent="0.3">
      <c r="A47" s="72"/>
      <c r="B47" s="93" t="s">
        <v>236</v>
      </c>
      <c r="C47" s="94"/>
      <c r="D47" s="94"/>
      <c r="E47" s="93"/>
      <c r="F47" s="95"/>
      <c r="G47" s="95"/>
      <c r="H47" s="95"/>
      <c r="I47" s="104"/>
      <c r="J47" s="104"/>
      <c r="K47" s="104">
        <f>K125*K126</f>
        <v>366.74999999999943</v>
      </c>
      <c r="L47" s="104">
        <f t="shared" ref="L47:N47" si="45">L125*L126</f>
        <v>1569.1197115384609</v>
      </c>
      <c r="M47" s="104">
        <f t="shared" si="45"/>
        <v>2849.6343749999996</v>
      </c>
      <c r="N47" s="104">
        <f t="shared" si="45"/>
        <v>4615.3846153846143</v>
      </c>
      <c r="AL47" s="54"/>
      <c r="AM47" s="4"/>
      <c r="AN47" s="63"/>
    </row>
    <row r="48" spans="1:40" ht="14.4" customHeight="1" x14ac:dyDescent="0.3">
      <c r="A48" s="72"/>
      <c r="B48" s="5" t="s">
        <v>78</v>
      </c>
      <c r="C48" s="4"/>
      <c r="D48" s="4"/>
      <c r="E48" s="4"/>
      <c r="F48" s="48"/>
      <c r="G48" s="48"/>
      <c r="H48" s="48"/>
      <c r="I48" s="48"/>
      <c r="J48" s="48"/>
      <c r="K48" s="48"/>
      <c r="L48" s="48">
        <f t="shared" ref="L48" si="46">(L47-K47)/K47</f>
        <v>3.2784450212364376</v>
      </c>
      <c r="M48" s="48">
        <f t="shared" ref="M48" si="47">(M47-L47)/L47</f>
        <v>0.81607200141921854</v>
      </c>
      <c r="N48" s="48">
        <f t="shared" ref="N48" si="48">(N47-M47)/M47</f>
        <v>0.61964098126961109</v>
      </c>
      <c r="AL48" s="54"/>
      <c r="AM48" s="4"/>
      <c r="AN48" s="63"/>
    </row>
    <row r="49" spans="1:40" ht="14.4" customHeight="1" x14ac:dyDescent="0.3">
      <c r="A49" s="72"/>
      <c r="B49" s="4"/>
      <c r="C49" s="4"/>
      <c r="D49" s="4"/>
      <c r="E49" s="4"/>
      <c r="F49" s="4"/>
      <c r="G49" s="4"/>
      <c r="H49" s="4"/>
      <c r="I49" s="4"/>
      <c r="J49" s="4"/>
      <c r="K49" s="4"/>
      <c r="L49" s="4"/>
      <c r="M49" s="4"/>
      <c r="N49" s="4"/>
      <c r="AL49" s="54"/>
      <c r="AM49" s="4"/>
      <c r="AN49" s="63"/>
    </row>
    <row r="50" spans="1:40" x14ac:dyDescent="0.3">
      <c r="B50" s="93" t="s">
        <v>125</v>
      </c>
      <c r="C50" s="94"/>
      <c r="D50" s="94"/>
      <c r="E50" s="93"/>
      <c r="F50" s="209">
        <v>5463</v>
      </c>
      <c r="G50" s="209">
        <v>3601</v>
      </c>
      <c r="H50" s="209">
        <v>3563</v>
      </c>
      <c r="I50" s="104">
        <f t="shared" ref="I50:N50" si="49">H50</f>
        <v>3563</v>
      </c>
      <c r="J50" s="104">
        <f t="shared" si="49"/>
        <v>3563</v>
      </c>
      <c r="K50" s="104">
        <f t="shared" si="49"/>
        <v>3563</v>
      </c>
      <c r="L50" s="104">
        <f t="shared" si="49"/>
        <v>3563</v>
      </c>
      <c r="M50" s="104">
        <f t="shared" si="49"/>
        <v>3563</v>
      </c>
      <c r="N50" s="104">
        <f t="shared" si="49"/>
        <v>3563</v>
      </c>
    </row>
    <row r="51" spans="1:40" ht="14.4" customHeight="1" x14ac:dyDescent="0.3">
      <c r="B51" s="5" t="s">
        <v>78</v>
      </c>
      <c r="C51" s="4"/>
      <c r="D51" s="4"/>
      <c r="E51" s="4"/>
      <c r="F51" s="48"/>
      <c r="G51" s="48">
        <f t="shared" ref="G51" si="50">(G50-F50)/F50</f>
        <v>-0.34083836719751054</v>
      </c>
      <c r="H51" s="48">
        <f>(H50-G50)/G50</f>
        <v>-1.0552624271035824E-2</v>
      </c>
      <c r="I51" s="48">
        <f t="shared" ref="I51" si="51">(I50-H50)/H50</f>
        <v>0</v>
      </c>
      <c r="J51" s="48">
        <f t="shared" ref="J51" si="52">(J50-I50)/I50</f>
        <v>0</v>
      </c>
      <c r="K51" s="48">
        <f t="shared" ref="K51" si="53">(K50-J50)/J50</f>
        <v>0</v>
      </c>
      <c r="L51" s="48">
        <f t="shared" ref="L51" si="54">(L50-K50)/K50</f>
        <v>0</v>
      </c>
      <c r="M51" s="48">
        <f t="shared" ref="M51" si="55">(M50-L50)/L50</f>
        <v>0</v>
      </c>
      <c r="N51" s="48">
        <f t="shared" ref="N51" si="56">(N50-M50)/M50</f>
        <v>0</v>
      </c>
    </row>
    <row r="52" spans="1:40" ht="14.4" customHeight="1" x14ac:dyDescent="0.3">
      <c r="B52" s="4"/>
      <c r="C52" s="4"/>
      <c r="D52" s="4"/>
      <c r="E52" s="4"/>
      <c r="F52" s="4"/>
      <c r="G52" s="4"/>
      <c r="H52" s="4"/>
      <c r="I52" s="4"/>
      <c r="J52" s="4"/>
      <c r="K52" s="4"/>
      <c r="L52" s="4"/>
      <c r="M52" s="4"/>
      <c r="N52" s="4"/>
    </row>
    <row r="53" spans="1:40" ht="14.4" customHeight="1" x14ac:dyDescent="0.3">
      <c r="B53" s="93" t="s">
        <v>126</v>
      </c>
      <c r="C53" s="94"/>
      <c r="D53" s="94"/>
      <c r="E53" s="93"/>
      <c r="F53" s="209">
        <v>-18024</v>
      </c>
      <c r="G53" s="209">
        <v>-17288</v>
      </c>
      <c r="H53" s="209">
        <v>-17683</v>
      </c>
      <c r="I53" s="110">
        <f t="shared" ref="I53:N53" si="57">-I118</f>
        <v>-18500</v>
      </c>
      <c r="J53" s="110">
        <f t="shared" si="57"/>
        <v>-20125</v>
      </c>
      <c r="K53" s="110">
        <f t="shared" si="57"/>
        <v>-21750</v>
      </c>
      <c r="L53" s="110">
        <f t="shared" si="57"/>
        <v>-23375</v>
      </c>
      <c r="M53" s="110">
        <f t="shared" si="57"/>
        <v>-24350</v>
      </c>
      <c r="N53" s="110">
        <f t="shared" si="57"/>
        <v>-25000</v>
      </c>
    </row>
    <row r="54" spans="1:40" ht="14.4" customHeight="1" x14ac:dyDescent="0.3">
      <c r="B54" s="4"/>
      <c r="C54" s="4"/>
      <c r="D54" s="4"/>
      <c r="E54" s="4"/>
      <c r="F54" s="4"/>
      <c r="G54" s="4"/>
      <c r="H54" s="4"/>
      <c r="I54" s="4"/>
      <c r="J54" s="4"/>
      <c r="K54" s="4"/>
      <c r="L54" s="4"/>
      <c r="M54" s="4"/>
      <c r="N54" s="4"/>
    </row>
    <row r="55" spans="1:40" ht="14.4" customHeight="1" x14ac:dyDescent="0.3">
      <c r="A55" s="14" t="s">
        <v>40</v>
      </c>
      <c r="B55" s="33" t="s">
        <v>128</v>
      </c>
      <c r="C55" s="33"/>
      <c r="D55" s="33"/>
      <c r="E55" s="33"/>
      <c r="F55" s="33">
        <v>2023</v>
      </c>
      <c r="G55" s="33">
        <v>2024</v>
      </c>
      <c r="H55" s="33">
        <v>2025</v>
      </c>
      <c r="I55" s="34" t="s">
        <v>4</v>
      </c>
      <c r="J55" s="34" t="s">
        <v>5</v>
      </c>
      <c r="K55" s="34" t="s">
        <v>6</v>
      </c>
      <c r="L55" s="34" t="s">
        <v>7</v>
      </c>
      <c r="M55" s="34" t="s">
        <v>8</v>
      </c>
      <c r="N55" s="34" t="s">
        <v>75</v>
      </c>
    </row>
    <row r="56" spans="1:40" s="19" customFormat="1" ht="1.95" customHeight="1" x14ac:dyDescent="0.3">
      <c r="A56" s="72"/>
      <c r="B56" s="20"/>
      <c r="C56" s="20"/>
      <c r="D56" s="20"/>
      <c r="E56" s="20"/>
      <c r="F56" s="20"/>
      <c r="G56" s="20"/>
      <c r="H56" s="21"/>
      <c r="I56" s="21"/>
      <c r="J56" s="21"/>
      <c r="K56" s="21"/>
      <c r="L56" s="21"/>
    </row>
    <row r="57" spans="1:40" ht="14.4" customHeight="1" x14ac:dyDescent="0.3">
      <c r="B57" s="169" t="s">
        <v>127</v>
      </c>
      <c r="C57" s="169"/>
      <c r="D57" s="169"/>
      <c r="E57" s="169"/>
      <c r="F57" s="167">
        <f>SUM(F60,F69,F75,F78,F82)</f>
        <v>93</v>
      </c>
      <c r="G57" s="167">
        <f>SUM(G60,G69,G75,G78,G82)</f>
        <v>-11678</v>
      </c>
      <c r="H57" s="167">
        <f>SUM(H60,H69,H75,H78,H82)</f>
        <v>-2214</v>
      </c>
      <c r="I57" s="167">
        <f t="shared" ref="I57:N57" si="58">I80+I82</f>
        <v>3657.2245500000008</v>
      </c>
      <c r="J57" s="167">
        <f t="shared" si="58"/>
        <v>7827.5043322979218</v>
      </c>
      <c r="K57" s="167">
        <f t="shared" si="58"/>
        <v>16029.622507617998</v>
      </c>
      <c r="L57" s="167">
        <f t="shared" si="58"/>
        <v>29317.796160342987</v>
      </c>
      <c r="M57" s="167">
        <f t="shared" si="58"/>
        <v>40384.056228009678</v>
      </c>
      <c r="N57" s="167">
        <f t="shared" si="58"/>
        <v>49365.42378135131</v>
      </c>
    </row>
    <row r="58" spans="1:40" ht="14.4" customHeight="1" x14ac:dyDescent="0.3">
      <c r="B58" s="5" t="s">
        <v>10</v>
      </c>
      <c r="C58" s="4"/>
      <c r="D58" s="4"/>
      <c r="E58" s="4"/>
      <c r="F58" s="48">
        <f t="shared" ref="F58:N58" si="59">F57/F20</f>
        <v>1.714981190528878E-3</v>
      </c>
      <c r="G58" s="48">
        <f t="shared" si="59"/>
        <v>-0.21992052880360069</v>
      </c>
      <c r="H58" s="48">
        <f t="shared" si="59"/>
        <v>-4.1889769738709247E-2</v>
      </c>
      <c r="I58" s="48">
        <f t="shared" si="59"/>
        <v>6.2521086215378607E-2</v>
      </c>
      <c r="J58" s="48">
        <f t="shared" si="59"/>
        <v>0.10547090951988683</v>
      </c>
      <c r="K58" s="48">
        <f t="shared" si="59"/>
        <v>0.17284322855750128</v>
      </c>
      <c r="L58" s="48">
        <f t="shared" si="59"/>
        <v>0.25515318149766653</v>
      </c>
      <c r="M58" s="48">
        <f t="shared" si="59"/>
        <v>0.3067659247881373</v>
      </c>
      <c r="N58" s="48">
        <f t="shared" si="59"/>
        <v>0.34163437998673674</v>
      </c>
    </row>
    <row r="59" spans="1:40" ht="14.4" customHeight="1" x14ac:dyDescent="0.3">
      <c r="B59" s="5"/>
      <c r="C59" s="4"/>
      <c r="D59" s="4"/>
      <c r="E59" s="4"/>
      <c r="F59" s="48"/>
      <c r="G59" s="48"/>
      <c r="H59" s="48"/>
      <c r="I59" s="48"/>
      <c r="J59" s="48"/>
      <c r="K59" s="48"/>
      <c r="L59" s="48"/>
      <c r="M59" s="48"/>
      <c r="N59" s="48"/>
    </row>
    <row r="60" spans="1:40" ht="14.4" customHeight="1" x14ac:dyDescent="0.3">
      <c r="B60" s="93" t="s">
        <v>123</v>
      </c>
      <c r="C60" s="94"/>
      <c r="D60" s="93"/>
      <c r="E60" s="93"/>
      <c r="F60" s="95">
        <f t="shared" ref="F60:N60" si="60">F63+F66</f>
        <v>11073</v>
      </c>
      <c r="G60" s="95">
        <f t="shared" si="60"/>
        <v>13008</v>
      </c>
      <c r="H60" s="95">
        <f t="shared" si="60"/>
        <v>12739</v>
      </c>
      <c r="I60" s="105">
        <f t="shared" si="60"/>
        <v>15583.701000000001</v>
      </c>
      <c r="J60" s="105">
        <f t="shared" si="60"/>
        <v>18081.916801757812</v>
      </c>
      <c r="K60" s="105">
        <f t="shared" si="60"/>
        <v>21946.541048249997</v>
      </c>
      <c r="L60" s="105">
        <f t="shared" si="60"/>
        <v>27474.299790544675</v>
      </c>
      <c r="M60" s="105">
        <f t="shared" si="60"/>
        <v>32039.092409380406</v>
      </c>
      <c r="N60" s="105">
        <f t="shared" si="60"/>
        <v>35691.736882564517</v>
      </c>
      <c r="O60" s="8"/>
      <c r="P60" s="8"/>
      <c r="Q60" s="8"/>
    </row>
    <row r="61" spans="1:40" ht="14.4" customHeight="1" x14ac:dyDescent="0.3">
      <c r="B61" s="5" t="s">
        <v>10</v>
      </c>
      <c r="C61" s="4"/>
      <c r="D61" s="4"/>
      <c r="E61" s="4"/>
      <c r="F61" s="48">
        <f t="shared" ref="F61:N61" si="61">F60/F23</f>
        <v>0.22932587760173967</v>
      </c>
      <c r="G61" s="48">
        <f t="shared" si="61"/>
        <v>0.26294192557255763</v>
      </c>
      <c r="H61" s="48">
        <f t="shared" si="61"/>
        <v>0.25920198587909737</v>
      </c>
      <c r="I61" s="48">
        <f t="shared" si="61"/>
        <v>0.30000000000000004</v>
      </c>
      <c r="J61" s="48">
        <f t="shared" si="61"/>
        <v>0.3125</v>
      </c>
      <c r="K61" s="48">
        <f t="shared" si="61"/>
        <v>0.32499999999999996</v>
      </c>
      <c r="L61" s="48">
        <f t="shared" si="61"/>
        <v>0.33749999999999991</v>
      </c>
      <c r="M61" s="48">
        <f t="shared" si="61"/>
        <v>0.34500000000000003</v>
      </c>
      <c r="N61" s="48">
        <f t="shared" si="61"/>
        <v>0.35</v>
      </c>
      <c r="O61" s="48"/>
      <c r="P61" s="48"/>
      <c r="Q61" s="48"/>
    </row>
    <row r="62" spans="1:40" ht="14.4" customHeight="1" x14ac:dyDescent="0.3">
      <c r="B62" s="4"/>
      <c r="C62" s="4"/>
      <c r="D62" s="4"/>
      <c r="E62" s="4"/>
      <c r="F62" s="4"/>
      <c r="G62" s="4"/>
      <c r="H62" s="4"/>
      <c r="I62" s="4"/>
      <c r="J62" s="4"/>
      <c r="K62" s="4"/>
      <c r="L62" s="4"/>
      <c r="M62" s="4"/>
      <c r="N62" s="4"/>
      <c r="O62" s="48"/>
      <c r="P62" s="48"/>
      <c r="Q62" s="48"/>
    </row>
    <row r="63" spans="1:40" ht="14.4" customHeight="1" x14ac:dyDescent="0.3">
      <c r="B63" s="1" t="s">
        <v>122</v>
      </c>
      <c r="C63" s="4"/>
      <c r="D63" s="4"/>
      <c r="E63" s="4"/>
      <c r="F63" s="12">
        <v>10128</v>
      </c>
      <c r="G63" s="12">
        <v>11594</v>
      </c>
      <c r="H63" s="12">
        <v>9317</v>
      </c>
      <c r="I63" s="51">
        <f t="shared" ref="I63:N63" si="62">I26*I129</f>
        <v>9571.7160000000003</v>
      </c>
      <c r="J63" s="51">
        <f t="shared" si="62"/>
        <v>9970.5375000000004</v>
      </c>
      <c r="K63" s="51">
        <f t="shared" si="62"/>
        <v>10473.052589999999</v>
      </c>
      <c r="L63" s="51">
        <f t="shared" si="62"/>
        <v>11093.379551099999</v>
      </c>
      <c r="M63" s="51">
        <f t="shared" si="62"/>
        <v>11634.736473193681</v>
      </c>
      <c r="N63" s="51">
        <f t="shared" si="62"/>
        <v>12157.456517641513</v>
      </c>
      <c r="O63" s="4"/>
      <c r="P63" s="4"/>
      <c r="Q63" s="4"/>
    </row>
    <row r="64" spans="1:40" ht="14.4" customHeight="1" x14ac:dyDescent="0.3">
      <c r="A64" s="72"/>
      <c r="B64" s="5" t="s">
        <v>10</v>
      </c>
      <c r="C64" s="4"/>
      <c r="D64" s="4"/>
      <c r="E64" s="4"/>
      <c r="F64" s="48">
        <f t="shared" ref="F64:N64" si="63">F63/F26</f>
        <v>0.31351184027240364</v>
      </c>
      <c r="G64" s="48">
        <f t="shared" si="63"/>
        <v>0.34768787860612965</v>
      </c>
      <c r="H64" s="48">
        <f t="shared" si="63"/>
        <v>0.28909643788010425</v>
      </c>
      <c r="I64" s="48">
        <f t="shared" si="63"/>
        <v>0.3</v>
      </c>
      <c r="J64" s="48">
        <f t="shared" si="63"/>
        <v>0.3125</v>
      </c>
      <c r="K64" s="48">
        <f t="shared" si="63"/>
        <v>0.32499999999999996</v>
      </c>
      <c r="L64" s="48">
        <f t="shared" si="63"/>
        <v>0.33749999999999997</v>
      </c>
      <c r="M64" s="48">
        <f t="shared" si="63"/>
        <v>0.34499999999999997</v>
      </c>
      <c r="N64" s="48">
        <f t="shared" si="63"/>
        <v>0.35</v>
      </c>
      <c r="O64" s="8"/>
      <c r="P64" s="8"/>
      <c r="Q64" s="8"/>
    </row>
    <row r="65" spans="2:17" ht="14.4" customHeight="1" x14ac:dyDescent="0.3">
      <c r="B65" s="4"/>
      <c r="C65" s="4"/>
      <c r="D65" s="4"/>
      <c r="E65" s="4"/>
      <c r="F65" s="4"/>
      <c r="G65" s="4"/>
      <c r="H65" s="4"/>
      <c r="I65" s="4"/>
      <c r="J65" s="4"/>
      <c r="K65" s="4"/>
      <c r="L65" s="4"/>
      <c r="M65" s="4"/>
      <c r="N65" s="4"/>
      <c r="O65" s="48"/>
      <c r="P65" s="48"/>
      <c r="Q65" s="48"/>
    </row>
    <row r="66" spans="2:17" x14ac:dyDescent="0.3">
      <c r="B66" s="1" t="s">
        <v>121</v>
      </c>
      <c r="C66" s="4"/>
      <c r="D66" s="4"/>
      <c r="E66" s="4"/>
      <c r="F66" s="12">
        <v>945</v>
      </c>
      <c r="G66" s="12">
        <v>1414</v>
      </c>
      <c r="H66" s="12">
        <v>3422</v>
      </c>
      <c r="I66" s="51">
        <f t="shared" ref="I66:N66" si="64">I29*I130</f>
        <v>6011.9849999999997</v>
      </c>
      <c r="J66" s="51">
        <f t="shared" si="64"/>
        <v>8111.3793017578109</v>
      </c>
      <c r="K66" s="51">
        <f t="shared" si="64"/>
        <v>11473.488458249998</v>
      </c>
      <c r="L66" s="51">
        <f t="shared" si="64"/>
        <v>16380.920239444678</v>
      </c>
      <c r="M66" s="51">
        <f t="shared" si="64"/>
        <v>20404.355936186723</v>
      </c>
      <c r="N66" s="51">
        <f t="shared" si="64"/>
        <v>23534.280364923005</v>
      </c>
      <c r="O66" s="4"/>
      <c r="P66" s="4"/>
      <c r="Q66" s="4"/>
    </row>
    <row r="67" spans="2:17" ht="14.4" customHeight="1" x14ac:dyDescent="0.3">
      <c r="B67" s="5" t="s">
        <v>10</v>
      </c>
      <c r="C67" s="4"/>
      <c r="D67" s="4"/>
      <c r="E67" s="4"/>
      <c r="F67" s="48">
        <f t="shared" ref="F67:N67" si="65">F66/F29</f>
        <v>5.9136420525657069E-2</v>
      </c>
      <c r="G67" s="48">
        <f t="shared" si="65"/>
        <v>8.7689922480620158E-2</v>
      </c>
      <c r="H67" s="48">
        <f t="shared" si="65"/>
        <v>0.20225781665583073</v>
      </c>
      <c r="I67" s="48">
        <f t="shared" si="65"/>
        <v>0.3</v>
      </c>
      <c r="J67" s="48">
        <f t="shared" si="65"/>
        <v>0.3125</v>
      </c>
      <c r="K67" s="48">
        <f t="shared" si="65"/>
        <v>0.32499999999999996</v>
      </c>
      <c r="L67" s="48">
        <f t="shared" si="65"/>
        <v>0.33749999999999997</v>
      </c>
      <c r="M67" s="48">
        <f t="shared" si="65"/>
        <v>0.34499999999999997</v>
      </c>
      <c r="N67" s="48">
        <f t="shared" si="65"/>
        <v>0.35</v>
      </c>
      <c r="O67" s="4"/>
      <c r="P67" s="4"/>
      <c r="Q67" s="4"/>
    </row>
    <row r="68" spans="2:17" ht="14.4" customHeight="1" x14ac:dyDescent="0.3">
      <c r="B68" s="4"/>
      <c r="C68" s="4"/>
      <c r="D68" s="4"/>
      <c r="E68" s="4"/>
      <c r="F68" s="4"/>
      <c r="G68" s="4"/>
      <c r="H68" s="4"/>
      <c r="I68" s="4"/>
      <c r="J68" s="4"/>
      <c r="K68" s="4"/>
      <c r="L68" s="4"/>
      <c r="M68" s="4"/>
      <c r="N68" s="4"/>
      <c r="O68" s="4"/>
      <c r="P68" s="4"/>
      <c r="Q68" s="4"/>
    </row>
    <row r="69" spans="2:17" ht="14.4" customHeight="1" x14ac:dyDescent="0.3">
      <c r="B69" s="93" t="s">
        <v>124</v>
      </c>
      <c r="C69" s="94"/>
      <c r="D69" s="94"/>
      <c r="E69" s="93"/>
      <c r="F69" s="113">
        <v>-7083</v>
      </c>
      <c r="G69" s="113">
        <v>-13291</v>
      </c>
      <c r="H69" s="113">
        <v>-10318</v>
      </c>
      <c r="I69" s="113">
        <f t="shared" ref="I69:N69" si="66">I38*I131</f>
        <v>-8594.875</v>
      </c>
      <c r="J69" s="113">
        <f t="shared" si="66"/>
        <v>-7817.2374560906801</v>
      </c>
      <c r="K69" s="113">
        <f t="shared" si="66"/>
        <v>-3255.0000000000005</v>
      </c>
      <c r="L69" s="113">
        <f t="shared" si="66"/>
        <v>4664.5719327626339</v>
      </c>
      <c r="M69" s="113">
        <f t="shared" si="66"/>
        <v>11019.450308100002</v>
      </c>
      <c r="N69" s="113">
        <f t="shared" si="66"/>
        <v>15989.607692307691</v>
      </c>
      <c r="O69" s="4"/>
      <c r="P69" s="4"/>
      <c r="Q69" s="4"/>
    </row>
    <row r="70" spans="2:17" ht="14.4" customHeight="1" x14ac:dyDescent="0.3">
      <c r="B70" s="5" t="s">
        <v>10</v>
      </c>
      <c r="C70" s="4"/>
      <c r="D70" s="4"/>
      <c r="E70" s="4"/>
      <c r="F70" s="48">
        <f t="shared" ref="F70:N70" si="67">F69/F38</f>
        <v>-0.38278210116731515</v>
      </c>
      <c r="G70" s="48">
        <f t="shared" si="67"/>
        <v>-0.76751169371138184</v>
      </c>
      <c r="H70" s="48">
        <f t="shared" si="67"/>
        <v>-0.5788174576461349</v>
      </c>
      <c r="I70" s="48">
        <f>I69/I38</f>
        <v>-0.4</v>
      </c>
      <c r="J70" s="48">
        <f t="shared" si="67"/>
        <v>-0.23750000000000002</v>
      </c>
      <c r="K70" s="48">
        <f t="shared" si="67"/>
        <v>-7.5000000000000011E-2</v>
      </c>
      <c r="L70" s="48">
        <f t="shared" si="67"/>
        <v>8.7500000000000022E-2</v>
      </c>
      <c r="M70" s="48">
        <f t="shared" si="67"/>
        <v>0.18500000000000005</v>
      </c>
      <c r="N70" s="48">
        <f t="shared" si="67"/>
        <v>0.25</v>
      </c>
    </row>
    <row r="72" spans="2:17" ht="14.4" customHeight="1" x14ac:dyDescent="0.3">
      <c r="B72" s="93" t="s">
        <v>245</v>
      </c>
      <c r="C72" s="94"/>
      <c r="D72" s="94"/>
      <c r="E72" s="93"/>
      <c r="F72" s="95"/>
      <c r="G72" s="95"/>
      <c r="H72" s="95"/>
      <c r="I72" s="104"/>
      <c r="J72" s="104"/>
      <c r="K72" s="104">
        <f>K47*K132</f>
        <v>36.674999999999947</v>
      </c>
      <c r="L72" s="104">
        <f>L47*L132</f>
        <v>294.20994591346141</v>
      </c>
      <c r="M72" s="104">
        <f>M47*M132</f>
        <v>748.02902343749975</v>
      </c>
      <c r="N72" s="104">
        <f>N47*N132</f>
        <v>1615.384615384615</v>
      </c>
    </row>
    <row r="73" spans="2:17" ht="14.4" customHeight="1" x14ac:dyDescent="0.3">
      <c r="B73" s="5" t="s">
        <v>78</v>
      </c>
      <c r="C73" s="4"/>
      <c r="D73" s="4"/>
      <c r="E73" s="4"/>
      <c r="F73" s="48"/>
      <c r="G73" s="48"/>
      <c r="H73" s="48"/>
      <c r="I73" s="48"/>
      <c r="J73" s="48"/>
      <c r="K73" s="48"/>
      <c r="L73" s="48">
        <f t="shared" ref="L73" si="68">(L72-K72)/K72</f>
        <v>7.0220844148183179</v>
      </c>
      <c r="M73" s="48">
        <f t="shared" ref="M73:N73" si="69">(M72-L72)/L72</f>
        <v>1.5425008019869055</v>
      </c>
      <c r="N73" s="48">
        <f t="shared" si="69"/>
        <v>1.159521308359482</v>
      </c>
    </row>
    <row r="74" spans="2:17" ht="14.4" customHeight="1" x14ac:dyDescent="0.3">
      <c r="B74" s="4"/>
      <c r="C74" s="4"/>
      <c r="D74" s="4"/>
      <c r="E74" s="4"/>
      <c r="F74" s="4"/>
      <c r="G74" s="4"/>
      <c r="H74" s="4"/>
      <c r="I74" s="4"/>
      <c r="J74" s="4"/>
      <c r="K74" s="4"/>
      <c r="L74" s="4"/>
      <c r="M74" s="4"/>
      <c r="N74" s="4"/>
    </row>
    <row r="75" spans="2:17" ht="14.4" customHeight="1" x14ac:dyDescent="0.3">
      <c r="B75" s="93" t="s">
        <v>125</v>
      </c>
      <c r="C75" s="94"/>
      <c r="D75" s="94"/>
      <c r="E75" s="93"/>
      <c r="F75" s="209">
        <v>1507</v>
      </c>
      <c r="G75" s="209">
        <v>-57</v>
      </c>
      <c r="H75" s="209">
        <v>264</v>
      </c>
      <c r="I75" s="113">
        <f t="shared" ref="I75:N75" si="70">I50*I133</f>
        <v>178.15</v>
      </c>
      <c r="J75" s="113">
        <f t="shared" si="70"/>
        <v>204.8725</v>
      </c>
      <c r="K75" s="113">
        <f t="shared" si="70"/>
        <v>231.595</v>
      </c>
      <c r="L75" s="113">
        <f t="shared" si="70"/>
        <v>258.31750000000005</v>
      </c>
      <c r="M75" s="113">
        <f t="shared" si="70"/>
        <v>274.351</v>
      </c>
      <c r="N75" s="113">
        <f t="shared" si="70"/>
        <v>285.04000000000002</v>
      </c>
    </row>
    <row r="76" spans="2:17" ht="14.4" customHeight="1" x14ac:dyDescent="0.3">
      <c r="B76" s="5" t="s">
        <v>10</v>
      </c>
      <c r="C76" s="4"/>
      <c r="D76" s="4"/>
      <c r="E76" s="4"/>
      <c r="F76" s="48">
        <f t="shared" ref="F76:N76" si="71">F75/F50</f>
        <v>0.27585575691012265</v>
      </c>
      <c r="G76" s="48">
        <f t="shared" si="71"/>
        <v>-1.5828936406553733E-2</v>
      </c>
      <c r="H76" s="48">
        <f t="shared" si="71"/>
        <v>7.4094863878753858E-2</v>
      </c>
      <c r="I76" s="48">
        <f t="shared" si="71"/>
        <v>0.05</v>
      </c>
      <c r="J76" s="48">
        <f t="shared" si="71"/>
        <v>5.7500000000000002E-2</v>
      </c>
      <c r="K76" s="48">
        <f t="shared" si="71"/>
        <v>6.5000000000000002E-2</v>
      </c>
      <c r="L76" s="48">
        <f t="shared" si="71"/>
        <v>7.2500000000000009E-2</v>
      </c>
      <c r="M76" s="48">
        <f t="shared" si="71"/>
        <v>7.6999999999999999E-2</v>
      </c>
      <c r="N76" s="48">
        <f t="shared" si="71"/>
        <v>0.08</v>
      </c>
      <c r="O76" s="4"/>
      <c r="P76" s="4"/>
      <c r="Q76" s="4"/>
    </row>
    <row r="77" spans="2:17" ht="14.4" customHeight="1" x14ac:dyDescent="0.3">
      <c r="B77" s="4"/>
      <c r="C77" s="4"/>
      <c r="D77" s="4"/>
      <c r="E77" s="4"/>
      <c r="F77" s="4"/>
      <c r="G77" s="4"/>
      <c r="H77" s="4"/>
      <c r="I77" s="4"/>
      <c r="J77" s="4"/>
      <c r="K77" s="4"/>
      <c r="L77" s="4"/>
      <c r="M77" s="4"/>
      <c r="N77" s="4"/>
      <c r="O77" s="4"/>
      <c r="P77" s="4"/>
      <c r="Q77" s="4"/>
    </row>
    <row r="78" spans="2:17" ht="14.4" customHeight="1" x14ac:dyDescent="0.3">
      <c r="B78" s="93" t="s">
        <v>129</v>
      </c>
      <c r="C78" s="94"/>
      <c r="D78" s="94"/>
      <c r="E78" s="93"/>
      <c r="F78" s="209">
        <v>-205</v>
      </c>
      <c r="G78" s="209">
        <v>-161</v>
      </c>
      <c r="H78" s="209">
        <v>619</v>
      </c>
      <c r="I78" s="96">
        <v>0</v>
      </c>
      <c r="J78" s="96">
        <v>0</v>
      </c>
      <c r="K78" s="96">
        <v>0</v>
      </c>
      <c r="L78" s="96">
        <v>0</v>
      </c>
      <c r="M78" s="96">
        <v>0</v>
      </c>
      <c r="N78" s="96">
        <v>0</v>
      </c>
    </row>
    <row r="79" spans="2:17" ht="14.4" customHeight="1" x14ac:dyDescent="0.3">
      <c r="B79" s="14"/>
      <c r="C79" s="14"/>
      <c r="D79" s="14"/>
      <c r="E79" s="14"/>
      <c r="F79" s="14"/>
      <c r="G79" s="14"/>
      <c r="H79" s="14"/>
      <c r="I79" s="14"/>
      <c r="J79" s="14"/>
      <c r="K79" s="14"/>
      <c r="L79" s="14"/>
      <c r="M79" s="14"/>
      <c r="N79" s="14"/>
    </row>
    <row r="80" spans="2:17" ht="14.4" customHeight="1" x14ac:dyDescent="0.3">
      <c r="B80" s="101" t="s">
        <v>135</v>
      </c>
      <c r="C80" s="102"/>
      <c r="D80" s="102"/>
      <c r="E80" s="102"/>
      <c r="F80" s="105">
        <f t="shared" ref="F80:N80" si="72">F60+F69+F75+F78</f>
        <v>5292</v>
      </c>
      <c r="G80" s="105">
        <f t="shared" si="72"/>
        <v>-501</v>
      </c>
      <c r="H80" s="105">
        <f t="shared" si="72"/>
        <v>3304</v>
      </c>
      <c r="I80" s="105">
        <f>I60+I69+I75+I78</f>
        <v>7166.9760000000006</v>
      </c>
      <c r="J80" s="105">
        <f t="shared" si="72"/>
        <v>10469.551845667133</v>
      </c>
      <c r="K80" s="105">
        <f t="shared" si="72"/>
        <v>18923.136048249999</v>
      </c>
      <c r="L80" s="105">
        <f t="shared" si="72"/>
        <v>32397.189223307312</v>
      </c>
      <c r="M80" s="105">
        <f t="shared" si="72"/>
        <v>43332.893717480409</v>
      </c>
      <c r="N80" s="105">
        <f t="shared" si="72"/>
        <v>51966.384574872209</v>
      </c>
    </row>
    <row r="81" spans="2:17" ht="14.4" customHeight="1" x14ac:dyDescent="0.3">
      <c r="B81" s="14"/>
      <c r="C81" s="14"/>
      <c r="D81" s="14"/>
      <c r="E81" s="14"/>
      <c r="F81" s="14"/>
      <c r="G81" s="14"/>
      <c r="H81" s="14"/>
      <c r="I81" s="14"/>
      <c r="J81" s="14"/>
      <c r="K81" s="14"/>
      <c r="L81" s="14"/>
      <c r="M81" s="14"/>
      <c r="N81" s="14"/>
      <c r="O81" s="14"/>
    </row>
    <row r="82" spans="2:17" ht="14.4" customHeight="1" x14ac:dyDescent="0.3">
      <c r="B82" s="93" t="s">
        <v>130</v>
      </c>
      <c r="C82" s="94"/>
      <c r="D82" s="94"/>
      <c r="E82" s="93"/>
      <c r="F82" s="100">
        <f t="shared" ref="F82:G82" si="73">SUM(F85,F88,F91,F94)</f>
        <v>-5199</v>
      </c>
      <c r="G82" s="100">
        <f t="shared" si="73"/>
        <v>-11177</v>
      </c>
      <c r="H82" s="100">
        <f t="shared" ref="H82:N82" si="74">SUM(H85,H88,H91,H94)</f>
        <v>-5518</v>
      </c>
      <c r="I82" s="105">
        <f t="shared" si="74"/>
        <v>-3509.7514499999997</v>
      </c>
      <c r="J82" s="105">
        <f t="shared" si="74"/>
        <v>-2642.0475133692107</v>
      </c>
      <c r="K82" s="105">
        <f t="shared" si="74"/>
        <v>-2893.5135406320001</v>
      </c>
      <c r="L82" s="105">
        <f t="shared" si="74"/>
        <v>-3079.3930629643269</v>
      </c>
      <c r="M82" s="105">
        <f t="shared" si="74"/>
        <v>-2948.8374894707276</v>
      </c>
      <c r="N82" s="105">
        <f t="shared" si="74"/>
        <v>-2600.9607935209001</v>
      </c>
    </row>
    <row r="83" spans="2:17" ht="14.4" customHeight="1" x14ac:dyDescent="0.3">
      <c r="B83" s="53" t="s">
        <v>10</v>
      </c>
      <c r="F83" s="98">
        <f t="shared" ref="F83:N83" si="75">F82/F20</f>
        <v>-9.5872980747953085E-2</v>
      </c>
      <c r="G83" s="98">
        <f t="shared" si="75"/>
        <v>-0.21048567823581477</v>
      </c>
      <c r="H83" s="98">
        <f t="shared" si="75"/>
        <v>-0.10440277751499442</v>
      </c>
      <c r="I83" s="114">
        <f t="shared" si="75"/>
        <v>-0.06</v>
      </c>
      <c r="J83" s="114">
        <f t="shared" si="75"/>
        <v>-3.56E-2</v>
      </c>
      <c r="K83" s="114">
        <f t="shared" si="75"/>
        <v>-3.1199999999999999E-2</v>
      </c>
      <c r="L83" s="114">
        <f t="shared" si="75"/>
        <v>-2.6800000000000001E-2</v>
      </c>
      <c r="M83" s="114">
        <f t="shared" si="75"/>
        <v>-2.24E-2</v>
      </c>
      <c r="N83" s="114">
        <f t="shared" si="75"/>
        <v>-1.7999999999999999E-2</v>
      </c>
    </row>
    <row r="84" spans="2:17" ht="14.4" customHeight="1" x14ac:dyDescent="0.3">
      <c r="B84" s="5"/>
      <c r="F84" s="98"/>
      <c r="G84" s="98"/>
      <c r="H84" s="98"/>
    </row>
    <row r="85" spans="2:17" ht="14.4" customHeight="1" x14ac:dyDescent="0.3">
      <c r="B85" s="1" t="s">
        <v>131</v>
      </c>
      <c r="C85" s="4"/>
      <c r="D85" s="4"/>
      <c r="E85" s="4"/>
      <c r="F85" s="210">
        <v>-3229</v>
      </c>
      <c r="G85" s="210">
        <v>-3410</v>
      </c>
      <c r="H85" s="210">
        <v>-2434</v>
      </c>
      <c r="I85" s="51">
        <f t="shared" ref="I85:N85" si="76">I261*I20</f>
        <v>-2339.8343</v>
      </c>
      <c r="J85" s="51">
        <f t="shared" si="76"/>
        <v>-2642.0475133692107</v>
      </c>
      <c r="K85" s="51">
        <f t="shared" si="76"/>
        <v>-2893.5135406320001</v>
      </c>
      <c r="L85" s="51">
        <f t="shared" si="76"/>
        <v>-3079.3930629643269</v>
      </c>
      <c r="M85" s="51">
        <f t="shared" si="76"/>
        <v>-2948.8374894707276</v>
      </c>
      <c r="N85" s="51">
        <f t="shared" si="76"/>
        <v>-2600.9607935209001</v>
      </c>
    </row>
    <row r="86" spans="2:17" ht="14.4" customHeight="1" x14ac:dyDescent="0.3">
      <c r="B86" s="5" t="s">
        <v>10</v>
      </c>
      <c r="C86" s="4"/>
      <c r="D86" s="4"/>
      <c r="E86" s="4"/>
      <c r="F86" s="48">
        <f t="shared" ref="F86:N86" si="77">F85/F20</f>
        <v>-5.9544884561481153E-2</v>
      </c>
      <c r="G86" s="48">
        <f t="shared" si="77"/>
        <v>-6.4217246379540877E-2</v>
      </c>
      <c r="H86" s="48">
        <f t="shared" si="77"/>
        <v>-4.6052258149963103E-2</v>
      </c>
      <c r="I86" s="48">
        <f t="shared" si="77"/>
        <v>-0.04</v>
      </c>
      <c r="J86" s="48">
        <f t="shared" si="77"/>
        <v>-3.56E-2</v>
      </c>
      <c r="K86" s="48">
        <f t="shared" si="77"/>
        <v>-3.1199999999999999E-2</v>
      </c>
      <c r="L86" s="48">
        <f t="shared" si="77"/>
        <v>-2.6800000000000001E-2</v>
      </c>
      <c r="M86" s="48">
        <f t="shared" si="77"/>
        <v>-2.24E-2</v>
      </c>
      <c r="N86" s="48">
        <f t="shared" si="77"/>
        <v>-1.7999999999999999E-2</v>
      </c>
    </row>
    <row r="87" spans="2:17" ht="14.4" customHeight="1" x14ac:dyDescent="0.3">
      <c r="B87" s="5"/>
      <c r="C87" s="4"/>
      <c r="D87" s="4"/>
      <c r="E87" s="4"/>
      <c r="F87" s="48"/>
      <c r="G87" s="48"/>
      <c r="H87" s="48"/>
      <c r="I87" s="48"/>
      <c r="J87" s="48"/>
      <c r="K87" s="48"/>
      <c r="L87" s="48"/>
      <c r="M87" s="48"/>
      <c r="N87" s="48"/>
    </row>
    <row r="88" spans="2:17" ht="14.4" customHeight="1" x14ac:dyDescent="0.3">
      <c r="B88" s="1" t="s">
        <v>132</v>
      </c>
      <c r="C88" s="4"/>
      <c r="D88" s="4"/>
      <c r="E88" s="4"/>
      <c r="F88" s="211">
        <f>Main!H43*-1</f>
        <v>62</v>
      </c>
      <c r="G88" s="211">
        <f>Main!I43*-1</f>
        <v>-6970</v>
      </c>
      <c r="H88" s="211">
        <f>Main!J43*-1</f>
        <v>-2191</v>
      </c>
      <c r="I88" s="211">
        <f>Main!K43*-1</f>
        <v>-1169.91715</v>
      </c>
      <c r="J88" s="60">
        <f>Main!L43*-1</f>
        <v>0</v>
      </c>
      <c r="K88" s="60">
        <f>Main!M43*-1</f>
        <v>0</v>
      </c>
      <c r="L88" s="60">
        <f>Main!N43*-1</f>
        <v>0</v>
      </c>
      <c r="M88" s="60">
        <f>Main!O43*-1</f>
        <v>0</v>
      </c>
      <c r="N88" s="60">
        <f>Main!P43*-1</f>
        <v>0</v>
      </c>
    </row>
    <row r="89" spans="2:17" ht="14.4" customHeight="1" x14ac:dyDescent="0.3">
      <c r="B89" s="5" t="s">
        <v>10</v>
      </c>
      <c r="C89" s="4"/>
      <c r="D89" s="4"/>
      <c r="E89" s="4"/>
      <c r="F89" s="48">
        <f t="shared" ref="F89:N89" si="78">F88/F20</f>
        <v>1.1433207936859186E-3</v>
      </c>
      <c r="G89" s="48">
        <f t="shared" si="78"/>
        <v>-0.13125929831829908</v>
      </c>
      <c r="H89" s="48">
        <f t="shared" si="78"/>
        <v>-4.1454600495714526E-2</v>
      </c>
      <c r="I89" s="48">
        <f t="shared" si="78"/>
        <v>-0.02</v>
      </c>
      <c r="J89" s="48">
        <f t="shared" si="78"/>
        <v>0</v>
      </c>
      <c r="K89" s="48">
        <f t="shared" si="78"/>
        <v>0</v>
      </c>
      <c r="L89" s="48">
        <f t="shared" si="78"/>
        <v>0</v>
      </c>
      <c r="M89" s="48">
        <f t="shared" si="78"/>
        <v>0</v>
      </c>
      <c r="N89" s="48">
        <f t="shared" si="78"/>
        <v>0</v>
      </c>
    </row>
    <row r="90" spans="2:17" ht="14.4" customHeight="1" x14ac:dyDescent="0.3">
      <c r="B90" s="5"/>
      <c r="C90" s="4"/>
      <c r="D90" s="4"/>
      <c r="E90" s="4"/>
      <c r="F90" s="48"/>
      <c r="G90" s="48"/>
      <c r="H90" s="48"/>
      <c r="I90" s="48"/>
      <c r="J90" s="48"/>
      <c r="K90" s="48"/>
      <c r="L90" s="48"/>
      <c r="M90" s="48"/>
      <c r="N90" s="48"/>
      <c r="O90" s="45"/>
      <c r="P90" s="45"/>
      <c r="Q90" s="45"/>
    </row>
    <row r="91" spans="2:17" ht="14.4" customHeight="1" x14ac:dyDescent="0.3">
      <c r="B91" s="1" t="s">
        <v>133</v>
      </c>
      <c r="C91" s="4"/>
      <c r="D91" s="4"/>
      <c r="E91" s="4"/>
      <c r="F91" s="210">
        <v>-1407</v>
      </c>
      <c r="G91" s="210">
        <v>-1044</v>
      </c>
      <c r="H91" s="210">
        <v>-505</v>
      </c>
      <c r="I91" s="51"/>
      <c r="J91" s="51"/>
      <c r="K91" s="51"/>
      <c r="L91" s="51"/>
      <c r="M91" s="51"/>
      <c r="N91" s="51"/>
      <c r="O91" s="45"/>
      <c r="P91" s="45"/>
      <c r="Q91" s="45"/>
    </row>
    <row r="92" spans="2:17" ht="14.4" customHeight="1" x14ac:dyDescent="0.3">
      <c r="B92" s="5" t="s">
        <v>10</v>
      </c>
      <c r="C92" s="4"/>
      <c r="D92" s="4"/>
      <c r="E92" s="4"/>
      <c r="F92" s="48">
        <f t="shared" ref="F92:N92" si="79">F91/F20</f>
        <v>-2.5946005753485286E-2</v>
      </c>
      <c r="G92" s="48">
        <f t="shared" si="79"/>
        <v>-1.966064669215269E-2</v>
      </c>
      <c r="H92" s="48">
        <f t="shared" si="79"/>
        <v>-9.5548029440145309E-3</v>
      </c>
      <c r="I92" s="48">
        <f t="shared" si="79"/>
        <v>0</v>
      </c>
      <c r="J92" s="48">
        <f t="shared" si="79"/>
        <v>0</v>
      </c>
      <c r="K92" s="48">
        <f t="shared" si="79"/>
        <v>0</v>
      </c>
      <c r="L92" s="48">
        <f t="shared" si="79"/>
        <v>0</v>
      </c>
      <c r="M92" s="48">
        <f t="shared" si="79"/>
        <v>0</v>
      </c>
      <c r="N92" s="48">
        <f t="shared" si="79"/>
        <v>0</v>
      </c>
      <c r="O92" s="45"/>
      <c r="P92" s="45"/>
      <c r="Q92" s="45"/>
    </row>
    <row r="93" spans="2:17" ht="14.4" customHeight="1" x14ac:dyDescent="0.3">
      <c r="B93" s="5"/>
      <c r="C93" s="4"/>
      <c r="D93" s="4"/>
      <c r="E93" s="4"/>
      <c r="F93" s="48"/>
      <c r="G93" s="48"/>
      <c r="H93" s="48"/>
      <c r="I93" s="48"/>
      <c r="J93" s="48"/>
      <c r="K93" s="48"/>
      <c r="L93" s="48"/>
      <c r="M93" s="48"/>
      <c r="N93" s="48"/>
      <c r="O93" s="45"/>
      <c r="P93" s="45"/>
      <c r="Q93" s="45"/>
    </row>
    <row r="94" spans="2:17" ht="14.4" customHeight="1" x14ac:dyDescent="0.3">
      <c r="B94" s="1" t="s">
        <v>125</v>
      </c>
      <c r="C94" s="4"/>
      <c r="D94" s="4"/>
      <c r="E94" s="4"/>
      <c r="F94" s="210">
        <v>-625</v>
      </c>
      <c r="G94" s="210">
        <v>247</v>
      </c>
      <c r="H94" s="210">
        <v>-388</v>
      </c>
      <c r="I94" s="51"/>
      <c r="J94" s="51"/>
      <c r="K94" s="51"/>
      <c r="L94" s="51"/>
      <c r="M94" s="51"/>
      <c r="N94" s="51"/>
      <c r="O94" s="45"/>
      <c r="P94" s="45"/>
      <c r="Q94" s="45"/>
    </row>
    <row r="95" spans="2:17" ht="14.4" customHeight="1" x14ac:dyDescent="0.3">
      <c r="B95" s="5" t="s">
        <v>10</v>
      </c>
      <c r="C95" s="4"/>
      <c r="D95" s="4"/>
      <c r="E95" s="4"/>
      <c r="F95" s="48">
        <f t="shared" ref="F95:N95" si="80">F94/F20</f>
        <v>-1.1525411226672567E-2</v>
      </c>
      <c r="G95" s="48">
        <f t="shared" si="80"/>
        <v>4.6515131541778878E-3</v>
      </c>
      <c r="H95" s="48">
        <f t="shared" si="80"/>
        <v>-7.3411159253022537E-3</v>
      </c>
      <c r="I95" s="48">
        <f t="shared" si="80"/>
        <v>0</v>
      </c>
      <c r="J95" s="48">
        <f t="shared" si="80"/>
        <v>0</v>
      </c>
      <c r="K95" s="48">
        <f t="shared" si="80"/>
        <v>0</v>
      </c>
      <c r="L95" s="48">
        <f t="shared" si="80"/>
        <v>0</v>
      </c>
      <c r="M95" s="48">
        <f t="shared" si="80"/>
        <v>0</v>
      </c>
      <c r="N95" s="48">
        <f t="shared" si="80"/>
        <v>0</v>
      </c>
      <c r="O95" s="45"/>
      <c r="P95" s="45"/>
      <c r="Q95" s="45"/>
    </row>
    <row r="96" spans="2:17" ht="14.4" customHeight="1" x14ac:dyDescent="0.3">
      <c r="B96" s="5"/>
      <c r="C96" s="4"/>
      <c r="D96" s="4"/>
      <c r="E96" s="4"/>
      <c r="F96" s="48"/>
      <c r="G96" s="48"/>
      <c r="H96" s="48"/>
      <c r="I96" s="48"/>
      <c r="J96" s="48"/>
      <c r="K96" s="48"/>
      <c r="L96" s="48"/>
      <c r="M96" s="48"/>
      <c r="N96" s="48"/>
      <c r="O96" s="45"/>
      <c r="P96" s="45"/>
      <c r="Q96" s="45"/>
    </row>
    <row r="97" spans="1:24" ht="14.4" customHeight="1" x14ac:dyDescent="0.3">
      <c r="A97" s="14" t="s">
        <v>40</v>
      </c>
      <c r="B97" s="33" t="s">
        <v>181</v>
      </c>
      <c r="C97" s="116"/>
      <c r="D97" s="116"/>
      <c r="E97" s="116"/>
      <c r="F97" s="157"/>
      <c r="G97" s="157"/>
      <c r="H97" s="157"/>
      <c r="I97" s="158" t="s">
        <v>4</v>
      </c>
      <c r="J97" s="158" t="s">
        <v>5</v>
      </c>
      <c r="K97" s="158" t="s">
        <v>6</v>
      </c>
      <c r="L97" s="158" t="s">
        <v>7</v>
      </c>
      <c r="M97" s="158" t="s">
        <v>8</v>
      </c>
      <c r="N97" s="158" t="s">
        <v>75</v>
      </c>
      <c r="O97" s="48"/>
      <c r="Q97" s="33" t="s">
        <v>274</v>
      </c>
      <c r="R97" s="109"/>
      <c r="S97" s="109"/>
      <c r="T97" s="109"/>
      <c r="U97" s="34" t="s">
        <v>75</v>
      </c>
      <c r="V97" s="154" t="s">
        <v>273</v>
      </c>
      <c r="W97" s="250" t="s">
        <v>275</v>
      </c>
      <c r="X97" s="250"/>
    </row>
    <row r="98" spans="1:24" s="19" customFormat="1" ht="1.95" customHeight="1" x14ac:dyDescent="0.3">
      <c r="A98" s="72"/>
      <c r="B98" s="20"/>
      <c r="C98" s="20"/>
      <c r="D98" s="20"/>
      <c r="E98" s="20"/>
      <c r="F98" s="20"/>
      <c r="G98" s="20"/>
      <c r="H98" s="21"/>
      <c r="I98" s="21"/>
      <c r="J98" s="21"/>
      <c r="K98" s="21"/>
      <c r="L98" s="21"/>
    </row>
    <row r="99" spans="1:24" ht="14.4" customHeight="1" x14ac:dyDescent="0.3">
      <c r="A99" s="1"/>
      <c r="B99" s="53" t="s">
        <v>182</v>
      </c>
      <c r="I99" s="173">
        <v>0</v>
      </c>
      <c r="J99" s="173">
        <v>0.25</v>
      </c>
      <c r="K99" s="173">
        <v>0.5</v>
      </c>
      <c r="L99" s="173">
        <v>0.75</v>
      </c>
      <c r="M99" s="173">
        <v>0.9</v>
      </c>
      <c r="N99" s="173">
        <v>1</v>
      </c>
      <c r="O99" s="44"/>
      <c r="Q99" s="94" t="s">
        <v>272</v>
      </c>
      <c r="R99" s="94"/>
      <c r="S99" s="94"/>
      <c r="T99" s="94"/>
      <c r="U99" s="99">
        <f>U100+U101+U102</f>
        <v>24538.461538461535</v>
      </c>
      <c r="V99" s="244"/>
      <c r="W99" s="93"/>
      <c r="X99" s="93"/>
    </row>
    <row r="100" spans="1:24" ht="14.4" customHeight="1" x14ac:dyDescent="0.3">
      <c r="A100" s="1"/>
      <c r="O100" s="50"/>
      <c r="Q100" s="1" t="str">
        <f>B121</f>
        <v>TeraFab Gross Rev</v>
      </c>
      <c r="U100" s="51">
        <f>N121</f>
        <v>8000</v>
      </c>
      <c r="V100" s="56">
        <f>N122</f>
        <v>0.4</v>
      </c>
      <c r="W100" s="251">
        <f>U100*V100</f>
        <v>3200</v>
      </c>
      <c r="X100" s="251"/>
    </row>
    <row r="101" spans="1:24" ht="14.4" customHeight="1" x14ac:dyDescent="0.3">
      <c r="A101" s="1"/>
      <c r="B101" s="176" t="s">
        <v>183</v>
      </c>
      <c r="O101" s="44"/>
      <c r="Q101" s="1" t="str">
        <f>B123</f>
        <v>HBM/ZAM Gross Rev</v>
      </c>
      <c r="U101" s="51">
        <f>N123</f>
        <v>5000</v>
      </c>
      <c r="V101" s="56">
        <f>N124</f>
        <v>0.2</v>
      </c>
      <c r="W101" s="251">
        <f>U101*V101</f>
        <v>1000</v>
      </c>
      <c r="X101" s="251"/>
    </row>
    <row r="102" spans="1:24" ht="14.4" customHeight="1" x14ac:dyDescent="0.3">
      <c r="A102" s="1"/>
      <c r="B102" s="45" t="s">
        <v>193</v>
      </c>
      <c r="I102" s="179">
        <f>D6</f>
        <v>13</v>
      </c>
      <c r="J102" s="160">
        <f t="shared" ref="J102:M105" si="81">$I102+($N102-$I102)*J$99</f>
        <v>22.25</v>
      </c>
      <c r="K102" s="160">
        <f t="shared" si="81"/>
        <v>31.5</v>
      </c>
      <c r="L102" s="160">
        <f t="shared" si="81"/>
        <v>40.75</v>
      </c>
      <c r="M102" s="160">
        <f t="shared" si="81"/>
        <v>46.300000000000004</v>
      </c>
      <c r="N102" s="179">
        <f>E6</f>
        <v>50</v>
      </c>
      <c r="O102" s="50"/>
      <c r="Q102" s="1" t="str">
        <f>B125</f>
        <v>Custom ASIC Gross Rev</v>
      </c>
      <c r="U102" s="51">
        <f>N125</f>
        <v>11538.461538461535</v>
      </c>
      <c r="V102" s="56">
        <f>N126</f>
        <v>0.4</v>
      </c>
      <c r="W102" s="251">
        <f>U102*V102</f>
        <v>4615.3846153846143</v>
      </c>
      <c r="X102" s="251"/>
    </row>
    <row r="103" spans="1:24" ht="14.4" customHeight="1" x14ac:dyDescent="0.3">
      <c r="A103" s="1"/>
      <c r="B103" s="45" t="s">
        <v>194</v>
      </c>
      <c r="I103" s="180">
        <f>D7</f>
        <v>0.25</v>
      </c>
      <c r="J103" s="161">
        <f t="shared" si="81"/>
        <v>0.4375</v>
      </c>
      <c r="K103" s="161">
        <f t="shared" si="81"/>
        <v>0.625</v>
      </c>
      <c r="L103" s="161">
        <f t="shared" si="81"/>
        <v>0.8125</v>
      </c>
      <c r="M103" s="161">
        <f t="shared" si="81"/>
        <v>0.92500000000000004</v>
      </c>
      <c r="N103" s="180">
        <f>E7</f>
        <v>1</v>
      </c>
      <c r="O103" s="48"/>
      <c r="Q103" s="240" t="s">
        <v>276</v>
      </c>
      <c r="R103" s="185"/>
      <c r="S103" s="185"/>
      <c r="T103" s="185"/>
      <c r="U103" s="245"/>
      <c r="V103" s="185"/>
      <c r="W103" s="252">
        <f>SUM(W100:W102)</f>
        <v>8815.3846153846134</v>
      </c>
      <c r="X103" s="253"/>
    </row>
    <row r="104" spans="1:24" ht="14.4" customHeight="1" x14ac:dyDescent="0.3">
      <c r="A104" s="1"/>
      <c r="B104" s="45" t="s">
        <v>143</v>
      </c>
      <c r="I104" s="181">
        <f>D8</f>
        <v>0.35</v>
      </c>
      <c r="J104" s="162">
        <f t="shared" si="81"/>
        <v>0.33749999999999997</v>
      </c>
      <c r="K104" s="162">
        <f t="shared" si="81"/>
        <v>0.32499999999999996</v>
      </c>
      <c r="L104" s="162">
        <f t="shared" si="81"/>
        <v>0.3125</v>
      </c>
      <c r="M104" s="162">
        <f t="shared" si="81"/>
        <v>0.30499999999999999</v>
      </c>
      <c r="N104" s="181">
        <f>E8</f>
        <v>0.3</v>
      </c>
      <c r="O104" s="44"/>
    </row>
    <row r="105" spans="1:24" ht="14.4" customHeight="1" x14ac:dyDescent="0.3">
      <c r="A105" s="1"/>
      <c r="B105" s="45" t="s">
        <v>196</v>
      </c>
      <c r="I105" s="182">
        <f>D9</f>
        <v>2000</v>
      </c>
      <c r="J105" s="163">
        <f t="shared" si="81"/>
        <v>2250</v>
      </c>
      <c r="K105" s="163">
        <f t="shared" si="81"/>
        <v>2500</v>
      </c>
      <c r="L105" s="163">
        <f t="shared" si="81"/>
        <v>2750</v>
      </c>
      <c r="M105" s="163">
        <f t="shared" si="81"/>
        <v>2900</v>
      </c>
      <c r="N105" s="182">
        <f>E9</f>
        <v>3000</v>
      </c>
      <c r="O105" s="50"/>
      <c r="P105" s="50"/>
    </row>
    <row r="106" spans="1:24" ht="14.4" customHeight="1" x14ac:dyDescent="0.3">
      <c r="A106" s="1"/>
      <c r="I106" s="165"/>
      <c r="J106" s="165"/>
      <c r="K106" s="165"/>
      <c r="L106" s="165"/>
      <c r="M106" s="165"/>
      <c r="N106" s="165"/>
      <c r="O106" s="48"/>
      <c r="P106" s="48"/>
    </row>
    <row r="107" spans="1:24" ht="14.4" customHeight="1" x14ac:dyDescent="0.3">
      <c r="A107" s="1"/>
      <c r="B107" s="193" t="s">
        <v>184</v>
      </c>
    </row>
    <row r="108" spans="1:24" ht="14.4" customHeight="1" x14ac:dyDescent="0.3">
      <c r="A108" s="1"/>
      <c r="B108" s="45" t="s">
        <v>197</v>
      </c>
      <c r="I108" s="183">
        <f>D10</f>
        <v>80</v>
      </c>
      <c r="J108" s="164">
        <f t="shared" ref="J108:M109" si="82">$I108+($N108-$I108)*J$99</f>
        <v>92.5</v>
      </c>
      <c r="K108" s="164">
        <f t="shared" si="82"/>
        <v>105</v>
      </c>
      <c r="L108" s="164">
        <f t="shared" si="82"/>
        <v>117.5</v>
      </c>
      <c r="M108" s="164">
        <f t="shared" si="82"/>
        <v>125</v>
      </c>
      <c r="N108" s="183">
        <f>E10</f>
        <v>130</v>
      </c>
      <c r="O108" s="50"/>
      <c r="P108" s="50"/>
      <c r="Q108" s="50"/>
    </row>
    <row r="109" spans="1:24" ht="14.4" customHeight="1" x14ac:dyDescent="0.3">
      <c r="A109" s="1"/>
      <c r="B109" s="45" t="s">
        <v>217</v>
      </c>
      <c r="I109" s="181">
        <f>I6</f>
        <v>0.5</v>
      </c>
      <c r="J109" s="162">
        <f t="shared" si="82"/>
        <v>0.58750000000000002</v>
      </c>
      <c r="K109" s="162">
        <f t="shared" si="82"/>
        <v>0.67500000000000004</v>
      </c>
      <c r="L109" s="162">
        <f t="shared" si="82"/>
        <v>0.76249999999999996</v>
      </c>
      <c r="M109" s="162">
        <f t="shared" si="82"/>
        <v>0.81499999999999995</v>
      </c>
      <c r="N109" s="181">
        <f>J6</f>
        <v>0.85</v>
      </c>
      <c r="O109" s="48"/>
      <c r="P109" s="48"/>
      <c r="Q109" s="48"/>
    </row>
    <row r="110" spans="1:24" ht="14.4" customHeight="1" x14ac:dyDescent="0.3">
      <c r="A110" s="1"/>
      <c r="I110" s="165"/>
      <c r="J110" s="165"/>
      <c r="K110" s="165"/>
      <c r="L110" s="165"/>
      <c r="M110" s="165"/>
      <c r="N110" s="165"/>
      <c r="O110" s="50"/>
      <c r="P110" s="50"/>
      <c r="Q110" s="50"/>
    </row>
    <row r="111" spans="1:24" ht="14.4" customHeight="1" x14ac:dyDescent="0.3">
      <c r="A111" s="1"/>
      <c r="B111" s="193" t="s">
        <v>185</v>
      </c>
      <c r="O111" s="48"/>
      <c r="P111" s="48"/>
      <c r="Q111" s="48"/>
    </row>
    <row r="112" spans="1:24" ht="14.4" customHeight="1" x14ac:dyDescent="0.3">
      <c r="A112" s="1"/>
      <c r="B112" s="45" t="s">
        <v>137</v>
      </c>
      <c r="I112" s="181">
        <f>I13</f>
        <v>-0.01</v>
      </c>
      <c r="J112" s="162">
        <f t="shared" ref="J112:M113" si="83">$I112+($N112-$I112)*J$99</f>
        <v>0</v>
      </c>
      <c r="K112" s="162">
        <f t="shared" si="83"/>
        <v>0.01</v>
      </c>
      <c r="L112" s="162">
        <f t="shared" si="83"/>
        <v>1.9999999999999997E-2</v>
      </c>
      <c r="M112" s="162">
        <f t="shared" si="83"/>
        <v>2.6000000000000002E-2</v>
      </c>
      <c r="N112" s="181">
        <f>J13</f>
        <v>0.03</v>
      </c>
      <c r="O112" s="53"/>
      <c r="P112" s="53"/>
      <c r="Q112" s="45"/>
    </row>
    <row r="113" spans="1:17" ht="14.4" customHeight="1" x14ac:dyDescent="0.3">
      <c r="A113" s="1"/>
      <c r="B113" s="45" t="s">
        <v>207</v>
      </c>
      <c r="I113" s="181">
        <f>I14</f>
        <v>0.05</v>
      </c>
      <c r="J113" s="162">
        <f t="shared" si="83"/>
        <v>4.4999999999999998E-2</v>
      </c>
      <c r="K113" s="162">
        <f t="shared" si="83"/>
        <v>0.04</v>
      </c>
      <c r="L113" s="162">
        <f t="shared" si="83"/>
        <v>3.5000000000000003E-2</v>
      </c>
      <c r="M113" s="162">
        <f t="shared" si="83"/>
        <v>3.2000000000000001E-2</v>
      </c>
      <c r="N113" s="181">
        <f>J14</f>
        <v>0.03</v>
      </c>
      <c r="O113" s="51"/>
      <c r="P113" s="51"/>
      <c r="Q113" s="51"/>
    </row>
    <row r="114" spans="1:17" s="19" customFormat="1" ht="14.4" customHeight="1" x14ac:dyDescent="0.3">
      <c r="I114" s="165"/>
      <c r="J114" s="165"/>
      <c r="K114" s="165"/>
      <c r="L114" s="165"/>
      <c r="M114" s="165"/>
      <c r="N114" s="165"/>
      <c r="O114" s="51"/>
      <c r="P114" s="51"/>
      <c r="Q114" s="51"/>
    </row>
    <row r="115" spans="1:17" ht="14.4" customHeight="1" x14ac:dyDescent="0.3">
      <c r="A115" s="1"/>
      <c r="B115" s="193" t="s">
        <v>186</v>
      </c>
      <c r="O115" s="51"/>
      <c r="P115" s="51"/>
      <c r="Q115" s="45"/>
    </row>
    <row r="116" spans="1:17" ht="14.4" customHeight="1" x14ac:dyDescent="0.3">
      <c r="A116" s="1"/>
      <c r="B116" s="45" t="s">
        <v>198</v>
      </c>
      <c r="I116" s="182">
        <f>I7</f>
        <v>22</v>
      </c>
      <c r="J116" s="163">
        <f t="shared" ref="J116:M118" si="84">$I116+($N116-$I116)*J$99</f>
        <v>23.5</v>
      </c>
      <c r="K116" s="163">
        <f t="shared" si="84"/>
        <v>25</v>
      </c>
      <c r="L116" s="163">
        <f t="shared" si="84"/>
        <v>26.5</v>
      </c>
      <c r="M116" s="163">
        <f t="shared" si="84"/>
        <v>27.4</v>
      </c>
      <c r="N116" s="182">
        <f>J7</f>
        <v>28</v>
      </c>
      <c r="O116" s="45"/>
      <c r="P116" s="45"/>
      <c r="Q116" s="45"/>
    </row>
    <row r="117" spans="1:17" ht="14.4" customHeight="1" x14ac:dyDescent="0.3">
      <c r="A117" s="1"/>
      <c r="B117" s="45" t="s">
        <v>200</v>
      </c>
      <c r="I117" s="183">
        <f>I9</f>
        <v>2000</v>
      </c>
      <c r="J117" s="164">
        <f t="shared" si="84"/>
        <v>4500</v>
      </c>
      <c r="K117" s="164">
        <f t="shared" si="84"/>
        <v>7000</v>
      </c>
      <c r="L117" s="164">
        <f t="shared" si="84"/>
        <v>9500</v>
      </c>
      <c r="M117" s="164">
        <f t="shared" si="84"/>
        <v>11000</v>
      </c>
      <c r="N117" s="183">
        <f>J9</f>
        <v>12000</v>
      </c>
      <c r="O117" s="45"/>
      <c r="P117" s="45"/>
      <c r="Q117" s="45"/>
    </row>
    <row r="118" spans="1:17" ht="14.4" customHeight="1" x14ac:dyDescent="0.3">
      <c r="A118" s="1"/>
      <c r="B118" s="45" t="s">
        <v>199</v>
      </c>
      <c r="I118" s="183">
        <f>I8</f>
        <v>18500</v>
      </c>
      <c r="J118" s="164">
        <f t="shared" si="84"/>
        <v>20125</v>
      </c>
      <c r="K118" s="164">
        <f t="shared" si="84"/>
        <v>21750</v>
      </c>
      <c r="L118" s="164">
        <f t="shared" si="84"/>
        <v>23375</v>
      </c>
      <c r="M118" s="164">
        <f t="shared" si="84"/>
        <v>24350</v>
      </c>
      <c r="N118" s="183">
        <f>J8</f>
        <v>25000</v>
      </c>
      <c r="O118" s="51"/>
      <c r="P118" s="51"/>
      <c r="Q118" s="45"/>
    </row>
    <row r="119" spans="1:17" ht="14.4" customHeight="1" x14ac:dyDescent="0.3">
      <c r="A119" s="1"/>
      <c r="I119" s="165"/>
      <c r="J119" s="165"/>
      <c r="K119" s="165"/>
      <c r="L119" s="165"/>
      <c r="M119" s="165"/>
      <c r="N119" s="165"/>
      <c r="O119" s="51"/>
      <c r="P119" s="51"/>
      <c r="Q119" s="45"/>
    </row>
    <row r="120" spans="1:17" ht="14.4" customHeight="1" x14ac:dyDescent="0.3">
      <c r="A120" s="1"/>
      <c r="B120" s="193" t="s">
        <v>187</v>
      </c>
      <c r="O120" s="51"/>
      <c r="P120" s="51"/>
      <c r="Q120" s="45"/>
    </row>
    <row r="121" spans="1:17" ht="14.4" customHeight="1" x14ac:dyDescent="0.3">
      <c r="A121" s="1"/>
      <c r="B121" s="45" t="s">
        <v>201</v>
      </c>
      <c r="I121" s="183">
        <f>I10</f>
        <v>0</v>
      </c>
      <c r="J121" s="164">
        <f t="shared" ref="J121:M122" si="85">$I121+($N121-$I121)*J$99</f>
        <v>2000</v>
      </c>
      <c r="K121" s="164">
        <f t="shared" si="85"/>
        <v>4000</v>
      </c>
      <c r="L121" s="164">
        <f t="shared" si="85"/>
        <v>6000</v>
      </c>
      <c r="M121" s="164">
        <f t="shared" si="85"/>
        <v>7200</v>
      </c>
      <c r="N121" s="183">
        <f>J10</f>
        <v>8000</v>
      </c>
      <c r="O121" s="51"/>
      <c r="P121" s="51"/>
      <c r="Q121" s="45"/>
    </row>
    <row r="122" spans="1:17" ht="14.4" customHeight="1" x14ac:dyDescent="0.3">
      <c r="A122" s="1"/>
      <c r="B122" s="45" t="s">
        <v>188</v>
      </c>
      <c r="I122" s="181">
        <f>D12</f>
        <v>0.4</v>
      </c>
      <c r="J122" s="162">
        <f t="shared" si="85"/>
        <v>0.4</v>
      </c>
      <c r="K122" s="162">
        <f t="shared" si="85"/>
        <v>0.4</v>
      </c>
      <c r="L122" s="162">
        <f t="shared" si="85"/>
        <v>0.4</v>
      </c>
      <c r="M122" s="162">
        <f t="shared" si="85"/>
        <v>0.4</v>
      </c>
      <c r="N122" s="181">
        <f>E12</f>
        <v>0.4</v>
      </c>
    </row>
    <row r="123" spans="1:17" ht="14.4" customHeight="1" x14ac:dyDescent="0.3">
      <c r="A123" s="1"/>
      <c r="B123" s="45" t="s">
        <v>202</v>
      </c>
      <c r="I123" s="164"/>
      <c r="J123" s="164"/>
      <c r="K123" s="164"/>
      <c r="L123" s="183">
        <f>D13</f>
        <v>500</v>
      </c>
      <c r="M123" s="164">
        <f>$L123+($N123-$L123)*0.6</f>
        <v>3200</v>
      </c>
      <c r="N123" s="183">
        <f>E13</f>
        <v>5000</v>
      </c>
    </row>
    <row r="124" spans="1:17" ht="14.4" customHeight="1" x14ac:dyDescent="0.3">
      <c r="A124" s="1"/>
      <c r="B124" s="45" t="s">
        <v>203</v>
      </c>
      <c r="I124" s="181">
        <f>D14</f>
        <v>0.2</v>
      </c>
      <c r="J124" s="162">
        <f>$I124+($N124-$I124)*J$99</f>
        <v>0.2</v>
      </c>
      <c r="K124" s="162">
        <f>$I124+($N124-$I124)*K$99</f>
        <v>0.2</v>
      </c>
      <c r="L124" s="162">
        <f>$I124+($N124-$I124)*L$99</f>
        <v>0.2</v>
      </c>
      <c r="M124" s="162">
        <f>$I124+($N124-$I124)*M$99</f>
        <v>0.2</v>
      </c>
      <c r="N124" s="181">
        <f>E14</f>
        <v>0.2</v>
      </c>
    </row>
    <row r="125" spans="1:17" ht="14.4" customHeight="1" x14ac:dyDescent="0.3">
      <c r="A125" s="1"/>
      <c r="B125" s="45" t="s">
        <v>244</v>
      </c>
      <c r="J125" s="164"/>
      <c r="K125" s="183">
        <f>I15*((K175/2)*12)</f>
        <v>1833.749999999997</v>
      </c>
      <c r="L125" s="164">
        <f>$K125+($N125-$K125)*0.35</f>
        <v>5230.3990384615354</v>
      </c>
      <c r="M125" s="164">
        <f>$K125+($N125-$K125)*0.65</f>
        <v>8141.8124999999982</v>
      </c>
      <c r="N125" s="183">
        <f>J15*(N175*12)</f>
        <v>11538.461538461535</v>
      </c>
    </row>
    <row r="126" spans="1:17" ht="14.4" customHeight="1" x14ac:dyDescent="0.3">
      <c r="A126" s="1"/>
      <c r="B126" s="45" t="s">
        <v>239</v>
      </c>
      <c r="J126" s="162"/>
      <c r="K126" s="181">
        <f>N6</f>
        <v>0.2</v>
      </c>
      <c r="L126" s="162">
        <f>$K126+($N126-$K126)*K$99</f>
        <v>0.30000000000000004</v>
      </c>
      <c r="M126" s="162">
        <f>$K126+($N126-$K126)*L$99</f>
        <v>0.35000000000000003</v>
      </c>
      <c r="N126" s="181">
        <f>N7</f>
        <v>0.4</v>
      </c>
    </row>
    <row r="127" spans="1:17" ht="14.4" customHeight="1" x14ac:dyDescent="0.3">
      <c r="A127" s="1"/>
      <c r="I127" s="165"/>
      <c r="J127" s="165"/>
      <c r="K127" s="165"/>
      <c r="L127" s="165"/>
      <c r="M127" s="165"/>
      <c r="N127" s="165"/>
    </row>
    <row r="128" spans="1:17" ht="14.4" customHeight="1" x14ac:dyDescent="0.3">
      <c r="A128" s="1"/>
      <c r="B128" s="193" t="s">
        <v>189</v>
      </c>
    </row>
    <row r="129" spans="1:17" ht="14.4" customHeight="1" x14ac:dyDescent="0.3">
      <c r="A129" s="1"/>
      <c r="B129" s="45" t="s">
        <v>204</v>
      </c>
      <c r="I129" s="181">
        <f>D15</f>
        <v>0.3</v>
      </c>
      <c r="J129" s="162">
        <f t="shared" ref="J129:M133" si="86">$I129+($N129-$I129)*J$99</f>
        <v>0.3125</v>
      </c>
      <c r="K129" s="162">
        <f t="shared" si="86"/>
        <v>0.32499999999999996</v>
      </c>
      <c r="L129" s="162">
        <f t="shared" si="86"/>
        <v>0.33749999999999997</v>
      </c>
      <c r="M129" s="162">
        <f t="shared" si="86"/>
        <v>0.34499999999999997</v>
      </c>
      <c r="N129" s="181">
        <f>E15</f>
        <v>0.35</v>
      </c>
    </row>
    <row r="130" spans="1:17" ht="14.4" customHeight="1" x14ac:dyDescent="0.3">
      <c r="A130" s="1"/>
      <c r="B130" s="45" t="s">
        <v>205</v>
      </c>
      <c r="I130" s="181">
        <f>D16</f>
        <v>0.3</v>
      </c>
      <c r="J130" s="162">
        <f t="shared" si="86"/>
        <v>0.3125</v>
      </c>
      <c r="K130" s="162">
        <f t="shared" si="86"/>
        <v>0.32499999999999996</v>
      </c>
      <c r="L130" s="162">
        <f t="shared" si="86"/>
        <v>0.33749999999999997</v>
      </c>
      <c r="M130" s="162">
        <f t="shared" si="86"/>
        <v>0.34499999999999997</v>
      </c>
      <c r="N130" s="181">
        <f>E16</f>
        <v>0.35</v>
      </c>
    </row>
    <row r="131" spans="1:17" ht="14.4" customHeight="1" x14ac:dyDescent="0.3">
      <c r="A131" s="1"/>
      <c r="B131" s="45" t="s">
        <v>206</v>
      </c>
      <c r="I131" s="181">
        <f>I12</f>
        <v>-0.4</v>
      </c>
      <c r="J131" s="162">
        <f t="shared" si="86"/>
        <v>-0.23750000000000002</v>
      </c>
      <c r="K131" s="162">
        <f t="shared" si="86"/>
        <v>-7.5000000000000011E-2</v>
      </c>
      <c r="L131" s="162">
        <f t="shared" si="86"/>
        <v>8.7500000000000022E-2</v>
      </c>
      <c r="M131" s="162">
        <f t="shared" si="86"/>
        <v>0.18500000000000005</v>
      </c>
      <c r="N131" s="181">
        <f>J12</f>
        <v>0.25</v>
      </c>
    </row>
    <row r="132" spans="1:17" ht="14.4" customHeight="1" x14ac:dyDescent="0.3">
      <c r="A132" s="1"/>
      <c r="B132" s="45" t="s">
        <v>240</v>
      </c>
      <c r="J132" s="162"/>
      <c r="K132" s="181">
        <f>I16</f>
        <v>0.1</v>
      </c>
      <c r="L132" s="162">
        <f>$K132+($N132-$K132)*0.35</f>
        <v>0.1875</v>
      </c>
      <c r="M132" s="162">
        <f>$K132+($N132-$K132)*0.65</f>
        <v>0.26249999999999996</v>
      </c>
      <c r="N132" s="181">
        <f>J16</f>
        <v>0.35</v>
      </c>
    </row>
    <row r="133" spans="1:17" ht="14.4" customHeight="1" x14ac:dyDescent="0.3">
      <c r="A133" s="1"/>
      <c r="B133" s="1" t="s">
        <v>163</v>
      </c>
      <c r="I133" s="181">
        <v>0.05</v>
      </c>
      <c r="J133" s="162">
        <f t="shared" si="86"/>
        <v>5.7500000000000002E-2</v>
      </c>
      <c r="K133" s="162">
        <f t="shared" si="86"/>
        <v>6.5000000000000002E-2</v>
      </c>
      <c r="L133" s="162">
        <f t="shared" si="86"/>
        <v>7.2500000000000009E-2</v>
      </c>
      <c r="M133" s="162">
        <f t="shared" si="86"/>
        <v>7.6999999999999999E-2</v>
      </c>
      <c r="N133" s="181">
        <v>0.08</v>
      </c>
    </row>
    <row r="134" spans="1:17" ht="14.4" customHeight="1" x14ac:dyDescent="0.3">
      <c r="A134" s="1"/>
    </row>
    <row r="135" spans="1:17" ht="14.4" customHeight="1" x14ac:dyDescent="0.3">
      <c r="A135" s="112" t="s">
        <v>40</v>
      </c>
      <c r="B135" s="33" t="s">
        <v>190</v>
      </c>
      <c r="C135" s="33"/>
      <c r="D135" s="109"/>
      <c r="E135" s="109"/>
      <c r="F135" s="109"/>
      <c r="G135" s="109"/>
      <c r="H135" s="109"/>
      <c r="I135" s="34" t="s">
        <v>4</v>
      </c>
      <c r="J135" s="34" t="s">
        <v>5</v>
      </c>
      <c r="K135" s="34" t="s">
        <v>6</v>
      </c>
      <c r="L135" s="34" t="s">
        <v>7</v>
      </c>
      <c r="M135" s="34" t="s">
        <v>8</v>
      </c>
      <c r="N135" s="34" t="s">
        <v>75</v>
      </c>
    </row>
    <row r="136" spans="1:17" s="19" customFormat="1" ht="1.95" customHeight="1" x14ac:dyDescent="0.3">
      <c r="A136" s="72"/>
      <c r="B136" s="20"/>
      <c r="C136" s="20"/>
      <c r="D136" s="20"/>
      <c r="E136" s="20"/>
      <c r="F136" s="20"/>
      <c r="G136" s="20"/>
      <c r="H136" s="21"/>
      <c r="I136" s="21"/>
      <c r="J136" s="21"/>
      <c r="K136" s="21"/>
      <c r="L136" s="21"/>
    </row>
    <row r="137" spans="1:17" ht="14.4" customHeight="1" x14ac:dyDescent="0.3">
      <c r="A137" s="1"/>
      <c r="B137" s="45" t="s">
        <v>193</v>
      </c>
      <c r="I137" s="107">
        <f t="shared" ref="I137:N138" si="87">I102</f>
        <v>13</v>
      </c>
      <c r="J137" s="107">
        <f t="shared" si="87"/>
        <v>22.25</v>
      </c>
      <c r="K137" s="107">
        <f t="shared" si="87"/>
        <v>31.5</v>
      </c>
      <c r="L137" s="107">
        <f t="shared" si="87"/>
        <v>40.75</v>
      </c>
      <c r="M137" s="107">
        <f t="shared" si="87"/>
        <v>46.300000000000004</v>
      </c>
      <c r="N137" s="107">
        <f t="shared" si="87"/>
        <v>50</v>
      </c>
    </row>
    <row r="138" spans="1:17" ht="14.4" customHeight="1" x14ac:dyDescent="0.3">
      <c r="B138" s="45" t="s">
        <v>194</v>
      </c>
      <c r="I138" s="151">
        <f t="shared" si="87"/>
        <v>0.25</v>
      </c>
      <c r="J138" s="151">
        <f t="shared" si="87"/>
        <v>0.4375</v>
      </c>
      <c r="K138" s="151">
        <f t="shared" si="87"/>
        <v>0.625</v>
      </c>
      <c r="L138" s="151">
        <f t="shared" si="87"/>
        <v>0.8125</v>
      </c>
      <c r="M138" s="151">
        <f t="shared" si="87"/>
        <v>0.92500000000000004</v>
      </c>
      <c r="N138" s="151">
        <f t="shared" si="87"/>
        <v>1</v>
      </c>
    </row>
    <row r="139" spans="1:17" ht="14.4" customHeight="1" x14ac:dyDescent="0.3">
      <c r="A139" s="1"/>
      <c r="B139" s="184" t="s">
        <v>183</v>
      </c>
      <c r="C139" s="185"/>
      <c r="D139" s="185"/>
      <c r="E139" s="185"/>
      <c r="F139" s="185"/>
      <c r="G139" s="185"/>
      <c r="H139" s="185"/>
      <c r="I139" s="186">
        <f t="shared" ref="I139:N139" si="88">I137*I138</f>
        <v>3.25</v>
      </c>
      <c r="J139" s="186">
        <f t="shared" si="88"/>
        <v>9.734375</v>
      </c>
      <c r="K139" s="186">
        <f t="shared" si="88"/>
        <v>19.6875</v>
      </c>
      <c r="L139" s="186">
        <f t="shared" si="88"/>
        <v>33.109375</v>
      </c>
      <c r="M139" s="186">
        <f t="shared" si="88"/>
        <v>42.827500000000008</v>
      </c>
      <c r="N139" s="186">
        <f t="shared" si="88"/>
        <v>50</v>
      </c>
    </row>
    <row r="140" spans="1:17" ht="14.4" customHeight="1" x14ac:dyDescent="0.3">
      <c r="A140" s="1"/>
      <c r="B140" s="45" t="s">
        <v>195</v>
      </c>
      <c r="I140" s="56">
        <f t="shared" ref="I140:N140" si="89">I104</f>
        <v>0.35</v>
      </c>
      <c r="J140" s="56">
        <f t="shared" si="89"/>
        <v>0.33749999999999997</v>
      </c>
      <c r="K140" s="56">
        <f t="shared" si="89"/>
        <v>0.32499999999999996</v>
      </c>
      <c r="L140" s="56">
        <f t="shared" si="89"/>
        <v>0.3125</v>
      </c>
      <c r="M140" s="56">
        <f t="shared" si="89"/>
        <v>0.30499999999999999</v>
      </c>
      <c r="N140" s="56">
        <f t="shared" si="89"/>
        <v>0.3</v>
      </c>
    </row>
    <row r="141" spans="1:17" s="19" customFormat="1" ht="14.4" customHeight="1" x14ac:dyDescent="0.3">
      <c r="B141" s="184" t="s">
        <v>218</v>
      </c>
      <c r="C141" s="185"/>
      <c r="D141" s="185"/>
      <c r="E141" s="185"/>
      <c r="F141" s="185"/>
      <c r="G141" s="185"/>
      <c r="H141" s="185"/>
      <c r="I141" s="186">
        <f t="shared" ref="I141:N141" si="90">I139*I140</f>
        <v>1.1375</v>
      </c>
      <c r="J141" s="186">
        <f t="shared" si="90"/>
        <v>3.2853515624999998</v>
      </c>
      <c r="K141" s="186">
        <f t="shared" si="90"/>
        <v>6.3984374999999991</v>
      </c>
      <c r="L141" s="186">
        <f t="shared" si="90"/>
        <v>10.3466796875</v>
      </c>
      <c r="M141" s="186">
        <f t="shared" si="90"/>
        <v>13.062387500000002</v>
      </c>
      <c r="N141" s="186">
        <f t="shared" si="90"/>
        <v>15</v>
      </c>
      <c r="O141" s="1"/>
      <c r="P141" s="1"/>
      <c r="Q141" s="1"/>
    </row>
    <row r="142" spans="1:17" ht="14.4" customHeight="1" x14ac:dyDescent="0.3">
      <c r="A142" s="1"/>
      <c r="B142" s="45" t="s">
        <v>197</v>
      </c>
      <c r="I142" s="107">
        <f t="shared" ref="I142:N142" si="91">I108</f>
        <v>80</v>
      </c>
      <c r="J142" s="107">
        <f t="shared" si="91"/>
        <v>92.5</v>
      </c>
      <c r="K142" s="107">
        <f t="shared" si="91"/>
        <v>105</v>
      </c>
      <c r="L142" s="107">
        <f t="shared" si="91"/>
        <v>117.5</v>
      </c>
      <c r="M142" s="107">
        <f t="shared" si="91"/>
        <v>125</v>
      </c>
      <c r="N142" s="107">
        <f t="shared" si="91"/>
        <v>130</v>
      </c>
    </row>
    <row r="143" spans="1:17" ht="14.4" customHeight="1" x14ac:dyDescent="0.3">
      <c r="B143" s="45" t="s">
        <v>219</v>
      </c>
      <c r="I143" s="174">
        <f t="shared" ref="I143:N143" si="92">I141*1000000/I142/12/1000</f>
        <v>1.1848958333333333</v>
      </c>
      <c r="J143" s="174">
        <f t="shared" si="92"/>
        <v>2.959776182432432</v>
      </c>
      <c r="K143" s="174">
        <f t="shared" si="92"/>
        <v>5.0781249999999991</v>
      </c>
      <c r="L143" s="174">
        <f t="shared" si="92"/>
        <v>7.3380707003546091</v>
      </c>
      <c r="M143" s="174">
        <f t="shared" si="92"/>
        <v>8.708258333333335</v>
      </c>
      <c r="N143" s="174">
        <f t="shared" si="92"/>
        <v>9.615384615384615</v>
      </c>
    </row>
    <row r="144" spans="1:17" ht="14.4" customHeight="1" x14ac:dyDescent="0.3">
      <c r="A144" s="1"/>
      <c r="B144" s="187" t="s">
        <v>220</v>
      </c>
      <c r="C144" s="188"/>
      <c r="D144" s="188"/>
      <c r="E144" s="188"/>
      <c r="F144" s="188"/>
      <c r="G144" s="188"/>
      <c r="H144" s="188"/>
      <c r="I144" s="189">
        <f t="shared" ref="I144:N144" si="93">MAX(0,I172-I173-I174)</f>
        <v>1.184895833333333</v>
      </c>
      <c r="J144" s="189">
        <f t="shared" si="93"/>
        <v>2.9597761824324316</v>
      </c>
      <c r="K144" s="189">
        <f t="shared" si="93"/>
        <v>6.1124999999999901</v>
      </c>
      <c r="L144" s="189">
        <f t="shared" si="93"/>
        <v>7.3380707003546064</v>
      </c>
      <c r="M144" s="189">
        <f t="shared" si="93"/>
        <v>8.7082583333333332</v>
      </c>
      <c r="N144" s="189">
        <f t="shared" si="93"/>
        <v>9.6153846153846132</v>
      </c>
    </row>
    <row r="145" spans="1:27" s="19" customFormat="1" ht="14.4" customHeight="1" x14ac:dyDescent="0.3">
      <c r="B145" s="190" t="s">
        <v>221</v>
      </c>
      <c r="C145" s="6"/>
      <c r="D145" s="6"/>
      <c r="E145" s="6"/>
      <c r="F145" s="6"/>
      <c r="G145" s="6"/>
      <c r="H145" s="6"/>
      <c r="I145" s="191">
        <f t="shared" ref="I145:N145" si="94">MIN(I141,I144*12*I142/1000)</f>
        <v>1.1374999999999997</v>
      </c>
      <c r="J145" s="191">
        <f t="shared" si="94"/>
        <v>3.2853515624999989</v>
      </c>
      <c r="K145" s="191">
        <f t="shared" si="94"/>
        <v>6.3984374999999991</v>
      </c>
      <c r="L145" s="191">
        <f t="shared" si="94"/>
        <v>10.346679687499995</v>
      </c>
      <c r="M145" s="191">
        <f t="shared" si="94"/>
        <v>13.062387500000002</v>
      </c>
      <c r="N145" s="191">
        <f t="shared" si="94"/>
        <v>14.999999999999996</v>
      </c>
      <c r="O145" s="21"/>
    </row>
    <row r="146" spans="1:27" ht="14.4" customHeight="1" x14ac:dyDescent="0.3">
      <c r="A146" s="1"/>
      <c r="B146" s="53" t="s">
        <v>208</v>
      </c>
      <c r="I146" s="153">
        <f t="shared" ref="I146:N146" si="95">I144-I143</f>
        <v>0</v>
      </c>
      <c r="J146" s="153">
        <f t="shared" si="95"/>
        <v>0</v>
      </c>
      <c r="K146" s="153">
        <f t="shared" si="95"/>
        <v>1.0343749999999909</v>
      </c>
      <c r="L146" s="153">
        <f t="shared" si="95"/>
        <v>0</v>
      </c>
      <c r="M146" s="153">
        <f t="shared" si="95"/>
        <v>0</v>
      </c>
      <c r="N146" s="153">
        <f t="shared" si="95"/>
        <v>0</v>
      </c>
    </row>
    <row r="147" spans="1:27" ht="14.4" customHeight="1" x14ac:dyDescent="0.3">
      <c r="A147" s="1"/>
      <c r="B147" s="45" t="s">
        <v>196</v>
      </c>
      <c r="I147" s="152">
        <f t="shared" ref="I147:N147" si="96">I105</f>
        <v>2000</v>
      </c>
      <c r="J147" s="152">
        <f t="shared" si="96"/>
        <v>2250</v>
      </c>
      <c r="K147" s="152">
        <f t="shared" si="96"/>
        <v>2500</v>
      </c>
      <c r="L147" s="152">
        <f t="shared" si="96"/>
        <v>2750</v>
      </c>
      <c r="M147" s="152">
        <f t="shared" si="96"/>
        <v>2900</v>
      </c>
      <c r="N147" s="152">
        <f t="shared" si="96"/>
        <v>3000</v>
      </c>
    </row>
    <row r="148" spans="1:27" ht="14.4" customHeight="1" x14ac:dyDescent="0.3">
      <c r="A148" s="1"/>
      <c r="B148" s="150" t="s">
        <v>209</v>
      </c>
      <c r="C148" s="102"/>
      <c r="D148" s="102"/>
      <c r="E148" s="102"/>
      <c r="F148" s="102"/>
      <c r="G148" s="102"/>
      <c r="H148" s="102"/>
      <c r="I148" s="108">
        <f t="shared" ref="I148:N148" si="97">I145*I147</f>
        <v>2274.9999999999995</v>
      </c>
      <c r="J148" s="108">
        <f t="shared" si="97"/>
        <v>7392.0410156249973</v>
      </c>
      <c r="K148" s="108">
        <f t="shared" si="97"/>
        <v>15996.093749999998</v>
      </c>
      <c r="L148" s="108">
        <f t="shared" si="97"/>
        <v>28453.369140624985</v>
      </c>
      <c r="M148" s="108">
        <f t="shared" si="97"/>
        <v>37880.923750000002</v>
      </c>
      <c r="N148" s="108">
        <f t="shared" si="97"/>
        <v>44999.999999999993</v>
      </c>
    </row>
    <row r="149" spans="1:27" ht="14.4" customHeight="1" x14ac:dyDescent="0.3">
      <c r="A149" s="1"/>
      <c r="B149" s="25" t="s">
        <v>247</v>
      </c>
      <c r="I149" s="155">
        <f>I148/I140</f>
        <v>6499.9999999999991</v>
      </c>
      <c r="J149" s="155">
        <f t="shared" ref="J149:N149" si="98">J148/J140</f>
        <v>21902.343749999993</v>
      </c>
      <c r="K149" s="155">
        <f t="shared" si="98"/>
        <v>49218.75</v>
      </c>
      <c r="L149" s="155">
        <f t="shared" si="98"/>
        <v>91050.781249999956</v>
      </c>
      <c r="M149" s="155">
        <f t="shared" si="98"/>
        <v>124199.75000000001</v>
      </c>
      <c r="N149" s="155">
        <f t="shared" si="98"/>
        <v>149999.99999999997</v>
      </c>
    </row>
    <row r="150" spans="1:27" ht="14.4" customHeight="1" x14ac:dyDescent="0.3">
      <c r="A150" s="1"/>
      <c r="B150" s="25" t="s">
        <v>248</v>
      </c>
      <c r="I150" s="155">
        <f>I149+(I35/0.71)</f>
        <v>31521.056338028171</v>
      </c>
      <c r="J150" s="155">
        <f>J149+(J35/0.68)</f>
        <v>49202.891911764695</v>
      </c>
      <c r="K150" s="155">
        <f>K149+(K35/0.66)</f>
        <v>78471.701000000001</v>
      </c>
      <c r="L150" s="155">
        <f>L149+(L35/0.64)</f>
        <v>122273.7356689062</v>
      </c>
      <c r="M150" s="155">
        <f>M149+(M35/0.62)</f>
        <v>157461.26118483744</v>
      </c>
      <c r="N150" s="155">
        <f>N149+(N35/0.6)</f>
        <v>185401.33507106191</v>
      </c>
    </row>
    <row r="151" spans="1:27" ht="14.4" customHeight="1" x14ac:dyDescent="0.3">
      <c r="A151" s="1"/>
      <c r="B151" s="25"/>
      <c r="I151" s="155"/>
      <c r="J151" s="155"/>
      <c r="K151" s="155"/>
      <c r="L151" s="155"/>
      <c r="M151" s="155"/>
      <c r="N151" s="155"/>
    </row>
    <row r="152" spans="1:27" ht="14.4" customHeight="1" x14ac:dyDescent="0.3">
      <c r="A152" s="1"/>
    </row>
    <row r="153" spans="1:27" ht="14.4" customHeight="1" x14ac:dyDescent="0.3">
      <c r="A153" s="112" t="s">
        <v>40</v>
      </c>
      <c r="B153" s="33" t="s">
        <v>191</v>
      </c>
      <c r="C153" s="154"/>
      <c r="D153" s="154"/>
      <c r="E153" s="109"/>
      <c r="F153" s="154" t="s">
        <v>217</v>
      </c>
      <c r="G153" s="109"/>
      <c r="H153" s="109"/>
      <c r="I153" s="34" t="s">
        <v>4</v>
      </c>
      <c r="J153" s="34" t="s">
        <v>5</v>
      </c>
      <c r="K153" s="34" t="s">
        <v>6</v>
      </c>
      <c r="L153" s="34" t="s">
        <v>7</v>
      </c>
      <c r="M153" s="34" t="s">
        <v>8</v>
      </c>
      <c r="N153" s="34" t="s">
        <v>75</v>
      </c>
      <c r="Q153" s="33" t="s">
        <v>264</v>
      </c>
      <c r="R153" s="109"/>
      <c r="S153" s="109"/>
      <c r="T153" s="109"/>
      <c r="U153" s="34" t="s">
        <v>75</v>
      </c>
      <c r="W153" s="33" t="s">
        <v>267</v>
      </c>
      <c r="X153" s="109"/>
      <c r="Y153" s="109"/>
      <c r="Z153" s="109"/>
      <c r="AA153" s="34" t="s">
        <v>75</v>
      </c>
    </row>
    <row r="154" spans="1:27" s="19" customFormat="1" ht="1.95" customHeight="1" x14ac:dyDescent="0.3">
      <c r="A154" s="72"/>
      <c r="B154" s="20"/>
      <c r="C154" s="20"/>
      <c r="D154" s="20"/>
      <c r="E154" s="20"/>
      <c r="F154" s="20"/>
      <c r="G154" s="20"/>
      <c r="H154" s="21"/>
      <c r="I154" s="21"/>
      <c r="J154" s="21"/>
      <c r="K154" s="21"/>
      <c r="L154" s="21"/>
    </row>
    <row r="155" spans="1:27" ht="14.4" customHeight="1" x14ac:dyDescent="0.3">
      <c r="A155" s="1"/>
      <c r="B155" s="176" t="s">
        <v>192</v>
      </c>
      <c r="I155" s="156"/>
      <c r="J155" s="156"/>
      <c r="K155" s="156"/>
      <c r="L155" s="156"/>
      <c r="M155" s="156"/>
      <c r="N155" s="156"/>
      <c r="Q155" s="94" t="str">
        <f>B171</f>
        <v>Total Available WSPM</v>
      </c>
      <c r="R155" s="94"/>
      <c r="S155" s="94"/>
      <c r="T155" s="94"/>
      <c r="U155" s="99">
        <f>N171</f>
        <v>270</v>
      </c>
      <c r="W155" s="94" t="str">
        <f>Q159</f>
        <v>External Foundry Sold WSPM</v>
      </c>
      <c r="X155" s="94"/>
      <c r="Y155" s="94"/>
      <c r="Z155" s="94"/>
      <c r="AA155" s="99">
        <f>U159</f>
        <v>70.709615384615375</v>
      </c>
    </row>
    <row r="156" spans="1:27" ht="14.4" customHeight="1" x14ac:dyDescent="0.3">
      <c r="B156" s="4" t="s">
        <v>222</v>
      </c>
      <c r="I156" s="171">
        <v>50</v>
      </c>
      <c r="J156" s="164">
        <f>$I156+($N156-$I156)*J$99</f>
        <v>60</v>
      </c>
      <c r="K156" s="164">
        <f>$I156+($N156-$I156)*K$99</f>
        <v>70</v>
      </c>
      <c r="L156" s="164">
        <f>$I156+($N156-$I156)*L$99</f>
        <v>80</v>
      </c>
      <c r="M156" s="164">
        <f>$I156+($N156-$I156)*M$99</f>
        <v>86</v>
      </c>
      <c r="N156" s="171">
        <v>90</v>
      </c>
      <c r="Q156" s="1" t="s">
        <v>265</v>
      </c>
      <c r="U156" s="239">
        <f>N157</f>
        <v>0.85</v>
      </c>
      <c r="W156" s="1" t="s">
        <v>268</v>
      </c>
      <c r="AA156" s="216">
        <f>J7</f>
        <v>28</v>
      </c>
    </row>
    <row r="157" spans="1:27" ht="14.4" customHeight="1" x14ac:dyDescent="0.3">
      <c r="A157" s="1"/>
      <c r="B157" s="45" t="s">
        <v>223</v>
      </c>
      <c r="I157" s="175">
        <f t="shared" ref="I157:N157" si="99">I109</f>
        <v>0.5</v>
      </c>
      <c r="J157" s="175">
        <f t="shared" si="99"/>
        <v>0.58750000000000002</v>
      </c>
      <c r="K157" s="175">
        <f t="shared" si="99"/>
        <v>0.67500000000000004</v>
      </c>
      <c r="L157" s="175">
        <f t="shared" si="99"/>
        <v>0.76249999999999996</v>
      </c>
      <c r="M157" s="175">
        <f t="shared" si="99"/>
        <v>0.81499999999999995</v>
      </c>
      <c r="N157" s="175">
        <f t="shared" si="99"/>
        <v>0.85</v>
      </c>
      <c r="Q157" s="93" t="s">
        <v>266</v>
      </c>
      <c r="R157" s="93"/>
      <c r="S157" s="93"/>
      <c r="T157" s="93"/>
      <c r="U157" s="95">
        <f>N172</f>
        <v>229.5</v>
      </c>
      <c r="W157" s="93" t="s">
        <v>269</v>
      </c>
      <c r="X157" s="93"/>
      <c r="Y157" s="93"/>
      <c r="Z157" s="93"/>
      <c r="AA157" s="95">
        <f>AA160-AA158-AA159</f>
        <v>23758.430769230763</v>
      </c>
    </row>
    <row r="158" spans="1:27" s="19" customFormat="1" ht="14.4" customHeight="1" x14ac:dyDescent="0.3">
      <c r="B158" s="45" t="s">
        <v>224</v>
      </c>
      <c r="C158" s="1"/>
      <c r="D158" s="1"/>
      <c r="E158" s="1"/>
      <c r="F158" s="1"/>
      <c r="G158" s="1"/>
      <c r="H158" s="1"/>
      <c r="I158" s="160">
        <f t="shared" ref="I158:N158" si="100">I156*I157</f>
        <v>25</v>
      </c>
      <c r="J158" s="160">
        <f t="shared" si="100"/>
        <v>35.25</v>
      </c>
      <c r="K158" s="160">
        <f t="shared" si="100"/>
        <v>47.25</v>
      </c>
      <c r="L158" s="160">
        <f t="shared" si="100"/>
        <v>61</v>
      </c>
      <c r="M158" s="160">
        <f t="shared" si="100"/>
        <v>70.089999999999989</v>
      </c>
      <c r="N158" s="160">
        <f t="shared" si="100"/>
        <v>76.5</v>
      </c>
      <c r="O158" s="1"/>
      <c r="P158" s="1"/>
      <c r="Q158" s="1" t="s">
        <v>226</v>
      </c>
      <c r="R158" s="1"/>
      <c r="S158" s="1"/>
      <c r="T158" s="1"/>
      <c r="U158" s="8">
        <f>N173</f>
        <v>149.17500000000001</v>
      </c>
      <c r="V158" s="1"/>
      <c r="W158" s="1" t="s">
        <v>270</v>
      </c>
      <c r="X158" s="1"/>
      <c r="Y158" s="1"/>
      <c r="Z158" s="1"/>
      <c r="AA158" s="242">
        <f>J9</f>
        <v>12000</v>
      </c>
    </row>
    <row r="159" spans="1:27" ht="14.4" customHeight="1" x14ac:dyDescent="0.3">
      <c r="A159" s="1"/>
      <c r="B159" s="176" t="s">
        <v>210</v>
      </c>
      <c r="I159" s="156"/>
      <c r="J159" s="156"/>
      <c r="K159" s="156"/>
      <c r="L159" s="156"/>
      <c r="M159" s="156"/>
      <c r="N159" s="156"/>
      <c r="Q159" s="240" t="s">
        <v>227</v>
      </c>
      <c r="R159" s="185"/>
      <c r="S159" s="185"/>
      <c r="T159" s="185"/>
      <c r="U159" s="241">
        <f>N174</f>
        <v>70.709615384615375</v>
      </c>
      <c r="W159" s="1" t="s">
        <v>271</v>
      </c>
      <c r="AA159" s="242">
        <f>J10*E12</f>
        <v>3200</v>
      </c>
    </row>
    <row r="160" spans="1:27" ht="14.4" customHeight="1" x14ac:dyDescent="0.3">
      <c r="A160" s="1"/>
      <c r="B160" s="4" t="s">
        <v>222</v>
      </c>
      <c r="I160" s="171">
        <v>35</v>
      </c>
      <c r="J160" s="164">
        <f>$I160+($N160-$I160)*J$99</f>
        <v>41.25</v>
      </c>
      <c r="K160" s="164">
        <f>$I160+($N160-$I160)*K$99</f>
        <v>47.5</v>
      </c>
      <c r="L160" s="164">
        <f>$I160+($N160-$I160)*L$99</f>
        <v>53.75</v>
      </c>
      <c r="M160" s="164">
        <f>$I160+($N160-$I160)*M$99</f>
        <v>57.5</v>
      </c>
      <c r="N160" s="171">
        <v>60</v>
      </c>
      <c r="Q160" s="1" t="s">
        <v>228</v>
      </c>
      <c r="U160" s="8">
        <f>N175</f>
        <v>9.6153846153846132</v>
      </c>
      <c r="W160" s="240" t="s">
        <v>134</v>
      </c>
      <c r="X160" s="185"/>
      <c r="Y160" s="185"/>
      <c r="Z160" s="185"/>
      <c r="AA160" s="243">
        <f>N44</f>
        <v>38958.430769230763</v>
      </c>
    </row>
    <row r="161" spans="1:26" ht="14.4" customHeight="1" x14ac:dyDescent="0.3">
      <c r="B161" s="45" t="s">
        <v>223</v>
      </c>
      <c r="I161" s="175">
        <f t="shared" ref="I161:N161" si="101">I109</f>
        <v>0.5</v>
      </c>
      <c r="J161" s="175">
        <f t="shared" si="101"/>
        <v>0.58750000000000002</v>
      </c>
      <c r="K161" s="175">
        <f t="shared" si="101"/>
        <v>0.67500000000000004</v>
      </c>
      <c r="L161" s="175">
        <f t="shared" si="101"/>
        <v>0.76249999999999996</v>
      </c>
      <c r="M161" s="175">
        <f t="shared" si="101"/>
        <v>0.81499999999999995</v>
      </c>
      <c r="N161" s="175">
        <f t="shared" si="101"/>
        <v>0.85</v>
      </c>
    </row>
    <row r="162" spans="1:26" ht="14.4" customHeight="1" x14ac:dyDescent="0.3">
      <c r="B162" s="45" t="s">
        <v>224</v>
      </c>
      <c r="I162" s="160">
        <f t="shared" ref="I162:N162" si="102">I160*I161</f>
        <v>17.5</v>
      </c>
      <c r="J162" s="160">
        <f t="shared" si="102"/>
        <v>24.234375</v>
      </c>
      <c r="K162" s="160">
        <f t="shared" si="102"/>
        <v>32.0625</v>
      </c>
      <c r="L162" s="160">
        <f t="shared" si="102"/>
        <v>40.984375</v>
      </c>
      <c r="M162" s="160">
        <f t="shared" si="102"/>
        <v>46.862499999999997</v>
      </c>
      <c r="N162" s="160">
        <f t="shared" si="102"/>
        <v>51</v>
      </c>
    </row>
    <row r="163" spans="1:26" ht="14.4" customHeight="1" x14ac:dyDescent="0.3">
      <c r="B163" s="176" t="s">
        <v>246</v>
      </c>
      <c r="I163" s="156"/>
      <c r="J163" s="156"/>
      <c r="K163" s="156"/>
      <c r="L163" s="156"/>
      <c r="M163" s="156"/>
      <c r="N163" s="156"/>
    </row>
    <row r="164" spans="1:26" ht="14.4" customHeight="1" x14ac:dyDescent="0.3">
      <c r="B164" s="4" t="s">
        <v>222</v>
      </c>
      <c r="I164" s="171">
        <v>5</v>
      </c>
      <c r="J164" s="164">
        <f>$I164+($N164-$I164)*J$99</f>
        <v>16.25</v>
      </c>
      <c r="K164" s="164">
        <f>$I164+($N164-$I164)*K$99</f>
        <v>27.5</v>
      </c>
      <c r="L164" s="164">
        <f>$I164+($N164-$I164)*L$99</f>
        <v>38.75</v>
      </c>
      <c r="M164" s="164">
        <f>$I164+($N164-$I164)*M$99</f>
        <v>45.5</v>
      </c>
      <c r="N164" s="171">
        <v>50</v>
      </c>
    </row>
    <row r="165" spans="1:26" s="19" customFormat="1" ht="14.4" customHeight="1" x14ac:dyDescent="0.3">
      <c r="A165" s="14"/>
      <c r="B165" s="45" t="s">
        <v>223</v>
      </c>
      <c r="C165" s="1"/>
      <c r="D165" s="1"/>
      <c r="E165" s="1"/>
      <c r="F165" s="1"/>
      <c r="G165" s="1"/>
      <c r="H165" s="1"/>
      <c r="I165" s="175">
        <f t="shared" ref="I165:N165" si="103">I109</f>
        <v>0.5</v>
      </c>
      <c r="J165" s="175">
        <f t="shared" si="103"/>
        <v>0.58750000000000002</v>
      </c>
      <c r="K165" s="175">
        <f t="shared" si="103"/>
        <v>0.67500000000000004</v>
      </c>
      <c r="L165" s="175">
        <f t="shared" si="103"/>
        <v>0.76249999999999996</v>
      </c>
      <c r="M165" s="175">
        <f t="shared" si="103"/>
        <v>0.81499999999999995</v>
      </c>
      <c r="N165" s="175">
        <f t="shared" si="103"/>
        <v>0.85</v>
      </c>
      <c r="O165" s="1"/>
      <c r="P165" s="1"/>
      <c r="Q165" s="1"/>
      <c r="R165" s="1"/>
      <c r="S165" s="1"/>
      <c r="T165" s="1"/>
      <c r="U165" s="1"/>
      <c r="V165" s="1"/>
      <c r="W165" s="1"/>
      <c r="X165" s="1"/>
      <c r="Y165" s="1"/>
      <c r="Z165" s="1"/>
    </row>
    <row r="166" spans="1:26" ht="14.4" customHeight="1" x14ac:dyDescent="0.3">
      <c r="B166" s="45" t="s">
        <v>224</v>
      </c>
      <c r="I166" s="160">
        <f t="shared" ref="I166:N166" si="104">I164*I165</f>
        <v>2.5</v>
      </c>
      <c r="J166" s="160">
        <f t="shared" si="104"/>
        <v>9.546875</v>
      </c>
      <c r="K166" s="160">
        <f t="shared" si="104"/>
        <v>18.5625</v>
      </c>
      <c r="L166" s="160">
        <f t="shared" si="104"/>
        <v>29.546875</v>
      </c>
      <c r="M166" s="160">
        <f t="shared" si="104"/>
        <v>37.082499999999996</v>
      </c>
      <c r="N166" s="160">
        <f t="shared" si="104"/>
        <v>42.5</v>
      </c>
    </row>
    <row r="167" spans="1:26" ht="14.4" customHeight="1" x14ac:dyDescent="0.3">
      <c r="B167" s="176" t="s">
        <v>211</v>
      </c>
      <c r="I167" s="156"/>
      <c r="J167" s="156"/>
      <c r="K167" s="156"/>
      <c r="L167" s="156"/>
      <c r="M167" s="156"/>
      <c r="N167" s="156"/>
    </row>
    <row r="168" spans="1:26" ht="14.4" customHeight="1" x14ac:dyDescent="0.3">
      <c r="B168" s="4" t="s">
        <v>222</v>
      </c>
      <c r="I168" s="171">
        <v>60</v>
      </c>
      <c r="J168" s="164">
        <f>$I168+($N168-$I168)*J$99</f>
        <v>62.5</v>
      </c>
      <c r="K168" s="164">
        <f>$I168+($N168-$I168)*K$99</f>
        <v>65</v>
      </c>
      <c r="L168" s="164">
        <f>$I168+($N168-$I168)*L$99</f>
        <v>67.5</v>
      </c>
      <c r="M168" s="164">
        <f>$I168+($N168-$I168)*M$99</f>
        <v>69</v>
      </c>
      <c r="N168" s="171">
        <v>70</v>
      </c>
    </row>
    <row r="169" spans="1:26" ht="14.4" customHeight="1" x14ac:dyDescent="0.3">
      <c r="B169" s="45" t="s">
        <v>223</v>
      </c>
      <c r="I169" s="175">
        <f t="shared" ref="I169:N169" si="105">I109</f>
        <v>0.5</v>
      </c>
      <c r="J169" s="175">
        <f t="shared" si="105"/>
        <v>0.58750000000000002</v>
      </c>
      <c r="K169" s="175">
        <f t="shared" si="105"/>
        <v>0.67500000000000004</v>
      </c>
      <c r="L169" s="175">
        <f t="shared" si="105"/>
        <v>0.76249999999999996</v>
      </c>
      <c r="M169" s="175">
        <f t="shared" si="105"/>
        <v>0.81499999999999995</v>
      </c>
      <c r="N169" s="175">
        <f t="shared" si="105"/>
        <v>0.85</v>
      </c>
    </row>
    <row r="170" spans="1:26" ht="14.4" customHeight="1" x14ac:dyDescent="0.3">
      <c r="B170" s="45" t="s">
        <v>224</v>
      </c>
      <c r="I170" s="160">
        <f t="shared" ref="I170:N170" si="106">I168*I169</f>
        <v>30</v>
      </c>
      <c r="J170" s="160">
        <f t="shared" si="106"/>
        <v>36.71875</v>
      </c>
      <c r="K170" s="160">
        <f t="shared" si="106"/>
        <v>43.875</v>
      </c>
      <c r="L170" s="160">
        <f t="shared" si="106"/>
        <v>51.46875</v>
      </c>
      <c r="M170" s="160">
        <f t="shared" si="106"/>
        <v>56.234999999999999</v>
      </c>
      <c r="N170" s="160">
        <f t="shared" si="106"/>
        <v>59.5</v>
      </c>
    </row>
    <row r="171" spans="1:26" ht="14.4" customHeight="1" x14ac:dyDescent="0.3">
      <c r="B171" s="194" t="s">
        <v>213</v>
      </c>
      <c r="C171" s="195"/>
      <c r="D171" s="195"/>
      <c r="E171" s="195"/>
      <c r="F171" s="195"/>
      <c r="G171" s="195"/>
      <c r="H171" s="195"/>
      <c r="I171" s="196">
        <f t="shared" ref="I171:N171" si="107">SUM(I156,I160,I164,I168)</f>
        <v>150</v>
      </c>
      <c r="J171" s="196">
        <f t="shared" si="107"/>
        <v>180</v>
      </c>
      <c r="K171" s="196">
        <f t="shared" si="107"/>
        <v>210</v>
      </c>
      <c r="L171" s="196">
        <f t="shared" si="107"/>
        <v>240</v>
      </c>
      <c r="M171" s="196">
        <f t="shared" si="107"/>
        <v>258</v>
      </c>
      <c r="N171" s="197">
        <f t="shared" si="107"/>
        <v>270</v>
      </c>
    </row>
    <row r="172" spans="1:26" ht="14.4" customHeight="1" x14ac:dyDescent="0.3">
      <c r="B172" s="198" t="s">
        <v>225</v>
      </c>
      <c r="C172" s="199"/>
      <c r="D172" s="199"/>
      <c r="E172" s="199"/>
      <c r="F172" s="199"/>
      <c r="G172" s="199"/>
      <c r="H172" s="199"/>
      <c r="I172" s="200">
        <f t="shared" ref="I172:N172" si="108">SUM(I158,I162,I166,I170)</f>
        <v>75</v>
      </c>
      <c r="J172" s="200">
        <f t="shared" si="108"/>
        <v>105.75</v>
      </c>
      <c r="K172" s="200">
        <f t="shared" si="108"/>
        <v>141.75</v>
      </c>
      <c r="L172" s="200">
        <f t="shared" si="108"/>
        <v>183</v>
      </c>
      <c r="M172" s="200">
        <f t="shared" si="108"/>
        <v>210.26999999999998</v>
      </c>
      <c r="N172" s="201">
        <f t="shared" si="108"/>
        <v>229.5</v>
      </c>
    </row>
    <row r="173" spans="1:26" ht="14.4" customHeight="1" x14ac:dyDescent="0.3">
      <c r="B173" s="198" t="s">
        <v>226</v>
      </c>
      <c r="C173" s="199"/>
      <c r="D173" s="199"/>
      <c r="E173" s="199"/>
      <c r="F173" s="199"/>
      <c r="G173" s="199"/>
      <c r="H173" s="199"/>
      <c r="I173" s="200">
        <f t="shared" ref="I173:N173" si="109">MAX(I118/(12*$I$116),I172*0.65)</f>
        <v>70.075757575757578</v>
      </c>
      <c r="J173" s="200">
        <f t="shared" si="109"/>
        <v>76.231060606060609</v>
      </c>
      <c r="K173" s="200">
        <f t="shared" si="109"/>
        <v>92.137500000000003</v>
      </c>
      <c r="L173" s="200">
        <f t="shared" si="109"/>
        <v>118.95</v>
      </c>
      <c r="M173" s="200">
        <f t="shared" si="109"/>
        <v>136.6755</v>
      </c>
      <c r="N173" s="201">
        <f t="shared" si="109"/>
        <v>149.17500000000001</v>
      </c>
    </row>
    <row r="174" spans="1:26" ht="14.4" customHeight="1" x14ac:dyDescent="0.3">
      <c r="A174" s="14" t="s">
        <v>40</v>
      </c>
      <c r="B174" s="198" t="s">
        <v>227</v>
      </c>
      <c r="C174" s="199"/>
      <c r="D174" s="199"/>
      <c r="E174" s="199"/>
      <c r="F174" s="199"/>
      <c r="G174" s="199"/>
      <c r="H174" s="199"/>
      <c r="I174" s="200">
        <f t="shared" ref="I174:N174" si="110">MIN((I156+I160+I164)*(0.2+0.2*I$99),MAX(0,I172-I173-I143))</f>
        <v>3.7393465909090891</v>
      </c>
      <c r="J174" s="200">
        <f t="shared" si="110"/>
        <v>26.559163211506959</v>
      </c>
      <c r="K174" s="200">
        <f t="shared" si="110"/>
        <v>43.500000000000007</v>
      </c>
      <c r="L174" s="200">
        <f t="shared" si="110"/>
        <v>56.711929299645391</v>
      </c>
      <c r="M174" s="200">
        <f t="shared" si="110"/>
        <v>64.886241666666649</v>
      </c>
      <c r="N174" s="201">
        <f t="shared" si="110"/>
        <v>70.709615384615375</v>
      </c>
    </row>
    <row r="175" spans="1:26" ht="14.4" customHeight="1" x14ac:dyDescent="0.3">
      <c r="B175" s="202" t="s">
        <v>228</v>
      </c>
      <c r="C175" s="203"/>
      <c r="D175" s="203"/>
      <c r="E175" s="203"/>
      <c r="F175" s="203"/>
      <c r="G175" s="203"/>
      <c r="H175" s="203"/>
      <c r="I175" s="204">
        <f t="shared" ref="I175:N175" si="111">I172-I173-I174</f>
        <v>1.184895833333333</v>
      </c>
      <c r="J175" s="204">
        <f t="shared" si="111"/>
        <v>2.9597761824324316</v>
      </c>
      <c r="K175" s="204">
        <f t="shared" si="111"/>
        <v>6.1124999999999901</v>
      </c>
      <c r="L175" s="204">
        <f t="shared" si="111"/>
        <v>7.3380707003546064</v>
      </c>
      <c r="M175" s="204">
        <f t="shared" si="111"/>
        <v>8.7082583333333332</v>
      </c>
      <c r="N175" s="205">
        <f t="shared" si="111"/>
        <v>9.6153846153846132</v>
      </c>
    </row>
    <row r="176" spans="1:26" ht="14.4" customHeight="1" x14ac:dyDescent="0.3">
      <c r="B176" s="25" t="s">
        <v>214</v>
      </c>
      <c r="I176" s="166">
        <f t="shared" ref="I176:N176" si="112">I29-I148-I180-I123*I124</f>
        <v>0</v>
      </c>
      <c r="J176" s="166">
        <f t="shared" si="112"/>
        <v>0</v>
      </c>
      <c r="K176" s="166">
        <f t="shared" si="112"/>
        <v>0</v>
      </c>
      <c r="L176" s="166">
        <f t="shared" si="112"/>
        <v>-3.637978807091713E-12</v>
      </c>
      <c r="M176" s="166">
        <f t="shared" si="112"/>
        <v>3.637978807091713E-12</v>
      </c>
      <c r="N176" s="166">
        <f t="shared" si="112"/>
        <v>-3.637978807091713E-12</v>
      </c>
    </row>
    <row r="177" spans="1:34" ht="14.4" customHeight="1" x14ac:dyDescent="0.3">
      <c r="B177" s="25" t="s">
        <v>215</v>
      </c>
      <c r="I177" s="166">
        <f t="shared" ref="I177:N177" si="113">I44-(I38+I53)</f>
        <v>0</v>
      </c>
      <c r="J177" s="166">
        <f t="shared" si="113"/>
        <v>0</v>
      </c>
      <c r="K177" s="166">
        <f t="shared" si="113"/>
        <v>0</v>
      </c>
      <c r="L177" s="166">
        <f t="shared" si="113"/>
        <v>0</v>
      </c>
      <c r="M177" s="166">
        <f t="shared" si="113"/>
        <v>0</v>
      </c>
      <c r="N177" s="166">
        <f t="shared" si="113"/>
        <v>0</v>
      </c>
    </row>
    <row r="178" spans="1:34" ht="14.4" customHeight="1" x14ac:dyDescent="0.3">
      <c r="B178" s="25" t="s">
        <v>216</v>
      </c>
      <c r="I178" s="166">
        <f>I20-Main!K28</f>
        <v>0</v>
      </c>
      <c r="J178" s="166">
        <f>J20-Main!L28</f>
        <v>0</v>
      </c>
      <c r="K178" s="166">
        <f>K20-Main!M28</f>
        <v>0</v>
      </c>
      <c r="L178" s="166">
        <f>L20-Main!N28</f>
        <v>0</v>
      </c>
      <c r="M178" s="166">
        <f>M20-Main!O28</f>
        <v>0</v>
      </c>
      <c r="N178" s="166">
        <f>N20-Main!P28</f>
        <v>0</v>
      </c>
    </row>
    <row r="179" spans="1:34" ht="14.4" customHeight="1" x14ac:dyDescent="0.3">
      <c r="B179" s="25" t="s">
        <v>208</v>
      </c>
      <c r="I179" s="166">
        <f t="shared" ref="I179:N179" si="114">I144-I143</f>
        <v>0</v>
      </c>
      <c r="J179" s="166">
        <f t="shared" si="114"/>
        <v>0</v>
      </c>
      <c r="K179" s="166">
        <f t="shared" si="114"/>
        <v>1.0343749999999909</v>
      </c>
      <c r="L179" s="166">
        <f t="shared" si="114"/>
        <v>0</v>
      </c>
      <c r="M179" s="166">
        <f t="shared" si="114"/>
        <v>0</v>
      </c>
      <c r="N179" s="166">
        <f t="shared" si="114"/>
        <v>0</v>
      </c>
    </row>
    <row r="180" spans="1:34" ht="14.4" customHeight="1" x14ac:dyDescent="0.3">
      <c r="B180" s="25" t="s">
        <v>212</v>
      </c>
      <c r="I180" s="155">
        <f>H29*(1+I113)</f>
        <v>17764.95</v>
      </c>
      <c r="J180" s="155">
        <f>I180*(1+J113)</f>
        <v>18564.372749999999</v>
      </c>
      <c r="K180" s="155">
        <f>J180*(1+K113)</f>
        <v>19306.947659999998</v>
      </c>
      <c r="L180" s="155">
        <f>K180*(1+L113)</f>
        <v>19982.690828099996</v>
      </c>
      <c r="M180" s="155">
        <f>L180*(1+M113)</f>
        <v>20622.136934599195</v>
      </c>
      <c r="N180" s="155">
        <f>M180*(1+N113)</f>
        <v>21240.801042637173</v>
      </c>
    </row>
    <row r="181" spans="1:34" ht="14.4" customHeight="1" x14ac:dyDescent="0.3">
      <c r="B181" s="25"/>
      <c r="I181" s="156"/>
      <c r="J181" s="156"/>
      <c r="K181" s="156"/>
      <c r="L181" s="156"/>
      <c r="M181" s="156"/>
      <c r="N181" s="156"/>
    </row>
    <row r="182" spans="1:34" ht="14.4" customHeight="1" x14ac:dyDescent="0.3">
      <c r="B182" s="33" t="s">
        <v>258</v>
      </c>
      <c r="C182" s="34"/>
      <c r="D182" s="34" t="s">
        <v>4</v>
      </c>
      <c r="E182" s="34" t="s">
        <v>5</v>
      </c>
      <c r="F182" s="34" t="s">
        <v>6</v>
      </c>
      <c r="G182" s="34" t="s">
        <v>7</v>
      </c>
      <c r="H182" s="34" t="s">
        <v>8</v>
      </c>
      <c r="I182" s="34" t="s">
        <v>75</v>
      </c>
      <c r="J182"/>
      <c r="K182"/>
      <c r="L182"/>
      <c r="M182"/>
      <c r="N182"/>
      <c r="O182"/>
      <c r="P182"/>
      <c r="Y182" s="19"/>
    </row>
    <row r="183" spans="1:34" s="19" customFormat="1" ht="1.95" customHeight="1" x14ac:dyDescent="0.3">
      <c r="A183" s="72"/>
      <c r="B183" s="20"/>
      <c r="C183" s="20"/>
      <c r="D183" s="21"/>
      <c r="E183" s="21"/>
      <c r="F183" s="21"/>
      <c r="G183" s="21"/>
      <c r="J183"/>
      <c r="K183"/>
      <c r="L183"/>
      <c r="M183"/>
      <c r="N183"/>
      <c r="O183"/>
      <c r="P183"/>
    </row>
    <row r="184" spans="1:34" ht="14.4" customHeight="1" x14ac:dyDescent="0.3">
      <c r="B184" s="193" t="s">
        <v>260</v>
      </c>
      <c r="D184" s="156"/>
      <c r="E184" s="156"/>
      <c r="F184" s="156"/>
      <c r="G184" s="156"/>
      <c r="H184" s="156"/>
      <c r="I184" s="156"/>
      <c r="J184"/>
      <c r="K184"/>
      <c r="L184"/>
      <c r="M184"/>
      <c r="N184"/>
      <c r="O184"/>
      <c r="P184"/>
      <c r="AA184"/>
      <c r="AB184" t="str">
        <f t="shared" ref="AB184:AG184" si="115">D182</f>
        <v>2026E</v>
      </c>
      <c r="AC184" t="str">
        <f t="shared" si="115"/>
        <v>2027E</v>
      </c>
      <c r="AD184" t="str">
        <f t="shared" si="115"/>
        <v>2028E</v>
      </c>
      <c r="AE184" t="str">
        <f t="shared" si="115"/>
        <v>2029E</v>
      </c>
      <c r="AF184" t="str">
        <f t="shared" si="115"/>
        <v>2030E</v>
      </c>
      <c r="AG184" t="str">
        <f t="shared" si="115"/>
        <v>2031E</v>
      </c>
    </row>
    <row r="185" spans="1:34" ht="14.4" customHeight="1" x14ac:dyDescent="0.3">
      <c r="B185" s="1" t="s">
        <v>256</v>
      </c>
      <c r="D185" s="103">
        <v>6499.9999999999991</v>
      </c>
      <c r="E185" s="103">
        <v>56146.484375000007</v>
      </c>
      <c r="F185" s="103">
        <v>150609.375</v>
      </c>
      <c r="G185" s="103">
        <v>296392.578125</v>
      </c>
      <c r="H185" s="103">
        <v>411201.87500000006</v>
      </c>
      <c r="I185" s="103">
        <v>500000</v>
      </c>
      <c r="J185"/>
      <c r="K185"/>
      <c r="L185"/>
      <c r="M185"/>
      <c r="N185"/>
      <c r="O185"/>
      <c r="P185"/>
      <c r="AA185" t="s">
        <v>262</v>
      </c>
      <c r="AB185" s="103">
        <f t="shared" ref="AB185:AG185" si="116">(D190-D189)/1000</f>
        <v>25.021056338028171</v>
      </c>
      <c r="AC185" s="103">
        <f t="shared" si="116"/>
        <v>27.300548161764702</v>
      </c>
      <c r="AD185" s="103">
        <f t="shared" si="116"/>
        <v>29.252950999999999</v>
      </c>
      <c r="AE185" s="103">
        <f t="shared" si="116"/>
        <v>31.222954418906244</v>
      </c>
      <c r="AF185" s="103">
        <f t="shared" si="116"/>
        <v>33.261511184837424</v>
      </c>
      <c r="AG185" s="103">
        <f t="shared" si="116"/>
        <v>35.401335071061943</v>
      </c>
      <c r="AH185" s="19"/>
    </row>
    <row r="186" spans="1:34" ht="14.4" customHeight="1" x14ac:dyDescent="0.3">
      <c r="B186" s="1" t="s">
        <v>257</v>
      </c>
      <c r="D186" s="103">
        <v>31521.056338028171</v>
      </c>
      <c r="E186" s="103">
        <v>83447.032536764716</v>
      </c>
      <c r="F186" s="103">
        <v>179862.326</v>
      </c>
      <c r="G186" s="103">
        <v>327615.53254390624</v>
      </c>
      <c r="H186" s="103">
        <v>444463.38618483749</v>
      </c>
      <c r="I186" s="103">
        <v>535401.33507106197</v>
      </c>
      <c r="J186"/>
      <c r="K186"/>
      <c r="L186"/>
      <c r="M186"/>
      <c r="N186"/>
      <c r="O186"/>
      <c r="P186"/>
      <c r="AA186" t="s">
        <v>256</v>
      </c>
      <c r="AB186" s="103">
        <f t="shared" ref="AB186:AG187" si="117">D189/1000</f>
        <v>6.4999999999999991</v>
      </c>
      <c r="AC186" s="103">
        <f t="shared" si="117"/>
        <v>21.902343749999993</v>
      </c>
      <c r="AD186" s="103">
        <f t="shared" si="117"/>
        <v>49.21875</v>
      </c>
      <c r="AE186" s="103">
        <f t="shared" si="117"/>
        <v>91.050781249999957</v>
      </c>
      <c r="AF186" s="103">
        <f t="shared" si="117"/>
        <v>124.19975000000001</v>
      </c>
      <c r="AG186" s="103">
        <f t="shared" si="117"/>
        <v>149.99999999999997</v>
      </c>
      <c r="AH186" s="1">
        <v>0.01</v>
      </c>
    </row>
    <row r="187" spans="1:34" ht="14.4" customHeight="1" x14ac:dyDescent="0.3">
      <c r="AA187" t="s">
        <v>21</v>
      </c>
      <c r="AB187" s="103">
        <f t="shared" si="117"/>
        <v>31.521056338028171</v>
      </c>
      <c r="AC187" s="103">
        <f t="shared" si="117"/>
        <v>49.202891911764695</v>
      </c>
      <c r="AD187" s="103">
        <f t="shared" si="117"/>
        <v>78.471700999999996</v>
      </c>
      <c r="AE187" s="103">
        <f t="shared" si="117"/>
        <v>122.2737356689062</v>
      </c>
      <c r="AF187" s="103">
        <f t="shared" si="117"/>
        <v>157.46126118483744</v>
      </c>
      <c r="AG187" s="103">
        <f t="shared" si="117"/>
        <v>185.40133507106191</v>
      </c>
    </row>
    <row r="188" spans="1:34" ht="14.4" customHeight="1" x14ac:dyDescent="0.3">
      <c r="B188" s="193" t="s">
        <v>259</v>
      </c>
      <c r="D188" s="156"/>
      <c r="E188" s="156"/>
      <c r="F188" s="156"/>
      <c r="G188" s="156"/>
      <c r="H188" s="156"/>
      <c r="I188" s="156"/>
    </row>
    <row r="189" spans="1:34" ht="14.4" customHeight="1" x14ac:dyDescent="0.3">
      <c r="B189" s="1" t="s">
        <v>256</v>
      </c>
      <c r="D189" s="103">
        <v>6499.9999999999991</v>
      </c>
      <c r="E189" s="103">
        <v>21902.343749999993</v>
      </c>
      <c r="F189" s="103">
        <v>49218.75</v>
      </c>
      <c r="G189" s="103">
        <v>91050.781249999956</v>
      </c>
      <c r="H189" s="103">
        <v>124199.75000000001</v>
      </c>
      <c r="I189" s="103">
        <v>149999.99999999997</v>
      </c>
    </row>
    <row r="190" spans="1:34" ht="14.4" customHeight="1" x14ac:dyDescent="0.3">
      <c r="B190" s="1" t="s">
        <v>257</v>
      </c>
      <c r="D190" s="103">
        <v>31521.056338028171</v>
      </c>
      <c r="E190" s="103">
        <v>49202.891911764695</v>
      </c>
      <c r="F190" s="103">
        <v>78471.701000000001</v>
      </c>
      <c r="G190" s="103">
        <v>122273.7356689062</v>
      </c>
      <c r="H190" s="103">
        <v>157461.26118483744</v>
      </c>
      <c r="I190" s="103">
        <v>185401.33507106191</v>
      </c>
    </row>
    <row r="191" spans="1:34" ht="14.4" customHeight="1" x14ac:dyDescent="0.3">
      <c r="B191" s="25"/>
      <c r="D191" s="156"/>
      <c r="E191" s="156"/>
      <c r="F191" s="156"/>
      <c r="G191" s="156"/>
      <c r="H191" s="156"/>
      <c r="I191" s="156"/>
    </row>
    <row r="192" spans="1:34" ht="14.4" customHeight="1" x14ac:dyDescent="0.3">
      <c r="B192" s="193" t="s">
        <v>261</v>
      </c>
      <c r="D192" s="156"/>
      <c r="E192" s="156"/>
      <c r="F192" s="156"/>
      <c r="G192" s="156"/>
      <c r="H192" s="156"/>
      <c r="I192" s="156"/>
    </row>
    <row r="193" spans="1:16" ht="14.4" customHeight="1" x14ac:dyDescent="0.3">
      <c r="B193" s="1" t="s">
        <v>256</v>
      </c>
      <c r="D193" s="103">
        <v>6499.9999999999991</v>
      </c>
      <c r="E193" s="103">
        <v>12765.937500000002</v>
      </c>
      <c r="F193" s="103">
        <v>20553.750000000004</v>
      </c>
      <c r="G193" s="103">
        <v>30002.1875</v>
      </c>
      <c r="H193" s="103">
        <v>36526.069999999942</v>
      </c>
      <c r="I193" s="103">
        <v>41249.999999999956</v>
      </c>
    </row>
    <row r="194" spans="1:16" ht="14.4" customHeight="1" x14ac:dyDescent="0.3">
      <c r="B194" s="1" t="s">
        <v>257</v>
      </c>
      <c r="D194" s="103">
        <v>31521.056338028171</v>
      </c>
      <c r="E194" s="103">
        <v>40066.485661764702</v>
      </c>
      <c r="F194" s="103">
        <v>49806.701000000001</v>
      </c>
      <c r="G194" s="103">
        <v>61225.141918906244</v>
      </c>
      <c r="H194" s="103">
        <v>69787.581184837356</v>
      </c>
      <c r="I194" s="103">
        <v>76651.335071061912</v>
      </c>
    </row>
    <row r="195" spans="1:16" ht="14.4" customHeight="1" x14ac:dyDescent="0.3">
      <c r="B195" s="25"/>
      <c r="I195" s="156"/>
      <c r="J195" s="156"/>
      <c r="K195" s="156"/>
      <c r="L195" s="156"/>
      <c r="M195" s="156"/>
      <c r="N195" s="156"/>
    </row>
    <row r="196" spans="1:16" ht="14.4" customHeight="1" x14ac:dyDescent="0.3">
      <c r="B196" s="25"/>
      <c r="I196" s="156"/>
      <c r="J196" s="156"/>
      <c r="K196" s="156"/>
      <c r="L196" s="156"/>
      <c r="M196" s="156"/>
      <c r="N196" s="156"/>
    </row>
    <row r="197" spans="1:16" ht="14.4" customHeight="1" x14ac:dyDescent="0.3">
      <c r="B197" s="25"/>
      <c r="I197" s="156"/>
      <c r="J197" s="156"/>
      <c r="K197" s="156"/>
      <c r="L197" s="156"/>
      <c r="M197" s="156"/>
      <c r="N197" s="156"/>
    </row>
    <row r="198" spans="1:16" ht="14.4" customHeight="1" x14ac:dyDescent="0.3">
      <c r="B198" s="25"/>
      <c r="I198" s="156"/>
      <c r="J198" s="156"/>
      <c r="K198" s="156"/>
      <c r="L198" s="156"/>
      <c r="M198" s="156"/>
      <c r="N198" s="156"/>
    </row>
    <row r="199" spans="1:16" ht="14.4" customHeight="1" x14ac:dyDescent="0.3">
      <c r="B199" s="25"/>
      <c r="I199" s="156"/>
      <c r="J199" s="156"/>
      <c r="K199" s="156"/>
      <c r="L199" s="156"/>
      <c r="M199" s="156"/>
      <c r="N199" s="156"/>
    </row>
    <row r="200" spans="1:16" ht="14.4" customHeight="1" x14ac:dyDescent="0.3">
      <c r="B200" s="25" t="s">
        <v>235</v>
      </c>
      <c r="I200" s="156"/>
      <c r="J200" s="156"/>
      <c r="K200" s="156"/>
      <c r="L200" s="156"/>
      <c r="M200" s="156"/>
      <c r="N200" s="156"/>
    </row>
    <row r="201" spans="1:16" ht="14.4" customHeight="1" x14ac:dyDescent="0.3">
      <c r="B201" s="25"/>
      <c r="I201" s="156"/>
      <c r="J201" s="156"/>
      <c r="K201" s="156"/>
      <c r="L201" s="156"/>
      <c r="M201" s="156"/>
      <c r="N201" s="156"/>
    </row>
    <row r="202" spans="1:16" ht="14.4" customHeight="1" x14ac:dyDescent="0.3">
      <c r="A202" s="14" t="s">
        <v>40</v>
      </c>
      <c r="B202" s="29" t="s">
        <v>65</v>
      </c>
      <c r="C202" s="29"/>
      <c r="D202" s="29"/>
      <c r="E202" s="29">
        <v>2023</v>
      </c>
      <c r="F202" s="29">
        <v>2024</v>
      </c>
      <c r="G202" s="29">
        <v>2025</v>
      </c>
      <c r="H202" s="231" t="s">
        <v>4</v>
      </c>
      <c r="I202" s="231" t="s">
        <v>5</v>
      </c>
      <c r="J202" s="231" t="s">
        <v>6</v>
      </c>
      <c r="K202" s="231" t="s">
        <v>7</v>
      </c>
      <c r="L202" s="231" t="s">
        <v>8</v>
      </c>
      <c r="M202" s="231" t="s">
        <v>75</v>
      </c>
      <c r="N202" s="231" t="s">
        <v>263</v>
      </c>
    </row>
    <row r="203" spans="1:16" s="19" customFormat="1" ht="1.95" customHeight="1" x14ac:dyDescent="0.3">
      <c r="A203" s="72"/>
      <c r="B203" s="232"/>
      <c r="C203" s="232"/>
      <c r="D203" s="221"/>
      <c r="E203" s="221"/>
      <c r="F203" s="221"/>
      <c r="G203" s="222"/>
      <c r="H203" s="222"/>
      <c r="I203" s="223"/>
      <c r="J203" s="223"/>
      <c r="K203" s="223"/>
      <c r="L203" s="223"/>
      <c r="M203" s="223"/>
      <c r="N203" s="223"/>
      <c r="P203"/>
    </row>
    <row r="204" spans="1:16" ht="14.4" customHeight="1" x14ac:dyDescent="0.3">
      <c r="B204" s="233" t="str">
        <f>B20</f>
        <v>Revenue</v>
      </c>
      <c r="C204" s="233"/>
      <c r="D204" s="233"/>
      <c r="E204" s="219">
        <f t="shared" ref="E204:M204" si="118">F20</f>
        <v>54228</v>
      </c>
      <c r="F204" s="219">
        <f t="shared" si="118"/>
        <v>53101</v>
      </c>
      <c r="G204" s="219">
        <f t="shared" si="118"/>
        <v>52853</v>
      </c>
      <c r="H204" s="219">
        <f t="shared" si="118"/>
        <v>58495.857499999998</v>
      </c>
      <c r="I204" s="219">
        <f t="shared" si="118"/>
        <v>74214.817791269961</v>
      </c>
      <c r="J204" s="219">
        <f t="shared" si="118"/>
        <v>92740.818610000002</v>
      </c>
      <c r="K204" s="219">
        <f t="shared" si="118"/>
        <v>114902.72623001219</v>
      </c>
      <c r="L204" s="219">
        <f t="shared" si="118"/>
        <v>131644.53077994319</v>
      </c>
      <c r="M204" s="219">
        <f t="shared" si="118"/>
        <v>144497.82186227225</v>
      </c>
      <c r="N204" s="220">
        <f>(M204/H204)^(1/6)-1</f>
        <v>0.16266883500034646</v>
      </c>
    </row>
    <row r="205" spans="1:16" s="19" customFormat="1" ht="1.95" customHeight="1" x14ac:dyDescent="0.3">
      <c r="A205" s="72"/>
      <c r="B205" s="232"/>
      <c r="C205" s="232"/>
      <c r="D205" s="221"/>
      <c r="E205" s="221"/>
      <c r="F205" s="221"/>
      <c r="G205" s="222"/>
      <c r="H205" s="222"/>
      <c r="I205" s="223"/>
      <c r="J205" s="223"/>
      <c r="K205" s="223"/>
      <c r="L205" s="223"/>
      <c r="M205" s="223"/>
      <c r="N205" s="224"/>
      <c r="P205"/>
    </row>
    <row r="206" spans="1:16" ht="14.4" customHeight="1" x14ac:dyDescent="0.3">
      <c r="B206" s="234" t="str">
        <f>B23</f>
        <v>Intel Products</v>
      </c>
      <c r="C206" s="235"/>
      <c r="D206" s="234"/>
      <c r="E206" s="225">
        <f t="shared" ref="E206:M206" si="119">F23</f>
        <v>48285</v>
      </c>
      <c r="F206" s="225">
        <f t="shared" si="119"/>
        <v>49471</v>
      </c>
      <c r="G206" s="225">
        <f t="shared" si="119"/>
        <v>49147</v>
      </c>
      <c r="H206" s="226">
        <f t="shared" si="119"/>
        <v>51945.67</v>
      </c>
      <c r="I206" s="226">
        <f t="shared" si="119"/>
        <v>57862.133765624996</v>
      </c>
      <c r="J206" s="226">
        <f t="shared" si="119"/>
        <v>67527.818610000002</v>
      </c>
      <c r="K206" s="226">
        <f t="shared" si="119"/>
        <v>81405.33271272498</v>
      </c>
      <c r="L206" s="226">
        <f t="shared" si="119"/>
        <v>92866.934519943199</v>
      </c>
      <c r="M206" s="226">
        <f t="shared" si="119"/>
        <v>101976.39109304149</v>
      </c>
      <c r="N206" s="227">
        <f t="shared" ref="N206:N217" si="120">(M206/H206)^(1/6)-1</f>
        <v>0.11898701705412296</v>
      </c>
    </row>
    <row r="207" spans="1:16" ht="14.4" customHeight="1" x14ac:dyDescent="0.3">
      <c r="A207" s="72"/>
      <c r="B207" s="236" t="str">
        <f>B26</f>
        <v>Client Computing</v>
      </c>
      <c r="C207" s="223"/>
      <c r="D207" s="223"/>
      <c r="E207" s="228">
        <f t="shared" ref="E207:M207" si="121">F26</f>
        <v>32305</v>
      </c>
      <c r="F207" s="228">
        <f t="shared" si="121"/>
        <v>33346</v>
      </c>
      <c r="G207" s="228">
        <f t="shared" si="121"/>
        <v>32228</v>
      </c>
      <c r="H207" s="228">
        <f t="shared" si="121"/>
        <v>31905.72</v>
      </c>
      <c r="I207" s="228">
        <f t="shared" si="121"/>
        <v>31905.72</v>
      </c>
      <c r="J207" s="228">
        <f t="shared" si="121"/>
        <v>32224.7772</v>
      </c>
      <c r="K207" s="228">
        <f t="shared" si="121"/>
        <v>32869.272744000002</v>
      </c>
      <c r="L207" s="228">
        <f t="shared" si="121"/>
        <v>33723.873835344006</v>
      </c>
      <c r="M207" s="228">
        <f t="shared" si="121"/>
        <v>34735.590050404324</v>
      </c>
      <c r="N207" s="229">
        <f t="shared" si="120"/>
        <v>1.426402523268111E-2</v>
      </c>
    </row>
    <row r="208" spans="1:16" ht="14.4" customHeight="1" x14ac:dyDescent="0.3">
      <c r="B208" s="234" t="str">
        <f>B29</f>
        <v>DCAI</v>
      </c>
      <c r="C208" s="235"/>
      <c r="D208" s="234"/>
      <c r="E208" s="225">
        <f t="shared" ref="E208:M208" si="122">F29</f>
        <v>15980</v>
      </c>
      <c r="F208" s="225">
        <f t="shared" si="122"/>
        <v>16125</v>
      </c>
      <c r="G208" s="225">
        <f t="shared" si="122"/>
        <v>16919</v>
      </c>
      <c r="H208" s="230">
        <f t="shared" si="122"/>
        <v>20039.95</v>
      </c>
      <c r="I208" s="230">
        <f t="shared" si="122"/>
        <v>25956.413765624995</v>
      </c>
      <c r="J208" s="230">
        <f t="shared" si="122"/>
        <v>35303.041409999998</v>
      </c>
      <c r="K208" s="230">
        <f t="shared" si="122"/>
        <v>48536.059968724978</v>
      </c>
      <c r="L208" s="230">
        <f t="shared" si="122"/>
        <v>59143.060684599201</v>
      </c>
      <c r="M208" s="230">
        <f t="shared" si="122"/>
        <v>67240.801042637162</v>
      </c>
      <c r="N208" s="227">
        <f t="shared" si="120"/>
        <v>0.22355277824812481</v>
      </c>
    </row>
    <row r="209" spans="1:26" ht="14.4" customHeight="1" x14ac:dyDescent="0.3">
      <c r="B209" s="237" t="str">
        <f>B32</f>
        <v>AI Data Center</v>
      </c>
      <c r="C209" s="223"/>
      <c r="D209" s="223"/>
      <c r="E209" s="228"/>
      <c r="F209" s="228"/>
      <c r="G209" s="228"/>
      <c r="H209" s="228">
        <f t="shared" ref="H209:M209" si="123">I32</f>
        <v>2275</v>
      </c>
      <c r="I209" s="228">
        <f t="shared" si="123"/>
        <v>7392.0410156249964</v>
      </c>
      <c r="J209" s="228">
        <f t="shared" si="123"/>
        <v>15996.09375</v>
      </c>
      <c r="K209" s="228">
        <f t="shared" si="123"/>
        <v>28553.369140624982</v>
      </c>
      <c r="L209" s="228">
        <f t="shared" si="123"/>
        <v>38520.923750000002</v>
      </c>
      <c r="M209" s="228">
        <f t="shared" si="123"/>
        <v>45999.999999999985</v>
      </c>
      <c r="N209" s="229">
        <f t="shared" si="120"/>
        <v>0.65055273712873474</v>
      </c>
    </row>
    <row r="210" spans="1:26" ht="14.4" customHeight="1" x14ac:dyDescent="0.3">
      <c r="B210" s="237" t="str">
        <f>B35</f>
        <v>Traditional Data Center</v>
      </c>
      <c r="C210" s="223"/>
      <c r="D210" s="223"/>
      <c r="E210" s="228"/>
      <c r="F210" s="228"/>
      <c r="G210" s="228"/>
      <c r="H210" s="228">
        <f t="shared" ref="H210:M210" si="124">I35</f>
        <v>17764.95</v>
      </c>
      <c r="I210" s="228">
        <f t="shared" si="124"/>
        <v>18564.372749999999</v>
      </c>
      <c r="J210" s="228">
        <f t="shared" si="124"/>
        <v>19306.947659999998</v>
      </c>
      <c r="K210" s="228">
        <f t="shared" si="124"/>
        <v>19982.690828099996</v>
      </c>
      <c r="L210" s="228">
        <f t="shared" si="124"/>
        <v>20622.136934599195</v>
      </c>
      <c r="M210" s="228">
        <f t="shared" si="124"/>
        <v>21240.801042637173</v>
      </c>
      <c r="N210" s="229">
        <f t="shared" si="120"/>
        <v>3.0230691092509643E-2</v>
      </c>
    </row>
    <row r="211" spans="1:26" s="19" customFormat="1" ht="1.95" customHeight="1" x14ac:dyDescent="0.3">
      <c r="A211" s="72"/>
      <c r="B211" s="232"/>
      <c r="C211" s="232"/>
      <c r="D211" s="221"/>
      <c r="E211" s="221"/>
      <c r="F211" s="221"/>
      <c r="G211" s="222"/>
      <c r="H211" s="222"/>
      <c r="I211" s="223"/>
      <c r="J211" s="223"/>
      <c r="K211" s="223"/>
      <c r="L211" s="223"/>
      <c r="M211" s="223"/>
      <c r="N211" s="224"/>
      <c r="P211"/>
    </row>
    <row r="212" spans="1:26" ht="14.4" customHeight="1" x14ac:dyDescent="0.3">
      <c r="B212" s="234" t="str">
        <f>B38</f>
        <v>Intel Foundry</v>
      </c>
      <c r="C212" s="235"/>
      <c r="D212" s="234"/>
      <c r="E212" s="225">
        <f t="shared" ref="E212:M212" si="125">F38</f>
        <v>18504</v>
      </c>
      <c r="F212" s="225">
        <f t="shared" si="125"/>
        <v>17317</v>
      </c>
      <c r="G212" s="225">
        <f t="shared" si="125"/>
        <v>17826</v>
      </c>
      <c r="H212" s="230">
        <f t="shared" si="125"/>
        <v>21487.1875</v>
      </c>
      <c r="I212" s="230">
        <f t="shared" si="125"/>
        <v>32914.684025644965</v>
      </c>
      <c r="J212" s="230">
        <f t="shared" si="125"/>
        <v>43400</v>
      </c>
      <c r="K212" s="230">
        <f t="shared" si="125"/>
        <v>53309.39351728723</v>
      </c>
      <c r="L212" s="230">
        <f t="shared" si="125"/>
        <v>59564.596259999991</v>
      </c>
      <c r="M212" s="230">
        <f t="shared" si="125"/>
        <v>63958.430769230763</v>
      </c>
      <c r="N212" s="227">
        <f t="shared" si="120"/>
        <v>0.19936960265610781</v>
      </c>
    </row>
    <row r="213" spans="1:26" ht="14.4" customHeight="1" x14ac:dyDescent="0.3">
      <c r="B213" s="237" t="str">
        <f>B41</f>
        <v>Internal Foundry</v>
      </c>
      <c r="C213" s="223"/>
      <c r="D213" s="223"/>
      <c r="E213" s="228">
        <f t="shared" ref="E213:M213" si="126">F41</f>
        <v>18024</v>
      </c>
      <c r="F213" s="228">
        <f t="shared" si="126"/>
        <v>17288</v>
      </c>
      <c r="G213" s="228">
        <f t="shared" si="126"/>
        <v>17683</v>
      </c>
      <c r="H213" s="228">
        <f t="shared" si="126"/>
        <v>18500</v>
      </c>
      <c r="I213" s="228">
        <f t="shared" si="126"/>
        <v>20125</v>
      </c>
      <c r="J213" s="228">
        <f t="shared" si="126"/>
        <v>21750</v>
      </c>
      <c r="K213" s="228">
        <f t="shared" si="126"/>
        <v>23375</v>
      </c>
      <c r="L213" s="228">
        <f t="shared" si="126"/>
        <v>24350</v>
      </c>
      <c r="M213" s="228">
        <f t="shared" si="126"/>
        <v>25000</v>
      </c>
      <c r="N213" s="229">
        <f t="shared" si="120"/>
        <v>5.1464739558708672E-2</v>
      </c>
    </row>
    <row r="214" spans="1:26" ht="14.4" customHeight="1" x14ac:dyDescent="0.3">
      <c r="B214" s="237" t="str">
        <f>B44</f>
        <v>External Foundry</v>
      </c>
      <c r="C214" s="223"/>
      <c r="D214" s="223"/>
      <c r="E214" s="228">
        <f t="shared" ref="E214:M214" si="127">F44</f>
        <v>480</v>
      </c>
      <c r="F214" s="228">
        <f t="shared" si="127"/>
        <v>29</v>
      </c>
      <c r="G214" s="228">
        <f t="shared" si="127"/>
        <v>143</v>
      </c>
      <c r="H214" s="228">
        <f t="shared" si="127"/>
        <v>2987.1874999999995</v>
      </c>
      <c r="I214" s="228">
        <f t="shared" si="127"/>
        <v>12789.684025644963</v>
      </c>
      <c r="J214" s="228">
        <f t="shared" si="127"/>
        <v>21650.000000000004</v>
      </c>
      <c r="K214" s="228">
        <f t="shared" si="127"/>
        <v>29934.393517287233</v>
      </c>
      <c r="L214" s="228">
        <f t="shared" si="127"/>
        <v>35214.596259999991</v>
      </c>
      <c r="M214" s="228">
        <f t="shared" si="127"/>
        <v>38958.430769230763</v>
      </c>
      <c r="N214" s="229">
        <f t="shared" si="120"/>
        <v>0.53422773230452791</v>
      </c>
    </row>
    <row r="215" spans="1:26" ht="14.4" customHeight="1" x14ac:dyDescent="0.3">
      <c r="B215" s="238" t="str">
        <f>B47</f>
        <v>ASIC Silicon</v>
      </c>
      <c r="C215" s="223"/>
      <c r="D215" s="223"/>
      <c r="E215" s="228"/>
      <c r="F215" s="228"/>
      <c r="G215" s="228"/>
      <c r="H215" s="228"/>
      <c r="I215" s="228"/>
      <c r="J215" s="228">
        <f>K47</f>
        <v>366.74999999999943</v>
      </c>
      <c r="K215" s="228">
        <f>L47</f>
        <v>1569.1197115384609</v>
      </c>
      <c r="L215" s="228">
        <f>M47</f>
        <v>2849.6343749999996</v>
      </c>
      <c r="M215" s="228">
        <f>N47</f>
        <v>4615.3846153846143</v>
      </c>
      <c r="N215" s="229">
        <f>(M215/J215)^(1/3)-1</f>
        <v>1.326015432619406</v>
      </c>
    </row>
    <row r="216" spans="1:26" ht="14.4" customHeight="1" x14ac:dyDescent="0.3">
      <c r="B216" s="223" t="str">
        <f>B50</f>
        <v>Other</v>
      </c>
      <c r="C216" s="223"/>
      <c r="D216" s="223"/>
      <c r="E216" s="228">
        <f t="shared" ref="E216:M216" si="128">F50</f>
        <v>5463</v>
      </c>
      <c r="F216" s="228">
        <f t="shared" si="128"/>
        <v>3601</v>
      </c>
      <c r="G216" s="228">
        <f t="shared" si="128"/>
        <v>3563</v>
      </c>
      <c r="H216" s="228">
        <f t="shared" si="128"/>
        <v>3563</v>
      </c>
      <c r="I216" s="228">
        <f t="shared" si="128"/>
        <v>3563</v>
      </c>
      <c r="J216" s="228">
        <f t="shared" si="128"/>
        <v>3563</v>
      </c>
      <c r="K216" s="228">
        <f t="shared" si="128"/>
        <v>3563</v>
      </c>
      <c r="L216" s="228">
        <f t="shared" si="128"/>
        <v>3563</v>
      </c>
      <c r="M216" s="228">
        <f t="shared" si="128"/>
        <v>3563</v>
      </c>
      <c r="N216" s="229">
        <f t="shared" si="120"/>
        <v>0</v>
      </c>
    </row>
    <row r="217" spans="1:26" ht="14.4" customHeight="1" x14ac:dyDescent="0.3">
      <c r="B217" s="223" t="str">
        <f>B53</f>
        <v>Inter Segment Eliminations</v>
      </c>
      <c r="C217" s="223"/>
      <c r="D217" s="223"/>
      <c r="E217" s="228">
        <f t="shared" ref="E217:M217" si="129">F53</f>
        <v>-18024</v>
      </c>
      <c r="F217" s="228">
        <f t="shared" si="129"/>
        <v>-17288</v>
      </c>
      <c r="G217" s="228">
        <f t="shared" si="129"/>
        <v>-17683</v>
      </c>
      <c r="H217" s="228">
        <f t="shared" si="129"/>
        <v>-18500</v>
      </c>
      <c r="I217" s="228">
        <f t="shared" si="129"/>
        <v>-20125</v>
      </c>
      <c r="J217" s="228">
        <f t="shared" si="129"/>
        <v>-21750</v>
      </c>
      <c r="K217" s="228">
        <f t="shared" si="129"/>
        <v>-23375</v>
      </c>
      <c r="L217" s="228">
        <f t="shared" si="129"/>
        <v>-24350</v>
      </c>
      <c r="M217" s="228">
        <f t="shared" si="129"/>
        <v>-25000</v>
      </c>
      <c r="N217" s="229">
        <f t="shared" si="120"/>
        <v>5.1464739558708672E-2</v>
      </c>
    </row>
    <row r="218" spans="1:26" ht="14.4" customHeight="1" x14ac:dyDescent="0.3">
      <c r="B218" s="25"/>
      <c r="I218" s="156"/>
      <c r="J218" s="156"/>
      <c r="K218" s="156"/>
      <c r="L218" s="156"/>
      <c r="M218" s="156"/>
      <c r="N218" s="156"/>
    </row>
    <row r="219" spans="1:26" ht="14.4" customHeight="1" x14ac:dyDescent="0.3">
      <c r="B219" s="25"/>
      <c r="I219" s="156"/>
      <c r="J219" s="156"/>
      <c r="K219" s="156"/>
      <c r="L219" s="156"/>
      <c r="M219" s="156"/>
      <c r="N219" s="156"/>
    </row>
    <row r="220" spans="1:26" s="19" customFormat="1" ht="14.4" customHeight="1" x14ac:dyDescent="0.3">
      <c r="A220" s="14"/>
      <c r="B220" s="25"/>
      <c r="C220" s="1"/>
      <c r="D220" s="1"/>
      <c r="E220" s="1"/>
      <c r="F220" s="1"/>
      <c r="G220" s="1"/>
      <c r="H220" s="1"/>
      <c r="I220" s="156"/>
      <c r="J220" s="156"/>
      <c r="K220" s="156"/>
      <c r="L220" s="156"/>
      <c r="M220" s="156"/>
      <c r="N220" s="156"/>
      <c r="O220" s="1"/>
      <c r="P220" s="1"/>
      <c r="Q220" s="1"/>
      <c r="R220" s="1"/>
      <c r="S220" s="1"/>
      <c r="T220" s="1"/>
      <c r="U220" s="1"/>
      <c r="V220" s="1"/>
      <c r="W220" s="1"/>
      <c r="X220" s="1"/>
      <c r="Y220" s="1"/>
      <c r="Z220" s="1"/>
    </row>
    <row r="221" spans="1:26" ht="14.4" customHeight="1" x14ac:dyDescent="0.3">
      <c r="B221" s="33" t="s">
        <v>136</v>
      </c>
      <c r="C221" s="33"/>
      <c r="D221" s="33"/>
      <c r="E221" s="33"/>
      <c r="F221" s="33"/>
      <c r="G221" s="33"/>
      <c r="H221" s="33"/>
      <c r="I221" s="34" t="s">
        <v>4</v>
      </c>
      <c r="J221" s="34" t="s">
        <v>5</v>
      </c>
      <c r="K221" s="34" t="s">
        <v>6</v>
      </c>
      <c r="L221" s="34" t="s">
        <v>7</v>
      </c>
      <c r="M221" s="34" t="s">
        <v>8</v>
      </c>
      <c r="N221" s="34" t="s">
        <v>75</v>
      </c>
    </row>
    <row r="222" spans="1:26" ht="14.4" customHeight="1" x14ac:dyDescent="0.3">
      <c r="B222" s="20"/>
      <c r="C222" s="20"/>
      <c r="D222" s="20"/>
      <c r="E222" s="20"/>
      <c r="F222" s="20"/>
      <c r="G222" s="20"/>
      <c r="H222" s="21"/>
      <c r="I222" s="21"/>
      <c r="J222" s="21"/>
      <c r="K222" s="21"/>
      <c r="L222" s="21"/>
      <c r="M222" s="19"/>
      <c r="N222" s="19"/>
    </row>
    <row r="223" spans="1:26" ht="14.4" customHeight="1" x14ac:dyDescent="0.3">
      <c r="B223" s="120" t="s">
        <v>137</v>
      </c>
      <c r="C223" s="121"/>
      <c r="D223" s="121"/>
      <c r="E223" s="121"/>
      <c r="F223" s="122"/>
      <c r="G223" s="122"/>
      <c r="H223" s="122"/>
      <c r="I223" s="123">
        <v>0.06</v>
      </c>
      <c r="J223" s="122">
        <f t="shared" ref="J223:M225" si="130">$I223+(($N223-$I223)/5)*(COLUMN(J223)-COLUMN($I223))</f>
        <v>0.05</v>
      </c>
      <c r="K223" s="122">
        <f t="shared" si="130"/>
        <v>0.04</v>
      </c>
      <c r="L223" s="122">
        <f t="shared" si="130"/>
        <v>3.0000000000000002E-2</v>
      </c>
      <c r="M223" s="122">
        <f t="shared" si="130"/>
        <v>2.0000000000000004E-2</v>
      </c>
      <c r="N223" s="123">
        <v>0.01</v>
      </c>
    </row>
    <row r="224" spans="1:26" ht="14.4" customHeight="1" x14ac:dyDescent="0.3">
      <c r="A224" s="14" t="s">
        <v>40</v>
      </c>
      <c r="B224" s="124" t="s">
        <v>138</v>
      </c>
      <c r="C224" s="19"/>
      <c r="D224" s="19"/>
      <c r="E224" s="19"/>
      <c r="F224" s="125"/>
      <c r="G224" s="125"/>
      <c r="H224" s="125"/>
      <c r="I224" s="126">
        <v>0.05</v>
      </c>
      <c r="J224" s="122">
        <f t="shared" si="130"/>
        <v>4.5999999999999999E-2</v>
      </c>
      <c r="K224" s="122">
        <f t="shared" si="130"/>
        <v>4.2000000000000003E-2</v>
      </c>
      <c r="L224" s="122">
        <f t="shared" si="130"/>
        <v>3.7999999999999999E-2</v>
      </c>
      <c r="M224" s="122">
        <f t="shared" si="130"/>
        <v>3.4000000000000002E-2</v>
      </c>
      <c r="N224" s="126">
        <v>0.03</v>
      </c>
    </row>
    <row r="225" spans="1:14" ht="14.4" customHeight="1" x14ac:dyDescent="0.3">
      <c r="B225" s="124" t="s">
        <v>139</v>
      </c>
      <c r="C225" s="19"/>
      <c r="D225" s="19"/>
      <c r="E225" s="19"/>
      <c r="F225" s="127"/>
      <c r="G225" s="127"/>
      <c r="H225" s="127"/>
      <c r="I225" s="126">
        <v>0</v>
      </c>
      <c r="J225" s="122">
        <f t="shared" si="130"/>
        <v>0</v>
      </c>
      <c r="K225" s="122">
        <f t="shared" si="130"/>
        <v>0</v>
      </c>
      <c r="L225" s="122">
        <f t="shared" si="130"/>
        <v>0</v>
      </c>
      <c r="M225" s="122">
        <f t="shared" si="130"/>
        <v>0</v>
      </c>
      <c r="N225" s="126">
        <v>0</v>
      </c>
    </row>
    <row r="226" spans="1:14" ht="14.4" customHeight="1" x14ac:dyDescent="0.3">
      <c r="B226" s="124"/>
      <c r="C226" s="19"/>
      <c r="D226" s="19"/>
      <c r="E226" s="19"/>
      <c r="F226" s="125"/>
      <c r="G226" s="125"/>
      <c r="H226" s="125"/>
      <c r="I226" s="125"/>
      <c r="J226" s="125"/>
      <c r="K226" s="125"/>
      <c r="L226" s="128"/>
      <c r="M226" s="128"/>
      <c r="N226" s="128"/>
    </row>
    <row r="227" spans="1:14" ht="14.4" customHeight="1" x14ac:dyDescent="0.3">
      <c r="B227" s="124" t="s">
        <v>140</v>
      </c>
      <c r="C227" s="19"/>
      <c r="D227" s="19"/>
      <c r="E227" s="19"/>
      <c r="F227" s="127"/>
      <c r="G227" s="127"/>
      <c r="H227" s="127"/>
      <c r="I227" s="129">
        <v>13</v>
      </c>
      <c r="J227" s="130">
        <f t="shared" ref="J227:M228" si="131">$I227+(($N227-$I227)/5)*(COLUMN(J227)-COLUMN($I227))</f>
        <v>19.399999999999999</v>
      </c>
      <c r="K227" s="130">
        <f t="shared" si="131"/>
        <v>25.8</v>
      </c>
      <c r="L227" s="130">
        <f t="shared" si="131"/>
        <v>32.200000000000003</v>
      </c>
      <c r="M227" s="130">
        <f t="shared" si="131"/>
        <v>38.6</v>
      </c>
      <c r="N227" s="129">
        <v>45</v>
      </c>
    </row>
    <row r="228" spans="1:14" ht="14.4" customHeight="1" x14ac:dyDescent="0.3">
      <c r="A228" s="72"/>
      <c r="B228" s="120" t="s">
        <v>141</v>
      </c>
      <c r="C228" s="121"/>
      <c r="D228" s="121"/>
      <c r="E228" s="121"/>
      <c r="F228" s="122"/>
      <c r="G228" s="122"/>
      <c r="H228" s="122"/>
      <c r="I228" s="131">
        <v>0.25</v>
      </c>
      <c r="J228" s="130">
        <f t="shared" si="131"/>
        <v>0.65</v>
      </c>
      <c r="K228" s="130">
        <f t="shared" si="131"/>
        <v>1.05</v>
      </c>
      <c r="L228" s="130">
        <f t="shared" si="131"/>
        <v>1.4500000000000002</v>
      </c>
      <c r="M228" s="130">
        <f t="shared" si="131"/>
        <v>1.85</v>
      </c>
      <c r="N228" s="131">
        <v>2.25</v>
      </c>
    </row>
    <row r="229" spans="1:14" ht="14.4" customHeight="1" x14ac:dyDescent="0.3">
      <c r="B229" s="124" t="s">
        <v>142</v>
      </c>
      <c r="C229" s="19"/>
      <c r="D229" s="19"/>
      <c r="E229" s="19"/>
      <c r="F229" s="125"/>
      <c r="G229" s="125"/>
      <c r="H229" s="125"/>
      <c r="I229" s="130">
        <f t="shared" ref="I229:N229" si="132">I227*I228</f>
        <v>3.25</v>
      </c>
      <c r="J229" s="129">
        <f t="shared" si="132"/>
        <v>12.61</v>
      </c>
      <c r="K229" s="129">
        <f t="shared" si="132"/>
        <v>27.090000000000003</v>
      </c>
      <c r="L229" s="129">
        <f t="shared" si="132"/>
        <v>46.690000000000012</v>
      </c>
      <c r="M229" s="129">
        <f t="shared" si="132"/>
        <v>71.410000000000011</v>
      </c>
      <c r="N229" s="130">
        <f t="shared" si="132"/>
        <v>101.25</v>
      </c>
    </row>
    <row r="230" spans="1:14" ht="14.4" customHeight="1" x14ac:dyDescent="0.3">
      <c r="B230" s="124" t="s">
        <v>143</v>
      </c>
      <c r="C230" s="19"/>
      <c r="D230" s="19"/>
      <c r="E230" s="19"/>
      <c r="F230" s="127"/>
      <c r="G230" s="127"/>
      <c r="H230" s="127"/>
      <c r="I230" s="126">
        <v>0.08</v>
      </c>
      <c r="J230" s="130">
        <f>$I230+(($N230-$I230)/5)*(COLUMN(J230)-COLUMN($I230))</f>
        <v>0.13</v>
      </c>
      <c r="K230" s="130">
        <f>$I230+(($N230-$I230)/5)*(COLUMN(K230)-COLUMN($I230))</f>
        <v>0.18</v>
      </c>
      <c r="L230" s="130">
        <f>$I230+(($N230-$I230)/5)*(COLUMN(L230)-COLUMN($I230))</f>
        <v>0.23000000000000004</v>
      </c>
      <c r="M230" s="130">
        <f>$I230+(($N230-$I230)/5)*(COLUMN(M230)-COLUMN($I230))</f>
        <v>0.28000000000000003</v>
      </c>
      <c r="N230" s="126">
        <v>0.33</v>
      </c>
    </row>
    <row r="231" spans="1:14" ht="14.4" customHeight="1" x14ac:dyDescent="0.3">
      <c r="B231" s="120" t="s">
        <v>144</v>
      </c>
      <c r="C231" s="121"/>
      <c r="D231" s="121"/>
      <c r="E231" s="121"/>
      <c r="F231" s="122"/>
      <c r="G231" s="122"/>
      <c r="H231" s="122"/>
      <c r="I231" s="132">
        <f t="shared" ref="I231:N231" si="133">I229*I230</f>
        <v>0.26</v>
      </c>
      <c r="J231" s="129">
        <f t="shared" si="133"/>
        <v>1.6393</v>
      </c>
      <c r="K231" s="129">
        <f t="shared" si="133"/>
        <v>4.8762000000000008</v>
      </c>
      <c r="L231" s="129">
        <f t="shared" si="133"/>
        <v>10.738700000000005</v>
      </c>
      <c r="M231" s="129">
        <f t="shared" si="133"/>
        <v>19.994800000000005</v>
      </c>
      <c r="N231" s="132">
        <f t="shared" si="133"/>
        <v>33.412500000000001</v>
      </c>
    </row>
    <row r="232" spans="1:14" ht="14.4" customHeight="1" x14ac:dyDescent="0.3">
      <c r="B232" s="124" t="s">
        <v>145</v>
      </c>
      <c r="C232" s="19"/>
      <c r="D232" s="19"/>
      <c r="E232" s="19"/>
      <c r="F232" s="19"/>
      <c r="G232" s="19"/>
      <c r="H232" s="19"/>
      <c r="I232" s="133">
        <v>2000</v>
      </c>
      <c r="J232" s="130">
        <f>$I232+(($N232-$I232)/5)*(COLUMN(J232)-COLUMN($I232))</f>
        <v>2200</v>
      </c>
      <c r="K232" s="130">
        <f>$I232+(($N232-$I232)/5)*(COLUMN(K232)-COLUMN($I232))</f>
        <v>2400</v>
      </c>
      <c r="L232" s="130">
        <f>$I232+(($N232-$I232)/5)*(COLUMN(L232)-COLUMN($I232))</f>
        <v>2600</v>
      </c>
      <c r="M232" s="130">
        <f>$I232+(($N232-$I232)/5)*(COLUMN(M232)-COLUMN($I232))</f>
        <v>2800</v>
      </c>
      <c r="N232" s="133">
        <v>3000</v>
      </c>
    </row>
    <row r="233" spans="1:14" ht="14.4" customHeight="1" x14ac:dyDescent="0.3">
      <c r="B233" s="124" t="s">
        <v>120</v>
      </c>
      <c r="C233" s="19"/>
      <c r="D233" s="19"/>
      <c r="E233" s="19"/>
      <c r="F233" s="127"/>
      <c r="G233" s="127"/>
      <c r="H233" s="127"/>
      <c r="I233" s="134">
        <f t="shared" ref="I233:N233" si="134">I231*I232</f>
        <v>520</v>
      </c>
      <c r="J233" s="129">
        <f t="shared" si="134"/>
        <v>3606.46</v>
      </c>
      <c r="K233" s="129">
        <f t="shared" si="134"/>
        <v>11702.880000000001</v>
      </c>
      <c r="L233" s="129">
        <f t="shared" si="134"/>
        <v>27920.620000000014</v>
      </c>
      <c r="M233" s="129">
        <f t="shared" si="134"/>
        <v>55985.440000000017</v>
      </c>
      <c r="N233" s="134">
        <f t="shared" si="134"/>
        <v>100237.5</v>
      </c>
    </row>
    <row r="234" spans="1:14" ht="14.4" customHeight="1" x14ac:dyDescent="0.3">
      <c r="B234" s="124" t="s">
        <v>146</v>
      </c>
      <c r="C234" s="135"/>
      <c r="D234" s="19"/>
      <c r="E234" s="19"/>
      <c r="F234" s="122"/>
      <c r="G234" s="136">
        <v>0.25</v>
      </c>
      <c r="H234" s="122"/>
      <c r="I234" s="137">
        <v>0</v>
      </c>
      <c r="J234" s="129">
        <v>1000</v>
      </c>
      <c r="K234" s="129">
        <v>3000</v>
      </c>
      <c r="L234" s="129">
        <v>6000</v>
      </c>
      <c r="M234" s="129">
        <v>10000</v>
      </c>
      <c r="N234" s="137">
        <v>13000</v>
      </c>
    </row>
    <row r="235" spans="1:14" ht="14.4" customHeight="1" x14ac:dyDescent="0.3">
      <c r="B235" s="124"/>
      <c r="C235" s="19"/>
      <c r="D235" s="19"/>
      <c r="E235" s="19"/>
      <c r="F235" s="127"/>
      <c r="G235" s="127"/>
      <c r="H235" s="127"/>
      <c r="I235" s="127"/>
      <c r="J235" s="127"/>
      <c r="K235" s="127"/>
      <c r="L235" s="134"/>
      <c r="M235" s="134"/>
      <c r="N235" s="134"/>
    </row>
    <row r="236" spans="1:14" ht="14.4" customHeight="1" x14ac:dyDescent="0.3">
      <c r="B236" s="120" t="s">
        <v>147</v>
      </c>
      <c r="C236" s="121"/>
      <c r="D236" s="121"/>
      <c r="E236" s="121"/>
      <c r="F236" s="122"/>
      <c r="G236" s="122"/>
      <c r="H236" s="122"/>
      <c r="I236" s="138">
        <f>H29*(1+I224)</f>
        <v>17764.95</v>
      </c>
      <c r="J236" s="138">
        <f>I236*(1+J224)</f>
        <v>18582.137700000003</v>
      </c>
      <c r="K236" s="138">
        <f>J236*(1+K224)</f>
        <v>19362.587483400002</v>
      </c>
      <c r="L236" s="138">
        <f>K236*(1+L224)</f>
        <v>20098.365807769202</v>
      </c>
      <c r="M236" s="138">
        <f>L236*(1+M224)</f>
        <v>20781.710245233357</v>
      </c>
      <c r="N236" s="138">
        <f>M236*(1+N224)</f>
        <v>21405.161552590358</v>
      </c>
    </row>
    <row r="237" spans="1:14" ht="14.4" customHeight="1" x14ac:dyDescent="0.3">
      <c r="B237" s="124" t="s">
        <v>148</v>
      </c>
      <c r="C237" s="19"/>
      <c r="D237" s="19"/>
      <c r="E237" s="19"/>
      <c r="F237" s="139"/>
      <c r="G237" s="139"/>
      <c r="H237" s="139"/>
      <c r="I237" s="134">
        <f t="shared" ref="I237:N237" si="135">I233+I234*$G$234+I236</f>
        <v>18284.95</v>
      </c>
      <c r="J237" s="134">
        <f t="shared" si="135"/>
        <v>22438.597700000002</v>
      </c>
      <c r="K237" s="134">
        <f t="shared" si="135"/>
        <v>31815.467483400003</v>
      </c>
      <c r="L237" s="134">
        <f t="shared" si="135"/>
        <v>49518.985807769219</v>
      </c>
      <c r="M237" s="134">
        <f t="shared" si="135"/>
        <v>79267.150245233381</v>
      </c>
      <c r="N237" s="134">
        <f t="shared" si="135"/>
        <v>124892.66155259036</v>
      </c>
    </row>
    <row r="238" spans="1:14" ht="14.4" customHeight="1" x14ac:dyDescent="0.3">
      <c r="B238" s="140" t="s">
        <v>149</v>
      </c>
      <c r="C238" s="141"/>
      <c r="D238" s="141"/>
      <c r="E238" s="141"/>
      <c r="F238" s="141"/>
      <c r="G238" s="141"/>
      <c r="H238" s="141"/>
      <c r="I238" s="142" t="str">
        <f t="shared" ref="I238:N238" si="136">IF(ROUND(I233+I234*$G$234+I236-I237,0)=0,"OK","ERR")</f>
        <v>OK</v>
      </c>
      <c r="J238" s="142" t="str">
        <f t="shared" si="136"/>
        <v>OK</v>
      </c>
      <c r="K238" s="142" t="str">
        <f t="shared" si="136"/>
        <v>OK</v>
      </c>
      <c r="L238" s="142" t="str">
        <f t="shared" si="136"/>
        <v>OK</v>
      </c>
      <c r="M238" s="142" t="str">
        <f t="shared" si="136"/>
        <v>OK</v>
      </c>
      <c r="N238" s="142" t="str">
        <f t="shared" si="136"/>
        <v>OK</v>
      </c>
    </row>
    <row r="239" spans="1:14" ht="14.4" customHeight="1" x14ac:dyDescent="0.3">
      <c r="B239" s="20"/>
      <c r="C239" s="20"/>
      <c r="D239" s="20"/>
      <c r="E239" s="20"/>
      <c r="F239" s="20"/>
      <c r="G239" s="20"/>
      <c r="H239" s="20"/>
      <c r="I239" s="20"/>
      <c r="J239" s="20"/>
      <c r="K239" s="21"/>
      <c r="L239" s="21"/>
      <c r="M239" s="21"/>
      <c r="N239" s="21"/>
    </row>
    <row r="240" spans="1:14" ht="14.4" customHeight="1" x14ac:dyDescent="0.3">
      <c r="A240" s="112" t="s">
        <v>40</v>
      </c>
      <c r="B240" s="117"/>
      <c r="C240" s="97"/>
      <c r="D240" s="97"/>
      <c r="E240" s="97"/>
      <c r="F240" s="118"/>
      <c r="G240" s="118"/>
      <c r="H240" s="118"/>
      <c r="I240" s="118"/>
      <c r="J240" s="118"/>
      <c r="K240" s="118"/>
      <c r="L240" s="119"/>
      <c r="M240" s="119"/>
      <c r="N240" s="119"/>
    </row>
    <row r="241" spans="1:26" ht="14.4" customHeight="1" x14ac:dyDescent="0.3">
      <c r="B241" s="120" t="s">
        <v>150</v>
      </c>
      <c r="C241" s="135"/>
      <c r="D241" s="121"/>
      <c r="E241" s="121"/>
      <c r="F241" s="122"/>
      <c r="G241" s="122"/>
      <c r="H241" s="122"/>
      <c r="I241" s="137">
        <v>17683</v>
      </c>
      <c r="J241" s="137">
        <v>17683</v>
      </c>
      <c r="K241" s="137">
        <v>17683</v>
      </c>
      <c r="L241" s="137">
        <v>17000</v>
      </c>
      <c r="M241" s="137">
        <v>16000</v>
      </c>
      <c r="N241" s="137">
        <v>15000</v>
      </c>
    </row>
    <row r="242" spans="1:26" s="19" customFormat="1" ht="14.4" customHeight="1" x14ac:dyDescent="0.3">
      <c r="A242" s="14"/>
      <c r="B242" s="124" t="s">
        <v>151</v>
      </c>
      <c r="F242" s="125"/>
      <c r="G242" s="125"/>
      <c r="H242" s="125"/>
      <c r="I242" s="143">
        <v>2</v>
      </c>
      <c r="J242" s="144">
        <f t="shared" ref="J242:M243" si="137">$I242+(($N242-$I242)/5)*(COLUMN(J242)-COLUMN($I242))</f>
        <v>21.6</v>
      </c>
      <c r="K242" s="144">
        <f t="shared" si="137"/>
        <v>41.2</v>
      </c>
      <c r="L242" s="144">
        <f t="shared" si="137"/>
        <v>60.800000000000004</v>
      </c>
      <c r="M242" s="144">
        <f t="shared" si="137"/>
        <v>80.400000000000006</v>
      </c>
      <c r="N242" s="143">
        <v>100</v>
      </c>
      <c r="O242" s="1"/>
      <c r="P242" s="1"/>
      <c r="Q242" s="1"/>
      <c r="R242" s="1"/>
      <c r="S242" s="1"/>
      <c r="T242" s="1"/>
      <c r="U242" s="1"/>
      <c r="V242" s="1"/>
      <c r="W242" s="1"/>
      <c r="X242" s="1"/>
      <c r="Y242" s="1"/>
      <c r="Z242" s="1"/>
    </row>
    <row r="243" spans="1:26" ht="14.4" customHeight="1" x14ac:dyDescent="0.3">
      <c r="B243" s="124" t="s">
        <v>152</v>
      </c>
      <c r="C243" s="19"/>
      <c r="D243" s="19"/>
      <c r="E243" s="19"/>
      <c r="F243" s="125"/>
      <c r="G243" s="125"/>
      <c r="H243" s="125"/>
      <c r="I243" s="126">
        <v>0.5</v>
      </c>
      <c r="J243" s="148">
        <f t="shared" si="137"/>
        <v>0.57999999999999996</v>
      </c>
      <c r="K243" s="148">
        <f t="shared" si="137"/>
        <v>0.66</v>
      </c>
      <c r="L243" s="148">
        <f t="shared" si="137"/>
        <v>0.74</v>
      </c>
      <c r="M243" s="148">
        <f t="shared" si="137"/>
        <v>0.82000000000000006</v>
      </c>
      <c r="N243" s="126">
        <v>0.9</v>
      </c>
    </row>
    <row r="244" spans="1:26" ht="14.4" customHeight="1" x14ac:dyDescent="0.3">
      <c r="B244" s="124" t="s">
        <v>153</v>
      </c>
      <c r="C244" s="19"/>
      <c r="D244" s="19"/>
      <c r="E244" s="19"/>
      <c r="F244" s="125"/>
      <c r="G244" s="125"/>
      <c r="H244" s="125"/>
      <c r="I244" s="130">
        <f t="shared" ref="I244:N244" si="138">I242*I243</f>
        <v>1</v>
      </c>
      <c r="J244" s="143">
        <f t="shared" si="138"/>
        <v>12.528</v>
      </c>
      <c r="K244" s="143">
        <f t="shared" si="138"/>
        <v>27.192000000000004</v>
      </c>
      <c r="L244" s="143">
        <f t="shared" si="138"/>
        <v>44.992000000000004</v>
      </c>
      <c r="M244" s="143">
        <f t="shared" si="138"/>
        <v>65.928000000000011</v>
      </c>
      <c r="N244" s="130">
        <f t="shared" si="138"/>
        <v>90</v>
      </c>
    </row>
    <row r="245" spans="1:26" ht="14.4" customHeight="1" x14ac:dyDescent="0.3">
      <c r="B245" s="124" t="s">
        <v>154</v>
      </c>
      <c r="C245" s="19"/>
      <c r="D245" s="19"/>
      <c r="E245" s="19"/>
      <c r="F245" s="125"/>
      <c r="G245" s="125"/>
      <c r="H245" s="125"/>
      <c r="I245" s="133">
        <v>20</v>
      </c>
      <c r="J245" s="144">
        <f>$I245+(($N245-$I245)/5)*(COLUMN(J245)-COLUMN($I245))</f>
        <v>21.6</v>
      </c>
      <c r="K245" s="144">
        <f>$I245+(($N245-$I245)/5)*(COLUMN(K245)-COLUMN($I245))</f>
        <v>23.2</v>
      </c>
      <c r="L245" s="144">
        <f>$I245+(($N245-$I245)/5)*(COLUMN(L245)-COLUMN($I245))</f>
        <v>24.8</v>
      </c>
      <c r="M245" s="144">
        <f>$I245+(($N245-$I245)/5)*(COLUMN(M245)-COLUMN($I245))</f>
        <v>26.4</v>
      </c>
      <c r="N245" s="133">
        <v>28</v>
      </c>
    </row>
    <row r="246" spans="1:26" ht="14.4" customHeight="1" x14ac:dyDescent="0.3">
      <c r="B246" s="117" t="s">
        <v>155</v>
      </c>
      <c r="C246" s="97"/>
      <c r="D246" s="97"/>
      <c r="E246" s="97"/>
      <c r="F246" s="118"/>
      <c r="G246" s="118"/>
      <c r="H246" s="118"/>
      <c r="I246" s="119">
        <f t="shared" ref="I246:N246" si="139">I244*12*I245</f>
        <v>240</v>
      </c>
      <c r="J246" s="143">
        <f t="shared" si="139"/>
        <v>3247.2576000000004</v>
      </c>
      <c r="K246" s="143">
        <f t="shared" si="139"/>
        <v>7570.2528000000002</v>
      </c>
      <c r="L246" s="143">
        <f t="shared" si="139"/>
        <v>13389.619200000001</v>
      </c>
      <c r="M246" s="143">
        <f t="shared" si="139"/>
        <v>20885.990400000002</v>
      </c>
      <c r="N246" s="119">
        <f t="shared" si="139"/>
        <v>30240</v>
      </c>
    </row>
    <row r="247" spans="1:26" ht="14.4" customHeight="1" x14ac:dyDescent="0.3">
      <c r="B247" s="124" t="s">
        <v>156</v>
      </c>
      <c r="C247" s="135"/>
      <c r="D247" s="19"/>
      <c r="E247" s="19"/>
      <c r="F247" s="19"/>
      <c r="G247" s="145">
        <v>0.4</v>
      </c>
      <c r="H247" s="19"/>
      <c r="I247" s="127">
        <v>0</v>
      </c>
      <c r="J247" s="143">
        <v>0</v>
      </c>
      <c r="K247" s="143">
        <v>2000</v>
      </c>
      <c r="L247" s="143">
        <v>7500</v>
      </c>
      <c r="M247" s="143">
        <v>15000</v>
      </c>
      <c r="N247" s="127">
        <v>18000</v>
      </c>
    </row>
    <row r="248" spans="1:26" ht="14.4" customHeight="1" x14ac:dyDescent="0.3">
      <c r="B248" s="124" t="s">
        <v>134</v>
      </c>
      <c r="C248" s="19"/>
      <c r="D248" s="19"/>
      <c r="E248" s="19"/>
      <c r="F248" s="19"/>
      <c r="G248" s="19"/>
      <c r="H248" s="19"/>
      <c r="I248" s="134">
        <f t="shared" ref="I248:N248" si="140">I246+I247*$G$247+I252</f>
        <v>2240</v>
      </c>
      <c r="J248" s="143">
        <f t="shared" si="140"/>
        <v>7247.2576000000008</v>
      </c>
      <c r="K248" s="143">
        <f t="shared" si="140"/>
        <v>14370.2528</v>
      </c>
      <c r="L248" s="143">
        <f t="shared" si="140"/>
        <v>24389.619200000001</v>
      </c>
      <c r="M248" s="143">
        <f t="shared" si="140"/>
        <v>36885.990400000002</v>
      </c>
      <c r="N248" s="134">
        <f t="shared" si="140"/>
        <v>49440</v>
      </c>
    </row>
    <row r="249" spans="1:26" ht="14.4" customHeight="1" x14ac:dyDescent="0.3">
      <c r="A249" s="72"/>
      <c r="B249" s="124" t="s">
        <v>157</v>
      </c>
      <c r="C249" s="19"/>
      <c r="D249" s="19"/>
      <c r="E249" s="19"/>
      <c r="F249" s="19"/>
      <c r="G249" s="19"/>
      <c r="H249" s="19"/>
      <c r="I249" s="134">
        <f t="shared" ref="I249:N249" si="141">I241+I248</f>
        <v>19923</v>
      </c>
      <c r="J249" s="143">
        <f t="shared" si="141"/>
        <v>24930.257600000001</v>
      </c>
      <c r="K249" s="143">
        <f t="shared" si="141"/>
        <v>32053.252800000002</v>
      </c>
      <c r="L249" s="143">
        <f t="shared" si="141"/>
        <v>41389.619200000001</v>
      </c>
      <c r="M249" s="143">
        <f t="shared" si="141"/>
        <v>52885.990400000002</v>
      </c>
      <c r="N249" s="134">
        <f t="shared" si="141"/>
        <v>64440</v>
      </c>
    </row>
    <row r="250" spans="1:26" ht="14.4" customHeight="1" x14ac:dyDescent="0.3">
      <c r="B250" s="124" t="s">
        <v>129</v>
      </c>
      <c r="C250" s="19"/>
      <c r="D250" s="19"/>
      <c r="E250" s="19"/>
      <c r="F250" s="19"/>
      <c r="G250" s="19"/>
      <c r="H250" s="19"/>
      <c r="I250" s="134">
        <f t="shared" ref="I250:N250" si="142">-I241</f>
        <v>-17683</v>
      </c>
      <c r="J250" s="143">
        <f t="shared" si="142"/>
        <v>-17683</v>
      </c>
      <c r="K250" s="143">
        <f t="shared" si="142"/>
        <v>-17683</v>
      </c>
      <c r="L250" s="143">
        <f t="shared" si="142"/>
        <v>-17000</v>
      </c>
      <c r="M250" s="143">
        <f t="shared" si="142"/>
        <v>-16000</v>
      </c>
      <c r="N250" s="134">
        <f t="shared" si="142"/>
        <v>-15000</v>
      </c>
    </row>
    <row r="251" spans="1:26" ht="14.4" customHeight="1" x14ac:dyDescent="0.3">
      <c r="B251" s="135" t="s">
        <v>158</v>
      </c>
      <c r="C251" s="19"/>
      <c r="D251" s="19"/>
      <c r="E251" s="19"/>
      <c r="F251" s="19"/>
      <c r="G251" s="19"/>
      <c r="H251" s="19"/>
      <c r="I251" s="146" t="str">
        <f t="shared" ref="I251:N251" si="143">IF(ROUND(I249+I250-I248,0)=0,"OK","ERR")</f>
        <v>OK</v>
      </c>
      <c r="J251" s="147" t="str">
        <f t="shared" si="143"/>
        <v>OK</v>
      </c>
      <c r="K251" s="147" t="str">
        <f t="shared" si="143"/>
        <v>OK</v>
      </c>
      <c r="L251" s="147" t="str">
        <f t="shared" si="143"/>
        <v>OK</v>
      </c>
      <c r="M251" s="147" t="str">
        <f t="shared" si="143"/>
        <v>OK</v>
      </c>
      <c r="N251" s="146" t="str">
        <f t="shared" si="143"/>
        <v>OK</v>
      </c>
    </row>
    <row r="252" spans="1:26" ht="14.4" customHeight="1" x14ac:dyDescent="0.3">
      <c r="A252" s="112" t="s">
        <v>40</v>
      </c>
      <c r="B252" s="124" t="s">
        <v>177</v>
      </c>
      <c r="C252" s="135"/>
      <c r="D252" s="19"/>
      <c r="E252" s="19"/>
      <c r="F252" s="19"/>
      <c r="G252" s="19"/>
      <c r="H252" s="19"/>
      <c r="I252" s="127">
        <v>2000</v>
      </c>
      <c r="J252" s="134">
        <f>$I252+(($N252-$I252)/5)*(COLUMN(J252)-COLUMN($I252))</f>
        <v>4000</v>
      </c>
      <c r="K252" s="134">
        <f>$I252+(($N252-$I252)/5)*(COLUMN(K252)-COLUMN($I252))</f>
        <v>6000</v>
      </c>
      <c r="L252" s="134">
        <f>$I252+(($N252-$I252)/5)*(COLUMN(L252)-COLUMN($I252))</f>
        <v>8000</v>
      </c>
      <c r="M252" s="134">
        <f>$I252+(($N252-$I252)/5)*(COLUMN(M252)-COLUMN($I252))</f>
        <v>10000</v>
      </c>
      <c r="N252" s="127">
        <v>12000</v>
      </c>
    </row>
    <row r="253" spans="1:26" ht="14.4" customHeight="1" x14ac:dyDescent="0.3">
      <c r="B253" s="124"/>
      <c r="C253" s="135"/>
      <c r="D253" s="19"/>
      <c r="E253" s="19"/>
      <c r="F253" s="19"/>
      <c r="G253" s="19"/>
      <c r="H253" s="19"/>
      <c r="I253" s="127"/>
      <c r="J253" s="134"/>
      <c r="K253" s="134"/>
      <c r="L253" s="134"/>
      <c r="M253" s="134"/>
      <c r="N253" s="127"/>
    </row>
    <row r="254" spans="1:26" ht="14.4" customHeight="1" x14ac:dyDescent="0.3">
      <c r="B254" s="33" t="s">
        <v>159</v>
      </c>
      <c r="C254" s="116"/>
      <c r="D254" s="116"/>
      <c r="E254" s="116"/>
      <c r="F254" s="116"/>
      <c r="G254" s="116"/>
      <c r="H254" s="116"/>
      <c r="I254" s="34" t="s">
        <v>4</v>
      </c>
      <c r="J254" s="34" t="s">
        <v>5</v>
      </c>
      <c r="K254" s="34" t="s">
        <v>6</v>
      </c>
      <c r="L254" s="34" t="s">
        <v>7</v>
      </c>
      <c r="M254" s="34" t="s">
        <v>8</v>
      </c>
      <c r="N254" s="34" t="s">
        <v>75</v>
      </c>
    </row>
    <row r="255" spans="1:26" ht="14.4" customHeight="1" x14ac:dyDescent="0.3">
      <c r="B255" s="20"/>
      <c r="C255" s="20"/>
      <c r="D255" s="20"/>
      <c r="E255" s="20"/>
      <c r="F255" s="20"/>
      <c r="G255" s="20"/>
      <c r="H255" s="20"/>
      <c r="I255" s="20"/>
      <c r="J255" s="20"/>
      <c r="K255" s="21"/>
      <c r="L255" s="21"/>
      <c r="M255" s="21"/>
      <c r="N255" s="21"/>
    </row>
    <row r="256" spans="1:26" ht="14.4" customHeight="1" x14ac:dyDescent="0.3">
      <c r="B256" s="45" t="s">
        <v>160</v>
      </c>
      <c r="I256" s="106">
        <v>0.3</v>
      </c>
      <c r="J256" s="56">
        <f t="shared" ref="J256:M259" si="144">$I256+(($N256-$I256)/5)*(COLUMN(J256)-COLUMN($I256))</f>
        <v>0.308</v>
      </c>
      <c r="K256" s="56">
        <f t="shared" si="144"/>
        <v>0.316</v>
      </c>
      <c r="L256" s="56">
        <f t="shared" si="144"/>
        <v>0.32400000000000001</v>
      </c>
      <c r="M256" s="56">
        <f t="shared" si="144"/>
        <v>0.33200000000000002</v>
      </c>
      <c r="N256" s="106">
        <v>0.34</v>
      </c>
    </row>
    <row r="257" spans="1:14" ht="14.4" customHeight="1" x14ac:dyDescent="0.3">
      <c r="B257" s="45" t="s">
        <v>161</v>
      </c>
      <c r="I257" s="106">
        <v>0.2</v>
      </c>
      <c r="J257" s="56">
        <f t="shared" si="144"/>
        <v>0.224</v>
      </c>
      <c r="K257" s="56">
        <f t="shared" si="144"/>
        <v>0.248</v>
      </c>
      <c r="L257" s="56">
        <f t="shared" si="144"/>
        <v>0.27200000000000002</v>
      </c>
      <c r="M257" s="56">
        <f t="shared" si="144"/>
        <v>0.29600000000000004</v>
      </c>
      <c r="N257" s="106">
        <v>0.32</v>
      </c>
    </row>
    <row r="258" spans="1:14" ht="14.4" customHeight="1" x14ac:dyDescent="0.3">
      <c r="B258" s="45" t="s">
        <v>162</v>
      </c>
      <c r="I258" s="106">
        <v>-0.4</v>
      </c>
      <c r="J258" s="56">
        <f t="shared" si="144"/>
        <v>-0.27</v>
      </c>
      <c r="K258" s="56">
        <f t="shared" si="144"/>
        <v>-0.14000000000000001</v>
      </c>
      <c r="L258" s="56">
        <f t="shared" si="144"/>
        <v>-1.0000000000000009E-2</v>
      </c>
      <c r="M258" s="56">
        <f t="shared" si="144"/>
        <v>0.12</v>
      </c>
      <c r="N258" s="106">
        <v>0.25</v>
      </c>
    </row>
    <row r="259" spans="1:14" ht="14.4" customHeight="1" x14ac:dyDescent="0.3">
      <c r="B259" s="45" t="s">
        <v>163</v>
      </c>
      <c r="I259" s="106">
        <v>0.05</v>
      </c>
      <c r="J259" s="56">
        <f t="shared" si="144"/>
        <v>5.6000000000000001E-2</v>
      </c>
      <c r="K259" s="56">
        <f t="shared" si="144"/>
        <v>6.2E-2</v>
      </c>
      <c r="L259" s="56">
        <f t="shared" si="144"/>
        <v>6.8000000000000005E-2</v>
      </c>
      <c r="M259" s="56">
        <f t="shared" si="144"/>
        <v>7.400000000000001E-2</v>
      </c>
      <c r="N259" s="106">
        <v>0.08</v>
      </c>
    </row>
    <row r="261" spans="1:14" ht="14.4" customHeight="1" x14ac:dyDescent="0.3">
      <c r="B261" s="45" t="s">
        <v>164</v>
      </c>
      <c r="I261" s="106">
        <v>-0.04</v>
      </c>
      <c r="J261" s="56">
        <f t="shared" ref="J261:M264" si="145">$I261+(($N261-$I261)/5)*(COLUMN(J261)-COLUMN($I261))</f>
        <v>-3.56E-2</v>
      </c>
      <c r="K261" s="56">
        <f t="shared" si="145"/>
        <v>-3.1199999999999999E-2</v>
      </c>
      <c r="L261" s="56">
        <f t="shared" si="145"/>
        <v>-2.6800000000000001E-2</v>
      </c>
      <c r="M261" s="56">
        <f t="shared" si="145"/>
        <v>-2.24E-2</v>
      </c>
      <c r="N261" s="106">
        <v>-1.7999999999999999E-2</v>
      </c>
    </row>
    <row r="262" spans="1:14" ht="14.4" customHeight="1" x14ac:dyDescent="0.3">
      <c r="B262" s="45" t="s">
        <v>165</v>
      </c>
      <c r="I262" s="106">
        <v>-0.02</v>
      </c>
      <c r="J262" s="56">
        <f t="shared" si="145"/>
        <v>-1.6E-2</v>
      </c>
      <c r="K262" s="56">
        <f t="shared" si="145"/>
        <v>-1.2E-2</v>
      </c>
      <c r="L262" s="56">
        <f t="shared" si="145"/>
        <v>-8.0000000000000002E-3</v>
      </c>
      <c r="M262" s="56">
        <f t="shared" si="145"/>
        <v>-4.0000000000000001E-3</v>
      </c>
      <c r="N262" s="106">
        <v>0</v>
      </c>
    </row>
    <row r="263" spans="1:14" ht="14.4" customHeight="1" x14ac:dyDescent="0.3">
      <c r="B263" s="45" t="s">
        <v>166</v>
      </c>
      <c r="I263" s="106">
        <v>-8.0000000000000002E-3</v>
      </c>
      <c r="J263" s="56">
        <f t="shared" si="145"/>
        <v>-6.8000000000000005E-3</v>
      </c>
      <c r="K263" s="56">
        <f t="shared" si="145"/>
        <v>-5.5999999999999999E-3</v>
      </c>
      <c r="L263" s="56">
        <f t="shared" si="145"/>
        <v>-4.3999999999999994E-3</v>
      </c>
      <c r="M263" s="56">
        <f t="shared" si="145"/>
        <v>-3.1999999999999997E-3</v>
      </c>
      <c r="N263" s="106">
        <v>-2E-3</v>
      </c>
    </row>
    <row r="264" spans="1:14" ht="14.4" customHeight="1" x14ac:dyDescent="0.3">
      <c r="B264" s="45" t="s">
        <v>167</v>
      </c>
      <c r="I264" s="106">
        <v>-5.0000000000000001E-3</v>
      </c>
      <c r="J264" s="56">
        <f t="shared" si="145"/>
        <v>-5.0000000000000001E-3</v>
      </c>
      <c r="K264" s="56">
        <f t="shared" si="145"/>
        <v>-5.0000000000000001E-3</v>
      </c>
      <c r="L264" s="56">
        <f t="shared" si="145"/>
        <v>-5.0000000000000001E-3</v>
      </c>
      <c r="M264" s="56">
        <f t="shared" si="145"/>
        <v>-5.0000000000000001E-3</v>
      </c>
      <c r="N264" s="106">
        <v>-5.0000000000000001E-3</v>
      </c>
    </row>
    <row r="265" spans="1:14" ht="14.4" customHeight="1" x14ac:dyDescent="0.3">
      <c r="A265" s="70"/>
    </row>
    <row r="266" spans="1:14" ht="14.4" customHeight="1" x14ac:dyDescent="0.3">
      <c r="A266" s="70"/>
      <c r="B266" s="33" t="s">
        <v>168</v>
      </c>
      <c r="C266" s="116"/>
      <c r="D266" s="116"/>
      <c r="E266" s="116"/>
      <c r="F266" s="116"/>
      <c r="G266" s="116"/>
      <c r="H266" s="116"/>
      <c r="I266" s="34" t="s">
        <v>4</v>
      </c>
      <c r="J266" s="34" t="s">
        <v>5</v>
      </c>
      <c r="K266" s="34" t="s">
        <v>6</v>
      </c>
      <c r="L266" s="34" t="s">
        <v>7</v>
      </c>
      <c r="M266" s="34" t="s">
        <v>8</v>
      </c>
      <c r="N266" s="34" t="s">
        <v>75</v>
      </c>
    </row>
    <row r="267" spans="1:14" ht="14.4" customHeight="1" x14ac:dyDescent="0.3">
      <c r="A267" s="70"/>
      <c r="B267" s="20"/>
      <c r="C267" s="20"/>
      <c r="D267" s="20"/>
      <c r="E267" s="20"/>
      <c r="F267" s="20"/>
      <c r="G267" s="20"/>
      <c r="H267" s="20"/>
      <c r="I267" s="20"/>
      <c r="J267" s="20"/>
      <c r="K267" s="21"/>
      <c r="L267" s="21"/>
      <c r="M267" s="21"/>
      <c r="N267" s="21"/>
    </row>
    <row r="268" spans="1:14" ht="14.4" customHeight="1" x14ac:dyDescent="0.3">
      <c r="A268" s="70"/>
      <c r="B268" s="45" t="s">
        <v>169</v>
      </c>
      <c r="I268" s="50">
        <f t="shared" ref="I268:N268" si="146">I26</f>
        <v>31905.72</v>
      </c>
      <c r="J268" s="50">
        <f t="shared" si="146"/>
        <v>31905.72</v>
      </c>
      <c r="K268" s="50">
        <f t="shared" si="146"/>
        <v>32224.7772</v>
      </c>
      <c r="L268" s="50">
        <f t="shared" si="146"/>
        <v>32869.272744000002</v>
      </c>
      <c r="M268" s="50">
        <f t="shared" si="146"/>
        <v>33723.873835344006</v>
      </c>
      <c r="N268" s="50">
        <f t="shared" si="146"/>
        <v>34735.590050404324</v>
      </c>
    </row>
    <row r="269" spans="1:14" ht="14.4" customHeight="1" x14ac:dyDescent="0.3">
      <c r="A269" s="70"/>
      <c r="B269" s="45" t="s">
        <v>148</v>
      </c>
      <c r="I269" s="50">
        <f t="shared" ref="I269:N269" si="147">I29</f>
        <v>20039.95</v>
      </c>
      <c r="J269" s="50">
        <f t="shared" si="147"/>
        <v>25956.413765624995</v>
      </c>
      <c r="K269" s="50">
        <f t="shared" si="147"/>
        <v>35303.041409999998</v>
      </c>
      <c r="L269" s="50">
        <f t="shared" si="147"/>
        <v>48536.059968724978</v>
      </c>
      <c r="M269" s="50">
        <f t="shared" si="147"/>
        <v>59143.060684599201</v>
      </c>
      <c r="N269" s="50">
        <f t="shared" si="147"/>
        <v>67240.801042637162</v>
      </c>
    </row>
    <row r="270" spans="1:14" ht="14.4" customHeight="1" x14ac:dyDescent="0.3">
      <c r="A270" s="70"/>
      <c r="B270" s="45" t="s">
        <v>170</v>
      </c>
      <c r="I270" s="50">
        <f t="shared" ref="I270:N270" si="148">I38</f>
        <v>21487.1875</v>
      </c>
      <c r="J270" s="50">
        <f t="shared" si="148"/>
        <v>32914.684025644965</v>
      </c>
      <c r="K270" s="50">
        <f t="shared" si="148"/>
        <v>43400</v>
      </c>
      <c r="L270" s="50">
        <f t="shared" si="148"/>
        <v>53309.39351728723</v>
      </c>
      <c r="M270" s="50">
        <f t="shared" si="148"/>
        <v>59564.596259999991</v>
      </c>
      <c r="N270" s="50">
        <f t="shared" si="148"/>
        <v>63958.430769230763</v>
      </c>
    </row>
    <row r="271" spans="1:14" ht="14.4" customHeight="1" x14ac:dyDescent="0.3">
      <c r="A271" s="70"/>
      <c r="B271" s="45" t="s">
        <v>171</v>
      </c>
      <c r="I271" s="50">
        <f t="shared" ref="I271:N271" si="149">I50</f>
        <v>3563</v>
      </c>
      <c r="J271" s="50">
        <f t="shared" si="149"/>
        <v>3563</v>
      </c>
      <c r="K271" s="50">
        <f t="shared" si="149"/>
        <v>3563</v>
      </c>
      <c r="L271" s="50">
        <f t="shared" si="149"/>
        <v>3563</v>
      </c>
      <c r="M271" s="50">
        <f t="shared" si="149"/>
        <v>3563</v>
      </c>
      <c r="N271" s="50">
        <f t="shared" si="149"/>
        <v>3563</v>
      </c>
    </row>
    <row r="272" spans="1:14" ht="14.4" customHeight="1" x14ac:dyDescent="0.3">
      <c r="A272" s="70"/>
      <c r="B272" s="45" t="s">
        <v>129</v>
      </c>
      <c r="I272" s="50">
        <f t="shared" ref="I272:N272" si="150">I53</f>
        <v>-18500</v>
      </c>
      <c r="J272" s="50">
        <f t="shared" si="150"/>
        <v>-20125</v>
      </c>
      <c r="K272" s="50">
        <f t="shared" si="150"/>
        <v>-21750</v>
      </c>
      <c r="L272" s="50">
        <f t="shared" si="150"/>
        <v>-23375</v>
      </c>
      <c r="M272" s="50">
        <f t="shared" si="150"/>
        <v>-24350</v>
      </c>
      <c r="N272" s="50">
        <f t="shared" si="150"/>
        <v>-25000</v>
      </c>
    </row>
    <row r="273" spans="1:14" ht="14.4" customHeight="1" x14ac:dyDescent="0.3">
      <c r="A273" s="70"/>
      <c r="B273" s="101" t="s">
        <v>172</v>
      </c>
      <c r="C273" s="102"/>
      <c r="D273" s="102"/>
      <c r="E273" s="102"/>
      <c r="I273" s="108">
        <f t="shared" ref="I273:N273" si="151">SUM(I268:I272)</f>
        <v>58495.857499999998</v>
      </c>
      <c r="J273" s="108">
        <f t="shared" si="151"/>
        <v>74214.817791269961</v>
      </c>
      <c r="K273" s="108">
        <f t="shared" si="151"/>
        <v>92740.818610000002</v>
      </c>
      <c r="L273" s="108">
        <f t="shared" si="151"/>
        <v>114902.72623001219</v>
      </c>
      <c r="M273" s="108">
        <f t="shared" si="151"/>
        <v>131644.53077994319</v>
      </c>
      <c r="N273" s="108">
        <f t="shared" si="151"/>
        <v>144497.82186227225</v>
      </c>
    </row>
    <row r="274" spans="1:14" ht="14.4" customHeight="1" x14ac:dyDescent="0.3">
      <c r="A274" s="70"/>
    </row>
    <row r="275" spans="1:14" ht="14.4" customHeight="1" x14ac:dyDescent="0.3">
      <c r="A275" s="70"/>
      <c r="B275" s="45" t="s">
        <v>173</v>
      </c>
      <c r="I275" s="115">
        <f>Main!K28</f>
        <v>58495.857499999998</v>
      </c>
      <c r="J275" s="115">
        <f>Main!L28</f>
        <v>74214.817791269961</v>
      </c>
      <c r="K275" s="115">
        <f>Main!M28</f>
        <v>92740.818610000002</v>
      </c>
      <c r="L275" s="115">
        <f>Main!N28</f>
        <v>114902.72623001219</v>
      </c>
      <c r="M275" s="115">
        <f>Main!O28</f>
        <v>131644.53077994319</v>
      </c>
      <c r="N275" s="115">
        <f>Main!P28</f>
        <v>144497.82186227225</v>
      </c>
    </row>
    <row r="276" spans="1:14" ht="14.4" customHeight="1" x14ac:dyDescent="0.3">
      <c r="A276" s="70"/>
      <c r="B276" s="135" t="s">
        <v>174</v>
      </c>
      <c r="C276" s="19"/>
      <c r="D276" s="19"/>
      <c r="E276" s="19"/>
      <c r="F276" s="19"/>
      <c r="G276" s="19"/>
      <c r="H276" s="19"/>
      <c r="I276" s="149">
        <f t="shared" ref="I276:N276" si="152">I273-I275</f>
        <v>0</v>
      </c>
      <c r="J276" s="149">
        <f t="shared" si="152"/>
        <v>0</v>
      </c>
      <c r="K276" s="149">
        <f t="shared" si="152"/>
        <v>0</v>
      </c>
      <c r="L276" s="149">
        <f t="shared" si="152"/>
        <v>0</v>
      </c>
      <c r="M276" s="149">
        <f t="shared" si="152"/>
        <v>0</v>
      </c>
      <c r="N276" s="149">
        <f t="shared" si="152"/>
        <v>0</v>
      </c>
    </row>
    <row r="277" spans="1:14" ht="14.4" customHeight="1" x14ac:dyDescent="0.3">
      <c r="A277" s="70"/>
      <c r="B277" s="45" t="s">
        <v>175</v>
      </c>
      <c r="I277" s="115">
        <f>Main!K46</f>
        <v>3657.2245500000008</v>
      </c>
      <c r="J277" s="115">
        <f>Main!L46</f>
        <v>7827.5043322979218</v>
      </c>
      <c r="K277" s="115">
        <f>Main!M46</f>
        <v>16029.622507617998</v>
      </c>
      <c r="L277" s="115">
        <f>Main!N46</f>
        <v>29317.796160342987</v>
      </c>
      <c r="M277" s="115">
        <f>Main!O46</f>
        <v>40384.056228009678</v>
      </c>
      <c r="N277" s="115">
        <f>Main!P46</f>
        <v>49365.42378135131</v>
      </c>
    </row>
    <row r="278" spans="1:14" ht="14.4" customHeight="1" x14ac:dyDescent="0.3">
      <c r="A278" s="70"/>
      <c r="B278" s="135" t="s">
        <v>176</v>
      </c>
      <c r="C278" s="19"/>
      <c r="D278" s="19"/>
      <c r="E278" s="19"/>
      <c r="F278" s="19"/>
      <c r="G278" s="19"/>
      <c r="H278" s="19"/>
      <c r="I278" s="149">
        <f t="shared" ref="I278:N278" si="153">I57-I277</f>
        <v>0</v>
      </c>
      <c r="J278" s="149">
        <f t="shared" si="153"/>
        <v>0</v>
      </c>
      <c r="K278" s="149">
        <f t="shared" si="153"/>
        <v>0</v>
      </c>
      <c r="L278" s="149">
        <f t="shared" si="153"/>
        <v>0</v>
      </c>
      <c r="M278" s="149">
        <f t="shared" si="153"/>
        <v>0</v>
      </c>
      <c r="N278" s="149">
        <f t="shared" si="153"/>
        <v>0</v>
      </c>
    </row>
    <row r="279" spans="1:14" ht="14.4" customHeight="1" x14ac:dyDescent="0.3">
      <c r="A279" s="70"/>
    </row>
    <row r="280" spans="1:14" ht="14.4" customHeight="1" x14ac:dyDescent="0.3">
      <c r="A280" s="70"/>
    </row>
    <row r="281" spans="1:14" ht="14.4" customHeight="1" x14ac:dyDescent="0.3">
      <c r="A281" s="70"/>
    </row>
    <row r="282" spans="1:14" ht="14.4" customHeight="1" x14ac:dyDescent="0.3">
      <c r="A282" s="70"/>
    </row>
    <row r="283" spans="1:14" ht="14.4" customHeight="1" x14ac:dyDescent="0.3">
      <c r="A283" s="70"/>
    </row>
    <row r="284" spans="1:14" ht="14.4" customHeight="1" x14ac:dyDescent="0.3">
      <c r="A284" s="70"/>
    </row>
    <row r="285" spans="1:14" ht="14.4" customHeight="1" x14ac:dyDescent="0.3">
      <c r="A285" s="70"/>
    </row>
    <row r="286" spans="1:14" ht="14.4" customHeight="1" x14ac:dyDescent="0.3">
      <c r="A286" s="70"/>
    </row>
    <row r="287" spans="1:14" ht="14.4" customHeight="1" x14ac:dyDescent="0.3">
      <c r="A287" s="70"/>
    </row>
    <row r="288" spans="1:14" ht="14.4" customHeight="1" x14ac:dyDescent="0.3">
      <c r="A288" s="70"/>
    </row>
    <row r="289" spans="1:1" ht="14.4" customHeight="1" x14ac:dyDescent="0.3">
      <c r="A289" s="70"/>
    </row>
    <row r="290" spans="1:1" ht="14.4" customHeight="1" x14ac:dyDescent="0.3">
      <c r="A290" s="70"/>
    </row>
    <row r="291" spans="1:1" ht="14.4" customHeight="1" x14ac:dyDescent="0.3">
      <c r="A291" s="70"/>
    </row>
    <row r="292" spans="1:1" ht="14.4" customHeight="1" x14ac:dyDescent="0.3">
      <c r="A292" s="70"/>
    </row>
    <row r="293" spans="1:1" ht="14.4" customHeight="1" x14ac:dyDescent="0.3">
      <c r="A293" s="70"/>
    </row>
    <row r="294" spans="1:1" ht="14.4" customHeight="1" x14ac:dyDescent="0.3">
      <c r="A294" s="70"/>
    </row>
    <row r="295" spans="1:1" ht="14.4" customHeight="1" x14ac:dyDescent="0.3">
      <c r="A295" s="70"/>
    </row>
    <row r="296" spans="1:1" ht="14.4" customHeight="1" x14ac:dyDescent="0.3">
      <c r="A296" s="70"/>
    </row>
    <row r="297" spans="1:1" ht="14.4" customHeight="1" x14ac:dyDescent="0.3">
      <c r="A297" s="70"/>
    </row>
    <row r="298" spans="1:1" ht="14.4" customHeight="1" x14ac:dyDescent="0.3">
      <c r="A298" s="70"/>
    </row>
    <row r="299" spans="1:1" ht="14.4" customHeight="1" x14ac:dyDescent="0.3">
      <c r="A299" s="70"/>
    </row>
    <row r="300" spans="1:1" ht="14.4" customHeight="1" x14ac:dyDescent="0.3">
      <c r="A300" s="70"/>
    </row>
    <row r="301" spans="1:1" ht="14.4" customHeight="1" x14ac:dyDescent="0.3">
      <c r="A301" s="70"/>
    </row>
    <row r="302" spans="1:1" ht="14.4" customHeight="1" x14ac:dyDescent="0.3">
      <c r="A302" s="70"/>
    </row>
    <row r="303" spans="1:1" ht="14.4" customHeight="1" x14ac:dyDescent="0.3">
      <c r="A303" s="70"/>
    </row>
    <row r="304" spans="1:1" ht="14.4" customHeight="1" x14ac:dyDescent="0.3">
      <c r="A304" s="70"/>
    </row>
    <row r="305" spans="1:1" ht="14.4" customHeight="1" x14ac:dyDescent="0.3">
      <c r="A305" s="70"/>
    </row>
    <row r="306" spans="1:1" ht="14.4" customHeight="1" x14ac:dyDescent="0.3">
      <c r="A306" s="70"/>
    </row>
    <row r="307" spans="1:1" ht="14.4" customHeight="1" x14ac:dyDescent="0.3">
      <c r="A307" s="70"/>
    </row>
    <row r="308" spans="1:1" ht="14.4" customHeight="1" x14ac:dyDescent="0.3">
      <c r="A308" s="70"/>
    </row>
    <row r="309" spans="1:1" ht="14.4" customHeight="1" x14ac:dyDescent="0.3">
      <c r="A309" s="70"/>
    </row>
    <row r="310" spans="1:1" ht="14.4" customHeight="1" x14ac:dyDescent="0.3">
      <c r="A310" s="70"/>
    </row>
    <row r="311" spans="1:1" ht="14.4" customHeight="1" x14ac:dyDescent="0.3">
      <c r="A311" s="70"/>
    </row>
    <row r="312" spans="1:1" ht="14.4" customHeight="1" x14ac:dyDescent="0.3">
      <c r="A312" s="70"/>
    </row>
    <row r="313" spans="1:1" ht="14.4" customHeight="1" x14ac:dyDescent="0.3">
      <c r="A313" s="70"/>
    </row>
    <row r="314" spans="1:1" ht="14.4" customHeight="1" x14ac:dyDescent="0.3">
      <c r="A314" s="70"/>
    </row>
    <row r="315" spans="1:1" ht="14.4" customHeight="1" x14ac:dyDescent="0.3">
      <c r="A315" s="70"/>
    </row>
    <row r="316" spans="1:1" ht="14.4" customHeight="1" x14ac:dyDescent="0.3">
      <c r="A316" s="70"/>
    </row>
  </sheetData>
  <sortState xmlns:xlrd2="http://schemas.microsoft.com/office/spreadsheetml/2017/richdata2" ref="B221:P230">
    <sortCondition descending="1" ref="E221:E230"/>
  </sortState>
  <mergeCells count="5">
    <mergeCell ref="W97:X97"/>
    <mergeCell ref="W100:X100"/>
    <mergeCell ref="W101:X101"/>
    <mergeCell ref="W102:X102"/>
    <mergeCell ref="W103:X103"/>
  </mergeCells>
  <pageMargins left="0.7" right="0.7" top="0.75" bottom="0.75" header="0.3" footer="0.3"/>
  <pageSetup orientation="portrait" r:id="rId1"/>
  <ignoredErrors>
    <ignoredError sqref="L123:M123"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2438-1AC1-43DF-96FD-76E4B45DFDBC}">
  <dimension ref="A1:T15043"/>
  <sheetViews>
    <sheetView showGridLines="0" topLeftCell="B4" zoomScale="130" zoomScaleNormal="130" workbookViewId="0">
      <selection activeCell="H12" sqref="H12"/>
    </sheetView>
  </sheetViews>
  <sheetFormatPr defaultColWidth="8.69921875" defaultRowHeight="14.4" x14ac:dyDescent="0.3"/>
  <cols>
    <col min="1" max="37" width="8.69921875" style="1" customWidth="1"/>
    <col min="38" max="16384" width="8.69921875" style="1"/>
  </cols>
  <sheetData>
    <row r="1" spans="1:14" ht="14.4" customHeight="1" x14ac:dyDescent="0.3">
      <c r="A1"/>
      <c r="B1"/>
      <c r="C1"/>
      <c r="D1"/>
    </row>
    <row r="2" spans="1:14" ht="14.4" customHeight="1" x14ac:dyDescent="0.3">
      <c r="A2"/>
      <c r="B2"/>
      <c r="C2"/>
      <c r="D2"/>
      <c r="G2" s="33" t="s">
        <v>74</v>
      </c>
      <c r="H2" s="33"/>
      <c r="I2" s="33"/>
      <c r="J2" s="33"/>
    </row>
    <row r="3" spans="1:14" ht="14.4" customHeight="1" x14ac:dyDescent="0.3">
      <c r="A3"/>
      <c r="B3"/>
      <c r="C3"/>
      <c r="D3"/>
      <c r="G3" s="4" t="s">
        <v>110</v>
      </c>
      <c r="M3" s="1" t="e" vm="1">
        <v>#VALUE!</v>
      </c>
      <c r="N3" s="84" cm="1">
        <f t="array" aca="1" ref="N3" ca="1">_FV(M3,"Price")</f>
        <v>123</v>
      </c>
    </row>
    <row r="4" spans="1:14" ht="14.4" customHeight="1" x14ac:dyDescent="0.3">
      <c r="A4"/>
      <c r="B4"/>
      <c r="C4"/>
      <c r="D4"/>
      <c r="G4" s="4"/>
    </row>
    <row r="5" spans="1:14" ht="14.4" customHeight="1" x14ac:dyDescent="0.3">
      <c r="A5"/>
      <c r="B5"/>
      <c r="C5"/>
      <c r="D5"/>
      <c r="G5" s="4"/>
    </row>
    <row r="6" spans="1:14" ht="14.4" customHeight="1" x14ac:dyDescent="0.3">
      <c r="A6"/>
      <c r="B6"/>
      <c r="C6"/>
      <c r="D6"/>
      <c r="G6" s="4"/>
    </row>
    <row r="7" spans="1:14" ht="14.4" customHeight="1" x14ac:dyDescent="0.3">
      <c r="A7"/>
      <c r="B7"/>
      <c r="C7"/>
      <c r="D7"/>
      <c r="G7" s="4"/>
    </row>
    <row r="8" spans="1:14" ht="14.4" customHeight="1" x14ac:dyDescent="0.3">
      <c r="A8"/>
      <c r="B8"/>
      <c r="C8"/>
      <c r="D8"/>
      <c r="G8" s="4"/>
    </row>
    <row r="9" spans="1:14" ht="14.4" customHeight="1" x14ac:dyDescent="0.3">
      <c r="A9"/>
      <c r="B9"/>
      <c r="C9"/>
      <c r="D9"/>
      <c r="G9" s="4"/>
    </row>
    <row r="10" spans="1:14" ht="14.4" customHeight="1" x14ac:dyDescent="0.3">
      <c r="A10"/>
      <c r="B10"/>
      <c r="C10"/>
      <c r="D10"/>
      <c r="G10" s="259"/>
      <c r="H10" s="259"/>
    </row>
    <row r="11" spans="1:14" ht="14.4" customHeight="1" x14ac:dyDescent="0.3">
      <c r="A11"/>
      <c r="B11"/>
      <c r="C11"/>
      <c r="D11"/>
      <c r="G11" s="1" t="s">
        <v>106</v>
      </c>
      <c r="H11" s="1">
        <f>2031-2026</f>
        <v>5</v>
      </c>
      <c r="J11" s="1" t="s">
        <v>234</v>
      </c>
      <c r="L11" s="4">
        <v>2031</v>
      </c>
    </row>
    <row r="12" spans="1:14" ht="14.4" customHeight="1" x14ac:dyDescent="0.3">
      <c r="A12"/>
      <c r="B12"/>
      <c r="C12"/>
      <c r="D12"/>
      <c r="G12" s="1" t="s">
        <v>105</v>
      </c>
      <c r="H12" s="91">
        <f>Main!P73</f>
        <v>7.1174626216607102</v>
      </c>
      <c r="J12" s="1" t="s">
        <v>233</v>
      </c>
      <c r="L12" s="8">
        <f>Main!P70</f>
        <v>5895.4451107968007</v>
      </c>
    </row>
    <row r="13" spans="1:14" ht="14.4" customHeight="1" x14ac:dyDescent="0.3">
      <c r="A13"/>
      <c r="B13"/>
      <c r="C13"/>
      <c r="D13"/>
      <c r="G13" s="1" t="s">
        <v>107</v>
      </c>
      <c r="H13" s="1">
        <v>20</v>
      </c>
      <c r="J13" s="1" t="s">
        <v>15</v>
      </c>
      <c r="L13" s="8">
        <f>L15*L12</f>
        <v>1049015.2553537153</v>
      </c>
    </row>
    <row r="14" spans="1:14" ht="14.4" customHeight="1" x14ac:dyDescent="0.3">
      <c r="A14"/>
      <c r="B14"/>
      <c r="C14"/>
      <c r="D14"/>
      <c r="G14" s="1" t="s">
        <v>31</v>
      </c>
      <c r="H14" s="90">
        <f>H12*H13</f>
        <v>142.34925243321419</v>
      </c>
      <c r="J14" s="1" t="s">
        <v>107</v>
      </c>
      <c r="L14" s="1">
        <v>25</v>
      </c>
    </row>
    <row r="15" spans="1:14" ht="14.4" customHeight="1" x14ac:dyDescent="0.3">
      <c r="A15"/>
      <c r="B15"/>
      <c r="C15"/>
      <c r="D15"/>
      <c r="G15" s="1" t="s">
        <v>20</v>
      </c>
      <c r="H15" s="10">
        <v>0.105</v>
      </c>
      <c r="J15" s="1" t="s">
        <v>91</v>
      </c>
      <c r="L15" s="90">
        <f>H12*25</f>
        <v>177.93656554151775</v>
      </c>
    </row>
    <row r="16" spans="1:14" ht="14.4" customHeight="1" x14ac:dyDescent="0.3">
      <c r="A16"/>
      <c r="B16"/>
      <c r="C16"/>
      <c r="D16"/>
      <c r="G16" s="4" t="s">
        <v>108</v>
      </c>
      <c r="H16" s="79">
        <f>H14/(1+H15)^H11</f>
        <v>86.405980075440283</v>
      </c>
    </row>
    <row r="17" spans="1:17" ht="14.4" customHeight="1" x14ac:dyDescent="0.3">
      <c r="A17"/>
      <c r="B17"/>
      <c r="C17"/>
      <c r="D17"/>
    </row>
    <row r="18" spans="1:17" ht="14.4" customHeight="1" x14ac:dyDescent="0.3">
      <c r="A18"/>
      <c r="B18"/>
      <c r="C18"/>
      <c r="D18"/>
      <c r="H18" s="260" t="s">
        <v>107</v>
      </c>
      <c r="I18" s="260"/>
      <c r="J18" s="260"/>
      <c r="K18" s="260"/>
      <c r="L18" s="260"/>
      <c r="M18" s="260"/>
      <c r="N18" s="260"/>
      <c r="O18" s="260"/>
      <c r="P18" s="260"/>
      <c r="Q18" s="260"/>
    </row>
    <row r="19" spans="1:17" ht="14.4" customHeight="1" x14ac:dyDescent="0.3">
      <c r="A19"/>
      <c r="B19"/>
      <c r="C19"/>
      <c r="D19"/>
      <c r="H19" s="85">
        <v>12</v>
      </c>
      <c r="I19" s="85">
        <v>15</v>
      </c>
      <c r="J19" s="85">
        <v>18</v>
      </c>
      <c r="K19" s="85">
        <v>20</v>
      </c>
      <c r="L19" s="85">
        <v>23</v>
      </c>
      <c r="M19" s="85">
        <v>25</v>
      </c>
      <c r="N19" s="85">
        <v>28</v>
      </c>
      <c r="O19" s="85">
        <v>30</v>
      </c>
      <c r="P19" s="85">
        <v>35</v>
      </c>
      <c r="Q19" s="85">
        <v>40</v>
      </c>
    </row>
    <row r="20" spans="1:17" ht="14.4" customHeight="1" x14ac:dyDescent="0.3">
      <c r="A20"/>
      <c r="B20"/>
      <c r="C20"/>
      <c r="D20"/>
      <c r="F20" s="261" t="s">
        <v>109</v>
      </c>
      <c r="G20" s="86">
        <f t="shared" ref="G20:G21" si="0">G21-0.01</f>
        <v>7.5000000000000011E-2</v>
      </c>
      <c r="H20" s="78">
        <f t="shared" ref="H20:Q26" si="1">($H$12*H$19)/(1+$G20)^$H$11</f>
        <v>59.49276035456468</v>
      </c>
      <c r="I20" s="78">
        <f t="shared" si="1"/>
        <v>74.365950443205847</v>
      </c>
      <c r="J20" s="78">
        <f t="shared" si="1"/>
        <v>89.239140531847013</v>
      </c>
      <c r="K20" s="78">
        <f t="shared" si="1"/>
        <v>99.154600590941115</v>
      </c>
      <c r="L20" s="78">
        <f t="shared" si="1"/>
        <v>114.02779067958231</v>
      </c>
      <c r="M20" s="78">
        <f t="shared" si="1"/>
        <v>123.94325073867641</v>
      </c>
      <c r="N20" s="78">
        <f t="shared" si="1"/>
        <v>138.81644082731759</v>
      </c>
      <c r="O20" s="78">
        <f t="shared" si="1"/>
        <v>148.73190088641169</v>
      </c>
      <c r="P20" s="78">
        <f t="shared" si="1"/>
        <v>173.52055103414696</v>
      </c>
      <c r="Q20" s="78">
        <f t="shared" si="1"/>
        <v>198.30920118188223</v>
      </c>
    </row>
    <row r="21" spans="1:17" ht="14.4" customHeight="1" x14ac:dyDescent="0.3">
      <c r="A21"/>
      <c r="B21"/>
      <c r="C21"/>
      <c r="D21"/>
      <c r="F21" s="261"/>
      <c r="G21" s="86">
        <f t="shared" si="0"/>
        <v>8.5000000000000006E-2</v>
      </c>
      <c r="H21" s="78">
        <f t="shared" si="1"/>
        <v>56.801231303543638</v>
      </c>
      <c r="I21" s="78">
        <f t="shared" si="1"/>
        <v>71.00153912942956</v>
      </c>
      <c r="J21" s="80">
        <f t="shared" si="1"/>
        <v>85.20184695531546</v>
      </c>
      <c r="K21" s="80">
        <f t="shared" si="1"/>
        <v>94.668718839239389</v>
      </c>
      <c r="L21" s="80">
        <f t="shared" si="1"/>
        <v>108.86902666512532</v>
      </c>
      <c r="M21" s="80">
        <f t="shared" si="1"/>
        <v>118.33589854904925</v>
      </c>
      <c r="N21" s="80">
        <f t="shared" si="1"/>
        <v>132.53620637493518</v>
      </c>
      <c r="O21" s="80">
        <f t="shared" si="1"/>
        <v>142.00307825885912</v>
      </c>
      <c r="P21" s="78">
        <f t="shared" si="1"/>
        <v>165.67025796866895</v>
      </c>
      <c r="Q21" s="78">
        <f t="shared" si="1"/>
        <v>189.33743767847878</v>
      </c>
    </row>
    <row r="22" spans="1:17" ht="14.4" customHeight="1" x14ac:dyDescent="0.3">
      <c r="A22"/>
      <c r="B22"/>
      <c r="C22"/>
      <c r="D22"/>
      <c r="F22" s="261"/>
      <c r="G22" s="86">
        <f>G23-0.01</f>
        <v>9.5000000000000001E-2</v>
      </c>
      <c r="H22" s="78">
        <f t="shared" si="1"/>
        <v>54.254509966661388</v>
      </c>
      <c r="I22" s="78">
        <f t="shared" si="1"/>
        <v>67.818137458326731</v>
      </c>
      <c r="J22" s="80">
        <f t="shared" si="1"/>
        <v>81.381764949992075</v>
      </c>
      <c r="K22" s="81">
        <f t="shared" si="1"/>
        <v>90.424183277768975</v>
      </c>
      <c r="L22" s="81">
        <f t="shared" si="1"/>
        <v>103.98781076943433</v>
      </c>
      <c r="M22" s="81">
        <f t="shared" si="1"/>
        <v>113.03022909721122</v>
      </c>
      <c r="N22" s="80">
        <f t="shared" si="1"/>
        <v>126.59385658887658</v>
      </c>
      <c r="O22" s="80">
        <f t="shared" si="1"/>
        <v>135.63627491665346</v>
      </c>
      <c r="P22" s="78">
        <f t="shared" si="1"/>
        <v>158.24232073609571</v>
      </c>
      <c r="Q22" s="78">
        <f t="shared" si="1"/>
        <v>180.84836655553795</v>
      </c>
    </row>
    <row r="23" spans="1:17" ht="14.4" customHeight="1" x14ac:dyDescent="0.3">
      <c r="A23"/>
      <c r="B23"/>
      <c r="C23"/>
      <c r="D23"/>
      <c r="F23" s="261"/>
      <c r="G23" s="86">
        <v>0.105</v>
      </c>
      <c r="H23" s="78">
        <f t="shared" si="1"/>
        <v>51.843588045264177</v>
      </c>
      <c r="I23" s="78">
        <f t="shared" si="1"/>
        <v>64.804485056580219</v>
      </c>
      <c r="J23" s="80">
        <f t="shared" si="1"/>
        <v>77.765382067896255</v>
      </c>
      <c r="K23" s="82">
        <f t="shared" si="1"/>
        <v>86.405980075440283</v>
      </c>
      <c r="L23" s="81">
        <f t="shared" si="1"/>
        <v>99.366877086756347</v>
      </c>
      <c r="M23" s="81">
        <f t="shared" si="1"/>
        <v>108.00747509430036</v>
      </c>
      <c r="N23" s="80">
        <f t="shared" si="1"/>
        <v>120.96837210561642</v>
      </c>
      <c r="O23" s="80">
        <f t="shared" si="1"/>
        <v>129.60897011316044</v>
      </c>
      <c r="P23" s="78">
        <f t="shared" si="1"/>
        <v>151.21046513202052</v>
      </c>
      <c r="Q23" s="78">
        <f t="shared" si="1"/>
        <v>172.81196015088057</v>
      </c>
    </row>
    <row r="24" spans="1:17" ht="14.4" customHeight="1" x14ac:dyDescent="0.3">
      <c r="A24"/>
      <c r="B24" s="4"/>
      <c r="F24" s="261"/>
      <c r="G24" s="86">
        <f>G23+0.01</f>
        <v>0.11499999999999999</v>
      </c>
      <c r="H24" s="78">
        <f t="shared" si="1"/>
        <v>49.560092033609848</v>
      </c>
      <c r="I24" s="78">
        <f t="shared" si="1"/>
        <v>61.950115042012314</v>
      </c>
      <c r="J24" s="80">
        <f t="shared" si="1"/>
        <v>74.34013805041478</v>
      </c>
      <c r="K24" s="80">
        <f t="shared" si="1"/>
        <v>82.600153389349742</v>
      </c>
      <c r="L24" s="80">
        <f t="shared" si="1"/>
        <v>94.990176397752222</v>
      </c>
      <c r="M24" s="80">
        <f t="shared" si="1"/>
        <v>103.25019173668719</v>
      </c>
      <c r="N24" s="80">
        <f t="shared" si="1"/>
        <v>115.64021474508966</v>
      </c>
      <c r="O24" s="80">
        <f t="shared" si="1"/>
        <v>123.90023008402463</v>
      </c>
      <c r="P24" s="78">
        <f t="shared" si="1"/>
        <v>144.55026843136207</v>
      </c>
      <c r="Q24" s="78">
        <f t="shared" si="1"/>
        <v>165.20030677869948</v>
      </c>
    </row>
    <row r="25" spans="1:17" ht="14.4" customHeight="1" x14ac:dyDescent="0.3">
      <c r="A25"/>
      <c r="B25" s="4"/>
      <c r="F25" s="261"/>
      <c r="G25" s="86">
        <f t="shared" ref="G25:G26" si="2">G24+0.01</f>
        <v>0.12499999999999999</v>
      </c>
      <c r="H25" s="78">
        <f t="shared" si="1"/>
        <v>47.396233335686254</v>
      </c>
      <c r="I25" s="78">
        <f t="shared" si="1"/>
        <v>59.245291669607823</v>
      </c>
      <c r="J25" s="78">
        <f t="shared" si="1"/>
        <v>71.094350003529385</v>
      </c>
      <c r="K25" s="78">
        <f t="shared" si="1"/>
        <v>78.99372222614376</v>
      </c>
      <c r="L25" s="78">
        <f t="shared" si="1"/>
        <v>90.842780560065336</v>
      </c>
      <c r="M25" s="78">
        <f t="shared" si="1"/>
        <v>98.742152782679696</v>
      </c>
      <c r="N25" s="78">
        <f t="shared" si="1"/>
        <v>110.59121111660127</v>
      </c>
      <c r="O25" s="78">
        <f t="shared" si="1"/>
        <v>118.49058333921565</v>
      </c>
      <c r="P25" s="78">
        <f t="shared" si="1"/>
        <v>138.23901389575158</v>
      </c>
      <c r="Q25" s="78">
        <f t="shared" si="1"/>
        <v>157.98744445228752</v>
      </c>
    </row>
    <row r="26" spans="1:17" ht="14.4" customHeight="1" x14ac:dyDescent="0.3">
      <c r="A26"/>
      <c r="B26" s="4"/>
      <c r="F26" s="261"/>
      <c r="G26" s="86">
        <f t="shared" si="2"/>
        <v>0.13499999999999998</v>
      </c>
      <c r="H26" s="78">
        <f t="shared" si="1"/>
        <v>45.344762699678995</v>
      </c>
      <c r="I26" s="78">
        <f t="shared" si="1"/>
        <v>56.680953374598744</v>
      </c>
      <c r="J26" s="78">
        <f t="shared" si="1"/>
        <v>68.017144049518492</v>
      </c>
      <c r="K26" s="78">
        <f t="shared" si="1"/>
        <v>75.574604499464982</v>
      </c>
      <c r="L26" s="78">
        <f t="shared" si="1"/>
        <v>86.910795174384745</v>
      </c>
      <c r="M26" s="78">
        <f t="shared" si="1"/>
        <v>94.468255624331235</v>
      </c>
      <c r="N26" s="78">
        <f t="shared" si="1"/>
        <v>105.804446299251</v>
      </c>
      <c r="O26" s="78">
        <f t="shared" si="1"/>
        <v>113.36190674919749</v>
      </c>
      <c r="P26" s="78">
        <f t="shared" si="1"/>
        <v>132.25555787406373</v>
      </c>
      <c r="Q26" s="78">
        <f t="shared" si="1"/>
        <v>151.14920899892996</v>
      </c>
    </row>
    <row r="27" spans="1:17" ht="14.4" customHeight="1" x14ac:dyDescent="0.3">
      <c r="A27"/>
      <c r="B27" s="4"/>
    </row>
    <row r="28" spans="1:17" ht="14.4" customHeight="1" x14ac:dyDescent="0.3">
      <c r="A28"/>
      <c r="B28" s="4"/>
    </row>
    <row r="29" spans="1:17" ht="14.4" customHeight="1" x14ac:dyDescent="0.3">
      <c r="A29"/>
      <c r="B29" s="4"/>
    </row>
    <row r="30" spans="1:17" ht="14.4" customHeight="1" x14ac:dyDescent="0.3">
      <c r="A30"/>
      <c r="B30" s="4"/>
    </row>
    <row r="31" spans="1:17" ht="14.4" customHeight="1" x14ac:dyDescent="0.3">
      <c r="A31"/>
    </row>
    <row r="32" spans="1:17" ht="14.4" customHeight="1" x14ac:dyDescent="0.3">
      <c r="A32"/>
    </row>
    <row r="33" spans="1:6" ht="14.4" customHeight="1" x14ac:dyDescent="0.3">
      <c r="A33"/>
      <c r="B33" s="71"/>
      <c r="C33" s="71"/>
      <c r="D33" s="71"/>
      <c r="E33" s="71"/>
      <c r="F33" s="71"/>
    </row>
    <row r="34" spans="1:6" ht="14.4" customHeight="1" x14ac:dyDescent="0.3">
      <c r="A34"/>
      <c r="D34" s="65"/>
      <c r="E34" s="65"/>
      <c r="F34" s="65"/>
    </row>
    <row r="35" spans="1:6" ht="14.4" customHeight="1" x14ac:dyDescent="0.3">
      <c r="A35"/>
      <c r="D35" s="52"/>
      <c r="E35" s="52"/>
      <c r="F35" s="52"/>
    </row>
    <row r="36" spans="1:6" ht="14.4" customHeight="1" x14ac:dyDescent="0.3">
      <c r="A36"/>
      <c r="D36" s="52"/>
      <c r="E36" s="52"/>
      <c r="F36" s="52"/>
    </row>
    <row r="37" spans="1:6" ht="14.4" customHeight="1" x14ac:dyDescent="0.3">
      <c r="A37"/>
    </row>
    <row r="38" spans="1:6" ht="14.4" customHeight="1" x14ac:dyDescent="0.3">
      <c r="A38"/>
    </row>
    <row r="39" spans="1:6" ht="14.4" customHeight="1" x14ac:dyDescent="0.3">
      <c r="A39"/>
    </row>
    <row r="40" spans="1:6" ht="14.4" customHeight="1" x14ac:dyDescent="0.3">
      <c r="A40"/>
    </row>
    <row r="41" spans="1:6" ht="14.4" customHeight="1" x14ac:dyDescent="0.3">
      <c r="A41"/>
    </row>
    <row r="42" spans="1:6" ht="14.4" customHeight="1" x14ac:dyDescent="0.3">
      <c r="A42"/>
    </row>
    <row r="43" spans="1:6" ht="14.4" customHeight="1" x14ac:dyDescent="0.3">
      <c r="A43"/>
    </row>
    <row r="44" spans="1:6" ht="14.4" customHeight="1" x14ac:dyDescent="0.3">
      <c r="A44"/>
    </row>
    <row r="45" spans="1:6" ht="14.4" customHeight="1" x14ac:dyDescent="0.3">
      <c r="A45"/>
    </row>
    <row r="46" spans="1:6" ht="14.4" customHeight="1" x14ac:dyDescent="0.3">
      <c r="A46"/>
    </row>
    <row r="47" spans="1:6" ht="14.4" customHeight="1" x14ac:dyDescent="0.3">
      <c r="A47"/>
    </row>
    <row r="48" spans="1:6" ht="14.4" customHeight="1" x14ac:dyDescent="0.3">
      <c r="A48"/>
    </row>
    <row r="49" spans="1:1" ht="14.4" customHeight="1" x14ac:dyDescent="0.3">
      <c r="A49"/>
    </row>
    <row r="50" spans="1:1" ht="14.4" customHeight="1" x14ac:dyDescent="0.3">
      <c r="A50"/>
    </row>
    <row r="51" spans="1:1" ht="14.4" customHeight="1" x14ac:dyDescent="0.3">
      <c r="A51"/>
    </row>
    <row r="52" spans="1:1" ht="14.4" customHeight="1" x14ac:dyDescent="0.3">
      <c r="A52"/>
    </row>
    <row r="53" spans="1:1" ht="14.4" customHeight="1" x14ac:dyDescent="0.3">
      <c r="A53"/>
    </row>
    <row r="54" spans="1:1" ht="14.4" customHeight="1" x14ac:dyDescent="0.3">
      <c r="A54"/>
    </row>
    <row r="55" spans="1:1" ht="14.4" customHeight="1" x14ac:dyDescent="0.3">
      <c r="A55"/>
    </row>
    <row r="56" spans="1:1" ht="14.4" customHeight="1" x14ac:dyDescent="0.3">
      <c r="A56"/>
    </row>
    <row r="57" spans="1:1" ht="14.4" customHeight="1" x14ac:dyDescent="0.3">
      <c r="A57"/>
    </row>
    <row r="58" spans="1:1" ht="14.4" customHeight="1" x14ac:dyDescent="0.3">
      <c r="A58"/>
    </row>
    <row r="59" spans="1:1" ht="14.4" customHeight="1" x14ac:dyDescent="0.3">
      <c r="A59"/>
    </row>
    <row r="60" spans="1:1" ht="14.4" customHeight="1" x14ac:dyDescent="0.3">
      <c r="A60"/>
    </row>
    <row r="61" spans="1:1" ht="14.4" customHeight="1" x14ac:dyDescent="0.3">
      <c r="A61"/>
    </row>
    <row r="62" spans="1:1" ht="14.4" customHeight="1" x14ac:dyDescent="0.3">
      <c r="A62"/>
    </row>
    <row r="63" spans="1:1" ht="14.4" customHeight="1" x14ac:dyDescent="0.3">
      <c r="A63"/>
    </row>
    <row r="64" spans="1:1" ht="14.4" customHeight="1" x14ac:dyDescent="0.3">
      <c r="A64"/>
    </row>
    <row r="65" spans="1:1" ht="14.4" customHeight="1" x14ac:dyDescent="0.3">
      <c r="A65"/>
    </row>
    <row r="66" spans="1:1" ht="14.4" customHeight="1" x14ac:dyDescent="0.3">
      <c r="A66"/>
    </row>
    <row r="67" spans="1:1" ht="14.4" customHeight="1" x14ac:dyDescent="0.3">
      <c r="A67"/>
    </row>
    <row r="68" spans="1:1" ht="14.4" customHeight="1" x14ac:dyDescent="0.3">
      <c r="A68"/>
    </row>
    <row r="69" spans="1:1" ht="14.4" customHeight="1" x14ac:dyDescent="0.3">
      <c r="A69"/>
    </row>
    <row r="70" spans="1:1" ht="14.4" customHeight="1" x14ac:dyDescent="0.3">
      <c r="A70"/>
    </row>
    <row r="71" spans="1:1" ht="14.4" customHeight="1" x14ac:dyDescent="0.3">
      <c r="A71"/>
    </row>
    <row r="72" spans="1:1" ht="14.4" customHeight="1" x14ac:dyDescent="0.3">
      <c r="A72"/>
    </row>
    <row r="73" spans="1:1" ht="14.4" customHeight="1" x14ac:dyDescent="0.3">
      <c r="A73"/>
    </row>
    <row r="74" spans="1:1" ht="14.4" customHeight="1" x14ac:dyDescent="0.3">
      <c r="A74"/>
    </row>
    <row r="75" spans="1:1" ht="14.4" customHeight="1" x14ac:dyDescent="0.3">
      <c r="A75"/>
    </row>
    <row r="76" spans="1:1" ht="14.4" customHeight="1" x14ac:dyDescent="0.3">
      <c r="A76"/>
    </row>
    <row r="77" spans="1:1" ht="14.4" customHeight="1" x14ac:dyDescent="0.3">
      <c r="A77"/>
    </row>
    <row r="78" spans="1:1" ht="14.4" customHeight="1" x14ac:dyDescent="0.3">
      <c r="A78"/>
    </row>
    <row r="79" spans="1:1" ht="14.4" customHeight="1" x14ac:dyDescent="0.3">
      <c r="A79"/>
    </row>
    <row r="80" spans="1:1" ht="14.4" customHeight="1" x14ac:dyDescent="0.3">
      <c r="A80"/>
    </row>
    <row r="81" spans="1:1" ht="14.4" customHeight="1" x14ac:dyDescent="0.3">
      <c r="A81"/>
    </row>
    <row r="82" spans="1:1" ht="14.4" customHeight="1" x14ac:dyDescent="0.3">
      <c r="A82"/>
    </row>
    <row r="83" spans="1:1" ht="14.4" customHeight="1" x14ac:dyDescent="0.3">
      <c r="A83"/>
    </row>
    <row r="84" spans="1:1" ht="14.4" customHeight="1" x14ac:dyDescent="0.3">
      <c r="A84"/>
    </row>
    <row r="85" spans="1:1" ht="14.4" customHeight="1" x14ac:dyDescent="0.3">
      <c r="A85"/>
    </row>
    <row r="86" spans="1:1" ht="14.4" customHeight="1" x14ac:dyDescent="0.3">
      <c r="A86"/>
    </row>
    <row r="87" spans="1:1" ht="14.4" customHeight="1" x14ac:dyDescent="0.3">
      <c r="A87"/>
    </row>
    <row r="88" spans="1:1" ht="14.4" customHeight="1" x14ac:dyDescent="0.3">
      <c r="A88"/>
    </row>
    <row r="89" spans="1:1" ht="14.4" customHeight="1" x14ac:dyDescent="0.3">
      <c r="A89"/>
    </row>
    <row r="90" spans="1:1" ht="14.4" customHeight="1" x14ac:dyDescent="0.3">
      <c r="A90"/>
    </row>
    <row r="91" spans="1:1" ht="14.4" customHeight="1" x14ac:dyDescent="0.3">
      <c r="A91"/>
    </row>
    <row r="92" spans="1:1" ht="14.4" customHeight="1" x14ac:dyDescent="0.3">
      <c r="A92"/>
    </row>
    <row r="93" spans="1:1" ht="14.4" customHeight="1" x14ac:dyDescent="0.3">
      <c r="A93"/>
    </row>
    <row r="94" spans="1:1" ht="14.4" customHeight="1" x14ac:dyDescent="0.3">
      <c r="A94"/>
    </row>
    <row r="95" spans="1:1" ht="14.4" customHeight="1" x14ac:dyDescent="0.3">
      <c r="A95"/>
    </row>
    <row r="96" spans="1:1" ht="14.4" customHeight="1" x14ac:dyDescent="0.3">
      <c r="A96"/>
    </row>
    <row r="97" spans="1:4" ht="14.4" customHeight="1" x14ac:dyDescent="0.3">
      <c r="A97"/>
    </row>
    <row r="98" spans="1:4" ht="14.4" customHeight="1" x14ac:dyDescent="0.3">
      <c r="A98"/>
    </row>
    <row r="99" spans="1:4" ht="14.4" customHeight="1" x14ac:dyDescent="0.3">
      <c r="A99"/>
    </row>
    <row r="100" spans="1:4" ht="14.4" customHeight="1" x14ac:dyDescent="0.3">
      <c r="A100"/>
    </row>
    <row r="101" spans="1:4" ht="14.4" customHeight="1" x14ac:dyDescent="0.3">
      <c r="A101"/>
    </row>
    <row r="102" spans="1:4" ht="14.4" customHeight="1" x14ac:dyDescent="0.3">
      <c r="A102"/>
    </row>
    <row r="103" spans="1:4" ht="14.4" customHeight="1" x14ac:dyDescent="0.3">
      <c r="A103"/>
      <c r="B103"/>
      <c r="C103"/>
      <c r="D103"/>
    </row>
    <row r="104" spans="1:4" ht="14.4" customHeight="1" x14ac:dyDescent="0.3">
      <c r="A104"/>
      <c r="B104"/>
      <c r="C104"/>
      <c r="D104"/>
    </row>
    <row r="105" spans="1:4" ht="14.4" customHeight="1" x14ac:dyDescent="0.3">
      <c r="A105"/>
      <c r="B105"/>
      <c r="C105"/>
      <c r="D105"/>
    </row>
    <row r="106" spans="1:4" ht="14.4" customHeight="1" x14ac:dyDescent="0.3">
      <c r="A106"/>
      <c r="B106"/>
      <c r="C106"/>
      <c r="D106"/>
    </row>
    <row r="107" spans="1:4" ht="14.4" customHeight="1" x14ac:dyDescent="0.3">
      <c r="A107"/>
      <c r="B107"/>
      <c r="C107"/>
      <c r="D107"/>
    </row>
    <row r="108" spans="1:4" ht="14.4" customHeight="1" x14ac:dyDescent="0.3">
      <c r="A108"/>
      <c r="B108"/>
      <c r="C108"/>
      <c r="D108"/>
    </row>
    <row r="109" spans="1:4" ht="14.4" customHeight="1" x14ac:dyDescent="0.3">
      <c r="A109"/>
      <c r="B109"/>
      <c r="C109"/>
      <c r="D109"/>
    </row>
    <row r="110" spans="1:4" ht="14.4" customHeight="1" x14ac:dyDescent="0.3">
      <c r="A110"/>
      <c r="B110"/>
      <c r="C110"/>
      <c r="D110"/>
    </row>
    <row r="111" spans="1:4" ht="14.4" customHeight="1" x14ac:dyDescent="0.3">
      <c r="A111"/>
      <c r="B111"/>
      <c r="C111"/>
      <c r="D111"/>
    </row>
    <row r="112" spans="1:4" ht="14.4" customHeight="1" x14ac:dyDescent="0.3">
      <c r="A112"/>
      <c r="B112"/>
      <c r="C112"/>
      <c r="D112"/>
    </row>
    <row r="113" spans="1:4" ht="14.4" customHeight="1" x14ac:dyDescent="0.3">
      <c r="A113"/>
      <c r="B113"/>
      <c r="C113"/>
      <c r="D113"/>
    </row>
    <row r="114" spans="1:4" ht="14.4" customHeight="1" x14ac:dyDescent="0.3">
      <c r="A114"/>
      <c r="B114"/>
      <c r="C114"/>
      <c r="D114"/>
    </row>
    <row r="115" spans="1:4" ht="14.4" customHeight="1" x14ac:dyDescent="0.3">
      <c r="A115"/>
      <c r="B115"/>
      <c r="C115"/>
      <c r="D115"/>
    </row>
    <row r="116" spans="1:4" ht="14.4" customHeight="1" x14ac:dyDescent="0.3">
      <c r="A116"/>
      <c r="B116"/>
      <c r="C116"/>
      <c r="D116"/>
    </row>
    <row r="117" spans="1:4" ht="14.4" customHeight="1" x14ac:dyDescent="0.3">
      <c r="A117"/>
      <c r="B117"/>
      <c r="C117"/>
      <c r="D117"/>
    </row>
    <row r="118" spans="1:4" ht="14.4" customHeight="1" x14ac:dyDescent="0.3">
      <c r="A118"/>
      <c r="B118"/>
      <c r="C118"/>
      <c r="D118"/>
    </row>
    <row r="119" spans="1:4" ht="14.4" customHeight="1" x14ac:dyDescent="0.3">
      <c r="A119"/>
      <c r="B119"/>
      <c r="C119"/>
      <c r="D119"/>
    </row>
    <row r="120" spans="1:4" ht="14.4" customHeight="1" x14ac:dyDescent="0.3">
      <c r="A120"/>
      <c r="B120"/>
      <c r="C120"/>
      <c r="D120"/>
    </row>
    <row r="121" spans="1:4" ht="14.4" customHeight="1" x14ac:dyDescent="0.3">
      <c r="A121"/>
      <c r="B121"/>
      <c r="C121"/>
      <c r="D121"/>
    </row>
    <row r="122" spans="1:4" ht="14.4" customHeight="1" x14ac:dyDescent="0.3">
      <c r="A122"/>
      <c r="B122"/>
      <c r="C122"/>
      <c r="D122"/>
    </row>
    <row r="123" spans="1:4" ht="14.4" customHeight="1" x14ac:dyDescent="0.3">
      <c r="A123"/>
      <c r="B123"/>
      <c r="C123"/>
      <c r="D123"/>
    </row>
    <row r="124" spans="1:4" ht="14.4" customHeight="1" x14ac:dyDescent="0.3">
      <c r="A124"/>
      <c r="B124"/>
      <c r="C124"/>
      <c r="D124"/>
    </row>
    <row r="125" spans="1:4" ht="14.4" customHeight="1" x14ac:dyDescent="0.3">
      <c r="A125"/>
      <c r="B125"/>
      <c r="C125"/>
      <c r="D125"/>
    </row>
    <row r="126" spans="1:4" ht="14.4" customHeight="1" x14ac:dyDescent="0.3">
      <c r="A126"/>
      <c r="B126"/>
      <c r="C126"/>
      <c r="D126"/>
    </row>
    <row r="127" spans="1:4" ht="14.4" customHeight="1" x14ac:dyDescent="0.3">
      <c r="A127"/>
      <c r="B127"/>
      <c r="C127"/>
      <c r="D127"/>
    </row>
    <row r="128" spans="1:4" ht="14.4" customHeight="1" x14ac:dyDescent="0.3">
      <c r="A128"/>
      <c r="B128"/>
      <c r="C128"/>
      <c r="D128"/>
    </row>
    <row r="129" spans="1:4" ht="14.4" customHeight="1" x14ac:dyDescent="0.3">
      <c r="A129"/>
      <c r="B129"/>
      <c r="C129"/>
      <c r="D129"/>
    </row>
    <row r="130" spans="1:4" ht="14.4" customHeight="1" x14ac:dyDescent="0.3">
      <c r="A130"/>
      <c r="B130"/>
      <c r="C130"/>
      <c r="D130"/>
    </row>
    <row r="131" spans="1:4" ht="14.4" customHeight="1" x14ac:dyDescent="0.3">
      <c r="A131"/>
      <c r="B131"/>
      <c r="C131"/>
      <c r="D131"/>
    </row>
    <row r="132" spans="1:4" ht="14.4" customHeight="1" x14ac:dyDescent="0.3">
      <c r="A132"/>
      <c r="B132"/>
      <c r="C132"/>
      <c r="D132"/>
    </row>
    <row r="133" spans="1:4" ht="14.4" customHeight="1" x14ac:dyDescent="0.3">
      <c r="A133"/>
      <c r="B133"/>
      <c r="C133"/>
      <c r="D133"/>
    </row>
    <row r="134" spans="1:4" ht="14.4" customHeight="1" x14ac:dyDescent="0.3">
      <c r="A134"/>
      <c r="B134"/>
      <c r="C134"/>
      <c r="D134"/>
    </row>
    <row r="135" spans="1:4" ht="14.4" customHeight="1" x14ac:dyDescent="0.3">
      <c r="A135"/>
      <c r="B135"/>
      <c r="C135"/>
      <c r="D135"/>
    </row>
    <row r="136" spans="1:4" ht="14.4" customHeight="1" x14ac:dyDescent="0.3">
      <c r="A136"/>
      <c r="B136"/>
      <c r="C136"/>
      <c r="D136"/>
    </row>
    <row r="137" spans="1:4" ht="14.4" customHeight="1" x14ac:dyDescent="0.3">
      <c r="A137"/>
      <c r="B137"/>
      <c r="C137"/>
      <c r="D137"/>
    </row>
    <row r="138" spans="1:4" ht="14.4" customHeight="1" x14ac:dyDescent="0.3">
      <c r="A138"/>
      <c r="B138"/>
      <c r="C138"/>
      <c r="D138"/>
    </row>
    <row r="139" spans="1:4" ht="14.4" customHeight="1" x14ac:dyDescent="0.3">
      <c r="A139"/>
      <c r="B139"/>
      <c r="C139"/>
      <c r="D139"/>
    </row>
    <row r="140" spans="1:4" ht="14.4" customHeight="1" x14ac:dyDescent="0.3">
      <c r="A140"/>
      <c r="B140"/>
      <c r="C140"/>
      <c r="D140"/>
    </row>
    <row r="141" spans="1:4" ht="14.4" customHeight="1" x14ac:dyDescent="0.3">
      <c r="A141"/>
      <c r="B141"/>
      <c r="C141"/>
      <c r="D141"/>
    </row>
    <row r="142" spans="1:4" ht="14.4" customHeight="1" x14ac:dyDescent="0.3">
      <c r="A142"/>
      <c r="B142"/>
      <c r="C142"/>
      <c r="D142"/>
    </row>
    <row r="143" spans="1:4" ht="14.4" customHeight="1" x14ac:dyDescent="0.3">
      <c r="A143"/>
      <c r="B143"/>
      <c r="C143"/>
      <c r="D143"/>
    </row>
    <row r="144" spans="1:4" ht="14.4" customHeight="1" x14ac:dyDescent="0.3">
      <c r="A144"/>
      <c r="B144"/>
      <c r="C144"/>
      <c r="D144"/>
    </row>
    <row r="145" spans="1:4" ht="14.4" customHeight="1" x14ac:dyDescent="0.3">
      <c r="A145"/>
      <c r="B145"/>
      <c r="C145"/>
      <c r="D145"/>
    </row>
    <row r="146" spans="1:4" ht="14.4" customHeight="1" x14ac:dyDescent="0.3">
      <c r="A146"/>
      <c r="B146"/>
      <c r="C146"/>
      <c r="D146"/>
    </row>
    <row r="147" spans="1:4" ht="14.4" customHeight="1" x14ac:dyDescent="0.3">
      <c r="A147"/>
      <c r="B147"/>
      <c r="C147"/>
      <c r="D147"/>
    </row>
    <row r="148" spans="1:4" ht="14.4" customHeight="1" x14ac:dyDescent="0.3">
      <c r="A148"/>
      <c r="B148"/>
      <c r="C148"/>
      <c r="D148"/>
    </row>
    <row r="149" spans="1:4" ht="14.4" customHeight="1" x14ac:dyDescent="0.3">
      <c r="A149"/>
      <c r="B149"/>
      <c r="C149"/>
      <c r="D149"/>
    </row>
    <row r="150" spans="1:4" ht="14.4" customHeight="1" x14ac:dyDescent="0.3">
      <c r="A150"/>
      <c r="B150"/>
      <c r="C150"/>
      <c r="D150"/>
    </row>
    <row r="151" spans="1:4" ht="14.4" customHeight="1" x14ac:dyDescent="0.3">
      <c r="A151"/>
      <c r="B151"/>
      <c r="C151"/>
      <c r="D151"/>
    </row>
    <row r="152" spans="1:4" ht="14.4" customHeight="1" x14ac:dyDescent="0.3">
      <c r="A152"/>
      <c r="B152"/>
      <c r="C152"/>
      <c r="D152"/>
    </row>
    <row r="153" spans="1:4" ht="14.4" customHeight="1" x14ac:dyDescent="0.3">
      <c r="A153"/>
      <c r="B153"/>
      <c r="C153"/>
      <c r="D153"/>
    </row>
    <row r="154" spans="1:4" ht="14.4" customHeight="1" x14ac:dyDescent="0.3">
      <c r="A154"/>
      <c r="B154"/>
      <c r="C154"/>
      <c r="D154"/>
    </row>
    <row r="155" spans="1:4" ht="14.4" customHeight="1" x14ac:dyDescent="0.3">
      <c r="A155"/>
      <c r="B155"/>
      <c r="C155"/>
      <c r="D155"/>
    </row>
    <row r="156" spans="1:4" ht="14.4" customHeight="1" x14ac:dyDescent="0.3">
      <c r="A156"/>
      <c r="B156"/>
      <c r="C156"/>
      <c r="D156"/>
    </row>
    <row r="157" spans="1:4" ht="14.4" customHeight="1" x14ac:dyDescent="0.3">
      <c r="A157"/>
      <c r="B157"/>
      <c r="C157"/>
      <c r="D157"/>
    </row>
    <row r="158" spans="1:4" ht="14.4" customHeight="1" x14ac:dyDescent="0.3">
      <c r="A158"/>
      <c r="B158"/>
      <c r="C158"/>
      <c r="D158"/>
    </row>
    <row r="159" spans="1:4" ht="14.4" customHeight="1" x14ac:dyDescent="0.3">
      <c r="A159"/>
      <c r="B159"/>
      <c r="C159"/>
      <c r="D159"/>
    </row>
    <row r="160" spans="1:4" ht="14.4" customHeight="1" x14ac:dyDescent="0.3">
      <c r="A160"/>
      <c r="B160"/>
      <c r="C160"/>
      <c r="D160"/>
    </row>
    <row r="161" spans="1:4" ht="14.4" customHeight="1" x14ac:dyDescent="0.3">
      <c r="A161"/>
      <c r="B161"/>
      <c r="C161"/>
      <c r="D161"/>
    </row>
    <row r="162" spans="1:4" ht="14.4" customHeight="1" x14ac:dyDescent="0.3">
      <c r="A162"/>
      <c r="B162"/>
      <c r="C162"/>
      <c r="D162"/>
    </row>
    <row r="163" spans="1:4" ht="14.4" customHeight="1" x14ac:dyDescent="0.3">
      <c r="A163"/>
      <c r="B163"/>
      <c r="C163"/>
      <c r="D163"/>
    </row>
    <row r="164" spans="1:4" ht="14.4" customHeight="1" x14ac:dyDescent="0.3">
      <c r="A164"/>
      <c r="B164"/>
      <c r="C164"/>
      <c r="D164"/>
    </row>
    <row r="165" spans="1:4" ht="14.4" customHeight="1" x14ac:dyDescent="0.3">
      <c r="A165"/>
      <c r="B165"/>
      <c r="C165"/>
      <c r="D165"/>
    </row>
    <row r="166" spans="1:4" ht="14.4" customHeight="1" x14ac:dyDescent="0.3">
      <c r="A166"/>
      <c r="B166"/>
      <c r="C166"/>
      <c r="D166"/>
    </row>
    <row r="167" spans="1:4" ht="14.4" customHeight="1" x14ac:dyDescent="0.3">
      <c r="A167"/>
      <c r="B167"/>
      <c r="C167"/>
      <c r="D167"/>
    </row>
    <row r="168" spans="1:4" ht="14.4" customHeight="1" x14ac:dyDescent="0.3">
      <c r="A168"/>
      <c r="B168"/>
      <c r="C168"/>
      <c r="D168"/>
    </row>
    <row r="169" spans="1:4" ht="14.4" customHeight="1" x14ac:dyDescent="0.3">
      <c r="A169"/>
      <c r="B169"/>
      <c r="C169"/>
      <c r="D169"/>
    </row>
    <row r="170" spans="1:4" ht="14.4" customHeight="1" x14ac:dyDescent="0.3">
      <c r="A170"/>
      <c r="B170"/>
      <c r="C170"/>
      <c r="D170"/>
    </row>
    <row r="171" spans="1:4" ht="14.4" customHeight="1" x14ac:dyDescent="0.3">
      <c r="A171"/>
      <c r="B171"/>
      <c r="C171"/>
      <c r="D171"/>
    </row>
    <row r="172" spans="1:4" ht="14.4" customHeight="1" x14ac:dyDescent="0.3">
      <c r="A172"/>
      <c r="B172"/>
      <c r="C172"/>
      <c r="D172"/>
    </row>
    <row r="173" spans="1:4" ht="14.4" customHeight="1" x14ac:dyDescent="0.3">
      <c r="A173"/>
      <c r="B173"/>
      <c r="C173"/>
      <c r="D173"/>
    </row>
    <row r="174" spans="1:4" ht="14.4" customHeight="1" x14ac:dyDescent="0.3">
      <c r="A174"/>
      <c r="B174"/>
      <c r="C174"/>
      <c r="D174"/>
    </row>
    <row r="175" spans="1:4" ht="14.4" customHeight="1" x14ac:dyDescent="0.3">
      <c r="A175"/>
      <c r="B175"/>
      <c r="C175"/>
      <c r="D175"/>
    </row>
    <row r="176" spans="1:4" ht="14.4" customHeight="1" x14ac:dyDescent="0.3">
      <c r="A176"/>
      <c r="B176"/>
      <c r="C176"/>
      <c r="D176"/>
    </row>
    <row r="177" spans="1:4" ht="14.4" customHeight="1" x14ac:dyDescent="0.3">
      <c r="A177"/>
      <c r="B177"/>
      <c r="C177"/>
      <c r="D177"/>
    </row>
    <row r="178" spans="1:4" ht="14.4" customHeight="1" x14ac:dyDescent="0.3">
      <c r="A178"/>
      <c r="B178"/>
      <c r="C178"/>
      <c r="D178"/>
    </row>
    <row r="179" spans="1:4" ht="14.4" customHeight="1" x14ac:dyDescent="0.3">
      <c r="A179"/>
      <c r="B179"/>
      <c r="C179"/>
      <c r="D179"/>
    </row>
    <row r="180" spans="1:4" ht="14.4" customHeight="1" x14ac:dyDescent="0.3">
      <c r="A180"/>
      <c r="B180"/>
      <c r="C180"/>
      <c r="D180"/>
    </row>
    <row r="181" spans="1:4" ht="14.4" customHeight="1" x14ac:dyDescent="0.3">
      <c r="A181"/>
      <c r="B181"/>
      <c r="C181"/>
      <c r="D181"/>
    </row>
    <row r="182" spans="1:4" ht="14.4" customHeight="1" x14ac:dyDescent="0.3">
      <c r="A182"/>
      <c r="B182"/>
      <c r="C182"/>
      <c r="D182"/>
    </row>
    <row r="183" spans="1:4" ht="14.4" customHeight="1" x14ac:dyDescent="0.3">
      <c r="A183"/>
      <c r="B183"/>
      <c r="C183"/>
      <c r="D183"/>
    </row>
    <row r="184" spans="1:4" ht="14.4" customHeight="1" x14ac:dyDescent="0.3">
      <c r="A184"/>
      <c r="B184"/>
      <c r="C184"/>
      <c r="D184"/>
    </row>
    <row r="185" spans="1:4" ht="14.4" customHeight="1" x14ac:dyDescent="0.3">
      <c r="A185"/>
      <c r="B185"/>
      <c r="C185"/>
      <c r="D185"/>
    </row>
    <row r="186" spans="1:4" ht="14.4" customHeight="1" x14ac:dyDescent="0.3">
      <c r="A186"/>
      <c r="B186"/>
      <c r="C186"/>
      <c r="D186"/>
    </row>
    <row r="187" spans="1:4" ht="14.4" customHeight="1" x14ac:dyDescent="0.3">
      <c r="A187"/>
      <c r="B187"/>
      <c r="C187"/>
      <c r="D187"/>
    </row>
    <row r="188" spans="1:4" ht="14.4" customHeight="1" x14ac:dyDescent="0.3">
      <c r="A188"/>
      <c r="B188"/>
      <c r="C188"/>
      <c r="D188"/>
    </row>
    <row r="189" spans="1:4" ht="14.4" customHeight="1" x14ac:dyDescent="0.3">
      <c r="A189"/>
      <c r="B189"/>
      <c r="C189"/>
      <c r="D189"/>
    </row>
    <row r="190" spans="1:4" ht="14.4" customHeight="1" x14ac:dyDescent="0.3">
      <c r="A190"/>
      <c r="B190"/>
      <c r="C190"/>
      <c r="D190"/>
    </row>
    <row r="191" spans="1:4" ht="14.4" customHeight="1" x14ac:dyDescent="0.3">
      <c r="A191"/>
      <c r="B191"/>
      <c r="C191"/>
      <c r="D191"/>
    </row>
    <row r="192" spans="1:4" ht="14.4" customHeight="1" x14ac:dyDescent="0.3">
      <c r="A192"/>
      <c r="B192"/>
      <c r="C192"/>
      <c r="D192"/>
    </row>
    <row r="193" spans="1:20" ht="14.4" customHeight="1" x14ac:dyDescent="0.3">
      <c r="A193"/>
      <c r="B193"/>
      <c r="C193"/>
      <c r="D193"/>
    </row>
    <row r="194" spans="1:20" ht="14.4" customHeight="1" x14ac:dyDescent="0.3">
      <c r="A194"/>
      <c r="B194"/>
      <c r="C194"/>
      <c r="D194"/>
    </row>
    <row r="195" spans="1:20" ht="14.4" customHeight="1" x14ac:dyDescent="0.3">
      <c r="A195"/>
      <c r="B195"/>
      <c r="C195"/>
      <c r="D195"/>
    </row>
    <row r="196" spans="1:20" ht="14.4" customHeight="1" x14ac:dyDescent="0.3">
      <c r="A196"/>
      <c r="B196"/>
      <c r="C196"/>
      <c r="D196"/>
    </row>
    <row r="197" spans="1:20" ht="14.4" customHeight="1" x14ac:dyDescent="0.3">
      <c r="A197"/>
      <c r="B197"/>
      <c r="C197"/>
      <c r="D197"/>
    </row>
    <row r="198" spans="1:20" ht="14.4" customHeight="1" x14ac:dyDescent="0.3">
      <c r="A198"/>
      <c r="B198"/>
      <c r="C198"/>
      <c r="D198"/>
    </row>
    <row r="199" spans="1:20" ht="14.4" customHeight="1" x14ac:dyDescent="0.3">
      <c r="A199"/>
      <c r="B199"/>
      <c r="C199"/>
      <c r="D199"/>
    </row>
    <row r="200" spans="1:20" ht="14.4" customHeight="1" x14ac:dyDescent="0.3">
      <c r="A200"/>
      <c r="B200"/>
      <c r="C200"/>
      <c r="D200"/>
    </row>
    <row r="201" spans="1:20" x14ac:dyDescent="0.3">
      <c r="R201" s="255"/>
      <c r="S201" s="255"/>
      <c r="T201" s="255"/>
    </row>
    <row r="202" spans="1:20" x14ac:dyDescent="0.3">
      <c r="R202" s="255"/>
      <c r="S202" s="255"/>
      <c r="T202" s="255"/>
    </row>
    <row r="203" spans="1:20" x14ac:dyDescent="0.3">
      <c r="R203" s="255"/>
      <c r="S203" s="255"/>
      <c r="T203" s="255"/>
    </row>
    <row r="204" spans="1:20" x14ac:dyDescent="0.3">
      <c r="R204" s="255"/>
      <c r="S204" s="255"/>
      <c r="T204" s="255"/>
    </row>
    <row r="205" spans="1:20" x14ac:dyDescent="0.3">
      <c r="R205" s="255"/>
      <c r="S205" s="255"/>
      <c r="T205" s="255"/>
    </row>
    <row r="206" spans="1:20" x14ac:dyDescent="0.3">
      <c r="R206" s="255"/>
      <c r="S206" s="255"/>
      <c r="T206" s="255"/>
    </row>
    <row r="207" spans="1:20" x14ac:dyDescent="0.3">
      <c r="R207" s="255"/>
      <c r="S207" s="255"/>
      <c r="T207" s="255"/>
    </row>
    <row r="208" spans="1:20" x14ac:dyDescent="0.3">
      <c r="R208" s="255"/>
      <c r="S208" s="255"/>
      <c r="T208" s="255"/>
    </row>
    <row r="209" spans="18:20" x14ac:dyDescent="0.3">
      <c r="R209" s="255"/>
      <c r="S209" s="255"/>
      <c r="T209" s="255"/>
    </row>
    <row r="210" spans="18:20" x14ac:dyDescent="0.3">
      <c r="R210" s="255"/>
      <c r="S210" s="255"/>
      <c r="T210" s="255"/>
    </row>
    <row r="211" spans="18:20" x14ac:dyDescent="0.3">
      <c r="R211" s="255"/>
      <c r="S211" s="255"/>
      <c r="T211" s="255"/>
    </row>
    <row r="212" spans="18:20" x14ac:dyDescent="0.3">
      <c r="R212" s="255"/>
      <c r="S212" s="255"/>
      <c r="T212" s="255"/>
    </row>
    <row r="213" spans="18:20" x14ac:dyDescent="0.3">
      <c r="R213" s="255"/>
      <c r="S213" s="255"/>
      <c r="T213" s="255"/>
    </row>
    <row r="214" spans="18:20" x14ac:dyDescent="0.3">
      <c r="R214" s="255"/>
      <c r="S214" s="255"/>
      <c r="T214" s="255"/>
    </row>
    <row r="215" spans="18:20" x14ac:dyDescent="0.3">
      <c r="R215" s="255"/>
      <c r="S215" s="255"/>
      <c r="T215" s="255"/>
    </row>
    <row r="216" spans="18:20" x14ac:dyDescent="0.3">
      <c r="R216" s="255"/>
      <c r="S216" s="255"/>
      <c r="T216" s="255"/>
    </row>
    <row r="217" spans="18:20" x14ac:dyDescent="0.3">
      <c r="R217" s="255"/>
      <c r="S217" s="255"/>
      <c r="T217" s="255"/>
    </row>
    <row r="218" spans="18:20" x14ac:dyDescent="0.3">
      <c r="R218" s="255"/>
      <c r="S218" s="255"/>
      <c r="T218" s="255"/>
    </row>
    <row r="219" spans="18:20" x14ac:dyDescent="0.3">
      <c r="R219" s="255"/>
      <c r="S219" s="255"/>
      <c r="T219" s="255"/>
    </row>
    <row r="220" spans="18:20" x14ac:dyDescent="0.3">
      <c r="R220" s="255"/>
      <c r="S220" s="255"/>
      <c r="T220" s="255"/>
    </row>
    <row r="221" spans="18:20" x14ac:dyDescent="0.3">
      <c r="R221" s="255"/>
      <c r="S221" s="255"/>
      <c r="T221" s="255"/>
    </row>
    <row r="222" spans="18:20" x14ac:dyDescent="0.3">
      <c r="R222" s="255"/>
      <c r="S222" s="255"/>
      <c r="T222" s="255"/>
    </row>
    <row r="223" spans="18:20" x14ac:dyDescent="0.3">
      <c r="R223" s="255"/>
      <c r="S223" s="255"/>
      <c r="T223" s="255"/>
    </row>
    <row r="224" spans="18:20" x14ac:dyDescent="0.3">
      <c r="R224" s="255"/>
      <c r="S224" s="255"/>
      <c r="T224" s="255"/>
    </row>
    <row r="225" spans="18:20" x14ac:dyDescent="0.3">
      <c r="R225" s="255"/>
      <c r="S225" s="255"/>
      <c r="T225" s="255"/>
    </row>
    <row r="226" spans="18:20" x14ac:dyDescent="0.3">
      <c r="R226" s="255"/>
      <c r="S226" s="255"/>
      <c r="T226" s="255"/>
    </row>
    <row r="227" spans="18:20" x14ac:dyDescent="0.3">
      <c r="R227" s="255"/>
      <c r="S227" s="255"/>
      <c r="T227" s="255"/>
    </row>
    <row r="228" spans="18:20" x14ac:dyDescent="0.3">
      <c r="R228" s="255"/>
      <c r="S228" s="255"/>
      <c r="T228" s="255"/>
    </row>
    <row r="229" spans="18:20" x14ac:dyDescent="0.3">
      <c r="R229" s="255"/>
      <c r="S229" s="255"/>
      <c r="T229" s="255"/>
    </row>
    <row r="230" spans="18:20" x14ac:dyDescent="0.3">
      <c r="R230" s="255"/>
      <c r="S230" s="255"/>
      <c r="T230" s="255"/>
    </row>
    <row r="231" spans="18:20" x14ac:dyDescent="0.3">
      <c r="R231" s="255"/>
      <c r="S231" s="255"/>
      <c r="T231" s="255"/>
    </row>
    <row r="232" spans="18:20" x14ac:dyDescent="0.3">
      <c r="R232" s="255"/>
      <c r="S232" s="255"/>
      <c r="T232" s="255"/>
    </row>
    <row r="233" spans="18:20" x14ac:dyDescent="0.3">
      <c r="R233" s="255"/>
      <c r="S233" s="255"/>
      <c r="T233" s="255"/>
    </row>
    <row r="234" spans="18:20" x14ac:dyDescent="0.3">
      <c r="R234" s="255"/>
      <c r="S234" s="255"/>
      <c r="T234" s="255"/>
    </row>
    <row r="235" spans="18:20" x14ac:dyDescent="0.3">
      <c r="R235" s="255"/>
      <c r="S235" s="255"/>
      <c r="T235" s="255"/>
    </row>
    <row r="236" spans="18:20" x14ac:dyDescent="0.3">
      <c r="R236" s="255"/>
      <c r="S236" s="255"/>
      <c r="T236" s="255"/>
    </row>
    <row r="237" spans="18:20" x14ac:dyDescent="0.3">
      <c r="R237" s="255"/>
      <c r="S237" s="255"/>
      <c r="T237" s="255"/>
    </row>
    <row r="238" spans="18:20" x14ac:dyDescent="0.3">
      <c r="R238" s="255"/>
      <c r="S238" s="255"/>
      <c r="T238" s="255"/>
    </row>
    <row r="239" spans="18:20" x14ac:dyDescent="0.3">
      <c r="R239" s="255"/>
      <c r="S239" s="255"/>
      <c r="T239" s="255"/>
    </row>
    <row r="240" spans="18:20" x14ac:dyDescent="0.3">
      <c r="R240" s="255"/>
      <c r="S240" s="255"/>
      <c r="T240" s="255"/>
    </row>
    <row r="241" spans="18:20" x14ac:dyDescent="0.3">
      <c r="R241" s="255"/>
      <c r="S241" s="255"/>
      <c r="T241" s="255"/>
    </row>
    <row r="242" spans="18:20" x14ac:dyDescent="0.3">
      <c r="R242" s="255"/>
      <c r="S242" s="255"/>
      <c r="T242" s="255"/>
    </row>
    <row r="243" spans="18:20" x14ac:dyDescent="0.3">
      <c r="R243" s="255"/>
      <c r="S243" s="255"/>
      <c r="T243" s="255"/>
    </row>
    <row r="244" spans="18:20" x14ac:dyDescent="0.3">
      <c r="R244" s="255"/>
      <c r="S244" s="255"/>
      <c r="T244" s="255"/>
    </row>
    <row r="245" spans="18:20" x14ac:dyDescent="0.3">
      <c r="R245" s="255"/>
      <c r="S245" s="255"/>
      <c r="T245" s="255"/>
    </row>
    <row r="246" spans="18:20" x14ac:dyDescent="0.3">
      <c r="R246" s="255"/>
      <c r="S246" s="255"/>
      <c r="T246" s="255"/>
    </row>
    <row r="247" spans="18:20" x14ac:dyDescent="0.3">
      <c r="R247" s="255"/>
      <c r="S247" s="255"/>
      <c r="T247" s="255"/>
    </row>
    <row r="248" spans="18:20" x14ac:dyDescent="0.3">
      <c r="R248" s="255"/>
      <c r="S248" s="255"/>
      <c r="T248" s="255"/>
    </row>
    <row r="249" spans="18:20" x14ac:dyDescent="0.3">
      <c r="R249" s="255"/>
      <c r="S249" s="255"/>
      <c r="T249" s="255"/>
    </row>
    <row r="250" spans="18:20" x14ac:dyDescent="0.3">
      <c r="R250" s="255"/>
      <c r="S250" s="255"/>
      <c r="T250" s="255"/>
    </row>
    <row r="251" spans="18:20" x14ac:dyDescent="0.3">
      <c r="R251" s="255"/>
      <c r="S251" s="255"/>
      <c r="T251" s="255"/>
    </row>
    <row r="252" spans="18:20" x14ac:dyDescent="0.3">
      <c r="R252" s="255"/>
      <c r="S252" s="255"/>
      <c r="T252" s="255"/>
    </row>
    <row r="253" spans="18:20" x14ac:dyDescent="0.3">
      <c r="R253" s="255"/>
      <c r="S253" s="255"/>
      <c r="T253" s="255"/>
    </row>
    <row r="254" spans="18:20" x14ac:dyDescent="0.3">
      <c r="R254" s="255"/>
      <c r="S254" s="255"/>
      <c r="T254" s="255"/>
    </row>
    <row r="255" spans="18:20" x14ac:dyDescent="0.3">
      <c r="R255" s="255"/>
      <c r="S255" s="255"/>
      <c r="T255" s="255"/>
    </row>
    <row r="256" spans="18:20" x14ac:dyDescent="0.3">
      <c r="R256" s="255"/>
      <c r="S256" s="255"/>
      <c r="T256" s="255"/>
    </row>
    <row r="257" spans="18:20" x14ac:dyDescent="0.3">
      <c r="R257" s="255"/>
      <c r="S257" s="255"/>
      <c r="T257" s="255"/>
    </row>
    <row r="258" spans="18:20" x14ac:dyDescent="0.3">
      <c r="R258" s="255"/>
      <c r="S258" s="255"/>
      <c r="T258" s="255"/>
    </row>
    <row r="259" spans="18:20" x14ac:dyDescent="0.3">
      <c r="R259" s="255"/>
      <c r="S259" s="255"/>
      <c r="T259" s="255"/>
    </row>
    <row r="260" spans="18:20" x14ac:dyDescent="0.3">
      <c r="R260" s="255"/>
      <c r="S260" s="255"/>
      <c r="T260" s="255"/>
    </row>
    <row r="261" spans="18:20" x14ac:dyDescent="0.3">
      <c r="R261" s="255"/>
      <c r="S261" s="255"/>
      <c r="T261" s="255"/>
    </row>
    <row r="262" spans="18:20" x14ac:dyDescent="0.3">
      <c r="R262" s="255"/>
      <c r="S262" s="255"/>
      <c r="T262" s="255"/>
    </row>
    <row r="263" spans="18:20" x14ac:dyDescent="0.3">
      <c r="R263" s="255"/>
      <c r="S263" s="255"/>
      <c r="T263" s="255"/>
    </row>
    <row r="264" spans="18:20" x14ac:dyDescent="0.3">
      <c r="R264" s="255"/>
      <c r="S264" s="255"/>
      <c r="T264" s="255"/>
    </row>
    <row r="265" spans="18:20" x14ac:dyDescent="0.3">
      <c r="R265" s="255"/>
      <c r="S265" s="255"/>
      <c r="T265" s="255"/>
    </row>
    <row r="266" spans="18:20" x14ac:dyDescent="0.3">
      <c r="R266" s="255"/>
      <c r="S266" s="255"/>
      <c r="T266" s="255"/>
    </row>
    <row r="267" spans="18:20" x14ac:dyDescent="0.3">
      <c r="R267" s="255"/>
      <c r="S267" s="255"/>
      <c r="T267" s="255"/>
    </row>
    <row r="268" spans="18:20" x14ac:dyDescent="0.3">
      <c r="R268" s="255"/>
      <c r="S268" s="255"/>
      <c r="T268" s="255"/>
    </row>
    <row r="269" spans="18:20" x14ac:dyDescent="0.3">
      <c r="R269" s="255"/>
      <c r="S269" s="255"/>
      <c r="T269" s="255"/>
    </row>
    <row r="270" spans="18:20" x14ac:dyDescent="0.3">
      <c r="R270" s="255"/>
      <c r="S270" s="255"/>
      <c r="T270" s="255"/>
    </row>
    <row r="271" spans="18:20" x14ac:dyDescent="0.3">
      <c r="R271" s="255"/>
      <c r="S271" s="255"/>
      <c r="T271" s="255"/>
    </row>
    <row r="272" spans="18:20" x14ac:dyDescent="0.3">
      <c r="R272" s="255"/>
      <c r="S272" s="255"/>
      <c r="T272" s="255"/>
    </row>
    <row r="273" spans="18:20" x14ac:dyDescent="0.3">
      <c r="R273" s="255"/>
      <c r="S273" s="255"/>
      <c r="T273" s="255"/>
    </row>
    <row r="274" spans="18:20" x14ac:dyDescent="0.3">
      <c r="R274" s="255"/>
      <c r="S274" s="255"/>
      <c r="T274" s="255"/>
    </row>
    <row r="275" spans="18:20" x14ac:dyDescent="0.3">
      <c r="R275" s="255"/>
      <c r="S275" s="255"/>
      <c r="T275" s="255"/>
    </row>
    <row r="276" spans="18:20" x14ac:dyDescent="0.3">
      <c r="R276" s="255"/>
      <c r="S276" s="255"/>
      <c r="T276" s="255"/>
    </row>
    <row r="277" spans="18:20" x14ac:dyDescent="0.3">
      <c r="R277" s="255"/>
      <c r="S277" s="255"/>
      <c r="T277" s="255"/>
    </row>
    <row r="278" spans="18:20" x14ac:dyDescent="0.3">
      <c r="R278" s="255"/>
      <c r="S278" s="255"/>
      <c r="T278" s="255"/>
    </row>
    <row r="279" spans="18:20" x14ac:dyDescent="0.3">
      <c r="R279" s="255"/>
      <c r="S279" s="255"/>
      <c r="T279" s="255"/>
    </row>
    <row r="280" spans="18:20" x14ac:dyDescent="0.3">
      <c r="R280" s="255"/>
      <c r="S280" s="255"/>
      <c r="T280" s="255"/>
    </row>
    <row r="281" spans="18:20" x14ac:dyDescent="0.3">
      <c r="R281" s="255"/>
      <c r="S281" s="255"/>
      <c r="T281" s="255"/>
    </row>
    <row r="282" spans="18:20" x14ac:dyDescent="0.3">
      <c r="R282" s="255"/>
      <c r="S282" s="255"/>
      <c r="T282" s="255"/>
    </row>
    <row r="283" spans="18:20" x14ac:dyDescent="0.3">
      <c r="R283" s="255"/>
      <c r="S283" s="255"/>
      <c r="T283" s="255"/>
    </row>
    <row r="284" spans="18:20" x14ac:dyDescent="0.3">
      <c r="R284" s="255"/>
      <c r="S284" s="255"/>
      <c r="T284" s="255"/>
    </row>
    <row r="285" spans="18:20" x14ac:dyDescent="0.3">
      <c r="R285" s="255"/>
      <c r="S285" s="255"/>
      <c r="T285" s="255"/>
    </row>
    <row r="286" spans="18:20" x14ac:dyDescent="0.3">
      <c r="R286" s="255"/>
      <c r="S286" s="255"/>
      <c r="T286" s="255"/>
    </row>
    <row r="287" spans="18:20" x14ac:dyDescent="0.3">
      <c r="R287" s="255"/>
      <c r="S287" s="255"/>
      <c r="T287" s="255"/>
    </row>
    <row r="288" spans="18:20" x14ac:dyDescent="0.3">
      <c r="R288" s="255"/>
      <c r="S288" s="255"/>
      <c r="T288" s="255"/>
    </row>
    <row r="289" spans="18:20" x14ac:dyDescent="0.3">
      <c r="R289" s="255"/>
      <c r="S289" s="255"/>
      <c r="T289" s="255"/>
    </row>
    <row r="290" spans="18:20" x14ac:dyDescent="0.3">
      <c r="R290" s="255"/>
      <c r="S290" s="255"/>
      <c r="T290" s="255"/>
    </row>
    <row r="291" spans="18:20" x14ac:dyDescent="0.3">
      <c r="R291" s="255"/>
      <c r="S291" s="255"/>
      <c r="T291" s="255"/>
    </row>
    <row r="292" spans="18:20" x14ac:dyDescent="0.3">
      <c r="R292" s="255"/>
      <c r="S292" s="255"/>
      <c r="T292" s="255"/>
    </row>
    <row r="293" spans="18:20" x14ac:dyDescent="0.3">
      <c r="R293" s="255"/>
      <c r="S293" s="255"/>
      <c r="T293" s="255"/>
    </row>
    <row r="294" spans="18:20" x14ac:dyDescent="0.3">
      <c r="R294" s="255"/>
      <c r="S294" s="255"/>
      <c r="T294" s="255"/>
    </row>
    <row r="295" spans="18:20" x14ac:dyDescent="0.3">
      <c r="R295" s="255"/>
      <c r="S295" s="255"/>
      <c r="T295" s="255"/>
    </row>
    <row r="296" spans="18:20" x14ac:dyDescent="0.3">
      <c r="R296" s="255"/>
      <c r="S296" s="255"/>
      <c r="T296" s="255"/>
    </row>
    <row r="297" spans="18:20" x14ac:dyDescent="0.3">
      <c r="R297" s="255"/>
      <c r="S297" s="255"/>
      <c r="T297" s="255"/>
    </row>
    <row r="298" spans="18:20" x14ac:dyDescent="0.3">
      <c r="R298" s="255"/>
      <c r="S298" s="255"/>
      <c r="T298" s="255"/>
    </row>
    <row r="299" spans="18:20" x14ac:dyDescent="0.3">
      <c r="R299" s="255"/>
      <c r="S299" s="255"/>
      <c r="T299" s="255"/>
    </row>
    <row r="300" spans="18:20" x14ac:dyDescent="0.3">
      <c r="R300" s="255"/>
      <c r="S300" s="255"/>
      <c r="T300" s="255"/>
    </row>
    <row r="301" spans="18:20" x14ac:dyDescent="0.3">
      <c r="R301" s="255"/>
      <c r="S301" s="255"/>
      <c r="T301" s="255"/>
    </row>
    <row r="302" spans="18:20" x14ac:dyDescent="0.3">
      <c r="R302" s="255"/>
      <c r="S302" s="255"/>
      <c r="T302" s="255"/>
    </row>
    <row r="303" spans="18:20" x14ac:dyDescent="0.3">
      <c r="R303" s="255"/>
      <c r="S303" s="255"/>
      <c r="T303" s="255"/>
    </row>
    <row r="304" spans="18:20" x14ac:dyDescent="0.3">
      <c r="R304" s="255"/>
      <c r="S304" s="255"/>
      <c r="T304" s="255"/>
    </row>
    <row r="305" spans="18:20" x14ac:dyDescent="0.3">
      <c r="R305" s="255"/>
      <c r="S305" s="255"/>
      <c r="T305" s="255"/>
    </row>
    <row r="306" spans="18:20" x14ac:dyDescent="0.3">
      <c r="R306" s="255"/>
      <c r="S306" s="255"/>
      <c r="T306" s="255"/>
    </row>
    <row r="307" spans="18:20" x14ac:dyDescent="0.3">
      <c r="R307" s="255"/>
      <c r="S307" s="255"/>
      <c r="T307" s="255"/>
    </row>
    <row r="308" spans="18:20" x14ac:dyDescent="0.3">
      <c r="R308" s="255"/>
      <c r="S308" s="255"/>
      <c r="T308" s="255"/>
    </row>
    <row r="309" spans="18:20" x14ac:dyDescent="0.3">
      <c r="R309" s="255"/>
      <c r="S309" s="255"/>
      <c r="T309" s="255"/>
    </row>
    <row r="310" spans="18:20" x14ac:dyDescent="0.3">
      <c r="R310" s="255"/>
      <c r="S310" s="255"/>
      <c r="T310" s="255"/>
    </row>
    <row r="311" spans="18:20" x14ac:dyDescent="0.3">
      <c r="R311" s="255"/>
      <c r="S311" s="255"/>
      <c r="T311" s="255"/>
    </row>
    <row r="312" spans="18:20" x14ac:dyDescent="0.3">
      <c r="R312" s="255"/>
      <c r="S312" s="255"/>
      <c r="T312" s="255"/>
    </row>
    <row r="313" spans="18:20" x14ac:dyDescent="0.3">
      <c r="R313" s="255"/>
      <c r="S313" s="255"/>
      <c r="T313" s="255"/>
    </row>
    <row r="314" spans="18:20" x14ac:dyDescent="0.3">
      <c r="R314" s="255"/>
      <c r="S314" s="255"/>
      <c r="T314" s="255"/>
    </row>
    <row r="315" spans="18:20" x14ac:dyDescent="0.3">
      <c r="R315" s="255"/>
      <c r="S315" s="255"/>
      <c r="T315" s="255"/>
    </row>
    <row r="316" spans="18:20" x14ac:dyDescent="0.3">
      <c r="R316" s="255"/>
      <c r="S316" s="255"/>
      <c r="T316" s="255"/>
    </row>
    <row r="317" spans="18:20" x14ac:dyDescent="0.3">
      <c r="R317" s="255"/>
      <c r="S317" s="255"/>
      <c r="T317" s="255"/>
    </row>
    <row r="318" spans="18:20" x14ac:dyDescent="0.3">
      <c r="R318" s="255"/>
      <c r="S318" s="255"/>
      <c r="T318" s="255"/>
    </row>
    <row r="319" spans="18:20" x14ac:dyDescent="0.3">
      <c r="R319" s="255"/>
      <c r="S319" s="255"/>
      <c r="T319" s="255"/>
    </row>
    <row r="320" spans="18:20" x14ac:dyDescent="0.3">
      <c r="R320" s="255"/>
      <c r="S320" s="255"/>
      <c r="T320" s="255"/>
    </row>
    <row r="321" spans="18:20" x14ac:dyDescent="0.3">
      <c r="R321" s="255"/>
      <c r="S321" s="255"/>
      <c r="T321" s="255"/>
    </row>
    <row r="322" spans="18:20" x14ac:dyDescent="0.3">
      <c r="R322" s="255"/>
      <c r="S322" s="255"/>
      <c r="T322" s="255"/>
    </row>
    <row r="323" spans="18:20" x14ac:dyDescent="0.3">
      <c r="R323" s="255"/>
      <c r="S323" s="255"/>
      <c r="T323" s="255"/>
    </row>
    <row r="324" spans="18:20" x14ac:dyDescent="0.3">
      <c r="R324" s="255"/>
      <c r="S324" s="255"/>
      <c r="T324" s="255"/>
    </row>
    <row r="325" spans="18:20" x14ac:dyDescent="0.3">
      <c r="R325" s="255"/>
      <c r="S325" s="255"/>
      <c r="T325" s="255"/>
    </row>
    <row r="326" spans="18:20" x14ac:dyDescent="0.3">
      <c r="R326" s="255"/>
      <c r="S326" s="255"/>
      <c r="T326" s="255"/>
    </row>
    <row r="327" spans="18:20" x14ac:dyDescent="0.3">
      <c r="R327" s="255"/>
      <c r="S327" s="255"/>
      <c r="T327" s="255"/>
    </row>
    <row r="328" spans="18:20" x14ac:dyDescent="0.3">
      <c r="R328" s="255"/>
      <c r="S328" s="255"/>
      <c r="T328" s="255"/>
    </row>
    <row r="329" spans="18:20" x14ac:dyDescent="0.3">
      <c r="R329" s="255"/>
      <c r="S329" s="255"/>
      <c r="T329" s="255"/>
    </row>
    <row r="330" spans="18:20" x14ac:dyDescent="0.3">
      <c r="R330" s="255"/>
      <c r="S330" s="255"/>
      <c r="T330" s="255"/>
    </row>
    <row r="331" spans="18:20" x14ac:dyDescent="0.3">
      <c r="R331" s="255"/>
      <c r="S331" s="255"/>
      <c r="T331" s="255"/>
    </row>
    <row r="332" spans="18:20" x14ac:dyDescent="0.3">
      <c r="R332" s="255"/>
      <c r="S332" s="255"/>
      <c r="T332" s="255"/>
    </row>
    <row r="333" spans="18:20" x14ac:dyDescent="0.3">
      <c r="R333" s="255"/>
      <c r="S333" s="255"/>
      <c r="T333" s="255"/>
    </row>
    <row r="334" spans="18:20" x14ac:dyDescent="0.3">
      <c r="R334" s="255"/>
      <c r="S334" s="255"/>
      <c r="T334" s="255"/>
    </row>
    <row r="335" spans="18:20" x14ac:dyDescent="0.3">
      <c r="R335" s="255"/>
      <c r="S335" s="255"/>
      <c r="T335" s="255"/>
    </row>
    <row r="336" spans="18:20" x14ac:dyDescent="0.3">
      <c r="R336" s="255"/>
      <c r="S336" s="255"/>
      <c r="T336" s="255"/>
    </row>
    <row r="337" spans="18:20" x14ac:dyDescent="0.3">
      <c r="R337" s="255"/>
      <c r="S337" s="255"/>
      <c r="T337" s="255"/>
    </row>
    <row r="338" spans="18:20" x14ac:dyDescent="0.3">
      <c r="R338" s="255"/>
      <c r="S338" s="255"/>
      <c r="T338" s="255"/>
    </row>
    <row r="339" spans="18:20" x14ac:dyDescent="0.3">
      <c r="R339" s="255"/>
      <c r="S339" s="255"/>
      <c r="T339" s="255"/>
    </row>
    <row r="340" spans="18:20" x14ac:dyDescent="0.3">
      <c r="R340" s="255"/>
      <c r="S340" s="255"/>
      <c r="T340" s="255"/>
    </row>
    <row r="341" spans="18:20" x14ac:dyDescent="0.3">
      <c r="R341" s="255"/>
      <c r="S341" s="255"/>
      <c r="T341" s="255"/>
    </row>
    <row r="342" spans="18:20" x14ac:dyDescent="0.3">
      <c r="R342" s="255"/>
      <c r="S342" s="255"/>
      <c r="T342" s="255"/>
    </row>
    <row r="343" spans="18:20" x14ac:dyDescent="0.3">
      <c r="R343" s="255"/>
      <c r="S343" s="255"/>
      <c r="T343" s="255"/>
    </row>
    <row r="344" spans="18:20" x14ac:dyDescent="0.3">
      <c r="R344" s="255"/>
      <c r="S344" s="255"/>
      <c r="T344" s="255"/>
    </row>
    <row r="345" spans="18:20" x14ac:dyDescent="0.3">
      <c r="R345" s="255"/>
      <c r="S345" s="255"/>
      <c r="T345" s="255"/>
    </row>
    <row r="346" spans="18:20" x14ac:dyDescent="0.3">
      <c r="R346" s="255"/>
      <c r="S346" s="255"/>
      <c r="T346" s="255"/>
    </row>
    <row r="347" spans="18:20" x14ac:dyDescent="0.3">
      <c r="R347" s="255"/>
      <c r="S347" s="255"/>
      <c r="T347" s="255"/>
    </row>
    <row r="348" spans="18:20" x14ac:dyDescent="0.3">
      <c r="R348" s="255"/>
      <c r="S348" s="255"/>
      <c r="T348" s="255"/>
    </row>
    <row r="349" spans="18:20" x14ac:dyDescent="0.3">
      <c r="R349" s="255"/>
      <c r="S349" s="255"/>
      <c r="T349" s="255"/>
    </row>
    <row r="350" spans="18:20" x14ac:dyDescent="0.3">
      <c r="R350" s="255"/>
      <c r="S350" s="255"/>
      <c r="T350" s="255"/>
    </row>
    <row r="351" spans="18:20" x14ac:dyDescent="0.3">
      <c r="R351" s="255"/>
      <c r="S351" s="255"/>
      <c r="T351" s="255"/>
    </row>
    <row r="352" spans="18:20" x14ac:dyDescent="0.3">
      <c r="R352" s="255"/>
      <c r="S352" s="255"/>
      <c r="T352" s="255"/>
    </row>
    <row r="353" spans="18:20" x14ac:dyDescent="0.3">
      <c r="R353" s="255"/>
      <c r="S353" s="255"/>
      <c r="T353" s="255"/>
    </row>
    <row r="354" spans="18:20" x14ac:dyDescent="0.3">
      <c r="R354" s="255"/>
      <c r="S354" s="255"/>
      <c r="T354" s="255"/>
    </row>
    <row r="355" spans="18:20" x14ac:dyDescent="0.3">
      <c r="R355" s="255"/>
      <c r="S355" s="255"/>
      <c r="T355" s="255"/>
    </row>
    <row r="356" spans="18:20" x14ac:dyDescent="0.3">
      <c r="R356" s="255"/>
      <c r="S356" s="255"/>
      <c r="T356" s="255"/>
    </row>
    <row r="357" spans="18:20" x14ac:dyDescent="0.3">
      <c r="R357" s="255"/>
      <c r="S357" s="255"/>
      <c r="T357" s="255"/>
    </row>
    <row r="358" spans="18:20" x14ac:dyDescent="0.3">
      <c r="R358" s="255"/>
      <c r="S358" s="255"/>
      <c r="T358" s="255"/>
    </row>
    <row r="359" spans="18:20" x14ac:dyDescent="0.3">
      <c r="R359" s="255"/>
      <c r="S359" s="255"/>
      <c r="T359" s="255"/>
    </row>
    <row r="360" spans="18:20" x14ac:dyDescent="0.3">
      <c r="R360" s="255"/>
      <c r="S360" s="255"/>
      <c r="T360" s="255"/>
    </row>
    <row r="361" spans="18:20" x14ac:dyDescent="0.3">
      <c r="R361" s="255"/>
      <c r="S361" s="255"/>
      <c r="T361" s="255"/>
    </row>
    <row r="362" spans="18:20" x14ac:dyDescent="0.3">
      <c r="R362" s="255"/>
      <c r="S362" s="255"/>
      <c r="T362" s="255"/>
    </row>
    <row r="363" spans="18:20" x14ac:dyDescent="0.3">
      <c r="R363" s="255"/>
      <c r="S363" s="255"/>
      <c r="T363" s="255"/>
    </row>
    <row r="364" spans="18:20" x14ac:dyDescent="0.3">
      <c r="R364" s="255"/>
      <c r="S364" s="255"/>
      <c r="T364" s="255"/>
    </row>
    <row r="365" spans="18:20" x14ac:dyDescent="0.3">
      <c r="R365" s="255"/>
      <c r="S365" s="255"/>
      <c r="T365" s="255"/>
    </row>
    <row r="366" spans="18:20" x14ac:dyDescent="0.3">
      <c r="R366" s="255"/>
      <c r="S366" s="255"/>
      <c r="T366" s="255"/>
    </row>
    <row r="367" spans="18:20" x14ac:dyDescent="0.3">
      <c r="R367" s="255"/>
      <c r="S367" s="255"/>
      <c r="T367" s="255"/>
    </row>
    <row r="368" spans="18:20" x14ac:dyDescent="0.3">
      <c r="R368" s="255"/>
      <c r="S368" s="255"/>
      <c r="T368" s="255"/>
    </row>
    <row r="369" spans="18:20" x14ac:dyDescent="0.3">
      <c r="R369" s="255"/>
      <c r="S369" s="255"/>
      <c r="T369" s="255"/>
    </row>
    <row r="370" spans="18:20" x14ac:dyDescent="0.3">
      <c r="R370" s="255"/>
      <c r="S370" s="255"/>
      <c r="T370" s="255"/>
    </row>
    <row r="371" spans="18:20" x14ac:dyDescent="0.3">
      <c r="R371" s="255"/>
      <c r="S371" s="255"/>
      <c r="T371" s="255"/>
    </row>
    <row r="372" spans="18:20" x14ac:dyDescent="0.3">
      <c r="R372" s="255"/>
      <c r="S372" s="255"/>
      <c r="T372" s="255"/>
    </row>
    <row r="373" spans="18:20" x14ac:dyDescent="0.3">
      <c r="R373" s="255"/>
      <c r="S373" s="255"/>
      <c r="T373" s="255"/>
    </row>
    <row r="374" spans="18:20" x14ac:dyDescent="0.3">
      <c r="R374" s="255"/>
      <c r="S374" s="255"/>
      <c r="T374" s="255"/>
    </row>
    <row r="375" spans="18:20" x14ac:dyDescent="0.3">
      <c r="R375" s="255"/>
      <c r="S375" s="255"/>
      <c r="T375" s="255"/>
    </row>
    <row r="376" spans="18:20" x14ac:dyDescent="0.3">
      <c r="R376" s="255"/>
      <c r="S376" s="255"/>
      <c r="T376" s="255"/>
    </row>
    <row r="377" spans="18:20" x14ac:dyDescent="0.3">
      <c r="R377" s="255"/>
      <c r="S377" s="255"/>
      <c r="T377" s="255"/>
    </row>
    <row r="378" spans="18:20" x14ac:dyDescent="0.3">
      <c r="R378" s="255"/>
      <c r="S378" s="255"/>
      <c r="T378" s="255"/>
    </row>
    <row r="379" spans="18:20" x14ac:dyDescent="0.3">
      <c r="R379" s="255"/>
      <c r="S379" s="255"/>
      <c r="T379" s="255"/>
    </row>
    <row r="380" spans="18:20" x14ac:dyDescent="0.3">
      <c r="R380" s="255"/>
      <c r="S380" s="255"/>
      <c r="T380" s="255"/>
    </row>
    <row r="381" spans="18:20" x14ac:dyDescent="0.3">
      <c r="R381" s="255"/>
      <c r="S381" s="255"/>
      <c r="T381" s="255"/>
    </row>
    <row r="382" spans="18:20" x14ac:dyDescent="0.3">
      <c r="R382" s="255"/>
      <c r="S382" s="255"/>
      <c r="T382" s="255"/>
    </row>
    <row r="383" spans="18:20" x14ac:dyDescent="0.3">
      <c r="R383" s="255"/>
      <c r="S383" s="255"/>
      <c r="T383" s="255"/>
    </row>
    <row r="384" spans="18:20" x14ac:dyDescent="0.3">
      <c r="R384" s="255"/>
      <c r="S384" s="255"/>
      <c r="T384" s="255"/>
    </row>
    <row r="385" spans="18:20" x14ac:dyDescent="0.3">
      <c r="R385" s="255"/>
      <c r="S385" s="255"/>
      <c r="T385" s="255"/>
    </row>
    <row r="386" spans="18:20" x14ac:dyDescent="0.3">
      <c r="R386" s="255"/>
      <c r="S386" s="255"/>
      <c r="T386" s="255"/>
    </row>
    <row r="387" spans="18:20" x14ac:dyDescent="0.3">
      <c r="R387" s="255"/>
      <c r="S387" s="255"/>
      <c r="T387" s="255"/>
    </row>
    <row r="388" spans="18:20" x14ac:dyDescent="0.3">
      <c r="R388" s="255"/>
      <c r="S388" s="255"/>
      <c r="T388" s="255"/>
    </row>
    <row r="389" spans="18:20" x14ac:dyDescent="0.3">
      <c r="R389" s="255"/>
      <c r="S389" s="255"/>
      <c r="T389" s="255"/>
    </row>
    <row r="390" spans="18:20" x14ac:dyDescent="0.3">
      <c r="R390" s="255"/>
      <c r="S390" s="255"/>
      <c r="T390" s="255"/>
    </row>
    <row r="391" spans="18:20" x14ac:dyDescent="0.3">
      <c r="R391" s="255"/>
      <c r="S391" s="255"/>
      <c r="T391" s="255"/>
    </row>
    <row r="392" spans="18:20" x14ac:dyDescent="0.3">
      <c r="R392" s="255"/>
      <c r="S392" s="255"/>
      <c r="T392" s="255"/>
    </row>
    <row r="393" spans="18:20" x14ac:dyDescent="0.3">
      <c r="R393" s="255"/>
      <c r="S393" s="255"/>
      <c r="T393" s="255"/>
    </row>
    <row r="394" spans="18:20" x14ac:dyDescent="0.3">
      <c r="R394" s="255"/>
      <c r="S394" s="255"/>
      <c r="T394" s="255"/>
    </row>
    <row r="395" spans="18:20" x14ac:dyDescent="0.3">
      <c r="R395" s="255"/>
      <c r="S395" s="255"/>
      <c r="T395" s="255"/>
    </row>
    <row r="396" spans="18:20" x14ac:dyDescent="0.3">
      <c r="R396" s="255"/>
      <c r="S396" s="255"/>
      <c r="T396" s="255"/>
    </row>
    <row r="397" spans="18:20" x14ac:dyDescent="0.3">
      <c r="R397" s="255"/>
      <c r="S397" s="255"/>
      <c r="T397" s="255"/>
    </row>
    <row r="398" spans="18:20" x14ac:dyDescent="0.3">
      <c r="R398" s="255"/>
      <c r="S398" s="255"/>
      <c r="T398" s="255"/>
    </row>
    <row r="399" spans="18:20" x14ac:dyDescent="0.3">
      <c r="R399" s="255"/>
      <c r="S399" s="255"/>
      <c r="T399" s="255"/>
    </row>
    <row r="400" spans="18:20" x14ac:dyDescent="0.3">
      <c r="R400" s="255"/>
      <c r="S400" s="255"/>
      <c r="T400" s="255"/>
    </row>
    <row r="401" spans="18:20" x14ac:dyDescent="0.3">
      <c r="R401" s="255"/>
      <c r="S401" s="255"/>
      <c r="T401" s="255"/>
    </row>
    <row r="402" spans="18:20" x14ac:dyDescent="0.3">
      <c r="R402" s="255"/>
      <c r="S402" s="255"/>
      <c r="T402" s="255"/>
    </row>
    <row r="403" spans="18:20" x14ac:dyDescent="0.3">
      <c r="R403" s="255"/>
      <c r="S403" s="255"/>
      <c r="T403" s="255"/>
    </row>
    <row r="404" spans="18:20" x14ac:dyDescent="0.3">
      <c r="R404" s="255"/>
      <c r="S404" s="255"/>
      <c r="T404" s="255"/>
    </row>
    <row r="405" spans="18:20" x14ac:dyDescent="0.3">
      <c r="R405" s="255"/>
      <c r="S405" s="255"/>
      <c r="T405" s="255"/>
    </row>
    <row r="406" spans="18:20" x14ac:dyDescent="0.3">
      <c r="R406" s="255"/>
      <c r="S406" s="255"/>
      <c r="T406" s="255"/>
    </row>
    <row r="407" spans="18:20" x14ac:dyDescent="0.3">
      <c r="R407" s="255"/>
      <c r="S407" s="255"/>
      <c r="T407" s="255"/>
    </row>
    <row r="408" spans="18:20" x14ac:dyDescent="0.3">
      <c r="R408" s="255"/>
      <c r="S408" s="255"/>
      <c r="T408" s="255"/>
    </row>
    <row r="409" spans="18:20" x14ac:dyDescent="0.3">
      <c r="R409" s="255"/>
      <c r="S409" s="255"/>
      <c r="T409" s="255"/>
    </row>
    <row r="410" spans="18:20" x14ac:dyDescent="0.3">
      <c r="R410" s="255"/>
      <c r="S410" s="255"/>
      <c r="T410" s="255"/>
    </row>
    <row r="411" spans="18:20" x14ac:dyDescent="0.3">
      <c r="R411" s="255"/>
      <c r="S411" s="255"/>
      <c r="T411" s="255"/>
    </row>
    <row r="412" spans="18:20" x14ac:dyDescent="0.3">
      <c r="R412" s="255"/>
      <c r="S412" s="255"/>
      <c r="T412" s="255"/>
    </row>
    <row r="413" spans="18:20" x14ac:dyDescent="0.3">
      <c r="R413" s="255"/>
      <c r="S413" s="255"/>
      <c r="T413" s="255"/>
    </row>
    <row r="414" spans="18:20" x14ac:dyDescent="0.3">
      <c r="R414" s="255"/>
      <c r="S414" s="255"/>
      <c r="T414" s="255"/>
    </row>
    <row r="415" spans="18:20" x14ac:dyDescent="0.3">
      <c r="R415" s="255"/>
      <c r="S415" s="255"/>
      <c r="T415" s="255"/>
    </row>
    <row r="416" spans="18:20" x14ac:dyDescent="0.3">
      <c r="R416" s="255"/>
      <c r="S416" s="255"/>
      <c r="T416" s="255"/>
    </row>
    <row r="417" spans="18:20" x14ac:dyDescent="0.3">
      <c r="R417" s="255"/>
      <c r="S417" s="255"/>
      <c r="T417" s="255"/>
    </row>
    <row r="418" spans="18:20" x14ac:dyDescent="0.3">
      <c r="R418" s="255"/>
      <c r="S418" s="255"/>
      <c r="T418" s="255"/>
    </row>
    <row r="419" spans="18:20" x14ac:dyDescent="0.3">
      <c r="R419" s="255"/>
      <c r="S419" s="255"/>
      <c r="T419" s="255"/>
    </row>
    <row r="420" spans="18:20" x14ac:dyDescent="0.3">
      <c r="R420" s="255"/>
      <c r="S420" s="255"/>
      <c r="T420" s="255"/>
    </row>
    <row r="421" spans="18:20" x14ac:dyDescent="0.3">
      <c r="R421" s="255"/>
      <c r="S421" s="255"/>
      <c r="T421" s="255"/>
    </row>
    <row r="422" spans="18:20" x14ac:dyDescent="0.3">
      <c r="R422" s="255"/>
      <c r="S422" s="255"/>
      <c r="T422" s="255"/>
    </row>
    <row r="423" spans="18:20" x14ac:dyDescent="0.3">
      <c r="R423" s="255"/>
      <c r="S423" s="255"/>
      <c r="T423" s="255"/>
    </row>
    <row r="424" spans="18:20" x14ac:dyDescent="0.3">
      <c r="R424" s="255"/>
      <c r="S424" s="255"/>
      <c r="T424" s="255"/>
    </row>
    <row r="425" spans="18:20" x14ac:dyDescent="0.3">
      <c r="R425" s="255"/>
      <c r="S425" s="255"/>
      <c r="T425" s="255"/>
    </row>
    <row r="426" spans="18:20" x14ac:dyDescent="0.3">
      <c r="R426" s="255"/>
      <c r="S426" s="255"/>
      <c r="T426" s="255"/>
    </row>
    <row r="427" spans="18:20" x14ac:dyDescent="0.3">
      <c r="R427" s="255"/>
      <c r="S427" s="255"/>
      <c r="T427" s="255"/>
    </row>
    <row r="428" spans="18:20" x14ac:dyDescent="0.3">
      <c r="R428" s="255"/>
      <c r="S428" s="255"/>
      <c r="T428" s="255"/>
    </row>
    <row r="429" spans="18:20" x14ac:dyDescent="0.3">
      <c r="R429" s="255"/>
      <c r="S429" s="255"/>
      <c r="T429" s="255"/>
    </row>
    <row r="430" spans="18:20" x14ac:dyDescent="0.3">
      <c r="R430" s="255"/>
      <c r="S430" s="255"/>
      <c r="T430" s="255"/>
    </row>
    <row r="431" spans="18:20" x14ac:dyDescent="0.3">
      <c r="R431" s="255"/>
      <c r="S431" s="255"/>
      <c r="T431" s="255"/>
    </row>
    <row r="432" spans="18:20" x14ac:dyDescent="0.3">
      <c r="R432" s="255"/>
      <c r="S432" s="255"/>
      <c r="T432" s="255"/>
    </row>
    <row r="433" spans="18:20" x14ac:dyDescent="0.3">
      <c r="R433" s="255"/>
      <c r="S433" s="255"/>
      <c r="T433" s="255"/>
    </row>
    <row r="434" spans="18:20" x14ac:dyDescent="0.3">
      <c r="R434" s="255"/>
      <c r="S434" s="255"/>
      <c r="T434" s="255"/>
    </row>
    <row r="435" spans="18:20" x14ac:dyDescent="0.3">
      <c r="R435" s="255"/>
      <c r="S435" s="255"/>
      <c r="T435" s="255"/>
    </row>
    <row r="436" spans="18:20" x14ac:dyDescent="0.3">
      <c r="R436" s="255"/>
      <c r="S436" s="255"/>
      <c r="T436" s="255"/>
    </row>
    <row r="437" spans="18:20" x14ac:dyDescent="0.3">
      <c r="R437" s="255"/>
      <c r="S437" s="255"/>
      <c r="T437" s="255"/>
    </row>
    <row r="438" spans="18:20" x14ac:dyDescent="0.3">
      <c r="R438" s="255"/>
      <c r="S438" s="255"/>
      <c r="T438" s="255"/>
    </row>
    <row r="439" spans="18:20" x14ac:dyDescent="0.3">
      <c r="R439" s="255"/>
      <c r="S439" s="255"/>
      <c r="T439" s="255"/>
    </row>
    <row r="440" spans="18:20" x14ac:dyDescent="0.3">
      <c r="R440" s="255"/>
      <c r="S440" s="255"/>
      <c r="T440" s="255"/>
    </row>
    <row r="441" spans="18:20" x14ac:dyDescent="0.3">
      <c r="R441" s="255"/>
      <c r="S441" s="255"/>
      <c r="T441" s="255"/>
    </row>
    <row r="442" spans="18:20" x14ac:dyDescent="0.3">
      <c r="R442" s="255"/>
      <c r="S442" s="255"/>
      <c r="T442" s="255"/>
    </row>
    <row r="443" spans="18:20" x14ac:dyDescent="0.3">
      <c r="R443" s="255"/>
      <c r="S443" s="255"/>
      <c r="T443" s="255"/>
    </row>
    <row r="444" spans="18:20" x14ac:dyDescent="0.3">
      <c r="R444" s="255"/>
      <c r="S444" s="255"/>
      <c r="T444" s="255"/>
    </row>
    <row r="445" spans="18:20" x14ac:dyDescent="0.3">
      <c r="R445" s="255"/>
      <c r="S445" s="255"/>
      <c r="T445" s="255"/>
    </row>
    <row r="446" spans="18:20" x14ac:dyDescent="0.3">
      <c r="R446" s="255"/>
      <c r="S446" s="255"/>
      <c r="T446" s="255"/>
    </row>
    <row r="447" spans="18:20" x14ac:dyDescent="0.3">
      <c r="R447" s="255"/>
      <c r="S447" s="255"/>
      <c r="T447" s="255"/>
    </row>
    <row r="448" spans="18:20" x14ac:dyDescent="0.3">
      <c r="R448" s="255"/>
      <c r="S448" s="255"/>
      <c r="T448" s="255"/>
    </row>
    <row r="449" spans="18:20" x14ac:dyDescent="0.3">
      <c r="R449" s="255"/>
      <c r="S449" s="255"/>
      <c r="T449" s="255"/>
    </row>
    <row r="450" spans="18:20" x14ac:dyDescent="0.3">
      <c r="R450" s="255"/>
      <c r="S450" s="255"/>
      <c r="T450" s="255"/>
    </row>
    <row r="451" spans="18:20" x14ac:dyDescent="0.3">
      <c r="R451" s="255"/>
      <c r="S451" s="255"/>
      <c r="T451" s="255"/>
    </row>
    <row r="452" spans="18:20" x14ac:dyDescent="0.3">
      <c r="R452" s="255"/>
      <c r="S452" s="255"/>
      <c r="T452" s="255"/>
    </row>
    <row r="453" spans="18:20" x14ac:dyDescent="0.3">
      <c r="R453" s="255"/>
      <c r="S453" s="255"/>
      <c r="T453" s="255"/>
    </row>
    <row r="454" spans="18:20" x14ac:dyDescent="0.3">
      <c r="R454" s="255"/>
      <c r="S454" s="255"/>
      <c r="T454" s="255"/>
    </row>
    <row r="455" spans="18:20" x14ac:dyDescent="0.3">
      <c r="R455" s="255"/>
      <c r="S455" s="255"/>
      <c r="T455" s="255"/>
    </row>
    <row r="456" spans="18:20" x14ac:dyDescent="0.3">
      <c r="R456" s="255"/>
      <c r="S456" s="255"/>
      <c r="T456" s="255"/>
    </row>
    <row r="457" spans="18:20" x14ac:dyDescent="0.3">
      <c r="R457" s="255"/>
      <c r="S457" s="255"/>
      <c r="T457" s="255"/>
    </row>
    <row r="458" spans="18:20" x14ac:dyDescent="0.3">
      <c r="R458" s="255"/>
      <c r="S458" s="255"/>
      <c r="T458" s="255"/>
    </row>
    <row r="459" spans="18:20" x14ac:dyDescent="0.3">
      <c r="R459" s="255"/>
      <c r="S459" s="255"/>
      <c r="T459" s="255"/>
    </row>
    <row r="460" spans="18:20" x14ac:dyDescent="0.3">
      <c r="R460" s="255"/>
      <c r="S460" s="255"/>
      <c r="T460" s="255"/>
    </row>
    <row r="461" spans="18:20" x14ac:dyDescent="0.3">
      <c r="R461" s="255"/>
      <c r="S461" s="255"/>
      <c r="T461" s="255"/>
    </row>
    <row r="462" spans="18:20" x14ac:dyDescent="0.3">
      <c r="R462" s="255"/>
      <c r="S462" s="255"/>
      <c r="T462" s="255"/>
    </row>
    <row r="463" spans="18:20" x14ac:dyDescent="0.3">
      <c r="R463" s="255"/>
      <c r="S463" s="255"/>
      <c r="T463" s="255"/>
    </row>
    <row r="464" spans="18:20" x14ac:dyDescent="0.3">
      <c r="R464" s="255"/>
      <c r="S464" s="255"/>
      <c r="T464" s="255"/>
    </row>
    <row r="465" spans="18:20" x14ac:dyDescent="0.3">
      <c r="R465" s="255"/>
      <c r="S465" s="255"/>
      <c r="T465" s="255"/>
    </row>
    <row r="466" spans="18:20" x14ac:dyDescent="0.3">
      <c r="R466" s="255"/>
      <c r="S466" s="255"/>
      <c r="T466" s="255"/>
    </row>
    <row r="467" spans="18:20" x14ac:dyDescent="0.3">
      <c r="R467" s="255"/>
      <c r="S467" s="255"/>
      <c r="T467" s="255"/>
    </row>
    <row r="468" spans="18:20" x14ac:dyDescent="0.3">
      <c r="R468" s="255"/>
      <c r="S468" s="255"/>
      <c r="T468" s="255"/>
    </row>
    <row r="469" spans="18:20" x14ac:dyDescent="0.3">
      <c r="R469" s="255"/>
      <c r="S469" s="255"/>
      <c r="T469" s="255"/>
    </row>
    <row r="470" spans="18:20" x14ac:dyDescent="0.3">
      <c r="R470" s="255"/>
      <c r="S470" s="255"/>
      <c r="T470" s="255"/>
    </row>
    <row r="471" spans="18:20" x14ac:dyDescent="0.3">
      <c r="R471" s="255"/>
      <c r="S471" s="255"/>
      <c r="T471" s="255"/>
    </row>
    <row r="472" spans="18:20" x14ac:dyDescent="0.3">
      <c r="R472" s="255"/>
      <c r="S472" s="255"/>
      <c r="T472" s="255"/>
    </row>
    <row r="473" spans="18:20" x14ac:dyDescent="0.3">
      <c r="R473" s="255"/>
      <c r="S473" s="255"/>
      <c r="T473" s="255"/>
    </row>
    <row r="474" spans="18:20" x14ac:dyDescent="0.3">
      <c r="R474" s="255"/>
      <c r="S474" s="255"/>
      <c r="T474" s="255"/>
    </row>
    <row r="475" spans="18:20" x14ac:dyDescent="0.3">
      <c r="R475" s="255"/>
      <c r="S475" s="255"/>
      <c r="T475" s="255"/>
    </row>
    <row r="476" spans="18:20" x14ac:dyDescent="0.3">
      <c r="R476" s="255"/>
      <c r="S476" s="255"/>
      <c r="T476" s="255"/>
    </row>
    <row r="477" spans="18:20" x14ac:dyDescent="0.3">
      <c r="R477" s="255"/>
      <c r="S477" s="255"/>
      <c r="T477" s="255"/>
    </row>
    <row r="478" spans="18:20" x14ac:dyDescent="0.3">
      <c r="R478" s="255"/>
      <c r="S478" s="255"/>
      <c r="T478" s="255"/>
    </row>
    <row r="479" spans="18:20" x14ac:dyDescent="0.3">
      <c r="R479" s="255"/>
      <c r="S479" s="255"/>
      <c r="T479" s="255"/>
    </row>
    <row r="480" spans="18:20" x14ac:dyDescent="0.3">
      <c r="R480" s="255"/>
      <c r="S480" s="255"/>
      <c r="T480" s="255"/>
    </row>
    <row r="481" spans="18:20" x14ac:dyDescent="0.3">
      <c r="R481" s="255"/>
      <c r="S481" s="255"/>
      <c r="T481" s="255"/>
    </row>
    <row r="482" spans="18:20" x14ac:dyDescent="0.3">
      <c r="R482" s="255"/>
      <c r="S482" s="255"/>
      <c r="T482" s="255"/>
    </row>
    <row r="483" spans="18:20" x14ac:dyDescent="0.3">
      <c r="R483" s="255"/>
      <c r="S483" s="255"/>
      <c r="T483" s="255"/>
    </row>
    <row r="484" spans="18:20" x14ac:dyDescent="0.3">
      <c r="R484" s="255"/>
      <c r="S484" s="255"/>
      <c r="T484" s="255"/>
    </row>
    <row r="485" spans="18:20" x14ac:dyDescent="0.3">
      <c r="R485" s="255"/>
      <c r="S485" s="255"/>
      <c r="T485" s="255"/>
    </row>
    <row r="486" spans="18:20" x14ac:dyDescent="0.3">
      <c r="R486" s="255"/>
      <c r="S486" s="255"/>
      <c r="T486" s="255"/>
    </row>
    <row r="487" spans="18:20" x14ac:dyDescent="0.3">
      <c r="R487" s="255"/>
      <c r="S487" s="255"/>
      <c r="T487" s="255"/>
    </row>
    <row r="488" spans="18:20" x14ac:dyDescent="0.3">
      <c r="R488" s="255"/>
      <c r="S488" s="255"/>
      <c r="T488" s="255"/>
    </row>
    <row r="489" spans="18:20" x14ac:dyDescent="0.3">
      <c r="R489" s="255"/>
      <c r="S489" s="255"/>
      <c r="T489" s="255"/>
    </row>
    <row r="490" spans="18:20" x14ac:dyDescent="0.3">
      <c r="R490" s="255"/>
      <c r="S490" s="255"/>
      <c r="T490" s="255"/>
    </row>
    <row r="491" spans="18:20" x14ac:dyDescent="0.3">
      <c r="R491" s="255"/>
      <c r="S491" s="255"/>
      <c r="T491" s="255"/>
    </row>
    <row r="492" spans="18:20" x14ac:dyDescent="0.3">
      <c r="R492" s="255"/>
      <c r="S492" s="255"/>
      <c r="T492" s="255"/>
    </row>
    <row r="493" spans="18:20" x14ac:dyDescent="0.3">
      <c r="R493" s="255"/>
      <c r="S493" s="255"/>
      <c r="T493" s="255"/>
    </row>
    <row r="494" spans="18:20" x14ac:dyDescent="0.3">
      <c r="R494" s="255"/>
      <c r="S494" s="255"/>
      <c r="T494" s="255"/>
    </row>
    <row r="495" spans="18:20" x14ac:dyDescent="0.3">
      <c r="R495" s="255"/>
      <c r="S495" s="255"/>
      <c r="T495" s="255"/>
    </row>
    <row r="496" spans="18:20" x14ac:dyDescent="0.3">
      <c r="R496" s="255"/>
      <c r="S496" s="255"/>
      <c r="T496" s="255"/>
    </row>
    <row r="497" spans="18:20" x14ac:dyDescent="0.3">
      <c r="R497" s="255"/>
      <c r="S497" s="255"/>
      <c r="T497" s="255"/>
    </row>
    <row r="498" spans="18:20" x14ac:dyDescent="0.3">
      <c r="R498" s="255"/>
      <c r="S498" s="255"/>
      <c r="T498" s="255"/>
    </row>
    <row r="499" spans="18:20" x14ac:dyDescent="0.3">
      <c r="R499" s="255"/>
      <c r="S499" s="255"/>
      <c r="T499" s="255"/>
    </row>
    <row r="500" spans="18:20" x14ac:dyDescent="0.3">
      <c r="R500" s="255"/>
      <c r="S500" s="255"/>
      <c r="T500" s="255"/>
    </row>
    <row r="501" spans="18:20" x14ac:dyDescent="0.3">
      <c r="R501" s="255"/>
      <c r="S501" s="255"/>
      <c r="T501" s="255"/>
    </row>
    <row r="502" spans="18:20" x14ac:dyDescent="0.3">
      <c r="R502" s="255"/>
      <c r="S502" s="255"/>
      <c r="T502" s="255"/>
    </row>
    <row r="503" spans="18:20" x14ac:dyDescent="0.3">
      <c r="R503" s="255"/>
      <c r="S503" s="255"/>
      <c r="T503" s="255"/>
    </row>
    <row r="504" spans="18:20" x14ac:dyDescent="0.3">
      <c r="R504" s="255"/>
      <c r="S504" s="255"/>
      <c r="T504" s="255"/>
    </row>
    <row r="505" spans="18:20" x14ac:dyDescent="0.3">
      <c r="R505" s="255"/>
      <c r="S505" s="255"/>
      <c r="T505" s="255"/>
    </row>
    <row r="506" spans="18:20" x14ac:dyDescent="0.3">
      <c r="R506" s="255"/>
      <c r="S506" s="255"/>
      <c r="T506" s="255"/>
    </row>
    <row r="507" spans="18:20" x14ac:dyDescent="0.3">
      <c r="R507" s="255"/>
      <c r="S507" s="255"/>
      <c r="T507" s="255"/>
    </row>
    <row r="508" spans="18:20" x14ac:dyDescent="0.3">
      <c r="R508" s="255"/>
      <c r="S508" s="255"/>
      <c r="T508" s="255"/>
    </row>
    <row r="509" spans="18:20" x14ac:dyDescent="0.3">
      <c r="R509" s="255"/>
      <c r="S509" s="255"/>
      <c r="T509" s="255"/>
    </row>
    <row r="510" spans="18:20" x14ac:dyDescent="0.3">
      <c r="R510" s="255"/>
      <c r="S510" s="255"/>
      <c r="T510" s="255"/>
    </row>
    <row r="511" spans="18:20" x14ac:dyDescent="0.3">
      <c r="R511" s="255"/>
      <c r="S511" s="255"/>
      <c r="T511" s="255"/>
    </row>
    <row r="512" spans="18:20" x14ac:dyDescent="0.3">
      <c r="R512" s="255"/>
      <c r="S512" s="255"/>
      <c r="T512" s="255"/>
    </row>
    <row r="513" spans="18:20" x14ac:dyDescent="0.3">
      <c r="R513" s="255"/>
      <c r="S513" s="255"/>
      <c r="T513" s="255"/>
    </row>
    <row r="514" spans="18:20" x14ac:dyDescent="0.3">
      <c r="R514" s="255"/>
      <c r="S514" s="255"/>
      <c r="T514" s="255"/>
    </row>
    <row r="515" spans="18:20" x14ac:dyDescent="0.3">
      <c r="R515" s="255"/>
      <c r="S515" s="255"/>
      <c r="T515" s="255"/>
    </row>
    <row r="516" spans="18:20" x14ac:dyDescent="0.3">
      <c r="R516" s="255"/>
      <c r="S516" s="255"/>
      <c r="T516" s="255"/>
    </row>
    <row r="517" spans="18:20" x14ac:dyDescent="0.3">
      <c r="R517" s="255"/>
      <c r="S517" s="255"/>
      <c r="T517" s="255"/>
    </row>
    <row r="518" spans="18:20" x14ac:dyDescent="0.3">
      <c r="R518" s="255"/>
      <c r="S518" s="255"/>
      <c r="T518" s="255"/>
    </row>
    <row r="519" spans="18:20" x14ac:dyDescent="0.3">
      <c r="R519" s="255"/>
      <c r="S519" s="255"/>
      <c r="T519" s="255"/>
    </row>
    <row r="520" spans="18:20" x14ac:dyDescent="0.3">
      <c r="R520" s="255"/>
      <c r="S520" s="255"/>
      <c r="T520" s="255"/>
    </row>
    <row r="521" spans="18:20" x14ac:dyDescent="0.3">
      <c r="R521" s="255"/>
      <c r="S521" s="255"/>
      <c r="T521" s="255"/>
    </row>
    <row r="522" spans="18:20" x14ac:dyDescent="0.3">
      <c r="R522" s="255"/>
      <c r="S522" s="255"/>
      <c r="T522" s="255"/>
    </row>
    <row r="523" spans="18:20" x14ac:dyDescent="0.3">
      <c r="R523" s="255"/>
      <c r="S523" s="255"/>
      <c r="T523" s="255"/>
    </row>
    <row r="524" spans="18:20" x14ac:dyDescent="0.3">
      <c r="R524" s="255"/>
      <c r="S524" s="255"/>
      <c r="T524" s="255"/>
    </row>
    <row r="525" spans="18:20" x14ac:dyDescent="0.3">
      <c r="R525" s="255"/>
      <c r="S525" s="255"/>
      <c r="T525" s="255"/>
    </row>
    <row r="526" spans="18:20" x14ac:dyDescent="0.3">
      <c r="R526" s="255"/>
      <c r="S526" s="255"/>
      <c r="T526" s="255"/>
    </row>
    <row r="527" spans="18:20" x14ac:dyDescent="0.3">
      <c r="R527" s="255"/>
      <c r="S527" s="255"/>
      <c r="T527" s="255"/>
    </row>
    <row r="528" spans="18:20" x14ac:dyDescent="0.3">
      <c r="R528" s="255"/>
      <c r="S528" s="255"/>
      <c r="T528" s="255"/>
    </row>
    <row r="529" spans="18:20" x14ac:dyDescent="0.3">
      <c r="R529" s="255"/>
      <c r="S529" s="255"/>
      <c r="T529" s="255"/>
    </row>
    <row r="530" spans="18:20" x14ac:dyDescent="0.3">
      <c r="R530" s="255"/>
      <c r="S530" s="255"/>
      <c r="T530" s="255"/>
    </row>
    <row r="531" spans="18:20" x14ac:dyDescent="0.3">
      <c r="R531" s="255"/>
      <c r="S531" s="255"/>
      <c r="T531" s="255"/>
    </row>
    <row r="532" spans="18:20" x14ac:dyDescent="0.3">
      <c r="R532" s="255"/>
      <c r="S532" s="255"/>
      <c r="T532" s="255"/>
    </row>
    <row r="533" spans="18:20" x14ac:dyDescent="0.3">
      <c r="R533" s="255"/>
      <c r="S533" s="255"/>
      <c r="T533" s="255"/>
    </row>
    <row r="534" spans="18:20" x14ac:dyDescent="0.3">
      <c r="R534" s="255"/>
      <c r="S534" s="255"/>
      <c r="T534" s="255"/>
    </row>
    <row r="535" spans="18:20" x14ac:dyDescent="0.3">
      <c r="R535" s="255"/>
      <c r="S535" s="255"/>
      <c r="T535" s="255"/>
    </row>
    <row r="536" spans="18:20" x14ac:dyDescent="0.3">
      <c r="R536" s="255"/>
      <c r="S536" s="255"/>
      <c r="T536" s="255"/>
    </row>
    <row r="537" spans="18:20" x14ac:dyDescent="0.3">
      <c r="R537" s="255"/>
      <c r="S537" s="255"/>
      <c r="T537" s="255"/>
    </row>
    <row r="538" spans="18:20" x14ac:dyDescent="0.3">
      <c r="R538" s="255"/>
      <c r="S538" s="255"/>
      <c r="T538" s="255"/>
    </row>
    <row r="539" spans="18:20" x14ac:dyDescent="0.3">
      <c r="R539" s="255"/>
      <c r="S539" s="255"/>
      <c r="T539" s="255"/>
    </row>
    <row r="540" spans="18:20" x14ac:dyDescent="0.3">
      <c r="R540" s="255"/>
      <c r="S540" s="255"/>
      <c r="T540" s="255"/>
    </row>
    <row r="541" spans="18:20" x14ac:dyDescent="0.3">
      <c r="R541" s="255"/>
      <c r="S541" s="255"/>
      <c r="T541" s="255"/>
    </row>
    <row r="542" spans="18:20" x14ac:dyDescent="0.3">
      <c r="R542" s="255"/>
      <c r="S542" s="255"/>
      <c r="T542" s="255"/>
    </row>
    <row r="543" spans="18:20" x14ac:dyDescent="0.3">
      <c r="R543" s="255"/>
      <c r="S543" s="255"/>
      <c r="T543" s="255"/>
    </row>
    <row r="544" spans="18:20" x14ac:dyDescent="0.3">
      <c r="R544" s="255"/>
      <c r="S544" s="255"/>
      <c r="T544" s="255"/>
    </row>
    <row r="545" spans="18:20" x14ac:dyDescent="0.3">
      <c r="R545" s="255"/>
      <c r="S545" s="255"/>
      <c r="T545" s="255"/>
    </row>
    <row r="546" spans="18:20" x14ac:dyDescent="0.3">
      <c r="R546" s="255"/>
      <c r="S546" s="255"/>
      <c r="T546" s="255"/>
    </row>
    <row r="547" spans="18:20" x14ac:dyDescent="0.3">
      <c r="R547" s="255"/>
      <c r="S547" s="255"/>
      <c r="T547" s="255"/>
    </row>
    <row r="548" spans="18:20" x14ac:dyDescent="0.3">
      <c r="R548" s="255"/>
      <c r="S548" s="255"/>
      <c r="T548" s="255"/>
    </row>
    <row r="549" spans="18:20" x14ac:dyDescent="0.3">
      <c r="R549" s="255"/>
      <c r="S549" s="255"/>
      <c r="T549" s="255"/>
    </row>
    <row r="550" spans="18:20" x14ac:dyDescent="0.3">
      <c r="R550" s="255"/>
      <c r="S550" s="255"/>
      <c r="T550" s="255"/>
    </row>
    <row r="551" spans="18:20" x14ac:dyDescent="0.3">
      <c r="R551" s="255"/>
      <c r="S551" s="255"/>
      <c r="T551" s="255"/>
    </row>
    <row r="552" spans="18:20" x14ac:dyDescent="0.3">
      <c r="R552" s="255"/>
      <c r="S552" s="255"/>
      <c r="T552" s="255"/>
    </row>
    <row r="553" spans="18:20" x14ac:dyDescent="0.3">
      <c r="R553" s="255"/>
      <c r="S553" s="255"/>
      <c r="T553" s="255"/>
    </row>
    <row r="554" spans="18:20" x14ac:dyDescent="0.3">
      <c r="R554" s="255"/>
      <c r="S554" s="255"/>
      <c r="T554" s="255"/>
    </row>
    <row r="555" spans="18:20" x14ac:dyDescent="0.3">
      <c r="R555" s="255"/>
      <c r="S555" s="255"/>
      <c r="T555" s="255"/>
    </row>
    <row r="556" spans="18:20" x14ac:dyDescent="0.3">
      <c r="R556" s="255"/>
      <c r="S556" s="255"/>
      <c r="T556" s="255"/>
    </row>
    <row r="557" spans="18:20" x14ac:dyDescent="0.3">
      <c r="R557" s="255"/>
      <c r="S557" s="255"/>
      <c r="T557" s="255"/>
    </row>
    <row r="558" spans="18:20" x14ac:dyDescent="0.3">
      <c r="R558" s="255"/>
      <c r="S558" s="255"/>
      <c r="T558" s="255"/>
    </row>
    <row r="559" spans="18:20" x14ac:dyDescent="0.3">
      <c r="R559" s="255"/>
      <c r="S559" s="255"/>
      <c r="T559" s="255"/>
    </row>
    <row r="560" spans="18:20" x14ac:dyDescent="0.3">
      <c r="R560" s="255"/>
      <c r="S560" s="255"/>
      <c r="T560" s="255"/>
    </row>
    <row r="561" spans="18:20" x14ac:dyDescent="0.3">
      <c r="R561" s="255"/>
      <c r="S561" s="255"/>
      <c r="T561" s="255"/>
    </row>
    <row r="562" spans="18:20" x14ac:dyDescent="0.3">
      <c r="R562" s="255"/>
      <c r="S562" s="255"/>
      <c r="T562" s="255"/>
    </row>
    <row r="563" spans="18:20" x14ac:dyDescent="0.3">
      <c r="R563" s="255"/>
      <c r="S563" s="255"/>
      <c r="T563" s="255"/>
    </row>
    <row r="564" spans="18:20" x14ac:dyDescent="0.3">
      <c r="R564" s="255"/>
      <c r="S564" s="255"/>
      <c r="T564" s="255"/>
    </row>
    <row r="565" spans="18:20" x14ac:dyDescent="0.3">
      <c r="R565" s="255"/>
      <c r="S565" s="255"/>
      <c r="T565" s="255"/>
    </row>
    <row r="566" spans="18:20" x14ac:dyDescent="0.3">
      <c r="R566" s="255"/>
      <c r="S566" s="255"/>
      <c r="T566" s="255"/>
    </row>
    <row r="567" spans="18:20" x14ac:dyDescent="0.3">
      <c r="R567" s="255"/>
      <c r="S567" s="255"/>
      <c r="T567" s="255"/>
    </row>
    <row r="568" spans="18:20" x14ac:dyDescent="0.3">
      <c r="R568" s="255"/>
      <c r="S568" s="255"/>
      <c r="T568" s="255"/>
    </row>
    <row r="569" spans="18:20" x14ac:dyDescent="0.3">
      <c r="R569" s="255"/>
      <c r="S569" s="255"/>
      <c r="T569" s="255"/>
    </row>
    <row r="570" spans="18:20" x14ac:dyDescent="0.3">
      <c r="R570" s="255"/>
      <c r="S570" s="255"/>
      <c r="T570" s="255"/>
    </row>
    <row r="571" spans="18:20" x14ac:dyDescent="0.3">
      <c r="R571" s="255"/>
      <c r="S571" s="255"/>
      <c r="T571" s="255"/>
    </row>
    <row r="572" spans="18:20" x14ac:dyDescent="0.3">
      <c r="R572" s="255"/>
      <c r="S572" s="255"/>
      <c r="T572" s="255"/>
    </row>
    <row r="573" spans="18:20" x14ac:dyDescent="0.3">
      <c r="R573" s="255"/>
      <c r="S573" s="255"/>
      <c r="T573" s="255"/>
    </row>
    <row r="574" spans="18:20" x14ac:dyDescent="0.3">
      <c r="R574" s="255"/>
      <c r="S574" s="255"/>
      <c r="T574" s="255"/>
    </row>
    <row r="575" spans="18:20" x14ac:dyDescent="0.3">
      <c r="R575" s="255"/>
      <c r="S575" s="255"/>
      <c r="T575" s="255"/>
    </row>
    <row r="576" spans="18:20" x14ac:dyDescent="0.3">
      <c r="R576" s="255"/>
      <c r="S576" s="255"/>
      <c r="T576" s="255"/>
    </row>
    <row r="577" spans="18:20" x14ac:dyDescent="0.3">
      <c r="R577" s="255"/>
      <c r="S577" s="255"/>
      <c r="T577" s="255"/>
    </row>
    <row r="578" spans="18:20" x14ac:dyDescent="0.3">
      <c r="R578" s="255"/>
      <c r="S578" s="255"/>
      <c r="T578" s="255"/>
    </row>
    <row r="579" spans="18:20" x14ac:dyDescent="0.3">
      <c r="R579" s="255"/>
      <c r="S579" s="255"/>
      <c r="T579" s="255"/>
    </row>
    <row r="580" spans="18:20" x14ac:dyDescent="0.3">
      <c r="R580" s="255"/>
      <c r="S580" s="255"/>
      <c r="T580" s="255"/>
    </row>
    <row r="581" spans="18:20" x14ac:dyDescent="0.3">
      <c r="R581" s="255"/>
      <c r="S581" s="255"/>
      <c r="T581" s="255"/>
    </row>
    <row r="582" spans="18:20" x14ac:dyDescent="0.3">
      <c r="R582" s="255"/>
      <c r="S582" s="255"/>
      <c r="T582" s="255"/>
    </row>
    <row r="583" spans="18:20" x14ac:dyDescent="0.3">
      <c r="R583" s="255"/>
      <c r="S583" s="255"/>
      <c r="T583" s="255"/>
    </row>
    <row r="584" spans="18:20" x14ac:dyDescent="0.3">
      <c r="R584" s="255"/>
      <c r="S584" s="255"/>
      <c r="T584" s="255"/>
    </row>
    <row r="585" spans="18:20" x14ac:dyDescent="0.3">
      <c r="R585" s="255"/>
      <c r="S585" s="255"/>
      <c r="T585" s="255"/>
    </row>
    <row r="586" spans="18:20" x14ac:dyDescent="0.3">
      <c r="R586" s="255"/>
      <c r="S586" s="255"/>
      <c r="T586" s="255"/>
    </row>
    <row r="587" spans="18:20" x14ac:dyDescent="0.3">
      <c r="R587" s="255"/>
      <c r="S587" s="255"/>
      <c r="T587" s="255"/>
    </row>
    <row r="588" spans="18:20" x14ac:dyDescent="0.3">
      <c r="R588" s="255"/>
      <c r="S588" s="255"/>
      <c r="T588" s="255"/>
    </row>
    <row r="589" spans="18:20" x14ac:dyDescent="0.3">
      <c r="R589" s="255"/>
      <c r="S589" s="255"/>
      <c r="T589" s="255"/>
    </row>
    <row r="590" spans="18:20" x14ac:dyDescent="0.3">
      <c r="R590" s="255"/>
      <c r="S590" s="255"/>
      <c r="T590" s="255"/>
    </row>
    <row r="591" spans="18:20" x14ac:dyDescent="0.3">
      <c r="R591" s="255"/>
      <c r="S591" s="255"/>
      <c r="T591" s="255"/>
    </row>
    <row r="592" spans="18:20" x14ac:dyDescent="0.3">
      <c r="R592" s="255"/>
      <c r="S592" s="255"/>
      <c r="T592" s="255"/>
    </row>
    <row r="593" spans="18:20" x14ac:dyDescent="0.3">
      <c r="R593" s="255"/>
      <c r="S593" s="255"/>
      <c r="T593" s="255"/>
    </row>
    <row r="594" spans="18:20" x14ac:dyDescent="0.3">
      <c r="R594" s="255"/>
      <c r="S594" s="255"/>
      <c r="T594" s="255"/>
    </row>
    <row r="595" spans="18:20" x14ac:dyDescent="0.3">
      <c r="R595" s="255"/>
      <c r="S595" s="255"/>
      <c r="T595" s="255"/>
    </row>
    <row r="596" spans="18:20" x14ac:dyDescent="0.3">
      <c r="R596" s="255"/>
      <c r="S596" s="255"/>
      <c r="T596" s="255"/>
    </row>
    <row r="597" spans="18:20" x14ac:dyDescent="0.3">
      <c r="R597" s="255"/>
      <c r="S597" s="255"/>
      <c r="T597" s="255"/>
    </row>
    <row r="598" spans="18:20" x14ac:dyDescent="0.3">
      <c r="R598" s="255"/>
      <c r="S598" s="255"/>
      <c r="T598" s="255"/>
    </row>
    <row r="599" spans="18:20" x14ac:dyDescent="0.3">
      <c r="R599" s="255"/>
      <c r="S599" s="255"/>
      <c r="T599" s="255"/>
    </row>
    <row r="600" spans="18:20" x14ac:dyDescent="0.3">
      <c r="R600" s="255"/>
      <c r="S600" s="255"/>
      <c r="T600" s="255"/>
    </row>
    <row r="601" spans="18:20" x14ac:dyDescent="0.3">
      <c r="R601" s="255"/>
      <c r="S601" s="255"/>
      <c r="T601" s="255"/>
    </row>
    <row r="602" spans="18:20" x14ac:dyDescent="0.3">
      <c r="R602" s="255"/>
      <c r="S602" s="255"/>
      <c r="T602" s="255"/>
    </row>
    <row r="603" spans="18:20" x14ac:dyDescent="0.3">
      <c r="R603" s="255"/>
      <c r="S603" s="255"/>
      <c r="T603" s="255"/>
    </row>
    <row r="604" spans="18:20" x14ac:dyDescent="0.3">
      <c r="R604" s="255"/>
      <c r="S604" s="255"/>
      <c r="T604" s="255"/>
    </row>
    <row r="605" spans="18:20" x14ac:dyDescent="0.3">
      <c r="R605" s="255"/>
      <c r="S605" s="255"/>
      <c r="T605" s="255"/>
    </row>
    <row r="606" spans="18:20" x14ac:dyDescent="0.3">
      <c r="R606" s="255"/>
      <c r="S606" s="255"/>
      <c r="T606" s="255"/>
    </row>
    <row r="607" spans="18:20" x14ac:dyDescent="0.3">
      <c r="R607" s="255"/>
      <c r="S607" s="255"/>
      <c r="T607" s="255"/>
    </row>
    <row r="608" spans="18:20" x14ac:dyDescent="0.3">
      <c r="R608" s="255"/>
      <c r="S608" s="255"/>
      <c r="T608" s="255"/>
    </row>
    <row r="609" spans="18:20" x14ac:dyDescent="0.3">
      <c r="R609" s="255"/>
      <c r="S609" s="255"/>
      <c r="T609" s="255"/>
    </row>
    <row r="610" spans="18:20" x14ac:dyDescent="0.3">
      <c r="R610" s="255"/>
      <c r="S610" s="255"/>
      <c r="T610" s="255"/>
    </row>
    <row r="611" spans="18:20" x14ac:dyDescent="0.3">
      <c r="R611" s="255"/>
      <c r="S611" s="255"/>
      <c r="T611" s="255"/>
    </row>
    <row r="612" spans="18:20" x14ac:dyDescent="0.3">
      <c r="R612" s="255"/>
      <c r="S612" s="255"/>
      <c r="T612" s="255"/>
    </row>
    <row r="613" spans="18:20" x14ac:dyDescent="0.3">
      <c r="R613" s="255"/>
      <c r="S613" s="255"/>
      <c r="T613" s="255"/>
    </row>
    <row r="614" spans="18:20" x14ac:dyDescent="0.3">
      <c r="R614" s="255"/>
      <c r="S614" s="255"/>
      <c r="T614" s="255"/>
    </row>
    <row r="615" spans="18:20" x14ac:dyDescent="0.3">
      <c r="R615" s="255"/>
      <c r="S615" s="255"/>
      <c r="T615" s="255"/>
    </row>
    <row r="616" spans="18:20" x14ac:dyDescent="0.3">
      <c r="R616" s="255"/>
      <c r="S616" s="255"/>
      <c r="T616" s="255"/>
    </row>
    <row r="617" spans="18:20" x14ac:dyDescent="0.3">
      <c r="R617" s="255"/>
      <c r="S617" s="255"/>
      <c r="T617" s="255"/>
    </row>
    <row r="618" spans="18:20" x14ac:dyDescent="0.3">
      <c r="R618" s="255"/>
      <c r="S618" s="255"/>
      <c r="T618" s="255"/>
    </row>
    <row r="619" spans="18:20" x14ac:dyDescent="0.3">
      <c r="R619" s="255"/>
      <c r="S619" s="255"/>
      <c r="T619" s="255"/>
    </row>
    <row r="620" spans="18:20" x14ac:dyDescent="0.3">
      <c r="R620" s="255"/>
      <c r="S620" s="255"/>
      <c r="T620" s="255"/>
    </row>
    <row r="621" spans="18:20" x14ac:dyDescent="0.3">
      <c r="R621" s="255"/>
      <c r="S621" s="255"/>
      <c r="T621" s="255"/>
    </row>
    <row r="622" spans="18:20" x14ac:dyDescent="0.3">
      <c r="R622" s="255"/>
      <c r="S622" s="255"/>
      <c r="T622" s="255"/>
    </row>
    <row r="623" spans="18:20" x14ac:dyDescent="0.3">
      <c r="R623" s="255"/>
      <c r="S623" s="255"/>
      <c r="T623" s="255"/>
    </row>
    <row r="624" spans="18:20" x14ac:dyDescent="0.3">
      <c r="R624" s="255"/>
      <c r="S624" s="255"/>
      <c r="T624" s="255"/>
    </row>
    <row r="625" spans="18:20" x14ac:dyDescent="0.3">
      <c r="R625" s="255"/>
      <c r="S625" s="255"/>
      <c r="T625" s="255"/>
    </row>
    <row r="626" spans="18:20" x14ac:dyDescent="0.3">
      <c r="R626" s="255"/>
      <c r="S626" s="255"/>
      <c r="T626" s="255"/>
    </row>
    <row r="627" spans="18:20" x14ac:dyDescent="0.3">
      <c r="R627" s="255"/>
      <c r="S627" s="255"/>
      <c r="T627" s="255"/>
    </row>
    <row r="628" spans="18:20" x14ac:dyDescent="0.3">
      <c r="R628" s="255"/>
      <c r="S628" s="255"/>
      <c r="T628" s="255"/>
    </row>
    <row r="629" spans="18:20" x14ac:dyDescent="0.3">
      <c r="R629" s="255"/>
      <c r="S629" s="255"/>
      <c r="T629" s="255"/>
    </row>
    <row r="630" spans="18:20" x14ac:dyDescent="0.3">
      <c r="R630" s="255"/>
      <c r="S630" s="255"/>
      <c r="T630" s="255"/>
    </row>
    <row r="631" spans="18:20" x14ac:dyDescent="0.3">
      <c r="R631" s="255"/>
      <c r="S631" s="255"/>
      <c r="T631" s="255"/>
    </row>
    <row r="632" spans="18:20" x14ac:dyDescent="0.3">
      <c r="R632" s="255"/>
      <c r="S632" s="255"/>
      <c r="T632" s="255"/>
    </row>
    <row r="633" spans="18:20" x14ac:dyDescent="0.3">
      <c r="R633" s="255"/>
      <c r="S633" s="255"/>
      <c r="T633" s="255"/>
    </row>
    <row r="634" spans="18:20" x14ac:dyDescent="0.3">
      <c r="R634" s="255"/>
      <c r="S634" s="255"/>
      <c r="T634" s="255"/>
    </row>
    <row r="635" spans="18:20" x14ac:dyDescent="0.3">
      <c r="R635" s="255"/>
      <c r="S635" s="255"/>
      <c r="T635" s="255"/>
    </row>
    <row r="636" spans="18:20" x14ac:dyDescent="0.3">
      <c r="R636" s="255"/>
      <c r="S636" s="255"/>
      <c r="T636" s="255"/>
    </row>
    <row r="637" spans="18:20" x14ac:dyDescent="0.3">
      <c r="R637" s="255"/>
      <c r="S637" s="255"/>
      <c r="T637" s="255"/>
    </row>
    <row r="638" spans="18:20" x14ac:dyDescent="0.3">
      <c r="R638" s="255"/>
      <c r="S638" s="255"/>
      <c r="T638" s="255"/>
    </row>
    <row r="639" spans="18:20" x14ac:dyDescent="0.3">
      <c r="R639" s="255"/>
      <c r="S639" s="255"/>
      <c r="T639" s="255"/>
    </row>
    <row r="640" spans="18:20" x14ac:dyDescent="0.3">
      <c r="R640" s="255"/>
      <c r="S640" s="255"/>
      <c r="T640" s="255"/>
    </row>
    <row r="641" spans="18:20" x14ac:dyDescent="0.3">
      <c r="R641" s="255"/>
      <c r="S641" s="255"/>
      <c r="T641" s="255"/>
    </row>
    <row r="642" spans="18:20" x14ac:dyDescent="0.3">
      <c r="R642" s="255"/>
      <c r="S642" s="255"/>
      <c r="T642" s="255"/>
    </row>
    <row r="643" spans="18:20" x14ac:dyDescent="0.3">
      <c r="R643" s="255"/>
      <c r="S643" s="255"/>
      <c r="T643" s="255"/>
    </row>
    <row r="644" spans="18:20" x14ac:dyDescent="0.3">
      <c r="R644" s="255"/>
      <c r="S644" s="255"/>
      <c r="T644" s="255"/>
    </row>
    <row r="645" spans="18:20" x14ac:dyDescent="0.3">
      <c r="R645" s="255"/>
      <c r="S645" s="255"/>
      <c r="T645" s="255"/>
    </row>
    <row r="646" spans="18:20" x14ac:dyDescent="0.3">
      <c r="R646" s="255"/>
      <c r="S646" s="255"/>
      <c r="T646" s="255"/>
    </row>
    <row r="647" spans="18:20" x14ac:dyDescent="0.3">
      <c r="R647" s="255"/>
      <c r="S647" s="255"/>
      <c r="T647" s="255"/>
    </row>
    <row r="648" spans="18:20" x14ac:dyDescent="0.3">
      <c r="R648" s="255"/>
      <c r="S648" s="255"/>
      <c r="T648" s="255"/>
    </row>
    <row r="649" spans="18:20" x14ac:dyDescent="0.3">
      <c r="R649" s="255"/>
      <c r="S649" s="255"/>
      <c r="T649" s="255"/>
    </row>
    <row r="650" spans="18:20" x14ac:dyDescent="0.3">
      <c r="R650" s="255"/>
      <c r="S650" s="255"/>
      <c r="T650" s="255"/>
    </row>
    <row r="651" spans="18:20" x14ac:dyDescent="0.3">
      <c r="R651" s="255"/>
      <c r="S651" s="255"/>
      <c r="T651" s="255"/>
    </row>
    <row r="652" spans="18:20" x14ac:dyDescent="0.3">
      <c r="R652" s="255"/>
      <c r="S652" s="255"/>
      <c r="T652" s="255"/>
    </row>
    <row r="653" spans="18:20" x14ac:dyDescent="0.3">
      <c r="R653" s="255"/>
      <c r="S653" s="255"/>
      <c r="T653" s="255"/>
    </row>
    <row r="654" spans="18:20" x14ac:dyDescent="0.3">
      <c r="R654" s="255"/>
      <c r="S654" s="255"/>
      <c r="T654" s="255"/>
    </row>
    <row r="655" spans="18:20" x14ac:dyDescent="0.3">
      <c r="R655" s="255"/>
      <c r="S655" s="255"/>
      <c r="T655" s="255"/>
    </row>
    <row r="656" spans="18:20" x14ac:dyDescent="0.3">
      <c r="R656" s="255"/>
      <c r="S656" s="255"/>
      <c r="T656" s="255"/>
    </row>
    <row r="657" spans="18:20" x14ac:dyDescent="0.3">
      <c r="R657" s="255"/>
      <c r="S657" s="255"/>
      <c r="T657" s="255"/>
    </row>
    <row r="658" spans="18:20" x14ac:dyDescent="0.3">
      <c r="R658" s="255"/>
      <c r="S658" s="255"/>
      <c r="T658" s="255"/>
    </row>
    <row r="659" spans="18:20" x14ac:dyDescent="0.3">
      <c r="R659" s="255"/>
      <c r="S659" s="255"/>
      <c r="T659" s="255"/>
    </row>
    <row r="660" spans="18:20" x14ac:dyDescent="0.3">
      <c r="R660" s="255"/>
      <c r="S660" s="255"/>
      <c r="T660" s="255"/>
    </row>
    <row r="661" spans="18:20" x14ac:dyDescent="0.3">
      <c r="R661" s="255"/>
      <c r="S661" s="255"/>
      <c r="T661" s="255"/>
    </row>
    <row r="662" spans="18:20" x14ac:dyDescent="0.3">
      <c r="R662" s="255"/>
      <c r="S662" s="255"/>
      <c r="T662" s="255"/>
    </row>
    <row r="663" spans="18:20" x14ac:dyDescent="0.3">
      <c r="R663" s="255"/>
      <c r="S663" s="255"/>
      <c r="T663" s="255"/>
    </row>
    <row r="664" spans="18:20" x14ac:dyDescent="0.3">
      <c r="R664" s="255"/>
      <c r="S664" s="255"/>
      <c r="T664" s="255"/>
    </row>
    <row r="665" spans="18:20" x14ac:dyDescent="0.3">
      <c r="R665" s="255"/>
      <c r="S665" s="255"/>
      <c r="T665" s="255"/>
    </row>
    <row r="666" spans="18:20" x14ac:dyDescent="0.3">
      <c r="R666" s="255"/>
      <c r="S666" s="255"/>
      <c r="T666" s="255"/>
    </row>
    <row r="667" spans="18:20" x14ac:dyDescent="0.3">
      <c r="R667" s="255"/>
      <c r="S667" s="255"/>
      <c r="T667" s="255"/>
    </row>
    <row r="668" spans="18:20" x14ac:dyDescent="0.3">
      <c r="R668" s="255"/>
      <c r="S668" s="255"/>
      <c r="T668" s="255"/>
    </row>
    <row r="669" spans="18:20" x14ac:dyDescent="0.3">
      <c r="R669" s="255"/>
      <c r="S669" s="255"/>
      <c r="T669" s="255"/>
    </row>
    <row r="670" spans="18:20" x14ac:dyDescent="0.3">
      <c r="R670" s="255"/>
      <c r="S670" s="255"/>
      <c r="T670" s="255"/>
    </row>
    <row r="671" spans="18:20" x14ac:dyDescent="0.3">
      <c r="R671" s="255"/>
      <c r="S671" s="255"/>
      <c r="T671" s="255"/>
    </row>
    <row r="672" spans="18:20" x14ac:dyDescent="0.3">
      <c r="R672" s="255"/>
      <c r="S672" s="255"/>
      <c r="T672" s="255"/>
    </row>
    <row r="673" spans="18:20" x14ac:dyDescent="0.3">
      <c r="R673" s="255"/>
      <c r="S673" s="255"/>
      <c r="T673" s="255"/>
    </row>
    <row r="674" spans="18:20" x14ac:dyDescent="0.3">
      <c r="R674" s="255"/>
      <c r="S674" s="255"/>
      <c r="T674" s="255"/>
    </row>
    <row r="675" spans="18:20" x14ac:dyDescent="0.3">
      <c r="R675" s="255"/>
      <c r="S675" s="255"/>
      <c r="T675" s="255"/>
    </row>
    <row r="676" spans="18:20" x14ac:dyDescent="0.3">
      <c r="R676" s="255"/>
      <c r="S676" s="255"/>
      <c r="T676" s="255"/>
    </row>
    <row r="677" spans="18:20" x14ac:dyDescent="0.3">
      <c r="R677" s="255"/>
      <c r="S677" s="255"/>
      <c r="T677" s="255"/>
    </row>
    <row r="678" spans="18:20" x14ac:dyDescent="0.3">
      <c r="R678" s="255"/>
      <c r="S678" s="255"/>
      <c r="T678" s="255"/>
    </row>
    <row r="679" spans="18:20" x14ac:dyDescent="0.3">
      <c r="R679" s="255"/>
      <c r="S679" s="255"/>
      <c r="T679" s="255"/>
    </row>
    <row r="680" spans="18:20" x14ac:dyDescent="0.3">
      <c r="R680" s="255"/>
      <c r="S680" s="255"/>
      <c r="T680" s="255"/>
    </row>
    <row r="681" spans="18:20" x14ac:dyDescent="0.3">
      <c r="R681" s="255"/>
      <c r="S681" s="255"/>
      <c r="T681" s="255"/>
    </row>
    <row r="682" spans="18:20" x14ac:dyDescent="0.3">
      <c r="R682" s="255"/>
      <c r="S682" s="255"/>
      <c r="T682" s="255"/>
    </row>
    <row r="683" spans="18:20" x14ac:dyDescent="0.3">
      <c r="R683" s="255"/>
      <c r="S683" s="255"/>
      <c r="T683" s="255"/>
    </row>
    <row r="684" spans="18:20" x14ac:dyDescent="0.3">
      <c r="R684" s="255"/>
      <c r="S684" s="255"/>
      <c r="T684" s="255"/>
    </row>
    <row r="685" spans="18:20" x14ac:dyDescent="0.3">
      <c r="R685" s="255"/>
      <c r="S685" s="255"/>
      <c r="T685" s="255"/>
    </row>
    <row r="686" spans="18:20" x14ac:dyDescent="0.3">
      <c r="R686" s="255"/>
      <c r="S686" s="255"/>
      <c r="T686" s="255"/>
    </row>
    <row r="687" spans="18:20" x14ac:dyDescent="0.3">
      <c r="R687" s="255"/>
      <c r="S687" s="255"/>
      <c r="T687" s="255"/>
    </row>
    <row r="688" spans="18:20" x14ac:dyDescent="0.3">
      <c r="R688" s="255"/>
      <c r="S688" s="255"/>
      <c r="T688" s="255"/>
    </row>
    <row r="689" spans="18:20" x14ac:dyDescent="0.3">
      <c r="R689" s="255"/>
      <c r="S689" s="255"/>
      <c r="T689" s="255"/>
    </row>
    <row r="690" spans="18:20" x14ac:dyDescent="0.3">
      <c r="R690" s="255"/>
      <c r="S690" s="255"/>
      <c r="T690" s="255"/>
    </row>
    <row r="691" spans="18:20" x14ac:dyDescent="0.3">
      <c r="R691" s="255"/>
      <c r="S691" s="255"/>
      <c r="T691" s="255"/>
    </row>
    <row r="692" spans="18:20" x14ac:dyDescent="0.3">
      <c r="R692" s="255"/>
      <c r="S692" s="255"/>
      <c r="T692" s="255"/>
    </row>
    <row r="693" spans="18:20" x14ac:dyDescent="0.3">
      <c r="R693" s="255"/>
      <c r="S693" s="255"/>
      <c r="T693" s="255"/>
    </row>
    <row r="694" spans="18:20" x14ac:dyDescent="0.3">
      <c r="R694" s="255"/>
      <c r="S694" s="255"/>
      <c r="T694" s="255"/>
    </row>
    <row r="695" spans="18:20" x14ac:dyDescent="0.3">
      <c r="R695" s="255"/>
      <c r="S695" s="255"/>
      <c r="T695" s="255"/>
    </row>
    <row r="696" spans="18:20" x14ac:dyDescent="0.3">
      <c r="R696" s="255"/>
      <c r="S696" s="255"/>
      <c r="T696" s="255"/>
    </row>
    <row r="697" spans="18:20" x14ac:dyDescent="0.3">
      <c r="R697" s="255"/>
      <c r="S697" s="255"/>
      <c r="T697" s="255"/>
    </row>
    <row r="698" spans="18:20" x14ac:dyDescent="0.3">
      <c r="R698" s="255"/>
      <c r="S698" s="255"/>
      <c r="T698" s="255"/>
    </row>
    <row r="699" spans="18:20" x14ac:dyDescent="0.3">
      <c r="R699" s="255"/>
      <c r="S699" s="255"/>
      <c r="T699" s="255"/>
    </row>
    <row r="700" spans="18:20" x14ac:dyDescent="0.3">
      <c r="R700" s="255"/>
      <c r="S700" s="255"/>
      <c r="T700" s="255"/>
    </row>
    <row r="701" spans="18:20" x14ac:dyDescent="0.3">
      <c r="R701" s="255"/>
      <c r="S701" s="255"/>
      <c r="T701" s="255"/>
    </row>
    <row r="702" spans="18:20" x14ac:dyDescent="0.3">
      <c r="R702" s="255"/>
      <c r="S702" s="255"/>
      <c r="T702" s="255"/>
    </row>
    <row r="703" spans="18:20" x14ac:dyDescent="0.3">
      <c r="R703" s="255"/>
      <c r="S703" s="255"/>
      <c r="T703" s="255"/>
    </row>
    <row r="704" spans="18:20" x14ac:dyDescent="0.3">
      <c r="R704" s="255"/>
      <c r="S704" s="255"/>
      <c r="T704" s="255"/>
    </row>
    <row r="705" spans="18:20" x14ac:dyDescent="0.3">
      <c r="R705" s="255"/>
      <c r="S705" s="255"/>
      <c r="T705" s="255"/>
    </row>
    <row r="706" spans="18:20" x14ac:dyDescent="0.3">
      <c r="R706" s="255"/>
      <c r="S706" s="255"/>
      <c r="T706" s="255"/>
    </row>
    <row r="707" spans="18:20" x14ac:dyDescent="0.3">
      <c r="R707" s="255"/>
      <c r="S707" s="255"/>
      <c r="T707" s="255"/>
    </row>
    <row r="708" spans="18:20" x14ac:dyDescent="0.3">
      <c r="R708" s="255"/>
      <c r="S708" s="255"/>
      <c r="T708" s="255"/>
    </row>
    <row r="709" spans="18:20" x14ac:dyDescent="0.3">
      <c r="R709" s="255"/>
      <c r="S709" s="255"/>
      <c r="T709" s="255"/>
    </row>
    <row r="710" spans="18:20" x14ac:dyDescent="0.3">
      <c r="R710" s="255"/>
      <c r="S710" s="255"/>
      <c r="T710" s="255"/>
    </row>
    <row r="711" spans="18:20" x14ac:dyDescent="0.3">
      <c r="R711" s="255"/>
      <c r="S711" s="255"/>
      <c r="T711" s="255"/>
    </row>
    <row r="712" spans="18:20" x14ac:dyDescent="0.3">
      <c r="R712" s="255"/>
      <c r="S712" s="255"/>
      <c r="T712" s="255"/>
    </row>
    <row r="713" spans="18:20" x14ac:dyDescent="0.3">
      <c r="R713" s="255"/>
      <c r="S713" s="255"/>
      <c r="T713" s="255"/>
    </row>
    <row r="714" spans="18:20" x14ac:dyDescent="0.3">
      <c r="R714" s="255"/>
      <c r="S714" s="255"/>
      <c r="T714" s="255"/>
    </row>
    <row r="715" spans="18:20" x14ac:dyDescent="0.3">
      <c r="R715" s="255"/>
      <c r="S715" s="255"/>
      <c r="T715" s="255"/>
    </row>
    <row r="716" spans="18:20" x14ac:dyDescent="0.3">
      <c r="R716" s="255"/>
      <c r="S716" s="255"/>
      <c r="T716" s="255"/>
    </row>
    <row r="717" spans="18:20" x14ac:dyDescent="0.3">
      <c r="R717" s="255"/>
      <c r="S717" s="255"/>
      <c r="T717" s="255"/>
    </row>
    <row r="718" spans="18:20" x14ac:dyDescent="0.3">
      <c r="R718" s="255"/>
      <c r="S718" s="255"/>
      <c r="T718" s="255"/>
    </row>
    <row r="719" spans="18:20" x14ac:dyDescent="0.3">
      <c r="R719" s="255"/>
      <c r="S719" s="255"/>
      <c r="T719" s="255"/>
    </row>
    <row r="720" spans="18:20" x14ac:dyDescent="0.3">
      <c r="R720" s="255"/>
      <c r="S720" s="255"/>
      <c r="T720" s="255"/>
    </row>
    <row r="721" spans="18:20" x14ac:dyDescent="0.3">
      <c r="R721" s="255"/>
      <c r="S721" s="255"/>
      <c r="T721" s="255"/>
    </row>
    <row r="722" spans="18:20" x14ac:dyDescent="0.3">
      <c r="R722" s="255"/>
      <c r="S722" s="255"/>
      <c r="T722" s="255"/>
    </row>
    <row r="723" spans="18:20" x14ac:dyDescent="0.3">
      <c r="R723" s="255"/>
      <c r="S723" s="255"/>
      <c r="T723" s="255"/>
    </row>
    <row r="724" spans="18:20" x14ac:dyDescent="0.3">
      <c r="R724" s="255"/>
      <c r="S724" s="255"/>
      <c r="T724" s="255"/>
    </row>
    <row r="725" spans="18:20" x14ac:dyDescent="0.3">
      <c r="R725" s="255"/>
      <c r="S725" s="255"/>
      <c r="T725" s="255"/>
    </row>
    <row r="726" spans="18:20" x14ac:dyDescent="0.3">
      <c r="R726" s="255"/>
      <c r="S726" s="255"/>
      <c r="T726" s="255"/>
    </row>
    <row r="727" spans="18:20" x14ac:dyDescent="0.3">
      <c r="R727" s="255"/>
      <c r="S727" s="255"/>
      <c r="T727" s="255"/>
    </row>
    <row r="728" spans="18:20" x14ac:dyDescent="0.3">
      <c r="R728" s="255"/>
      <c r="S728" s="255"/>
      <c r="T728" s="255"/>
    </row>
    <row r="729" spans="18:20" x14ac:dyDescent="0.3">
      <c r="R729" s="255"/>
      <c r="S729" s="255"/>
      <c r="T729" s="255"/>
    </row>
    <row r="730" spans="18:20" x14ac:dyDescent="0.3">
      <c r="R730" s="255"/>
      <c r="S730" s="255"/>
      <c r="T730" s="255"/>
    </row>
    <row r="731" spans="18:20" x14ac:dyDescent="0.3">
      <c r="R731" s="255"/>
      <c r="S731" s="255"/>
      <c r="T731" s="255"/>
    </row>
    <row r="732" spans="18:20" x14ac:dyDescent="0.3">
      <c r="R732" s="255"/>
      <c r="S732" s="255"/>
      <c r="T732" s="255"/>
    </row>
    <row r="733" spans="18:20" x14ac:dyDescent="0.3">
      <c r="R733" s="255"/>
      <c r="S733" s="255"/>
      <c r="T733" s="255"/>
    </row>
    <row r="734" spans="18:20" x14ac:dyDescent="0.3">
      <c r="R734" s="255"/>
      <c r="S734" s="255"/>
      <c r="T734" s="255"/>
    </row>
    <row r="735" spans="18:20" x14ac:dyDescent="0.3">
      <c r="R735" s="255"/>
      <c r="S735" s="255"/>
      <c r="T735" s="255"/>
    </row>
    <row r="736" spans="18:20" x14ac:dyDescent="0.3">
      <c r="R736" s="255"/>
      <c r="S736" s="255"/>
      <c r="T736" s="255"/>
    </row>
    <row r="737" spans="18:20" x14ac:dyDescent="0.3">
      <c r="R737" s="255"/>
      <c r="S737" s="255"/>
      <c r="T737" s="255"/>
    </row>
    <row r="738" spans="18:20" x14ac:dyDescent="0.3">
      <c r="R738" s="255"/>
      <c r="S738" s="255"/>
      <c r="T738" s="255"/>
    </row>
    <row r="739" spans="18:20" x14ac:dyDescent="0.3">
      <c r="R739" s="255"/>
      <c r="S739" s="255"/>
      <c r="T739" s="255"/>
    </row>
    <row r="740" spans="18:20" x14ac:dyDescent="0.3">
      <c r="R740" s="255"/>
      <c r="S740" s="255"/>
      <c r="T740" s="255"/>
    </row>
    <row r="741" spans="18:20" x14ac:dyDescent="0.3">
      <c r="R741" s="255"/>
      <c r="S741" s="255"/>
      <c r="T741" s="255"/>
    </row>
    <row r="742" spans="18:20" x14ac:dyDescent="0.3">
      <c r="R742" s="255"/>
      <c r="S742" s="255"/>
      <c r="T742" s="255"/>
    </row>
    <row r="743" spans="18:20" x14ac:dyDescent="0.3">
      <c r="R743" s="255"/>
      <c r="S743" s="255"/>
      <c r="T743" s="255"/>
    </row>
    <row r="744" spans="18:20" x14ac:dyDescent="0.3">
      <c r="R744" s="255"/>
      <c r="S744" s="255"/>
      <c r="T744" s="255"/>
    </row>
    <row r="745" spans="18:20" x14ac:dyDescent="0.3">
      <c r="R745" s="255"/>
      <c r="S745" s="255"/>
      <c r="T745" s="255"/>
    </row>
    <row r="746" spans="18:20" x14ac:dyDescent="0.3">
      <c r="R746" s="255"/>
      <c r="S746" s="255"/>
      <c r="T746" s="255"/>
    </row>
    <row r="747" spans="18:20" x14ac:dyDescent="0.3">
      <c r="R747" s="255"/>
      <c r="S747" s="255"/>
      <c r="T747" s="255"/>
    </row>
    <row r="748" spans="18:20" x14ac:dyDescent="0.3">
      <c r="R748" s="255"/>
      <c r="S748" s="255"/>
      <c r="T748" s="255"/>
    </row>
    <row r="749" spans="18:20" x14ac:dyDescent="0.3">
      <c r="R749" s="255"/>
      <c r="S749" s="255"/>
      <c r="T749" s="255"/>
    </row>
    <row r="750" spans="18:20" x14ac:dyDescent="0.3">
      <c r="R750" s="255"/>
      <c r="S750" s="255"/>
      <c r="T750" s="255"/>
    </row>
    <row r="751" spans="18:20" x14ac:dyDescent="0.3">
      <c r="R751" s="255"/>
      <c r="S751" s="255"/>
      <c r="T751" s="255"/>
    </row>
    <row r="752" spans="18:20" x14ac:dyDescent="0.3">
      <c r="R752" s="255"/>
      <c r="S752" s="255"/>
      <c r="T752" s="255"/>
    </row>
    <row r="753" spans="18:20" x14ac:dyDescent="0.3">
      <c r="R753" s="255"/>
      <c r="S753" s="255"/>
      <c r="T753" s="255"/>
    </row>
    <row r="754" spans="18:20" x14ac:dyDescent="0.3">
      <c r="R754" s="255"/>
      <c r="S754" s="255"/>
      <c r="T754" s="255"/>
    </row>
    <row r="755" spans="18:20" x14ac:dyDescent="0.3">
      <c r="R755" s="255"/>
      <c r="S755" s="255"/>
      <c r="T755" s="255"/>
    </row>
    <row r="756" spans="18:20" x14ac:dyDescent="0.3">
      <c r="R756" s="255"/>
      <c r="S756" s="255"/>
      <c r="T756" s="255"/>
    </row>
    <row r="757" spans="18:20" x14ac:dyDescent="0.3">
      <c r="R757" s="255"/>
      <c r="S757" s="255"/>
      <c r="T757" s="255"/>
    </row>
    <row r="758" spans="18:20" x14ac:dyDescent="0.3">
      <c r="R758" s="255"/>
      <c r="S758" s="255"/>
      <c r="T758" s="255"/>
    </row>
    <row r="759" spans="18:20" x14ac:dyDescent="0.3">
      <c r="R759" s="255"/>
      <c r="S759" s="255"/>
      <c r="T759" s="255"/>
    </row>
    <row r="760" spans="18:20" x14ac:dyDescent="0.3">
      <c r="R760" s="255"/>
      <c r="S760" s="255"/>
      <c r="T760" s="255"/>
    </row>
    <row r="761" spans="18:20" x14ac:dyDescent="0.3">
      <c r="R761" s="255"/>
      <c r="S761" s="255"/>
      <c r="T761" s="255"/>
    </row>
    <row r="762" spans="18:20" x14ac:dyDescent="0.3">
      <c r="R762" s="255"/>
      <c r="S762" s="255"/>
      <c r="T762" s="255"/>
    </row>
    <row r="763" spans="18:20" x14ac:dyDescent="0.3">
      <c r="R763" s="255"/>
      <c r="S763" s="255"/>
      <c r="T763" s="255"/>
    </row>
    <row r="764" spans="18:20" x14ac:dyDescent="0.3">
      <c r="R764" s="255"/>
      <c r="S764" s="255"/>
      <c r="T764" s="255"/>
    </row>
    <row r="765" spans="18:20" x14ac:dyDescent="0.3">
      <c r="R765" s="255"/>
      <c r="S765" s="255"/>
      <c r="T765" s="255"/>
    </row>
    <row r="766" spans="18:20" x14ac:dyDescent="0.3">
      <c r="R766" s="255"/>
      <c r="S766" s="255"/>
      <c r="T766" s="255"/>
    </row>
    <row r="767" spans="18:20" x14ac:dyDescent="0.3">
      <c r="R767" s="255"/>
      <c r="S767" s="255"/>
      <c r="T767" s="255"/>
    </row>
    <row r="768" spans="18:20" x14ac:dyDescent="0.3">
      <c r="R768" s="255"/>
      <c r="S768" s="255"/>
      <c r="T768" s="255"/>
    </row>
    <row r="769" spans="18:20" x14ac:dyDescent="0.3">
      <c r="R769" s="255"/>
      <c r="S769" s="255"/>
      <c r="T769" s="255"/>
    </row>
    <row r="770" spans="18:20" x14ac:dyDescent="0.3">
      <c r="R770" s="255"/>
      <c r="S770" s="255"/>
      <c r="T770" s="255"/>
    </row>
    <row r="771" spans="18:20" x14ac:dyDescent="0.3">
      <c r="R771" s="255"/>
      <c r="S771" s="255"/>
      <c r="T771" s="255"/>
    </row>
    <row r="772" spans="18:20" x14ac:dyDescent="0.3">
      <c r="R772" s="255"/>
      <c r="S772" s="255"/>
      <c r="T772" s="255"/>
    </row>
    <row r="773" spans="18:20" x14ac:dyDescent="0.3">
      <c r="R773" s="255"/>
      <c r="S773" s="255"/>
      <c r="T773" s="255"/>
    </row>
    <row r="774" spans="18:20" x14ac:dyDescent="0.3">
      <c r="R774" s="255"/>
      <c r="S774" s="255"/>
      <c r="T774" s="255"/>
    </row>
    <row r="775" spans="18:20" x14ac:dyDescent="0.3">
      <c r="R775" s="255"/>
      <c r="S775" s="255"/>
      <c r="T775" s="255"/>
    </row>
    <row r="776" spans="18:20" x14ac:dyDescent="0.3">
      <c r="R776" s="255"/>
      <c r="S776" s="255"/>
      <c r="T776" s="255"/>
    </row>
    <row r="777" spans="18:20" x14ac:dyDescent="0.3">
      <c r="R777" s="255"/>
      <c r="S777" s="255"/>
      <c r="T777" s="255"/>
    </row>
    <row r="778" spans="18:20" x14ac:dyDescent="0.3">
      <c r="R778" s="255"/>
      <c r="S778" s="255"/>
      <c r="T778" s="255"/>
    </row>
    <row r="779" spans="18:20" x14ac:dyDescent="0.3">
      <c r="R779" s="255"/>
      <c r="S779" s="255"/>
      <c r="T779" s="255"/>
    </row>
    <row r="780" spans="18:20" x14ac:dyDescent="0.3">
      <c r="R780" s="255"/>
      <c r="S780" s="255"/>
      <c r="T780" s="255"/>
    </row>
    <row r="781" spans="18:20" x14ac:dyDescent="0.3">
      <c r="R781" s="255"/>
      <c r="S781" s="255"/>
      <c r="T781" s="255"/>
    </row>
    <row r="782" spans="18:20" x14ac:dyDescent="0.3">
      <c r="R782" s="255"/>
      <c r="S782" s="255"/>
      <c r="T782" s="255"/>
    </row>
    <row r="783" spans="18:20" x14ac:dyDescent="0.3">
      <c r="R783" s="255"/>
      <c r="S783" s="255"/>
      <c r="T783" s="255"/>
    </row>
    <row r="784" spans="18:20" x14ac:dyDescent="0.3">
      <c r="R784" s="255"/>
      <c r="S784" s="255"/>
      <c r="T784" s="255"/>
    </row>
    <row r="785" spans="18:20" x14ac:dyDescent="0.3">
      <c r="R785" s="255"/>
      <c r="S785" s="255"/>
      <c r="T785" s="255"/>
    </row>
    <row r="786" spans="18:20" x14ac:dyDescent="0.3">
      <c r="R786" s="255"/>
      <c r="S786" s="255"/>
      <c r="T786" s="255"/>
    </row>
    <row r="787" spans="18:20" x14ac:dyDescent="0.3">
      <c r="R787" s="255"/>
      <c r="S787" s="255"/>
      <c r="T787" s="255"/>
    </row>
    <row r="788" spans="18:20" x14ac:dyDescent="0.3">
      <c r="R788" s="255"/>
      <c r="S788" s="255"/>
      <c r="T788" s="255"/>
    </row>
    <row r="789" spans="18:20" x14ac:dyDescent="0.3">
      <c r="R789" s="255"/>
      <c r="S789" s="255"/>
      <c r="T789" s="255"/>
    </row>
    <row r="790" spans="18:20" x14ac:dyDescent="0.3">
      <c r="R790" s="255"/>
      <c r="S790" s="255"/>
      <c r="T790" s="255"/>
    </row>
    <row r="791" spans="18:20" x14ac:dyDescent="0.3">
      <c r="R791" s="255"/>
      <c r="S791" s="255"/>
      <c r="T791" s="255"/>
    </row>
    <row r="792" spans="18:20" x14ac:dyDescent="0.3">
      <c r="R792" s="255"/>
      <c r="S792" s="255"/>
      <c r="T792" s="255"/>
    </row>
    <row r="793" spans="18:20" x14ac:dyDescent="0.3">
      <c r="R793" s="255"/>
      <c r="S793" s="255"/>
      <c r="T793" s="255"/>
    </row>
    <row r="794" spans="18:20" x14ac:dyDescent="0.3">
      <c r="R794" s="255"/>
      <c r="S794" s="255"/>
      <c r="T794" s="255"/>
    </row>
    <row r="795" spans="18:20" x14ac:dyDescent="0.3">
      <c r="R795" s="255"/>
      <c r="S795" s="255"/>
      <c r="T795" s="255"/>
    </row>
    <row r="796" spans="18:20" x14ac:dyDescent="0.3">
      <c r="R796" s="255"/>
      <c r="S796" s="255"/>
      <c r="T796" s="255"/>
    </row>
    <row r="797" spans="18:20" x14ac:dyDescent="0.3">
      <c r="R797" s="255"/>
      <c r="S797" s="255"/>
      <c r="T797" s="255"/>
    </row>
    <row r="798" spans="18:20" x14ac:dyDescent="0.3">
      <c r="R798" s="255"/>
      <c r="S798" s="255"/>
      <c r="T798" s="255"/>
    </row>
    <row r="799" spans="18:20" x14ac:dyDescent="0.3">
      <c r="R799" s="255"/>
      <c r="S799" s="255"/>
      <c r="T799" s="255"/>
    </row>
    <row r="800" spans="18:20" x14ac:dyDescent="0.3">
      <c r="R800" s="255"/>
      <c r="S800" s="255"/>
      <c r="T800" s="255"/>
    </row>
    <row r="801" spans="18:20" x14ac:dyDescent="0.3">
      <c r="R801" s="255"/>
      <c r="S801" s="255"/>
      <c r="T801" s="255"/>
    </row>
    <row r="802" spans="18:20" x14ac:dyDescent="0.3">
      <c r="R802" s="255"/>
      <c r="S802" s="255"/>
      <c r="T802" s="255"/>
    </row>
    <row r="803" spans="18:20" x14ac:dyDescent="0.3">
      <c r="R803" s="255"/>
      <c r="S803" s="255"/>
      <c r="T803" s="255"/>
    </row>
    <row r="804" spans="18:20" x14ac:dyDescent="0.3">
      <c r="R804" s="255"/>
      <c r="S804" s="255"/>
      <c r="T804" s="255"/>
    </row>
    <row r="805" spans="18:20" x14ac:dyDescent="0.3">
      <c r="R805" s="255"/>
      <c r="S805" s="255"/>
      <c r="T805" s="255"/>
    </row>
    <row r="806" spans="18:20" x14ac:dyDescent="0.3">
      <c r="R806" s="255"/>
      <c r="S806" s="255"/>
      <c r="T806" s="255"/>
    </row>
    <row r="807" spans="18:20" x14ac:dyDescent="0.3">
      <c r="R807" s="255"/>
      <c r="S807" s="255"/>
      <c r="T807" s="255"/>
    </row>
    <row r="808" spans="18:20" x14ac:dyDescent="0.3">
      <c r="R808" s="255"/>
      <c r="S808" s="255"/>
      <c r="T808" s="255"/>
    </row>
    <row r="809" spans="18:20" x14ac:dyDescent="0.3">
      <c r="R809" s="255"/>
      <c r="S809" s="255"/>
      <c r="T809" s="255"/>
    </row>
    <row r="810" spans="18:20" x14ac:dyDescent="0.3">
      <c r="R810" s="255"/>
      <c r="S810" s="255"/>
      <c r="T810" s="255"/>
    </row>
    <row r="811" spans="18:20" x14ac:dyDescent="0.3">
      <c r="R811" s="255"/>
      <c r="S811" s="255"/>
      <c r="T811" s="255"/>
    </row>
    <row r="812" spans="18:20" x14ac:dyDescent="0.3">
      <c r="R812" s="255"/>
      <c r="S812" s="255"/>
      <c r="T812" s="255"/>
    </row>
    <row r="813" spans="18:20" x14ac:dyDescent="0.3">
      <c r="R813" s="255"/>
      <c r="S813" s="255"/>
      <c r="T813" s="255"/>
    </row>
    <row r="814" spans="18:20" x14ac:dyDescent="0.3">
      <c r="R814" s="255"/>
      <c r="S814" s="255"/>
      <c r="T814" s="255"/>
    </row>
    <row r="815" spans="18:20" x14ac:dyDescent="0.3">
      <c r="R815" s="255"/>
      <c r="S815" s="255"/>
      <c r="T815" s="255"/>
    </row>
    <row r="816" spans="18:20" x14ac:dyDescent="0.3">
      <c r="R816" s="255"/>
      <c r="S816" s="255"/>
      <c r="T816" s="255"/>
    </row>
    <row r="817" spans="18:20" x14ac:dyDescent="0.3">
      <c r="R817" s="255"/>
      <c r="S817" s="255"/>
      <c r="T817" s="255"/>
    </row>
    <row r="818" spans="18:20" x14ac:dyDescent="0.3">
      <c r="R818" s="255"/>
      <c r="S818" s="255"/>
      <c r="T818" s="255"/>
    </row>
    <row r="819" spans="18:20" x14ac:dyDescent="0.3">
      <c r="R819" s="255"/>
      <c r="S819" s="255"/>
      <c r="T819" s="255"/>
    </row>
    <row r="820" spans="18:20" x14ac:dyDescent="0.3">
      <c r="R820" s="255"/>
      <c r="S820" s="255"/>
      <c r="T820" s="255"/>
    </row>
    <row r="821" spans="18:20" x14ac:dyDescent="0.3">
      <c r="R821" s="255"/>
      <c r="S821" s="255"/>
      <c r="T821" s="255"/>
    </row>
    <row r="822" spans="18:20" x14ac:dyDescent="0.3">
      <c r="R822" s="255"/>
      <c r="S822" s="255"/>
      <c r="T822" s="255"/>
    </row>
    <row r="823" spans="18:20" x14ac:dyDescent="0.3">
      <c r="R823" s="255"/>
      <c r="S823" s="255"/>
      <c r="T823" s="255"/>
    </row>
    <row r="824" spans="18:20" x14ac:dyDescent="0.3">
      <c r="R824" s="255"/>
      <c r="S824" s="255"/>
      <c r="T824" s="255"/>
    </row>
    <row r="825" spans="18:20" x14ac:dyDescent="0.3">
      <c r="R825" s="255"/>
      <c r="S825" s="255"/>
      <c r="T825" s="255"/>
    </row>
    <row r="826" spans="18:20" x14ac:dyDescent="0.3">
      <c r="R826" s="255"/>
      <c r="S826" s="255"/>
      <c r="T826" s="255"/>
    </row>
    <row r="827" spans="18:20" x14ac:dyDescent="0.3">
      <c r="R827" s="255"/>
      <c r="S827" s="255"/>
      <c r="T827" s="255"/>
    </row>
    <row r="828" spans="18:20" x14ac:dyDescent="0.3">
      <c r="R828" s="255"/>
      <c r="S828" s="255"/>
      <c r="T828" s="255"/>
    </row>
    <row r="829" spans="18:20" x14ac:dyDescent="0.3">
      <c r="R829" s="255"/>
      <c r="S829" s="255"/>
      <c r="T829" s="255"/>
    </row>
    <row r="830" spans="18:20" x14ac:dyDescent="0.3">
      <c r="R830" s="255"/>
      <c r="S830" s="255"/>
      <c r="T830" s="255"/>
    </row>
    <row r="831" spans="18:20" x14ac:dyDescent="0.3">
      <c r="R831" s="255"/>
      <c r="S831" s="255"/>
      <c r="T831" s="255"/>
    </row>
    <row r="832" spans="18:20" x14ac:dyDescent="0.3">
      <c r="R832" s="255"/>
      <c r="S832" s="255"/>
      <c r="T832" s="255"/>
    </row>
    <row r="833" spans="18:20" x14ac:dyDescent="0.3">
      <c r="R833" s="255"/>
      <c r="S833" s="255"/>
      <c r="T833" s="255"/>
    </row>
    <row r="834" spans="18:20" x14ac:dyDescent="0.3">
      <c r="R834" s="255"/>
      <c r="S834" s="255"/>
      <c r="T834" s="255"/>
    </row>
    <row r="835" spans="18:20" x14ac:dyDescent="0.3">
      <c r="R835" s="255"/>
      <c r="S835" s="255"/>
      <c r="T835" s="255"/>
    </row>
    <row r="836" spans="18:20" x14ac:dyDescent="0.3">
      <c r="R836" s="255"/>
      <c r="S836" s="255"/>
      <c r="T836" s="255"/>
    </row>
    <row r="837" spans="18:20" x14ac:dyDescent="0.3">
      <c r="R837" s="255"/>
      <c r="S837" s="255"/>
      <c r="T837" s="255"/>
    </row>
    <row r="838" spans="18:20" x14ac:dyDescent="0.3">
      <c r="R838" s="255"/>
      <c r="S838" s="255"/>
      <c r="T838" s="255"/>
    </row>
    <row r="839" spans="18:20" x14ac:dyDescent="0.3">
      <c r="R839" s="255"/>
      <c r="S839" s="255"/>
      <c r="T839" s="255"/>
    </row>
    <row r="840" spans="18:20" x14ac:dyDescent="0.3">
      <c r="R840" s="255"/>
      <c r="S840" s="255"/>
      <c r="T840" s="255"/>
    </row>
    <row r="841" spans="18:20" x14ac:dyDescent="0.3">
      <c r="R841" s="255"/>
      <c r="S841" s="255"/>
      <c r="T841" s="255"/>
    </row>
    <row r="842" spans="18:20" x14ac:dyDescent="0.3">
      <c r="R842" s="255"/>
      <c r="S842" s="255"/>
      <c r="T842" s="255"/>
    </row>
    <row r="843" spans="18:20" x14ac:dyDescent="0.3">
      <c r="R843" s="255"/>
      <c r="S843" s="255"/>
      <c r="T843" s="255"/>
    </row>
    <row r="844" spans="18:20" x14ac:dyDescent="0.3">
      <c r="R844" s="255"/>
      <c r="S844" s="255"/>
      <c r="T844" s="255"/>
    </row>
    <row r="845" spans="18:20" x14ac:dyDescent="0.3">
      <c r="R845" s="255"/>
      <c r="S845" s="255"/>
      <c r="T845" s="255"/>
    </row>
    <row r="846" spans="18:20" x14ac:dyDescent="0.3">
      <c r="R846" s="255"/>
      <c r="S846" s="255"/>
      <c r="T846" s="255"/>
    </row>
    <row r="847" spans="18:20" x14ac:dyDescent="0.3">
      <c r="R847" s="255"/>
      <c r="S847" s="255"/>
      <c r="T847" s="255"/>
    </row>
    <row r="848" spans="18:20" x14ac:dyDescent="0.3">
      <c r="R848" s="255"/>
      <c r="S848" s="255"/>
      <c r="T848" s="255"/>
    </row>
    <row r="849" spans="18:20" x14ac:dyDescent="0.3">
      <c r="R849" s="255"/>
      <c r="S849" s="255"/>
      <c r="T849" s="255"/>
    </row>
    <row r="850" spans="18:20" x14ac:dyDescent="0.3">
      <c r="R850" s="255"/>
      <c r="S850" s="255"/>
      <c r="T850" s="255"/>
    </row>
    <row r="851" spans="18:20" x14ac:dyDescent="0.3">
      <c r="R851" s="255"/>
      <c r="S851" s="255"/>
      <c r="T851" s="255"/>
    </row>
    <row r="852" spans="18:20" x14ac:dyDescent="0.3">
      <c r="R852" s="255"/>
      <c r="S852" s="255"/>
      <c r="T852" s="255"/>
    </row>
    <row r="853" spans="18:20" x14ac:dyDescent="0.3">
      <c r="R853" s="255"/>
      <c r="S853" s="255"/>
      <c r="T853" s="255"/>
    </row>
    <row r="854" spans="18:20" x14ac:dyDescent="0.3">
      <c r="R854" s="255"/>
      <c r="S854" s="255"/>
      <c r="T854" s="255"/>
    </row>
    <row r="855" spans="18:20" x14ac:dyDescent="0.3">
      <c r="R855" s="255"/>
      <c r="S855" s="255"/>
      <c r="T855" s="255"/>
    </row>
    <row r="856" spans="18:20" x14ac:dyDescent="0.3">
      <c r="R856" s="255"/>
      <c r="S856" s="255"/>
      <c r="T856" s="255"/>
    </row>
    <row r="857" spans="18:20" x14ac:dyDescent="0.3">
      <c r="R857" s="255"/>
      <c r="S857" s="255"/>
      <c r="T857" s="255"/>
    </row>
    <row r="858" spans="18:20" x14ac:dyDescent="0.3">
      <c r="R858" s="255"/>
      <c r="S858" s="255"/>
      <c r="T858" s="255"/>
    </row>
    <row r="859" spans="18:20" x14ac:dyDescent="0.3">
      <c r="R859" s="255"/>
      <c r="S859" s="255"/>
      <c r="T859" s="255"/>
    </row>
    <row r="860" spans="18:20" x14ac:dyDescent="0.3">
      <c r="R860" s="255"/>
      <c r="S860" s="255"/>
      <c r="T860" s="255"/>
    </row>
    <row r="861" spans="18:20" x14ac:dyDescent="0.3">
      <c r="R861" s="255"/>
      <c r="S861" s="255"/>
      <c r="T861" s="255"/>
    </row>
    <row r="862" spans="18:20" x14ac:dyDescent="0.3">
      <c r="R862" s="255"/>
      <c r="S862" s="255"/>
      <c r="T862" s="255"/>
    </row>
    <row r="863" spans="18:20" x14ac:dyDescent="0.3">
      <c r="R863" s="255"/>
      <c r="S863" s="255"/>
      <c r="T863" s="255"/>
    </row>
    <row r="864" spans="18:20" x14ac:dyDescent="0.3">
      <c r="R864" s="255"/>
      <c r="S864" s="255"/>
      <c r="T864" s="255"/>
    </row>
    <row r="865" spans="18:20" x14ac:dyDescent="0.3">
      <c r="R865" s="255"/>
      <c r="S865" s="255"/>
      <c r="T865" s="255"/>
    </row>
    <row r="866" spans="18:20" x14ac:dyDescent="0.3">
      <c r="R866" s="255"/>
      <c r="S866" s="255"/>
      <c r="T866" s="255"/>
    </row>
    <row r="867" spans="18:20" x14ac:dyDescent="0.3">
      <c r="R867" s="255"/>
      <c r="S867" s="255"/>
      <c r="T867" s="255"/>
    </row>
    <row r="868" spans="18:20" x14ac:dyDescent="0.3">
      <c r="R868" s="255"/>
      <c r="S868" s="255"/>
      <c r="T868" s="255"/>
    </row>
    <row r="869" spans="18:20" x14ac:dyDescent="0.3">
      <c r="R869" s="255"/>
      <c r="S869" s="255"/>
      <c r="T869" s="255"/>
    </row>
    <row r="870" spans="18:20" x14ac:dyDescent="0.3">
      <c r="R870" s="255"/>
      <c r="S870" s="255"/>
      <c r="T870" s="255"/>
    </row>
    <row r="871" spans="18:20" x14ac:dyDescent="0.3">
      <c r="R871" s="255"/>
      <c r="S871" s="255"/>
      <c r="T871" s="255"/>
    </row>
    <row r="872" spans="18:20" x14ac:dyDescent="0.3">
      <c r="R872" s="255"/>
      <c r="S872" s="255"/>
      <c r="T872" s="255"/>
    </row>
    <row r="873" spans="18:20" x14ac:dyDescent="0.3">
      <c r="R873" s="255"/>
      <c r="S873" s="255"/>
      <c r="T873" s="255"/>
    </row>
    <row r="874" spans="18:20" x14ac:dyDescent="0.3">
      <c r="R874" s="255"/>
      <c r="S874" s="255"/>
      <c r="T874" s="255"/>
    </row>
    <row r="875" spans="18:20" x14ac:dyDescent="0.3">
      <c r="R875" s="255"/>
      <c r="S875" s="255"/>
      <c r="T875" s="255"/>
    </row>
    <row r="876" spans="18:20" x14ac:dyDescent="0.3">
      <c r="R876" s="255"/>
      <c r="S876" s="255"/>
      <c r="T876" s="255"/>
    </row>
    <row r="877" spans="18:20" x14ac:dyDescent="0.3">
      <c r="R877" s="255"/>
      <c r="S877" s="255"/>
      <c r="T877" s="255"/>
    </row>
    <row r="878" spans="18:20" x14ac:dyDescent="0.3">
      <c r="R878" s="255"/>
      <c r="S878" s="255"/>
      <c r="T878" s="255"/>
    </row>
    <row r="879" spans="18:20" x14ac:dyDescent="0.3">
      <c r="R879" s="255"/>
      <c r="S879" s="255"/>
      <c r="T879" s="255"/>
    </row>
    <row r="880" spans="18:20" x14ac:dyDescent="0.3">
      <c r="R880" s="255"/>
      <c r="S880" s="255"/>
      <c r="T880" s="255"/>
    </row>
    <row r="881" spans="18:20" x14ac:dyDescent="0.3">
      <c r="R881" s="255"/>
      <c r="S881" s="255"/>
      <c r="T881" s="255"/>
    </row>
    <row r="882" spans="18:20" x14ac:dyDescent="0.3">
      <c r="R882" s="255"/>
      <c r="S882" s="255"/>
      <c r="T882" s="255"/>
    </row>
    <row r="883" spans="18:20" x14ac:dyDescent="0.3">
      <c r="R883" s="255"/>
      <c r="S883" s="255"/>
      <c r="T883" s="255"/>
    </row>
    <row r="884" spans="18:20" x14ac:dyDescent="0.3">
      <c r="R884" s="255"/>
      <c r="S884" s="255"/>
      <c r="T884" s="255"/>
    </row>
    <row r="885" spans="18:20" x14ac:dyDescent="0.3">
      <c r="R885" s="255"/>
      <c r="S885" s="255"/>
      <c r="T885" s="255"/>
    </row>
    <row r="886" spans="18:20" x14ac:dyDescent="0.3">
      <c r="R886" s="255"/>
      <c r="S886" s="255"/>
      <c r="T886" s="255"/>
    </row>
    <row r="887" spans="18:20" x14ac:dyDescent="0.3">
      <c r="R887" s="255"/>
      <c r="S887" s="255"/>
      <c r="T887" s="255"/>
    </row>
    <row r="888" spans="18:20" x14ac:dyDescent="0.3">
      <c r="R888" s="255"/>
      <c r="S888" s="255"/>
      <c r="T888" s="255"/>
    </row>
    <row r="889" spans="18:20" x14ac:dyDescent="0.3">
      <c r="R889" s="255"/>
      <c r="S889" s="255"/>
      <c r="T889" s="255"/>
    </row>
    <row r="890" spans="18:20" x14ac:dyDescent="0.3">
      <c r="R890" s="255"/>
      <c r="S890" s="255"/>
      <c r="T890" s="255"/>
    </row>
    <row r="891" spans="18:20" x14ac:dyDescent="0.3">
      <c r="R891" s="255"/>
      <c r="S891" s="255"/>
      <c r="T891" s="255"/>
    </row>
    <row r="892" spans="18:20" x14ac:dyDescent="0.3">
      <c r="R892" s="255"/>
      <c r="S892" s="255"/>
      <c r="T892" s="255"/>
    </row>
    <row r="893" spans="18:20" x14ac:dyDescent="0.3">
      <c r="R893" s="255"/>
      <c r="S893" s="255"/>
      <c r="T893" s="255"/>
    </row>
    <row r="894" spans="18:20" x14ac:dyDescent="0.3">
      <c r="R894" s="255"/>
      <c r="S894" s="255"/>
      <c r="T894" s="255"/>
    </row>
    <row r="895" spans="18:20" x14ac:dyDescent="0.3">
      <c r="R895" s="255"/>
      <c r="S895" s="255"/>
      <c r="T895" s="255"/>
    </row>
    <row r="896" spans="18:20" x14ac:dyDescent="0.3">
      <c r="R896" s="255"/>
      <c r="S896" s="255"/>
      <c r="T896" s="255"/>
    </row>
    <row r="897" spans="18:20" x14ac:dyDescent="0.3">
      <c r="R897" s="255"/>
      <c r="S897" s="255"/>
      <c r="T897" s="255"/>
    </row>
    <row r="898" spans="18:20" x14ac:dyDescent="0.3">
      <c r="R898" s="255"/>
      <c r="S898" s="255"/>
      <c r="T898" s="255"/>
    </row>
    <row r="899" spans="18:20" x14ac:dyDescent="0.3">
      <c r="R899" s="255"/>
      <c r="S899" s="255"/>
      <c r="T899" s="255"/>
    </row>
    <row r="900" spans="18:20" x14ac:dyDescent="0.3">
      <c r="R900" s="255"/>
      <c r="S900" s="255"/>
      <c r="T900" s="255"/>
    </row>
    <row r="901" spans="18:20" x14ac:dyDescent="0.3">
      <c r="R901" s="255"/>
      <c r="S901" s="255"/>
      <c r="T901" s="255"/>
    </row>
    <row r="902" spans="18:20" x14ac:dyDescent="0.3">
      <c r="R902" s="255"/>
      <c r="S902" s="255"/>
      <c r="T902" s="255"/>
    </row>
    <row r="903" spans="18:20" x14ac:dyDescent="0.3">
      <c r="R903" s="255"/>
      <c r="S903" s="255"/>
      <c r="T903" s="255"/>
    </row>
    <row r="904" spans="18:20" x14ac:dyDescent="0.3">
      <c r="R904" s="255"/>
      <c r="S904" s="255"/>
      <c r="T904" s="255"/>
    </row>
    <row r="905" spans="18:20" x14ac:dyDescent="0.3">
      <c r="R905" s="255"/>
      <c r="S905" s="255"/>
      <c r="T905" s="255"/>
    </row>
    <row r="906" spans="18:20" x14ac:dyDescent="0.3">
      <c r="R906" s="255"/>
      <c r="S906" s="255"/>
      <c r="T906" s="255"/>
    </row>
    <row r="907" spans="18:20" x14ac:dyDescent="0.3">
      <c r="R907" s="255"/>
      <c r="S907" s="255"/>
      <c r="T907" s="255"/>
    </row>
    <row r="908" spans="18:20" x14ac:dyDescent="0.3">
      <c r="R908" s="255"/>
      <c r="S908" s="255"/>
      <c r="T908" s="255"/>
    </row>
    <row r="909" spans="18:20" x14ac:dyDescent="0.3">
      <c r="R909" s="255"/>
      <c r="S909" s="255"/>
      <c r="T909" s="255"/>
    </row>
    <row r="910" spans="18:20" x14ac:dyDescent="0.3">
      <c r="R910" s="255"/>
      <c r="S910" s="255"/>
      <c r="T910" s="255"/>
    </row>
    <row r="911" spans="18:20" x14ac:dyDescent="0.3">
      <c r="R911" s="255"/>
      <c r="S911" s="255"/>
      <c r="T911" s="255"/>
    </row>
    <row r="912" spans="18:20" x14ac:dyDescent="0.3">
      <c r="R912" s="255"/>
      <c r="S912" s="255"/>
      <c r="T912" s="255"/>
    </row>
    <row r="913" spans="18:20" x14ac:dyDescent="0.3">
      <c r="R913" s="255"/>
      <c r="S913" s="255"/>
      <c r="T913" s="255"/>
    </row>
    <row r="914" spans="18:20" x14ac:dyDescent="0.3">
      <c r="R914" s="255"/>
      <c r="S914" s="255"/>
      <c r="T914" s="255"/>
    </row>
    <row r="915" spans="18:20" x14ac:dyDescent="0.3">
      <c r="R915" s="255"/>
      <c r="S915" s="255"/>
      <c r="T915" s="255"/>
    </row>
    <row r="916" spans="18:20" x14ac:dyDescent="0.3">
      <c r="R916" s="255"/>
      <c r="S916" s="255"/>
      <c r="T916" s="255"/>
    </row>
    <row r="917" spans="18:20" x14ac:dyDescent="0.3">
      <c r="R917" s="255"/>
      <c r="S917" s="255"/>
      <c r="T917" s="255"/>
    </row>
    <row r="918" spans="18:20" x14ac:dyDescent="0.3">
      <c r="R918" s="255"/>
      <c r="S918" s="255"/>
      <c r="T918" s="255"/>
    </row>
    <row r="919" spans="18:20" x14ac:dyDescent="0.3">
      <c r="R919" s="255"/>
      <c r="S919" s="255"/>
      <c r="T919" s="255"/>
    </row>
    <row r="920" spans="18:20" x14ac:dyDescent="0.3">
      <c r="R920" s="255"/>
      <c r="S920" s="255"/>
      <c r="T920" s="255"/>
    </row>
    <row r="921" spans="18:20" x14ac:dyDescent="0.3">
      <c r="R921" s="255"/>
      <c r="S921" s="255"/>
      <c r="T921" s="255"/>
    </row>
    <row r="922" spans="18:20" x14ac:dyDescent="0.3">
      <c r="R922" s="255"/>
      <c r="S922" s="255"/>
      <c r="T922" s="255"/>
    </row>
    <row r="923" spans="18:20" x14ac:dyDescent="0.3">
      <c r="R923" s="255"/>
      <c r="S923" s="255"/>
      <c r="T923" s="255"/>
    </row>
    <row r="924" spans="18:20" x14ac:dyDescent="0.3">
      <c r="R924" s="255"/>
      <c r="S924" s="255"/>
      <c r="T924" s="255"/>
    </row>
    <row r="925" spans="18:20" x14ac:dyDescent="0.3">
      <c r="R925" s="255"/>
      <c r="S925" s="255"/>
      <c r="T925" s="255"/>
    </row>
    <row r="926" spans="18:20" x14ac:dyDescent="0.3">
      <c r="R926" s="255"/>
      <c r="S926" s="255"/>
      <c r="T926" s="255"/>
    </row>
    <row r="927" spans="18:20" x14ac:dyDescent="0.3">
      <c r="R927" s="255"/>
      <c r="S927" s="255"/>
      <c r="T927" s="255"/>
    </row>
    <row r="928" spans="18:20" x14ac:dyDescent="0.3">
      <c r="R928" s="255"/>
      <c r="S928" s="255"/>
      <c r="T928" s="255"/>
    </row>
    <row r="929" spans="18:20" x14ac:dyDescent="0.3">
      <c r="R929" s="255"/>
      <c r="S929" s="255"/>
      <c r="T929" s="255"/>
    </row>
    <row r="930" spans="18:20" x14ac:dyDescent="0.3">
      <c r="R930" s="255"/>
      <c r="S930" s="255"/>
      <c r="T930" s="255"/>
    </row>
    <row r="931" spans="18:20" x14ac:dyDescent="0.3">
      <c r="R931" s="255"/>
      <c r="S931" s="255"/>
      <c r="T931" s="255"/>
    </row>
    <row r="932" spans="18:20" x14ac:dyDescent="0.3">
      <c r="R932" s="255"/>
      <c r="S932" s="255"/>
      <c r="T932" s="255"/>
    </row>
    <row r="933" spans="18:20" x14ac:dyDescent="0.3">
      <c r="R933" s="255"/>
      <c r="S933" s="255"/>
      <c r="T933" s="255"/>
    </row>
    <row r="934" spans="18:20" x14ac:dyDescent="0.3">
      <c r="R934" s="255"/>
      <c r="S934" s="255"/>
      <c r="T934" s="255"/>
    </row>
    <row r="935" spans="18:20" x14ac:dyDescent="0.3">
      <c r="R935" s="255"/>
      <c r="S935" s="255"/>
      <c r="T935" s="255"/>
    </row>
    <row r="936" spans="18:20" x14ac:dyDescent="0.3">
      <c r="R936" s="255"/>
      <c r="S936" s="255"/>
      <c r="T936" s="255"/>
    </row>
    <row r="937" spans="18:20" x14ac:dyDescent="0.3">
      <c r="R937" s="255"/>
      <c r="S937" s="255"/>
      <c r="T937" s="255"/>
    </row>
    <row r="938" spans="18:20" x14ac:dyDescent="0.3">
      <c r="R938" s="255"/>
      <c r="S938" s="255"/>
      <c r="T938" s="255"/>
    </row>
    <row r="939" spans="18:20" x14ac:dyDescent="0.3">
      <c r="R939" s="255"/>
      <c r="S939" s="255"/>
      <c r="T939" s="255"/>
    </row>
    <row r="940" spans="18:20" x14ac:dyDescent="0.3">
      <c r="R940" s="255"/>
      <c r="S940" s="255"/>
      <c r="T940" s="255"/>
    </row>
    <row r="941" spans="18:20" x14ac:dyDescent="0.3">
      <c r="R941" s="255"/>
      <c r="S941" s="255"/>
      <c r="T941" s="255"/>
    </row>
    <row r="942" spans="18:20" x14ac:dyDescent="0.3">
      <c r="R942" s="255"/>
      <c r="S942" s="255"/>
      <c r="T942" s="255"/>
    </row>
    <row r="943" spans="18:20" x14ac:dyDescent="0.3">
      <c r="R943" s="255"/>
      <c r="S943" s="255"/>
      <c r="T943" s="255"/>
    </row>
    <row r="944" spans="18:20" x14ac:dyDescent="0.3">
      <c r="R944" s="255"/>
      <c r="S944" s="255"/>
      <c r="T944" s="255"/>
    </row>
    <row r="945" spans="18:20" x14ac:dyDescent="0.3">
      <c r="R945" s="255"/>
      <c r="S945" s="255"/>
      <c r="T945" s="255"/>
    </row>
    <row r="946" spans="18:20" x14ac:dyDescent="0.3">
      <c r="R946" s="255"/>
      <c r="S946" s="255"/>
      <c r="T946" s="255"/>
    </row>
    <row r="947" spans="18:20" x14ac:dyDescent="0.3">
      <c r="R947" s="255"/>
      <c r="S947" s="255"/>
      <c r="T947" s="255"/>
    </row>
    <row r="948" spans="18:20" x14ac:dyDescent="0.3">
      <c r="R948" s="255"/>
      <c r="S948" s="255"/>
      <c r="T948" s="255"/>
    </row>
    <row r="949" spans="18:20" x14ac:dyDescent="0.3">
      <c r="R949" s="255"/>
      <c r="S949" s="255"/>
      <c r="T949" s="255"/>
    </row>
    <row r="950" spans="18:20" x14ac:dyDescent="0.3">
      <c r="R950" s="255"/>
      <c r="S950" s="255"/>
      <c r="T950" s="255"/>
    </row>
    <row r="951" spans="18:20" x14ac:dyDescent="0.3">
      <c r="R951" s="255"/>
      <c r="S951" s="255"/>
      <c r="T951" s="255"/>
    </row>
    <row r="952" spans="18:20" x14ac:dyDescent="0.3">
      <c r="R952" s="255"/>
      <c r="S952" s="255"/>
      <c r="T952" s="255"/>
    </row>
    <row r="953" spans="18:20" x14ac:dyDescent="0.3">
      <c r="R953" s="255"/>
      <c r="S953" s="255"/>
      <c r="T953" s="255"/>
    </row>
    <row r="954" spans="18:20" x14ac:dyDescent="0.3">
      <c r="R954" s="255"/>
      <c r="S954" s="255"/>
      <c r="T954" s="255"/>
    </row>
    <row r="955" spans="18:20" x14ac:dyDescent="0.3">
      <c r="R955" s="255"/>
      <c r="S955" s="255"/>
      <c r="T955" s="255"/>
    </row>
    <row r="956" spans="18:20" x14ac:dyDescent="0.3">
      <c r="R956" s="255"/>
      <c r="S956" s="255"/>
      <c r="T956" s="255"/>
    </row>
    <row r="957" spans="18:20" x14ac:dyDescent="0.3">
      <c r="R957" s="255"/>
      <c r="S957" s="255"/>
      <c r="T957" s="255"/>
    </row>
    <row r="958" spans="18:20" x14ac:dyDescent="0.3">
      <c r="R958" s="255"/>
      <c r="S958" s="255"/>
      <c r="T958" s="255"/>
    </row>
    <row r="959" spans="18:20" x14ac:dyDescent="0.3">
      <c r="R959" s="255"/>
      <c r="S959" s="255"/>
      <c r="T959" s="255"/>
    </row>
    <row r="960" spans="18:20" x14ac:dyDescent="0.3">
      <c r="R960" s="255"/>
      <c r="S960" s="255"/>
      <c r="T960" s="255"/>
    </row>
    <row r="961" spans="18:20" x14ac:dyDescent="0.3">
      <c r="R961" s="255"/>
      <c r="S961" s="255"/>
      <c r="T961" s="255"/>
    </row>
    <row r="962" spans="18:20" x14ac:dyDescent="0.3">
      <c r="R962" s="255"/>
      <c r="S962" s="255"/>
      <c r="T962" s="255"/>
    </row>
    <row r="963" spans="18:20" x14ac:dyDescent="0.3">
      <c r="R963" s="255"/>
      <c r="S963" s="255"/>
      <c r="T963" s="255"/>
    </row>
    <row r="964" spans="18:20" x14ac:dyDescent="0.3">
      <c r="R964" s="255"/>
      <c r="S964" s="255"/>
      <c r="T964" s="255"/>
    </row>
    <row r="965" spans="18:20" x14ac:dyDescent="0.3">
      <c r="R965" s="255"/>
      <c r="S965" s="255"/>
      <c r="T965" s="255"/>
    </row>
    <row r="966" spans="18:20" x14ac:dyDescent="0.3">
      <c r="R966" s="255"/>
      <c r="S966" s="255"/>
      <c r="T966" s="255"/>
    </row>
    <row r="967" spans="18:20" x14ac:dyDescent="0.3">
      <c r="R967" s="255"/>
      <c r="S967" s="255"/>
      <c r="T967" s="255"/>
    </row>
    <row r="968" spans="18:20" x14ac:dyDescent="0.3">
      <c r="R968" s="255"/>
      <c r="S968" s="255"/>
      <c r="T968" s="255"/>
    </row>
    <row r="969" spans="18:20" x14ac:dyDescent="0.3">
      <c r="R969" s="255"/>
      <c r="S969" s="255"/>
      <c r="T969" s="255"/>
    </row>
    <row r="970" spans="18:20" x14ac:dyDescent="0.3">
      <c r="R970" s="255"/>
      <c r="S970" s="255"/>
      <c r="T970" s="255"/>
    </row>
    <row r="971" spans="18:20" x14ac:dyDescent="0.3">
      <c r="R971" s="255"/>
      <c r="S971" s="255"/>
      <c r="T971" s="255"/>
    </row>
    <row r="972" spans="18:20" x14ac:dyDescent="0.3">
      <c r="R972" s="255"/>
      <c r="S972" s="255"/>
      <c r="T972" s="255"/>
    </row>
    <row r="973" spans="18:20" x14ac:dyDescent="0.3">
      <c r="R973" s="255"/>
      <c r="S973" s="255"/>
      <c r="T973" s="255"/>
    </row>
    <row r="974" spans="18:20" x14ac:dyDescent="0.3">
      <c r="R974" s="255"/>
      <c r="S974" s="255"/>
      <c r="T974" s="255"/>
    </row>
    <row r="975" spans="18:20" x14ac:dyDescent="0.3">
      <c r="R975" s="255"/>
      <c r="S975" s="255"/>
      <c r="T975" s="255"/>
    </row>
    <row r="976" spans="18:20" x14ac:dyDescent="0.3">
      <c r="R976" s="255"/>
      <c r="S976" s="255"/>
      <c r="T976" s="255"/>
    </row>
    <row r="977" spans="18:20" x14ac:dyDescent="0.3">
      <c r="R977" s="255"/>
      <c r="S977" s="255"/>
      <c r="T977" s="255"/>
    </row>
    <row r="978" spans="18:20" x14ac:dyDescent="0.3">
      <c r="R978" s="255"/>
      <c r="S978" s="255"/>
      <c r="T978" s="255"/>
    </row>
    <row r="979" spans="18:20" x14ac:dyDescent="0.3">
      <c r="R979" s="255"/>
      <c r="S979" s="255"/>
      <c r="T979" s="255"/>
    </row>
    <row r="980" spans="18:20" x14ac:dyDescent="0.3">
      <c r="R980" s="255"/>
      <c r="S980" s="255"/>
      <c r="T980" s="255"/>
    </row>
    <row r="981" spans="18:20" x14ac:dyDescent="0.3">
      <c r="R981" s="255"/>
      <c r="S981" s="255"/>
      <c r="T981" s="255"/>
    </row>
    <row r="982" spans="18:20" x14ac:dyDescent="0.3">
      <c r="R982" s="255"/>
      <c r="S982" s="255"/>
      <c r="T982" s="255"/>
    </row>
    <row r="983" spans="18:20" x14ac:dyDescent="0.3">
      <c r="R983" s="255"/>
      <c r="S983" s="255"/>
      <c r="T983" s="255"/>
    </row>
    <row r="984" spans="18:20" x14ac:dyDescent="0.3">
      <c r="R984" s="255"/>
      <c r="S984" s="255"/>
      <c r="T984" s="255"/>
    </row>
    <row r="985" spans="18:20" x14ac:dyDescent="0.3">
      <c r="R985" s="255"/>
      <c r="S985" s="255"/>
      <c r="T985" s="255"/>
    </row>
    <row r="986" spans="18:20" x14ac:dyDescent="0.3">
      <c r="R986" s="255"/>
      <c r="S986" s="255"/>
      <c r="T986" s="255"/>
    </row>
    <row r="987" spans="18:20" x14ac:dyDescent="0.3">
      <c r="R987" s="255"/>
      <c r="S987" s="255"/>
      <c r="T987" s="255"/>
    </row>
    <row r="988" spans="18:20" x14ac:dyDescent="0.3">
      <c r="R988" s="255"/>
      <c r="S988" s="255"/>
      <c r="T988" s="255"/>
    </row>
    <row r="989" spans="18:20" x14ac:dyDescent="0.3">
      <c r="R989" s="255"/>
      <c r="S989" s="255"/>
      <c r="T989" s="255"/>
    </row>
    <row r="990" spans="18:20" x14ac:dyDescent="0.3">
      <c r="R990" s="255"/>
      <c r="S990" s="255"/>
      <c r="T990" s="255"/>
    </row>
    <row r="991" spans="18:20" x14ac:dyDescent="0.3">
      <c r="R991" s="255"/>
      <c r="S991" s="255"/>
      <c r="T991" s="255"/>
    </row>
    <row r="992" spans="18:20" x14ac:dyDescent="0.3">
      <c r="R992" s="255"/>
      <c r="S992" s="255"/>
      <c r="T992" s="255"/>
    </row>
    <row r="993" spans="18:20" x14ac:dyDescent="0.3">
      <c r="R993" s="255"/>
      <c r="S993" s="255"/>
      <c r="T993" s="255"/>
    </row>
    <row r="994" spans="18:20" x14ac:dyDescent="0.3">
      <c r="R994" s="255"/>
      <c r="S994" s="255"/>
      <c r="T994" s="255"/>
    </row>
    <row r="995" spans="18:20" x14ac:dyDescent="0.3">
      <c r="R995" s="255"/>
      <c r="S995" s="255"/>
      <c r="T995" s="255"/>
    </row>
    <row r="996" spans="18:20" x14ac:dyDescent="0.3">
      <c r="R996" s="255"/>
      <c r="S996" s="255"/>
      <c r="T996" s="255"/>
    </row>
    <row r="997" spans="18:20" x14ac:dyDescent="0.3">
      <c r="R997" s="255"/>
      <c r="S997" s="255"/>
      <c r="T997" s="255"/>
    </row>
    <row r="998" spans="18:20" x14ac:dyDescent="0.3">
      <c r="R998" s="255"/>
      <c r="S998" s="255"/>
      <c r="T998" s="255"/>
    </row>
    <row r="999" spans="18:20" x14ac:dyDescent="0.3">
      <c r="R999" s="255"/>
      <c r="S999" s="255"/>
      <c r="T999" s="255"/>
    </row>
    <row r="1000" spans="18:20" x14ac:dyDescent="0.3">
      <c r="R1000" s="255"/>
      <c r="S1000" s="255"/>
      <c r="T1000" s="255"/>
    </row>
    <row r="1001" spans="18:20" x14ac:dyDescent="0.3">
      <c r="R1001" s="255"/>
      <c r="S1001" s="255"/>
      <c r="T1001" s="255"/>
    </row>
    <row r="1002" spans="18:20" x14ac:dyDescent="0.3">
      <c r="R1002" s="255"/>
      <c r="S1002" s="255"/>
      <c r="T1002" s="255"/>
    </row>
    <row r="1003" spans="18:20" x14ac:dyDescent="0.3">
      <c r="R1003" s="255"/>
      <c r="S1003" s="255"/>
      <c r="T1003" s="255"/>
    </row>
    <row r="1004" spans="18:20" x14ac:dyDescent="0.3">
      <c r="R1004" s="255"/>
      <c r="S1004" s="255"/>
      <c r="T1004" s="255"/>
    </row>
    <row r="1005" spans="18:20" x14ac:dyDescent="0.3">
      <c r="R1005" s="255"/>
      <c r="S1005" s="255"/>
      <c r="T1005" s="255"/>
    </row>
    <row r="1006" spans="18:20" x14ac:dyDescent="0.3">
      <c r="R1006" s="255"/>
      <c r="S1006" s="255"/>
      <c r="T1006" s="255"/>
    </row>
    <row r="1007" spans="18:20" x14ac:dyDescent="0.3">
      <c r="R1007" s="255"/>
      <c r="S1007" s="255"/>
      <c r="T1007" s="255"/>
    </row>
    <row r="1008" spans="18:20" x14ac:dyDescent="0.3">
      <c r="R1008" s="255"/>
      <c r="S1008" s="255"/>
      <c r="T1008" s="255"/>
    </row>
    <row r="1009" spans="18:20" x14ac:dyDescent="0.3">
      <c r="R1009" s="255"/>
      <c r="S1009" s="255"/>
      <c r="T1009" s="255"/>
    </row>
    <row r="1010" spans="18:20" x14ac:dyDescent="0.3">
      <c r="R1010" s="255"/>
      <c r="S1010" s="255"/>
      <c r="T1010" s="255"/>
    </row>
    <row r="1011" spans="18:20" x14ac:dyDescent="0.3">
      <c r="R1011" s="255"/>
      <c r="S1011" s="255"/>
      <c r="T1011" s="255"/>
    </row>
    <row r="1012" spans="18:20" x14ac:dyDescent="0.3">
      <c r="R1012" s="255"/>
      <c r="S1012" s="255"/>
      <c r="T1012" s="255"/>
    </row>
    <row r="1013" spans="18:20" x14ac:dyDescent="0.3">
      <c r="R1013" s="255"/>
      <c r="S1013" s="255"/>
      <c r="T1013" s="255"/>
    </row>
    <row r="1014" spans="18:20" x14ac:dyDescent="0.3">
      <c r="R1014" s="255"/>
      <c r="S1014" s="255"/>
      <c r="T1014" s="255"/>
    </row>
    <row r="1015" spans="18:20" x14ac:dyDescent="0.3">
      <c r="R1015" s="255"/>
      <c r="S1015" s="255"/>
      <c r="T1015" s="255"/>
    </row>
    <row r="1016" spans="18:20" x14ac:dyDescent="0.3">
      <c r="R1016" s="255"/>
      <c r="S1016" s="255"/>
      <c r="T1016" s="255"/>
    </row>
    <row r="1017" spans="18:20" x14ac:dyDescent="0.3">
      <c r="R1017" s="255"/>
      <c r="S1017" s="255"/>
      <c r="T1017" s="255"/>
    </row>
    <row r="1018" spans="18:20" x14ac:dyDescent="0.3">
      <c r="R1018" s="255"/>
      <c r="S1018" s="255"/>
      <c r="T1018" s="255"/>
    </row>
    <row r="1019" spans="18:20" x14ac:dyDescent="0.3">
      <c r="R1019" s="255"/>
      <c r="S1019" s="255"/>
      <c r="T1019" s="255"/>
    </row>
    <row r="1020" spans="18:20" x14ac:dyDescent="0.3">
      <c r="R1020" s="255"/>
      <c r="S1020" s="255"/>
      <c r="T1020" s="255"/>
    </row>
    <row r="1021" spans="18:20" x14ac:dyDescent="0.3">
      <c r="R1021" s="255"/>
      <c r="S1021" s="255"/>
      <c r="T1021" s="255"/>
    </row>
    <row r="1022" spans="18:20" x14ac:dyDescent="0.3">
      <c r="R1022" s="255"/>
      <c r="S1022" s="255"/>
      <c r="T1022" s="255"/>
    </row>
    <row r="1023" spans="18:20" x14ac:dyDescent="0.3">
      <c r="R1023" s="255"/>
      <c r="S1023" s="255"/>
      <c r="T1023" s="255"/>
    </row>
    <row r="1024" spans="18:20" x14ac:dyDescent="0.3">
      <c r="R1024" s="255"/>
      <c r="S1024" s="255"/>
      <c r="T1024" s="255"/>
    </row>
    <row r="1025" spans="18:20" x14ac:dyDescent="0.3">
      <c r="R1025" s="255"/>
      <c r="S1025" s="255"/>
      <c r="T1025" s="255"/>
    </row>
    <row r="1026" spans="18:20" x14ac:dyDescent="0.3">
      <c r="R1026" s="255"/>
      <c r="S1026" s="255"/>
      <c r="T1026" s="255"/>
    </row>
    <row r="1027" spans="18:20" x14ac:dyDescent="0.3">
      <c r="R1027" s="255"/>
      <c r="S1027" s="255"/>
      <c r="T1027" s="255"/>
    </row>
    <row r="1028" spans="18:20" x14ac:dyDescent="0.3">
      <c r="R1028" s="255"/>
      <c r="S1028" s="255"/>
      <c r="T1028" s="255"/>
    </row>
    <row r="1029" spans="18:20" x14ac:dyDescent="0.3">
      <c r="R1029" s="255"/>
      <c r="S1029" s="255"/>
      <c r="T1029" s="255"/>
    </row>
    <row r="1030" spans="18:20" x14ac:dyDescent="0.3">
      <c r="R1030" s="255"/>
      <c r="S1030" s="255"/>
      <c r="T1030" s="255"/>
    </row>
    <row r="1031" spans="18:20" x14ac:dyDescent="0.3">
      <c r="R1031" s="255"/>
      <c r="S1031" s="255"/>
      <c r="T1031" s="255"/>
    </row>
    <row r="1032" spans="18:20" x14ac:dyDescent="0.3">
      <c r="R1032" s="255"/>
      <c r="S1032" s="255"/>
      <c r="T1032" s="255"/>
    </row>
    <row r="1033" spans="18:20" x14ac:dyDescent="0.3">
      <c r="R1033" s="255"/>
      <c r="S1033" s="255"/>
      <c r="T1033" s="255"/>
    </row>
    <row r="1034" spans="18:20" x14ac:dyDescent="0.3">
      <c r="R1034" s="255"/>
      <c r="S1034" s="255"/>
      <c r="T1034" s="255"/>
    </row>
    <row r="1035" spans="18:20" x14ac:dyDescent="0.3">
      <c r="R1035" s="255"/>
      <c r="S1035" s="255"/>
      <c r="T1035" s="255"/>
    </row>
    <row r="1036" spans="18:20" x14ac:dyDescent="0.3">
      <c r="R1036" s="255"/>
      <c r="S1036" s="255"/>
      <c r="T1036" s="255"/>
    </row>
    <row r="1037" spans="18:20" x14ac:dyDescent="0.3">
      <c r="R1037" s="255"/>
      <c r="S1037" s="255"/>
      <c r="T1037" s="255"/>
    </row>
    <row r="1038" spans="18:20" x14ac:dyDescent="0.3">
      <c r="R1038" s="255"/>
      <c r="S1038" s="255"/>
      <c r="T1038" s="255"/>
    </row>
    <row r="1039" spans="18:20" x14ac:dyDescent="0.3">
      <c r="R1039" s="255"/>
      <c r="S1039" s="255"/>
      <c r="T1039" s="255"/>
    </row>
    <row r="1040" spans="18:20" x14ac:dyDescent="0.3">
      <c r="R1040" s="255"/>
      <c r="S1040" s="255"/>
      <c r="T1040" s="255"/>
    </row>
    <row r="1041" spans="18:20" x14ac:dyDescent="0.3">
      <c r="R1041" s="255"/>
      <c r="S1041" s="255"/>
      <c r="T1041" s="255"/>
    </row>
    <row r="1042" spans="18:20" x14ac:dyDescent="0.3">
      <c r="R1042" s="255"/>
      <c r="S1042" s="255"/>
      <c r="T1042" s="255"/>
    </row>
    <row r="1043" spans="18:20" x14ac:dyDescent="0.3">
      <c r="R1043" s="255"/>
      <c r="S1043" s="255"/>
      <c r="T1043" s="255"/>
    </row>
    <row r="1044" spans="18:20" x14ac:dyDescent="0.3">
      <c r="R1044" s="255"/>
      <c r="S1044" s="255"/>
      <c r="T1044" s="255"/>
    </row>
    <row r="1045" spans="18:20" x14ac:dyDescent="0.3">
      <c r="R1045" s="255"/>
      <c r="S1045" s="255"/>
      <c r="T1045" s="255"/>
    </row>
    <row r="1046" spans="18:20" x14ac:dyDescent="0.3">
      <c r="R1046" s="255"/>
      <c r="S1046" s="255"/>
      <c r="T1046" s="255"/>
    </row>
    <row r="1047" spans="18:20" x14ac:dyDescent="0.3">
      <c r="R1047" s="255"/>
      <c r="S1047" s="255"/>
      <c r="T1047" s="255"/>
    </row>
    <row r="1048" spans="18:20" x14ac:dyDescent="0.3">
      <c r="R1048" s="255"/>
      <c r="S1048" s="255"/>
      <c r="T1048" s="255"/>
    </row>
    <row r="1049" spans="18:20" x14ac:dyDescent="0.3">
      <c r="R1049" s="255"/>
      <c r="S1049" s="255"/>
      <c r="T1049" s="255"/>
    </row>
    <row r="1050" spans="18:20" x14ac:dyDescent="0.3">
      <c r="R1050" s="255"/>
      <c r="S1050" s="255"/>
      <c r="T1050" s="255"/>
    </row>
    <row r="1051" spans="18:20" x14ac:dyDescent="0.3">
      <c r="R1051" s="255"/>
      <c r="S1051" s="255"/>
      <c r="T1051" s="255"/>
    </row>
    <row r="1052" spans="18:20" x14ac:dyDescent="0.3">
      <c r="R1052" s="255"/>
      <c r="S1052" s="255"/>
      <c r="T1052" s="255"/>
    </row>
    <row r="1053" spans="18:20" x14ac:dyDescent="0.3">
      <c r="R1053" s="255"/>
      <c r="S1053" s="255"/>
      <c r="T1053" s="255"/>
    </row>
    <row r="1054" spans="18:20" x14ac:dyDescent="0.3">
      <c r="R1054" s="255"/>
      <c r="S1054" s="255"/>
      <c r="T1054" s="255"/>
    </row>
    <row r="1055" spans="18:20" x14ac:dyDescent="0.3">
      <c r="R1055" s="255"/>
      <c r="S1055" s="255"/>
      <c r="T1055" s="255"/>
    </row>
    <row r="1056" spans="18:20" x14ac:dyDescent="0.3">
      <c r="R1056" s="255"/>
      <c r="S1056" s="255"/>
      <c r="T1056" s="255"/>
    </row>
    <row r="1057" spans="18:20" x14ac:dyDescent="0.3">
      <c r="R1057" s="255"/>
      <c r="S1057" s="255"/>
      <c r="T1057" s="255"/>
    </row>
    <row r="1058" spans="18:20" x14ac:dyDescent="0.3">
      <c r="R1058" s="255"/>
      <c r="S1058" s="255"/>
      <c r="T1058" s="255"/>
    </row>
    <row r="1059" spans="18:20" x14ac:dyDescent="0.3">
      <c r="R1059" s="255"/>
      <c r="S1059" s="255"/>
      <c r="T1059" s="255"/>
    </row>
    <row r="1060" spans="18:20" x14ac:dyDescent="0.3">
      <c r="R1060" s="255"/>
      <c r="S1060" s="255"/>
      <c r="T1060" s="255"/>
    </row>
    <row r="1061" spans="18:20" x14ac:dyDescent="0.3">
      <c r="R1061" s="255"/>
      <c r="S1061" s="255"/>
      <c r="T1061" s="255"/>
    </row>
    <row r="1062" spans="18:20" x14ac:dyDescent="0.3">
      <c r="R1062" s="255"/>
      <c r="S1062" s="255"/>
      <c r="T1062" s="255"/>
    </row>
    <row r="1063" spans="18:20" x14ac:dyDescent="0.3">
      <c r="R1063" s="255"/>
      <c r="S1063" s="255"/>
      <c r="T1063" s="255"/>
    </row>
    <row r="1064" spans="18:20" x14ac:dyDescent="0.3">
      <c r="R1064" s="255"/>
      <c r="S1064" s="255"/>
      <c r="T1064" s="255"/>
    </row>
    <row r="1065" spans="18:20" x14ac:dyDescent="0.3">
      <c r="R1065" s="255"/>
      <c r="S1065" s="255"/>
      <c r="T1065" s="255"/>
    </row>
    <row r="1066" spans="18:20" x14ac:dyDescent="0.3">
      <c r="R1066" s="255"/>
      <c r="S1066" s="255"/>
      <c r="T1066" s="255"/>
    </row>
    <row r="1067" spans="18:20" x14ac:dyDescent="0.3">
      <c r="R1067" s="255"/>
      <c r="S1067" s="255"/>
      <c r="T1067" s="255"/>
    </row>
    <row r="1068" spans="18:20" x14ac:dyDescent="0.3">
      <c r="R1068" s="255"/>
      <c r="S1068" s="255"/>
      <c r="T1068" s="255"/>
    </row>
    <row r="1069" spans="18:20" x14ac:dyDescent="0.3">
      <c r="R1069" s="255"/>
      <c r="S1069" s="255"/>
      <c r="T1069" s="255"/>
    </row>
    <row r="1070" spans="18:20" x14ac:dyDescent="0.3">
      <c r="R1070" s="255"/>
      <c r="S1070" s="255"/>
      <c r="T1070" s="255"/>
    </row>
    <row r="1071" spans="18:20" x14ac:dyDescent="0.3">
      <c r="R1071" s="255"/>
      <c r="S1071" s="255"/>
      <c r="T1071" s="255"/>
    </row>
    <row r="1072" spans="18:20" x14ac:dyDescent="0.3">
      <c r="R1072" s="255"/>
      <c r="S1072" s="255"/>
      <c r="T1072" s="255"/>
    </row>
    <row r="1073" spans="18:20" x14ac:dyDescent="0.3">
      <c r="R1073" s="255"/>
      <c r="S1073" s="255"/>
      <c r="T1073" s="255"/>
    </row>
    <row r="1074" spans="18:20" x14ac:dyDescent="0.3">
      <c r="R1074" s="255"/>
      <c r="S1074" s="255"/>
      <c r="T1074" s="255"/>
    </row>
    <row r="1075" spans="18:20" x14ac:dyDescent="0.3">
      <c r="R1075" s="255"/>
      <c r="S1075" s="255"/>
      <c r="T1075" s="255"/>
    </row>
    <row r="1076" spans="18:20" x14ac:dyDescent="0.3">
      <c r="R1076" s="255"/>
      <c r="S1076" s="255"/>
      <c r="T1076" s="255"/>
    </row>
    <row r="1077" spans="18:20" x14ac:dyDescent="0.3">
      <c r="R1077" s="255"/>
      <c r="S1077" s="255"/>
      <c r="T1077" s="255"/>
    </row>
    <row r="1078" spans="18:20" x14ac:dyDescent="0.3">
      <c r="R1078" s="255"/>
      <c r="S1078" s="255"/>
      <c r="T1078" s="255"/>
    </row>
    <row r="1079" spans="18:20" x14ac:dyDescent="0.3">
      <c r="R1079" s="255"/>
      <c r="S1079" s="255"/>
      <c r="T1079" s="255"/>
    </row>
    <row r="1080" spans="18:20" x14ac:dyDescent="0.3">
      <c r="R1080" s="255"/>
      <c r="S1080" s="255"/>
      <c r="T1080" s="255"/>
    </row>
    <row r="1081" spans="18:20" x14ac:dyDescent="0.3">
      <c r="R1081" s="255"/>
      <c r="S1081" s="255"/>
      <c r="T1081" s="255"/>
    </row>
    <row r="1082" spans="18:20" x14ac:dyDescent="0.3">
      <c r="R1082" s="255"/>
      <c r="S1082" s="255"/>
      <c r="T1082" s="255"/>
    </row>
    <row r="1083" spans="18:20" x14ac:dyDescent="0.3">
      <c r="R1083" s="255"/>
      <c r="S1083" s="255"/>
      <c r="T1083" s="255"/>
    </row>
    <row r="1084" spans="18:20" x14ac:dyDescent="0.3">
      <c r="R1084" s="255"/>
      <c r="S1084" s="255"/>
      <c r="T1084" s="255"/>
    </row>
    <row r="1085" spans="18:20" x14ac:dyDescent="0.3">
      <c r="R1085" s="255"/>
      <c r="S1085" s="255"/>
      <c r="T1085" s="255"/>
    </row>
    <row r="1086" spans="18:20" x14ac:dyDescent="0.3">
      <c r="R1086" s="255"/>
      <c r="S1086" s="255"/>
      <c r="T1086" s="255"/>
    </row>
    <row r="1087" spans="18:20" x14ac:dyDescent="0.3">
      <c r="R1087" s="255"/>
      <c r="S1087" s="255"/>
      <c r="T1087" s="255"/>
    </row>
    <row r="1088" spans="18:20" x14ac:dyDescent="0.3">
      <c r="R1088" s="255"/>
      <c r="S1088" s="255"/>
      <c r="T1088" s="255"/>
    </row>
    <row r="1089" spans="18:20" x14ac:dyDescent="0.3">
      <c r="R1089" s="255"/>
      <c r="S1089" s="255"/>
      <c r="T1089" s="255"/>
    </row>
    <row r="1090" spans="18:20" x14ac:dyDescent="0.3">
      <c r="R1090" s="255"/>
      <c r="S1090" s="255"/>
      <c r="T1090" s="255"/>
    </row>
    <row r="1091" spans="18:20" x14ac:dyDescent="0.3">
      <c r="R1091" s="255"/>
      <c r="S1091" s="255"/>
      <c r="T1091" s="255"/>
    </row>
    <row r="1092" spans="18:20" x14ac:dyDescent="0.3">
      <c r="R1092" s="255"/>
      <c r="S1092" s="255"/>
      <c r="T1092" s="255"/>
    </row>
    <row r="1093" spans="18:20" x14ac:dyDescent="0.3">
      <c r="R1093" s="255"/>
      <c r="S1093" s="255"/>
      <c r="T1093" s="255"/>
    </row>
    <row r="1094" spans="18:20" x14ac:dyDescent="0.3">
      <c r="R1094" s="255"/>
      <c r="S1094" s="255"/>
      <c r="T1094" s="255"/>
    </row>
    <row r="1095" spans="18:20" x14ac:dyDescent="0.3">
      <c r="R1095" s="255"/>
      <c r="S1095" s="255"/>
      <c r="T1095" s="255"/>
    </row>
    <row r="1096" spans="18:20" x14ac:dyDescent="0.3">
      <c r="R1096" s="255"/>
      <c r="S1096" s="255"/>
      <c r="T1096" s="255"/>
    </row>
    <row r="1097" spans="18:20" x14ac:dyDescent="0.3">
      <c r="R1097" s="255"/>
      <c r="S1097" s="255"/>
      <c r="T1097" s="255"/>
    </row>
    <row r="1098" spans="18:20" x14ac:dyDescent="0.3">
      <c r="R1098" s="255"/>
      <c r="S1098" s="255"/>
      <c r="T1098" s="255"/>
    </row>
    <row r="1099" spans="18:20" x14ac:dyDescent="0.3">
      <c r="R1099" s="255"/>
      <c r="S1099" s="255"/>
      <c r="T1099" s="255"/>
    </row>
    <row r="1100" spans="18:20" x14ac:dyDescent="0.3">
      <c r="R1100" s="255"/>
      <c r="S1100" s="255"/>
      <c r="T1100" s="255"/>
    </row>
    <row r="1101" spans="18:20" x14ac:dyDescent="0.3">
      <c r="R1101" s="255"/>
      <c r="S1101" s="255"/>
      <c r="T1101" s="255"/>
    </row>
    <row r="1102" spans="18:20" x14ac:dyDescent="0.3">
      <c r="R1102" s="255"/>
      <c r="S1102" s="255"/>
      <c r="T1102" s="255"/>
    </row>
    <row r="1103" spans="18:20" x14ac:dyDescent="0.3">
      <c r="R1103" s="255"/>
      <c r="S1103" s="255"/>
      <c r="T1103" s="255"/>
    </row>
    <row r="1104" spans="18:20" x14ac:dyDescent="0.3">
      <c r="R1104" s="255"/>
      <c r="S1104" s="255"/>
      <c r="T1104" s="255"/>
    </row>
    <row r="1105" spans="18:20" x14ac:dyDescent="0.3">
      <c r="R1105" s="255"/>
      <c r="S1105" s="255"/>
      <c r="T1105" s="255"/>
    </row>
    <row r="1106" spans="18:20" x14ac:dyDescent="0.3">
      <c r="R1106" s="255"/>
      <c r="S1106" s="255"/>
      <c r="T1106" s="255"/>
    </row>
    <row r="1107" spans="18:20" x14ac:dyDescent="0.3">
      <c r="R1107" s="255"/>
      <c r="S1107" s="255"/>
      <c r="T1107" s="255"/>
    </row>
    <row r="1108" spans="18:20" x14ac:dyDescent="0.3">
      <c r="R1108" s="255"/>
      <c r="S1108" s="255"/>
      <c r="T1108" s="255"/>
    </row>
    <row r="1109" spans="18:20" x14ac:dyDescent="0.3">
      <c r="R1109" s="255"/>
      <c r="S1109" s="255"/>
      <c r="T1109" s="255"/>
    </row>
    <row r="1110" spans="18:20" x14ac:dyDescent="0.3">
      <c r="R1110" s="255"/>
      <c r="S1110" s="255"/>
      <c r="T1110" s="255"/>
    </row>
    <row r="1111" spans="18:20" x14ac:dyDescent="0.3">
      <c r="R1111" s="255"/>
      <c r="S1111" s="255"/>
      <c r="T1111" s="255"/>
    </row>
    <row r="1112" spans="18:20" x14ac:dyDescent="0.3">
      <c r="R1112" s="255"/>
      <c r="S1112" s="255"/>
      <c r="T1112" s="255"/>
    </row>
    <row r="1113" spans="18:20" x14ac:dyDescent="0.3">
      <c r="R1113" s="255"/>
      <c r="S1113" s="255"/>
      <c r="T1113" s="255"/>
    </row>
    <row r="1114" spans="18:20" x14ac:dyDescent="0.3">
      <c r="R1114" s="255"/>
      <c r="S1114" s="255"/>
      <c r="T1114" s="255"/>
    </row>
    <row r="1115" spans="18:20" x14ac:dyDescent="0.3">
      <c r="R1115" s="255"/>
      <c r="S1115" s="255"/>
      <c r="T1115" s="255"/>
    </row>
    <row r="1116" spans="18:20" x14ac:dyDescent="0.3">
      <c r="R1116" s="255"/>
      <c r="S1116" s="255"/>
      <c r="T1116" s="255"/>
    </row>
    <row r="1117" spans="18:20" x14ac:dyDescent="0.3">
      <c r="R1117" s="255"/>
      <c r="S1117" s="255"/>
      <c r="T1117" s="255"/>
    </row>
    <row r="1118" spans="18:20" x14ac:dyDescent="0.3">
      <c r="R1118" s="255"/>
      <c r="S1118" s="255"/>
      <c r="T1118" s="255"/>
    </row>
    <row r="1119" spans="18:20" x14ac:dyDescent="0.3">
      <c r="R1119" s="255"/>
      <c r="S1119" s="255"/>
      <c r="T1119" s="255"/>
    </row>
    <row r="1120" spans="18:20" x14ac:dyDescent="0.3">
      <c r="R1120" s="255"/>
      <c r="S1120" s="255"/>
      <c r="T1120" s="255"/>
    </row>
    <row r="1121" spans="18:20" x14ac:dyDescent="0.3">
      <c r="R1121" s="255"/>
      <c r="S1121" s="255"/>
      <c r="T1121" s="255"/>
    </row>
    <row r="1122" spans="18:20" x14ac:dyDescent="0.3">
      <c r="R1122" s="255"/>
      <c r="S1122" s="255"/>
      <c r="T1122" s="255"/>
    </row>
    <row r="1123" spans="18:20" x14ac:dyDescent="0.3">
      <c r="R1123" s="255"/>
      <c r="S1123" s="255"/>
      <c r="T1123" s="255"/>
    </row>
    <row r="1124" spans="18:20" x14ac:dyDescent="0.3">
      <c r="R1124" s="255"/>
      <c r="S1124" s="255"/>
      <c r="T1124" s="255"/>
    </row>
    <row r="1125" spans="18:20" x14ac:dyDescent="0.3">
      <c r="R1125" s="255"/>
      <c r="S1125" s="255"/>
      <c r="T1125" s="255"/>
    </row>
    <row r="1126" spans="18:20" x14ac:dyDescent="0.3">
      <c r="R1126" s="255"/>
      <c r="S1126" s="255"/>
      <c r="T1126" s="255"/>
    </row>
    <row r="1127" spans="18:20" x14ac:dyDescent="0.3">
      <c r="R1127" s="255"/>
      <c r="S1127" s="255"/>
      <c r="T1127" s="255"/>
    </row>
    <row r="1128" spans="18:20" x14ac:dyDescent="0.3">
      <c r="R1128" s="255"/>
      <c r="S1128" s="255"/>
      <c r="T1128" s="255"/>
    </row>
    <row r="1129" spans="18:20" x14ac:dyDescent="0.3">
      <c r="R1129" s="255"/>
      <c r="S1129" s="255"/>
      <c r="T1129" s="255"/>
    </row>
    <row r="1130" spans="18:20" x14ac:dyDescent="0.3">
      <c r="R1130" s="255"/>
      <c r="S1130" s="255"/>
      <c r="T1130" s="255"/>
    </row>
    <row r="1131" spans="18:20" x14ac:dyDescent="0.3">
      <c r="R1131" s="255"/>
      <c r="S1131" s="255"/>
      <c r="T1131" s="255"/>
    </row>
    <row r="1132" spans="18:20" x14ac:dyDescent="0.3">
      <c r="R1132" s="255"/>
      <c r="S1132" s="255"/>
      <c r="T1132" s="255"/>
    </row>
    <row r="1133" spans="18:20" x14ac:dyDescent="0.3">
      <c r="R1133" s="255"/>
      <c r="S1133" s="255"/>
      <c r="T1133" s="255"/>
    </row>
    <row r="1134" spans="18:20" x14ac:dyDescent="0.3">
      <c r="R1134" s="255"/>
      <c r="S1134" s="255"/>
      <c r="T1134" s="255"/>
    </row>
    <row r="1135" spans="18:20" x14ac:dyDescent="0.3">
      <c r="R1135" s="255"/>
      <c r="S1135" s="255"/>
      <c r="T1135" s="255"/>
    </row>
    <row r="1136" spans="18:20" x14ac:dyDescent="0.3">
      <c r="R1136" s="255"/>
      <c r="S1136" s="255"/>
      <c r="T1136" s="255"/>
    </row>
    <row r="1137" spans="18:20" x14ac:dyDescent="0.3">
      <c r="R1137" s="255"/>
      <c r="S1137" s="255"/>
      <c r="T1137" s="255"/>
    </row>
    <row r="1138" spans="18:20" x14ac:dyDescent="0.3">
      <c r="R1138" s="255"/>
      <c r="S1138" s="255"/>
      <c r="T1138" s="255"/>
    </row>
    <row r="1139" spans="18:20" x14ac:dyDescent="0.3">
      <c r="R1139" s="255"/>
      <c r="S1139" s="255"/>
      <c r="T1139" s="255"/>
    </row>
    <row r="1140" spans="18:20" x14ac:dyDescent="0.3">
      <c r="R1140" s="255"/>
      <c r="S1140" s="255"/>
      <c r="T1140" s="255"/>
    </row>
    <row r="1141" spans="18:20" x14ac:dyDescent="0.3">
      <c r="R1141" s="255"/>
      <c r="S1141" s="255"/>
      <c r="T1141" s="255"/>
    </row>
    <row r="1142" spans="18:20" x14ac:dyDescent="0.3">
      <c r="R1142" s="255"/>
      <c r="S1142" s="255"/>
      <c r="T1142" s="255"/>
    </row>
    <row r="1143" spans="18:20" x14ac:dyDescent="0.3">
      <c r="R1143" s="255"/>
      <c r="S1143" s="255"/>
      <c r="T1143" s="255"/>
    </row>
    <row r="1144" spans="18:20" x14ac:dyDescent="0.3">
      <c r="R1144" s="255"/>
      <c r="S1144" s="255"/>
      <c r="T1144" s="255"/>
    </row>
    <row r="1145" spans="18:20" x14ac:dyDescent="0.3">
      <c r="R1145" s="255"/>
      <c r="S1145" s="255"/>
      <c r="T1145" s="255"/>
    </row>
    <row r="1146" spans="18:20" x14ac:dyDescent="0.3">
      <c r="R1146" s="255"/>
      <c r="S1146" s="255"/>
      <c r="T1146" s="255"/>
    </row>
    <row r="1147" spans="18:20" x14ac:dyDescent="0.3">
      <c r="R1147" s="255"/>
      <c r="S1147" s="255"/>
      <c r="T1147" s="255"/>
    </row>
    <row r="1148" spans="18:20" x14ac:dyDescent="0.3">
      <c r="R1148" s="255"/>
      <c r="S1148" s="255"/>
      <c r="T1148" s="255"/>
    </row>
    <row r="1149" spans="18:20" x14ac:dyDescent="0.3">
      <c r="R1149" s="255"/>
      <c r="S1149" s="255"/>
      <c r="T1149" s="255"/>
    </row>
    <row r="1150" spans="18:20" x14ac:dyDescent="0.3">
      <c r="R1150" s="255"/>
      <c r="S1150" s="255"/>
      <c r="T1150" s="255"/>
    </row>
    <row r="1151" spans="18:20" x14ac:dyDescent="0.3">
      <c r="R1151" s="255"/>
      <c r="S1151" s="255"/>
      <c r="T1151" s="255"/>
    </row>
    <row r="1152" spans="18:20" x14ac:dyDescent="0.3">
      <c r="R1152" s="255"/>
      <c r="S1152" s="255"/>
      <c r="T1152" s="255"/>
    </row>
    <row r="1153" spans="18:20" x14ac:dyDescent="0.3">
      <c r="R1153" s="255"/>
      <c r="S1153" s="255"/>
      <c r="T1153" s="255"/>
    </row>
    <row r="1154" spans="18:20" x14ac:dyDescent="0.3">
      <c r="R1154" s="255"/>
      <c r="S1154" s="255"/>
      <c r="T1154" s="255"/>
    </row>
    <row r="1155" spans="18:20" x14ac:dyDescent="0.3">
      <c r="R1155" s="255"/>
      <c r="S1155" s="255"/>
      <c r="T1155" s="255"/>
    </row>
    <row r="1156" spans="18:20" x14ac:dyDescent="0.3">
      <c r="R1156" s="255"/>
      <c r="S1156" s="255"/>
      <c r="T1156" s="255"/>
    </row>
    <row r="1157" spans="18:20" x14ac:dyDescent="0.3">
      <c r="R1157" s="255"/>
      <c r="S1157" s="255"/>
      <c r="T1157" s="255"/>
    </row>
    <row r="1158" spans="18:20" x14ac:dyDescent="0.3">
      <c r="R1158" s="255"/>
      <c r="S1158" s="255"/>
      <c r="T1158" s="255"/>
    </row>
    <row r="1159" spans="18:20" x14ac:dyDescent="0.3">
      <c r="R1159" s="255"/>
      <c r="S1159" s="255"/>
      <c r="T1159" s="255"/>
    </row>
    <row r="1160" spans="18:20" x14ac:dyDescent="0.3">
      <c r="R1160" s="255"/>
      <c r="S1160" s="255"/>
      <c r="T1160" s="255"/>
    </row>
    <row r="1161" spans="18:20" x14ac:dyDescent="0.3">
      <c r="R1161" s="255"/>
      <c r="S1161" s="255"/>
      <c r="T1161" s="255"/>
    </row>
    <row r="1162" spans="18:20" x14ac:dyDescent="0.3">
      <c r="R1162" s="255"/>
      <c r="S1162" s="255"/>
      <c r="T1162" s="255"/>
    </row>
    <row r="1163" spans="18:20" x14ac:dyDescent="0.3">
      <c r="R1163" s="255"/>
      <c r="S1163" s="255"/>
      <c r="T1163" s="255"/>
    </row>
    <row r="1164" spans="18:20" x14ac:dyDescent="0.3">
      <c r="R1164" s="255"/>
      <c r="S1164" s="255"/>
      <c r="T1164" s="255"/>
    </row>
    <row r="1165" spans="18:20" x14ac:dyDescent="0.3">
      <c r="R1165" s="255"/>
      <c r="S1165" s="255"/>
      <c r="T1165" s="255"/>
    </row>
    <row r="1166" spans="18:20" x14ac:dyDescent="0.3">
      <c r="R1166" s="255"/>
      <c r="S1166" s="255"/>
      <c r="T1166" s="255"/>
    </row>
    <row r="1167" spans="18:20" x14ac:dyDescent="0.3">
      <c r="R1167" s="255"/>
      <c r="S1167" s="255"/>
      <c r="T1167" s="255"/>
    </row>
    <row r="1168" spans="18:20" x14ac:dyDescent="0.3">
      <c r="R1168" s="255"/>
      <c r="S1168" s="255"/>
      <c r="T1168" s="255"/>
    </row>
    <row r="1169" spans="18:20" x14ac:dyDescent="0.3">
      <c r="R1169" s="255"/>
      <c r="S1169" s="255"/>
      <c r="T1169" s="255"/>
    </row>
    <row r="1170" spans="18:20" x14ac:dyDescent="0.3">
      <c r="R1170" s="255"/>
      <c r="S1170" s="255"/>
      <c r="T1170" s="255"/>
    </row>
    <row r="1171" spans="18:20" x14ac:dyDescent="0.3">
      <c r="R1171" s="255"/>
      <c r="S1171" s="255"/>
      <c r="T1171" s="255"/>
    </row>
    <row r="1172" spans="18:20" x14ac:dyDescent="0.3">
      <c r="R1172" s="255"/>
      <c r="S1172" s="255"/>
      <c r="T1172" s="255"/>
    </row>
    <row r="1173" spans="18:20" x14ac:dyDescent="0.3">
      <c r="R1173" s="255"/>
      <c r="S1173" s="255"/>
      <c r="T1173" s="255"/>
    </row>
    <row r="1174" spans="18:20" x14ac:dyDescent="0.3">
      <c r="R1174" s="255"/>
      <c r="S1174" s="255"/>
      <c r="T1174" s="255"/>
    </row>
    <row r="1175" spans="18:20" x14ac:dyDescent="0.3">
      <c r="R1175" s="255"/>
      <c r="S1175" s="255"/>
      <c r="T1175" s="255"/>
    </row>
    <row r="1176" spans="18:20" x14ac:dyDescent="0.3">
      <c r="R1176" s="255"/>
      <c r="S1176" s="255"/>
      <c r="T1176" s="255"/>
    </row>
    <row r="1177" spans="18:20" x14ac:dyDescent="0.3">
      <c r="R1177" s="255"/>
      <c r="S1177" s="255"/>
      <c r="T1177" s="255"/>
    </row>
    <row r="1178" spans="18:20" x14ac:dyDescent="0.3">
      <c r="R1178" s="255"/>
      <c r="S1178" s="255"/>
      <c r="T1178" s="255"/>
    </row>
    <row r="1179" spans="18:20" x14ac:dyDescent="0.3">
      <c r="R1179" s="255"/>
      <c r="S1179" s="255"/>
      <c r="T1179" s="255"/>
    </row>
    <row r="1180" spans="18:20" x14ac:dyDescent="0.3">
      <c r="R1180" s="255"/>
      <c r="S1180" s="255"/>
      <c r="T1180" s="255"/>
    </row>
    <row r="1181" spans="18:20" x14ac:dyDescent="0.3">
      <c r="R1181" s="255"/>
      <c r="S1181" s="255"/>
      <c r="T1181" s="255"/>
    </row>
    <row r="1182" spans="18:20" x14ac:dyDescent="0.3">
      <c r="R1182" s="255"/>
      <c r="S1182" s="255"/>
      <c r="T1182" s="255"/>
    </row>
    <row r="1183" spans="18:20" x14ac:dyDescent="0.3">
      <c r="R1183" s="255"/>
      <c r="S1183" s="255"/>
      <c r="T1183" s="255"/>
    </row>
    <row r="1184" spans="18:20" x14ac:dyDescent="0.3">
      <c r="R1184" s="255"/>
      <c r="S1184" s="255"/>
      <c r="T1184" s="255"/>
    </row>
    <row r="1185" spans="18:20" x14ac:dyDescent="0.3">
      <c r="R1185" s="255"/>
      <c r="S1185" s="255"/>
      <c r="T1185" s="255"/>
    </row>
    <row r="1186" spans="18:20" x14ac:dyDescent="0.3">
      <c r="R1186" s="255"/>
      <c r="S1186" s="255"/>
      <c r="T1186" s="255"/>
    </row>
    <row r="1187" spans="18:20" x14ac:dyDescent="0.3">
      <c r="R1187" s="255"/>
      <c r="S1187" s="255"/>
      <c r="T1187" s="255"/>
    </row>
    <row r="1188" spans="18:20" x14ac:dyDescent="0.3">
      <c r="R1188" s="255"/>
      <c r="S1188" s="255"/>
      <c r="T1188" s="255"/>
    </row>
    <row r="1189" spans="18:20" x14ac:dyDescent="0.3">
      <c r="R1189" s="255"/>
      <c r="S1189" s="255"/>
      <c r="T1189" s="255"/>
    </row>
    <row r="1190" spans="18:20" x14ac:dyDescent="0.3">
      <c r="R1190" s="255"/>
      <c r="S1190" s="255"/>
      <c r="T1190" s="255"/>
    </row>
    <row r="1191" spans="18:20" x14ac:dyDescent="0.3">
      <c r="R1191" s="255"/>
      <c r="S1191" s="255"/>
      <c r="T1191" s="255"/>
    </row>
    <row r="1192" spans="18:20" x14ac:dyDescent="0.3">
      <c r="R1192" s="255"/>
      <c r="S1192" s="255"/>
      <c r="T1192" s="255"/>
    </row>
    <row r="1193" spans="18:20" x14ac:dyDescent="0.3">
      <c r="R1193" s="255"/>
      <c r="S1193" s="255"/>
      <c r="T1193" s="255"/>
    </row>
    <row r="1194" spans="18:20" x14ac:dyDescent="0.3">
      <c r="R1194" s="255"/>
      <c r="S1194" s="255"/>
      <c r="T1194" s="255"/>
    </row>
    <row r="1195" spans="18:20" x14ac:dyDescent="0.3">
      <c r="R1195" s="255"/>
      <c r="S1195" s="255"/>
      <c r="T1195" s="255"/>
    </row>
    <row r="1196" spans="18:20" x14ac:dyDescent="0.3">
      <c r="R1196" s="255"/>
      <c r="S1196" s="255"/>
      <c r="T1196" s="255"/>
    </row>
    <row r="1197" spans="18:20" x14ac:dyDescent="0.3">
      <c r="R1197" s="255"/>
      <c r="S1197" s="255"/>
      <c r="T1197" s="255"/>
    </row>
    <row r="1198" spans="18:20" x14ac:dyDescent="0.3">
      <c r="R1198" s="255"/>
      <c r="S1198" s="255"/>
      <c r="T1198" s="255"/>
    </row>
    <row r="1199" spans="18:20" x14ac:dyDescent="0.3">
      <c r="R1199" s="255"/>
      <c r="S1199" s="255"/>
      <c r="T1199" s="255"/>
    </row>
    <row r="1200" spans="18:20" x14ac:dyDescent="0.3">
      <c r="R1200" s="255"/>
      <c r="S1200" s="255"/>
      <c r="T1200" s="255"/>
    </row>
    <row r="1201" spans="18:20" x14ac:dyDescent="0.3">
      <c r="R1201" s="255"/>
      <c r="S1201" s="255"/>
      <c r="T1201" s="255"/>
    </row>
    <row r="1202" spans="18:20" x14ac:dyDescent="0.3">
      <c r="R1202" s="255"/>
      <c r="S1202" s="255"/>
      <c r="T1202" s="255"/>
    </row>
    <row r="1203" spans="18:20" x14ac:dyDescent="0.3">
      <c r="R1203" s="255"/>
      <c r="S1203" s="255"/>
      <c r="T1203" s="255"/>
    </row>
    <row r="1204" spans="18:20" x14ac:dyDescent="0.3">
      <c r="R1204" s="255"/>
      <c r="S1204" s="255"/>
      <c r="T1204" s="255"/>
    </row>
    <row r="1205" spans="18:20" x14ac:dyDescent="0.3">
      <c r="R1205" s="255"/>
      <c r="S1205" s="255"/>
      <c r="T1205" s="255"/>
    </row>
    <row r="1206" spans="18:20" x14ac:dyDescent="0.3">
      <c r="R1206" s="255"/>
      <c r="S1206" s="255"/>
      <c r="T1206" s="255"/>
    </row>
    <row r="1207" spans="18:20" x14ac:dyDescent="0.3">
      <c r="R1207" s="255"/>
      <c r="S1207" s="255"/>
      <c r="T1207" s="255"/>
    </row>
    <row r="1208" spans="18:20" x14ac:dyDescent="0.3">
      <c r="R1208" s="255"/>
      <c r="S1208" s="255"/>
      <c r="T1208" s="255"/>
    </row>
    <row r="1209" spans="18:20" x14ac:dyDescent="0.3">
      <c r="R1209" s="255"/>
      <c r="S1209" s="255"/>
      <c r="T1209" s="255"/>
    </row>
    <row r="1210" spans="18:20" x14ac:dyDescent="0.3">
      <c r="R1210" s="255"/>
      <c r="S1210" s="255"/>
      <c r="T1210" s="255"/>
    </row>
    <row r="1211" spans="18:20" x14ac:dyDescent="0.3">
      <c r="R1211" s="255"/>
      <c r="S1211" s="255"/>
      <c r="T1211" s="255"/>
    </row>
    <row r="1212" spans="18:20" x14ac:dyDescent="0.3">
      <c r="R1212" s="255"/>
      <c r="S1212" s="255"/>
      <c r="T1212" s="255"/>
    </row>
    <row r="1213" spans="18:20" x14ac:dyDescent="0.3">
      <c r="R1213" s="255"/>
      <c r="S1213" s="255"/>
      <c r="T1213" s="255"/>
    </row>
    <row r="1214" spans="18:20" x14ac:dyDescent="0.3">
      <c r="R1214" s="255"/>
      <c r="S1214" s="255"/>
      <c r="T1214" s="255"/>
    </row>
    <row r="1215" spans="18:20" x14ac:dyDescent="0.3">
      <c r="R1215" s="255"/>
      <c r="S1215" s="255"/>
      <c r="T1215" s="255"/>
    </row>
    <row r="1216" spans="18:20" x14ac:dyDescent="0.3">
      <c r="R1216" s="255"/>
      <c r="S1216" s="255"/>
      <c r="T1216" s="255"/>
    </row>
    <row r="1217" spans="18:20" x14ac:dyDescent="0.3">
      <c r="R1217" s="255"/>
      <c r="S1217" s="255"/>
      <c r="T1217" s="255"/>
    </row>
    <row r="1218" spans="18:20" x14ac:dyDescent="0.3">
      <c r="R1218" s="255"/>
      <c r="S1218" s="255"/>
      <c r="T1218" s="255"/>
    </row>
    <row r="1219" spans="18:20" x14ac:dyDescent="0.3">
      <c r="R1219" s="255"/>
      <c r="S1219" s="255"/>
      <c r="T1219" s="255"/>
    </row>
    <row r="1220" spans="18:20" x14ac:dyDescent="0.3">
      <c r="R1220" s="255"/>
      <c r="S1220" s="255"/>
      <c r="T1220" s="255"/>
    </row>
    <row r="1221" spans="18:20" x14ac:dyDescent="0.3">
      <c r="R1221" s="255"/>
      <c r="S1221" s="255"/>
      <c r="T1221" s="255"/>
    </row>
    <row r="1222" spans="18:20" x14ac:dyDescent="0.3">
      <c r="R1222" s="255"/>
      <c r="S1222" s="255"/>
      <c r="T1222" s="255"/>
    </row>
    <row r="1223" spans="18:20" x14ac:dyDescent="0.3">
      <c r="R1223" s="255"/>
      <c r="S1223" s="255"/>
      <c r="T1223" s="255"/>
    </row>
    <row r="1224" spans="18:20" x14ac:dyDescent="0.3">
      <c r="R1224" s="255"/>
      <c r="S1224" s="255"/>
      <c r="T1224" s="255"/>
    </row>
    <row r="1225" spans="18:20" x14ac:dyDescent="0.3">
      <c r="R1225" s="255"/>
      <c r="S1225" s="255"/>
      <c r="T1225" s="255"/>
    </row>
    <row r="1226" spans="18:20" x14ac:dyDescent="0.3">
      <c r="R1226" s="255"/>
      <c r="S1226" s="255"/>
      <c r="T1226" s="255"/>
    </row>
    <row r="1227" spans="18:20" x14ac:dyDescent="0.3">
      <c r="R1227" s="255"/>
      <c r="S1227" s="255"/>
      <c r="T1227" s="255"/>
    </row>
    <row r="1228" spans="18:20" x14ac:dyDescent="0.3">
      <c r="R1228" s="255"/>
      <c r="S1228" s="255"/>
      <c r="T1228" s="255"/>
    </row>
    <row r="1229" spans="18:20" x14ac:dyDescent="0.3">
      <c r="R1229" s="255"/>
      <c r="S1229" s="255"/>
      <c r="T1229" s="255"/>
    </row>
    <row r="1230" spans="18:20" x14ac:dyDescent="0.3">
      <c r="R1230" s="255"/>
      <c r="S1230" s="255"/>
      <c r="T1230" s="255"/>
    </row>
    <row r="1231" spans="18:20" x14ac:dyDescent="0.3">
      <c r="R1231" s="255"/>
      <c r="S1231" s="255"/>
      <c r="T1231" s="255"/>
    </row>
    <row r="1232" spans="18:20" x14ac:dyDescent="0.3">
      <c r="R1232" s="255"/>
      <c r="S1232" s="255"/>
      <c r="T1232" s="255"/>
    </row>
    <row r="1233" spans="18:20" x14ac:dyDescent="0.3">
      <c r="R1233" s="255"/>
      <c r="S1233" s="255"/>
      <c r="T1233" s="255"/>
    </row>
    <row r="1234" spans="18:20" x14ac:dyDescent="0.3">
      <c r="R1234" s="255"/>
      <c r="S1234" s="255"/>
      <c r="T1234" s="255"/>
    </row>
    <row r="1235" spans="18:20" x14ac:dyDescent="0.3">
      <c r="R1235" s="255"/>
      <c r="S1235" s="255"/>
      <c r="T1235" s="255"/>
    </row>
    <row r="1236" spans="18:20" x14ac:dyDescent="0.3">
      <c r="R1236" s="255"/>
      <c r="S1236" s="255"/>
      <c r="T1236" s="255"/>
    </row>
    <row r="1237" spans="18:20" x14ac:dyDescent="0.3">
      <c r="R1237" s="255"/>
      <c r="S1237" s="255"/>
      <c r="T1237" s="255"/>
    </row>
    <row r="1238" spans="18:20" x14ac:dyDescent="0.3">
      <c r="R1238" s="255"/>
      <c r="S1238" s="255"/>
      <c r="T1238" s="255"/>
    </row>
    <row r="1239" spans="18:20" x14ac:dyDescent="0.3">
      <c r="R1239" s="255"/>
      <c r="S1239" s="255"/>
      <c r="T1239" s="255"/>
    </row>
    <row r="1240" spans="18:20" x14ac:dyDescent="0.3">
      <c r="R1240" s="255"/>
      <c r="S1240" s="255"/>
      <c r="T1240" s="255"/>
    </row>
    <row r="1241" spans="18:20" x14ac:dyDescent="0.3">
      <c r="R1241" s="255"/>
      <c r="S1241" s="255"/>
      <c r="T1241" s="255"/>
    </row>
    <row r="1242" spans="18:20" x14ac:dyDescent="0.3">
      <c r="R1242" s="255"/>
      <c r="S1242" s="255"/>
      <c r="T1242" s="255"/>
    </row>
    <row r="1243" spans="18:20" x14ac:dyDescent="0.3">
      <c r="R1243" s="255"/>
      <c r="S1243" s="255"/>
      <c r="T1243" s="255"/>
    </row>
    <row r="1244" spans="18:20" x14ac:dyDescent="0.3">
      <c r="R1244" s="255"/>
      <c r="S1244" s="255"/>
      <c r="T1244" s="255"/>
    </row>
    <row r="1245" spans="18:20" x14ac:dyDescent="0.3">
      <c r="R1245" s="255"/>
      <c r="S1245" s="255"/>
      <c r="T1245" s="255"/>
    </row>
    <row r="1246" spans="18:20" x14ac:dyDescent="0.3">
      <c r="R1246" s="255"/>
      <c r="S1246" s="255"/>
      <c r="T1246" s="255"/>
    </row>
    <row r="1247" spans="18:20" x14ac:dyDescent="0.3">
      <c r="R1247" s="255"/>
      <c r="S1247" s="255"/>
      <c r="T1247" s="255"/>
    </row>
    <row r="1248" spans="18:20" x14ac:dyDescent="0.3">
      <c r="R1248" s="255"/>
      <c r="S1248" s="255"/>
      <c r="T1248" s="255"/>
    </row>
    <row r="1249" spans="18:20" x14ac:dyDescent="0.3">
      <c r="R1249" s="255"/>
      <c r="S1249" s="255"/>
      <c r="T1249" s="255"/>
    </row>
    <row r="1250" spans="18:20" x14ac:dyDescent="0.3">
      <c r="R1250" s="255"/>
      <c r="S1250" s="255"/>
      <c r="T1250" s="255"/>
    </row>
    <row r="1251" spans="18:20" x14ac:dyDescent="0.3">
      <c r="R1251" s="255"/>
      <c r="S1251" s="255"/>
      <c r="T1251" s="255"/>
    </row>
    <row r="1252" spans="18:20" x14ac:dyDescent="0.3">
      <c r="R1252" s="255"/>
      <c r="S1252" s="255"/>
      <c r="T1252" s="255"/>
    </row>
    <row r="1253" spans="18:20" x14ac:dyDescent="0.3">
      <c r="R1253" s="255"/>
      <c r="S1253" s="255"/>
      <c r="T1253" s="255"/>
    </row>
    <row r="1254" spans="18:20" x14ac:dyDescent="0.3">
      <c r="R1254" s="255"/>
      <c r="S1254" s="255"/>
      <c r="T1254" s="255"/>
    </row>
    <row r="1255" spans="18:20" x14ac:dyDescent="0.3">
      <c r="R1255" s="255"/>
      <c r="S1255" s="255"/>
      <c r="T1255" s="255"/>
    </row>
    <row r="1256" spans="18:20" x14ac:dyDescent="0.3">
      <c r="R1256" s="255"/>
      <c r="S1256" s="255"/>
      <c r="T1256" s="255"/>
    </row>
    <row r="1257" spans="18:20" x14ac:dyDescent="0.3">
      <c r="R1257" s="255"/>
      <c r="S1257" s="255"/>
      <c r="T1257" s="255"/>
    </row>
    <row r="1258" spans="18:20" x14ac:dyDescent="0.3">
      <c r="R1258" s="255"/>
      <c r="S1258" s="255"/>
      <c r="T1258" s="255"/>
    </row>
    <row r="1259" spans="18:20" x14ac:dyDescent="0.3">
      <c r="R1259" s="255"/>
      <c r="S1259" s="255"/>
      <c r="T1259" s="255"/>
    </row>
    <row r="1260" spans="18:20" x14ac:dyDescent="0.3">
      <c r="R1260" s="255"/>
      <c r="S1260" s="255"/>
      <c r="T1260" s="255"/>
    </row>
    <row r="1261" spans="18:20" x14ac:dyDescent="0.3">
      <c r="R1261" s="255"/>
      <c r="S1261" s="255"/>
      <c r="T1261" s="255"/>
    </row>
    <row r="1262" spans="18:20" x14ac:dyDescent="0.3">
      <c r="R1262" s="255"/>
      <c r="S1262" s="255"/>
      <c r="T1262" s="255"/>
    </row>
    <row r="1263" spans="18:20" x14ac:dyDescent="0.3">
      <c r="R1263" s="255"/>
      <c r="S1263" s="255"/>
      <c r="T1263" s="255"/>
    </row>
    <row r="1264" spans="18:20" x14ac:dyDescent="0.3">
      <c r="R1264" s="255"/>
      <c r="S1264" s="255"/>
      <c r="T1264" s="255"/>
    </row>
    <row r="1265" spans="18:20" x14ac:dyDescent="0.3">
      <c r="R1265" s="255"/>
      <c r="S1265" s="255"/>
      <c r="T1265" s="255"/>
    </row>
    <row r="1266" spans="18:20" x14ac:dyDescent="0.3">
      <c r="R1266" s="255"/>
      <c r="S1266" s="255"/>
      <c r="T1266" s="255"/>
    </row>
    <row r="1267" spans="18:20" x14ac:dyDescent="0.3">
      <c r="R1267" s="255"/>
      <c r="S1267" s="255"/>
      <c r="T1267" s="255"/>
    </row>
    <row r="1268" spans="18:20" x14ac:dyDescent="0.3">
      <c r="R1268" s="255"/>
      <c r="S1268" s="255"/>
      <c r="T1268" s="255"/>
    </row>
    <row r="1269" spans="18:20" x14ac:dyDescent="0.3">
      <c r="R1269" s="255"/>
      <c r="S1269" s="255"/>
      <c r="T1269" s="255"/>
    </row>
    <row r="1270" spans="18:20" x14ac:dyDescent="0.3">
      <c r="R1270" s="255"/>
      <c r="S1270" s="255"/>
      <c r="T1270" s="255"/>
    </row>
    <row r="1271" spans="18:20" x14ac:dyDescent="0.3">
      <c r="R1271" s="255"/>
      <c r="S1271" s="255"/>
      <c r="T1271" s="255"/>
    </row>
    <row r="1272" spans="18:20" x14ac:dyDescent="0.3">
      <c r="R1272" s="255"/>
      <c r="S1272" s="255"/>
      <c r="T1272" s="255"/>
    </row>
    <row r="1273" spans="18:20" x14ac:dyDescent="0.3">
      <c r="R1273" s="255"/>
      <c r="S1273" s="255"/>
      <c r="T1273" s="255"/>
    </row>
    <row r="1274" spans="18:20" x14ac:dyDescent="0.3">
      <c r="R1274" s="255"/>
      <c r="S1274" s="255"/>
      <c r="T1274" s="255"/>
    </row>
    <row r="1275" spans="18:20" x14ac:dyDescent="0.3">
      <c r="R1275" s="255"/>
      <c r="S1275" s="255"/>
      <c r="T1275" s="255"/>
    </row>
    <row r="1276" spans="18:20" x14ac:dyDescent="0.3">
      <c r="R1276" s="255"/>
      <c r="S1276" s="255"/>
      <c r="T1276" s="255"/>
    </row>
    <row r="1277" spans="18:20" x14ac:dyDescent="0.3">
      <c r="R1277" s="255"/>
      <c r="S1277" s="255"/>
      <c r="T1277" s="255"/>
    </row>
    <row r="1278" spans="18:20" x14ac:dyDescent="0.3">
      <c r="R1278" s="255"/>
      <c r="S1278" s="255"/>
      <c r="T1278" s="255"/>
    </row>
    <row r="1279" spans="18:20" x14ac:dyDescent="0.3">
      <c r="R1279" s="255"/>
      <c r="S1279" s="255"/>
      <c r="T1279" s="255"/>
    </row>
    <row r="1280" spans="18:20" x14ac:dyDescent="0.3">
      <c r="R1280" s="255"/>
      <c r="S1280" s="255"/>
      <c r="T1280" s="255"/>
    </row>
    <row r="1281" spans="18:20" x14ac:dyDescent="0.3">
      <c r="R1281" s="255"/>
      <c r="S1281" s="255"/>
      <c r="T1281" s="255"/>
    </row>
    <row r="1282" spans="18:20" x14ac:dyDescent="0.3">
      <c r="R1282" s="255"/>
      <c r="S1282" s="255"/>
      <c r="T1282" s="255"/>
    </row>
    <row r="1283" spans="18:20" x14ac:dyDescent="0.3">
      <c r="R1283" s="255"/>
      <c r="S1283" s="255"/>
      <c r="T1283" s="255"/>
    </row>
    <row r="1284" spans="18:20" x14ac:dyDescent="0.3">
      <c r="R1284" s="255"/>
      <c r="S1284" s="255"/>
      <c r="T1284" s="255"/>
    </row>
    <row r="1285" spans="18:20" x14ac:dyDescent="0.3">
      <c r="R1285" s="255"/>
      <c r="S1285" s="255"/>
      <c r="T1285" s="255"/>
    </row>
    <row r="1286" spans="18:20" x14ac:dyDescent="0.3">
      <c r="R1286" s="255"/>
      <c r="S1286" s="255"/>
      <c r="T1286" s="255"/>
    </row>
    <row r="1287" spans="18:20" x14ac:dyDescent="0.3">
      <c r="R1287" s="255"/>
      <c r="S1287" s="255"/>
      <c r="T1287" s="255"/>
    </row>
    <row r="1288" spans="18:20" x14ac:dyDescent="0.3">
      <c r="R1288" s="255"/>
      <c r="S1288" s="255"/>
      <c r="T1288" s="255"/>
    </row>
    <row r="1289" spans="18:20" x14ac:dyDescent="0.3">
      <c r="R1289" s="255"/>
      <c r="S1289" s="255"/>
      <c r="T1289" s="255"/>
    </row>
    <row r="1290" spans="18:20" x14ac:dyDescent="0.3">
      <c r="R1290" s="255"/>
      <c r="S1290" s="255"/>
      <c r="T1290" s="255"/>
    </row>
    <row r="1291" spans="18:20" x14ac:dyDescent="0.3">
      <c r="R1291" s="255"/>
      <c r="S1291" s="255"/>
      <c r="T1291" s="255"/>
    </row>
    <row r="1292" spans="18:20" x14ac:dyDescent="0.3">
      <c r="R1292" s="255"/>
      <c r="S1292" s="255"/>
      <c r="T1292" s="255"/>
    </row>
    <row r="1293" spans="18:20" x14ac:dyDescent="0.3">
      <c r="R1293" s="255"/>
      <c r="S1293" s="255"/>
      <c r="T1293" s="255"/>
    </row>
    <row r="1294" spans="18:20" x14ac:dyDescent="0.3">
      <c r="R1294" s="255"/>
      <c r="S1294" s="255"/>
      <c r="T1294" s="255"/>
    </row>
    <row r="1295" spans="18:20" x14ac:dyDescent="0.3">
      <c r="R1295" s="255"/>
      <c r="S1295" s="255"/>
      <c r="T1295" s="255"/>
    </row>
    <row r="1296" spans="18:20" x14ac:dyDescent="0.3">
      <c r="R1296" s="255"/>
      <c r="S1296" s="255"/>
      <c r="T1296" s="255"/>
    </row>
    <row r="1297" spans="18:20" x14ac:dyDescent="0.3">
      <c r="R1297" s="255"/>
      <c r="S1297" s="255"/>
      <c r="T1297" s="255"/>
    </row>
    <row r="1298" spans="18:20" x14ac:dyDescent="0.3">
      <c r="R1298" s="255"/>
      <c r="S1298" s="255"/>
      <c r="T1298" s="255"/>
    </row>
    <row r="1299" spans="18:20" x14ac:dyDescent="0.3">
      <c r="R1299" s="255"/>
      <c r="S1299" s="255"/>
      <c r="T1299" s="255"/>
    </row>
    <row r="1300" spans="18:20" x14ac:dyDescent="0.3">
      <c r="R1300" s="255"/>
      <c r="S1300" s="255"/>
      <c r="T1300" s="255"/>
    </row>
    <row r="1301" spans="18:20" x14ac:dyDescent="0.3">
      <c r="R1301" s="255"/>
      <c r="S1301" s="255"/>
      <c r="T1301" s="255"/>
    </row>
    <row r="1302" spans="18:20" x14ac:dyDescent="0.3">
      <c r="R1302" s="255"/>
      <c r="S1302" s="255"/>
      <c r="T1302" s="255"/>
    </row>
    <row r="1303" spans="18:20" x14ac:dyDescent="0.3">
      <c r="R1303" s="255"/>
      <c r="S1303" s="255"/>
      <c r="T1303" s="255"/>
    </row>
    <row r="1304" spans="18:20" x14ac:dyDescent="0.3">
      <c r="R1304" s="255"/>
      <c r="S1304" s="255"/>
      <c r="T1304" s="255"/>
    </row>
    <row r="1305" spans="18:20" x14ac:dyDescent="0.3">
      <c r="R1305" s="255"/>
      <c r="S1305" s="255"/>
      <c r="T1305" s="255"/>
    </row>
    <row r="1306" spans="18:20" x14ac:dyDescent="0.3">
      <c r="R1306" s="255"/>
      <c r="S1306" s="255"/>
      <c r="T1306" s="255"/>
    </row>
    <row r="1307" spans="18:20" x14ac:dyDescent="0.3">
      <c r="R1307" s="255"/>
      <c r="S1307" s="255"/>
      <c r="T1307" s="255"/>
    </row>
    <row r="1308" spans="18:20" x14ac:dyDescent="0.3">
      <c r="R1308" s="255"/>
      <c r="S1308" s="255"/>
      <c r="T1308" s="255"/>
    </row>
    <row r="1309" spans="18:20" x14ac:dyDescent="0.3">
      <c r="R1309" s="255"/>
      <c r="S1309" s="255"/>
      <c r="T1309" s="255"/>
    </row>
    <row r="1310" spans="18:20" x14ac:dyDescent="0.3">
      <c r="R1310" s="255"/>
      <c r="S1310" s="255"/>
      <c r="T1310" s="255"/>
    </row>
    <row r="1311" spans="18:20" x14ac:dyDescent="0.3">
      <c r="R1311" s="255"/>
      <c r="S1311" s="255"/>
      <c r="T1311" s="255"/>
    </row>
    <row r="1312" spans="18:20" x14ac:dyDescent="0.3">
      <c r="R1312" s="255"/>
      <c r="S1312" s="255"/>
      <c r="T1312" s="255"/>
    </row>
    <row r="1313" spans="18:20" x14ac:dyDescent="0.3">
      <c r="R1313" s="255"/>
      <c r="S1313" s="255"/>
      <c r="T1313" s="255"/>
    </row>
    <row r="1314" spans="18:20" x14ac:dyDescent="0.3">
      <c r="R1314" s="255"/>
      <c r="S1314" s="255"/>
      <c r="T1314" s="255"/>
    </row>
    <row r="1315" spans="18:20" x14ac:dyDescent="0.3">
      <c r="R1315" s="255"/>
      <c r="S1315" s="255"/>
      <c r="T1315" s="255"/>
    </row>
    <row r="1316" spans="18:20" x14ac:dyDescent="0.3">
      <c r="R1316" s="255"/>
      <c r="S1316" s="255"/>
      <c r="T1316" s="255"/>
    </row>
    <row r="1317" spans="18:20" x14ac:dyDescent="0.3">
      <c r="R1317" s="255"/>
      <c r="S1317" s="255"/>
      <c r="T1317" s="255"/>
    </row>
    <row r="1318" spans="18:20" x14ac:dyDescent="0.3">
      <c r="R1318" s="255"/>
      <c r="S1318" s="255"/>
      <c r="T1318" s="255"/>
    </row>
    <row r="1319" spans="18:20" x14ac:dyDescent="0.3">
      <c r="R1319" s="255"/>
      <c r="S1319" s="255"/>
      <c r="T1319" s="255"/>
    </row>
    <row r="1320" spans="18:20" x14ac:dyDescent="0.3">
      <c r="R1320" s="255"/>
      <c r="S1320" s="255"/>
      <c r="T1320" s="255"/>
    </row>
    <row r="1321" spans="18:20" x14ac:dyDescent="0.3">
      <c r="R1321" s="255"/>
      <c r="S1321" s="255"/>
      <c r="T1321" s="255"/>
    </row>
    <row r="1322" spans="18:20" x14ac:dyDescent="0.3">
      <c r="R1322" s="255"/>
      <c r="S1322" s="255"/>
      <c r="T1322" s="255"/>
    </row>
    <row r="1323" spans="18:20" x14ac:dyDescent="0.3">
      <c r="R1323" s="255"/>
      <c r="S1323" s="255"/>
      <c r="T1323" s="255"/>
    </row>
    <row r="1324" spans="18:20" x14ac:dyDescent="0.3">
      <c r="R1324" s="255"/>
      <c r="S1324" s="255"/>
      <c r="T1324" s="255"/>
    </row>
    <row r="1325" spans="18:20" x14ac:dyDescent="0.3">
      <c r="R1325" s="255"/>
      <c r="S1325" s="255"/>
      <c r="T1325" s="255"/>
    </row>
    <row r="1326" spans="18:20" x14ac:dyDescent="0.3">
      <c r="R1326" s="255"/>
      <c r="S1326" s="255"/>
      <c r="T1326" s="255"/>
    </row>
    <row r="1327" spans="18:20" x14ac:dyDescent="0.3">
      <c r="R1327" s="255"/>
      <c r="S1327" s="255"/>
      <c r="T1327" s="255"/>
    </row>
    <row r="1328" spans="18:20" x14ac:dyDescent="0.3">
      <c r="R1328" s="255"/>
      <c r="S1328" s="255"/>
      <c r="T1328" s="255"/>
    </row>
    <row r="1329" spans="18:20" x14ac:dyDescent="0.3">
      <c r="R1329" s="255"/>
      <c r="S1329" s="255"/>
      <c r="T1329" s="255"/>
    </row>
    <row r="1330" spans="18:20" x14ac:dyDescent="0.3">
      <c r="R1330" s="255"/>
      <c r="S1330" s="255"/>
      <c r="T1330" s="255"/>
    </row>
    <row r="1331" spans="18:20" x14ac:dyDescent="0.3">
      <c r="R1331" s="255"/>
      <c r="S1331" s="255"/>
      <c r="T1331" s="255"/>
    </row>
    <row r="1332" spans="18:20" x14ac:dyDescent="0.3">
      <c r="R1332" s="255"/>
      <c r="S1332" s="255"/>
      <c r="T1332" s="255"/>
    </row>
    <row r="1333" spans="18:20" x14ac:dyDescent="0.3">
      <c r="R1333" s="255"/>
      <c r="S1333" s="255"/>
      <c r="T1333" s="255"/>
    </row>
    <row r="1334" spans="18:20" x14ac:dyDescent="0.3">
      <c r="R1334" s="255"/>
      <c r="S1334" s="255"/>
      <c r="T1334" s="255"/>
    </row>
    <row r="1335" spans="18:20" x14ac:dyDescent="0.3">
      <c r="R1335" s="255"/>
      <c r="S1335" s="255"/>
      <c r="T1335" s="255"/>
    </row>
    <row r="1336" spans="18:20" x14ac:dyDescent="0.3">
      <c r="R1336" s="255"/>
      <c r="S1336" s="255"/>
      <c r="T1336" s="255"/>
    </row>
    <row r="1337" spans="18:20" x14ac:dyDescent="0.3">
      <c r="R1337" s="255"/>
      <c r="S1337" s="255"/>
      <c r="T1337" s="255"/>
    </row>
    <row r="1338" spans="18:20" x14ac:dyDescent="0.3">
      <c r="R1338" s="255"/>
      <c r="S1338" s="255"/>
      <c r="T1338" s="255"/>
    </row>
    <row r="1339" spans="18:20" x14ac:dyDescent="0.3">
      <c r="R1339" s="255"/>
      <c r="S1339" s="255"/>
      <c r="T1339" s="255"/>
    </row>
    <row r="1340" spans="18:20" x14ac:dyDescent="0.3">
      <c r="R1340" s="255"/>
      <c r="S1340" s="255"/>
      <c r="T1340" s="255"/>
    </row>
    <row r="1341" spans="18:20" x14ac:dyDescent="0.3">
      <c r="R1341" s="255"/>
      <c r="S1341" s="255"/>
      <c r="T1341" s="255"/>
    </row>
    <row r="1342" spans="18:20" x14ac:dyDescent="0.3">
      <c r="R1342" s="255"/>
      <c r="S1342" s="255"/>
      <c r="T1342" s="255"/>
    </row>
    <row r="1343" spans="18:20" x14ac:dyDescent="0.3">
      <c r="R1343" s="255"/>
      <c r="S1343" s="255"/>
      <c r="T1343" s="255"/>
    </row>
    <row r="1344" spans="18:20" x14ac:dyDescent="0.3">
      <c r="R1344" s="255"/>
      <c r="S1344" s="255"/>
      <c r="T1344" s="255"/>
    </row>
    <row r="1345" spans="18:20" x14ac:dyDescent="0.3">
      <c r="R1345" s="255"/>
      <c r="S1345" s="255"/>
      <c r="T1345" s="255"/>
    </row>
    <row r="1346" spans="18:20" x14ac:dyDescent="0.3">
      <c r="R1346" s="255"/>
      <c r="S1346" s="255"/>
      <c r="T1346" s="255"/>
    </row>
    <row r="1347" spans="18:20" x14ac:dyDescent="0.3">
      <c r="R1347" s="255"/>
      <c r="S1347" s="255"/>
      <c r="T1347" s="255"/>
    </row>
    <row r="1348" spans="18:20" x14ac:dyDescent="0.3">
      <c r="R1348" s="255"/>
      <c r="S1348" s="255"/>
      <c r="T1348" s="255"/>
    </row>
    <row r="1349" spans="18:20" x14ac:dyDescent="0.3">
      <c r="R1349" s="255"/>
      <c r="S1349" s="255"/>
      <c r="T1349" s="255"/>
    </row>
    <row r="1350" spans="18:20" x14ac:dyDescent="0.3">
      <c r="R1350" s="255"/>
      <c r="S1350" s="255"/>
      <c r="T1350" s="255"/>
    </row>
    <row r="1351" spans="18:20" x14ac:dyDescent="0.3">
      <c r="R1351" s="255"/>
      <c r="S1351" s="255"/>
      <c r="T1351" s="255"/>
    </row>
    <row r="1352" spans="18:20" x14ac:dyDescent="0.3">
      <c r="R1352" s="255"/>
      <c r="S1352" s="255"/>
      <c r="T1352" s="255"/>
    </row>
    <row r="1353" spans="18:20" x14ac:dyDescent="0.3">
      <c r="R1353" s="255"/>
      <c r="S1353" s="255"/>
      <c r="T1353" s="255"/>
    </row>
    <row r="1354" spans="18:20" x14ac:dyDescent="0.3">
      <c r="R1354" s="255"/>
      <c r="S1354" s="255"/>
      <c r="T1354" s="255"/>
    </row>
    <row r="1355" spans="18:20" x14ac:dyDescent="0.3">
      <c r="R1355" s="255"/>
      <c r="S1355" s="255"/>
      <c r="T1355" s="255"/>
    </row>
    <row r="1356" spans="18:20" x14ac:dyDescent="0.3">
      <c r="R1356" s="255"/>
      <c r="S1356" s="255"/>
      <c r="T1356" s="255"/>
    </row>
    <row r="1357" spans="18:20" x14ac:dyDescent="0.3">
      <c r="R1357" s="255"/>
      <c r="S1357" s="255"/>
      <c r="T1357" s="255"/>
    </row>
    <row r="1358" spans="18:20" x14ac:dyDescent="0.3">
      <c r="R1358" s="255"/>
      <c r="S1358" s="255"/>
      <c r="T1358" s="255"/>
    </row>
    <row r="1359" spans="18:20" x14ac:dyDescent="0.3">
      <c r="R1359" s="255"/>
      <c r="S1359" s="255"/>
      <c r="T1359" s="255"/>
    </row>
    <row r="1360" spans="18:20" x14ac:dyDescent="0.3">
      <c r="R1360" s="255"/>
      <c r="S1360" s="255"/>
      <c r="T1360" s="255"/>
    </row>
    <row r="1361" spans="18:20" x14ac:dyDescent="0.3">
      <c r="R1361" s="255"/>
      <c r="S1361" s="255"/>
      <c r="T1361" s="255"/>
    </row>
    <row r="1362" spans="18:20" x14ac:dyDescent="0.3">
      <c r="R1362" s="255"/>
      <c r="S1362" s="255"/>
      <c r="T1362" s="255"/>
    </row>
    <row r="1363" spans="18:20" x14ac:dyDescent="0.3">
      <c r="R1363" s="255"/>
      <c r="S1363" s="255"/>
      <c r="T1363" s="255"/>
    </row>
    <row r="1364" spans="18:20" x14ac:dyDescent="0.3">
      <c r="R1364" s="255"/>
      <c r="S1364" s="255"/>
      <c r="T1364" s="255"/>
    </row>
    <row r="1365" spans="18:20" x14ac:dyDescent="0.3">
      <c r="R1365" s="255"/>
      <c r="S1365" s="255"/>
      <c r="T1365" s="255"/>
    </row>
    <row r="1366" spans="18:20" x14ac:dyDescent="0.3">
      <c r="R1366" s="255"/>
      <c r="S1366" s="255"/>
      <c r="T1366" s="255"/>
    </row>
    <row r="1367" spans="18:20" x14ac:dyDescent="0.3">
      <c r="R1367" s="255"/>
      <c r="S1367" s="255"/>
      <c r="T1367" s="255"/>
    </row>
    <row r="1368" spans="18:20" x14ac:dyDescent="0.3">
      <c r="R1368" s="255"/>
      <c r="S1368" s="255"/>
      <c r="T1368" s="255"/>
    </row>
    <row r="1369" spans="18:20" x14ac:dyDescent="0.3">
      <c r="R1369" s="255"/>
      <c r="S1369" s="255"/>
      <c r="T1369" s="255"/>
    </row>
    <row r="1370" spans="18:20" x14ac:dyDescent="0.3">
      <c r="R1370" s="255"/>
      <c r="S1370" s="255"/>
      <c r="T1370" s="255"/>
    </row>
    <row r="1371" spans="18:20" x14ac:dyDescent="0.3">
      <c r="R1371" s="255"/>
      <c r="S1371" s="255"/>
      <c r="T1371" s="255"/>
    </row>
    <row r="1372" spans="18:20" x14ac:dyDescent="0.3">
      <c r="R1372" s="255"/>
      <c r="S1372" s="255"/>
      <c r="T1372" s="255"/>
    </row>
    <row r="1373" spans="18:20" x14ac:dyDescent="0.3">
      <c r="R1373" s="255"/>
      <c r="S1373" s="255"/>
      <c r="T1373" s="255"/>
    </row>
    <row r="1374" spans="18:20" x14ac:dyDescent="0.3">
      <c r="R1374" s="255"/>
      <c r="S1374" s="255"/>
      <c r="T1374" s="255"/>
    </row>
    <row r="1375" spans="18:20" x14ac:dyDescent="0.3">
      <c r="R1375" s="255"/>
      <c r="S1375" s="255"/>
      <c r="T1375" s="255"/>
    </row>
    <row r="1376" spans="18:20" x14ac:dyDescent="0.3">
      <c r="R1376" s="255"/>
      <c r="S1376" s="255"/>
      <c r="T1376" s="255"/>
    </row>
    <row r="1377" spans="18:20" x14ac:dyDescent="0.3">
      <c r="R1377" s="255"/>
      <c r="S1377" s="255"/>
      <c r="T1377" s="255"/>
    </row>
    <row r="1378" spans="18:20" x14ac:dyDescent="0.3">
      <c r="R1378" s="255"/>
      <c r="S1378" s="255"/>
      <c r="T1378" s="255"/>
    </row>
    <row r="1379" spans="18:20" x14ac:dyDescent="0.3">
      <c r="R1379" s="255"/>
      <c r="S1379" s="255"/>
      <c r="T1379" s="255"/>
    </row>
    <row r="1380" spans="18:20" x14ac:dyDescent="0.3">
      <c r="R1380" s="255"/>
      <c r="S1380" s="255"/>
      <c r="T1380" s="255"/>
    </row>
    <row r="1381" spans="18:20" x14ac:dyDescent="0.3">
      <c r="R1381" s="255"/>
      <c r="S1381" s="255"/>
      <c r="T1381" s="255"/>
    </row>
    <row r="1382" spans="18:20" x14ac:dyDescent="0.3">
      <c r="R1382" s="255"/>
      <c r="S1382" s="255"/>
      <c r="T1382" s="255"/>
    </row>
    <row r="1383" spans="18:20" x14ac:dyDescent="0.3">
      <c r="R1383" s="255"/>
      <c r="S1383" s="255"/>
      <c r="T1383" s="255"/>
    </row>
    <row r="1384" spans="18:20" x14ac:dyDescent="0.3">
      <c r="R1384" s="255"/>
      <c r="S1384" s="255"/>
      <c r="T1384" s="255"/>
    </row>
    <row r="1385" spans="18:20" x14ac:dyDescent="0.3">
      <c r="R1385" s="255"/>
      <c r="S1385" s="255"/>
      <c r="T1385" s="255"/>
    </row>
    <row r="1386" spans="18:20" x14ac:dyDescent="0.3">
      <c r="R1386" s="255"/>
      <c r="S1386" s="255"/>
      <c r="T1386" s="255"/>
    </row>
    <row r="1387" spans="18:20" x14ac:dyDescent="0.3">
      <c r="R1387" s="255"/>
      <c r="S1387" s="255"/>
      <c r="T1387" s="255"/>
    </row>
    <row r="1388" spans="18:20" x14ac:dyDescent="0.3">
      <c r="R1388" s="255"/>
      <c r="S1388" s="255"/>
      <c r="T1388" s="255"/>
    </row>
    <row r="1389" spans="18:20" x14ac:dyDescent="0.3">
      <c r="R1389" s="255"/>
      <c r="S1389" s="255"/>
      <c r="T1389" s="255"/>
    </row>
    <row r="1390" spans="18:20" x14ac:dyDescent="0.3">
      <c r="R1390" s="255"/>
      <c r="S1390" s="255"/>
      <c r="T1390" s="255"/>
    </row>
    <row r="1391" spans="18:20" x14ac:dyDescent="0.3">
      <c r="R1391" s="255"/>
      <c r="S1391" s="255"/>
      <c r="T1391" s="255"/>
    </row>
    <row r="1392" spans="18:20" x14ac:dyDescent="0.3">
      <c r="R1392" s="255"/>
      <c r="S1392" s="255"/>
      <c r="T1392" s="255"/>
    </row>
    <row r="1393" spans="18:20" x14ac:dyDescent="0.3">
      <c r="R1393" s="255"/>
      <c r="S1393" s="255"/>
      <c r="T1393" s="255"/>
    </row>
    <row r="1394" spans="18:20" x14ac:dyDescent="0.3">
      <c r="R1394" s="255"/>
      <c r="S1394" s="255"/>
      <c r="T1394" s="255"/>
    </row>
    <row r="1395" spans="18:20" x14ac:dyDescent="0.3">
      <c r="R1395" s="255"/>
      <c r="S1395" s="255"/>
      <c r="T1395" s="255"/>
    </row>
    <row r="1396" spans="18:20" x14ac:dyDescent="0.3">
      <c r="R1396" s="255"/>
      <c r="S1396" s="255"/>
      <c r="T1396" s="255"/>
    </row>
    <row r="1397" spans="18:20" x14ac:dyDescent="0.3">
      <c r="R1397" s="255"/>
      <c r="S1397" s="255"/>
      <c r="T1397" s="255"/>
    </row>
    <row r="1398" spans="18:20" x14ac:dyDescent="0.3">
      <c r="R1398" s="255"/>
      <c r="S1398" s="255"/>
      <c r="T1398" s="255"/>
    </row>
    <row r="1399" spans="18:20" x14ac:dyDescent="0.3">
      <c r="R1399" s="255"/>
      <c r="S1399" s="255"/>
      <c r="T1399" s="255"/>
    </row>
    <row r="1400" spans="18:20" x14ac:dyDescent="0.3">
      <c r="R1400" s="255"/>
      <c r="S1400" s="255"/>
      <c r="T1400" s="255"/>
    </row>
    <row r="1401" spans="18:20" x14ac:dyDescent="0.3">
      <c r="R1401" s="255"/>
      <c r="S1401" s="255"/>
      <c r="T1401" s="255"/>
    </row>
    <row r="1402" spans="18:20" x14ac:dyDescent="0.3">
      <c r="R1402" s="255"/>
      <c r="S1402" s="255"/>
      <c r="T1402" s="255"/>
    </row>
    <row r="1403" spans="18:20" x14ac:dyDescent="0.3">
      <c r="R1403" s="255"/>
      <c r="S1403" s="255"/>
      <c r="T1403" s="255"/>
    </row>
    <row r="1404" spans="18:20" x14ac:dyDescent="0.3">
      <c r="R1404" s="255"/>
      <c r="S1404" s="255"/>
      <c r="T1404" s="255"/>
    </row>
    <row r="1405" spans="18:20" x14ac:dyDescent="0.3">
      <c r="R1405" s="255"/>
      <c r="S1405" s="255"/>
      <c r="T1405" s="255"/>
    </row>
    <row r="1406" spans="18:20" x14ac:dyDescent="0.3">
      <c r="R1406" s="255"/>
      <c r="S1406" s="255"/>
      <c r="T1406" s="255"/>
    </row>
    <row r="1407" spans="18:20" x14ac:dyDescent="0.3">
      <c r="R1407" s="255"/>
      <c r="S1407" s="255"/>
      <c r="T1407" s="255"/>
    </row>
    <row r="1408" spans="18:20" x14ac:dyDescent="0.3">
      <c r="R1408" s="255"/>
      <c r="S1408" s="255"/>
      <c r="T1408" s="255"/>
    </row>
    <row r="1409" spans="18:20" x14ac:dyDescent="0.3">
      <c r="R1409" s="255"/>
      <c r="S1409" s="255"/>
      <c r="T1409" s="255"/>
    </row>
    <row r="1410" spans="18:20" x14ac:dyDescent="0.3">
      <c r="R1410" s="255"/>
      <c r="S1410" s="255"/>
      <c r="T1410" s="255"/>
    </row>
    <row r="1411" spans="18:20" x14ac:dyDescent="0.3">
      <c r="R1411" s="255"/>
      <c r="S1411" s="255"/>
      <c r="T1411" s="255"/>
    </row>
    <row r="1412" spans="18:20" x14ac:dyDescent="0.3">
      <c r="R1412" s="255"/>
      <c r="S1412" s="255"/>
      <c r="T1412" s="255"/>
    </row>
    <row r="1413" spans="18:20" x14ac:dyDescent="0.3">
      <c r="R1413" s="255"/>
      <c r="S1413" s="255"/>
      <c r="T1413" s="255"/>
    </row>
    <row r="1414" spans="18:20" x14ac:dyDescent="0.3">
      <c r="R1414" s="255"/>
      <c r="S1414" s="255"/>
      <c r="T1414" s="255"/>
    </row>
    <row r="1415" spans="18:20" x14ac:dyDescent="0.3">
      <c r="R1415" s="255"/>
      <c r="S1415" s="255"/>
      <c r="T1415" s="255"/>
    </row>
    <row r="1416" spans="18:20" x14ac:dyDescent="0.3">
      <c r="R1416" s="255"/>
      <c r="S1416" s="255"/>
      <c r="T1416" s="255"/>
    </row>
    <row r="1417" spans="18:20" x14ac:dyDescent="0.3">
      <c r="R1417" s="255"/>
      <c r="S1417" s="255"/>
      <c r="T1417" s="255"/>
    </row>
    <row r="1418" spans="18:20" x14ac:dyDescent="0.3">
      <c r="R1418" s="255"/>
      <c r="S1418" s="255"/>
      <c r="T1418" s="255"/>
    </row>
    <row r="1419" spans="18:20" x14ac:dyDescent="0.3">
      <c r="R1419" s="255"/>
      <c r="S1419" s="255"/>
      <c r="T1419" s="255"/>
    </row>
    <row r="1420" spans="18:20" x14ac:dyDescent="0.3">
      <c r="R1420" s="255"/>
      <c r="S1420" s="255"/>
      <c r="T1420" s="255"/>
    </row>
    <row r="1421" spans="18:20" x14ac:dyDescent="0.3">
      <c r="R1421" s="255"/>
      <c r="S1421" s="255"/>
      <c r="T1421" s="255"/>
    </row>
    <row r="1422" spans="18:20" x14ac:dyDescent="0.3">
      <c r="R1422" s="255"/>
      <c r="S1422" s="255"/>
      <c r="T1422" s="255"/>
    </row>
    <row r="1423" spans="18:20" x14ac:dyDescent="0.3">
      <c r="R1423" s="255"/>
      <c r="S1423" s="255"/>
      <c r="T1423" s="255"/>
    </row>
    <row r="1424" spans="18:20" x14ac:dyDescent="0.3">
      <c r="R1424" s="255"/>
      <c r="S1424" s="255"/>
      <c r="T1424" s="255"/>
    </row>
    <row r="1425" spans="18:20" x14ac:dyDescent="0.3">
      <c r="R1425" s="255"/>
      <c r="S1425" s="255"/>
      <c r="T1425" s="255"/>
    </row>
    <row r="1426" spans="18:20" x14ac:dyDescent="0.3">
      <c r="R1426" s="255"/>
      <c r="S1426" s="255"/>
      <c r="T1426" s="255"/>
    </row>
    <row r="1427" spans="18:20" x14ac:dyDescent="0.3">
      <c r="R1427" s="255"/>
      <c r="S1427" s="255"/>
      <c r="T1427" s="255"/>
    </row>
    <row r="1428" spans="18:20" x14ac:dyDescent="0.3">
      <c r="R1428" s="255"/>
      <c r="S1428" s="255"/>
      <c r="T1428" s="255"/>
    </row>
    <row r="1429" spans="18:20" x14ac:dyDescent="0.3">
      <c r="R1429" s="255"/>
      <c r="S1429" s="255"/>
      <c r="T1429" s="255"/>
    </row>
    <row r="1430" spans="18:20" x14ac:dyDescent="0.3">
      <c r="R1430" s="255"/>
      <c r="S1430" s="255"/>
      <c r="T1430" s="255"/>
    </row>
    <row r="1431" spans="18:20" x14ac:dyDescent="0.3">
      <c r="R1431" s="255"/>
      <c r="S1431" s="255"/>
      <c r="T1431" s="255"/>
    </row>
    <row r="1432" spans="18:20" x14ac:dyDescent="0.3">
      <c r="R1432" s="255"/>
      <c r="S1432" s="255"/>
      <c r="T1432" s="255"/>
    </row>
    <row r="1433" spans="18:20" x14ac:dyDescent="0.3">
      <c r="R1433" s="255"/>
      <c r="S1433" s="255"/>
      <c r="T1433" s="255"/>
    </row>
    <row r="1434" spans="18:20" x14ac:dyDescent="0.3">
      <c r="R1434" s="255"/>
      <c r="S1434" s="255"/>
      <c r="T1434" s="255"/>
    </row>
    <row r="1435" spans="18:20" x14ac:dyDescent="0.3">
      <c r="R1435" s="255"/>
      <c r="S1435" s="255"/>
      <c r="T1435" s="255"/>
    </row>
    <row r="1436" spans="18:20" x14ac:dyDescent="0.3">
      <c r="R1436" s="255"/>
      <c r="S1436" s="255"/>
      <c r="T1436" s="255"/>
    </row>
    <row r="1437" spans="18:20" x14ac:dyDescent="0.3">
      <c r="R1437" s="255"/>
      <c r="S1437" s="255"/>
      <c r="T1437" s="255"/>
    </row>
    <row r="1438" spans="18:20" x14ac:dyDescent="0.3">
      <c r="R1438" s="255"/>
      <c r="S1438" s="255"/>
      <c r="T1438" s="255"/>
    </row>
    <row r="1439" spans="18:20" x14ac:dyDescent="0.3">
      <c r="R1439" s="255"/>
      <c r="S1439" s="255"/>
      <c r="T1439" s="255"/>
    </row>
    <row r="1440" spans="18:20" x14ac:dyDescent="0.3">
      <c r="R1440" s="255"/>
      <c r="S1440" s="255"/>
      <c r="T1440" s="255"/>
    </row>
    <row r="1441" spans="18:20" x14ac:dyDescent="0.3">
      <c r="R1441" s="255"/>
      <c r="S1441" s="255"/>
      <c r="T1441" s="255"/>
    </row>
    <row r="1442" spans="18:20" x14ac:dyDescent="0.3">
      <c r="R1442" s="255"/>
      <c r="S1442" s="255"/>
      <c r="T1442" s="255"/>
    </row>
    <row r="1443" spans="18:20" x14ac:dyDescent="0.3">
      <c r="R1443" s="255"/>
      <c r="S1443" s="255"/>
      <c r="T1443" s="255"/>
    </row>
    <row r="1444" spans="18:20" x14ac:dyDescent="0.3">
      <c r="R1444" s="255"/>
      <c r="S1444" s="255"/>
      <c r="T1444" s="255"/>
    </row>
    <row r="1445" spans="18:20" x14ac:dyDescent="0.3">
      <c r="R1445" s="255"/>
      <c r="S1445" s="255"/>
      <c r="T1445" s="255"/>
    </row>
    <row r="1446" spans="18:20" x14ac:dyDescent="0.3">
      <c r="R1446" s="255"/>
      <c r="S1446" s="255"/>
      <c r="T1446" s="255"/>
    </row>
    <row r="1447" spans="18:20" x14ac:dyDescent="0.3">
      <c r="R1447" s="255"/>
      <c r="S1447" s="255"/>
      <c r="T1447" s="255"/>
    </row>
    <row r="1448" spans="18:20" x14ac:dyDescent="0.3">
      <c r="R1448" s="255"/>
      <c r="S1448" s="255"/>
      <c r="T1448" s="255"/>
    </row>
    <row r="1449" spans="18:20" x14ac:dyDescent="0.3">
      <c r="R1449" s="255"/>
      <c r="S1449" s="255"/>
      <c r="T1449" s="255"/>
    </row>
    <row r="1450" spans="18:20" x14ac:dyDescent="0.3">
      <c r="R1450" s="255"/>
      <c r="S1450" s="255"/>
      <c r="T1450" s="255"/>
    </row>
    <row r="1451" spans="18:20" x14ac:dyDescent="0.3">
      <c r="R1451" s="255"/>
      <c r="S1451" s="255"/>
      <c r="T1451" s="255"/>
    </row>
    <row r="1452" spans="18:20" x14ac:dyDescent="0.3">
      <c r="R1452" s="255"/>
      <c r="S1452" s="255"/>
      <c r="T1452" s="255"/>
    </row>
    <row r="1453" spans="18:20" x14ac:dyDescent="0.3">
      <c r="R1453" s="255"/>
      <c r="S1453" s="255"/>
      <c r="T1453" s="255"/>
    </row>
    <row r="1454" spans="18:20" x14ac:dyDescent="0.3">
      <c r="R1454" s="255"/>
      <c r="S1454" s="255"/>
      <c r="T1454" s="255"/>
    </row>
    <row r="1455" spans="18:20" x14ac:dyDescent="0.3">
      <c r="R1455" s="255"/>
      <c r="S1455" s="255"/>
      <c r="T1455" s="255"/>
    </row>
    <row r="1456" spans="18:20" x14ac:dyDescent="0.3">
      <c r="R1456" s="255"/>
      <c r="S1456" s="255"/>
      <c r="T1456" s="255"/>
    </row>
    <row r="1457" spans="18:20" x14ac:dyDescent="0.3">
      <c r="R1457" s="255"/>
      <c r="S1457" s="255"/>
      <c r="T1457" s="255"/>
    </row>
    <row r="1458" spans="18:20" x14ac:dyDescent="0.3">
      <c r="R1458" s="255"/>
      <c r="S1458" s="255"/>
      <c r="T1458" s="255"/>
    </row>
    <row r="1459" spans="18:20" x14ac:dyDescent="0.3">
      <c r="R1459" s="255"/>
      <c r="S1459" s="255"/>
      <c r="T1459" s="255"/>
    </row>
    <row r="1460" spans="18:20" x14ac:dyDescent="0.3">
      <c r="R1460" s="255"/>
      <c r="S1460" s="255"/>
      <c r="T1460" s="255"/>
    </row>
    <row r="1461" spans="18:20" x14ac:dyDescent="0.3">
      <c r="R1461" s="255"/>
      <c r="S1461" s="255"/>
      <c r="T1461" s="255"/>
    </row>
    <row r="1462" spans="18:20" x14ac:dyDescent="0.3">
      <c r="R1462" s="255"/>
      <c r="S1462" s="255"/>
      <c r="T1462" s="255"/>
    </row>
    <row r="1463" spans="18:20" x14ac:dyDescent="0.3">
      <c r="R1463" s="255"/>
      <c r="S1463" s="255"/>
      <c r="T1463" s="255"/>
    </row>
    <row r="1464" spans="18:20" x14ac:dyDescent="0.3">
      <c r="R1464" s="255"/>
      <c r="S1464" s="255"/>
      <c r="T1464" s="255"/>
    </row>
    <row r="1465" spans="18:20" x14ac:dyDescent="0.3">
      <c r="R1465" s="255"/>
      <c r="S1465" s="255"/>
      <c r="T1465" s="255"/>
    </row>
    <row r="1466" spans="18:20" x14ac:dyDescent="0.3">
      <c r="R1466" s="255"/>
      <c r="S1466" s="255"/>
      <c r="T1466" s="255"/>
    </row>
    <row r="1467" spans="18:20" x14ac:dyDescent="0.3">
      <c r="R1467" s="255"/>
      <c r="S1467" s="255"/>
      <c r="T1467" s="255"/>
    </row>
    <row r="1468" spans="18:20" x14ac:dyDescent="0.3">
      <c r="R1468" s="255"/>
      <c r="S1468" s="255"/>
      <c r="T1468" s="255"/>
    </row>
    <row r="1469" spans="18:20" x14ac:dyDescent="0.3">
      <c r="R1469" s="255"/>
      <c r="S1469" s="255"/>
      <c r="T1469" s="255"/>
    </row>
    <row r="1470" spans="18:20" x14ac:dyDescent="0.3">
      <c r="R1470" s="255"/>
      <c r="S1470" s="255"/>
      <c r="T1470" s="255"/>
    </row>
    <row r="1471" spans="18:20" x14ac:dyDescent="0.3">
      <c r="R1471" s="255"/>
      <c r="S1471" s="255"/>
      <c r="T1471" s="255"/>
    </row>
    <row r="1472" spans="18:20" x14ac:dyDescent="0.3">
      <c r="R1472" s="255"/>
      <c r="S1472" s="255"/>
      <c r="T1472" s="255"/>
    </row>
    <row r="1473" spans="18:20" x14ac:dyDescent="0.3">
      <c r="R1473" s="255"/>
      <c r="S1473" s="255"/>
      <c r="T1473" s="255"/>
    </row>
    <row r="1474" spans="18:20" x14ac:dyDescent="0.3">
      <c r="R1474" s="255"/>
      <c r="S1474" s="255"/>
      <c r="T1474" s="255"/>
    </row>
    <row r="1475" spans="18:20" x14ac:dyDescent="0.3">
      <c r="R1475" s="255"/>
      <c r="S1475" s="255"/>
      <c r="T1475" s="255"/>
    </row>
    <row r="1476" spans="18:20" x14ac:dyDescent="0.3">
      <c r="R1476" s="255"/>
      <c r="S1476" s="255"/>
      <c r="T1476" s="255"/>
    </row>
    <row r="1477" spans="18:20" x14ac:dyDescent="0.3">
      <c r="R1477" s="255"/>
      <c r="S1477" s="255"/>
      <c r="T1477" s="255"/>
    </row>
    <row r="1478" spans="18:20" x14ac:dyDescent="0.3">
      <c r="R1478" s="255"/>
      <c r="S1478" s="255"/>
      <c r="T1478" s="255"/>
    </row>
    <row r="1479" spans="18:20" x14ac:dyDescent="0.3">
      <c r="R1479" s="255"/>
      <c r="S1479" s="255"/>
      <c r="T1479" s="255"/>
    </row>
    <row r="1480" spans="18:20" x14ac:dyDescent="0.3">
      <c r="R1480" s="255"/>
      <c r="S1480" s="255"/>
      <c r="T1480" s="255"/>
    </row>
    <row r="1481" spans="18:20" x14ac:dyDescent="0.3">
      <c r="R1481" s="255"/>
      <c r="S1481" s="255"/>
      <c r="T1481" s="255"/>
    </row>
    <row r="1482" spans="18:20" x14ac:dyDescent="0.3">
      <c r="R1482" s="255"/>
      <c r="S1482" s="255"/>
      <c r="T1482" s="255"/>
    </row>
    <row r="1483" spans="18:20" x14ac:dyDescent="0.3">
      <c r="R1483" s="255"/>
      <c r="S1483" s="255"/>
      <c r="T1483" s="255"/>
    </row>
    <row r="1484" spans="18:20" x14ac:dyDescent="0.3">
      <c r="R1484" s="255"/>
      <c r="S1484" s="255"/>
      <c r="T1484" s="255"/>
    </row>
    <row r="1485" spans="18:20" x14ac:dyDescent="0.3">
      <c r="R1485" s="255"/>
      <c r="S1485" s="255"/>
      <c r="T1485" s="255"/>
    </row>
    <row r="1486" spans="18:20" x14ac:dyDescent="0.3">
      <c r="R1486" s="255"/>
      <c r="S1486" s="255"/>
      <c r="T1486" s="255"/>
    </row>
    <row r="1487" spans="18:20" x14ac:dyDescent="0.3">
      <c r="R1487" s="255"/>
      <c r="S1487" s="255"/>
      <c r="T1487" s="255"/>
    </row>
    <row r="1488" spans="18:20" x14ac:dyDescent="0.3">
      <c r="R1488" s="255"/>
      <c r="S1488" s="255"/>
      <c r="T1488" s="255"/>
    </row>
    <row r="1489" spans="18:20" x14ac:dyDescent="0.3">
      <c r="R1489" s="255"/>
      <c r="S1489" s="255"/>
      <c r="T1489" s="255"/>
    </row>
    <row r="1490" spans="18:20" x14ac:dyDescent="0.3">
      <c r="R1490" s="255"/>
      <c r="S1490" s="255"/>
      <c r="T1490" s="255"/>
    </row>
    <row r="1491" spans="18:20" x14ac:dyDescent="0.3">
      <c r="R1491" s="255"/>
      <c r="S1491" s="255"/>
      <c r="T1491" s="255"/>
    </row>
    <row r="1492" spans="18:20" x14ac:dyDescent="0.3">
      <c r="R1492" s="255"/>
      <c r="S1492" s="255"/>
      <c r="T1492" s="255"/>
    </row>
    <row r="1493" spans="18:20" x14ac:dyDescent="0.3">
      <c r="R1493" s="255"/>
      <c r="S1493" s="255"/>
      <c r="T1493" s="255"/>
    </row>
    <row r="1494" spans="18:20" x14ac:dyDescent="0.3">
      <c r="R1494" s="255"/>
      <c r="S1494" s="255"/>
      <c r="T1494" s="255"/>
    </row>
    <row r="1495" spans="18:20" x14ac:dyDescent="0.3">
      <c r="R1495" s="255"/>
      <c r="S1495" s="255"/>
      <c r="T1495" s="255"/>
    </row>
    <row r="1496" spans="18:20" x14ac:dyDescent="0.3">
      <c r="R1496" s="255"/>
      <c r="S1496" s="255"/>
      <c r="T1496" s="255"/>
    </row>
    <row r="1497" spans="18:20" x14ac:dyDescent="0.3">
      <c r="R1497" s="255"/>
      <c r="S1497" s="255"/>
      <c r="T1497" s="255"/>
    </row>
    <row r="1498" spans="18:20" x14ac:dyDescent="0.3">
      <c r="R1498" s="255"/>
      <c r="S1498" s="255"/>
      <c r="T1498" s="255"/>
    </row>
    <row r="1499" spans="18:20" x14ac:dyDescent="0.3">
      <c r="R1499" s="255"/>
      <c r="S1499" s="255"/>
      <c r="T1499" s="255"/>
    </row>
    <row r="1500" spans="18:20" x14ac:dyDescent="0.3">
      <c r="R1500" s="255"/>
      <c r="S1500" s="255"/>
      <c r="T1500" s="255"/>
    </row>
    <row r="1501" spans="18:20" x14ac:dyDescent="0.3">
      <c r="R1501" s="255"/>
      <c r="S1501" s="255"/>
      <c r="T1501" s="255"/>
    </row>
    <row r="1502" spans="18:20" x14ac:dyDescent="0.3">
      <c r="R1502" s="255"/>
      <c r="S1502" s="255"/>
      <c r="T1502" s="255"/>
    </row>
    <row r="1503" spans="18:20" x14ac:dyDescent="0.3">
      <c r="R1503" s="255"/>
      <c r="S1503" s="255"/>
      <c r="T1503" s="255"/>
    </row>
    <row r="1504" spans="18:20" x14ac:dyDescent="0.3">
      <c r="R1504" s="255"/>
      <c r="S1504" s="255"/>
      <c r="T1504" s="255"/>
    </row>
    <row r="1505" spans="18:20" x14ac:dyDescent="0.3">
      <c r="R1505" s="255"/>
      <c r="S1505" s="255"/>
      <c r="T1505" s="255"/>
    </row>
    <row r="1506" spans="18:20" x14ac:dyDescent="0.3">
      <c r="R1506" s="255"/>
      <c r="S1506" s="255"/>
      <c r="T1506" s="255"/>
    </row>
    <row r="1507" spans="18:20" x14ac:dyDescent="0.3">
      <c r="R1507" s="255"/>
      <c r="S1507" s="255"/>
      <c r="T1507" s="255"/>
    </row>
    <row r="1508" spans="18:20" x14ac:dyDescent="0.3">
      <c r="R1508" s="255"/>
      <c r="S1508" s="255"/>
      <c r="T1508" s="255"/>
    </row>
    <row r="1509" spans="18:20" x14ac:dyDescent="0.3">
      <c r="R1509" s="255"/>
      <c r="S1509" s="255"/>
      <c r="T1509" s="255"/>
    </row>
    <row r="1510" spans="18:20" x14ac:dyDescent="0.3">
      <c r="R1510" s="255"/>
      <c r="S1510" s="255"/>
      <c r="T1510" s="255"/>
    </row>
    <row r="1511" spans="18:20" x14ac:dyDescent="0.3">
      <c r="R1511" s="255"/>
      <c r="S1511" s="255"/>
      <c r="T1511" s="255"/>
    </row>
    <row r="1512" spans="18:20" x14ac:dyDescent="0.3">
      <c r="R1512" s="255"/>
      <c r="S1512" s="255"/>
      <c r="T1512" s="255"/>
    </row>
    <row r="1513" spans="18:20" x14ac:dyDescent="0.3">
      <c r="R1513" s="255"/>
      <c r="S1513" s="255"/>
      <c r="T1513" s="255"/>
    </row>
    <row r="1514" spans="18:20" x14ac:dyDescent="0.3">
      <c r="R1514" s="255"/>
      <c r="S1514" s="255"/>
      <c r="T1514" s="255"/>
    </row>
    <row r="1515" spans="18:20" x14ac:dyDescent="0.3">
      <c r="R1515" s="255"/>
      <c r="S1515" s="255"/>
      <c r="T1515" s="255"/>
    </row>
    <row r="1516" spans="18:20" x14ac:dyDescent="0.3">
      <c r="R1516" s="255"/>
      <c r="S1516" s="255"/>
      <c r="T1516" s="255"/>
    </row>
    <row r="1517" spans="18:20" x14ac:dyDescent="0.3">
      <c r="R1517" s="255"/>
      <c r="S1517" s="255"/>
      <c r="T1517" s="255"/>
    </row>
    <row r="1518" spans="18:20" x14ac:dyDescent="0.3">
      <c r="R1518" s="255"/>
      <c r="S1518" s="255"/>
      <c r="T1518" s="255"/>
    </row>
    <row r="1519" spans="18:20" x14ac:dyDescent="0.3">
      <c r="R1519" s="255"/>
      <c r="S1519" s="255"/>
      <c r="T1519" s="255"/>
    </row>
    <row r="1520" spans="18:20" x14ac:dyDescent="0.3">
      <c r="R1520" s="255"/>
      <c r="S1520" s="255"/>
      <c r="T1520" s="255"/>
    </row>
    <row r="1521" spans="18:20" x14ac:dyDescent="0.3">
      <c r="R1521" s="255"/>
      <c r="S1521" s="255"/>
      <c r="T1521" s="255"/>
    </row>
    <row r="1522" spans="18:20" x14ac:dyDescent="0.3">
      <c r="R1522" s="255"/>
      <c r="S1522" s="255"/>
      <c r="T1522" s="255"/>
    </row>
    <row r="1523" spans="18:20" x14ac:dyDescent="0.3">
      <c r="R1523" s="255"/>
      <c r="S1523" s="255"/>
      <c r="T1523" s="255"/>
    </row>
    <row r="1524" spans="18:20" x14ac:dyDescent="0.3">
      <c r="R1524" s="255"/>
      <c r="S1524" s="255"/>
      <c r="T1524" s="255"/>
    </row>
    <row r="1525" spans="18:20" x14ac:dyDescent="0.3">
      <c r="R1525" s="255"/>
      <c r="S1525" s="255"/>
      <c r="T1525" s="255"/>
    </row>
    <row r="1526" spans="18:20" x14ac:dyDescent="0.3">
      <c r="R1526" s="255"/>
      <c r="S1526" s="255"/>
      <c r="T1526" s="255"/>
    </row>
    <row r="1527" spans="18:20" x14ac:dyDescent="0.3">
      <c r="R1527" s="255"/>
      <c r="S1527" s="255"/>
      <c r="T1527" s="255"/>
    </row>
    <row r="1528" spans="18:20" x14ac:dyDescent="0.3">
      <c r="R1528" s="255"/>
      <c r="S1528" s="255"/>
      <c r="T1528" s="255"/>
    </row>
    <row r="1529" spans="18:20" x14ac:dyDescent="0.3">
      <c r="R1529" s="255"/>
      <c r="S1529" s="255"/>
      <c r="T1529" s="255"/>
    </row>
    <row r="1530" spans="18:20" x14ac:dyDescent="0.3">
      <c r="R1530" s="255"/>
      <c r="S1530" s="255"/>
      <c r="T1530" s="255"/>
    </row>
    <row r="1531" spans="18:20" x14ac:dyDescent="0.3">
      <c r="R1531" s="255"/>
      <c r="S1531" s="255"/>
      <c r="T1531" s="255"/>
    </row>
    <row r="1532" spans="18:20" x14ac:dyDescent="0.3">
      <c r="R1532" s="255"/>
      <c r="S1532" s="255"/>
      <c r="T1532" s="255"/>
    </row>
    <row r="1533" spans="18:20" x14ac:dyDescent="0.3">
      <c r="R1533" s="255"/>
      <c r="S1533" s="255"/>
      <c r="T1533" s="255"/>
    </row>
    <row r="1534" spans="18:20" x14ac:dyDescent="0.3">
      <c r="R1534" s="255"/>
      <c r="S1534" s="255"/>
      <c r="T1534" s="255"/>
    </row>
    <row r="1535" spans="18:20" x14ac:dyDescent="0.3">
      <c r="R1535" s="255"/>
      <c r="S1535" s="255"/>
      <c r="T1535" s="255"/>
    </row>
    <row r="1536" spans="18:20" x14ac:dyDescent="0.3">
      <c r="R1536" s="255"/>
      <c r="S1536" s="255"/>
      <c r="T1536" s="255"/>
    </row>
    <row r="1537" spans="18:20" x14ac:dyDescent="0.3">
      <c r="R1537" s="255"/>
      <c r="S1537" s="255"/>
      <c r="T1537" s="255"/>
    </row>
    <row r="1538" spans="18:20" x14ac:dyDescent="0.3">
      <c r="R1538" s="255"/>
      <c r="S1538" s="255"/>
      <c r="T1538" s="255"/>
    </row>
    <row r="1539" spans="18:20" x14ac:dyDescent="0.3">
      <c r="R1539" s="255"/>
      <c r="S1539" s="255"/>
      <c r="T1539" s="255"/>
    </row>
    <row r="1540" spans="18:20" x14ac:dyDescent="0.3">
      <c r="R1540" s="255"/>
      <c r="S1540" s="255"/>
      <c r="T1540" s="255"/>
    </row>
    <row r="1541" spans="18:20" x14ac:dyDescent="0.3">
      <c r="R1541" s="255"/>
      <c r="S1541" s="255"/>
      <c r="T1541" s="255"/>
    </row>
    <row r="1542" spans="18:20" x14ac:dyDescent="0.3">
      <c r="R1542" s="255"/>
      <c r="S1542" s="255"/>
      <c r="T1542" s="255"/>
    </row>
    <row r="1543" spans="18:20" x14ac:dyDescent="0.3">
      <c r="R1543" s="255"/>
      <c r="S1543" s="255"/>
      <c r="T1543" s="255"/>
    </row>
    <row r="1544" spans="18:20" x14ac:dyDescent="0.3">
      <c r="R1544" s="255"/>
      <c r="S1544" s="255"/>
      <c r="T1544" s="255"/>
    </row>
    <row r="1545" spans="18:20" x14ac:dyDescent="0.3">
      <c r="R1545" s="255"/>
      <c r="S1545" s="255"/>
      <c r="T1545" s="255"/>
    </row>
    <row r="1546" spans="18:20" x14ac:dyDescent="0.3">
      <c r="R1546" s="255"/>
      <c r="S1546" s="255"/>
      <c r="T1546" s="255"/>
    </row>
    <row r="1547" spans="18:20" x14ac:dyDescent="0.3">
      <c r="R1547" s="255"/>
      <c r="S1547" s="255"/>
      <c r="T1547" s="255"/>
    </row>
    <row r="1548" spans="18:20" x14ac:dyDescent="0.3">
      <c r="R1548" s="255"/>
      <c r="S1548" s="255"/>
      <c r="T1548" s="255"/>
    </row>
    <row r="1549" spans="18:20" x14ac:dyDescent="0.3">
      <c r="R1549" s="255"/>
      <c r="S1549" s="255"/>
      <c r="T1549" s="255"/>
    </row>
    <row r="1550" spans="18:20" x14ac:dyDescent="0.3">
      <c r="R1550" s="255"/>
      <c r="S1550" s="255"/>
      <c r="T1550" s="255"/>
    </row>
    <row r="1551" spans="18:20" x14ac:dyDescent="0.3">
      <c r="R1551" s="255"/>
      <c r="S1551" s="255"/>
      <c r="T1551" s="255"/>
    </row>
    <row r="1552" spans="18:20" x14ac:dyDescent="0.3">
      <c r="R1552" s="255"/>
      <c r="S1552" s="255"/>
      <c r="T1552" s="255"/>
    </row>
    <row r="1553" spans="18:20" x14ac:dyDescent="0.3">
      <c r="R1553" s="255"/>
      <c r="S1553" s="255"/>
      <c r="T1553" s="255"/>
    </row>
    <row r="1554" spans="18:20" x14ac:dyDescent="0.3">
      <c r="R1554" s="255"/>
      <c r="S1554" s="255"/>
      <c r="T1554" s="255"/>
    </row>
    <row r="1555" spans="18:20" x14ac:dyDescent="0.3">
      <c r="R1555" s="255"/>
      <c r="S1555" s="255"/>
      <c r="T1555" s="255"/>
    </row>
    <row r="1556" spans="18:20" x14ac:dyDescent="0.3">
      <c r="R1556" s="255"/>
      <c r="S1556" s="255"/>
      <c r="T1556" s="255"/>
    </row>
    <row r="1557" spans="18:20" x14ac:dyDescent="0.3">
      <c r="R1557" s="255"/>
      <c r="S1557" s="255"/>
      <c r="T1557" s="255"/>
    </row>
    <row r="1558" spans="18:20" x14ac:dyDescent="0.3">
      <c r="R1558" s="255"/>
      <c r="S1558" s="255"/>
      <c r="T1558" s="255"/>
    </row>
    <row r="1559" spans="18:20" x14ac:dyDescent="0.3">
      <c r="R1559" s="255"/>
      <c r="S1559" s="255"/>
      <c r="T1559" s="255"/>
    </row>
    <row r="1560" spans="18:20" x14ac:dyDescent="0.3">
      <c r="R1560" s="255"/>
      <c r="S1560" s="255"/>
      <c r="T1560" s="255"/>
    </row>
    <row r="1561" spans="18:20" x14ac:dyDescent="0.3">
      <c r="R1561" s="255"/>
      <c r="S1561" s="255"/>
      <c r="T1561" s="255"/>
    </row>
    <row r="1562" spans="18:20" x14ac:dyDescent="0.3">
      <c r="R1562" s="255"/>
      <c r="S1562" s="255"/>
      <c r="T1562" s="255"/>
    </row>
    <row r="1563" spans="18:20" x14ac:dyDescent="0.3">
      <c r="R1563" s="255"/>
      <c r="S1563" s="255"/>
      <c r="T1563" s="255"/>
    </row>
    <row r="1564" spans="18:20" x14ac:dyDescent="0.3">
      <c r="R1564" s="255"/>
      <c r="S1564" s="255"/>
      <c r="T1564" s="255"/>
    </row>
    <row r="1565" spans="18:20" x14ac:dyDescent="0.3">
      <c r="R1565" s="255"/>
      <c r="S1565" s="255"/>
      <c r="T1565" s="255"/>
    </row>
    <row r="1566" spans="18:20" x14ac:dyDescent="0.3">
      <c r="R1566" s="255"/>
      <c r="S1566" s="255"/>
      <c r="T1566" s="255"/>
    </row>
    <row r="1567" spans="18:20" x14ac:dyDescent="0.3">
      <c r="R1567" s="255"/>
      <c r="S1567" s="255"/>
      <c r="T1567" s="255"/>
    </row>
    <row r="1568" spans="18:20" x14ac:dyDescent="0.3">
      <c r="R1568" s="255"/>
      <c r="S1568" s="255"/>
      <c r="T1568" s="255"/>
    </row>
    <row r="1569" spans="18:20" x14ac:dyDescent="0.3">
      <c r="R1569" s="255"/>
      <c r="S1569" s="255"/>
      <c r="T1569" s="255"/>
    </row>
    <row r="1570" spans="18:20" x14ac:dyDescent="0.3">
      <c r="R1570" s="255"/>
      <c r="S1570" s="255"/>
      <c r="T1570" s="255"/>
    </row>
    <row r="1571" spans="18:20" x14ac:dyDescent="0.3">
      <c r="R1571" s="255"/>
      <c r="S1571" s="255"/>
      <c r="T1571" s="255"/>
    </row>
    <row r="1572" spans="18:20" x14ac:dyDescent="0.3">
      <c r="R1572" s="255"/>
      <c r="S1572" s="255"/>
      <c r="T1572" s="255"/>
    </row>
    <row r="1573" spans="18:20" x14ac:dyDescent="0.3">
      <c r="R1573" s="255"/>
      <c r="S1573" s="255"/>
      <c r="T1573" s="255"/>
    </row>
    <row r="1574" spans="18:20" x14ac:dyDescent="0.3">
      <c r="R1574" s="255"/>
      <c r="S1574" s="255"/>
      <c r="T1574" s="255"/>
    </row>
    <row r="1575" spans="18:20" x14ac:dyDescent="0.3">
      <c r="R1575" s="255"/>
      <c r="S1575" s="255"/>
      <c r="T1575" s="255"/>
    </row>
    <row r="1576" spans="18:20" x14ac:dyDescent="0.3">
      <c r="R1576" s="255"/>
      <c r="S1576" s="255"/>
      <c r="T1576" s="255"/>
    </row>
    <row r="1577" spans="18:20" x14ac:dyDescent="0.3">
      <c r="R1577" s="255"/>
      <c r="S1577" s="255"/>
      <c r="T1577" s="255"/>
    </row>
    <row r="1578" spans="18:20" x14ac:dyDescent="0.3">
      <c r="R1578" s="255"/>
      <c r="S1578" s="255"/>
      <c r="T1578" s="255"/>
    </row>
    <row r="1579" spans="18:20" x14ac:dyDescent="0.3">
      <c r="R1579" s="255"/>
      <c r="S1579" s="255"/>
      <c r="T1579" s="255"/>
    </row>
    <row r="1580" spans="18:20" x14ac:dyDescent="0.3">
      <c r="R1580" s="255"/>
      <c r="S1580" s="255"/>
      <c r="T1580" s="255"/>
    </row>
    <row r="1581" spans="18:20" x14ac:dyDescent="0.3">
      <c r="R1581" s="255"/>
      <c r="S1581" s="255"/>
      <c r="T1581" s="255"/>
    </row>
    <row r="1582" spans="18:20" x14ac:dyDescent="0.3">
      <c r="R1582" s="255"/>
      <c r="S1582" s="255"/>
      <c r="T1582" s="255"/>
    </row>
    <row r="1583" spans="18:20" x14ac:dyDescent="0.3">
      <c r="R1583" s="255"/>
      <c r="S1583" s="255"/>
      <c r="T1583" s="255"/>
    </row>
    <row r="1584" spans="18:20" x14ac:dyDescent="0.3">
      <c r="R1584" s="255"/>
      <c r="S1584" s="255"/>
      <c r="T1584" s="255"/>
    </row>
    <row r="1585" spans="18:20" x14ac:dyDescent="0.3">
      <c r="R1585" s="255"/>
      <c r="S1585" s="255"/>
      <c r="T1585" s="255"/>
    </row>
    <row r="1586" spans="18:20" x14ac:dyDescent="0.3">
      <c r="R1586" s="255"/>
      <c r="S1586" s="255"/>
      <c r="T1586" s="255"/>
    </row>
    <row r="1587" spans="18:20" x14ac:dyDescent="0.3">
      <c r="R1587" s="255"/>
      <c r="S1587" s="255"/>
      <c r="T1587" s="255"/>
    </row>
    <row r="1588" spans="18:20" x14ac:dyDescent="0.3">
      <c r="R1588" s="255"/>
      <c r="S1588" s="255"/>
      <c r="T1588" s="255"/>
    </row>
    <row r="1589" spans="18:20" x14ac:dyDescent="0.3">
      <c r="R1589" s="255"/>
      <c r="S1589" s="255"/>
      <c r="T1589" s="255"/>
    </row>
    <row r="1590" spans="18:20" x14ac:dyDescent="0.3">
      <c r="R1590" s="255"/>
      <c r="S1590" s="255"/>
      <c r="T1590" s="255"/>
    </row>
    <row r="1591" spans="18:20" x14ac:dyDescent="0.3">
      <c r="R1591" s="255"/>
      <c r="S1591" s="255"/>
      <c r="T1591" s="255"/>
    </row>
    <row r="1592" spans="18:20" x14ac:dyDescent="0.3">
      <c r="R1592" s="255"/>
      <c r="S1592" s="255"/>
      <c r="T1592" s="255"/>
    </row>
    <row r="1593" spans="18:20" x14ac:dyDescent="0.3">
      <c r="R1593" s="255"/>
      <c r="S1593" s="255"/>
      <c r="T1593" s="255"/>
    </row>
    <row r="1594" spans="18:20" x14ac:dyDescent="0.3">
      <c r="R1594" s="255"/>
      <c r="S1594" s="255"/>
      <c r="T1594" s="255"/>
    </row>
    <row r="1595" spans="18:20" x14ac:dyDescent="0.3">
      <c r="R1595" s="255"/>
      <c r="S1595" s="255"/>
      <c r="T1595" s="255"/>
    </row>
    <row r="1596" spans="18:20" x14ac:dyDescent="0.3">
      <c r="R1596" s="255"/>
      <c r="S1596" s="255"/>
      <c r="T1596" s="255"/>
    </row>
    <row r="1597" spans="18:20" x14ac:dyDescent="0.3">
      <c r="R1597" s="255"/>
      <c r="S1597" s="255"/>
      <c r="T1597" s="255"/>
    </row>
    <row r="1598" spans="18:20" x14ac:dyDescent="0.3">
      <c r="R1598" s="255"/>
      <c r="S1598" s="255"/>
      <c r="T1598" s="255"/>
    </row>
    <row r="1599" spans="18:20" x14ac:dyDescent="0.3">
      <c r="R1599" s="255"/>
      <c r="S1599" s="255"/>
      <c r="T1599" s="255"/>
    </row>
    <row r="1600" spans="18:20" x14ac:dyDescent="0.3">
      <c r="R1600" s="255"/>
      <c r="S1600" s="255"/>
      <c r="T1600" s="255"/>
    </row>
    <row r="1601" spans="18:20" x14ac:dyDescent="0.3">
      <c r="R1601" s="255"/>
      <c r="S1601" s="255"/>
      <c r="T1601" s="255"/>
    </row>
    <row r="1602" spans="18:20" x14ac:dyDescent="0.3">
      <c r="R1602" s="255"/>
      <c r="S1602" s="255"/>
      <c r="T1602" s="255"/>
    </row>
    <row r="1603" spans="18:20" x14ac:dyDescent="0.3">
      <c r="R1603" s="255"/>
      <c r="S1603" s="255"/>
      <c r="T1603" s="255"/>
    </row>
    <row r="1604" spans="18:20" x14ac:dyDescent="0.3">
      <c r="R1604" s="255"/>
      <c r="S1604" s="255"/>
      <c r="T1604" s="255"/>
    </row>
    <row r="1605" spans="18:20" x14ac:dyDescent="0.3">
      <c r="R1605" s="255"/>
      <c r="S1605" s="255"/>
      <c r="T1605" s="255"/>
    </row>
    <row r="1606" spans="18:20" x14ac:dyDescent="0.3">
      <c r="R1606" s="255"/>
      <c r="S1606" s="255"/>
      <c r="T1606" s="255"/>
    </row>
    <row r="1607" spans="18:20" x14ac:dyDescent="0.3">
      <c r="R1607" s="255"/>
      <c r="S1607" s="255"/>
      <c r="T1607" s="255"/>
    </row>
    <row r="1608" spans="18:20" x14ac:dyDescent="0.3">
      <c r="R1608" s="255"/>
      <c r="S1608" s="255"/>
      <c r="T1608" s="255"/>
    </row>
    <row r="1609" spans="18:20" x14ac:dyDescent="0.3">
      <c r="R1609" s="255"/>
      <c r="S1609" s="255"/>
      <c r="T1609" s="255"/>
    </row>
    <row r="1610" spans="18:20" x14ac:dyDescent="0.3">
      <c r="R1610" s="255"/>
      <c r="S1610" s="255"/>
      <c r="T1610" s="255"/>
    </row>
    <row r="1611" spans="18:20" x14ac:dyDescent="0.3">
      <c r="R1611" s="255"/>
      <c r="S1611" s="255"/>
      <c r="T1611" s="255"/>
    </row>
    <row r="1612" spans="18:20" x14ac:dyDescent="0.3">
      <c r="R1612" s="255"/>
      <c r="S1612" s="255"/>
      <c r="T1612" s="255"/>
    </row>
    <row r="1613" spans="18:20" x14ac:dyDescent="0.3">
      <c r="R1613" s="255"/>
      <c r="S1613" s="255"/>
      <c r="T1613" s="255"/>
    </row>
    <row r="1614" spans="18:20" x14ac:dyDescent="0.3">
      <c r="R1614" s="255"/>
      <c r="S1614" s="255"/>
      <c r="T1614" s="255"/>
    </row>
    <row r="1615" spans="18:20" x14ac:dyDescent="0.3">
      <c r="R1615" s="255"/>
      <c r="S1615" s="255"/>
      <c r="T1615" s="255"/>
    </row>
    <row r="1616" spans="18:20" x14ac:dyDescent="0.3">
      <c r="R1616" s="255"/>
      <c r="S1616" s="255"/>
      <c r="T1616" s="255"/>
    </row>
    <row r="1617" spans="18:20" x14ac:dyDescent="0.3">
      <c r="R1617" s="255"/>
      <c r="S1617" s="255"/>
      <c r="T1617" s="255"/>
    </row>
    <row r="1618" spans="18:20" x14ac:dyDescent="0.3">
      <c r="R1618" s="255"/>
      <c r="S1618" s="255"/>
      <c r="T1618" s="255"/>
    </row>
    <row r="1619" spans="18:20" x14ac:dyDescent="0.3">
      <c r="R1619" s="255"/>
      <c r="S1619" s="255"/>
      <c r="T1619" s="255"/>
    </row>
    <row r="1620" spans="18:20" x14ac:dyDescent="0.3">
      <c r="R1620" s="255"/>
      <c r="S1620" s="255"/>
      <c r="T1620" s="255"/>
    </row>
    <row r="1621" spans="18:20" x14ac:dyDescent="0.3">
      <c r="R1621" s="255"/>
      <c r="S1621" s="255"/>
      <c r="T1621" s="255"/>
    </row>
    <row r="1622" spans="18:20" x14ac:dyDescent="0.3">
      <c r="R1622" s="255"/>
      <c r="S1622" s="255"/>
      <c r="T1622" s="255"/>
    </row>
    <row r="1623" spans="18:20" x14ac:dyDescent="0.3">
      <c r="R1623" s="255"/>
      <c r="S1623" s="255"/>
      <c r="T1623" s="255"/>
    </row>
    <row r="1624" spans="18:20" x14ac:dyDescent="0.3">
      <c r="R1624" s="255"/>
      <c r="S1624" s="255"/>
      <c r="T1624" s="255"/>
    </row>
    <row r="1625" spans="18:20" x14ac:dyDescent="0.3">
      <c r="R1625" s="255"/>
      <c r="S1625" s="255"/>
      <c r="T1625" s="255"/>
    </row>
    <row r="1626" spans="18:20" x14ac:dyDescent="0.3">
      <c r="R1626" s="255"/>
      <c r="S1626" s="255"/>
      <c r="T1626" s="255"/>
    </row>
    <row r="1627" spans="18:20" x14ac:dyDescent="0.3">
      <c r="R1627" s="255"/>
      <c r="S1627" s="255"/>
      <c r="T1627" s="255"/>
    </row>
    <row r="1628" spans="18:20" x14ac:dyDescent="0.3">
      <c r="R1628" s="255"/>
      <c r="S1628" s="255"/>
      <c r="T1628" s="255"/>
    </row>
    <row r="1629" spans="18:20" x14ac:dyDescent="0.3">
      <c r="R1629" s="255"/>
      <c r="S1629" s="255"/>
      <c r="T1629" s="255"/>
    </row>
    <row r="1630" spans="18:20" x14ac:dyDescent="0.3">
      <c r="R1630" s="255"/>
      <c r="S1630" s="255"/>
      <c r="T1630" s="255"/>
    </row>
    <row r="1631" spans="18:20" x14ac:dyDescent="0.3">
      <c r="R1631" s="255"/>
      <c r="S1631" s="255"/>
      <c r="T1631" s="255"/>
    </row>
    <row r="1632" spans="18:20" x14ac:dyDescent="0.3">
      <c r="R1632" s="255"/>
      <c r="S1632" s="255"/>
      <c r="T1632" s="255"/>
    </row>
    <row r="1633" spans="18:20" x14ac:dyDescent="0.3">
      <c r="R1633" s="255"/>
      <c r="S1633" s="255"/>
      <c r="T1633" s="255"/>
    </row>
    <row r="1634" spans="18:20" x14ac:dyDescent="0.3">
      <c r="R1634" s="255"/>
      <c r="S1634" s="255"/>
      <c r="T1634" s="255"/>
    </row>
    <row r="1635" spans="18:20" x14ac:dyDescent="0.3">
      <c r="R1635" s="255"/>
      <c r="S1635" s="255"/>
      <c r="T1635" s="255"/>
    </row>
    <row r="1636" spans="18:20" x14ac:dyDescent="0.3">
      <c r="R1636" s="255"/>
      <c r="S1636" s="255"/>
      <c r="T1636" s="255"/>
    </row>
    <row r="1637" spans="18:20" x14ac:dyDescent="0.3">
      <c r="R1637" s="255"/>
      <c r="S1637" s="255"/>
      <c r="T1637" s="255"/>
    </row>
    <row r="1638" spans="18:20" x14ac:dyDescent="0.3">
      <c r="R1638" s="255"/>
      <c r="S1638" s="255"/>
      <c r="T1638" s="255"/>
    </row>
    <row r="1639" spans="18:20" x14ac:dyDescent="0.3">
      <c r="R1639" s="255"/>
      <c r="S1639" s="255"/>
      <c r="T1639" s="255"/>
    </row>
    <row r="1640" spans="18:20" x14ac:dyDescent="0.3">
      <c r="R1640" s="255"/>
      <c r="S1640" s="255"/>
      <c r="T1640" s="255"/>
    </row>
    <row r="1641" spans="18:20" x14ac:dyDescent="0.3">
      <c r="R1641" s="255"/>
      <c r="S1641" s="255"/>
      <c r="T1641" s="255"/>
    </row>
    <row r="1642" spans="18:20" x14ac:dyDescent="0.3">
      <c r="R1642" s="255"/>
      <c r="S1642" s="255"/>
      <c r="T1642" s="255"/>
    </row>
    <row r="1643" spans="18:20" x14ac:dyDescent="0.3">
      <c r="R1643" s="255"/>
      <c r="S1643" s="255"/>
      <c r="T1643" s="255"/>
    </row>
    <row r="1644" spans="18:20" x14ac:dyDescent="0.3">
      <c r="R1644" s="255"/>
      <c r="S1644" s="255"/>
      <c r="T1644" s="255"/>
    </row>
    <row r="1645" spans="18:20" x14ac:dyDescent="0.3">
      <c r="R1645" s="255"/>
      <c r="S1645" s="255"/>
      <c r="T1645" s="255"/>
    </row>
    <row r="1646" spans="18:20" x14ac:dyDescent="0.3">
      <c r="R1646" s="255"/>
      <c r="S1646" s="255"/>
      <c r="T1646" s="255"/>
    </row>
    <row r="1647" spans="18:20" x14ac:dyDescent="0.3">
      <c r="R1647" s="255"/>
      <c r="S1647" s="255"/>
      <c r="T1647" s="255"/>
    </row>
    <row r="1648" spans="18:20" x14ac:dyDescent="0.3">
      <c r="R1648" s="255"/>
      <c r="S1648" s="255"/>
      <c r="T1648" s="255"/>
    </row>
    <row r="1649" spans="18:20" x14ac:dyDescent="0.3">
      <c r="R1649" s="255"/>
      <c r="S1649" s="255"/>
      <c r="T1649" s="255"/>
    </row>
    <row r="1650" spans="18:20" x14ac:dyDescent="0.3">
      <c r="R1650" s="255"/>
      <c r="S1650" s="255"/>
      <c r="T1650" s="255"/>
    </row>
    <row r="1651" spans="18:20" x14ac:dyDescent="0.3">
      <c r="R1651" s="255"/>
      <c r="S1651" s="255"/>
      <c r="T1651" s="255"/>
    </row>
    <row r="1652" spans="18:20" x14ac:dyDescent="0.3">
      <c r="R1652" s="255"/>
      <c r="S1652" s="255"/>
      <c r="T1652" s="255"/>
    </row>
    <row r="1653" spans="18:20" x14ac:dyDescent="0.3">
      <c r="R1653" s="255"/>
      <c r="S1653" s="255"/>
      <c r="T1653" s="255"/>
    </row>
    <row r="1654" spans="18:20" x14ac:dyDescent="0.3">
      <c r="R1654" s="255"/>
      <c r="S1654" s="255"/>
      <c r="T1654" s="255"/>
    </row>
    <row r="1655" spans="18:20" x14ac:dyDescent="0.3">
      <c r="R1655" s="255"/>
      <c r="S1655" s="255"/>
      <c r="T1655" s="255"/>
    </row>
    <row r="1656" spans="18:20" x14ac:dyDescent="0.3">
      <c r="R1656" s="255"/>
      <c r="S1656" s="255"/>
      <c r="T1656" s="255"/>
    </row>
    <row r="1657" spans="18:20" x14ac:dyDescent="0.3">
      <c r="R1657" s="255"/>
      <c r="S1657" s="255"/>
      <c r="T1657" s="255"/>
    </row>
    <row r="1658" spans="18:20" x14ac:dyDescent="0.3">
      <c r="R1658" s="255"/>
      <c r="S1658" s="255"/>
      <c r="T1658" s="255"/>
    </row>
    <row r="1659" spans="18:20" x14ac:dyDescent="0.3">
      <c r="R1659" s="255"/>
      <c r="S1659" s="255"/>
      <c r="T1659" s="255"/>
    </row>
    <row r="1660" spans="18:20" x14ac:dyDescent="0.3">
      <c r="R1660" s="255"/>
      <c r="S1660" s="255"/>
      <c r="T1660" s="255"/>
    </row>
    <row r="1661" spans="18:20" x14ac:dyDescent="0.3">
      <c r="R1661" s="255"/>
      <c r="S1661" s="255"/>
      <c r="T1661" s="255"/>
    </row>
    <row r="1662" spans="18:20" x14ac:dyDescent="0.3">
      <c r="R1662" s="255"/>
      <c r="S1662" s="255"/>
      <c r="T1662" s="255"/>
    </row>
    <row r="1663" spans="18:20" x14ac:dyDescent="0.3">
      <c r="R1663" s="255"/>
      <c r="S1663" s="255"/>
      <c r="T1663" s="255"/>
    </row>
    <row r="1664" spans="18:20" x14ac:dyDescent="0.3">
      <c r="R1664" s="255"/>
      <c r="S1664" s="255"/>
      <c r="T1664" s="255"/>
    </row>
    <row r="1665" spans="18:20" x14ac:dyDescent="0.3">
      <c r="R1665" s="255"/>
      <c r="S1665" s="255"/>
      <c r="T1665" s="255"/>
    </row>
    <row r="1666" spans="18:20" x14ac:dyDescent="0.3">
      <c r="R1666" s="255"/>
      <c r="S1666" s="255"/>
      <c r="T1666" s="255"/>
    </row>
    <row r="1667" spans="18:20" x14ac:dyDescent="0.3">
      <c r="R1667" s="255"/>
      <c r="S1667" s="255"/>
      <c r="T1667" s="255"/>
    </row>
    <row r="1668" spans="18:20" x14ac:dyDescent="0.3">
      <c r="R1668" s="255"/>
      <c r="S1668" s="255"/>
      <c r="T1668" s="255"/>
    </row>
    <row r="1669" spans="18:20" x14ac:dyDescent="0.3">
      <c r="R1669" s="255"/>
      <c r="S1669" s="255"/>
      <c r="T1669" s="255"/>
    </row>
    <row r="1670" spans="18:20" x14ac:dyDescent="0.3">
      <c r="R1670" s="255"/>
      <c r="S1670" s="255"/>
      <c r="T1670" s="255"/>
    </row>
    <row r="1671" spans="18:20" x14ac:dyDescent="0.3">
      <c r="R1671" s="255"/>
      <c r="S1671" s="255"/>
      <c r="T1671" s="255"/>
    </row>
    <row r="1672" spans="18:20" x14ac:dyDescent="0.3">
      <c r="R1672" s="255"/>
      <c r="S1672" s="255"/>
      <c r="T1672" s="255"/>
    </row>
    <row r="1673" spans="18:20" x14ac:dyDescent="0.3">
      <c r="R1673" s="255"/>
      <c r="S1673" s="255"/>
      <c r="T1673" s="255"/>
    </row>
    <row r="1674" spans="18:20" x14ac:dyDescent="0.3">
      <c r="R1674" s="255"/>
      <c r="S1674" s="255"/>
      <c r="T1674" s="255"/>
    </row>
    <row r="1675" spans="18:20" x14ac:dyDescent="0.3">
      <c r="R1675" s="255"/>
      <c r="S1675" s="255"/>
      <c r="T1675" s="255"/>
    </row>
    <row r="1676" spans="18:20" x14ac:dyDescent="0.3">
      <c r="R1676" s="255"/>
      <c r="S1676" s="255"/>
      <c r="T1676" s="255"/>
    </row>
    <row r="1677" spans="18:20" x14ac:dyDescent="0.3">
      <c r="R1677" s="255"/>
      <c r="S1677" s="255"/>
      <c r="T1677" s="255"/>
    </row>
    <row r="1678" spans="18:20" x14ac:dyDescent="0.3">
      <c r="R1678" s="255"/>
      <c r="S1678" s="255"/>
      <c r="T1678" s="255"/>
    </row>
    <row r="1679" spans="18:20" x14ac:dyDescent="0.3">
      <c r="R1679" s="255"/>
      <c r="S1679" s="255"/>
      <c r="T1679" s="255"/>
    </row>
    <row r="1680" spans="18:20" x14ac:dyDescent="0.3">
      <c r="R1680" s="255"/>
      <c r="S1680" s="255"/>
      <c r="T1680" s="255"/>
    </row>
    <row r="1681" spans="18:20" x14ac:dyDescent="0.3">
      <c r="R1681" s="255"/>
      <c r="S1681" s="255"/>
      <c r="T1681" s="255"/>
    </row>
    <row r="1682" spans="18:20" x14ac:dyDescent="0.3">
      <c r="R1682" s="255"/>
      <c r="S1682" s="255"/>
      <c r="T1682" s="255"/>
    </row>
    <row r="1683" spans="18:20" x14ac:dyDescent="0.3">
      <c r="R1683" s="255"/>
      <c r="S1683" s="255"/>
      <c r="T1683" s="255"/>
    </row>
    <row r="1684" spans="18:20" x14ac:dyDescent="0.3">
      <c r="R1684" s="255"/>
      <c r="S1684" s="255"/>
      <c r="T1684" s="255"/>
    </row>
    <row r="1685" spans="18:20" x14ac:dyDescent="0.3">
      <c r="R1685" s="255"/>
      <c r="S1685" s="255"/>
      <c r="T1685" s="255"/>
    </row>
    <row r="1686" spans="18:20" x14ac:dyDescent="0.3">
      <c r="R1686" s="255"/>
      <c r="S1686" s="255"/>
      <c r="T1686" s="255"/>
    </row>
    <row r="1687" spans="18:20" x14ac:dyDescent="0.3">
      <c r="R1687" s="255"/>
      <c r="S1687" s="255"/>
      <c r="T1687" s="255"/>
    </row>
    <row r="1688" spans="18:20" x14ac:dyDescent="0.3">
      <c r="R1688" s="255"/>
      <c r="S1688" s="255"/>
      <c r="T1688" s="255"/>
    </row>
    <row r="1689" spans="18:20" x14ac:dyDescent="0.3">
      <c r="R1689" s="255"/>
      <c r="S1689" s="255"/>
      <c r="T1689" s="255"/>
    </row>
    <row r="1690" spans="18:20" x14ac:dyDescent="0.3">
      <c r="R1690" s="255"/>
      <c r="S1690" s="255"/>
      <c r="T1690" s="255"/>
    </row>
    <row r="1691" spans="18:20" x14ac:dyDescent="0.3">
      <c r="R1691" s="255"/>
      <c r="S1691" s="255"/>
      <c r="T1691" s="255"/>
    </row>
    <row r="1692" spans="18:20" x14ac:dyDescent="0.3">
      <c r="R1692" s="255"/>
      <c r="S1692" s="255"/>
      <c r="T1692" s="255"/>
    </row>
    <row r="1693" spans="18:20" x14ac:dyDescent="0.3">
      <c r="R1693" s="255"/>
      <c r="S1693" s="255"/>
      <c r="T1693" s="255"/>
    </row>
    <row r="1694" spans="18:20" x14ac:dyDescent="0.3">
      <c r="R1694" s="255"/>
      <c r="S1694" s="255"/>
      <c r="T1694" s="255"/>
    </row>
    <row r="1695" spans="18:20" x14ac:dyDescent="0.3">
      <c r="R1695" s="255"/>
      <c r="S1695" s="255"/>
      <c r="T1695" s="255"/>
    </row>
    <row r="1696" spans="18:20" x14ac:dyDescent="0.3">
      <c r="R1696" s="255"/>
      <c r="S1696" s="255"/>
      <c r="T1696" s="255"/>
    </row>
    <row r="1697" spans="18:20" x14ac:dyDescent="0.3">
      <c r="R1697" s="255"/>
      <c r="S1697" s="255"/>
      <c r="T1697" s="255"/>
    </row>
    <row r="1698" spans="18:20" x14ac:dyDescent="0.3">
      <c r="R1698" s="255"/>
      <c r="S1698" s="255"/>
      <c r="T1698" s="255"/>
    </row>
    <row r="1699" spans="18:20" x14ac:dyDescent="0.3">
      <c r="R1699" s="255"/>
      <c r="S1699" s="255"/>
      <c r="T1699" s="255"/>
    </row>
    <row r="1700" spans="18:20" x14ac:dyDescent="0.3">
      <c r="R1700" s="255"/>
      <c r="S1700" s="255"/>
      <c r="T1700" s="255"/>
    </row>
    <row r="1701" spans="18:20" x14ac:dyDescent="0.3">
      <c r="R1701" s="255"/>
      <c r="S1701" s="255"/>
      <c r="T1701" s="255"/>
    </row>
    <row r="1702" spans="18:20" x14ac:dyDescent="0.3">
      <c r="R1702" s="255"/>
      <c r="S1702" s="255"/>
      <c r="T1702" s="255"/>
    </row>
    <row r="1703" spans="18:20" x14ac:dyDescent="0.3">
      <c r="R1703" s="255"/>
      <c r="S1703" s="255"/>
      <c r="T1703" s="255"/>
    </row>
    <row r="1704" spans="18:20" x14ac:dyDescent="0.3">
      <c r="R1704" s="255"/>
      <c r="S1704" s="255"/>
      <c r="T1704" s="255"/>
    </row>
    <row r="1705" spans="18:20" x14ac:dyDescent="0.3">
      <c r="R1705" s="255"/>
      <c r="S1705" s="255"/>
      <c r="T1705" s="255"/>
    </row>
    <row r="1706" spans="18:20" x14ac:dyDescent="0.3">
      <c r="R1706" s="255"/>
      <c r="S1706" s="255"/>
      <c r="T1706" s="255"/>
    </row>
    <row r="1707" spans="18:20" x14ac:dyDescent="0.3">
      <c r="R1707" s="255"/>
      <c r="S1707" s="255"/>
      <c r="T1707" s="255"/>
    </row>
    <row r="1708" spans="18:20" x14ac:dyDescent="0.3">
      <c r="R1708" s="255"/>
      <c r="S1708" s="255"/>
      <c r="T1708" s="255"/>
    </row>
    <row r="1709" spans="18:20" x14ac:dyDescent="0.3">
      <c r="R1709" s="255"/>
      <c r="S1709" s="255"/>
      <c r="T1709" s="255"/>
    </row>
    <row r="1710" spans="18:20" x14ac:dyDescent="0.3">
      <c r="R1710" s="255"/>
      <c r="S1710" s="255"/>
      <c r="T1710" s="255"/>
    </row>
    <row r="1711" spans="18:20" x14ac:dyDescent="0.3">
      <c r="R1711" s="255"/>
      <c r="S1711" s="255"/>
      <c r="T1711" s="255"/>
    </row>
    <row r="1712" spans="18:20" x14ac:dyDescent="0.3">
      <c r="R1712" s="255"/>
      <c r="S1712" s="255"/>
      <c r="T1712" s="255"/>
    </row>
    <row r="1713" spans="18:20" x14ac:dyDescent="0.3">
      <c r="R1713" s="255"/>
      <c r="S1713" s="255"/>
      <c r="T1713" s="255"/>
    </row>
    <row r="1714" spans="18:20" x14ac:dyDescent="0.3">
      <c r="R1714" s="255"/>
      <c r="S1714" s="255"/>
      <c r="T1714" s="255"/>
    </row>
    <row r="1715" spans="18:20" x14ac:dyDescent="0.3">
      <c r="R1715" s="255"/>
      <c r="S1715" s="255"/>
      <c r="T1715" s="255"/>
    </row>
    <row r="1716" spans="18:20" x14ac:dyDescent="0.3">
      <c r="R1716" s="255"/>
      <c r="S1716" s="255"/>
      <c r="T1716" s="255"/>
    </row>
    <row r="1717" spans="18:20" x14ac:dyDescent="0.3">
      <c r="R1717" s="255"/>
      <c r="S1717" s="255"/>
      <c r="T1717" s="255"/>
    </row>
    <row r="1718" spans="18:20" x14ac:dyDescent="0.3">
      <c r="R1718" s="255"/>
      <c r="S1718" s="255"/>
      <c r="T1718" s="255"/>
    </row>
    <row r="1719" spans="18:20" x14ac:dyDescent="0.3">
      <c r="R1719" s="255"/>
      <c r="S1719" s="255"/>
      <c r="T1719" s="255"/>
    </row>
    <row r="1720" spans="18:20" x14ac:dyDescent="0.3">
      <c r="R1720" s="255"/>
      <c r="S1720" s="255"/>
      <c r="T1720" s="255"/>
    </row>
    <row r="1721" spans="18:20" x14ac:dyDescent="0.3">
      <c r="R1721" s="255"/>
      <c r="S1721" s="255"/>
      <c r="T1721" s="255"/>
    </row>
    <row r="1722" spans="18:20" x14ac:dyDescent="0.3">
      <c r="R1722" s="255"/>
      <c r="S1722" s="255"/>
      <c r="T1722" s="255"/>
    </row>
    <row r="1723" spans="18:20" x14ac:dyDescent="0.3">
      <c r="R1723" s="255"/>
      <c r="S1723" s="255"/>
      <c r="T1723" s="255"/>
    </row>
    <row r="1724" spans="18:20" x14ac:dyDescent="0.3">
      <c r="R1724" s="255"/>
      <c r="S1724" s="255"/>
      <c r="T1724" s="255"/>
    </row>
    <row r="1725" spans="18:20" x14ac:dyDescent="0.3">
      <c r="R1725" s="255"/>
      <c r="S1725" s="255"/>
      <c r="T1725" s="255"/>
    </row>
    <row r="1726" spans="18:20" x14ac:dyDescent="0.3">
      <c r="R1726" s="255"/>
      <c r="S1726" s="255"/>
      <c r="T1726" s="255"/>
    </row>
    <row r="1727" spans="18:20" x14ac:dyDescent="0.3">
      <c r="R1727" s="255"/>
      <c r="S1727" s="255"/>
      <c r="T1727" s="255"/>
    </row>
    <row r="1728" spans="18:20" x14ac:dyDescent="0.3">
      <c r="R1728" s="255"/>
      <c r="S1728" s="255"/>
      <c r="T1728" s="255"/>
    </row>
    <row r="1729" spans="18:20" x14ac:dyDescent="0.3">
      <c r="R1729" s="255"/>
      <c r="S1729" s="255"/>
      <c r="T1729" s="255"/>
    </row>
    <row r="1730" spans="18:20" x14ac:dyDescent="0.3">
      <c r="R1730" s="255"/>
      <c r="S1730" s="255"/>
      <c r="T1730" s="255"/>
    </row>
    <row r="1731" spans="18:20" x14ac:dyDescent="0.3">
      <c r="R1731" s="255"/>
      <c r="S1731" s="255"/>
      <c r="T1731" s="255"/>
    </row>
    <row r="1732" spans="18:20" x14ac:dyDescent="0.3">
      <c r="R1732" s="255"/>
      <c r="S1732" s="255"/>
      <c r="T1732" s="255"/>
    </row>
    <row r="1733" spans="18:20" x14ac:dyDescent="0.3">
      <c r="R1733" s="255"/>
      <c r="S1733" s="255"/>
      <c r="T1733" s="255"/>
    </row>
    <row r="1734" spans="18:20" x14ac:dyDescent="0.3">
      <c r="R1734" s="255"/>
      <c r="S1734" s="255"/>
      <c r="T1734" s="255"/>
    </row>
    <row r="1735" spans="18:20" x14ac:dyDescent="0.3">
      <c r="R1735" s="255"/>
      <c r="S1735" s="255"/>
      <c r="T1735" s="255"/>
    </row>
    <row r="1736" spans="18:20" x14ac:dyDescent="0.3">
      <c r="R1736" s="255"/>
      <c r="S1736" s="255"/>
      <c r="T1736" s="255"/>
    </row>
    <row r="1737" spans="18:20" x14ac:dyDescent="0.3">
      <c r="R1737" s="255"/>
      <c r="S1737" s="255"/>
      <c r="T1737" s="255"/>
    </row>
    <row r="1738" spans="18:20" x14ac:dyDescent="0.3">
      <c r="R1738" s="255"/>
      <c r="S1738" s="255"/>
      <c r="T1738" s="255"/>
    </row>
    <row r="1739" spans="18:20" x14ac:dyDescent="0.3">
      <c r="R1739" s="255"/>
      <c r="S1739" s="255"/>
      <c r="T1739" s="255"/>
    </row>
    <row r="1740" spans="18:20" x14ac:dyDescent="0.3">
      <c r="R1740" s="255"/>
      <c r="S1740" s="255"/>
      <c r="T1740" s="255"/>
    </row>
    <row r="1741" spans="18:20" x14ac:dyDescent="0.3">
      <c r="R1741" s="255"/>
      <c r="S1741" s="255"/>
      <c r="T1741" s="255"/>
    </row>
    <row r="1742" spans="18:20" x14ac:dyDescent="0.3">
      <c r="R1742" s="255"/>
      <c r="S1742" s="255"/>
      <c r="T1742" s="255"/>
    </row>
    <row r="1743" spans="18:20" x14ac:dyDescent="0.3">
      <c r="R1743" s="255"/>
      <c r="S1743" s="255"/>
      <c r="T1743" s="255"/>
    </row>
    <row r="1744" spans="18:20" x14ac:dyDescent="0.3">
      <c r="R1744" s="255"/>
      <c r="S1744" s="255"/>
      <c r="T1744" s="255"/>
    </row>
    <row r="1745" spans="18:20" x14ac:dyDescent="0.3">
      <c r="R1745" s="255"/>
      <c r="S1745" s="255"/>
      <c r="T1745" s="255"/>
    </row>
    <row r="1746" spans="18:20" x14ac:dyDescent="0.3">
      <c r="R1746" s="255"/>
      <c r="S1746" s="255"/>
      <c r="T1746" s="255"/>
    </row>
    <row r="1747" spans="18:20" x14ac:dyDescent="0.3">
      <c r="R1747" s="255"/>
      <c r="S1747" s="255"/>
      <c r="T1747" s="255"/>
    </row>
    <row r="1748" spans="18:20" x14ac:dyDescent="0.3">
      <c r="R1748" s="255"/>
      <c r="S1748" s="255"/>
      <c r="T1748" s="255"/>
    </row>
    <row r="1749" spans="18:20" x14ac:dyDescent="0.3">
      <c r="R1749" s="255"/>
      <c r="S1749" s="255"/>
      <c r="T1749" s="255"/>
    </row>
    <row r="1750" spans="18:20" x14ac:dyDescent="0.3">
      <c r="R1750" s="255"/>
      <c r="S1750" s="255"/>
      <c r="T1750" s="255"/>
    </row>
    <row r="1751" spans="18:20" x14ac:dyDescent="0.3">
      <c r="R1751" s="255"/>
      <c r="S1751" s="255"/>
      <c r="T1751" s="255"/>
    </row>
    <row r="1752" spans="18:20" x14ac:dyDescent="0.3">
      <c r="R1752" s="255"/>
      <c r="S1752" s="255"/>
      <c r="T1752" s="255"/>
    </row>
    <row r="1753" spans="18:20" x14ac:dyDescent="0.3">
      <c r="R1753" s="255"/>
      <c r="S1753" s="255"/>
      <c r="T1753" s="255"/>
    </row>
    <row r="1754" spans="18:20" x14ac:dyDescent="0.3">
      <c r="R1754" s="255"/>
      <c r="S1754" s="255"/>
      <c r="T1754" s="255"/>
    </row>
    <row r="1755" spans="18:20" x14ac:dyDescent="0.3">
      <c r="R1755" s="255"/>
      <c r="S1755" s="255"/>
      <c r="T1755" s="255"/>
    </row>
    <row r="1756" spans="18:20" x14ac:dyDescent="0.3">
      <c r="R1756" s="255"/>
      <c r="S1756" s="255"/>
      <c r="T1756" s="255"/>
    </row>
    <row r="1757" spans="18:20" x14ac:dyDescent="0.3">
      <c r="R1757" s="255"/>
      <c r="S1757" s="255"/>
      <c r="T1757" s="255"/>
    </row>
    <row r="1758" spans="18:20" x14ac:dyDescent="0.3">
      <c r="R1758" s="255"/>
      <c r="S1758" s="255"/>
      <c r="T1758" s="255"/>
    </row>
    <row r="1759" spans="18:20" x14ac:dyDescent="0.3">
      <c r="R1759" s="255"/>
      <c r="S1759" s="255"/>
      <c r="T1759" s="255"/>
    </row>
    <row r="1760" spans="18:20" x14ac:dyDescent="0.3">
      <c r="R1760" s="255"/>
      <c r="S1760" s="255"/>
      <c r="T1760" s="255"/>
    </row>
    <row r="1761" spans="18:20" x14ac:dyDescent="0.3">
      <c r="R1761" s="255"/>
      <c r="S1761" s="255"/>
      <c r="T1761" s="255"/>
    </row>
    <row r="1762" spans="18:20" x14ac:dyDescent="0.3">
      <c r="R1762" s="255"/>
      <c r="S1762" s="255"/>
      <c r="T1762" s="255"/>
    </row>
    <row r="1763" spans="18:20" x14ac:dyDescent="0.3">
      <c r="R1763" s="255"/>
      <c r="S1763" s="255"/>
      <c r="T1763" s="255"/>
    </row>
    <row r="1764" spans="18:20" x14ac:dyDescent="0.3">
      <c r="R1764" s="255"/>
      <c r="S1764" s="255"/>
      <c r="T1764" s="255"/>
    </row>
    <row r="1765" spans="18:20" x14ac:dyDescent="0.3">
      <c r="R1765" s="255"/>
      <c r="S1765" s="255"/>
      <c r="T1765" s="255"/>
    </row>
    <row r="1766" spans="18:20" x14ac:dyDescent="0.3">
      <c r="R1766" s="255"/>
      <c r="S1766" s="255"/>
      <c r="T1766" s="255"/>
    </row>
    <row r="1767" spans="18:20" x14ac:dyDescent="0.3">
      <c r="R1767" s="255"/>
      <c r="S1767" s="255"/>
      <c r="T1767" s="255"/>
    </row>
    <row r="1768" spans="18:20" x14ac:dyDescent="0.3">
      <c r="R1768" s="255"/>
      <c r="S1768" s="255"/>
      <c r="T1768" s="255"/>
    </row>
    <row r="1769" spans="18:20" x14ac:dyDescent="0.3">
      <c r="R1769" s="255"/>
      <c r="S1769" s="255"/>
      <c r="T1769" s="255"/>
    </row>
    <row r="1770" spans="18:20" x14ac:dyDescent="0.3">
      <c r="R1770" s="255"/>
      <c r="S1770" s="255"/>
      <c r="T1770" s="255"/>
    </row>
    <row r="1771" spans="18:20" x14ac:dyDescent="0.3">
      <c r="R1771" s="255"/>
      <c r="S1771" s="255"/>
      <c r="T1771" s="255"/>
    </row>
    <row r="1772" spans="18:20" x14ac:dyDescent="0.3">
      <c r="R1772" s="255"/>
      <c r="S1772" s="255"/>
      <c r="T1772" s="255"/>
    </row>
    <row r="1773" spans="18:20" x14ac:dyDescent="0.3">
      <c r="R1773" s="255"/>
      <c r="S1773" s="255"/>
      <c r="T1773" s="255"/>
    </row>
    <row r="1774" spans="18:20" x14ac:dyDescent="0.3">
      <c r="R1774" s="255"/>
      <c r="S1774" s="255"/>
      <c r="T1774" s="255"/>
    </row>
    <row r="1775" spans="18:20" x14ac:dyDescent="0.3">
      <c r="R1775" s="255"/>
      <c r="S1775" s="255"/>
      <c r="T1775" s="255"/>
    </row>
    <row r="1776" spans="18:20" x14ac:dyDescent="0.3">
      <c r="R1776" s="255"/>
      <c r="S1776" s="255"/>
      <c r="T1776" s="255"/>
    </row>
    <row r="1777" spans="18:20" x14ac:dyDescent="0.3">
      <c r="R1777" s="255"/>
      <c r="S1777" s="255"/>
      <c r="T1777" s="255"/>
    </row>
    <row r="1778" spans="18:20" x14ac:dyDescent="0.3">
      <c r="R1778" s="255"/>
      <c r="S1778" s="255"/>
      <c r="T1778" s="255"/>
    </row>
    <row r="1779" spans="18:20" x14ac:dyDescent="0.3">
      <c r="R1779" s="255"/>
      <c r="S1779" s="255"/>
      <c r="T1779" s="255"/>
    </row>
    <row r="1780" spans="18:20" x14ac:dyDescent="0.3">
      <c r="R1780" s="255"/>
      <c r="S1780" s="255"/>
      <c r="T1780" s="255"/>
    </row>
    <row r="1781" spans="18:20" x14ac:dyDescent="0.3">
      <c r="R1781" s="255"/>
      <c r="S1781" s="255"/>
      <c r="T1781" s="255"/>
    </row>
    <row r="1782" spans="18:20" x14ac:dyDescent="0.3">
      <c r="R1782" s="255"/>
      <c r="S1782" s="255"/>
      <c r="T1782" s="255"/>
    </row>
    <row r="1783" spans="18:20" x14ac:dyDescent="0.3">
      <c r="R1783" s="255"/>
      <c r="S1783" s="255"/>
      <c r="T1783" s="255"/>
    </row>
    <row r="1784" spans="18:20" x14ac:dyDescent="0.3">
      <c r="R1784" s="255"/>
      <c r="S1784" s="255"/>
      <c r="T1784" s="255"/>
    </row>
    <row r="1785" spans="18:20" x14ac:dyDescent="0.3">
      <c r="R1785" s="255"/>
      <c r="S1785" s="255"/>
      <c r="T1785" s="255"/>
    </row>
    <row r="1786" spans="18:20" x14ac:dyDescent="0.3">
      <c r="R1786" s="255"/>
      <c r="S1786" s="255"/>
      <c r="T1786" s="255"/>
    </row>
    <row r="1787" spans="18:20" x14ac:dyDescent="0.3">
      <c r="R1787" s="255"/>
      <c r="S1787" s="255"/>
      <c r="T1787" s="255"/>
    </row>
    <row r="1788" spans="18:20" x14ac:dyDescent="0.3">
      <c r="R1788" s="255"/>
      <c r="S1788" s="255"/>
      <c r="T1788" s="255"/>
    </row>
    <row r="1789" spans="18:20" x14ac:dyDescent="0.3">
      <c r="R1789" s="255"/>
      <c r="S1789" s="255"/>
      <c r="T1789" s="255"/>
    </row>
    <row r="1790" spans="18:20" x14ac:dyDescent="0.3">
      <c r="R1790" s="255"/>
      <c r="S1790" s="255"/>
      <c r="T1790" s="255"/>
    </row>
    <row r="1791" spans="18:20" x14ac:dyDescent="0.3">
      <c r="R1791" s="255"/>
      <c r="S1791" s="255"/>
      <c r="T1791" s="255"/>
    </row>
    <row r="1792" spans="18:20" x14ac:dyDescent="0.3">
      <c r="R1792" s="255"/>
      <c r="S1792" s="255"/>
      <c r="T1792" s="255"/>
    </row>
    <row r="1793" spans="18:20" x14ac:dyDescent="0.3">
      <c r="R1793" s="255"/>
      <c r="S1793" s="255"/>
      <c r="T1793" s="255"/>
    </row>
    <row r="1794" spans="18:20" x14ac:dyDescent="0.3">
      <c r="R1794" s="255"/>
      <c r="S1794" s="255"/>
      <c r="T1794" s="255"/>
    </row>
    <row r="1795" spans="18:20" x14ac:dyDescent="0.3">
      <c r="R1795" s="255"/>
      <c r="S1795" s="255"/>
      <c r="T1795" s="255"/>
    </row>
    <row r="1796" spans="18:20" x14ac:dyDescent="0.3">
      <c r="R1796" s="255"/>
      <c r="S1796" s="255"/>
      <c r="T1796" s="255"/>
    </row>
    <row r="1797" spans="18:20" x14ac:dyDescent="0.3">
      <c r="R1797" s="255"/>
      <c r="S1797" s="255"/>
      <c r="T1797" s="255"/>
    </row>
    <row r="1798" spans="18:20" x14ac:dyDescent="0.3">
      <c r="R1798" s="255"/>
      <c r="S1798" s="255"/>
      <c r="T1798" s="255"/>
    </row>
    <row r="1799" spans="18:20" x14ac:dyDescent="0.3">
      <c r="R1799" s="255"/>
      <c r="S1799" s="255"/>
      <c r="T1799" s="255"/>
    </row>
    <row r="1800" spans="18:20" x14ac:dyDescent="0.3">
      <c r="R1800" s="255"/>
      <c r="S1800" s="255"/>
      <c r="T1800" s="255"/>
    </row>
    <row r="1801" spans="18:20" x14ac:dyDescent="0.3">
      <c r="R1801" s="255"/>
      <c r="S1801" s="255"/>
      <c r="T1801" s="255"/>
    </row>
    <row r="1802" spans="18:20" x14ac:dyDescent="0.3">
      <c r="R1802" s="255"/>
      <c r="S1802" s="255"/>
      <c r="T1802" s="255"/>
    </row>
    <row r="1803" spans="18:20" x14ac:dyDescent="0.3">
      <c r="R1803" s="255"/>
      <c r="S1803" s="255"/>
      <c r="T1803" s="255"/>
    </row>
    <row r="1804" spans="18:20" x14ac:dyDescent="0.3">
      <c r="R1804" s="255"/>
      <c r="S1804" s="255"/>
      <c r="T1804" s="255"/>
    </row>
    <row r="1805" spans="18:20" x14ac:dyDescent="0.3">
      <c r="R1805" s="255"/>
      <c r="S1805" s="255"/>
      <c r="T1805" s="255"/>
    </row>
    <row r="1806" spans="18:20" x14ac:dyDescent="0.3">
      <c r="R1806" s="255"/>
      <c r="S1806" s="255"/>
      <c r="T1806" s="255"/>
    </row>
    <row r="1807" spans="18:20" x14ac:dyDescent="0.3">
      <c r="R1807" s="255"/>
      <c r="S1807" s="255"/>
      <c r="T1807" s="255"/>
    </row>
    <row r="1808" spans="18:20" x14ac:dyDescent="0.3">
      <c r="R1808" s="255"/>
      <c r="S1808" s="255"/>
      <c r="T1808" s="255"/>
    </row>
    <row r="1809" spans="18:20" x14ac:dyDescent="0.3">
      <c r="R1809" s="255"/>
      <c r="S1809" s="255"/>
      <c r="T1809" s="255"/>
    </row>
    <row r="1810" spans="18:20" x14ac:dyDescent="0.3">
      <c r="R1810" s="255"/>
      <c r="S1810" s="255"/>
      <c r="T1810" s="255"/>
    </row>
    <row r="1811" spans="18:20" x14ac:dyDescent="0.3">
      <c r="R1811" s="255"/>
      <c r="S1811" s="255"/>
      <c r="T1811" s="255"/>
    </row>
    <row r="1812" spans="18:20" x14ac:dyDescent="0.3">
      <c r="R1812" s="255"/>
      <c r="S1812" s="255"/>
      <c r="T1812" s="255"/>
    </row>
    <row r="1813" spans="18:20" x14ac:dyDescent="0.3">
      <c r="R1813" s="255"/>
      <c r="S1813" s="255"/>
      <c r="T1813" s="255"/>
    </row>
    <row r="1814" spans="18:20" x14ac:dyDescent="0.3">
      <c r="R1814" s="255"/>
      <c r="S1814" s="255"/>
      <c r="T1814" s="255"/>
    </row>
    <row r="1815" spans="18:20" x14ac:dyDescent="0.3">
      <c r="R1815" s="255"/>
      <c r="S1815" s="255"/>
      <c r="T1815" s="255"/>
    </row>
    <row r="1816" spans="18:20" x14ac:dyDescent="0.3">
      <c r="R1816" s="255"/>
      <c r="S1816" s="255"/>
      <c r="T1816" s="255"/>
    </row>
    <row r="1817" spans="18:20" x14ac:dyDescent="0.3">
      <c r="R1817" s="255"/>
      <c r="S1817" s="255"/>
      <c r="T1817" s="255"/>
    </row>
    <row r="1818" spans="18:20" x14ac:dyDescent="0.3">
      <c r="R1818" s="255"/>
      <c r="S1818" s="255"/>
      <c r="T1818" s="255"/>
    </row>
    <row r="1819" spans="18:20" x14ac:dyDescent="0.3">
      <c r="R1819" s="255"/>
      <c r="S1819" s="255"/>
      <c r="T1819" s="255"/>
    </row>
    <row r="1820" spans="18:20" x14ac:dyDescent="0.3">
      <c r="R1820" s="255"/>
      <c r="S1820" s="255"/>
      <c r="T1820" s="255"/>
    </row>
    <row r="1821" spans="18:20" x14ac:dyDescent="0.3">
      <c r="R1821" s="255"/>
      <c r="S1821" s="255"/>
      <c r="T1821" s="255"/>
    </row>
    <row r="1822" spans="18:20" x14ac:dyDescent="0.3">
      <c r="R1822" s="255"/>
      <c r="S1822" s="255"/>
      <c r="T1822" s="255"/>
    </row>
    <row r="1823" spans="18:20" x14ac:dyDescent="0.3">
      <c r="R1823" s="255"/>
      <c r="S1823" s="255"/>
      <c r="T1823" s="255"/>
    </row>
    <row r="1824" spans="18:20" x14ac:dyDescent="0.3">
      <c r="R1824" s="255"/>
      <c r="S1824" s="255"/>
      <c r="T1824" s="255"/>
    </row>
    <row r="1825" spans="18:20" x14ac:dyDescent="0.3">
      <c r="R1825" s="255"/>
      <c r="S1825" s="255"/>
      <c r="T1825" s="255"/>
    </row>
    <row r="1826" spans="18:20" x14ac:dyDescent="0.3">
      <c r="R1826" s="255"/>
      <c r="S1826" s="255"/>
      <c r="T1826" s="255"/>
    </row>
    <row r="1827" spans="18:20" x14ac:dyDescent="0.3">
      <c r="R1827" s="255"/>
      <c r="S1827" s="255"/>
      <c r="T1827" s="255"/>
    </row>
    <row r="1828" spans="18:20" x14ac:dyDescent="0.3">
      <c r="R1828" s="255"/>
      <c r="S1828" s="255"/>
      <c r="T1828" s="255"/>
    </row>
    <row r="1829" spans="18:20" x14ac:dyDescent="0.3">
      <c r="R1829" s="255"/>
      <c r="S1829" s="255"/>
      <c r="T1829" s="255"/>
    </row>
    <row r="1830" spans="18:20" x14ac:dyDescent="0.3">
      <c r="R1830" s="255"/>
      <c r="S1830" s="255"/>
      <c r="T1830" s="255"/>
    </row>
    <row r="1831" spans="18:20" x14ac:dyDescent="0.3">
      <c r="R1831" s="255"/>
      <c r="S1831" s="255"/>
      <c r="T1831" s="255"/>
    </row>
    <row r="1832" spans="18:20" x14ac:dyDescent="0.3">
      <c r="R1832" s="255"/>
      <c r="S1832" s="255"/>
      <c r="T1832" s="255"/>
    </row>
    <row r="1833" spans="18:20" x14ac:dyDescent="0.3">
      <c r="R1833" s="255"/>
      <c r="S1833" s="255"/>
      <c r="T1833" s="255"/>
    </row>
    <row r="1834" spans="18:20" x14ac:dyDescent="0.3">
      <c r="R1834" s="255"/>
      <c r="S1834" s="255"/>
      <c r="T1834" s="255"/>
    </row>
    <row r="1835" spans="18:20" x14ac:dyDescent="0.3">
      <c r="R1835" s="255"/>
      <c r="S1835" s="255"/>
      <c r="T1835" s="255"/>
    </row>
    <row r="1836" spans="18:20" x14ac:dyDescent="0.3">
      <c r="R1836" s="255"/>
      <c r="S1836" s="255"/>
      <c r="T1836" s="255"/>
    </row>
    <row r="1837" spans="18:20" x14ac:dyDescent="0.3">
      <c r="R1837" s="255"/>
      <c r="S1837" s="255"/>
      <c r="T1837" s="255"/>
    </row>
    <row r="1838" spans="18:20" x14ac:dyDescent="0.3">
      <c r="R1838" s="255"/>
      <c r="S1838" s="255"/>
      <c r="T1838" s="255"/>
    </row>
    <row r="1839" spans="18:20" x14ac:dyDescent="0.3">
      <c r="R1839" s="255"/>
      <c r="S1839" s="255"/>
      <c r="T1839" s="255"/>
    </row>
    <row r="1840" spans="18:20" x14ac:dyDescent="0.3">
      <c r="R1840" s="255"/>
      <c r="S1840" s="255"/>
      <c r="T1840" s="255"/>
    </row>
    <row r="1841" spans="18:20" x14ac:dyDescent="0.3">
      <c r="R1841" s="255"/>
      <c r="S1841" s="255"/>
      <c r="T1841" s="255"/>
    </row>
    <row r="1842" spans="18:20" x14ac:dyDescent="0.3">
      <c r="R1842" s="255"/>
      <c r="S1842" s="255"/>
      <c r="T1842" s="255"/>
    </row>
    <row r="1843" spans="18:20" x14ac:dyDescent="0.3">
      <c r="R1843" s="255"/>
      <c r="S1843" s="255"/>
      <c r="T1843" s="255"/>
    </row>
    <row r="1844" spans="18:20" x14ac:dyDescent="0.3">
      <c r="R1844" s="255"/>
      <c r="S1844" s="255"/>
      <c r="T1844" s="255"/>
    </row>
    <row r="1845" spans="18:20" x14ac:dyDescent="0.3">
      <c r="R1845" s="255"/>
      <c r="S1845" s="255"/>
      <c r="T1845" s="255"/>
    </row>
    <row r="1846" spans="18:20" x14ac:dyDescent="0.3">
      <c r="R1846" s="255"/>
      <c r="S1846" s="255"/>
      <c r="T1846" s="255"/>
    </row>
    <row r="1847" spans="18:20" x14ac:dyDescent="0.3">
      <c r="R1847" s="255"/>
      <c r="S1847" s="255"/>
      <c r="T1847" s="255"/>
    </row>
    <row r="1848" spans="18:20" x14ac:dyDescent="0.3">
      <c r="R1848" s="255"/>
      <c r="S1848" s="255"/>
      <c r="T1848" s="255"/>
    </row>
    <row r="1849" spans="18:20" x14ac:dyDescent="0.3">
      <c r="R1849" s="255"/>
      <c r="S1849" s="255"/>
      <c r="T1849" s="255"/>
    </row>
    <row r="1850" spans="18:20" x14ac:dyDescent="0.3">
      <c r="R1850" s="255"/>
      <c r="S1850" s="255"/>
      <c r="T1850" s="255"/>
    </row>
    <row r="1851" spans="18:20" x14ac:dyDescent="0.3">
      <c r="R1851" s="255"/>
      <c r="S1851" s="255"/>
      <c r="T1851" s="255"/>
    </row>
    <row r="1852" spans="18:20" x14ac:dyDescent="0.3">
      <c r="R1852" s="255"/>
      <c r="S1852" s="255"/>
      <c r="T1852" s="255"/>
    </row>
    <row r="1853" spans="18:20" x14ac:dyDescent="0.3">
      <c r="R1853" s="255"/>
      <c r="S1853" s="255"/>
      <c r="T1853" s="255"/>
    </row>
    <row r="1854" spans="18:20" x14ac:dyDescent="0.3">
      <c r="R1854" s="255"/>
      <c r="S1854" s="255"/>
      <c r="T1854" s="255"/>
    </row>
    <row r="1855" spans="18:20" x14ac:dyDescent="0.3">
      <c r="R1855" s="255"/>
      <c r="S1855" s="255"/>
      <c r="T1855" s="255"/>
    </row>
    <row r="1856" spans="18:20" x14ac:dyDescent="0.3">
      <c r="R1856" s="255"/>
      <c r="S1856" s="255"/>
      <c r="T1856" s="255"/>
    </row>
    <row r="1857" spans="18:20" x14ac:dyDescent="0.3">
      <c r="R1857" s="255"/>
      <c r="S1857" s="255"/>
      <c r="T1857" s="255"/>
    </row>
    <row r="1858" spans="18:20" x14ac:dyDescent="0.3">
      <c r="R1858" s="255"/>
      <c r="S1858" s="255"/>
      <c r="T1858" s="255"/>
    </row>
    <row r="1859" spans="18:20" x14ac:dyDescent="0.3">
      <c r="R1859" s="255"/>
      <c r="S1859" s="255"/>
      <c r="T1859" s="255"/>
    </row>
    <row r="1860" spans="18:20" x14ac:dyDescent="0.3">
      <c r="R1860" s="255"/>
      <c r="S1860" s="255"/>
      <c r="T1860" s="255"/>
    </row>
    <row r="1861" spans="18:20" x14ac:dyDescent="0.3">
      <c r="R1861" s="255"/>
      <c r="S1861" s="255"/>
      <c r="T1861" s="255"/>
    </row>
    <row r="1862" spans="18:20" x14ac:dyDescent="0.3">
      <c r="R1862" s="255"/>
      <c r="S1862" s="255"/>
      <c r="T1862" s="255"/>
    </row>
    <row r="1863" spans="18:20" x14ac:dyDescent="0.3">
      <c r="R1863" s="255"/>
      <c r="S1863" s="255"/>
      <c r="T1863" s="255"/>
    </row>
    <row r="1864" spans="18:20" x14ac:dyDescent="0.3">
      <c r="R1864" s="255"/>
      <c r="S1864" s="255"/>
      <c r="T1864" s="255"/>
    </row>
    <row r="1865" spans="18:20" x14ac:dyDescent="0.3">
      <c r="R1865" s="255"/>
      <c r="S1865" s="255"/>
      <c r="T1865" s="255"/>
    </row>
    <row r="1866" spans="18:20" x14ac:dyDescent="0.3">
      <c r="R1866" s="255"/>
      <c r="S1866" s="255"/>
      <c r="T1866" s="255"/>
    </row>
    <row r="1867" spans="18:20" x14ac:dyDescent="0.3">
      <c r="R1867" s="255"/>
      <c r="S1867" s="255"/>
      <c r="T1867" s="255"/>
    </row>
    <row r="1868" spans="18:20" x14ac:dyDescent="0.3">
      <c r="R1868" s="255"/>
      <c r="S1868" s="255"/>
      <c r="T1868" s="255"/>
    </row>
    <row r="1869" spans="18:20" x14ac:dyDescent="0.3">
      <c r="R1869" s="255"/>
      <c r="S1869" s="255"/>
      <c r="T1869" s="255"/>
    </row>
    <row r="1870" spans="18:20" x14ac:dyDescent="0.3">
      <c r="R1870" s="255"/>
      <c r="S1870" s="255"/>
      <c r="T1870" s="255"/>
    </row>
    <row r="1871" spans="18:20" x14ac:dyDescent="0.3">
      <c r="R1871" s="255"/>
      <c r="S1871" s="255"/>
      <c r="T1871" s="255"/>
    </row>
    <row r="1872" spans="18:20" x14ac:dyDescent="0.3">
      <c r="R1872" s="255"/>
      <c r="S1872" s="255"/>
      <c r="T1872" s="255"/>
    </row>
    <row r="1873" spans="18:20" x14ac:dyDescent="0.3">
      <c r="R1873" s="255"/>
      <c r="S1873" s="255"/>
      <c r="T1873" s="255"/>
    </row>
    <row r="1874" spans="18:20" x14ac:dyDescent="0.3">
      <c r="R1874" s="255"/>
      <c r="S1874" s="255"/>
      <c r="T1874" s="255"/>
    </row>
    <row r="1875" spans="18:20" x14ac:dyDescent="0.3">
      <c r="R1875" s="255"/>
      <c r="S1875" s="255"/>
      <c r="T1875" s="255"/>
    </row>
    <row r="1876" spans="18:20" x14ac:dyDescent="0.3">
      <c r="R1876" s="255"/>
      <c r="S1876" s="255"/>
      <c r="T1876" s="255"/>
    </row>
    <row r="1877" spans="18:20" x14ac:dyDescent="0.3">
      <c r="R1877" s="255"/>
      <c r="S1877" s="255"/>
      <c r="T1877" s="255"/>
    </row>
    <row r="1878" spans="18:20" x14ac:dyDescent="0.3">
      <c r="R1878" s="255"/>
      <c r="S1878" s="255"/>
      <c r="T1878" s="255"/>
    </row>
    <row r="1879" spans="18:20" x14ac:dyDescent="0.3">
      <c r="R1879" s="255"/>
      <c r="S1879" s="255"/>
      <c r="T1879" s="255"/>
    </row>
    <row r="1880" spans="18:20" x14ac:dyDescent="0.3">
      <c r="R1880" s="255"/>
      <c r="S1880" s="255"/>
      <c r="T1880" s="255"/>
    </row>
    <row r="1881" spans="18:20" x14ac:dyDescent="0.3">
      <c r="R1881" s="255"/>
      <c r="S1881" s="255"/>
      <c r="T1881" s="255"/>
    </row>
    <row r="1882" spans="18:20" x14ac:dyDescent="0.3">
      <c r="R1882" s="255"/>
      <c r="S1882" s="255"/>
      <c r="T1882" s="255"/>
    </row>
    <row r="1883" spans="18:20" x14ac:dyDescent="0.3">
      <c r="R1883" s="255"/>
      <c r="S1883" s="255"/>
      <c r="T1883" s="255"/>
    </row>
    <row r="1884" spans="18:20" x14ac:dyDescent="0.3">
      <c r="R1884" s="255"/>
      <c r="S1884" s="255"/>
      <c r="T1884" s="255"/>
    </row>
    <row r="1885" spans="18:20" x14ac:dyDescent="0.3">
      <c r="R1885" s="255"/>
      <c r="S1885" s="255"/>
      <c r="T1885" s="255"/>
    </row>
    <row r="1886" spans="18:20" x14ac:dyDescent="0.3">
      <c r="R1886" s="255"/>
      <c r="S1886" s="255"/>
      <c r="T1886" s="255"/>
    </row>
    <row r="1887" spans="18:20" x14ac:dyDescent="0.3">
      <c r="R1887" s="255"/>
      <c r="S1887" s="255"/>
      <c r="T1887" s="255"/>
    </row>
    <row r="1888" spans="18:20" x14ac:dyDescent="0.3">
      <c r="R1888" s="255"/>
      <c r="S1888" s="255"/>
      <c r="T1888" s="255"/>
    </row>
    <row r="1889" spans="18:20" x14ac:dyDescent="0.3">
      <c r="R1889" s="255"/>
      <c r="S1889" s="255"/>
      <c r="T1889" s="255"/>
    </row>
    <row r="1890" spans="18:20" x14ac:dyDescent="0.3">
      <c r="R1890" s="255"/>
      <c r="S1890" s="255"/>
      <c r="T1890" s="255"/>
    </row>
    <row r="1891" spans="18:20" x14ac:dyDescent="0.3">
      <c r="R1891" s="255"/>
      <c r="S1891" s="255"/>
      <c r="T1891" s="255"/>
    </row>
    <row r="1892" spans="18:20" x14ac:dyDescent="0.3">
      <c r="R1892" s="255"/>
      <c r="S1892" s="255"/>
      <c r="T1892" s="255"/>
    </row>
    <row r="1893" spans="18:20" x14ac:dyDescent="0.3">
      <c r="R1893" s="255"/>
      <c r="S1893" s="255"/>
      <c r="T1893" s="255"/>
    </row>
    <row r="1894" spans="18:20" x14ac:dyDescent="0.3">
      <c r="R1894" s="255"/>
      <c r="S1894" s="255"/>
      <c r="T1894" s="255"/>
    </row>
    <row r="1895" spans="18:20" x14ac:dyDescent="0.3">
      <c r="R1895" s="255"/>
      <c r="S1895" s="255"/>
      <c r="T1895" s="255"/>
    </row>
    <row r="1896" spans="18:20" x14ac:dyDescent="0.3">
      <c r="R1896" s="255"/>
      <c r="S1896" s="255"/>
      <c r="T1896" s="255"/>
    </row>
    <row r="1897" spans="18:20" x14ac:dyDescent="0.3">
      <c r="R1897" s="255"/>
      <c r="S1897" s="255"/>
      <c r="T1897" s="255"/>
    </row>
    <row r="1898" spans="18:20" x14ac:dyDescent="0.3">
      <c r="R1898" s="255"/>
      <c r="S1898" s="255"/>
      <c r="T1898" s="255"/>
    </row>
    <row r="1899" spans="18:20" x14ac:dyDescent="0.3">
      <c r="R1899" s="255"/>
      <c r="S1899" s="255"/>
      <c r="T1899" s="255"/>
    </row>
    <row r="1900" spans="18:20" x14ac:dyDescent="0.3">
      <c r="R1900" s="255"/>
      <c r="S1900" s="255"/>
      <c r="T1900" s="255"/>
    </row>
    <row r="1901" spans="18:20" x14ac:dyDescent="0.3">
      <c r="R1901" s="255"/>
      <c r="S1901" s="255"/>
      <c r="T1901" s="255"/>
    </row>
    <row r="1902" spans="18:20" x14ac:dyDescent="0.3">
      <c r="R1902" s="255"/>
      <c r="S1902" s="255"/>
      <c r="T1902" s="255"/>
    </row>
    <row r="1903" spans="18:20" x14ac:dyDescent="0.3">
      <c r="R1903" s="255"/>
      <c r="S1903" s="255"/>
      <c r="T1903" s="255"/>
    </row>
    <row r="1904" spans="18:20" x14ac:dyDescent="0.3">
      <c r="R1904" s="255"/>
      <c r="S1904" s="255"/>
      <c r="T1904" s="255"/>
    </row>
    <row r="1905" spans="18:20" x14ac:dyDescent="0.3">
      <c r="R1905" s="255"/>
      <c r="S1905" s="255"/>
      <c r="T1905" s="255"/>
    </row>
    <row r="1906" spans="18:20" x14ac:dyDescent="0.3">
      <c r="R1906" s="255"/>
      <c r="S1906" s="255"/>
      <c r="T1906" s="255"/>
    </row>
    <row r="1907" spans="18:20" x14ac:dyDescent="0.3">
      <c r="R1907" s="255"/>
      <c r="S1907" s="255"/>
      <c r="T1907" s="255"/>
    </row>
    <row r="1908" spans="18:20" x14ac:dyDescent="0.3">
      <c r="R1908" s="255"/>
      <c r="S1908" s="255"/>
      <c r="T1908" s="255"/>
    </row>
    <row r="1909" spans="18:20" x14ac:dyDescent="0.3">
      <c r="R1909" s="255"/>
      <c r="S1909" s="255"/>
      <c r="T1909" s="255"/>
    </row>
    <row r="1910" spans="18:20" x14ac:dyDescent="0.3">
      <c r="R1910" s="255"/>
      <c r="S1910" s="255"/>
      <c r="T1910" s="255"/>
    </row>
    <row r="1911" spans="18:20" x14ac:dyDescent="0.3">
      <c r="R1911" s="255"/>
      <c r="S1911" s="255"/>
      <c r="T1911" s="255"/>
    </row>
    <row r="1912" spans="18:20" x14ac:dyDescent="0.3">
      <c r="R1912" s="255"/>
      <c r="S1912" s="255"/>
      <c r="T1912" s="255"/>
    </row>
    <row r="1913" spans="18:20" x14ac:dyDescent="0.3">
      <c r="R1913" s="255"/>
      <c r="S1913" s="255"/>
      <c r="T1913" s="255"/>
    </row>
    <row r="1914" spans="18:20" x14ac:dyDescent="0.3">
      <c r="R1914" s="255"/>
      <c r="S1914" s="255"/>
      <c r="T1914" s="255"/>
    </row>
    <row r="1915" spans="18:20" x14ac:dyDescent="0.3">
      <c r="R1915" s="255"/>
      <c r="S1915" s="255"/>
      <c r="T1915" s="255"/>
    </row>
    <row r="1916" spans="18:20" x14ac:dyDescent="0.3">
      <c r="R1916" s="255"/>
      <c r="S1916" s="255"/>
      <c r="T1916" s="255"/>
    </row>
    <row r="1917" spans="18:20" x14ac:dyDescent="0.3">
      <c r="R1917" s="255"/>
      <c r="S1917" s="255"/>
      <c r="T1917" s="255"/>
    </row>
    <row r="1918" spans="18:20" x14ac:dyDescent="0.3">
      <c r="R1918" s="255"/>
      <c r="S1918" s="255"/>
      <c r="T1918" s="255"/>
    </row>
    <row r="1919" spans="18:20" x14ac:dyDescent="0.3">
      <c r="R1919" s="255"/>
      <c r="S1919" s="255"/>
      <c r="T1919" s="255"/>
    </row>
    <row r="1920" spans="18:20" x14ac:dyDescent="0.3">
      <c r="R1920" s="255"/>
      <c r="S1920" s="255"/>
      <c r="T1920" s="255"/>
    </row>
    <row r="1921" spans="18:20" x14ac:dyDescent="0.3">
      <c r="R1921" s="255"/>
      <c r="S1921" s="255"/>
      <c r="T1921" s="255"/>
    </row>
    <row r="1922" spans="18:20" x14ac:dyDescent="0.3">
      <c r="R1922" s="255"/>
      <c r="S1922" s="255"/>
      <c r="T1922" s="255"/>
    </row>
    <row r="1923" spans="18:20" x14ac:dyDescent="0.3">
      <c r="R1923" s="255"/>
      <c r="S1923" s="255"/>
      <c r="T1923" s="255"/>
    </row>
    <row r="1924" spans="18:20" x14ac:dyDescent="0.3">
      <c r="R1924" s="255"/>
      <c r="S1924" s="255"/>
      <c r="T1924" s="255"/>
    </row>
    <row r="1925" spans="18:20" x14ac:dyDescent="0.3">
      <c r="R1925" s="255"/>
      <c r="S1925" s="255"/>
      <c r="T1925" s="255"/>
    </row>
    <row r="1926" spans="18:20" x14ac:dyDescent="0.3">
      <c r="R1926" s="255"/>
      <c r="S1926" s="255"/>
      <c r="T1926" s="255"/>
    </row>
    <row r="1927" spans="18:20" x14ac:dyDescent="0.3">
      <c r="R1927" s="255"/>
      <c r="S1927" s="255"/>
      <c r="T1927" s="255"/>
    </row>
    <row r="1928" spans="18:20" x14ac:dyDescent="0.3">
      <c r="R1928" s="255"/>
      <c r="S1928" s="255"/>
      <c r="T1928" s="255"/>
    </row>
    <row r="1929" spans="18:20" x14ac:dyDescent="0.3">
      <c r="R1929" s="255"/>
      <c r="S1929" s="255"/>
      <c r="T1929" s="255"/>
    </row>
    <row r="1930" spans="18:20" x14ac:dyDescent="0.3">
      <c r="R1930" s="255"/>
      <c r="S1930" s="255"/>
      <c r="T1930" s="255"/>
    </row>
    <row r="1931" spans="18:20" x14ac:dyDescent="0.3">
      <c r="R1931" s="255"/>
      <c r="S1931" s="255"/>
      <c r="T1931" s="255"/>
    </row>
    <row r="1932" spans="18:20" x14ac:dyDescent="0.3">
      <c r="R1932" s="255"/>
      <c r="S1932" s="255"/>
      <c r="T1932" s="255"/>
    </row>
    <row r="1933" spans="18:20" x14ac:dyDescent="0.3">
      <c r="R1933" s="255"/>
      <c r="S1933" s="255"/>
      <c r="T1933" s="255"/>
    </row>
    <row r="1934" spans="18:20" x14ac:dyDescent="0.3">
      <c r="R1934" s="255"/>
      <c r="S1934" s="255"/>
      <c r="T1934" s="255"/>
    </row>
    <row r="1935" spans="18:20" x14ac:dyDescent="0.3">
      <c r="R1935" s="255"/>
      <c r="S1935" s="255"/>
      <c r="T1935" s="255"/>
    </row>
    <row r="1936" spans="18:20" x14ac:dyDescent="0.3">
      <c r="R1936" s="255"/>
      <c r="S1936" s="255"/>
      <c r="T1936" s="255"/>
    </row>
    <row r="1937" spans="18:20" x14ac:dyDescent="0.3">
      <c r="R1937" s="255"/>
      <c r="S1937" s="255"/>
      <c r="T1937" s="255"/>
    </row>
    <row r="1938" spans="18:20" x14ac:dyDescent="0.3">
      <c r="R1938" s="255"/>
      <c r="S1938" s="255"/>
      <c r="T1938" s="255"/>
    </row>
    <row r="1939" spans="18:20" x14ac:dyDescent="0.3">
      <c r="R1939" s="255"/>
      <c r="S1939" s="255"/>
      <c r="T1939" s="255"/>
    </row>
    <row r="1940" spans="18:20" x14ac:dyDescent="0.3">
      <c r="R1940" s="255"/>
      <c r="S1940" s="255"/>
      <c r="T1940" s="255"/>
    </row>
    <row r="1941" spans="18:20" x14ac:dyDescent="0.3">
      <c r="R1941" s="255"/>
      <c r="S1941" s="255"/>
      <c r="T1941" s="255"/>
    </row>
    <row r="1942" spans="18:20" x14ac:dyDescent="0.3">
      <c r="R1942" s="255"/>
      <c r="S1942" s="255"/>
      <c r="T1942" s="255"/>
    </row>
    <row r="1943" spans="18:20" x14ac:dyDescent="0.3">
      <c r="R1943" s="255"/>
      <c r="S1943" s="255"/>
      <c r="T1943" s="255"/>
    </row>
    <row r="1944" spans="18:20" x14ac:dyDescent="0.3">
      <c r="R1944" s="255"/>
      <c r="S1944" s="255"/>
      <c r="T1944" s="255"/>
    </row>
    <row r="1945" spans="18:20" x14ac:dyDescent="0.3">
      <c r="R1945" s="255"/>
      <c r="S1945" s="255"/>
      <c r="T1945" s="255"/>
    </row>
    <row r="1946" spans="18:20" x14ac:dyDescent="0.3">
      <c r="R1946" s="255"/>
      <c r="S1946" s="255"/>
      <c r="T1946" s="255"/>
    </row>
    <row r="1947" spans="18:20" x14ac:dyDescent="0.3">
      <c r="R1947" s="255"/>
      <c r="S1947" s="255"/>
      <c r="T1947" s="255"/>
    </row>
    <row r="1948" spans="18:20" x14ac:dyDescent="0.3">
      <c r="R1948" s="255"/>
      <c r="S1948" s="255"/>
      <c r="T1948" s="255"/>
    </row>
    <row r="1949" spans="18:20" x14ac:dyDescent="0.3">
      <c r="R1949" s="255"/>
      <c r="S1949" s="255"/>
      <c r="T1949" s="255"/>
    </row>
    <row r="1950" spans="18:20" x14ac:dyDescent="0.3">
      <c r="R1950" s="255"/>
      <c r="S1950" s="255"/>
      <c r="T1950" s="255"/>
    </row>
    <row r="1951" spans="18:20" x14ac:dyDescent="0.3">
      <c r="R1951" s="255"/>
      <c r="S1951" s="255"/>
      <c r="T1951" s="255"/>
    </row>
    <row r="1952" spans="18:20" x14ac:dyDescent="0.3">
      <c r="R1952" s="255"/>
      <c r="S1952" s="255"/>
      <c r="T1952" s="255"/>
    </row>
    <row r="1953" spans="18:20" x14ac:dyDescent="0.3">
      <c r="R1953" s="255"/>
      <c r="S1953" s="255"/>
      <c r="T1953" s="255"/>
    </row>
    <row r="1954" spans="18:20" x14ac:dyDescent="0.3">
      <c r="R1954" s="255"/>
      <c r="S1954" s="255"/>
      <c r="T1954" s="255"/>
    </row>
    <row r="1955" spans="18:20" x14ac:dyDescent="0.3">
      <c r="R1955" s="255"/>
      <c r="S1955" s="255"/>
      <c r="T1955" s="255"/>
    </row>
    <row r="1956" spans="18:20" x14ac:dyDescent="0.3">
      <c r="R1956" s="255"/>
      <c r="S1956" s="255"/>
      <c r="T1956" s="255"/>
    </row>
    <row r="1957" spans="18:20" x14ac:dyDescent="0.3">
      <c r="R1957" s="255"/>
      <c r="S1957" s="255"/>
      <c r="T1957" s="255"/>
    </row>
    <row r="1958" spans="18:20" x14ac:dyDescent="0.3">
      <c r="R1958" s="255"/>
      <c r="S1958" s="255"/>
      <c r="T1958" s="255"/>
    </row>
    <row r="1959" spans="18:20" x14ac:dyDescent="0.3">
      <c r="R1959" s="255"/>
      <c r="S1959" s="255"/>
      <c r="T1959" s="255"/>
    </row>
    <row r="1960" spans="18:20" x14ac:dyDescent="0.3">
      <c r="R1960" s="255"/>
      <c r="S1960" s="255"/>
      <c r="T1960" s="255"/>
    </row>
    <row r="1961" spans="18:20" x14ac:dyDescent="0.3">
      <c r="R1961" s="255"/>
      <c r="S1961" s="255"/>
      <c r="T1961" s="255"/>
    </row>
    <row r="1962" spans="18:20" x14ac:dyDescent="0.3">
      <c r="R1962" s="255"/>
      <c r="S1962" s="255"/>
      <c r="T1962" s="255"/>
    </row>
    <row r="1963" spans="18:20" x14ac:dyDescent="0.3">
      <c r="R1963" s="255"/>
      <c r="S1963" s="255"/>
      <c r="T1963" s="255"/>
    </row>
    <row r="1964" spans="18:20" x14ac:dyDescent="0.3">
      <c r="R1964" s="255"/>
      <c r="S1964" s="255"/>
      <c r="T1964" s="255"/>
    </row>
    <row r="1965" spans="18:20" x14ac:dyDescent="0.3">
      <c r="R1965" s="255"/>
      <c r="S1965" s="255"/>
      <c r="T1965" s="255"/>
    </row>
    <row r="1966" spans="18:20" x14ac:dyDescent="0.3">
      <c r="R1966" s="255"/>
      <c r="S1966" s="255"/>
      <c r="T1966" s="255"/>
    </row>
    <row r="1967" spans="18:20" x14ac:dyDescent="0.3">
      <c r="R1967" s="255"/>
      <c r="S1967" s="255"/>
      <c r="T1967" s="255"/>
    </row>
    <row r="1968" spans="18:20" x14ac:dyDescent="0.3">
      <c r="R1968" s="255"/>
      <c r="S1968" s="255"/>
      <c r="T1968" s="255"/>
    </row>
    <row r="1969" spans="18:20" x14ac:dyDescent="0.3">
      <c r="R1969" s="255"/>
      <c r="S1969" s="255"/>
      <c r="T1969" s="255"/>
    </row>
    <row r="1970" spans="18:20" x14ac:dyDescent="0.3">
      <c r="R1970" s="255"/>
      <c r="S1970" s="255"/>
      <c r="T1970" s="255"/>
    </row>
    <row r="1971" spans="18:20" x14ac:dyDescent="0.3">
      <c r="R1971" s="255"/>
      <c r="S1971" s="255"/>
      <c r="T1971" s="255"/>
    </row>
    <row r="1972" spans="18:20" x14ac:dyDescent="0.3">
      <c r="R1972" s="255"/>
      <c r="S1972" s="255"/>
      <c r="T1972" s="255"/>
    </row>
    <row r="1973" spans="18:20" x14ac:dyDescent="0.3">
      <c r="R1973" s="255"/>
      <c r="S1973" s="255"/>
      <c r="T1973" s="255"/>
    </row>
    <row r="1974" spans="18:20" x14ac:dyDescent="0.3">
      <c r="R1974" s="255"/>
      <c r="S1974" s="255"/>
      <c r="T1974" s="255"/>
    </row>
    <row r="1975" spans="18:20" x14ac:dyDescent="0.3">
      <c r="R1975" s="255"/>
      <c r="S1975" s="255"/>
      <c r="T1975" s="255"/>
    </row>
    <row r="1976" spans="18:20" x14ac:dyDescent="0.3">
      <c r="R1976" s="255"/>
      <c r="S1976" s="255"/>
      <c r="T1976" s="255"/>
    </row>
    <row r="1977" spans="18:20" x14ac:dyDescent="0.3">
      <c r="R1977" s="255"/>
      <c r="S1977" s="255"/>
      <c r="T1977" s="255"/>
    </row>
    <row r="1978" spans="18:20" x14ac:dyDescent="0.3">
      <c r="R1978" s="255"/>
      <c r="S1978" s="255"/>
      <c r="T1978" s="255"/>
    </row>
    <row r="1979" spans="18:20" x14ac:dyDescent="0.3">
      <c r="R1979" s="255"/>
      <c r="S1979" s="255"/>
      <c r="T1979" s="255"/>
    </row>
    <row r="1980" spans="18:20" x14ac:dyDescent="0.3">
      <c r="R1980" s="255"/>
      <c r="S1980" s="255"/>
      <c r="T1980" s="255"/>
    </row>
    <row r="1981" spans="18:20" x14ac:dyDescent="0.3">
      <c r="R1981" s="255"/>
      <c r="S1981" s="255"/>
      <c r="T1981" s="255"/>
    </row>
    <row r="1982" spans="18:20" x14ac:dyDescent="0.3">
      <c r="R1982" s="255"/>
      <c r="S1982" s="255"/>
      <c r="T1982" s="255"/>
    </row>
    <row r="1983" spans="18:20" x14ac:dyDescent="0.3">
      <c r="R1983" s="255"/>
      <c r="S1983" s="255"/>
      <c r="T1983" s="255"/>
    </row>
    <row r="1984" spans="18:20" x14ac:dyDescent="0.3">
      <c r="R1984" s="255"/>
      <c r="S1984" s="255"/>
      <c r="T1984" s="255"/>
    </row>
    <row r="1985" spans="18:20" x14ac:dyDescent="0.3">
      <c r="R1985" s="255"/>
      <c r="S1985" s="255"/>
      <c r="T1985" s="255"/>
    </row>
    <row r="1986" spans="18:20" x14ac:dyDescent="0.3">
      <c r="R1986" s="255"/>
      <c r="S1986" s="255"/>
      <c r="T1986" s="255"/>
    </row>
    <row r="1987" spans="18:20" x14ac:dyDescent="0.3">
      <c r="R1987" s="255"/>
      <c r="S1987" s="255"/>
      <c r="T1987" s="255"/>
    </row>
    <row r="1988" spans="18:20" x14ac:dyDescent="0.3">
      <c r="R1988" s="255"/>
      <c r="S1988" s="255"/>
      <c r="T1988" s="255"/>
    </row>
    <row r="1989" spans="18:20" x14ac:dyDescent="0.3">
      <c r="R1989" s="255"/>
      <c r="S1989" s="255"/>
      <c r="T1989" s="255"/>
    </row>
    <row r="1990" spans="18:20" x14ac:dyDescent="0.3">
      <c r="R1990" s="255"/>
      <c r="S1990" s="255"/>
      <c r="T1990" s="255"/>
    </row>
    <row r="1991" spans="18:20" x14ac:dyDescent="0.3">
      <c r="R1991" s="255"/>
      <c r="S1991" s="255"/>
      <c r="T1991" s="255"/>
    </row>
    <row r="1992" spans="18:20" x14ac:dyDescent="0.3">
      <c r="R1992" s="255"/>
      <c r="S1992" s="255"/>
      <c r="T1992" s="255"/>
    </row>
    <row r="1993" spans="18:20" x14ac:dyDescent="0.3">
      <c r="R1993" s="255"/>
      <c r="S1993" s="255"/>
      <c r="T1993" s="255"/>
    </row>
    <row r="1994" spans="18:20" x14ac:dyDescent="0.3">
      <c r="R1994" s="255"/>
      <c r="S1994" s="255"/>
      <c r="T1994" s="255"/>
    </row>
    <row r="1995" spans="18:20" x14ac:dyDescent="0.3">
      <c r="R1995" s="255"/>
      <c r="S1995" s="255"/>
      <c r="T1995" s="255"/>
    </row>
    <row r="1996" spans="18:20" x14ac:dyDescent="0.3">
      <c r="R1996" s="255"/>
      <c r="S1996" s="255"/>
      <c r="T1996" s="255"/>
    </row>
    <row r="1997" spans="18:20" x14ac:dyDescent="0.3">
      <c r="R1997" s="255"/>
      <c r="S1997" s="255"/>
      <c r="T1997" s="255"/>
    </row>
    <row r="1998" spans="18:20" x14ac:dyDescent="0.3">
      <c r="R1998" s="255"/>
      <c r="S1998" s="255"/>
      <c r="T1998" s="255"/>
    </row>
    <row r="1999" spans="18:20" x14ac:dyDescent="0.3">
      <c r="R1999" s="255"/>
      <c r="S1999" s="255"/>
      <c r="T1999" s="255"/>
    </row>
    <row r="2000" spans="18:20" x14ac:dyDescent="0.3">
      <c r="R2000" s="255"/>
      <c r="S2000" s="255"/>
      <c r="T2000" s="255"/>
    </row>
    <row r="2001" spans="18:20" x14ac:dyDescent="0.3">
      <c r="R2001" s="255"/>
      <c r="S2001" s="255"/>
      <c r="T2001" s="255"/>
    </row>
    <row r="2002" spans="18:20" x14ac:dyDescent="0.3">
      <c r="R2002" s="255"/>
      <c r="S2002" s="255"/>
      <c r="T2002" s="255"/>
    </row>
    <row r="2003" spans="18:20" x14ac:dyDescent="0.3">
      <c r="R2003" s="255"/>
      <c r="S2003" s="255"/>
      <c r="T2003" s="255"/>
    </row>
    <row r="2004" spans="18:20" x14ac:dyDescent="0.3">
      <c r="R2004" s="255"/>
      <c r="S2004" s="255"/>
      <c r="T2004" s="255"/>
    </row>
    <row r="2005" spans="18:20" x14ac:dyDescent="0.3">
      <c r="R2005" s="255"/>
      <c r="S2005" s="255"/>
      <c r="T2005" s="255"/>
    </row>
    <row r="2006" spans="18:20" x14ac:dyDescent="0.3">
      <c r="R2006" s="255"/>
      <c r="S2006" s="255"/>
      <c r="T2006" s="255"/>
    </row>
    <row r="2007" spans="18:20" x14ac:dyDescent="0.3">
      <c r="R2007" s="255"/>
      <c r="S2007" s="255"/>
      <c r="T2007" s="255"/>
    </row>
    <row r="2008" spans="18:20" x14ac:dyDescent="0.3">
      <c r="R2008" s="255"/>
      <c r="S2008" s="255"/>
      <c r="T2008" s="255"/>
    </row>
    <row r="2009" spans="18:20" x14ac:dyDescent="0.3">
      <c r="R2009" s="255"/>
      <c r="S2009" s="255"/>
      <c r="T2009" s="255"/>
    </row>
    <row r="2010" spans="18:20" x14ac:dyDescent="0.3">
      <c r="R2010" s="255"/>
      <c r="S2010" s="255"/>
      <c r="T2010" s="255"/>
    </row>
    <row r="2011" spans="18:20" x14ac:dyDescent="0.3">
      <c r="R2011" s="255"/>
      <c r="S2011" s="255"/>
      <c r="T2011" s="255"/>
    </row>
    <row r="2012" spans="18:20" x14ac:dyDescent="0.3">
      <c r="R2012" s="255"/>
      <c r="S2012" s="255"/>
      <c r="T2012" s="255"/>
    </row>
    <row r="2013" spans="18:20" x14ac:dyDescent="0.3">
      <c r="R2013" s="255"/>
      <c r="S2013" s="255"/>
      <c r="T2013" s="255"/>
    </row>
    <row r="2014" spans="18:20" x14ac:dyDescent="0.3">
      <c r="R2014" s="255"/>
      <c r="S2014" s="255"/>
      <c r="T2014" s="255"/>
    </row>
    <row r="2015" spans="18:20" x14ac:dyDescent="0.3">
      <c r="R2015" s="255"/>
      <c r="S2015" s="255"/>
      <c r="T2015" s="255"/>
    </row>
    <row r="2016" spans="18:20" x14ac:dyDescent="0.3">
      <c r="R2016" s="255"/>
      <c r="S2016" s="255"/>
      <c r="T2016" s="255"/>
    </row>
    <row r="2017" spans="18:20" x14ac:dyDescent="0.3">
      <c r="R2017" s="255"/>
      <c r="S2017" s="255"/>
      <c r="T2017" s="255"/>
    </row>
    <row r="2018" spans="18:20" x14ac:dyDescent="0.3">
      <c r="R2018" s="255"/>
      <c r="S2018" s="255"/>
      <c r="T2018" s="255"/>
    </row>
    <row r="2019" spans="18:20" x14ac:dyDescent="0.3">
      <c r="R2019" s="255"/>
      <c r="S2019" s="255"/>
      <c r="T2019" s="255"/>
    </row>
    <row r="2020" spans="18:20" x14ac:dyDescent="0.3">
      <c r="R2020" s="255"/>
      <c r="S2020" s="255"/>
      <c r="T2020" s="255"/>
    </row>
    <row r="2021" spans="18:20" x14ac:dyDescent="0.3">
      <c r="R2021" s="255"/>
      <c r="S2021" s="255"/>
      <c r="T2021" s="255"/>
    </row>
    <row r="2022" spans="18:20" x14ac:dyDescent="0.3">
      <c r="R2022" s="255"/>
      <c r="S2022" s="255"/>
      <c r="T2022" s="255"/>
    </row>
    <row r="2023" spans="18:20" x14ac:dyDescent="0.3">
      <c r="R2023" s="255"/>
      <c r="S2023" s="255"/>
      <c r="T2023" s="255"/>
    </row>
    <row r="2024" spans="18:20" x14ac:dyDescent="0.3">
      <c r="R2024" s="255"/>
      <c r="S2024" s="255"/>
      <c r="T2024" s="255"/>
    </row>
    <row r="2025" spans="18:20" x14ac:dyDescent="0.3">
      <c r="R2025" s="255"/>
      <c r="S2025" s="255"/>
      <c r="T2025" s="255"/>
    </row>
    <row r="2026" spans="18:20" x14ac:dyDescent="0.3">
      <c r="R2026" s="255"/>
      <c r="S2026" s="255"/>
      <c r="T2026" s="255"/>
    </row>
    <row r="2027" spans="18:20" x14ac:dyDescent="0.3">
      <c r="R2027" s="255"/>
      <c r="S2027" s="255"/>
      <c r="T2027" s="255"/>
    </row>
    <row r="2028" spans="18:20" x14ac:dyDescent="0.3">
      <c r="R2028" s="255"/>
      <c r="S2028" s="255"/>
      <c r="T2028" s="255"/>
    </row>
    <row r="2029" spans="18:20" x14ac:dyDescent="0.3">
      <c r="R2029" s="255"/>
      <c r="S2029" s="255"/>
      <c r="T2029" s="255"/>
    </row>
    <row r="2030" spans="18:20" x14ac:dyDescent="0.3">
      <c r="R2030" s="255"/>
      <c r="S2030" s="255"/>
      <c r="T2030" s="255"/>
    </row>
    <row r="2031" spans="18:20" x14ac:dyDescent="0.3">
      <c r="R2031" s="255"/>
      <c r="S2031" s="255"/>
      <c r="T2031" s="255"/>
    </row>
    <row r="2032" spans="18:20" x14ac:dyDescent="0.3">
      <c r="R2032" s="255"/>
      <c r="S2032" s="255"/>
      <c r="T2032" s="255"/>
    </row>
    <row r="2033" spans="18:20" x14ac:dyDescent="0.3">
      <c r="R2033" s="255"/>
      <c r="S2033" s="255"/>
      <c r="T2033" s="255"/>
    </row>
    <row r="2034" spans="18:20" x14ac:dyDescent="0.3">
      <c r="R2034" s="255"/>
      <c r="S2034" s="255"/>
      <c r="T2034" s="255"/>
    </row>
    <row r="2035" spans="18:20" x14ac:dyDescent="0.3">
      <c r="R2035" s="255"/>
      <c r="S2035" s="255"/>
      <c r="T2035" s="255"/>
    </row>
    <row r="2036" spans="18:20" x14ac:dyDescent="0.3">
      <c r="R2036" s="255"/>
      <c r="S2036" s="255"/>
      <c r="T2036" s="255"/>
    </row>
    <row r="2037" spans="18:20" x14ac:dyDescent="0.3">
      <c r="R2037" s="255"/>
      <c r="S2037" s="255"/>
      <c r="T2037" s="255"/>
    </row>
    <row r="2038" spans="18:20" x14ac:dyDescent="0.3">
      <c r="R2038" s="255"/>
      <c r="S2038" s="255"/>
      <c r="T2038" s="255"/>
    </row>
    <row r="2039" spans="18:20" x14ac:dyDescent="0.3">
      <c r="R2039" s="255"/>
      <c r="S2039" s="255"/>
      <c r="T2039" s="255"/>
    </row>
    <row r="2040" spans="18:20" x14ac:dyDescent="0.3">
      <c r="R2040" s="255"/>
      <c r="S2040" s="255"/>
      <c r="T2040" s="255"/>
    </row>
    <row r="2041" spans="18:20" x14ac:dyDescent="0.3">
      <c r="R2041" s="255"/>
      <c r="S2041" s="255"/>
      <c r="T2041" s="255"/>
    </row>
    <row r="2042" spans="18:20" x14ac:dyDescent="0.3">
      <c r="R2042" s="255"/>
      <c r="S2042" s="255"/>
      <c r="T2042" s="255"/>
    </row>
    <row r="2043" spans="18:20" x14ac:dyDescent="0.3">
      <c r="R2043" s="255"/>
      <c r="S2043" s="255"/>
      <c r="T2043" s="255"/>
    </row>
    <row r="2044" spans="18:20" x14ac:dyDescent="0.3">
      <c r="R2044" s="255"/>
      <c r="S2044" s="255"/>
      <c r="T2044" s="255"/>
    </row>
    <row r="2045" spans="18:20" x14ac:dyDescent="0.3">
      <c r="R2045" s="255"/>
      <c r="S2045" s="255"/>
      <c r="T2045" s="255"/>
    </row>
    <row r="2046" spans="18:20" x14ac:dyDescent="0.3">
      <c r="R2046" s="255"/>
      <c r="S2046" s="255"/>
      <c r="T2046" s="255"/>
    </row>
    <row r="2047" spans="18:20" x14ac:dyDescent="0.3">
      <c r="R2047" s="255"/>
      <c r="S2047" s="255"/>
      <c r="T2047" s="255"/>
    </row>
    <row r="2048" spans="18:20" x14ac:dyDescent="0.3">
      <c r="R2048" s="255"/>
      <c r="S2048" s="255"/>
      <c r="T2048" s="255"/>
    </row>
    <row r="2049" spans="18:20" x14ac:dyDescent="0.3">
      <c r="R2049" s="255"/>
      <c r="S2049" s="255"/>
      <c r="T2049" s="255"/>
    </row>
    <row r="2050" spans="18:20" x14ac:dyDescent="0.3">
      <c r="R2050" s="255"/>
      <c r="S2050" s="255"/>
      <c r="T2050" s="255"/>
    </row>
    <row r="2051" spans="18:20" x14ac:dyDescent="0.3">
      <c r="R2051" s="255"/>
      <c r="S2051" s="255"/>
      <c r="T2051" s="255"/>
    </row>
    <row r="2052" spans="18:20" x14ac:dyDescent="0.3">
      <c r="R2052" s="255"/>
      <c r="S2052" s="255"/>
      <c r="T2052" s="255"/>
    </row>
    <row r="2053" spans="18:20" x14ac:dyDescent="0.3">
      <c r="R2053" s="255"/>
      <c r="S2053" s="255"/>
      <c r="T2053" s="255"/>
    </row>
    <row r="2054" spans="18:20" x14ac:dyDescent="0.3">
      <c r="R2054" s="255"/>
      <c r="S2054" s="255"/>
      <c r="T2054" s="255"/>
    </row>
    <row r="2055" spans="18:20" x14ac:dyDescent="0.3">
      <c r="R2055" s="255"/>
      <c r="S2055" s="255"/>
      <c r="T2055" s="255"/>
    </row>
    <row r="2056" spans="18:20" x14ac:dyDescent="0.3">
      <c r="R2056" s="255"/>
      <c r="S2056" s="255"/>
      <c r="T2056" s="255"/>
    </row>
    <row r="2057" spans="18:20" x14ac:dyDescent="0.3">
      <c r="R2057" s="255"/>
      <c r="S2057" s="255"/>
      <c r="T2057" s="255"/>
    </row>
    <row r="2058" spans="18:20" x14ac:dyDescent="0.3">
      <c r="R2058" s="255"/>
      <c r="S2058" s="255"/>
      <c r="T2058" s="255"/>
    </row>
    <row r="2059" spans="18:20" x14ac:dyDescent="0.3">
      <c r="R2059" s="255"/>
      <c r="S2059" s="255"/>
      <c r="T2059" s="255"/>
    </row>
    <row r="2060" spans="18:20" x14ac:dyDescent="0.3">
      <c r="R2060" s="255"/>
      <c r="S2060" s="255"/>
      <c r="T2060" s="255"/>
    </row>
    <row r="2061" spans="18:20" x14ac:dyDescent="0.3">
      <c r="R2061" s="255"/>
      <c r="S2061" s="255"/>
      <c r="T2061" s="255"/>
    </row>
    <row r="2062" spans="18:20" x14ac:dyDescent="0.3">
      <c r="R2062" s="255"/>
      <c r="S2062" s="255"/>
      <c r="T2062" s="255"/>
    </row>
    <row r="2063" spans="18:20" x14ac:dyDescent="0.3">
      <c r="R2063" s="255"/>
      <c r="S2063" s="255"/>
      <c r="T2063" s="255"/>
    </row>
    <row r="2064" spans="18:20" x14ac:dyDescent="0.3">
      <c r="R2064" s="255"/>
      <c r="S2064" s="255"/>
      <c r="T2064" s="255"/>
    </row>
    <row r="2065" spans="18:20" x14ac:dyDescent="0.3">
      <c r="R2065" s="255"/>
      <c r="S2065" s="255"/>
      <c r="T2065" s="255"/>
    </row>
    <row r="2066" spans="18:20" x14ac:dyDescent="0.3">
      <c r="R2066" s="255"/>
      <c r="S2066" s="255"/>
      <c r="T2066" s="255"/>
    </row>
    <row r="2067" spans="18:20" x14ac:dyDescent="0.3">
      <c r="R2067" s="255"/>
      <c r="S2067" s="255"/>
      <c r="T2067" s="255"/>
    </row>
    <row r="2068" spans="18:20" x14ac:dyDescent="0.3">
      <c r="R2068" s="255"/>
      <c r="S2068" s="255"/>
      <c r="T2068" s="255"/>
    </row>
    <row r="2069" spans="18:20" x14ac:dyDescent="0.3">
      <c r="R2069" s="255"/>
      <c r="S2069" s="255"/>
      <c r="T2069" s="255"/>
    </row>
    <row r="2070" spans="18:20" x14ac:dyDescent="0.3">
      <c r="R2070" s="255"/>
      <c r="S2070" s="255"/>
      <c r="T2070" s="255"/>
    </row>
    <row r="2071" spans="18:20" x14ac:dyDescent="0.3">
      <c r="R2071" s="255"/>
      <c r="S2071" s="255"/>
      <c r="T2071" s="255"/>
    </row>
    <row r="2072" spans="18:20" x14ac:dyDescent="0.3">
      <c r="R2072" s="255"/>
      <c r="S2072" s="255"/>
      <c r="T2072" s="255"/>
    </row>
    <row r="2073" spans="18:20" x14ac:dyDescent="0.3">
      <c r="R2073" s="255"/>
      <c r="S2073" s="255"/>
      <c r="T2073" s="255"/>
    </row>
    <row r="2074" spans="18:20" x14ac:dyDescent="0.3">
      <c r="R2074" s="255"/>
      <c r="S2074" s="255"/>
      <c r="T2074" s="255"/>
    </row>
    <row r="2075" spans="18:20" x14ac:dyDescent="0.3">
      <c r="R2075" s="255"/>
      <c r="S2075" s="255"/>
      <c r="T2075" s="255"/>
    </row>
    <row r="2076" spans="18:20" x14ac:dyDescent="0.3">
      <c r="R2076" s="255"/>
      <c r="S2076" s="255"/>
      <c r="T2076" s="255"/>
    </row>
    <row r="2077" spans="18:20" x14ac:dyDescent="0.3">
      <c r="R2077" s="255"/>
      <c r="S2077" s="255"/>
      <c r="T2077" s="255"/>
    </row>
    <row r="2078" spans="18:20" x14ac:dyDescent="0.3">
      <c r="R2078" s="255"/>
      <c r="S2078" s="255"/>
      <c r="T2078" s="255"/>
    </row>
    <row r="2079" spans="18:20" x14ac:dyDescent="0.3">
      <c r="R2079" s="255"/>
      <c r="S2079" s="255"/>
      <c r="T2079" s="255"/>
    </row>
    <row r="2080" spans="18:20" x14ac:dyDescent="0.3">
      <c r="R2080" s="255"/>
      <c r="S2080" s="255"/>
      <c r="T2080" s="255"/>
    </row>
    <row r="2081" spans="18:20" x14ac:dyDescent="0.3">
      <c r="R2081" s="255"/>
      <c r="S2081" s="255"/>
      <c r="T2081" s="255"/>
    </row>
    <row r="2082" spans="18:20" x14ac:dyDescent="0.3">
      <c r="R2082" s="255"/>
      <c r="S2082" s="255"/>
      <c r="T2082" s="255"/>
    </row>
    <row r="2083" spans="18:20" x14ac:dyDescent="0.3">
      <c r="R2083" s="255"/>
      <c r="S2083" s="255"/>
      <c r="T2083" s="255"/>
    </row>
    <row r="2084" spans="18:20" x14ac:dyDescent="0.3">
      <c r="R2084" s="255"/>
      <c r="S2084" s="255"/>
      <c r="T2084" s="255"/>
    </row>
    <row r="2085" spans="18:20" x14ac:dyDescent="0.3">
      <c r="R2085" s="255"/>
      <c r="S2085" s="255"/>
      <c r="T2085" s="255"/>
    </row>
    <row r="2086" spans="18:20" x14ac:dyDescent="0.3">
      <c r="R2086" s="255"/>
      <c r="S2086" s="255"/>
      <c r="T2086" s="255"/>
    </row>
    <row r="2087" spans="18:20" x14ac:dyDescent="0.3">
      <c r="R2087" s="255"/>
      <c r="S2087" s="255"/>
      <c r="T2087" s="255"/>
    </row>
    <row r="2088" spans="18:20" x14ac:dyDescent="0.3">
      <c r="R2088" s="255"/>
      <c r="S2088" s="255"/>
      <c r="T2088" s="255"/>
    </row>
    <row r="2089" spans="18:20" x14ac:dyDescent="0.3">
      <c r="R2089" s="255"/>
      <c r="S2089" s="255"/>
      <c r="T2089" s="255"/>
    </row>
    <row r="2090" spans="18:20" x14ac:dyDescent="0.3">
      <c r="R2090" s="255"/>
      <c r="S2090" s="255"/>
      <c r="T2090" s="255"/>
    </row>
    <row r="2091" spans="18:20" x14ac:dyDescent="0.3">
      <c r="R2091" s="255"/>
      <c r="S2091" s="255"/>
      <c r="T2091" s="255"/>
    </row>
    <row r="2092" spans="18:20" x14ac:dyDescent="0.3">
      <c r="R2092" s="255"/>
      <c r="S2092" s="255"/>
      <c r="T2092" s="255"/>
    </row>
    <row r="2093" spans="18:20" x14ac:dyDescent="0.3">
      <c r="R2093" s="255"/>
      <c r="S2093" s="255"/>
      <c r="T2093" s="255"/>
    </row>
    <row r="2094" spans="18:20" x14ac:dyDescent="0.3">
      <c r="R2094" s="255"/>
      <c r="S2094" s="255"/>
      <c r="T2094" s="255"/>
    </row>
    <row r="2095" spans="18:20" x14ac:dyDescent="0.3">
      <c r="R2095" s="255"/>
      <c r="S2095" s="255"/>
      <c r="T2095" s="255"/>
    </row>
    <row r="2096" spans="18:20" x14ac:dyDescent="0.3">
      <c r="R2096" s="255"/>
      <c r="S2096" s="255"/>
      <c r="T2096" s="255"/>
    </row>
    <row r="2097" spans="18:20" x14ac:dyDescent="0.3">
      <c r="R2097" s="255"/>
      <c r="S2097" s="255"/>
      <c r="T2097" s="255"/>
    </row>
    <row r="2098" spans="18:20" x14ac:dyDescent="0.3">
      <c r="R2098" s="255"/>
      <c r="S2098" s="255"/>
      <c r="T2098" s="255"/>
    </row>
    <row r="2099" spans="18:20" x14ac:dyDescent="0.3">
      <c r="R2099" s="255"/>
      <c r="S2099" s="255"/>
      <c r="T2099" s="255"/>
    </row>
    <row r="2100" spans="18:20" x14ac:dyDescent="0.3">
      <c r="R2100" s="255"/>
      <c r="S2100" s="255"/>
      <c r="T2100" s="255"/>
    </row>
    <row r="2101" spans="18:20" x14ac:dyDescent="0.3">
      <c r="R2101" s="255"/>
      <c r="S2101" s="255"/>
      <c r="T2101" s="255"/>
    </row>
    <row r="2102" spans="18:20" x14ac:dyDescent="0.3">
      <c r="R2102" s="255"/>
      <c r="S2102" s="255"/>
      <c r="T2102" s="255"/>
    </row>
    <row r="2103" spans="18:20" x14ac:dyDescent="0.3">
      <c r="R2103" s="255"/>
      <c r="S2103" s="255"/>
      <c r="T2103" s="255"/>
    </row>
    <row r="2104" spans="18:20" x14ac:dyDescent="0.3">
      <c r="R2104" s="255"/>
      <c r="S2104" s="255"/>
      <c r="T2104" s="255"/>
    </row>
    <row r="2105" spans="18:20" x14ac:dyDescent="0.3">
      <c r="R2105" s="255"/>
      <c r="S2105" s="255"/>
      <c r="T2105" s="255"/>
    </row>
    <row r="2106" spans="18:20" x14ac:dyDescent="0.3">
      <c r="R2106" s="255"/>
      <c r="S2106" s="255"/>
      <c r="T2106" s="255"/>
    </row>
    <row r="2107" spans="18:20" x14ac:dyDescent="0.3">
      <c r="R2107" s="255"/>
      <c r="S2107" s="255"/>
      <c r="T2107" s="255"/>
    </row>
    <row r="2108" spans="18:20" x14ac:dyDescent="0.3">
      <c r="R2108" s="255"/>
      <c r="S2108" s="255"/>
      <c r="T2108" s="255"/>
    </row>
    <row r="2109" spans="18:20" x14ac:dyDescent="0.3">
      <c r="R2109" s="255"/>
      <c r="S2109" s="255"/>
      <c r="T2109" s="255"/>
    </row>
    <row r="2110" spans="18:20" x14ac:dyDescent="0.3">
      <c r="R2110" s="255"/>
      <c r="S2110" s="255"/>
      <c r="T2110" s="255"/>
    </row>
    <row r="2111" spans="18:20" x14ac:dyDescent="0.3">
      <c r="R2111" s="255"/>
      <c r="S2111" s="255"/>
      <c r="T2111" s="255"/>
    </row>
    <row r="2112" spans="18:20" x14ac:dyDescent="0.3">
      <c r="R2112" s="255"/>
      <c r="S2112" s="255"/>
      <c r="T2112" s="255"/>
    </row>
    <row r="2113" spans="18:20" x14ac:dyDescent="0.3">
      <c r="R2113" s="255"/>
      <c r="S2113" s="255"/>
      <c r="T2113" s="255"/>
    </row>
    <row r="2114" spans="18:20" x14ac:dyDescent="0.3">
      <c r="R2114" s="255"/>
      <c r="S2114" s="255"/>
      <c r="T2114" s="255"/>
    </row>
    <row r="2115" spans="18:20" x14ac:dyDescent="0.3">
      <c r="R2115" s="255"/>
      <c r="S2115" s="255"/>
      <c r="T2115" s="255"/>
    </row>
    <row r="2116" spans="18:20" x14ac:dyDescent="0.3">
      <c r="R2116" s="255"/>
      <c r="S2116" s="255"/>
      <c r="T2116" s="255"/>
    </row>
    <row r="2117" spans="18:20" x14ac:dyDescent="0.3">
      <c r="R2117" s="255"/>
      <c r="S2117" s="255"/>
      <c r="T2117" s="255"/>
    </row>
    <row r="2118" spans="18:20" x14ac:dyDescent="0.3">
      <c r="R2118" s="255"/>
      <c r="S2118" s="255"/>
      <c r="T2118" s="255"/>
    </row>
    <row r="2119" spans="18:20" x14ac:dyDescent="0.3">
      <c r="R2119" s="255"/>
      <c r="S2119" s="255"/>
      <c r="T2119" s="255"/>
    </row>
    <row r="2120" spans="18:20" x14ac:dyDescent="0.3">
      <c r="R2120" s="255"/>
      <c r="S2120" s="255"/>
      <c r="T2120" s="255"/>
    </row>
    <row r="2121" spans="18:20" x14ac:dyDescent="0.3">
      <c r="R2121" s="255"/>
      <c r="S2121" s="255"/>
      <c r="T2121" s="255"/>
    </row>
    <row r="2122" spans="18:20" x14ac:dyDescent="0.3">
      <c r="R2122" s="255"/>
      <c r="S2122" s="255"/>
      <c r="T2122" s="255"/>
    </row>
    <row r="2123" spans="18:20" x14ac:dyDescent="0.3">
      <c r="R2123" s="255"/>
      <c r="S2123" s="255"/>
      <c r="T2123" s="255"/>
    </row>
    <row r="2124" spans="18:20" x14ac:dyDescent="0.3">
      <c r="R2124" s="255"/>
      <c r="S2124" s="255"/>
      <c r="T2124" s="255"/>
    </row>
    <row r="2125" spans="18:20" x14ac:dyDescent="0.3">
      <c r="R2125" s="255"/>
      <c r="S2125" s="255"/>
      <c r="T2125" s="255"/>
    </row>
    <row r="2126" spans="18:20" x14ac:dyDescent="0.3">
      <c r="R2126" s="255"/>
      <c r="S2126" s="255"/>
      <c r="T2126" s="255"/>
    </row>
    <row r="2127" spans="18:20" x14ac:dyDescent="0.3">
      <c r="R2127" s="255"/>
      <c r="S2127" s="255"/>
      <c r="T2127" s="255"/>
    </row>
    <row r="2128" spans="18:20" x14ac:dyDescent="0.3">
      <c r="R2128" s="255"/>
      <c r="S2128" s="255"/>
      <c r="T2128" s="255"/>
    </row>
    <row r="2129" spans="18:20" x14ac:dyDescent="0.3">
      <c r="R2129" s="255"/>
      <c r="S2129" s="255"/>
      <c r="T2129" s="255"/>
    </row>
    <row r="2130" spans="18:20" x14ac:dyDescent="0.3">
      <c r="R2130" s="255"/>
      <c r="S2130" s="255"/>
      <c r="T2130" s="255"/>
    </row>
    <row r="2131" spans="18:20" x14ac:dyDescent="0.3">
      <c r="R2131" s="255"/>
      <c r="S2131" s="255"/>
      <c r="T2131" s="255"/>
    </row>
    <row r="2132" spans="18:20" x14ac:dyDescent="0.3">
      <c r="R2132" s="255"/>
      <c r="S2132" s="255"/>
      <c r="T2132" s="255"/>
    </row>
    <row r="2133" spans="18:20" x14ac:dyDescent="0.3">
      <c r="R2133" s="255"/>
      <c r="S2133" s="255"/>
      <c r="T2133" s="255"/>
    </row>
    <row r="2134" spans="18:20" x14ac:dyDescent="0.3">
      <c r="R2134" s="255"/>
      <c r="S2134" s="255"/>
      <c r="T2134" s="255"/>
    </row>
    <row r="2135" spans="18:20" x14ac:dyDescent="0.3">
      <c r="R2135" s="255"/>
      <c r="S2135" s="255"/>
      <c r="T2135" s="255"/>
    </row>
    <row r="2136" spans="18:20" x14ac:dyDescent="0.3">
      <c r="R2136" s="255"/>
      <c r="S2136" s="255"/>
      <c r="T2136" s="255"/>
    </row>
    <row r="2137" spans="18:20" x14ac:dyDescent="0.3">
      <c r="R2137" s="255"/>
      <c r="S2137" s="255"/>
      <c r="T2137" s="255"/>
    </row>
    <row r="2138" spans="18:20" x14ac:dyDescent="0.3">
      <c r="R2138" s="255"/>
      <c r="S2138" s="255"/>
      <c r="T2138" s="255"/>
    </row>
    <row r="2139" spans="18:20" x14ac:dyDescent="0.3">
      <c r="R2139" s="255"/>
      <c r="S2139" s="255"/>
      <c r="T2139" s="255"/>
    </row>
    <row r="2140" spans="18:20" x14ac:dyDescent="0.3">
      <c r="R2140" s="255"/>
      <c r="S2140" s="255"/>
      <c r="T2140" s="255"/>
    </row>
    <row r="2141" spans="18:20" x14ac:dyDescent="0.3">
      <c r="R2141" s="255"/>
      <c r="S2141" s="255"/>
      <c r="T2141" s="255"/>
    </row>
    <row r="2142" spans="18:20" x14ac:dyDescent="0.3">
      <c r="R2142" s="255"/>
      <c r="S2142" s="255"/>
      <c r="T2142" s="255"/>
    </row>
    <row r="2143" spans="18:20" x14ac:dyDescent="0.3">
      <c r="R2143" s="255"/>
      <c r="S2143" s="255"/>
      <c r="T2143" s="255"/>
    </row>
    <row r="2144" spans="18:20" x14ac:dyDescent="0.3">
      <c r="R2144" s="255"/>
      <c r="S2144" s="255"/>
      <c r="T2144" s="255"/>
    </row>
    <row r="2145" spans="18:20" x14ac:dyDescent="0.3">
      <c r="R2145" s="255"/>
      <c r="S2145" s="255"/>
      <c r="T2145" s="255"/>
    </row>
    <row r="2146" spans="18:20" x14ac:dyDescent="0.3">
      <c r="R2146" s="255"/>
      <c r="S2146" s="255"/>
      <c r="T2146" s="255"/>
    </row>
    <row r="2147" spans="18:20" x14ac:dyDescent="0.3">
      <c r="R2147" s="255"/>
      <c r="S2147" s="255"/>
      <c r="T2147" s="255"/>
    </row>
    <row r="2148" spans="18:20" x14ac:dyDescent="0.3">
      <c r="R2148" s="255"/>
      <c r="S2148" s="255"/>
      <c r="T2148" s="255"/>
    </row>
    <row r="2149" spans="18:20" x14ac:dyDescent="0.3">
      <c r="R2149" s="255"/>
      <c r="S2149" s="255"/>
      <c r="T2149" s="255"/>
    </row>
    <row r="2150" spans="18:20" x14ac:dyDescent="0.3">
      <c r="R2150" s="255"/>
      <c r="S2150" s="255"/>
      <c r="T2150" s="255"/>
    </row>
    <row r="2151" spans="18:20" x14ac:dyDescent="0.3">
      <c r="R2151" s="255"/>
      <c r="S2151" s="255"/>
      <c r="T2151" s="255"/>
    </row>
    <row r="2152" spans="18:20" x14ac:dyDescent="0.3">
      <c r="R2152" s="255"/>
      <c r="S2152" s="255"/>
      <c r="T2152" s="255"/>
    </row>
    <row r="2153" spans="18:20" x14ac:dyDescent="0.3">
      <c r="R2153" s="255"/>
      <c r="S2153" s="255"/>
      <c r="T2153" s="255"/>
    </row>
    <row r="2154" spans="18:20" x14ac:dyDescent="0.3">
      <c r="R2154" s="255"/>
      <c r="S2154" s="255"/>
      <c r="T2154" s="255"/>
    </row>
    <row r="2155" spans="18:20" x14ac:dyDescent="0.3">
      <c r="R2155" s="255"/>
      <c r="S2155" s="255"/>
      <c r="T2155" s="255"/>
    </row>
    <row r="2156" spans="18:20" x14ac:dyDescent="0.3">
      <c r="R2156" s="255"/>
      <c r="S2156" s="255"/>
      <c r="T2156" s="255"/>
    </row>
    <row r="2157" spans="18:20" x14ac:dyDescent="0.3">
      <c r="R2157" s="255"/>
      <c r="S2157" s="255"/>
      <c r="T2157" s="255"/>
    </row>
    <row r="2158" spans="18:20" x14ac:dyDescent="0.3">
      <c r="R2158" s="255"/>
      <c r="S2158" s="255"/>
      <c r="T2158" s="255"/>
    </row>
    <row r="2159" spans="18:20" x14ac:dyDescent="0.3">
      <c r="R2159" s="255"/>
      <c r="S2159" s="255"/>
      <c r="T2159" s="255"/>
    </row>
    <row r="2160" spans="18:20" x14ac:dyDescent="0.3">
      <c r="R2160" s="255"/>
      <c r="S2160" s="255"/>
      <c r="T2160" s="255"/>
    </row>
    <row r="2161" spans="18:20" x14ac:dyDescent="0.3">
      <c r="R2161" s="255"/>
      <c r="S2161" s="255"/>
      <c r="T2161" s="255"/>
    </row>
    <row r="2162" spans="18:20" x14ac:dyDescent="0.3">
      <c r="R2162" s="255"/>
      <c r="S2162" s="255"/>
      <c r="T2162" s="255"/>
    </row>
    <row r="2163" spans="18:20" x14ac:dyDescent="0.3">
      <c r="R2163" s="255"/>
      <c r="S2163" s="255"/>
      <c r="T2163" s="255"/>
    </row>
    <row r="2164" spans="18:20" x14ac:dyDescent="0.3">
      <c r="R2164" s="255"/>
      <c r="S2164" s="255"/>
      <c r="T2164" s="255"/>
    </row>
    <row r="2165" spans="18:20" x14ac:dyDescent="0.3">
      <c r="R2165" s="255"/>
      <c r="S2165" s="255"/>
      <c r="T2165" s="255"/>
    </row>
    <row r="2166" spans="18:20" x14ac:dyDescent="0.3">
      <c r="R2166" s="255"/>
      <c r="S2166" s="255"/>
      <c r="T2166" s="255"/>
    </row>
    <row r="2167" spans="18:20" x14ac:dyDescent="0.3">
      <c r="R2167" s="255"/>
      <c r="S2167" s="255"/>
      <c r="T2167" s="255"/>
    </row>
    <row r="2168" spans="18:20" x14ac:dyDescent="0.3">
      <c r="R2168" s="255"/>
      <c r="S2168" s="255"/>
      <c r="T2168" s="255"/>
    </row>
    <row r="2169" spans="18:20" x14ac:dyDescent="0.3">
      <c r="R2169" s="255"/>
      <c r="S2169" s="255"/>
      <c r="T2169" s="255"/>
    </row>
    <row r="2170" spans="18:20" x14ac:dyDescent="0.3">
      <c r="R2170" s="255"/>
      <c r="S2170" s="255"/>
      <c r="T2170" s="255"/>
    </row>
    <row r="2171" spans="18:20" x14ac:dyDescent="0.3">
      <c r="R2171" s="255"/>
      <c r="S2171" s="255"/>
      <c r="T2171" s="255"/>
    </row>
    <row r="2172" spans="18:20" x14ac:dyDescent="0.3">
      <c r="R2172" s="255"/>
      <c r="S2172" s="255"/>
      <c r="T2172" s="255"/>
    </row>
    <row r="2173" spans="18:20" x14ac:dyDescent="0.3">
      <c r="R2173" s="255"/>
      <c r="S2173" s="255"/>
      <c r="T2173" s="255"/>
    </row>
    <row r="2174" spans="18:20" x14ac:dyDescent="0.3">
      <c r="R2174" s="255"/>
      <c r="S2174" s="255"/>
      <c r="T2174" s="255"/>
    </row>
    <row r="2175" spans="18:20" x14ac:dyDescent="0.3">
      <c r="R2175" s="255"/>
      <c r="S2175" s="255"/>
      <c r="T2175" s="255"/>
    </row>
    <row r="2176" spans="18:20" x14ac:dyDescent="0.3">
      <c r="R2176" s="255"/>
      <c r="S2176" s="255"/>
      <c r="T2176" s="255"/>
    </row>
    <row r="2177" spans="18:20" x14ac:dyDescent="0.3">
      <c r="R2177" s="255"/>
      <c r="S2177" s="255"/>
      <c r="T2177" s="255"/>
    </row>
    <row r="2178" spans="18:20" x14ac:dyDescent="0.3">
      <c r="R2178" s="255"/>
      <c r="S2178" s="255"/>
      <c r="T2178" s="255"/>
    </row>
    <row r="2179" spans="18:20" x14ac:dyDescent="0.3">
      <c r="R2179" s="255"/>
      <c r="S2179" s="255"/>
      <c r="T2179" s="255"/>
    </row>
    <row r="2180" spans="18:20" x14ac:dyDescent="0.3">
      <c r="R2180" s="255"/>
      <c r="S2180" s="255"/>
      <c r="T2180" s="255"/>
    </row>
    <row r="2181" spans="18:20" x14ac:dyDescent="0.3">
      <c r="R2181" s="255"/>
      <c r="S2181" s="255"/>
      <c r="T2181" s="255"/>
    </row>
    <row r="2182" spans="18:20" x14ac:dyDescent="0.3">
      <c r="R2182" s="255"/>
      <c r="S2182" s="255"/>
      <c r="T2182" s="255"/>
    </row>
    <row r="2183" spans="18:20" x14ac:dyDescent="0.3">
      <c r="R2183" s="255"/>
      <c r="S2183" s="255"/>
      <c r="T2183" s="255"/>
    </row>
    <row r="2184" spans="18:20" x14ac:dyDescent="0.3">
      <c r="R2184" s="255"/>
      <c r="S2184" s="255"/>
      <c r="T2184" s="255"/>
    </row>
    <row r="2185" spans="18:20" x14ac:dyDescent="0.3">
      <c r="R2185" s="255"/>
      <c r="S2185" s="255"/>
      <c r="T2185" s="255"/>
    </row>
    <row r="2186" spans="18:20" x14ac:dyDescent="0.3">
      <c r="R2186" s="255"/>
      <c r="S2186" s="255"/>
      <c r="T2186" s="255"/>
    </row>
    <row r="2187" spans="18:20" x14ac:dyDescent="0.3">
      <c r="R2187" s="255"/>
      <c r="S2187" s="255"/>
      <c r="T2187" s="255"/>
    </row>
    <row r="2188" spans="18:20" x14ac:dyDescent="0.3">
      <c r="R2188" s="255"/>
      <c r="S2188" s="255"/>
      <c r="T2188" s="255"/>
    </row>
    <row r="2189" spans="18:20" x14ac:dyDescent="0.3">
      <c r="R2189" s="255"/>
      <c r="S2189" s="255"/>
      <c r="T2189" s="255"/>
    </row>
    <row r="2190" spans="18:20" x14ac:dyDescent="0.3">
      <c r="R2190" s="255"/>
      <c r="S2190" s="255"/>
      <c r="T2190" s="255"/>
    </row>
    <row r="2191" spans="18:20" x14ac:dyDescent="0.3">
      <c r="R2191" s="255"/>
      <c r="S2191" s="255"/>
      <c r="T2191" s="255"/>
    </row>
    <row r="2192" spans="18:20" x14ac:dyDescent="0.3">
      <c r="R2192" s="255"/>
      <c r="S2192" s="255"/>
      <c r="T2192" s="255"/>
    </row>
    <row r="2193" spans="18:20" x14ac:dyDescent="0.3">
      <c r="R2193" s="255"/>
      <c r="S2193" s="255"/>
      <c r="T2193" s="255"/>
    </row>
    <row r="2194" spans="18:20" x14ac:dyDescent="0.3">
      <c r="R2194" s="255"/>
      <c r="S2194" s="255"/>
      <c r="T2194" s="255"/>
    </row>
    <row r="2195" spans="18:20" x14ac:dyDescent="0.3">
      <c r="R2195" s="255"/>
      <c r="S2195" s="255"/>
      <c r="T2195" s="255"/>
    </row>
    <row r="2196" spans="18:20" x14ac:dyDescent="0.3">
      <c r="R2196" s="255"/>
      <c r="S2196" s="255"/>
      <c r="T2196" s="255"/>
    </row>
    <row r="2197" spans="18:20" x14ac:dyDescent="0.3">
      <c r="R2197" s="255"/>
      <c r="S2197" s="255"/>
      <c r="T2197" s="255"/>
    </row>
    <row r="2198" spans="18:20" x14ac:dyDescent="0.3">
      <c r="R2198" s="255"/>
      <c r="S2198" s="255"/>
      <c r="T2198" s="255"/>
    </row>
    <row r="2199" spans="18:20" x14ac:dyDescent="0.3">
      <c r="R2199" s="255"/>
      <c r="S2199" s="255"/>
      <c r="T2199" s="255"/>
    </row>
    <row r="2200" spans="18:20" x14ac:dyDescent="0.3">
      <c r="R2200" s="255"/>
      <c r="S2200" s="255"/>
      <c r="T2200" s="255"/>
    </row>
    <row r="2201" spans="18:20" x14ac:dyDescent="0.3">
      <c r="R2201" s="255"/>
      <c r="S2201" s="255"/>
      <c r="T2201" s="255"/>
    </row>
    <row r="2202" spans="18:20" x14ac:dyDescent="0.3">
      <c r="R2202" s="255"/>
      <c r="S2202" s="255"/>
      <c r="T2202" s="255"/>
    </row>
    <row r="2203" spans="18:20" x14ac:dyDescent="0.3">
      <c r="R2203" s="255"/>
      <c r="S2203" s="255"/>
      <c r="T2203" s="255"/>
    </row>
    <row r="2204" spans="18:20" x14ac:dyDescent="0.3">
      <c r="R2204" s="255"/>
      <c r="S2204" s="255"/>
      <c r="T2204" s="255"/>
    </row>
    <row r="2205" spans="18:20" x14ac:dyDescent="0.3">
      <c r="R2205" s="255"/>
      <c r="S2205" s="255"/>
      <c r="T2205" s="255"/>
    </row>
    <row r="2206" spans="18:20" x14ac:dyDescent="0.3">
      <c r="R2206" s="255"/>
      <c r="S2206" s="255"/>
      <c r="T2206" s="255"/>
    </row>
    <row r="2207" spans="18:20" x14ac:dyDescent="0.3">
      <c r="R2207" s="255"/>
      <c r="S2207" s="255"/>
      <c r="T2207" s="255"/>
    </row>
    <row r="2208" spans="18:20" x14ac:dyDescent="0.3">
      <c r="R2208" s="255"/>
      <c r="S2208" s="255"/>
      <c r="T2208" s="255"/>
    </row>
    <row r="2209" spans="18:20" x14ac:dyDescent="0.3">
      <c r="R2209" s="255"/>
      <c r="S2209" s="255"/>
      <c r="T2209" s="255"/>
    </row>
    <row r="2210" spans="18:20" x14ac:dyDescent="0.3">
      <c r="R2210" s="255"/>
      <c r="S2210" s="255"/>
      <c r="T2210" s="255"/>
    </row>
    <row r="2211" spans="18:20" x14ac:dyDescent="0.3">
      <c r="R2211" s="255"/>
      <c r="S2211" s="255"/>
      <c r="T2211" s="255"/>
    </row>
    <row r="2212" spans="18:20" x14ac:dyDescent="0.3">
      <c r="R2212" s="255"/>
      <c r="S2212" s="255"/>
      <c r="T2212" s="255"/>
    </row>
    <row r="2213" spans="18:20" x14ac:dyDescent="0.3">
      <c r="R2213" s="255"/>
      <c r="S2213" s="255"/>
      <c r="T2213" s="255"/>
    </row>
    <row r="2214" spans="18:20" x14ac:dyDescent="0.3">
      <c r="R2214" s="255"/>
      <c r="S2214" s="255"/>
      <c r="T2214" s="255"/>
    </row>
    <row r="2215" spans="18:20" x14ac:dyDescent="0.3">
      <c r="R2215" s="255"/>
      <c r="S2215" s="255"/>
      <c r="T2215" s="255"/>
    </row>
    <row r="2216" spans="18:20" x14ac:dyDescent="0.3">
      <c r="R2216" s="255"/>
      <c r="S2216" s="255"/>
      <c r="T2216" s="255"/>
    </row>
    <row r="2217" spans="18:20" x14ac:dyDescent="0.3">
      <c r="R2217" s="255"/>
      <c r="S2217" s="255"/>
      <c r="T2217" s="255"/>
    </row>
    <row r="2218" spans="18:20" x14ac:dyDescent="0.3">
      <c r="R2218" s="255"/>
      <c r="S2218" s="255"/>
      <c r="T2218" s="255"/>
    </row>
    <row r="2219" spans="18:20" x14ac:dyDescent="0.3">
      <c r="R2219" s="255"/>
      <c r="S2219" s="255"/>
      <c r="T2219" s="255"/>
    </row>
    <row r="2220" spans="18:20" x14ac:dyDescent="0.3">
      <c r="R2220" s="255"/>
      <c r="S2220" s="255"/>
      <c r="T2220" s="255"/>
    </row>
    <row r="2221" spans="18:20" x14ac:dyDescent="0.3">
      <c r="R2221" s="255"/>
      <c r="S2221" s="255"/>
      <c r="T2221" s="255"/>
    </row>
    <row r="2222" spans="18:20" x14ac:dyDescent="0.3">
      <c r="R2222" s="255"/>
      <c r="S2222" s="255"/>
      <c r="T2222" s="255"/>
    </row>
    <row r="2223" spans="18:20" x14ac:dyDescent="0.3">
      <c r="R2223" s="255"/>
      <c r="S2223" s="255"/>
      <c r="T2223" s="255"/>
    </row>
    <row r="2224" spans="18:20" x14ac:dyDescent="0.3">
      <c r="R2224" s="255"/>
      <c r="S2224" s="255"/>
      <c r="T2224" s="255"/>
    </row>
    <row r="2225" spans="18:20" x14ac:dyDescent="0.3">
      <c r="R2225" s="255"/>
      <c r="S2225" s="255"/>
      <c r="T2225" s="255"/>
    </row>
    <row r="2226" spans="18:20" x14ac:dyDescent="0.3">
      <c r="R2226" s="255"/>
      <c r="S2226" s="255"/>
      <c r="T2226" s="255"/>
    </row>
    <row r="2227" spans="18:20" x14ac:dyDescent="0.3">
      <c r="R2227" s="255"/>
      <c r="S2227" s="255"/>
      <c r="T2227" s="255"/>
    </row>
    <row r="2228" spans="18:20" x14ac:dyDescent="0.3">
      <c r="R2228" s="255"/>
      <c r="S2228" s="255"/>
      <c r="T2228" s="255"/>
    </row>
    <row r="2229" spans="18:20" x14ac:dyDescent="0.3">
      <c r="R2229" s="255"/>
      <c r="S2229" s="255"/>
      <c r="T2229" s="255"/>
    </row>
    <row r="2230" spans="18:20" x14ac:dyDescent="0.3">
      <c r="R2230" s="255"/>
      <c r="S2230" s="255"/>
      <c r="T2230" s="255"/>
    </row>
    <row r="2231" spans="18:20" x14ac:dyDescent="0.3">
      <c r="R2231" s="255"/>
      <c r="S2231" s="255"/>
      <c r="T2231" s="255"/>
    </row>
    <row r="2232" spans="18:20" x14ac:dyDescent="0.3">
      <c r="R2232" s="255"/>
      <c r="S2232" s="255"/>
      <c r="T2232" s="255"/>
    </row>
    <row r="2233" spans="18:20" x14ac:dyDescent="0.3">
      <c r="R2233" s="255"/>
      <c r="S2233" s="255"/>
      <c r="T2233" s="255"/>
    </row>
    <row r="2234" spans="18:20" x14ac:dyDescent="0.3">
      <c r="R2234" s="255"/>
      <c r="S2234" s="255"/>
      <c r="T2234" s="255"/>
    </row>
    <row r="2235" spans="18:20" x14ac:dyDescent="0.3">
      <c r="R2235" s="255"/>
      <c r="S2235" s="255"/>
      <c r="T2235" s="255"/>
    </row>
    <row r="2236" spans="18:20" x14ac:dyDescent="0.3">
      <c r="R2236" s="255"/>
      <c r="S2236" s="255"/>
      <c r="T2236" s="255"/>
    </row>
    <row r="2237" spans="18:20" x14ac:dyDescent="0.3">
      <c r="R2237" s="255"/>
      <c r="S2237" s="255"/>
      <c r="T2237" s="255"/>
    </row>
    <row r="2238" spans="18:20" x14ac:dyDescent="0.3">
      <c r="R2238" s="255"/>
      <c r="S2238" s="255"/>
      <c r="T2238" s="255"/>
    </row>
    <row r="2239" spans="18:20" x14ac:dyDescent="0.3">
      <c r="R2239" s="255"/>
      <c r="S2239" s="255"/>
      <c r="T2239" s="255"/>
    </row>
    <row r="2240" spans="18:20" x14ac:dyDescent="0.3">
      <c r="R2240" s="255"/>
      <c r="S2240" s="255"/>
      <c r="T2240" s="255"/>
    </row>
    <row r="2241" spans="18:20" x14ac:dyDescent="0.3">
      <c r="R2241" s="255"/>
      <c r="S2241" s="255"/>
      <c r="T2241" s="255"/>
    </row>
    <row r="2242" spans="18:20" x14ac:dyDescent="0.3">
      <c r="R2242" s="255"/>
      <c r="S2242" s="255"/>
      <c r="T2242" s="255"/>
    </row>
    <row r="2243" spans="18:20" x14ac:dyDescent="0.3">
      <c r="R2243" s="255"/>
      <c r="S2243" s="255"/>
      <c r="T2243" s="255"/>
    </row>
    <row r="2244" spans="18:20" x14ac:dyDescent="0.3">
      <c r="R2244" s="255"/>
      <c r="S2244" s="255"/>
      <c r="T2244" s="255"/>
    </row>
    <row r="2245" spans="18:20" x14ac:dyDescent="0.3">
      <c r="R2245" s="255"/>
      <c r="S2245" s="255"/>
      <c r="T2245" s="255"/>
    </row>
    <row r="2246" spans="18:20" x14ac:dyDescent="0.3">
      <c r="R2246" s="255"/>
      <c r="S2246" s="255"/>
      <c r="T2246" s="255"/>
    </row>
    <row r="2247" spans="18:20" x14ac:dyDescent="0.3">
      <c r="R2247" s="255"/>
      <c r="S2247" s="255"/>
      <c r="T2247" s="255"/>
    </row>
    <row r="2248" spans="18:20" x14ac:dyDescent="0.3">
      <c r="R2248" s="255"/>
      <c r="S2248" s="255"/>
      <c r="T2248" s="255"/>
    </row>
    <row r="2249" spans="18:20" x14ac:dyDescent="0.3">
      <c r="R2249" s="255"/>
      <c r="S2249" s="255"/>
      <c r="T2249" s="255"/>
    </row>
    <row r="2250" spans="18:20" x14ac:dyDescent="0.3">
      <c r="R2250" s="255"/>
      <c r="S2250" s="255"/>
      <c r="T2250" s="255"/>
    </row>
    <row r="2251" spans="18:20" x14ac:dyDescent="0.3">
      <c r="R2251" s="255"/>
      <c r="S2251" s="255"/>
      <c r="T2251" s="255"/>
    </row>
    <row r="2252" spans="18:20" x14ac:dyDescent="0.3">
      <c r="R2252" s="255"/>
      <c r="S2252" s="255"/>
      <c r="T2252" s="255"/>
    </row>
    <row r="2253" spans="18:20" x14ac:dyDescent="0.3">
      <c r="R2253" s="255"/>
      <c r="S2253" s="255"/>
      <c r="T2253" s="255"/>
    </row>
    <row r="2254" spans="18:20" x14ac:dyDescent="0.3">
      <c r="R2254" s="255"/>
      <c r="S2254" s="255"/>
      <c r="T2254" s="255"/>
    </row>
    <row r="2255" spans="18:20" x14ac:dyDescent="0.3">
      <c r="R2255" s="255"/>
      <c r="S2255" s="255"/>
      <c r="T2255" s="255"/>
    </row>
    <row r="2256" spans="18:20" x14ac:dyDescent="0.3">
      <c r="R2256" s="255"/>
      <c r="S2256" s="255"/>
      <c r="T2256" s="255"/>
    </row>
    <row r="2257" spans="18:20" x14ac:dyDescent="0.3">
      <c r="R2257" s="255"/>
      <c r="S2257" s="255"/>
      <c r="T2257" s="255"/>
    </row>
    <row r="2258" spans="18:20" x14ac:dyDescent="0.3">
      <c r="R2258" s="255"/>
      <c r="S2258" s="255"/>
      <c r="T2258" s="255"/>
    </row>
    <row r="2259" spans="18:20" x14ac:dyDescent="0.3">
      <c r="R2259" s="255"/>
      <c r="S2259" s="255"/>
      <c r="T2259" s="255"/>
    </row>
    <row r="2260" spans="18:20" x14ac:dyDescent="0.3">
      <c r="R2260" s="255"/>
      <c r="S2260" s="255"/>
      <c r="T2260" s="255"/>
    </row>
    <row r="2261" spans="18:20" x14ac:dyDescent="0.3">
      <c r="R2261" s="255"/>
      <c r="S2261" s="255"/>
      <c r="T2261" s="255"/>
    </row>
    <row r="2262" spans="18:20" x14ac:dyDescent="0.3">
      <c r="R2262" s="255"/>
      <c r="S2262" s="255"/>
      <c r="T2262" s="255"/>
    </row>
    <row r="2263" spans="18:20" x14ac:dyDescent="0.3">
      <c r="R2263" s="255"/>
      <c r="S2263" s="255"/>
      <c r="T2263" s="255"/>
    </row>
    <row r="2264" spans="18:20" x14ac:dyDescent="0.3">
      <c r="R2264" s="255"/>
      <c r="S2264" s="255"/>
      <c r="T2264" s="255"/>
    </row>
    <row r="2265" spans="18:20" x14ac:dyDescent="0.3">
      <c r="R2265" s="255"/>
      <c r="S2265" s="255"/>
      <c r="T2265" s="255"/>
    </row>
    <row r="2266" spans="18:20" x14ac:dyDescent="0.3">
      <c r="R2266" s="255"/>
      <c r="S2266" s="255"/>
      <c r="T2266" s="255"/>
    </row>
    <row r="2267" spans="18:20" x14ac:dyDescent="0.3">
      <c r="R2267" s="255"/>
      <c r="S2267" s="255"/>
      <c r="T2267" s="255"/>
    </row>
    <row r="2268" spans="18:20" x14ac:dyDescent="0.3">
      <c r="R2268" s="255"/>
      <c r="S2268" s="255"/>
      <c r="T2268" s="255"/>
    </row>
    <row r="2269" spans="18:20" x14ac:dyDescent="0.3">
      <c r="R2269" s="255"/>
      <c r="S2269" s="255"/>
      <c r="T2269" s="255"/>
    </row>
    <row r="2270" spans="18:20" x14ac:dyDescent="0.3">
      <c r="R2270" s="255"/>
      <c r="S2270" s="255"/>
      <c r="T2270" s="255"/>
    </row>
    <row r="2271" spans="18:20" x14ac:dyDescent="0.3">
      <c r="R2271" s="255"/>
      <c r="S2271" s="255"/>
      <c r="T2271" s="255"/>
    </row>
    <row r="2272" spans="18:20" x14ac:dyDescent="0.3">
      <c r="R2272" s="255"/>
      <c r="S2272" s="255"/>
      <c r="T2272" s="255"/>
    </row>
    <row r="2273" spans="18:20" x14ac:dyDescent="0.3">
      <c r="R2273" s="255"/>
      <c r="S2273" s="255"/>
      <c r="T2273" s="255"/>
    </row>
    <row r="2274" spans="18:20" x14ac:dyDescent="0.3">
      <c r="R2274" s="255"/>
      <c r="S2274" s="255"/>
      <c r="T2274" s="255"/>
    </row>
    <row r="2275" spans="18:20" x14ac:dyDescent="0.3">
      <c r="R2275" s="255"/>
      <c r="S2275" s="255"/>
      <c r="T2275" s="255"/>
    </row>
    <row r="2276" spans="18:20" x14ac:dyDescent="0.3">
      <c r="R2276" s="255"/>
      <c r="S2276" s="255"/>
      <c r="T2276" s="255"/>
    </row>
    <row r="2277" spans="18:20" x14ac:dyDescent="0.3">
      <c r="R2277" s="255"/>
      <c r="S2277" s="255"/>
      <c r="T2277" s="255"/>
    </row>
    <row r="2278" spans="18:20" x14ac:dyDescent="0.3">
      <c r="R2278" s="255"/>
      <c r="S2278" s="255"/>
      <c r="T2278" s="255"/>
    </row>
    <row r="2279" spans="18:20" x14ac:dyDescent="0.3">
      <c r="R2279" s="255"/>
      <c r="S2279" s="255"/>
      <c r="T2279" s="255"/>
    </row>
    <row r="2280" spans="18:20" x14ac:dyDescent="0.3">
      <c r="R2280" s="255"/>
      <c r="S2280" s="255"/>
      <c r="T2280" s="255"/>
    </row>
    <row r="2281" spans="18:20" x14ac:dyDescent="0.3">
      <c r="R2281" s="255"/>
      <c r="S2281" s="255"/>
      <c r="T2281" s="255"/>
    </row>
    <row r="2282" spans="18:20" x14ac:dyDescent="0.3">
      <c r="R2282" s="255"/>
      <c r="S2282" s="255"/>
      <c r="T2282" s="255"/>
    </row>
    <row r="2283" spans="18:20" x14ac:dyDescent="0.3">
      <c r="R2283" s="255"/>
      <c r="S2283" s="255"/>
      <c r="T2283" s="255"/>
    </row>
    <row r="2284" spans="18:20" x14ac:dyDescent="0.3">
      <c r="R2284" s="255"/>
      <c r="S2284" s="255"/>
      <c r="T2284" s="255"/>
    </row>
    <row r="2285" spans="18:20" x14ac:dyDescent="0.3">
      <c r="R2285" s="255"/>
      <c r="S2285" s="255"/>
      <c r="T2285" s="255"/>
    </row>
    <row r="2286" spans="18:20" x14ac:dyDescent="0.3">
      <c r="R2286" s="255"/>
      <c r="S2286" s="255"/>
      <c r="T2286" s="255"/>
    </row>
    <row r="2287" spans="18:20" x14ac:dyDescent="0.3">
      <c r="R2287" s="255"/>
      <c r="S2287" s="255"/>
      <c r="T2287" s="255"/>
    </row>
    <row r="2288" spans="18:20" x14ac:dyDescent="0.3">
      <c r="R2288" s="255"/>
      <c r="S2288" s="255"/>
      <c r="T2288" s="255"/>
    </row>
    <row r="2289" spans="18:20" x14ac:dyDescent="0.3">
      <c r="R2289" s="255"/>
      <c r="S2289" s="255"/>
      <c r="T2289" s="255"/>
    </row>
    <row r="2290" spans="18:20" x14ac:dyDescent="0.3">
      <c r="R2290" s="255"/>
      <c r="S2290" s="255"/>
      <c r="T2290" s="255"/>
    </row>
    <row r="2291" spans="18:20" x14ac:dyDescent="0.3">
      <c r="R2291" s="255"/>
      <c r="S2291" s="255"/>
      <c r="T2291" s="255"/>
    </row>
    <row r="2292" spans="18:20" x14ac:dyDescent="0.3">
      <c r="R2292" s="255"/>
      <c r="S2292" s="255"/>
      <c r="T2292" s="255"/>
    </row>
    <row r="2293" spans="18:20" x14ac:dyDescent="0.3">
      <c r="R2293" s="255"/>
      <c r="S2293" s="255"/>
      <c r="T2293" s="255"/>
    </row>
    <row r="2294" spans="18:20" x14ac:dyDescent="0.3">
      <c r="R2294" s="255"/>
      <c r="S2294" s="255"/>
      <c r="T2294" s="255"/>
    </row>
    <row r="2295" spans="18:20" x14ac:dyDescent="0.3">
      <c r="R2295" s="255"/>
      <c r="S2295" s="255"/>
      <c r="T2295" s="255"/>
    </row>
    <row r="2296" spans="18:20" x14ac:dyDescent="0.3">
      <c r="R2296" s="255"/>
      <c r="S2296" s="255"/>
      <c r="T2296" s="255"/>
    </row>
    <row r="2297" spans="18:20" x14ac:dyDescent="0.3">
      <c r="R2297" s="255"/>
      <c r="S2297" s="255"/>
      <c r="T2297" s="255"/>
    </row>
    <row r="2298" spans="18:20" x14ac:dyDescent="0.3">
      <c r="R2298" s="255"/>
      <c r="S2298" s="255"/>
      <c r="T2298" s="255"/>
    </row>
    <row r="2299" spans="18:20" x14ac:dyDescent="0.3">
      <c r="R2299" s="255"/>
      <c r="S2299" s="255"/>
      <c r="T2299" s="255"/>
    </row>
    <row r="2300" spans="18:20" x14ac:dyDescent="0.3">
      <c r="R2300" s="255"/>
      <c r="S2300" s="255"/>
      <c r="T2300" s="255"/>
    </row>
    <row r="2301" spans="18:20" x14ac:dyDescent="0.3">
      <c r="R2301" s="255"/>
      <c r="S2301" s="255"/>
      <c r="T2301" s="255"/>
    </row>
    <row r="2302" spans="18:20" x14ac:dyDescent="0.3">
      <c r="R2302" s="255"/>
      <c r="S2302" s="255"/>
      <c r="T2302" s="255"/>
    </row>
    <row r="2303" spans="18:20" x14ac:dyDescent="0.3">
      <c r="R2303" s="255"/>
      <c r="S2303" s="255"/>
      <c r="T2303" s="255"/>
    </row>
    <row r="2304" spans="18:20" x14ac:dyDescent="0.3">
      <c r="R2304" s="255"/>
      <c r="S2304" s="255"/>
      <c r="T2304" s="255"/>
    </row>
    <row r="2305" spans="18:20" x14ac:dyDescent="0.3">
      <c r="R2305" s="255"/>
      <c r="S2305" s="255"/>
      <c r="T2305" s="255"/>
    </row>
    <row r="2306" spans="18:20" x14ac:dyDescent="0.3">
      <c r="R2306" s="255"/>
      <c r="S2306" s="255"/>
      <c r="T2306" s="255"/>
    </row>
    <row r="2307" spans="18:20" x14ac:dyDescent="0.3">
      <c r="R2307" s="255"/>
      <c r="S2307" s="255"/>
      <c r="T2307" s="255"/>
    </row>
    <row r="2308" spans="18:20" x14ac:dyDescent="0.3">
      <c r="R2308" s="255"/>
      <c r="S2308" s="255"/>
      <c r="T2308" s="255"/>
    </row>
    <row r="2309" spans="18:20" x14ac:dyDescent="0.3">
      <c r="R2309" s="255"/>
      <c r="S2309" s="255"/>
      <c r="T2309" s="255"/>
    </row>
    <row r="2310" spans="18:20" x14ac:dyDescent="0.3">
      <c r="R2310" s="255"/>
      <c r="S2310" s="255"/>
      <c r="T2310" s="255"/>
    </row>
    <row r="2311" spans="18:20" x14ac:dyDescent="0.3">
      <c r="R2311" s="255"/>
      <c r="S2311" s="255"/>
      <c r="T2311" s="255"/>
    </row>
    <row r="2312" spans="18:20" x14ac:dyDescent="0.3">
      <c r="R2312" s="255"/>
      <c r="S2312" s="255"/>
      <c r="T2312" s="255"/>
    </row>
    <row r="2313" spans="18:20" x14ac:dyDescent="0.3">
      <c r="R2313" s="255"/>
      <c r="S2313" s="255"/>
      <c r="T2313" s="255"/>
    </row>
    <row r="2314" spans="18:20" x14ac:dyDescent="0.3">
      <c r="R2314" s="255"/>
      <c r="S2314" s="255"/>
      <c r="T2314" s="255"/>
    </row>
    <row r="2315" spans="18:20" x14ac:dyDescent="0.3">
      <c r="R2315" s="255"/>
      <c r="S2315" s="255"/>
      <c r="T2315" s="255"/>
    </row>
    <row r="2316" spans="18:20" x14ac:dyDescent="0.3">
      <c r="R2316" s="255"/>
      <c r="S2316" s="255"/>
      <c r="T2316" s="255"/>
    </row>
    <row r="2317" spans="18:20" x14ac:dyDescent="0.3">
      <c r="R2317" s="255"/>
      <c r="S2317" s="255"/>
      <c r="T2317" s="255"/>
    </row>
    <row r="2318" spans="18:20" x14ac:dyDescent="0.3">
      <c r="R2318" s="255"/>
      <c r="S2318" s="255"/>
      <c r="T2318" s="255"/>
    </row>
    <row r="2319" spans="18:20" x14ac:dyDescent="0.3">
      <c r="R2319" s="255"/>
      <c r="S2319" s="255"/>
      <c r="T2319" s="255"/>
    </row>
    <row r="2320" spans="18:20" x14ac:dyDescent="0.3">
      <c r="R2320" s="255"/>
      <c r="S2320" s="255"/>
      <c r="T2320" s="255"/>
    </row>
    <row r="2321" spans="18:20" x14ac:dyDescent="0.3">
      <c r="R2321" s="255"/>
      <c r="S2321" s="255"/>
      <c r="T2321" s="255"/>
    </row>
    <row r="2322" spans="18:20" x14ac:dyDescent="0.3">
      <c r="R2322" s="255"/>
      <c r="S2322" s="255"/>
      <c r="T2322" s="255"/>
    </row>
    <row r="2323" spans="18:20" x14ac:dyDescent="0.3">
      <c r="R2323" s="255"/>
      <c r="S2323" s="255"/>
      <c r="T2323" s="255"/>
    </row>
    <row r="2324" spans="18:20" x14ac:dyDescent="0.3">
      <c r="R2324" s="255"/>
      <c r="S2324" s="255"/>
      <c r="T2324" s="255"/>
    </row>
    <row r="2325" spans="18:20" x14ac:dyDescent="0.3">
      <c r="R2325" s="255"/>
      <c r="S2325" s="255"/>
      <c r="T2325" s="255"/>
    </row>
    <row r="2326" spans="18:20" x14ac:dyDescent="0.3">
      <c r="R2326" s="255"/>
      <c r="S2326" s="255"/>
      <c r="T2326" s="255"/>
    </row>
    <row r="2327" spans="18:20" x14ac:dyDescent="0.3">
      <c r="R2327" s="255"/>
      <c r="S2327" s="255"/>
      <c r="T2327" s="255"/>
    </row>
    <row r="2328" spans="18:20" x14ac:dyDescent="0.3">
      <c r="R2328" s="255"/>
      <c r="S2328" s="255"/>
      <c r="T2328" s="255"/>
    </row>
    <row r="2329" spans="18:20" x14ac:dyDescent="0.3">
      <c r="R2329" s="255"/>
      <c r="S2329" s="255"/>
      <c r="T2329" s="255"/>
    </row>
    <row r="2330" spans="18:20" x14ac:dyDescent="0.3">
      <c r="R2330" s="255"/>
      <c r="S2330" s="255"/>
      <c r="T2330" s="255"/>
    </row>
    <row r="2331" spans="18:20" x14ac:dyDescent="0.3">
      <c r="R2331" s="255"/>
      <c r="S2331" s="255"/>
      <c r="T2331" s="255"/>
    </row>
    <row r="2332" spans="18:20" x14ac:dyDescent="0.3">
      <c r="R2332" s="255"/>
      <c r="S2332" s="255"/>
      <c r="T2332" s="255"/>
    </row>
    <row r="2333" spans="18:20" x14ac:dyDescent="0.3">
      <c r="R2333" s="255"/>
      <c r="S2333" s="255"/>
      <c r="T2333" s="255"/>
    </row>
    <row r="2334" spans="18:20" x14ac:dyDescent="0.3">
      <c r="R2334" s="255"/>
      <c r="S2334" s="255"/>
      <c r="T2334" s="255"/>
    </row>
    <row r="2335" spans="18:20" x14ac:dyDescent="0.3">
      <c r="R2335" s="255"/>
      <c r="S2335" s="255"/>
      <c r="T2335" s="255"/>
    </row>
    <row r="2336" spans="18:20" x14ac:dyDescent="0.3">
      <c r="R2336" s="255"/>
      <c r="S2336" s="255"/>
      <c r="T2336" s="255"/>
    </row>
    <row r="2337" spans="18:20" x14ac:dyDescent="0.3">
      <c r="R2337" s="255"/>
      <c r="S2337" s="255"/>
      <c r="T2337" s="255"/>
    </row>
    <row r="2338" spans="18:20" x14ac:dyDescent="0.3">
      <c r="R2338" s="255"/>
      <c r="S2338" s="255"/>
      <c r="T2338" s="255"/>
    </row>
    <row r="2339" spans="18:20" x14ac:dyDescent="0.3">
      <c r="R2339" s="255"/>
      <c r="S2339" s="255"/>
      <c r="T2339" s="255"/>
    </row>
    <row r="2340" spans="18:20" x14ac:dyDescent="0.3">
      <c r="R2340" s="255"/>
      <c r="S2340" s="255"/>
      <c r="T2340" s="255"/>
    </row>
    <row r="2341" spans="18:20" x14ac:dyDescent="0.3">
      <c r="R2341" s="255"/>
      <c r="S2341" s="255"/>
      <c r="T2341" s="255"/>
    </row>
    <row r="2342" spans="18:20" x14ac:dyDescent="0.3">
      <c r="R2342" s="255"/>
      <c r="S2342" s="255"/>
      <c r="T2342" s="255"/>
    </row>
    <row r="2343" spans="18:20" x14ac:dyDescent="0.3">
      <c r="R2343" s="255"/>
      <c r="S2343" s="255"/>
      <c r="T2343" s="255"/>
    </row>
    <row r="2344" spans="18:20" x14ac:dyDescent="0.3">
      <c r="R2344" s="255"/>
      <c r="S2344" s="255"/>
      <c r="T2344" s="255"/>
    </row>
    <row r="2345" spans="18:20" x14ac:dyDescent="0.3">
      <c r="R2345" s="255"/>
      <c r="S2345" s="255"/>
      <c r="T2345" s="255"/>
    </row>
    <row r="2346" spans="18:20" x14ac:dyDescent="0.3">
      <c r="R2346" s="255"/>
      <c r="S2346" s="255"/>
      <c r="T2346" s="255"/>
    </row>
    <row r="2347" spans="18:20" x14ac:dyDescent="0.3">
      <c r="R2347" s="255"/>
      <c r="S2347" s="255"/>
      <c r="T2347" s="255"/>
    </row>
    <row r="2348" spans="18:20" x14ac:dyDescent="0.3">
      <c r="R2348" s="255"/>
      <c r="S2348" s="255"/>
      <c r="T2348" s="255"/>
    </row>
    <row r="2349" spans="18:20" x14ac:dyDescent="0.3">
      <c r="R2349" s="255"/>
      <c r="S2349" s="255"/>
      <c r="T2349" s="255"/>
    </row>
    <row r="2350" spans="18:20" x14ac:dyDescent="0.3">
      <c r="R2350" s="255"/>
      <c r="S2350" s="255"/>
      <c r="T2350" s="255"/>
    </row>
    <row r="2351" spans="18:20" x14ac:dyDescent="0.3">
      <c r="R2351" s="255"/>
      <c r="S2351" s="255"/>
      <c r="T2351" s="255"/>
    </row>
    <row r="2352" spans="18:20" x14ac:dyDescent="0.3">
      <c r="R2352" s="255"/>
      <c r="S2352" s="255"/>
      <c r="T2352" s="255"/>
    </row>
    <row r="2353" spans="18:20" x14ac:dyDescent="0.3">
      <c r="R2353" s="255"/>
      <c r="S2353" s="255"/>
      <c r="T2353" s="255"/>
    </row>
    <row r="2354" spans="18:20" x14ac:dyDescent="0.3">
      <c r="R2354" s="255"/>
      <c r="S2354" s="255"/>
      <c r="T2354" s="255"/>
    </row>
    <row r="2355" spans="18:20" x14ac:dyDescent="0.3">
      <c r="R2355" s="255"/>
      <c r="S2355" s="255"/>
      <c r="T2355" s="255"/>
    </row>
    <row r="2356" spans="18:20" x14ac:dyDescent="0.3">
      <c r="R2356" s="255"/>
      <c r="S2356" s="255"/>
      <c r="T2356" s="255"/>
    </row>
    <row r="2357" spans="18:20" x14ac:dyDescent="0.3">
      <c r="R2357" s="255"/>
      <c r="S2357" s="255"/>
      <c r="T2357" s="255"/>
    </row>
    <row r="2358" spans="18:20" x14ac:dyDescent="0.3">
      <c r="R2358" s="255"/>
      <c r="S2358" s="255"/>
      <c r="T2358" s="255"/>
    </row>
    <row r="2359" spans="18:20" x14ac:dyDescent="0.3">
      <c r="R2359" s="255"/>
      <c r="S2359" s="255"/>
      <c r="T2359" s="255"/>
    </row>
    <row r="2360" spans="18:20" x14ac:dyDescent="0.3">
      <c r="R2360" s="255"/>
      <c r="S2360" s="255"/>
      <c r="T2360" s="255"/>
    </row>
    <row r="2361" spans="18:20" x14ac:dyDescent="0.3">
      <c r="R2361" s="255"/>
      <c r="S2361" s="255"/>
      <c r="T2361" s="255"/>
    </row>
    <row r="2362" spans="18:20" x14ac:dyDescent="0.3">
      <c r="R2362" s="255"/>
      <c r="S2362" s="255"/>
      <c r="T2362" s="255"/>
    </row>
    <row r="2363" spans="18:20" x14ac:dyDescent="0.3">
      <c r="R2363" s="255"/>
      <c r="S2363" s="255"/>
      <c r="T2363" s="255"/>
    </row>
    <row r="2364" spans="18:20" x14ac:dyDescent="0.3">
      <c r="R2364" s="255"/>
      <c r="S2364" s="255"/>
      <c r="T2364" s="255"/>
    </row>
    <row r="2365" spans="18:20" x14ac:dyDescent="0.3">
      <c r="R2365" s="255"/>
      <c r="S2365" s="255"/>
      <c r="T2365" s="255"/>
    </row>
    <row r="2366" spans="18:20" x14ac:dyDescent="0.3">
      <c r="R2366" s="255"/>
      <c r="S2366" s="255"/>
      <c r="T2366" s="255"/>
    </row>
    <row r="2367" spans="18:20" x14ac:dyDescent="0.3">
      <c r="R2367" s="255"/>
      <c r="S2367" s="255"/>
      <c r="T2367" s="255"/>
    </row>
    <row r="2368" spans="18:20" x14ac:dyDescent="0.3">
      <c r="R2368" s="255"/>
      <c r="S2368" s="255"/>
      <c r="T2368" s="255"/>
    </row>
    <row r="2369" spans="18:20" x14ac:dyDescent="0.3">
      <c r="R2369" s="255"/>
      <c r="S2369" s="255"/>
      <c r="T2369" s="255"/>
    </row>
    <row r="2370" spans="18:20" x14ac:dyDescent="0.3">
      <c r="R2370" s="255"/>
      <c r="S2370" s="255"/>
      <c r="T2370" s="255"/>
    </row>
    <row r="2371" spans="18:20" x14ac:dyDescent="0.3">
      <c r="R2371" s="255"/>
      <c r="S2371" s="255"/>
      <c r="T2371" s="255"/>
    </row>
    <row r="2372" spans="18:20" x14ac:dyDescent="0.3">
      <c r="R2372" s="255"/>
      <c r="S2372" s="255"/>
      <c r="T2372" s="255"/>
    </row>
    <row r="2373" spans="18:20" x14ac:dyDescent="0.3">
      <c r="R2373" s="255"/>
      <c r="S2373" s="255"/>
      <c r="T2373" s="255"/>
    </row>
    <row r="2374" spans="18:20" x14ac:dyDescent="0.3">
      <c r="R2374" s="255"/>
      <c r="S2374" s="255"/>
      <c r="T2374" s="255"/>
    </row>
    <row r="2375" spans="18:20" x14ac:dyDescent="0.3">
      <c r="R2375" s="255"/>
      <c r="S2375" s="255"/>
      <c r="T2375" s="255"/>
    </row>
    <row r="2376" spans="18:20" x14ac:dyDescent="0.3">
      <c r="R2376" s="255"/>
      <c r="S2376" s="255"/>
      <c r="T2376" s="255"/>
    </row>
    <row r="2377" spans="18:20" x14ac:dyDescent="0.3">
      <c r="R2377" s="255"/>
      <c r="S2377" s="255"/>
      <c r="T2377" s="255"/>
    </row>
    <row r="2378" spans="18:20" x14ac:dyDescent="0.3">
      <c r="R2378" s="255"/>
      <c r="S2378" s="255"/>
      <c r="T2378" s="255"/>
    </row>
    <row r="2379" spans="18:20" x14ac:dyDescent="0.3">
      <c r="R2379" s="255"/>
      <c r="S2379" s="255"/>
      <c r="T2379" s="255"/>
    </row>
    <row r="2380" spans="18:20" x14ac:dyDescent="0.3">
      <c r="R2380" s="255"/>
      <c r="S2380" s="255"/>
      <c r="T2380" s="255"/>
    </row>
    <row r="2381" spans="18:20" x14ac:dyDescent="0.3">
      <c r="R2381" s="255"/>
      <c r="S2381" s="255"/>
      <c r="T2381" s="255"/>
    </row>
    <row r="2382" spans="18:20" x14ac:dyDescent="0.3">
      <c r="R2382" s="255"/>
      <c r="S2382" s="255"/>
      <c r="T2382" s="255"/>
    </row>
    <row r="2383" spans="18:20" x14ac:dyDescent="0.3">
      <c r="R2383" s="255"/>
      <c r="S2383" s="255"/>
      <c r="T2383" s="255"/>
    </row>
    <row r="2384" spans="18:20" x14ac:dyDescent="0.3">
      <c r="R2384" s="255"/>
      <c r="S2384" s="255"/>
      <c r="T2384" s="255"/>
    </row>
    <row r="2385" spans="18:20" x14ac:dyDescent="0.3">
      <c r="R2385" s="255"/>
      <c r="S2385" s="255"/>
      <c r="T2385" s="255"/>
    </row>
    <row r="2386" spans="18:20" x14ac:dyDescent="0.3">
      <c r="R2386" s="255"/>
      <c r="S2386" s="255"/>
      <c r="T2386" s="255"/>
    </row>
    <row r="2387" spans="18:20" x14ac:dyDescent="0.3">
      <c r="R2387" s="255"/>
      <c r="S2387" s="255"/>
      <c r="T2387" s="255"/>
    </row>
    <row r="2388" spans="18:20" x14ac:dyDescent="0.3">
      <c r="R2388" s="255"/>
      <c r="S2388" s="255"/>
      <c r="T2388" s="255"/>
    </row>
    <row r="2389" spans="18:20" x14ac:dyDescent="0.3">
      <c r="R2389" s="255"/>
      <c r="S2389" s="255"/>
      <c r="T2389" s="255"/>
    </row>
    <row r="2390" spans="18:20" x14ac:dyDescent="0.3">
      <c r="R2390" s="255"/>
      <c r="S2390" s="255"/>
      <c r="T2390" s="255"/>
    </row>
    <row r="2391" spans="18:20" x14ac:dyDescent="0.3">
      <c r="R2391" s="255"/>
      <c r="S2391" s="255"/>
      <c r="T2391" s="255"/>
    </row>
    <row r="2392" spans="18:20" x14ac:dyDescent="0.3">
      <c r="R2392" s="255"/>
      <c r="S2392" s="255"/>
      <c r="T2392" s="255"/>
    </row>
    <row r="2393" spans="18:20" x14ac:dyDescent="0.3">
      <c r="R2393" s="255"/>
      <c r="S2393" s="255"/>
      <c r="T2393" s="255"/>
    </row>
    <row r="2394" spans="18:20" x14ac:dyDescent="0.3">
      <c r="R2394" s="255"/>
      <c r="S2394" s="255"/>
      <c r="T2394" s="255"/>
    </row>
    <row r="2395" spans="18:20" x14ac:dyDescent="0.3">
      <c r="R2395" s="255"/>
      <c r="S2395" s="255"/>
      <c r="T2395" s="255"/>
    </row>
    <row r="2396" spans="18:20" x14ac:dyDescent="0.3">
      <c r="R2396" s="255"/>
      <c r="S2396" s="255"/>
      <c r="T2396" s="255"/>
    </row>
    <row r="2397" spans="18:20" x14ac:dyDescent="0.3">
      <c r="R2397" s="255"/>
      <c r="S2397" s="255"/>
      <c r="T2397" s="255"/>
    </row>
    <row r="2398" spans="18:20" x14ac:dyDescent="0.3">
      <c r="R2398" s="255"/>
      <c r="S2398" s="255"/>
      <c r="T2398" s="255"/>
    </row>
    <row r="2399" spans="18:20" x14ac:dyDescent="0.3">
      <c r="R2399" s="255"/>
      <c r="S2399" s="255"/>
      <c r="T2399" s="255"/>
    </row>
    <row r="2400" spans="18:20" x14ac:dyDescent="0.3">
      <c r="R2400" s="255"/>
      <c r="S2400" s="255"/>
      <c r="T2400" s="255"/>
    </row>
    <row r="2401" spans="18:20" x14ac:dyDescent="0.3">
      <c r="R2401" s="255"/>
      <c r="S2401" s="255"/>
      <c r="T2401" s="255"/>
    </row>
    <row r="2402" spans="18:20" x14ac:dyDescent="0.3">
      <c r="R2402" s="255"/>
      <c r="S2402" s="255"/>
      <c r="T2402" s="255"/>
    </row>
    <row r="2403" spans="18:20" x14ac:dyDescent="0.3">
      <c r="R2403" s="255"/>
      <c r="S2403" s="255"/>
      <c r="T2403" s="255"/>
    </row>
    <row r="2404" spans="18:20" x14ac:dyDescent="0.3">
      <c r="R2404" s="255"/>
      <c r="S2404" s="255"/>
      <c r="T2404" s="255"/>
    </row>
    <row r="2405" spans="18:20" x14ac:dyDescent="0.3">
      <c r="R2405" s="255"/>
      <c r="S2405" s="255"/>
      <c r="T2405" s="255"/>
    </row>
    <row r="2406" spans="18:20" x14ac:dyDescent="0.3">
      <c r="R2406" s="255"/>
      <c r="S2406" s="255"/>
      <c r="T2406" s="255"/>
    </row>
    <row r="2407" spans="18:20" x14ac:dyDescent="0.3">
      <c r="R2407" s="255"/>
      <c r="S2407" s="255"/>
      <c r="T2407" s="255"/>
    </row>
    <row r="2408" spans="18:20" x14ac:dyDescent="0.3">
      <c r="R2408" s="255"/>
      <c r="S2408" s="255"/>
      <c r="T2408" s="255"/>
    </row>
    <row r="2409" spans="18:20" x14ac:dyDescent="0.3">
      <c r="R2409" s="255"/>
      <c r="S2409" s="255"/>
      <c r="T2409" s="255"/>
    </row>
    <row r="2410" spans="18:20" x14ac:dyDescent="0.3">
      <c r="R2410" s="255"/>
      <c r="S2410" s="255"/>
      <c r="T2410" s="255"/>
    </row>
    <row r="2411" spans="18:20" x14ac:dyDescent="0.3">
      <c r="R2411" s="255"/>
      <c r="S2411" s="255"/>
      <c r="T2411" s="255"/>
    </row>
    <row r="2412" spans="18:20" x14ac:dyDescent="0.3">
      <c r="R2412" s="255"/>
      <c r="S2412" s="255"/>
      <c r="T2412" s="255"/>
    </row>
    <row r="2413" spans="18:20" x14ac:dyDescent="0.3">
      <c r="R2413" s="255"/>
      <c r="S2413" s="255"/>
      <c r="T2413" s="255"/>
    </row>
    <row r="2414" spans="18:20" x14ac:dyDescent="0.3">
      <c r="R2414" s="255"/>
      <c r="S2414" s="255"/>
      <c r="T2414" s="255"/>
    </row>
    <row r="2415" spans="18:20" x14ac:dyDescent="0.3">
      <c r="R2415" s="255"/>
      <c r="S2415" s="255"/>
      <c r="T2415" s="255"/>
    </row>
    <row r="2416" spans="18:20" x14ac:dyDescent="0.3">
      <c r="R2416" s="255"/>
      <c r="S2416" s="255"/>
      <c r="T2416" s="255"/>
    </row>
    <row r="2417" spans="18:20" x14ac:dyDescent="0.3">
      <c r="R2417" s="255"/>
      <c r="S2417" s="255"/>
      <c r="T2417" s="255"/>
    </row>
    <row r="2418" spans="18:20" x14ac:dyDescent="0.3">
      <c r="R2418" s="255"/>
      <c r="S2418" s="255"/>
      <c r="T2418" s="255"/>
    </row>
    <row r="2419" spans="18:20" x14ac:dyDescent="0.3">
      <c r="R2419" s="255"/>
      <c r="S2419" s="255"/>
      <c r="T2419" s="255"/>
    </row>
    <row r="2420" spans="18:20" x14ac:dyDescent="0.3">
      <c r="R2420" s="255"/>
      <c r="S2420" s="255"/>
      <c r="T2420" s="255"/>
    </row>
    <row r="2421" spans="18:20" x14ac:dyDescent="0.3">
      <c r="R2421" s="255"/>
      <c r="S2421" s="255"/>
      <c r="T2421" s="255"/>
    </row>
    <row r="2422" spans="18:20" x14ac:dyDescent="0.3">
      <c r="R2422" s="255"/>
      <c r="S2422" s="255"/>
      <c r="T2422" s="255"/>
    </row>
    <row r="2423" spans="18:20" x14ac:dyDescent="0.3">
      <c r="R2423" s="255"/>
      <c r="S2423" s="255"/>
      <c r="T2423" s="255"/>
    </row>
    <row r="2424" spans="18:20" x14ac:dyDescent="0.3">
      <c r="R2424" s="255"/>
      <c r="S2424" s="255"/>
      <c r="T2424" s="255"/>
    </row>
    <row r="2425" spans="18:20" x14ac:dyDescent="0.3">
      <c r="R2425" s="255"/>
      <c r="S2425" s="255"/>
      <c r="T2425" s="255"/>
    </row>
    <row r="2426" spans="18:20" x14ac:dyDescent="0.3">
      <c r="R2426" s="255"/>
      <c r="S2426" s="255"/>
      <c r="T2426" s="255"/>
    </row>
    <row r="2427" spans="18:20" x14ac:dyDescent="0.3">
      <c r="R2427" s="255"/>
      <c r="S2427" s="255"/>
      <c r="T2427" s="255"/>
    </row>
    <row r="2428" spans="18:20" x14ac:dyDescent="0.3">
      <c r="R2428" s="255"/>
      <c r="S2428" s="255"/>
      <c r="T2428" s="255"/>
    </row>
    <row r="2429" spans="18:20" x14ac:dyDescent="0.3">
      <c r="R2429" s="255"/>
      <c r="S2429" s="255"/>
      <c r="T2429" s="255"/>
    </row>
    <row r="2430" spans="18:20" x14ac:dyDescent="0.3">
      <c r="R2430" s="255"/>
      <c r="S2430" s="255"/>
      <c r="T2430" s="255"/>
    </row>
    <row r="2431" spans="18:20" x14ac:dyDescent="0.3">
      <c r="R2431" s="255"/>
      <c r="S2431" s="255"/>
      <c r="T2431" s="255"/>
    </row>
    <row r="2432" spans="18:20" x14ac:dyDescent="0.3">
      <c r="R2432" s="255"/>
      <c r="S2432" s="255"/>
      <c r="T2432" s="255"/>
    </row>
    <row r="2433" spans="18:20" x14ac:dyDescent="0.3">
      <c r="R2433" s="255"/>
      <c r="S2433" s="255"/>
      <c r="T2433" s="255"/>
    </row>
    <row r="2434" spans="18:20" x14ac:dyDescent="0.3">
      <c r="R2434" s="255"/>
      <c r="S2434" s="255"/>
      <c r="T2434" s="255"/>
    </row>
    <row r="2435" spans="18:20" x14ac:dyDescent="0.3">
      <c r="R2435" s="255"/>
      <c r="S2435" s="255"/>
      <c r="T2435" s="255"/>
    </row>
    <row r="2436" spans="18:20" x14ac:dyDescent="0.3">
      <c r="R2436" s="255"/>
      <c r="S2436" s="255"/>
      <c r="T2436" s="255"/>
    </row>
    <row r="2437" spans="18:20" x14ac:dyDescent="0.3">
      <c r="R2437" s="255"/>
      <c r="S2437" s="255"/>
      <c r="T2437" s="255"/>
    </row>
    <row r="2438" spans="18:20" x14ac:dyDescent="0.3">
      <c r="R2438" s="255"/>
      <c r="S2438" s="255"/>
      <c r="T2438" s="255"/>
    </row>
    <row r="2439" spans="18:20" x14ac:dyDescent="0.3">
      <c r="R2439" s="255"/>
      <c r="S2439" s="255"/>
      <c r="T2439" s="255"/>
    </row>
    <row r="2440" spans="18:20" x14ac:dyDescent="0.3">
      <c r="R2440" s="255"/>
      <c r="S2440" s="255"/>
      <c r="T2440" s="255"/>
    </row>
    <row r="2441" spans="18:20" x14ac:dyDescent="0.3">
      <c r="R2441" s="255"/>
      <c r="S2441" s="255"/>
      <c r="T2441" s="255"/>
    </row>
    <row r="2442" spans="18:20" x14ac:dyDescent="0.3">
      <c r="R2442" s="255"/>
      <c r="S2442" s="255"/>
      <c r="T2442" s="255"/>
    </row>
    <row r="2443" spans="18:20" x14ac:dyDescent="0.3">
      <c r="R2443" s="255"/>
      <c r="S2443" s="255"/>
      <c r="T2443" s="255"/>
    </row>
    <row r="2444" spans="18:20" x14ac:dyDescent="0.3">
      <c r="R2444" s="255"/>
      <c r="S2444" s="255"/>
      <c r="T2444" s="255"/>
    </row>
    <row r="2445" spans="18:20" x14ac:dyDescent="0.3">
      <c r="R2445" s="255"/>
      <c r="S2445" s="255"/>
      <c r="T2445" s="255"/>
    </row>
    <row r="2446" spans="18:20" x14ac:dyDescent="0.3">
      <c r="R2446" s="255"/>
      <c r="S2446" s="255"/>
      <c r="T2446" s="255"/>
    </row>
    <row r="2447" spans="18:20" x14ac:dyDescent="0.3">
      <c r="R2447" s="255"/>
      <c r="S2447" s="255"/>
      <c r="T2447" s="255"/>
    </row>
    <row r="2448" spans="18:20" x14ac:dyDescent="0.3">
      <c r="R2448" s="255"/>
      <c r="S2448" s="255"/>
      <c r="T2448" s="255"/>
    </row>
    <row r="2449" spans="18:20" x14ac:dyDescent="0.3">
      <c r="R2449" s="255"/>
      <c r="S2449" s="255"/>
      <c r="T2449" s="255"/>
    </row>
    <row r="2450" spans="18:20" x14ac:dyDescent="0.3">
      <c r="R2450" s="255"/>
      <c r="S2450" s="255"/>
      <c r="T2450" s="255"/>
    </row>
    <row r="2451" spans="18:20" x14ac:dyDescent="0.3">
      <c r="R2451" s="255"/>
      <c r="S2451" s="255"/>
      <c r="T2451" s="255"/>
    </row>
    <row r="2452" spans="18:20" x14ac:dyDescent="0.3">
      <c r="R2452" s="255"/>
      <c r="S2452" s="255"/>
      <c r="T2452" s="255"/>
    </row>
    <row r="2453" spans="18:20" x14ac:dyDescent="0.3">
      <c r="R2453" s="255"/>
      <c r="S2453" s="255"/>
      <c r="T2453" s="255"/>
    </row>
    <row r="2454" spans="18:20" x14ac:dyDescent="0.3">
      <c r="R2454" s="255"/>
      <c r="S2454" s="255"/>
      <c r="T2454" s="255"/>
    </row>
    <row r="2455" spans="18:20" x14ac:dyDescent="0.3">
      <c r="R2455" s="255"/>
      <c r="S2455" s="255"/>
      <c r="T2455" s="255"/>
    </row>
    <row r="2456" spans="18:20" x14ac:dyDescent="0.3">
      <c r="R2456" s="255"/>
      <c r="S2456" s="255"/>
      <c r="T2456" s="255"/>
    </row>
    <row r="2457" spans="18:20" x14ac:dyDescent="0.3">
      <c r="R2457" s="255"/>
      <c r="S2457" s="255"/>
      <c r="T2457" s="255"/>
    </row>
    <row r="2458" spans="18:20" x14ac:dyDescent="0.3">
      <c r="R2458" s="255"/>
      <c r="S2458" s="255"/>
      <c r="T2458" s="255"/>
    </row>
    <row r="2459" spans="18:20" x14ac:dyDescent="0.3">
      <c r="R2459" s="255"/>
      <c r="S2459" s="255"/>
      <c r="T2459" s="255"/>
    </row>
    <row r="2460" spans="18:20" x14ac:dyDescent="0.3">
      <c r="R2460" s="255"/>
      <c r="S2460" s="255"/>
      <c r="T2460" s="255"/>
    </row>
    <row r="2461" spans="18:20" x14ac:dyDescent="0.3">
      <c r="R2461" s="255"/>
      <c r="S2461" s="255"/>
      <c r="T2461" s="255"/>
    </row>
    <row r="2462" spans="18:20" x14ac:dyDescent="0.3">
      <c r="R2462" s="255"/>
      <c r="S2462" s="255"/>
      <c r="T2462" s="255"/>
    </row>
    <row r="2463" spans="18:20" x14ac:dyDescent="0.3">
      <c r="R2463" s="255"/>
      <c r="S2463" s="255"/>
      <c r="T2463" s="255"/>
    </row>
    <row r="2464" spans="18:20" x14ac:dyDescent="0.3">
      <c r="R2464" s="255"/>
      <c r="S2464" s="255"/>
      <c r="T2464" s="255"/>
    </row>
    <row r="2465" spans="18:20" x14ac:dyDescent="0.3">
      <c r="R2465" s="255"/>
      <c r="S2465" s="255"/>
      <c r="T2465" s="255"/>
    </row>
    <row r="2466" spans="18:20" x14ac:dyDescent="0.3">
      <c r="R2466" s="255"/>
      <c r="S2466" s="255"/>
      <c r="T2466" s="255"/>
    </row>
    <row r="2467" spans="18:20" x14ac:dyDescent="0.3">
      <c r="R2467" s="255"/>
      <c r="S2467" s="255"/>
      <c r="T2467" s="255"/>
    </row>
    <row r="2468" spans="18:20" x14ac:dyDescent="0.3">
      <c r="R2468" s="255"/>
      <c r="S2468" s="255"/>
      <c r="T2468" s="255"/>
    </row>
    <row r="2469" spans="18:20" x14ac:dyDescent="0.3">
      <c r="R2469" s="255"/>
      <c r="S2469" s="255"/>
      <c r="T2469" s="255"/>
    </row>
    <row r="2470" spans="18:20" x14ac:dyDescent="0.3">
      <c r="R2470" s="255"/>
      <c r="S2470" s="255"/>
      <c r="T2470" s="255"/>
    </row>
    <row r="2471" spans="18:20" x14ac:dyDescent="0.3">
      <c r="R2471" s="255"/>
      <c r="S2471" s="255"/>
      <c r="T2471" s="255"/>
    </row>
    <row r="2472" spans="18:20" x14ac:dyDescent="0.3">
      <c r="R2472" s="255"/>
      <c r="S2472" s="255"/>
      <c r="T2472" s="255"/>
    </row>
    <row r="2473" spans="18:20" x14ac:dyDescent="0.3">
      <c r="R2473" s="255"/>
      <c r="S2473" s="255"/>
      <c r="T2473" s="255"/>
    </row>
    <row r="2474" spans="18:20" x14ac:dyDescent="0.3">
      <c r="R2474" s="255"/>
      <c r="S2474" s="255"/>
      <c r="T2474" s="255"/>
    </row>
    <row r="2475" spans="18:20" x14ac:dyDescent="0.3">
      <c r="R2475" s="255"/>
      <c r="S2475" s="255"/>
      <c r="T2475" s="255"/>
    </row>
    <row r="2476" spans="18:20" x14ac:dyDescent="0.3">
      <c r="R2476" s="255"/>
      <c r="S2476" s="255"/>
      <c r="T2476" s="255"/>
    </row>
    <row r="2477" spans="18:20" x14ac:dyDescent="0.3">
      <c r="R2477" s="255"/>
      <c r="S2477" s="255"/>
      <c r="T2477" s="255"/>
    </row>
    <row r="2478" spans="18:20" x14ac:dyDescent="0.3">
      <c r="R2478" s="255"/>
      <c r="S2478" s="255"/>
      <c r="T2478" s="255"/>
    </row>
    <row r="2479" spans="18:20" x14ac:dyDescent="0.3">
      <c r="R2479" s="255"/>
      <c r="S2479" s="255"/>
      <c r="T2479" s="255"/>
    </row>
    <row r="2480" spans="18:20" x14ac:dyDescent="0.3">
      <c r="R2480" s="255"/>
      <c r="S2480" s="255"/>
      <c r="T2480" s="255"/>
    </row>
    <row r="2481" spans="18:20" x14ac:dyDescent="0.3">
      <c r="R2481" s="255"/>
      <c r="S2481" s="255"/>
      <c r="T2481" s="255"/>
    </row>
    <row r="2482" spans="18:20" x14ac:dyDescent="0.3">
      <c r="R2482" s="255"/>
      <c r="S2482" s="255"/>
      <c r="T2482" s="255"/>
    </row>
    <row r="2483" spans="18:20" x14ac:dyDescent="0.3">
      <c r="R2483" s="255"/>
      <c r="S2483" s="255"/>
      <c r="T2483" s="255"/>
    </row>
    <row r="2484" spans="18:20" x14ac:dyDescent="0.3">
      <c r="R2484" s="255"/>
      <c r="S2484" s="255"/>
      <c r="T2484" s="255"/>
    </row>
    <row r="2485" spans="18:20" x14ac:dyDescent="0.3">
      <c r="R2485" s="255"/>
      <c r="S2485" s="255"/>
      <c r="T2485" s="255"/>
    </row>
    <row r="2486" spans="18:20" x14ac:dyDescent="0.3">
      <c r="R2486" s="255"/>
      <c r="S2486" s="255"/>
      <c r="T2486" s="255"/>
    </row>
    <row r="2487" spans="18:20" x14ac:dyDescent="0.3">
      <c r="R2487" s="255"/>
      <c r="S2487" s="255"/>
      <c r="T2487" s="255"/>
    </row>
    <row r="2488" spans="18:20" x14ac:dyDescent="0.3">
      <c r="R2488" s="255"/>
      <c r="S2488" s="255"/>
      <c r="T2488" s="255"/>
    </row>
    <row r="2489" spans="18:20" x14ac:dyDescent="0.3">
      <c r="R2489" s="255"/>
      <c r="S2489" s="255"/>
      <c r="T2489" s="255"/>
    </row>
    <row r="2490" spans="18:20" x14ac:dyDescent="0.3">
      <c r="R2490" s="255"/>
      <c r="S2490" s="255"/>
      <c r="T2490" s="255"/>
    </row>
    <row r="2491" spans="18:20" x14ac:dyDescent="0.3">
      <c r="R2491" s="255"/>
      <c r="S2491" s="255"/>
      <c r="T2491" s="255"/>
    </row>
    <row r="2492" spans="18:20" x14ac:dyDescent="0.3">
      <c r="R2492" s="255"/>
      <c r="S2492" s="255"/>
      <c r="T2492" s="255"/>
    </row>
    <row r="2493" spans="18:20" x14ac:dyDescent="0.3">
      <c r="R2493" s="255"/>
      <c r="S2493" s="255"/>
      <c r="T2493" s="255"/>
    </row>
    <row r="2494" spans="18:20" x14ac:dyDescent="0.3">
      <c r="R2494" s="255"/>
      <c r="S2494" s="255"/>
      <c r="T2494" s="255"/>
    </row>
    <row r="2495" spans="18:20" x14ac:dyDescent="0.3">
      <c r="R2495" s="255"/>
      <c r="S2495" s="255"/>
      <c r="T2495" s="255"/>
    </row>
    <row r="2496" spans="18:20" x14ac:dyDescent="0.3">
      <c r="R2496" s="255"/>
      <c r="S2496" s="255"/>
      <c r="T2496" s="255"/>
    </row>
    <row r="2497" spans="18:20" x14ac:dyDescent="0.3">
      <c r="R2497" s="255"/>
      <c r="S2497" s="255"/>
      <c r="T2497" s="255"/>
    </row>
    <row r="2498" spans="18:20" x14ac:dyDescent="0.3">
      <c r="R2498" s="255"/>
      <c r="S2498" s="255"/>
      <c r="T2498" s="255"/>
    </row>
    <row r="2499" spans="18:20" x14ac:dyDescent="0.3">
      <c r="R2499" s="255"/>
      <c r="S2499" s="255"/>
      <c r="T2499" s="255"/>
    </row>
    <row r="2500" spans="18:20" x14ac:dyDescent="0.3">
      <c r="R2500" s="255"/>
      <c r="S2500" s="255"/>
      <c r="T2500" s="255"/>
    </row>
    <row r="2501" spans="18:20" x14ac:dyDescent="0.3">
      <c r="R2501" s="255"/>
      <c r="S2501" s="255"/>
      <c r="T2501" s="255"/>
    </row>
    <row r="2502" spans="18:20" x14ac:dyDescent="0.3">
      <c r="R2502" s="255"/>
      <c r="S2502" s="255"/>
      <c r="T2502" s="255"/>
    </row>
    <row r="2503" spans="18:20" x14ac:dyDescent="0.3">
      <c r="R2503" s="255"/>
      <c r="S2503" s="255"/>
      <c r="T2503" s="255"/>
    </row>
    <row r="2504" spans="18:20" x14ac:dyDescent="0.3">
      <c r="R2504" s="255"/>
      <c r="S2504" s="255"/>
      <c r="T2504" s="255"/>
    </row>
    <row r="2505" spans="18:20" x14ac:dyDescent="0.3">
      <c r="R2505" s="255"/>
      <c r="S2505" s="255"/>
      <c r="T2505" s="255"/>
    </row>
    <row r="2506" spans="18:20" x14ac:dyDescent="0.3">
      <c r="R2506" s="255"/>
      <c r="S2506" s="255"/>
      <c r="T2506" s="255"/>
    </row>
    <row r="2507" spans="18:20" x14ac:dyDescent="0.3">
      <c r="R2507" s="255"/>
      <c r="S2507" s="255"/>
      <c r="T2507" s="255"/>
    </row>
    <row r="2508" spans="18:20" x14ac:dyDescent="0.3">
      <c r="R2508" s="255"/>
      <c r="S2508" s="255"/>
      <c r="T2508" s="255"/>
    </row>
    <row r="2509" spans="18:20" x14ac:dyDescent="0.3">
      <c r="R2509" s="255"/>
      <c r="S2509" s="255"/>
      <c r="T2509" s="255"/>
    </row>
    <row r="2510" spans="18:20" x14ac:dyDescent="0.3">
      <c r="R2510" s="255"/>
      <c r="S2510" s="255"/>
      <c r="T2510" s="255"/>
    </row>
    <row r="2511" spans="18:20" x14ac:dyDescent="0.3">
      <c r="R2511" s="255"/>
      <c r="S2511" s="255"/>
      <c r="T2511" s="255"/>
    </row>
    <row r="2512" spans="18:20" x14ac:dyDescent="0.3">
      <c r="R2512" s="255"/>
      <c r="S2512" s="255"/>
      <c r="T2512" s="255"/>
    </row>
    <row r="2513" spans="18:20" x14ac:dyDescent="0.3">
      <c r="R2513" s="255"/>
      <c r="S2513" s="255"/>
      <c r="T2513" s="255"/>
    </row>
    <row r="2514" spans="18:20" x14ac:dyDescent="0.3">
      <c r="R2514" s="255"/>
      <c r="S2514" s="255"/>
      <c r="T2514" s="255"/>
    </row>
    <row r="2515" spans="18:20" x14ac:dyDescent="0.3">
      <c r="R2515" s="255"/>
      <c r="S2515" s="255"/>
      <c r="T2515" s="255"/>
    </row>
    <row r="2516" spans="18:20" x14ac:dyDescent="0.3">
      <c r="R2516" s="255"/>
      <c r="S2516" s="255"/>
      <c r="T2516" s="255"/>
    </row>
    <row r="2517" spans="18:20" x14ac:dyDescent="0.3">
      <c r="R2517" s="255"/>
      <c r="S2517" s="255"/>
      <c r="T2517" s="255"/>
    </row>
    <row r="2518" spans="18:20" x14ac:dyDescent="0.3">
      <c r="R2518" s="255"/>
      <c r="S2518" s="255"/>
      <c r="T2518" s="255"/>
    </row>
    <row r="2519" spans="18:20" x14ac:dyDescent="0.3">
      <c r="R2519" s="255"/>
      <c r="S2519" s="255"/>
      <c r="T2519" s="255"/>
    </row>
    <row r="2520" spans="18:20" x14ac:dyDescent="0.3">
      <c r="R2520" s="255"/>
      <c r="S2520" s="255"/>
      <c r="T2520" s="255"/>
    </row>
    <row r="2521" spans="18:20" x14ac:dyDescent="0.3">
      <c r="R2521" s="255"/>
      <c r="S2521" s="255"/>
      <c r="T2521" s="255"/>
    </row>
    <row r="2522" spans="18:20" x14ac:dyDescent="0.3">
      <c r="R2522" s="255"/>
      <c r="S2522" s="255"/>
      <c r="T2522" s="255"/>
    </row>
    <row r="2523" spans="18:20" x14ac:dyDescent="0.3">
      <c r="R2523" s="255"/>
      <c r="S2523" s="255"/>
      <c r="T2523" s="255"/>
    </row>
    <row r="2524" spans="18:20" x14ac:dyDescent="0.3">
      <c r="R2524" s="255"/>
      <c r="S2524" s="255"/>
      <c r="T2524" s="255"/>
    </row>
    <row r="2525" spans="18:20" x14ac:dyDescent="0.3">
      <c r="R2525" s="255"/>
      <c r="S2525" s="255"/>
      <c r="T2525" s="255"/>
    </row>
    <row r="2526" spans="18:20" x14ac:dyDescent="0.3">
      <c r="R2526" s="255"/>
      <c r="S2526" s="255"/>
      <c r="T2526" s="255"/>
    </row>
    <row r="2527" spans="18:20" x14ac:dyDescent="0.3">
      <c r="R2527" s="255"/>
      <c r="S2527" s="255"/>
      <c r="T2527" s="255"/>
    </row>
    <row r="2528" spans="18:20" x14ac:dyDescent="0.3">
      <c r="R2528" s="255"/>
      <c r="S2528" s="255"/>
      <c r="T2528" s="255"/>
    </row>
    <row r="2529" spans="18:20" x14ac:dyDescent="0.3">
      <c r="R2529" s="255"/>
      <c r="S2529" s="255"/>
      <c r="T2529" s="255"/>
    </row>
    <row r="2530" spans="18:20" x14ac:dyDescent="0.3">
      <c r="R2530" s="255"/>
      <c r="S2530" s="255"/>
      <c r="T2530" s="255"/>
    </row>
    <row r="2531" spans="18:20" x14ac:dyDescent="0.3">
      <c r="R2531" s="255"/>
      <c r="S2531" s="255"/>
      <c r="T2531" s="255"/>
    </row>
    <row r="2532" spans="18:20" x14ac:dyDescent="0.3">
      <c r="R2532" s="255"/>
      <c r="S2532" s="255"/>
      <c r="T2532" s="255"/>
    </row>
    <row r="2533" spans="18:20" x14ac:dyDescent="0.3">
      <c r="R2533" s="255"/>
      <c r="S2533" s="255"/>
      <c r="T2533" s="255"/>
    </row>
    <row r="2534" spans="18:20" x14ac:dyDescent="0.3">
      <c r="R2534" s="255"/>
      <c r="S2534" s="255"/>
      <c r="T2534" s="255"/>
    </row>
    <row r="2535" spans="18:20" x14ac:dyDescent="0.3">
      <c r="R2535" s="255"/>
      <c r="S2535" s="255"/>
      <c r="T2535" s="255"/>
    </row>
    <row r="2536" spans="18:20" x14ac:dyDescent="0.3">
      <c r="R2536" s="255"/>
      <c r="S2536" s="255"/>
      <c r="T2536" s="255"/>
    </row>
    <row r="2537" spans="18:20" x14ac:dyDescent="0.3">
      <c r="R2537" s="255"/>
      <c r="S2537" s="255"/>
      <c r="T2537" s="255"/>
    </row>
    <row r="2538" spans="18:20" x14ac:dyDescent="0.3">
      <c r="R2538" s="255"/>
      <c r="S2538" s="255"/>
      <c r="T2538" s="255"/>
    </row>
    <row r="2539" spans="18:20" x14ac:dyDescent="0.3">
      <c r="R2539" s="255"/>
      <c r="S2539" s="255"/>
      <c r="T2539" s="255"/>
    </row>
    <row r="2540" spans="18:20" x14ac:dyDescent="0.3">
      <c r="R2540" s="255"/>
      <c r="S2540" s="255"/>
      <c r="T2540" s="255"/>
    </row>
    <row r="2541" spans="18:20" x14ac:dyDescent="0.3">
      <c r="R2541" s="255"/>
      <c r="S2541" s="255"/>
      <c r="T2541" s="255"/>
    </row>
    <row r="2542" spans="18:20" x14ac:dyDescent="0.3">
      <c r="R2542" s="255"/>
      <c r="S2542" s="255"/>
      <c r="T2542" s="255"/>
    </row>
    <row r="2543" spans="18:20" x14ac:dyDescent="0.3">
      <c r="R2543" s="255"/>
      <c r="S2543" s="255"/>
      <c r="T2543" s="255"/>
    </row>
    <row r="2544" spans="18:20" x14ac:dyDescent="0.3">
      <c r="R2544" s="255"/>
      <c r="S2544" s="255"/>
      <c r="T2544" s="255"/>
    </row>
    <row r="2545" spans="18:20" x14ac:dyDescent="0.3">
      <c r="R2545" s="255"/>
      <c r="S2545" s="255"/>
      <c r="T2545" s="255"/>
    </row>
    <row r="2546" spans="18:20" x14ac:dyDescent="0.3">
      <c r="R2546" s="255"/>
      <c r="S2546" s="255"/>
      <c r="T2546" s="255"/>
    </row>
    <row r="2547" spans="18:20" x14ac:dyDescent="0.3">
      <c r="R2547" s="255"/>
      <c r="S2547" s="255"/>
      <c r="T2547" s="255"/>
    </row>
    <row r="2548" spans="18:20" x14ac:dyDescent="0.3">
      <c r="R2548" s="255"/>
      <c r="S2548" s="255"/>
      <c r="T2548" s="255"/>
    </row>
    <row r="2549" spans="18:20" x14ac:dyDescent="0.3">
      <c r="R2549" s="255"/>
      <c r="S2549" s="255"/>
      <c r="T2549" s="255"/>
    </row>
    <row r="2550" spans="18:20" x14ac:dyDescent="0.3">
      <c r="R2550" s="255"/>
      <c r="S2550" s="255"/>
      <c r="T2550" s="255"/>
    </row>
    <row r="2551" spans="18:20" x14ac:dyDescent="0.3">
      <c r="R2551" s="255"/>
      <c r="S2551" s="255"/>
      <c r="T2551" s="255"/>
    </row>
    <row r="2552" spans="18:20" x14ac:dyDescent="0.3">
      <c r="R2552" s="255"/>
      <c r="S2552" s="255"/>
      <c r="T2552" s="255"/>
    </row>
    <row r="2553" spans="18:20" x14ac:dyDescent="0.3">
      <c r="R2553" s="255"/>
      <c r="S2553" s="255"/>
      <c r="T2553" s="255"/>
    </row>
    <row r="2554" spans="18:20" x14ac:dyDescent="0.3">
      <c r="R2554" s="255"/>
      <c r="S2554" s="255"/>
      <c r="T2554" s="255"/>
    </row>
    <row r="2555" spans="18:20" x14ac:dyDescent="0.3">
      <c r="R2555" s="255"/>
      <c r="S2555" s="255"/>
      <c r="T2555" s="255"/>
    </row>
    <row r="2556" spans="18:20" x14ac:dyDescent="0.3">
      <c r="R2556" s="255"/>
      <c r="S2556" s="255"/>
      <c r="T2556" s="255"/>
    </row>
    <row r="2557" spans="18:20" x14ac:dyDescent="0.3">
      <c r="R2557" s="255"/>
      <c r="S2557" s="255"/>
      <c r="T2557" s="255"/>
    </row>
    <row r="2558" spans="18:20" x14ac:dyDescent="0.3">
      <c r="R2558" s="255"/>
      <c r="S2558" s="255"/>
      <c r="T2558" s="255"/>
    </row>
    <row r="2559" spans="18:20" x14ac:dyDescent="0.3">
      <c r="R2559" s="255"/>
      <c r="S2559" s="255"/>
      <c r="T2559" s="255"/>
    </row>
    <row r="2560" spans="18:20" x14ac:dyDescent="0.3">
      <c r="R2560" s="255"/>
      <c r="S2560" s="255"/>
      <c r="T2560" s="255"/>
    </row>
    <row r="2561" spans="18:20" x14ac:dyDescent="0.3">
      <c r="R2561" s="255"/>
      <c r="S2561" s="255"/>
      <c r="T2561" s="255"/>
    </row>
    <row r="2562" spans="18:20" x14ac:dyDescent="0.3">
      <c r="R2562" s="255"/>
      <c r="S2562" s="255"/>
      <c r="T2562" s="255"/>
    </row>
    <row r="2563" spans="18:20" x14ac:dyDescent="0.3">
      <c r="R2563" s="255"/>
      <c r="S2563" s="255"/>
      <c r="T2563" s="255"/>
    </row>
    <row r="2564" spans="18:20" x14ac:dyDescent="0.3">
      <c r="R2564" s="255"/>
      <c r="S2564" s="255"/>
      <c r="T2564" s="255"/>
    </row>
    <row r="2565" spans="18:20" x14ac:dyDescent="0.3">
      <c r="R2565" s="255"/>
      <c r="S2565" s="255"/>
      <c r="T2565" s="255"/>
    </row>
    <row r="2566" spans="18:20" x14ac:dyDescent="0.3">
      <c r="R2566" s="255"/>
      <c r="S2566" s="255"/>
      <c r="T2566" s="255"/>
    </row>
    <row r="2567" spans="18:20" x14ac:dyDescent="0.3">
      <c r="R2567" s="255"/>
      <c r="S2567" s="255"/>
      <c r="T2567" s="255"/>
    </row>
    <row r="2568" spans="18:20" x14ac:dyDescent="0.3">
      <c r="R2568" s="255"/>
      <c r="S2568" s="255"/>
      <c r="T2568" s="255"/>
    </row>
    <row r="2569" spans="18:20" x14ac:dyDescent="0.3">
      <c r="R2569" s="255"/>
      <c r="S2569" s="255"/>
      <c r="T2569" s="255"/>
    </row>
    <row r="2570" spans="18:20" x14ac:dyDescent="0.3">
      <c r="R2570" s="255"/>
      <c r="S2570" s="255"/>
      <c r="T2570" s="255"/>
    </row>
    <row r="2571" spans="18:20" x14ac:dyDescent="0.3">
      <c r="R2571" s="255"/>
      <c r="S2571" s="255"/>
      <c r="T2571" s="255"/>
    </row>
    <row r="2572" spans="18:20" x14ac:dyDescent="0.3">
      <c r="R2572" s="255"/>
      <c r="S2572" s="255"/>
      <c r="T2572" s="255"/>
    </row>
    <row r="2573" spans="18:20" x14ac:dyDescent="0.3">
      <c r="R2573" s="255"/>
      <c r="S2573" s="255"/>
      <c r="T2573" s="255"/>
    </row>
    <row r="2574" spans="18:20" x14ac:dyDescent="0.3">
      <c r="R2574" s="255"/>
      <c r="S2574" s="255"/>
      <c r="T2574" s="255"/>
    </row>
    <row r="2575" spans="18:20" x14ac:dyDescent="0.3">
      <c r="R2575" s="255"/>
      <c r="S2575" s="255"/>
      <c r="T2575" s="255"/>
    </row>
    <row r="2576" spans="18:20" x14ac:dyDescent="0.3">
      <c r="R2576" s="255"/>
      <c r="S2576" s="255"/>
      <c r="T2576" s="255"/>
    </row>
    <row r="2577" spans="18:20" x14ac:dyDescent="0.3">
      <c r="R2577" s="255"/>
      <c r="S2577" s="255"/>
      <c r="T2577" s="255"/>
    </row>
    <row r="2578" spans="18:20" x14ac:dyDescent="0.3">
      <c r="R2578" s="255"/>
      <c r="S2578" s="255"/>
      <c r="T2578" s="255"/>
    </row>
    <row r="2579" spans="18:20" x14ac:dyDescent="0.3">
      <c r="R2579" s="255"/>
      <c r="S2579" s="255"/>
      <c r="T2579" s="255"/>
    </row>
    <row r="2580" spans="18:20" x14ac:dyDescent="0.3">
      <c r="R2580" s="255"/>
      <c r="S2580" s="255"/>
      <c r="T2580" s="255"/>
    </row>
    <row r="2581" spans="18:20" x14ac:dyDescent="0.3">
      <c r="R2581" s="255"/>
      <c r="S2581" s="255"/>
      <c r="T2581" s="255"/>
    </row>
    <row r="2582" spans="18:20" x14ac:dyDescent="0.3">
      <c r="R2582" s="255"/>
      <c r="S2582" s="255"/>
      <c r="T2582" s="255"/>
    </row>
    <row r="2583" spans="18:20" x14ac:dyDescent="0.3">
      <c r="R2583" s="255"/>
      <c r="S2583" s="255"/>
      <c r="T2583" s="255"/>
    </row>
    <row r="2584" spans="18:20" x14ac:dyDescent="0.3">
      <c r="R2584" s="255"/>
      <c r="S2584" s="255"/>
      <c r="T2584" s="255"/>
    </row>
    <row r="2585" spans="18:20" x14ac:dyDescent="0.3">
      <c r="R2585" s="255"/>
      <c r="S2585" s="255"/>
      <c r="T2585" s="255"/>
    </row>
    <row r="2586" spans="18:20" x14ac:dyDescent="0.3">
      <c r="R2586" s="255"/>
      <c r="S2586" s="255"/>
      <c r="T2586" s="255"/>
    </row>
    <row r="2587" spans="18:20" x14ac:dyDescent="0.3">
      <c r="R2587" s="255"/>
      <c r="S2587" s="255"/>
      <c r="T2587" s="255"/>
    </row>
    <row r="2588" spans="18:20" x14ac:dyDescent="0.3">
      <c r="R2588" s="255"/>
      <c r="S2588" s="255"/>
      <c r="T2588" s="255"/>
    </row>
    <row r="2589" spans="18:20" x14ac:dyDescent="0.3">
      <c r="R2589" s="255"/>
      <c r="S2589" s="255"/>
      <c r="T2589" s="255"/>
    </row>
    <row r="2590" spans="18:20" x14ac:dyDescent="0.3">
      <c r="R2590" s="255"/>
      <c r="S2590" s="255"/>
      <c r="T2590" s="255"/>
    </row>
    <row r="2591" spans="18:20" x14ac:dyDescent="0.3">
      <c r="R2591" s="255"/>
      <c r="S2591" s="255"/>
      <c r="T2591" s="255"/>
    </row>
    <row r="2592" spans="18:20" x14ac:dyDescent="0.3">
      <c r="R2592" s="255"/>
      <c r="S2592" s="255"/>
      <c r="T2592" s="255"/>
    </row>
    <row r="2593" spans="18:20" x14ac:dyDescent="0.3">
      <c r="R2593" s="255"/>
      <c r="S2593" s="255"/>
      <c r="T2593" s="255"/>
    </row>
    <row r="2594" spans="18:20" x14ac:dyDescent="0.3">
      <c r="R2594" s="255"/>
      <c r="S2594" s="255"/>
      <c r="T2594" s="255"/>
    </row>
    <row r="2595" spans="18:20" x14ac:dyDescent="0.3">
      <c r="R2595" s="255"/>
      <c r="S2595" s="255"/>
      <c r="T2595" s="255"/>
    </row>
    <row r="2596" spans="18:20" x14ac:dyDescent="0.3">
      <c r="R2596" s="255"/>
      <c r="S2596" s="255"/>
      <c r="T2596" s="255"/>
    </row>
    <row r="2597" spans="18:20" x14ac:dyDescent="0.3">
      <c r="R2597" s="255"/>
      <c r="S2597" s="255"/>
      <c r="T2597" s="255"/>
    </row>
    <row r="2598" spans="18:20" x14ac:dyDescent="0.3">
      <c r="R2598" s="255"/>
      <c r="S2598" s="255"/>
      <c r="T2598" s="255"/>
    </row>
    <row r="2599" spans="18:20" x14ac:dyDescent="0.3">
      <c r="R2599" s="255"/>
      <c r="S2599" s="255"/>
      <c r="T2599" s="255"/>
    </row>
    <row r="2600" spans="18:20" x14ac:dyDescent="0.3">
      <c r="R2600" s="255"/>
      <c r="S2600" s="255"/>
      <c r="T2600" s="255"/>
    </row>
    <row r="2601" spans="18:20" x14ac:dyDescent="0.3">
      <c r="R2601" s="255"/>
      <c r="S2601" s="255"/>
      <c r="T2601" s="255"/>
    </row>
    <row r="2602" spans="18:20" x14ac:dyDescent="0.3">
      <c r="R2602" s="255"/>
      <c r="S2602" s="255"/>
      <c r="T2602" s="255"/>
    </row>
    <row r="2603" spans="18:20" x14ac:dyDescent="0.3">
      <c r="R2603" s="255"/>
      <c r="S2603" s="255"/>
      <c r="T2603" s="255"/>
    </row>
    <row r="2604" spans="18:20" x14ac:dyDescent="0.3">
      <c r="R2604" s="255"/>
      <c r="S2604" s="255"/>
      <c r="T2604" s="255"/>
    </row>
    <row r="2605" spans="18:20" x14ac:dyDescent="0.3">
      <c r="R2605" s="255"/>
      <c r="S2605" s="255"/>
      <c r="T2605" s="255"/>
    </row>
    <row r="2606" spans="18:20" x14ac:dyDescent="0.3">
      <c r="R2606" s="255"/>
      <c r="S2606" s="255"/>
      <c r="T2606" s="255"/>
    </row>
    <row r="2607" spans="18:20" x14ac:dyDescent="0.3">
      <c r="R2607" s="255"/>
      <c r="S2607" s="255"/>
      <c r="T2607" s="255"/>
    </row>
    <row r="2608" spans="18:20" x14ac:dyDescent="0.3">
      <c r="R2608" s="255"/>
      <c r="S2608" s="255"/>
      <c r="T2608" s="255"/>
    </row>
    <row r="2609" spans="18:20" x14ac:dyDescent="0.3">
      <c r="R2609" s="255"/>
      <c r="S2609" s="255"/>
      <c r="T2609" s="255"/>
    </row>
    <row r="2610" spans="18:20" x14ac:dyDescent="0.3">
      <c r="R2610" s="255"/>
      <c r="S2610" s="255"/>
      <c r="T2610" s="255"/>
    </row>
    <row r="2611" spans="18:20" x14ac:dyDescent="0.3">
      <c r="R2611" s="255"/>
      <c r="S2611" s="255"/>
      <c r="T2611" s="255"/>
    </row>
    <row r="2612" spans="18:20" x14ac:dyDescent="0.3">
      <c r="R2612" s="255"/>
      <c r="S2612" s="255"/>
      <c r="T2612" s="255"/>
    </row>
    <row r="2613" spans="18:20" x14ac:dyDescent="0.3">
      <c r="R2613" s="255"/>
      <c r="S2613" s="255"/>
      <c r="T2613" s="255"/>
    </row>
    <row r="2614" spans="18:20" x14ac:dyDescent="0.3">
      <c r="R2614" s="255"/>
      <c r="S2614" s="255"/>
      <c r="T2614" s="255"/>
    </row>
    <row r="2615" spans="18:20" x14ac:dyDescent="0.3">
      <c r="R2615" s="255"/>
      <c r="S2615" s="255"/>
      <c r="T2615" s="255"/>
    </row>
    <row r="2616" spans="18:20" x14ac:dyDescent="0.3">
      <c r="R2616" s="255"/>
      <c r="S2616" s="255"/>
      <c r="T2616" s="255"/>
    </row>
    <row r="2617" spans="18:20" x14ac:dyDescent="0.3">
      <c r="R2617" s="255"/>
      <c r="S2617" s="255"/>
      <c r="T2617" s="255"/>
    </row>
    <row r="2618" spans="18:20" x14ac:dyDescent="0.3">
      <c r="R2618" s="255"/>
      <c r="S2618" s="255"/>
      <c r="T2618" s="255"/>
    </row>
    <row r="2619" spans="18:20" x14ac:dyDescent="0.3">
      <c r="R2619" s="255"/>
      <c r="S2619" s="255"/>
      <c r="T2619" s="255"/>
    </row>
    <row r="2620" spans="18:20" x14ac:dyDescent="0.3">
      <c r="R2620" s="255"/>
      <c r="S2620" s="255"/>
      <c r="T2620" s="255"/>
    </row>
    <row r="2621" spans="18:20" x14ac:dyDescent="0.3">
      <c r="R2621" s="255"/>
      <c r="S2621" s="255"/>
      <c r="T2621" s="255"/>
    </row>
    <row r="2622" spans="18:20" x14ac:dyDescent="0.3">
      <c r="R2622" s="255"/>
      <c r="S2622" s="255"/>
      <c r="T2622" s="255"/>
    </row>
    <row r="2623" spans="18:20" x14ac:dyDescent="0.3">
      <c r="R2623" s="255"/>
      <c r="S2623" s="255"/>
      <c r="T2623" s="255"/>
    </row>
    <row r="2624" spans="18:20" x14ac:dyDescent="0.3">
      <c r="R2624" s="255"/>
      <c r="S2624" s="255"/>
      <c r="T2624" s="255"/>
    </row>
    <row r="2625" spans="18:20" x14ac:dyDescent="0.3">
      <c r="R2625" s="255"/>
      <c r="S2625" s="255"/>
      <c r="T2625" s="255"/>
    </row>
    <row r="2626" spans="18:20" x14ac:dyDescent="0.3">
      <c r="R2626" s="255"/>
      <c r="S2626" s="255"/>
      <c r="T2626" s="255"/>
    </row>
    <row r="2627" spans="18:20" x14ac:dyDescent="0.3">
      <c r="R2627" s="255"/>
      <c r="S2627" s="255"/>
      <c r="T2627" s="255"/>
    </row>
    <row r="2628" spans="18:20" x14ac:dyDescent="0.3">
      <c r="R2628" s="255"/>
      <c r="S2628" s="255"/>
      <c r="T2628" s="255"/>
    </row>
    <row r="2629" spans="18:20" x14ac:dyDescent="0.3">
      <c r="R2629" s="255"/>
      <c r="S2629" s="255"/>
      <c r="T2629" s="255"/>
    </row>
    <row r="2630" spans="18:20" x14ac:dyDescent="0.3">
      <c r="R2630" s="255"/>
      <c r="S2630" s="255"/>
      <c r="T2630" s="255"/>
    </row>
    <row r="2631" spans="18:20" x14ac:dyDescent="0.3">
      <c r="R2631" s="255"/>
      <c r="S2631" s="255"/>
      <c r="T2631" s="255"/>
    </row>
    <row r="2632" spans="18:20" x14ac:dyDescent="0.3">
      <c r="R2632" s="255"/>
      <c r="S2632" s="255"/>
      <c r="T2632" s="255"/>
    </row>
    <row r="2633" spans="18:20" x14ac:dyDescent="0.3">
      <c r="R2633" s="255"/>
      <c r="S2633" s="255"/>
      <c r="T2633" s="255"/>
    </row>
    <row r="2634" spans="18:20" x14ac:dyDescent="0.3">
      <c r="R2634" s="255"/>
      <c r="S2634" s="255"/>
      <c r="T2634" s="255"/>
    </row>
    <row r="2635" spans="18:20" x14ac:dyDescent="0.3">
      <c r="R2635" s="255"/>
      <c r="S2635" s="255"/>
      <c r="T2635" s="255"/>
    </row>
    <row r="2636" spans="18:20" x14ac:dyDescent="0.3">
      <c r="R2636" s="255"/>
      <c r="S2636" s="255"/>
      <c r="T2636" s="255"/>
    </row>
    <row r="2637" spans="18:20" x14ac:dyDescent="0.3">
      <c r="R2637" s="255"/>
      <c r="S2637" s="255"/>
      <c r="T2637" s="255"/>
    </row>
    <row r="2638" spans="18:20" x14ac:dyDescent="0.3">
      <c r="R2638" s="255"/>
      <c r="S2638" s="255"/>
      <c r="T2638" s="255"/>
    </row>
    <row r="2639" spans="18:20" x14ac:dyDescent="0.3">
      <c r="R2639" s="255"/>
      <c r="S2639" s="255"/>
      <c r="T2639" s="255"/>
    </row>
    <row r="2640" spans="18:20" x14ac:dyDescent="0.3">
      <c r="R2640" s="255"/>
      <c r="S2640" s="255"/>
      <c r="T2640" s="255"/>
    </row>
    <row r="2641" spans="18:20" x14ac:dyDescent="0.3">
      <c r="R2641" s="255"/>
      <c r="S2641" s="255"/>
      <c r="T2641" s="255"/>
    </row>
    <row r="2642" spans="18:20" x14ac:dyDescent="0.3">
      <c r="R2642" s="255"/>
      <c r="S2642" s="255"/>
      <c r="T2642" s="255"/>
    </row>
    <row r="2643" spans="18:20" x14ac:dyDescent="0.3">
      <c r="R2643" s="255"/>
      <c r="S2643" s="255"/>
      <c r="T2643" s="255"/>
    </row>
    <row r="2644" spans="18:20" x14ac:dyDescent="0.3">
      <c r="R2644" s="255"/>
      <c r="S2644" s="255"/>
      <c r="T2644" s="255"/>
    </row>
    <row r="2645" spans="18:20" x14ac:dyDescent="0.3">
      <c r="R2645" s="255"/>
      <c r="S2645" s="255"/>
      <c r="T2645" s="255"/>
    </row>
    <row r="2646" spans="18:20" x14ac:dyDescent="0.3">
      <c r="R2646" s="255"/>
      <c r="S2646" s="255"/>
      <c r="T2646" s="255"/>
    </row>
    <row r="2647" spans="18:20" x14ac:dyDescent="0.3">
      <c r="R2647" s="255"/>
      <c r="S2647" s="255"/>
      <c r="T2647" s="255"/>
    </row>
    <row r="2648" spans="18:20" x14ac:dyDescent="0.3">
      <c r="R2648" s="255"/>
      <c r="S2648" s="255"/>
      <c r="T2648" s="255"/>
    </row>
    <row r="2649" spans="18:20" x14ac:dyDescent="0.3">
      <c r="R2649" s="255"/>
      <c r="S2649" s="255"/>
      <c r="T2649" s="255"/>
    </row>
    <row r="2650" spans="18:20" x14ac:dyDescent="0.3">
      <c r="R2650" s="255"/>
      <c r="S2650" s="255"/>
      <c r="T2650" s="255"/>
    </row>
    <row r="2651" spans="18:20" x14ac:dyDescent="0.3">
      <c r="R2651" s="255"/>
      <c r="S2651" s="255"/>
      <c r="T2651" s="255"/>
    </row>
    <row r="2652" spans="18:20" x14ac:dyDescent="0.3">
      <c r="R2652" s="255"/>
      <c r="S2652" s="255"/>
      <c r="T2652" s="255"/>
    </row>
    <row r="2653" spans="18:20" x14ac:dyDescent="0.3">
      <c r="R2653" s="255"/>
      <c r="S2653" s="255"/>
      <c r="T2653" s="255"/>
    </row>
    <row r="2654" spans="18:20" x14ac:dyDescent="0.3">
      <c r="R2654" s="255"/>
      <c r="S2654" s="255"/>
      <c r="T2654" s="255"/>
    </row>
    <row r="2655" spans="18:20" x14ac:dyDescent="0.3">
      <c r="R2655" s="255"/>
      <c r="S2655" s="255"/>
      <c r="T2655" s="255"/>
    </row>
    <row r="2656" spans="18:20" x14ac:dyDescent="0.3">
      <c r="R2656" s="255"/>
      <c r="S2656" s="255"/>
      <c r="T2656" s="255"/>
    </row>
    <row r="2657" spans="18:20" x14ac:dyDescent="0.3">
      <c r="R2657" s="255"/>
      <c r="S2657" s="255"/>
      <c r="T2657" s="255"/>
    </row>
    <row r="2658" spans="18:20" x14ac:dyDescent="0.3">
      <c r="R2658" s="255"/>
      <c r="S2658" s="255"/>
      <c r="T2658" s="255"/>
    </row>
    <row r="2659" spans="18:20" x14ac:dyDescent="0.3">
      <c r="R2659" s="255"/>
      <c r="S2659" s="255"/>
      <c r="T2659" s="255"/>
    </row>
    <row r="2660" spans="18:20" x14ac:dyDescent="0.3">
      <c r="R2660" s="255"/>
      <c r="S2660" s="255"/>
      <c r="T2660" s="255"/>
    </row>
    <row r="2661" spans="18:20" x14ac:dyDescent="0.3">
      <c r="R2661" s="255"/>
      <c r="S2661" s="255"/>
      <c r="T2661" s="255"/>
    </row>
    <row r="2662" spans="18:20" x14ac:dyDescent="0.3">
      <c r="R2662" s="255"/>
      <c r="S2662" s="255"/>
      <c r="T2662" s="255"/>
    </row>
    <row r="2663" spans="18:20" x14ac:dyDescent="0.3">
      <c r="R2663" s="255"/>
      <c r="S2663" s="255"/>
      <c r="T2663" s="255"/>
    </row>
    <row r="2664" spans="18:20" x14ac:dyDescent="0.3">
      <c r="R2664" s="255"/>
      <c r="S2664" s="255"/>
      <c r="T2664" s="255"/>
    </row>
    <row r="2665" spans="18:20" x14ac:dyDescent="0.3">
      <c r="R2665" s="255"/>
      <c r="S2665" s="255"/>
      <c r="T2665" s="255"/>
    </row>
    <row r="2666" spans="18:20" x14ac:dyDescent="0.3">
      <c r="R2666" s="255"/>
      <c r="S2666" s="255"/>
      <c r="T2666" s="255"/>
    </row>
    <row r="2667" spans="18:20" x14ac:dyDescent="0.3">
      <c r="R2667" s="255"/>
      <c r="S2667" s="255"/>
      <c r="T2667" s="255"/>
    </row>
    <row r="2668" spans="18:20" x14ac:dyDescent="0.3">
      <c r="R2668" s="255"/>
      <c r="S2668" s="255"/>
      <c r="T2668" s="255"/>
    </row>
    <row r="2669" spans="18:20" x14ac:dyDescent="0.3">
      <c r="R2669" s="255"/>
      <c r="S2669" s="255"/>
      <c r="T2669" s="255"/>
    </row>
    <row r="2670" spans="18:20" x14ac:dyDescent="0.3">
      <c r="R2670" s="255"/>
      <c r="S2670" s="255"/>
      <c r="T2670" s="255"/>
    </row>
    <row r="2671" spans="18:20" x14ac:dyDescent="0.3">
      <c r="R2671" s="255"/>
      <c r="S2671" s="255"/>
      <c r="T2671" s="255"/>
    </row>
    <row r="2672" spans="18:20" x14ac:dyDescent="0.3">
      <c r="R2672" s="255"/>
      <c r="S2672" s="255"/>
      <c r="T2672" s="255"/>
    </row>
    <row r="2673" spans="18:20" x14ac:dyDescent="0.3">
      <c r="R2673" s="255"/>
      <c r="S2673" s="255"/>
      <c r="T2673" s="255"/>
    </row>
    <row r="2674" spans="18:20" x14ac:dyDescent="0.3">
      <c r="R2674" s="255"/>
      <c r="S2674" s="255"/>
      <c r="T2674" s="255"/>
    </row>
    <row r="2675" spans="18:20" x14ac:dyDescent="0.3">
      <c r="R2675" s="255"/>
      <c r="S2675" s="255"/>
      <c r="T2675" s="255"/>
    </row>
    <row r="2676" spans="18:20" x14ac:dyDescent="0.3">
      <c r="R2676" s="255"/>
      <c r="S2676" s="255"/>
      <c r="T2676" s="255"/>
    </row>
    <row r="2677" spans="18:20" x14ac:dyDescent="0.3">
      <c r="R2677" s="255"/>
      <c r="S2677" s="255"/>
      <c r="T2677" s="255"/>
    </row>
    <row r="2678" spans="18:20" x14ac:dyDescent="0.3">
      <c r="R2678" s="255"/>
      <c r="S2678" s="255"/>
      <c r="T2678" s="255"/>
    </row>
    <row r="2679" spans="18:20" x14ac:dyDescent="0.3">
      <c r="R2679" s="255"/>
      <c r="S2679" s="255"/>
      <c r="T2679" s="255"/>
    </row>
    <row r="2680" spans="18:20" x14ac:dyDescent="0.3">
      <c r="R2680" s="255"/>
      <c r="S2680" s="255"/>
      <c r="T2680" s="255"/>
    </row>
    <row r="2681" spans="18:20" x14ac:dyDescent="0.3">
      <c r="R2681" s="255"/>
      <c r="S2681" s="255"/>
      <c r="T2681" s="255"/>
    </row>
    <row r="2682" spans="18:20" x14ac:dyDescent="0.3">
      <c r="R2682" s="255"/>
      <c r="S2682" s="255"/>
      <c r="T2682" s="255"/>
    </row>
    <row r="2683" spans="18:20" x14ac:dyDescent="0.3">
      <c r="R2683" s="255"/>
      <c r="S2683" s="255"/>
      <c r="T2683" s="255"/>
    </row>
    <row r="2684" spans="18:20" x14ac:dyDescent="0.3">
      <c r="R2684" s="255"/>
      <c r="S2684" s="255"/>
      <c r="T2684" s="255"/>
    </row>
    <row r="2685" spans="18:20" x14ac:dyDescent="0.3">
      <c r="R2685" s="255"/>
      <c r="S2685" s="255"/>
      <c r="T2685" s="255"/>
    </row>
    <row r="2686" spans="18:20" x14ac:dyDescent="0.3">
      <c r="R2686" s="255"/>
      <c r="S2686" s="255"/>
      <c r="T2686" s="255"/>
    </row>
    <row r="2687" spans="18:20" x14ac:dyDescent="0.3">
      <c r="R2687" s="255"/>
      <c r="S2687" s="255"/>
      <c r="T2687" s="255"/>
    </row>
    <row r="2688" spans="18:20" x14ac:dyDescent="0.3">
      <c r="R2688" s="255"/>
      <c r="S2688" s="255"/>
      <c r="T2688" s="255"/>
    </row>
    <row r="2689" spans="18:20" x14ac:dyDescent="0.3">
      <c r="R2689" s="255"/>
      <c r="S2689" s="255"/>
      <c r="T2689" s="255"/>
    </row>
    <row r="2690" spans="18:20" x14ac:dyDescent="0.3">
      <c r="R2690" s="255"/>
      <c r="S2690" s="255"/>
      <c r="T2690" s="255"/>
    </row>
    <row r="2691" spans="18:20" x14ac:dyDescent="0.3">
      <c r="R2691" s="255"/>
      <c r="S2691" s="255"/>
      <c r="T2691" s="255"/>
    </row>
    <row r="2692" spans="18:20" x14ac:dyDescent="0.3">
      <c r="R2692" s="255"/>
      <c r="S2692" s="255"/>
      <c r="T2692" s="255"/>
    </row>
    <row r="2693" spans="18:20" x14ac:dyDescent="0.3">
      <c r="R2693" s="255"/>
      <c r="S2693" s="255"/>
      <c r="T2693" s="255"/>
    </row>
    <row r="2694" spans="18:20" x14ac:dyDescent="0.3">
      <c r="R2694" s="255"/>
      <c r="S2694" s="255"/>
      <c r="T2694" s="255"/>
    </row>
    <row r="2695" spans="18:20" x14ac:dyDescent="0.3">
      <c r="R2695" s="255"/>
      <c r="S2695" s="255"/>
      <c r="T2695" s="255"/>
    </row>
    <row r="2696" spans="18:20" x14ac:dyDescent="0.3">
      <c r="R2696" s="255"/>
      <c r="S2696" s="255"/>
      <c r="T2696" s="255"/>
    </row>
    <row r="2697" spans="18:20" x14ac:dyDescent="0.3">
      <c r="R2697" s="255"/>
      <c r="S2697" s="255"/>
      <c r="T2697" s="255"/>
    </row>
    <row r="2698" spans="18:20" x14ac:dyDescent="0.3">
      <c r="R2698" s="255"/>
      <c r="S2698" s="255"/>
      <c r="T2698" s="255"/>
    </row>
    <row r="2699" spans="18:20" x14ac:dyDescent="0.3">
      <c r="R2699" s="255"/>
      <c r="S2699" s="255"/>
      <c r="T2699" s="255"/>
    </row>
    <row r="2700" spans="18:20" x14ac:dyDescent="0.3">
      <c r="R2700" s="255"/>
      <c r="S2700" s="255"/>
      <c r="T2700" s="255"/>
    </row>
    <row r="2701" spans="18:20" x14ac:dyDescent="0.3">
      <c r="R2701" s="255"/>
      <c r="S2701" s="255"/>
      <c r="T2701" s="255"/>
    </row>
    <row r="2702" spans="18:20" x14ac:dyDescent="0.3">
      <c r="R2702" s="255"/>
      <c r="S2702" s="255"/>
      <c r="T2702" s="255"/>
    </row>
    <row r="2703" spans="18:20" x14ac:dyDescent="0.3">
      <c r="R2703" s="255"/>
      <c r="S2703" s="255"/>
      <c r="T2703" s="255"/>
    </row>
    <row r="2704" spans="18:20" x14ac:dyDescent="0.3">
      <c r="R2704" s="255"/>
      <c r="S2704" s="255"/>
      <c r="T2704" s="255"/>
    </row>
    <row r="2705" spans="18:20" x14ac:dyDescent="0.3">
      <c r="R2705" s="255"/>
      <c r="S2705" s="255"/>
      <c r="T2705" s="255"/>
    </row>
    <row r="2706" spans="18:20" x14ac:dyDescent="0.3">
      <c r="R2706" s="255"/>
      <c r="S2706" s="255"/>
      <c r="T2706" s="255"/>
    </row>
    <row r="2707" spans="18:20" x14ac:dyDescent="0.3">
      <c r="R2707" s="255"/>
      <c r="S2707" s="255"/>
      <c r="T2707" s="255"/>
    </row>
    <row r="2708" spans="18:20" x14ac:dyDescent="0.3">
      <c r="R2708" s="255"/>
      <c r="S2708" s="255"/>
      <c r="T2708" s="255"/>
    </row>
    <row r="2709" spans="18:20" x14ac:dyDescent="0.3">
      <c r="R2709" s="255"/>
      <c r="S2709" s="255"/>
      <c r="T2709" s="255"/>
    </row>
    <row r="2710" spans="18:20" x14ac:dyDescent="0.3">
      <c r="R2710" s="255"/>
      <c r="S2710" s="255"/>
      <c r="T2710" s="255"/>
    </row>
    <row r="2711" spans="18:20" x14ac:dyDescent="0.3">
      <c r="R2711" s="255"/>
      <c r="S2711" s="255"/>
      <c r="T2711" s="255"/>
    </row>
    <row r="2712" spans="18:20" x14ac:dyDescent="0.3">
      <c r="R2712" s="255"/>
      <c r="S2712" s="255"/>
      <c r="T2712" s="255"/>
    </row>
    <row r="2713" spans="18:20" x14ac:dyDescent="0.3">
      <c r="R2713" s="255"/>
      <c r="S2713" s="255"/>
      <c r="T2713" s="255"/>
    </row>
    <row r="2714" spans="18:20" x14ac:dyDescent="0.3">
      <c r="R2714" s="255"/>
      <c r="S2714" s="255"/>
      <c r="T2714" s="255"/>
    </row>
    <row r="2715" spans="18:20" x14ac:dyDescent="0.3">
      <c r="R2715" s="255"/>
      <c r="S2715" s="255"/>
      <c r="T2715" s="255"/>
    </row>
    <row r="2716" spans="18:20" x14ac:dyDescent="0.3">
      <c r="R2716" s="255"/>
      <c r="S2716" s="255"/>
      <c r="T2716" s="255"/>
    </row>
    <row r="2717" spans="18:20" x14ac:dyDescent="0.3">
      <c r="R2717" s="255"/>
      <c r="S2717" s="255"/>
      <c r="T2717" s="255"/>
    </row>
    <row r="2718" spans="18:20" x14ac:dyDescent="0.3">
      <c r="R2718" s="255"/>
      <c r="S2718" s="255"/>
      <c r="T2718" s="255"/>
    </row>
    <row r="2719" spans="18:20" x14ac:dyDescent="0.3">
      <c r="R2719" s="255"/>
      <c r="S2719" s="255"/>
      <c r="T2719" s="255"/>
    </row>
    <row r="2720" spans="18:20" x14ac:dyDescent="0.3">
      <c r="R2720" s="255"/>
      <c r="S2720" s="255"/>
      <c r="T2720" s="255"/>
    </row>
    <row r="2721" spans="18:20" x14ac:dyDescent="0.3">
      <c r="R2721" s="255"/>
      <c r="S2721" s="255"/>
      <c r="T2721" s="255"/>
    </row>
    <row r="2722" spans="18:20" x14ac:dyDescent="0.3">
      <c r="R2722" s="255"/>
      <c r="S2722" s="255"/>
      <c r="T2722" s="255"/>
    </row>
    <row r="2723" spans="18:20" x14ac:dyDescent="0.3">
      <c r="R2723" s="255"/>
      <c r="S2723" s="255"/>
      <c r="T2723" s="255"/>
    </row>
    <row r="2724" spans="18:20" x14ac:dyDescent="0.3">
      <c r="R2724" s="255"/>
      <c r="S2724" s="255"/>
      <c r="T2724" s="255"/>
    </row>
    <row r="2725" spans="18:20" x14ac:dyDescent="0.3">
      <c r="R2725" s="255"/>
      <c r="S2725" s="255"/>
      <c r="T2725" s="255"/>
    </row>
    <row r="2726" spans="18:20" x14ac:dyDescent="0.3">
      <c r="R2726" s="255"/>
      <c r="S2726" s="255"/>
      <c r="T2726" s="255"/>
    </row>
    <row r="2727" spans="18:20" x14ac:dyDescent="0.3">
      <c r="R2727" s="255"/>
      <c r="S2727" s="255"/>
      <c r="T2727" s="255"/>
    </row>
    <row r="2728" spans="18:20" x14ac:dyDescent="0.3">
      <c r="R2728" s="255"/>
      <c r="S2728" s="255"/>
      <c r="T2728" s="255"/>
    </row>
    <row r="2729" spans="18:20" x14ac:dyDescent="0.3">
      <c r="R2729" s="255"/>
      <c r="S2729" s="255"/>
      <c r="T2729" s="255"/>
    </row>
    <row r="2730" spans="18:20" x14ac:dyDescent="0.3">
      <c r="R2730" s="255"/>
      <c r="S2730" s="255"/>
      <c r="T2730" s="255"/>
    </row>
    <row r="2731" spans="18:20" x14ac:dyDescent="0.3">
      <c r="R2731" s="255"/>
      <c r="S2731" s="255"/>
      <c r="T2731" s="255"/>
    </row>
    <row r="2732" spans="18:20" x14ac:dyDescent="0.3">
      <c r="R2732" s="255"/>
      <c r="S2732" s="255"/>
      <c r="T2732" s="255"/>
    </row>
    <row r="2733" spans="18:20" x14ac:dyDescent="0.3">
      <c r="R2733" s="255"/>
      <c r="S2733" s="255"/>
      <c r="T2733" s="255"/>
    </row>
    <row r="2734" spans="18:20" x14ac:dyDescent="0.3">
      <c r="R2734" s="255"/>
      <c r="S2734" s="255"/>
      <c r="T2734" s="255"/>
    </row>
    <row r="2735" spans="18:20" x14ac:dyDescent="0.3">
      <c r="R2735" s="255"/>
      <c r="S2735" s="255"/>
      <c r="T2735" s="255"/>
    </row>
    <row r="2736" spans="18:20" x14ac:dyDescent="0.3">
      <c r="R2736" s="255"/>
      <c r="S2736" s="255"/>
      <c r="T2736" s="255"/>
    </row>
    <row r="2737" spans="18:20" x14ac:dyDescent="0.3">
      <c r="R2737" s="255"/>
      <c r="S2737" s="255"/>
      <c r="T2737" s="255"/>
    </row>
    <row r="2738" spans="18:20" x14ac:dyDescent="0.3">
      <c r="R2738" s="255"/>
      <c r="S2738" s="255"/>
      <c r="T2738" s="255"/>
    </row>
    <row r="2739" spans="18:20" x14ac:dyDescent="0.3">
      <c r="R2739" s="255"/>
      <c r="S2739" s="255"/>
      <c r="T2739" s="255"/>
    </row>
    <row r="2740" spans="18:20" x14ac:dyDescent="0.3">
      <c r="R2740" s="255"/>
      <c r="S2740" s="255"/>
      <c r="T2740" s="255"/>
    </row>
    <row r="2741" spans="18:20" x14ac:dyDescent="0.3">
      <c r="R2741" s="255"/>
      <c r="S2741" s="255"/>
      <c r="T2741" s="255"/>
    </row>
    <row r="2742" spans="18:20" x14ac:dyDescent="0.3">
      <c r="R2742" s="255"/>
      <c r="S2742" s="255"/>
      <c r="T2742" s="255"/>
    </row>
    <row r="2743" spans="18:20" x14ac:dyDescent="0.3">
      <c r="R2743" s="255"/>
      <c r="S2743" s="255"/>
      <c r="T2743" s="255"/>
    </row>
    <row r="2744" spans="18:20" x14ac:dyDescent="0.3">
      <c r="R2744" s="255"/>
      <c r="S2744" s="255"/>
      <c r="T2744" s="255"/>
    </row>
    <row r="2745" spans="18:20" x14ac:dyDescent="0.3">
      <c r="R2745" s="255"/>
      <c r="S2745" s="255"/>
      <c r="T2745" s="255"/>
    </row>
    <row r="2746" spans="18:20" x14ac:dyDescent="0.3">
      <c r="R2746" s="255"/>
      <c r="S2746" s="255"/>
      <c r="T2746" s="255"/>
    </row>
    <row r="2747" spans="18:20" x14ac:dyDescent="0.3">
      <c r="R2747" s="255"/>
      <c r="S2747" s="255"/>
      <c r="T2747" s="255"/>
    </row>
    <row r="2748" spans="18:20" x14ac:dyDescent="0.3">
      <c r="R2748" s="255"/>
      <c r="S2748" s="255"/>
      <c r="T2748" s="255"/>
    </row>
    <row r="2749" spans="18:20" x14ac:dyDescent="0.3">
      <c r="R2749" s="255"/>
      <c r="S2749" s="255"/>
      <c r="T2749" s="255"/>
    </row>
    <row r="2750" spans="18:20" x14ac:dyDescent="0.3">
      <c r="R2750" s="255"/>
      <c r="S2750" s="255"/>
      <c r="T2750" s="255"/>
    </row>
    <row r="2751" spans="18:20" x14ac:dyDescent="0.3">
      <c r="R2751" s="255"/>
      <c r="S2751" s="255"/>
      <c r="T2751" s="255"/>
    </row>
    <row r="2752" spans="18:20" x14ac:dyDescent="0.3">
      <c r="R2752" s="255"/>
      <c r="S2752" s="255"/>
      <c r="T2752" s="255"/>
    </row>
    <row r="2753" spans="18:20" x14ac:dyDescent="0.3">
      <c r="R2753" s="255"/>
      <c r="S2753" s="255"/>
      <c r="T2753" s="255"/>
    </row>
    <row r="2754" spans="18:20" x14ac:dyDescent="0.3">
      <c r="R2754" s="255"/>
      <c r="S2754" s="255"/>
      <c r="T2754" s="255"/>
    </row>
    <row r="2755" spans="18:20" x14ac:dyDescent="0.3">
      <c r="R2755" s="255"/>
      <c r="S2755" s="255"/>
      <c r="T2755" s="255"/>
    </row>
    <row r="2756" spans="18:20" x14ac:dyDescent="0.3">
      <c r="R2756" s="255"/>
      <c r="S2756" s="255"/>
      <c r="T2756" s="255"/>
    </row>
    <row r="2757" spans="18:20" x14ac:dyDescent="0.3">
      <c r="R2757" s="255"/>
      <c r="S2757" s="255"/>
      <c r="T2757" s="255"/>
    </row>
    <row r="2758" spans="18:20" x14ac:dyDescent="0.3">
      <c r="R2758" s="255"/>
      <c r="S2758" s="255"/>
      <c r="T2758" s="255"/>
    </row>
    <row r="2759" spans="18:20" x14ac:dyDescent="0.3">
      <c r="R2759" s="255"/>
      <c r="S2759" s="255"/>
      <c r="T2759" s="255"/>
    </row>
    <row r="2760" spans="18:20" x14ac:dyDescent="0.3">
      <c r="R2760" s="255"/>
      <c r="S2760" s="255"/>
      <c r="T2760" s="255"/>
    </row>
    <row r="2761" spans="18:20" x14ac:dyDescent="0.3">
      <c r="R2761" s="255"/>
      <c r="S2761" s="255"/>
      <c r="T2761" s="255"/>
    </row>
    <row r="2762" spans="18:20" x14ac:dyDescent="0.3">
      <c r="R2762" s="255"/>
      <c r="S2762" s="255"/>
      <c r="T2762" s="255"/>
    </row>
    <row r="2763" spans="18:20" x14ac:dyDescent="0.3">
      <c r="R2763" s="255"/>
      <c r="S2763" s="255"/>
      <c r="T2763" s="255"/>
    </row>
    <row r="2764" spans="18:20" x14ac:dyDescent="0.3">
      <c r="R2764" s="255"/>
      <c r="S2764" s="255"/>
      <c r="T2764" s="255"/>
    </row>
    <row r="2765" spans="18:20" x14ac:dyDescent="0.3">
      <c r="R2765" s="255"/>
      <c r="S2765" s="255"/>
      <c r="T2765" s="255"/>
    </row>
    <row r="2766" spans="18:20" x14ac:dyDescent="0.3">
      <c r="R2766" s="255"/>
      <c r="S2766" s="255"/>
      <c r="T2766" s="255"/>
    </row>
    <row r="2767" spans="18:20" x14ac:dyDescent="0.3">
      <c r="R2767" s="255"/>
      <c r="S2767" s="255"/>
      <c r="T2767" s="255"/>
    </row>
    <row r="2768" spans="18:20" x14ac:dyDescent="0.3">
      <c r="R2768" s="255"/>
      <c r="S2768" s="255"/>
      <c r="T2768" s="255"/>
    </row>
    <row r="2769" spans="18:20" x14ac:dyDescent="0.3">
      <c r="R2769" s="255"/>
      <c r="S2769" s="255"/>
      <c r="T2769" s="255"/>
    </row>
    <row r="2770" spans="18:20" x14ac:dyDescent="0.3">
      <c r="R2770" s="255"/>
      <c r="S2770" s="255"/>
      <c r="T2770" s="255"/>
    </row>
    <row r="2771" spans="18:20" x14ac:dyDescent="0.3">
      <c r="R2771" s="255"/>
      <c r="S2771" s="255"/>
      <c r="T2771" s="255"/>
    </row>
    <row r="2772" spans="18:20" x14ac:dyDescent="0.3">
      <c r="R2772" s="255"/>
      <c r="S2772" s="255"/>
      <c r="T2772" s="255"/>
    </row>
    <row r="2773" spans="18:20" x14ac:dyDescent="0.3">
      <c r="R2773" s="255"/>
      <c r="S2773" s="255"/>
      <c r="T2773" s="255"/>
    </row>
    <row r="2774" spans="18:20" x14ac:dyDescent="0.3">
      <c r="R2774" s="255"/>
      <c r="S2774" s="255"/>
      <c r="T2774" s="255"/>
    </row>
    <row r="2775" spans="18:20" x14ac:dyDescent="0.3">
      <c r="R2775" s="255"/>
      <c r="S2775" s="255"/>
      <c r="T2775" s="255"/>
    </row>
    <row r="2776" spans="18:20" x14ac:dyDescent="0.3">
      <c r="R2776" s="255"/>
      <c r="S2776" s="255"/>
      <c r="T2776" s="255"/>
    </row>
    <row r="2777" spans="18:20" x14ac:dyDescent="0.3">
      <c r="R2777" s="255"/>
      <c r="S2777" s="255"/>
      <c r="T2777" s="255"/>
    </row>
    <row r="2778" spans="18:20" x14ac:dyDescent="0.3">
      <c r="R2778" s="255"/>
      <c r="S2778" s="255"/>
      <c r="T2778" s="255"/>
    </row>
    <row r="2779" spans="18:20" x14ac:dyDescent="0.3">
      <c r="R2779" s="255"/>
      <c r="S2779" s="255"/>
      <c r="T2779" s="255"/>
    </row>
    <row r="2780" spans="18:20" x14ac:dyDescent="0.3">
      <c r="R2780" s="255"/>
      <c r="S2780" s="255"/>
      <c r="T2780" s="255"/>
    </row>
    <row r="2781" spans="18:20" x14ac:dyDescent="0.3">
      <c r="R2781" s="255"/>
      <c r="S2781" s="255"/>
      <c r="T2781" s="255"/>
    </row>
    <row r="2782" spans="18:20" x14ac:dyDescent="0.3">
      <c r="R2782" s="255"/>
      <c r="S2782" s="255"/>
      <c r="T2782" s="255"/>
    </row>
    <row r="2783" spans="18:20" x14ac:dyDescent="0.3">
      <c r="R2783" s="255"/>
      <c r="S2783" s="255"/>
      <c r="T2783" s="255"/>
    </row>
    <row r="2784" spans="18:20" x14ac:dyDescent="0.3">
      <c r="R2784" s="255"/>
      <c r="S2784" s="255"/>
      <c r="T2784" s="255"/>
    </row>
    <row r="2785" spans="18:20" x14ac:dyDescent="0.3">
      <c r="R2785" s="255"/>
      <c r="S2785" s="255"/>
      <c r="T2785" s="255"/>
    </row>
    <row r="2786" spans="18:20" x14ac:dyDescent="0.3">
      <c r="R2786" s="255"/>
      <c r="S2786" s="255"/>
      <c r="T2786" s="255"/>
    </row>
    <row r="2787" spans="18:20" x14ac:dyDescent="0.3">
      <c r="R2787" s="255"/>
      <c r="S2787" s="255"/>
      <c r="T2787" s="255"/>
    </row>
    <row r="2788" spans="18:20" x14ac:dyDescent="0.3">
      <c r="R2788" s="255"/>
      <c r="S2788" s="255"/>
      <c r="T2788" s="255"/>
    </row>
    <row r="2789" spans="18:20" x14ac:dyDescent="0.3">
      <c r="R2789" s="255"/>
      <c r="S2789" s="255"/>
      <c r="T2789" s="255"/>
    </row>
    <row r="2790" spans="18:20" x14ac:dyDescent="0.3">
      <c r="R2790" s="255"/>
      <c r="S2790" s="255"/>
      <c r="T2790" s="255"/>
    </row>
    <row r="2791" spans="18:20" x14ac:dyDescent="0.3">
      <c r="R2791" s="255"/>
      <c r="S2791" s="255"/>
      <c r="T2791" s="255"/>
    </row>
    <row r="2792" spans="18:20" x14ac:dyDescent="0.3">
      <c r="R2792" s="255"/>
      <c r="S2792" s="255"/>
      <c r="T2792" s="255"/>
    </row>
    <row r="2793" spans="18:20" x14ac:dyDescent="0.3">
      <c r="R2793" s="255"/>
      <c r="S2793" s="255"/>
      <c r="T2793" s="255"/>
    </row>
    <row r="2794" spans="18:20" x14ac:dyDescent="0.3">
      <c r="R2794" s="255"/>
      <c r="S2794" s="255"/>
      <c r="T2794" s="255"/>
    </row>
    <row r="2795" spans="18:20" x14ac:dyDescent="0.3">
      <c r="R2795" s="255"/>
      <c r="S2795" s="255"/>
      <c r="T2795" s="255"/>
    </row>
    <row r="2796" spans="18:20" x14ac:dyDescent="0.3">
      <c r="R2796" s="255"/>
      <c r="S2796" s="255"/>
      <c r="T2796" s="255"/>
    </row>
    <row r="2797" spans="18:20" x14ac:dyDescent="0.3">
      <c r="R2797" s="255"/>
      <c r="S2797" s="255"/>
      <c r="T2797" s="255"/>
    </row>
    <row r="2798" spans="18:20" x14ac:dyDescent="0.3">
      <c r="R2798" s="255"/>
      <c r="S2798" s="255"/>
      <c r="T2798" s="255"/>
    </row>
    <row r="2799" spans="18:20" x14ac:dyDescent="0.3">
      <c r="R2799" s="255"/>
      <c r="S2799" s="255"/>
      <c r="T2799" s="255"/>
    </row>
    <row r="2800" spans="18:20" x14ac:dyDescent="0.3">
      <c r="R2800" s="255"/>
      <c r="S2800" s="255"/>
      <c r="T2800" s="255"/>
    </row>
    <row r="2801" spans="18:20" x14ac:dyDescent="0.3">
      <c r="R2801" s="255"/>
      <c r="S2801" s="255"/>
      <c r="T2801" s="255"/>
    </row>
    <row r="2802" spans="18:20" x14ac:dyDescent="0.3">
      <c r="R2802" s="255"/>
      <c r="S2802" s="255"/>
      <c r="T2802" s="255"/>
    </row>
    <row r="2803" spans="18:20" x14ac:dyDescent="0.3">
      <c r="R2803" s="255"/>
      <c r="S2803" s="255"/>
      <c r="T2803" s="255"/>
    </row>
    <row r="2804" spans="18:20" x14ac:dyDescent="0.3">
      <c r="R2804" s="255"/>
      <c r="S2804" s="255"/>
      <c r="T2804" s="255"/>
    </row>
    <row r="2805" spans="18:20" x14ac:dyDescent="0.3">
      <c r="R2805" s="255"/>
      <c r="S2805" s="255"/>
      <c r="T2805" s="255"/>
    </row>
    <row r="2806" spans="18:20" x14ac:dyDescent="0.3">
      <c r="R2806" s="255"/>
      <c r="S2806" s="255"/>
      <c r="T2806" s="255"/>
    </row>
    <row r="2807" spans="18:20" x14ac:dyDescent="0.3">
      <c r="R2807" s="255"/>
      <c r="S2807" s="255"/>
      <c r="T2807" s="255"/>
    </row>
    <row r="2808" spans="18:20" x14ac:dyDescent="0.3">
      <c r="R2808" s="255"/>
      <c r="S2808" s="255"/>
      <c r="T2808" s="255"/>
    </row>
    <row r="2809" spans="18:20" x14ac:dyDescent="0.3">
      <c r="R2809" s="255"/>
      <c r="S2809" s="255"/>
      <c r="T2809" s="255"/>
    </row>
    <row r="2810" spans="18:20" x14ac:dyDescent="0.3">
      <c r="R2810" s="255"/>
      <c r="S2810" s="255"/>
      <c r="T2810" s="255"/>
    </row>
    <row r="2811" spans="18:20" x14ac:dyDescent="0.3">
      <c r="R2811" s="255"/>
      <c r="S2811" s="255"/>
      <c r="T2811" s="255"/>
    </row>
    <row r="2812" spans="18:20" x14ac:dyDescent="0.3">
      <c r="R2812" s="255"/>
      <c r="S2812" s="255"/>
      <c r="T2812" s="255"/>
    </row>
    <row r="2813" spans="18:20" x14ac:dyDescent="0.3">
      <c r="R2813" s="255"/>
      <c r="S2813" s="255"/>
      <c r="T2813" s="255"/>
    </row>
    <row r="2814" spans="18:20" x14ac:dyDescent="0.3">
      <c r="R2814" s="255"/>
      <c r="S2814" s="255"/>
      <c r="T2814" s="255"/>
    </row>
    <row r="2815" spans="18:20" x14ac:dyDescent="0.3">
      <c r="R2815" s="255"/>
      <c r="S2815" s="255"/>
      <c r="T2815" s="255"/>
    </row>
    <row r="2816" spans="18:20" x14ac:dyDescent="0.3">
      <c r="R2816" s="255"/>
      <c r="S2816" s="255"/>
      <c r="T2816" s="255"/>
    </row>
    <row r="2817" spans="18:20" x14ac:dyDescent="0.3">
      <c r="R2817" s="255"/>
      <c r="S2817" s="255"/>
      <c r="T2817" s="255"/>
    </row>
    <row r="2818" spans="18:20" x14ac:dyDescent="0.3">
      <c r="R2818" s="255"/>
      <c r="S2818" s="255"/>
      <c r="T2818" s="255"/>
    </row>
    <row r="2819" spans="18:20" x14ac:dyDescent="0.3">
      <c r="R2819" s="255"/>
      <c r="S2819" s="255"/>
      <c r="T2819" s="255"/>
    </row>
    <row r="2820" spans="18:20" x14ac:dyDescent="0.3">
      <c r="R2820" s="255"/>
      <c r="S2820" s="255"/>
      <c r="T2820" s="255"/>
    </row>
    <row r="2821" spans="18:20" x14ac:dyDescent="0.3">
      <c r="R2821" s="255"/>
      <c r="S2821" s="255"/>
      <c r="T2821" s="255"/>
    </row>
    <row r="2822" spans="18:20" x14ac:dyDescent="0.3">
      <c r="R2822" s="255"/>
      <c r="S2822" s="255"/>
      <c r="T2822" s="255"/>
    </row>
    <row r="2823" spans="18:20" x14ac:dyDescent="0.3">
      <c r="R2823" s="255"/>
      <c r="S2823" s="255"/>
      <c r="T2823" s="255"/>
    </row>
    <row r="2824" spans="18:20" x14ac:dyDescent="0.3">
      <c r="R2824" s="255"/>
      <c r="S2824" s="255"/>
      <c r="T2824" s="255"/>
    </row>
    <row r="2825" spans="18:20" x14ac:dyDescent="0.3">
      <c r="R2825" s="255"/>
      <c r="S2825" s="255"/>
      <c r="T2825" s="255"/>
    </row>
    <row r="2826" spans="18:20" x14ac:dyDescent="0.3">
      <c r="R2826" s="255"/>
      <c r="S2826" s="255"/>
      <c r="T2826" s="255"/>
    </row>
    <row r="2827" spans="18:20" x14ac:dyDescent="0.3">
      <c r="R2827" s="255"/>
      <c r="S2827" s="255"/>
      <c r="T2827" s="255"/>
    </row>
    <row r="2828" spans="18:20" x14ac:dyDescent="0.3">
      <c r="R2828" s="255"/>
      <c r="S2828" s="255"/>
      <c r="T2828" s="255"/>
    </row>
    <row r="2829" spans="18:20" x14ac:dyDescent="0.3">
      <c r="R2829" s="255"/>
      <c r="S2829" s="255"/>
      <c r="T2829" s="255"/>
    </row>
    <row r="2830" spans="18:20" x14ac:dyDescent="0.3">
      <c r="R2830" s="255"/>
      <c r="S2830" s="255"/>
      <c r="T2830" s="255"/>
    </row>
    <row r="2831" spans="18:20" x14ac:dyDescent="0.3">
      <c r="R2831" s="255"/>
      <c r="S2831" s="255"/>
      <c r="T2831" s="255"/>
    </row>
    <row r="2832" spans="18:20" x14ac:dyDescent="0.3">
      <c r="R2832" s="255"/>
      <c r="S2832" s="255"/>
      <c r="T2832" s="255"/>
    </row>
    <row r="2833" spans="18:20" x14ac:dyDescent="0.3">
      <c r="R2833" s="255"/>
      <c r="S2833" s="255"/>
      <c r="T2833" s="255"/>
    </row>
    <row r="2834" spans="18:20" x14ac:dyDescent="0.3">
      <c r="R2834" s="255"/>
      <c r="S2834" s="255"/>
      <c r="T2834" s="255"/>
    </row>
    <row r="2835" spans="18:20" x14ac:dyDescent="0.3">
      <c r="R2835" s="255"/>
      <c r="S2835" s="255"/>
      <c r="T2835" s="255"/>
    </row>
    <row r="2836" spans="18:20" x14ac:dyDescent="0.3">
      <c r="R2836" s="255"/>
      <c r="S2836" s="255"/>
      <c r="T2836" s="255"/>
    </row>
    <row r="2837" spans="18:20" x14ac:dyDescent="0.3">
      <c r="R2837" s="255"/>
      <c r="S2837" s="255"/>
      <c r="T2837" s="255"/>
    </row>
    <row r="2838" spans="18:20" x14ac:dyDescent="0.3">
      <c r="R2838" s="255"/>
      <c r="S2838" s="255"/>
      <c r="T2838" s="255"/>
    </row>
    <row r="2839" spans="18:20" x14ac:dyDescent="0.3">
      <c r="R2839" s="255"/>
      <c r="S2839" s="255"/>
      <c r="T2839" s="255"/>
    </row>
    <row r="2840" spans="18:20" x14ac:dyDescent="0.3">
      <c r="R2840" s="255"/>
      <c r="S2840" s="255"/>
      <c r="T2840" s="255"/>
    </row>
    <row r="2841" spans="18:20" x14ac:dyDescent="0.3">
      <c r="R2841" s="255"/>
      <c r="S2841" s="255"/>
      <c r="T2841" s="255"/>
    </row>
    <row r="2842" spans="18:20" x14ac:dyDescent="0.3">
      <c r="R2842" s="255"/>
      <c r="S2842" s="255"/>
      <c r="T2842" s="255"/>
    </row>
    <row r="2843" spans="18:20" x14ac:dyDescent="0.3">
      <c r="R2843" s="255"/>
      <c r="S2843" s="255"/>
      <c r="T2843" s="255"/>
    </row>
    <row r="2844" spans="18:20" x14ac:dyDescent="0.3">
      <c r="R2844" s="255"/>
      <c r="S2844" s="255"/>
      <c r="T2844" s="255"/>
    </row>
    <row r="2845" spans="18:20" x14ac:dyDescent="0.3">
      <c r="R2845" s="255"/>
      <c r="S2845" s="255"/>
      <c r="T2845" s="255"/>
    </row>
    <row r="2846" spans="18:20" x14ac:dyDescent="0.3">
      <c r="R2846" s="255"/>
      <c r="S2846" s="255"/>
      <c r="T2846" s="255"/>
    </row>
    <row r="2847" spans="18:20" x14ac:dyDescent="0.3">
      <c r="R2847" s="255"/>
      <c r="S2847" s="255"/>
      <c r="T2847" s="255"/>
    </row>
    <row r="2848" spans="18:20" x14ac:dyDescent="0.3">
      <c r="R2848" s="255"/>
      <c r="S2848" s="255"/>
      <c r="T2848" s="255"/>
    </row>
    <row r="2849" spans="18:20" x14ac:dyDescent="0.3">
      <c r="R2849" s="255"/>
      <c r="S2849" s="255"/>
      <c r="T2849" s="255"/>
    </row>
    <row r="2850" spans="18:20" x14ac:dyDescent="0.3">
      <c r="R2850" s="255"/>
      <c r="S2850" s="255"/>
      <c r="T2850" s="255"/>
    </row>
    <row r="2851" spans="18:20" x14ac:dyDescent="0.3">
      <c r="R2851" s="255"/>
      <c r="S2851" s="255"/>
      <c r="T2851" s="255"/>
    </row>
    <row r="2852" spans="18:20" x14ac:dyDescent="0.3">
      <c r="R2852" s="255"/>
      <c r="S2852" s="255"/>
      <c r="T2852" s="255"/>
    </row>
    <row r="2853" spans="18:20" x14ac:dyDescent="0.3">
      <c r="R2853" s="255"/>
      <c r="S2853" s="255"/>
      <c r="T2853" s="255"/>
    </row>
    <row r="2854" spans="18:20" x14ac:dyDescent="0.3">
      <c r="R2854" s="255"/>
      <c r="S2854" s="255"/>
      <c r="T2854" s="255"/>
    </row>
    <row r="2855" spans="18:20" x14ac:dyDescent="0.3">
      <c r="R2855" s="255"/>
      <c r="S2855" s="255"/>
      <c r="T2855" s="255"/>
    </row>
    <row r="2856" spans="18:20" x14ac:dyDescent="0.3">
      <c r="R2856" s="255"/>
      <c r="S2856" s="255"/>
      <c r="T2856" s="255"/>
    </row>
    <row r="2857" spans="18:20" x14ac:dyDescent="0.3">
      <c r="R2857" s="255"/>
      <c r="S2857" s="255"/>
      <c r="T2857" s="255"/>
    </row>
    <row r="2858" spans="18:20" x14ac:dyDescent="0.3">
      <c r="R2858" s="255"/>
      <c r="S2858" s="255"/>
      <c r="T2858" s="255"/>
    </row>
    <row r="2859" spans="18:20" x14ac:dyDescent="0.3">
      <c r="R2859" s="255"/>
      <c r="S2859" s="255"/>
      <c r="T2859" s="255"/>
    </row>
    <row r="2860" spans="18:20" x14ac:dyDescent="0.3">
      <c r="R2860" s="255"/>
      <c r="S2860" s="255"/>
      <c r="T2860" s="255"/>
    </row>
    <row r="2861" spans="18:20" x14ac:dyDescent="0.3">
      <c r="R2861" s="255"/>
      <c r="S2861" s="255"/>
      <c r="T2861" s="255"/>
    </row>
    <row r="2862" spans="18:20" x14ac:dyDescent="0.3">
      <c r="R2862" s="255"/>
      <c r="S2862" s="255"/>
      <c r="T2862" s="255"/>
    </row>
    <row r="2863" spans="18:20" x14ac:dyDescent="0.3">
      <c r="R2863" s="255"/>
      <c r="S2863" s="255"/>
      <c r="T2863" s="255"/>
    </row>
    <row r="2864" spans="18:20" x14ac:dyDescent="0.3">
      <c r="R2864" s="255"/>
      <c r="S2864" s="255"/>
      <c r="T2864" s="255"/>
    </row>
    <row r="2865" spans="18:20" x14ac:dyDescent="0.3">
      <c r="R2865" s="255"/>
      <c r="S2865" s="255"/>
      <c r="T2865" s="255"/>
    </row>
    <row r="2866" spans="18:20" x14ac:dyDescent="0.3">
      <c r="R2866" s="255"/>
      <c r="S2866" s="255"/>
      <c r="T2866" s="255"/>
    </row>
    <row r="2867" spans="18:20" x14ac:dyDescent="0.3">
      <c r="R2867" s="255"/>
      <c r="S2867" s="255"/>
      <c r="T2867" s="255"/>
    </row>
    <row r="2868" spans="18:20" x14ac:dyDescent="0.3">
      <c r="R2868" s="255"/>
      <c r="S2868" s="255"/>
      <c r="T2868" s="255"/>
    </row>
    <row r="2869" spans="18:20" x14ac:dyDescent="0.3">
      <c r="R2869" s="255"/>
      <c r="S2869" s="255"/>
      <c r="T2869" s="255"/>
    </row>
    <row r="2870" spans="18:20" x14ac:dyDescent="0.3">
      <c r="R2870" s="255"/>
      <c r="S2870" s="255"/>
      <c r="T2870" s="255"/>
    </row>
    <row r="2871" spans="18:20" x14ac:dyDescent="0.3">
      <c r="R2871" s="255"/>
      <c r="S2871" s="255"/>
      <c r="T2871" s="255"/>
    </row>
    <row r="2872" spans="18:20" x14ac:dyDescent="0.3">
      <c r="R2872" s="255"/>
      <c r="S2872" s="255"/>
      <c r="T2872" s="255"/>
    </row>
    <row r="2873" spans="18:20" x14ac:dyDescent="0.3">
      <c r="R2873" s="255"/>
      <c r="S2873" s="255"/>
      <c r="T2873" s="255"/>
    </row>
    <row r="2874" spans="18:20" x14ac:dyDescent="0.3">
      <c r="R2874" s="255"/>
      <c r="S2874" s="255"/>
      <c r="T2874" s="255"/>
    </row>
    <row r="2875" spans="18:20" x14ac:dyDescent="0.3">
      <c r="R2875" s="255"/>
      <c r="S2875" s="255"/>
      <c r="T2875" s="255"/>
    </row>
    <row r="2876" spans="18:20" x14ac:dyDescent="0.3">
      <c r="R2876" s="255"/>
      <c r="S2876" s="255"/>
      <c r="T2876" s="255"/>
    </row>
    <row r="2877" spans="18:20" x14ac:dyDescent="0.3">
      <c r="R2877" s="255"/>
      <c r="S2877" s="255"/>
      <c r="T2877" s="255"/>
    </row>
    <row r="2878" spans="18:20" x14ac:dyDescent="0.3">
      <c r="R2878" s="255"/>
      <c r="S2878" s="255"/>
      <c r="T2878" s="255"/>
    </row>
    <row r="2879" spans="18:20" x14ac:dyDescent="0.3">
      <c r="R2879" s="255"/>
      <c r="S2879" s="255"/>
      <c r="T2879" s="255"/>
    </row>
    <row r="2880" spans="18:20" x14ac:dyDescent="0.3">
      <c r="R2880" s="255"/>
      <c r="S2880" s="255"/>
      <c r="T2880" s="255"/>
    </row>
    <row r="2881" spans="18:20" x14ac:dyDescent="0.3">
      <c r="R2881" s="255"/>
      <c r="S2881" s="255"/>
      <c r="T2881" s="255"/>
    </row>
    <row r="2882" spans="18:20" x14ac:dyDescent="0.3">
      <c r="R2882" s="255"/>
      <c r="S2882" s="255"/>
      <c r="T2882" s="255"/>
    </row>
    <row r="2883" spans="18:20" x14ac:dyDescent="0.3">
      <c r="R2883" s="255"/>
      <c r="S2883" s="255"/>
      <c r="T2883" s="255"/>
    </row>
    <row r="2884" spans="18:20" x14ac:dyDescent="0.3">
      <c r="R2884" s="255"/>
      <c r="S2884" s="255"/>
      <c r="T2884" s="255"/>
    </row>
    <row r="2885" spans="18:20" x14ac:dyDescent="0.3">
      <c r="R2885" s="255"/>
      <c r="S2885" s="255"/>
      <c r="T2885" s="255"/>
    </row>
    <row r="2886" spans="18:20" x14ac:dyDescent="0.3">
      <c r="R2886" s="255"/>
      <c r="S2886" s="255"/>
      <c r="T2886" s="255"/>
    </row>
    <row r="2887" spans="18:20" x14ac:dyDescent="0.3">
      <c r="R2887" s="255"/>
      <c r="S2887" s="255"/>
      <c r="T2887" s="255"/>
    </row>
    <row r="2888" spans="18:20" x14ac:dyDescent="0.3">
      <c r="R2888" s="255"/>
      <c r="S2888" s="255"/>
      <c r="T2888" s="255"/>
    </row>
    <row r="2889" spans="18:20" x14ac:dyDescent="0.3">
      <c r="R2889" s="255"/>
      <c r="S2889" s="255"/>
      <c r="T2889" s="255"/>
    </row>
    <row r="2890" spans="18:20" x14ac:dyDescent="0.3">
      <c r="R2890" s="255"/>
      <c r="S2890" s="255"/>
      <c r="T2890" s="255"/>
    </row>
    <row r="2891" spans="18:20" x14ac:dyDescent="0.3">
      <c r="R2891" s="255"/>
      <c r="S2891" s="255"/>
      <c r="T2891" s="255"/>
    </row>
    <row r="2892" spans="18:20" x14ac:dyDescent="0.3">
      <c r="R2892" s="255"/>
      <c r="S2892" s="255"/>
      <c r="T2892" s="255"/>
    </row>
    <row r="2893" spans="18:20" x14ac:dyDescent="0.3">
      <c r="R2893" s="255"/>
      <c r="S2893" s="255"/>
      <c r="T2893" s="255"/>
    </row>
    <row r="2894" spans="18:20" x14ac:dyDescent="0.3">
      <c r="R2894" s="255"/>
      <c r="S2894" s="255"/>
      <c r="T2894" s="255"/>
    </row>
    <row r="2895" spans="18:20" x14ac:dyDescent="0.3">
      <c r="R2895" s="255"/>
      <c r="S2895" s="255"/>
      <c r="T2895" s="255"/>
    </row>
    <row r="2896" spans="18:20" x14ac:dyDescent="0.3">
      <c r="R2896" s="255"/>
      <c r="S2896" s="255"/>
      <c r="T2896" s="255"/>
    </row>
    <row r="2897" spans="18:20" x14ac:dyDescent="0.3">
      <c r="R2897" s="255"/>
      <c r="S2897" s="255"/>
      <c r="T2897" s="255"/>
    </row>
    <row r="2898" spans="18:20" x14ac:dyDescent="0.3">
      <c r="R2898" s="255"/>
      <c r="S2898" s="255"/>
      <c r="T2898" s="255"/>
    </row>
    <row r="2899" spans="18:20" x14ac:dyDescent="0.3">
      <c r="R2899" s="255"/>
      <c r="S2899" s="255"/>
      <c r="T2899" s="255"/>
    </row>
    <row r="2900" spans="18:20" x14ac:dyDescent="0.3">
      <c r="R2900" s="255"/>
      <c r="S2900" s="255"/>
      <c r="T2900" s="255"/>
    </row>
    <row r="2901" spans="18:20" x14ac:dyDescent="0.3">
      <c r="R2901" s="255"/>
      <c r="S2901" s="255"/>
      <c r="T2901" s="255"/>
    </row>
    <row r="2902" spans="18:20" x14ac:dyDescent="0.3">
      <c r="R2902" s="255"/>
      <c r="S2902" s="255"/>
      <c r="T2902" s="255"/>
    </row>
    <row r="2903" spans="18:20" x14ac:dyDescent="0.3">
      <c r="R2903" s="255"/>
      <c r="S2903" s="255"/>
      <c r="T2903" s="255"/>
    </row>
    <row r="2904" spans="18:20" x14ac:dyDescent="0.3">
      <c r="R2904" s="255"/>
      <c r="S2904" s="255"/>
      <c r="T2904" s="255"/>
    </row>
    <row r="2905" spans="18:20" x14ac:dyDescent="0.3">
      <c r="R2905" s="255"/>
      <c r="S2905" s="255"/>
      <c r="T2905" s="255"/>
    </row>
    <row r="2906" spans="18:20" x14ac:dyDescent="0.3">
      <c r="R2906" s="255"/>
      <c r="S2906" s="255"/>
      <c r="T2906" s="255"/>
    </row>
    <row r="2907" spans="18:20" x14ac:dyDescent="0.3">
      <c r="R2907" s="255"/>
      <c r="S2907" s="255"/>
      <c r="T2907" s="255"/>
    </row>
    <row r="2908" spans="18:20" x14ac:dyDescent="0.3">
      <c r="R2908" s="255"/>
      <c r="S2908" s="255"/>
      <c r="T2908" s="255"/>
    </row>
    <row r="2909" spans="18:20" x14ac:dyDescent="0.3">
      <c r="R2909" s="255"/>
      <c r="S2909" s="255"/>
      <c r="T2909" s="255"/>
    </row>
    <row r="2910" spans="18:20" x14ac:dyDescent="0.3">
      <c r="R2910" s="255"/>
      <c r="S2910" s="255"/>
      <c r="T2910" s="255"/>
    </row>
    <row r="2911" spans="18:20" x14ac:dyDescent="0.3">
      <c r="R2911" s="255"/>
      <c r="S2911" s="255"/>
      <c r="T2911" s="255"/>
    </row>
    <row r="2912" spans="18:20" x14ac:dyDescent="0.3">
      <c r="R2912" s="255"/>
      <c r="S2912" s="255"/>
      <c r="T2912" s="255"/>
    </row>
    <row r="2913" spans="18:20" x14ac:dyDescent="0.3">
      <c r="R2913" s="255"/>
      <c r="S2913" s="255"/>
      <c r="T2913" s="255"/>
    </row>
    <row r="2914" spans="18:20" x14ac:dyDescent="0.3">
      <c r="R2914" s="255"/>
      <c r="S2914" s="255"/>
      <c r="T2914" s="255"/>
    </row>
    <row r="2915" spans="18:20" x14ac:dyDescent="0.3">
      <c r="R2915" s="255"/>
      <c r="S2915" s="255"/>
      <c r="T2915" s="255"/>
    </row>
    <row r="2916" spans="18:20" x14ac:dyDescent="0.3">
      <c r="R2916" s="255"/>
      <c r="S2916" s="255"/>
      <c r="T2916" s="255"/>
    </row>
    <row r="2917" spans="18:20" x14ac:dyDescent="0.3">
      <c r="R2917" s="255"/>
      <c r="S2917" s="255"/>
      <c r="T2917" s="255"/>
    </row>
    <row r="2918" spans="18:20" x14ac:dyDescent="0.3">
      <c r="R2918" s="255"/>
      <c r="S2918" s="255"/>
      <c r="T2918" s="255"/>
    </row>
    <row r="2919" spans="18:20" x14ac:dyDescent="0.3">
      <c r="R2919" s="255"/>
      <c r="S2919" s="255"/>
      <c r="T2919" s="255"/>
    </row>
    <row r="2920" spans="18:20" x14ac:dyDescent="0.3">
      <c r="R2920" s="255"/>
      <c r="S2920" s="255"/>
      <c r="T2920" s="255"/>
    </row>
    <row r="2921" spans="18:20" x14ac:dyDescent="0.3">
      <c r="R2921" s="255"/>
      <c r="S2921" s="255"/>
      <c r="T2921" s="255"/>
    </row>
    <row r="2922" spans="18:20" x14ac:dyDescent="0.3">
      <c r="R2922" s="255"/>
      <c r="S2922" s="255"/>
      <c r="T2922" s="255"/>
    </row>
    <row r="2923" spans="18:20" x14ac:dyDescent="0.3">
      <c r="R2923" s="255"/>
      <c r="S2923" s="255"/>
      <c r="T2923" s="255"/>
    </row>
    <row r="2924" spans="18:20" x14ac:dyDescent="0.3">
      <c r="R2924" s="255"/>
      <c r="S2924" s="255"/>
      <c r="T2924" s="255"/>
    </row>
    <row r="2925" spans="18:20" x14ac:dyDescent="0.3">
      <c r="R2925" s="255"/>
      <c r="S2925" s="255"/>
      <c r="T2925" s="255"/>
    </row>
    <row r="2926" spans="18:20" x14ac:dyDescent="0.3">
      <c r="R2926" s="255"/>
      <c r="S2926" s="255"/>
      <c r="T2926" s="255"/>
    </row>
    <row r="2927" spans="18:20" x14ac:dyDescent="0.3">
      <c r="R2927" s="255"/>
      <c r="S2927" s="255"/>
      <c r="T2927" s="255"/>
    </row>
    <row r="2928" spans="18:20" x14ac:dyDescent="0.3">
      <c r="R2928" s="255"/>
      <c r="S2928" s="255"/>
      <c r="T2928" s="255"/>
    </row>
    <row r="2929" spans="18:20" x14ac:dyDescent="0.3">
      <c r="R2929" s="255"/>
      <c r="S2929" s="255"/>
      <c r="T2929" s="255"/>
    </row>
    <row r="2930" spans="18:20" x14ac:dyDescent="0.3">
      <c r="R2930" s="255"/>
      <c r="S2930" s="255"/>
      <c r="T2930" s="255"/>
    </row>
    <row r="2931" spans="18:20" x14ac:dyDescent="0.3">
      <c r="R2931" s="255"/>
      <c r="S2931" s="255"/>
      <c r="T2931" s="255"/>
    </row>
    <row r="2932" spans="18:20" x14ac:dyDescent="0.3">
      <c r="R2932" s="255"/>
      <c r="S2932" s="255"/>
      <c r="T2932" s="255"/>
    </row>
    <row r="2933" spans="18:20" x14ac:dyDescent="0.3">
      <c r="R2933" s="255"/>
      <c r="S2933" s="255"/>
      <c r="T2933" s="255"/>
    </row>
    <row r="2934" spans="18:20" x14ac:dyDescent="0.3">
      <c r="R2934" s="255"/>
      <c r="S2934" s="255"/>
      <c r="T2934" s="255"/>
    </row>
    <row r="2935" spans="18:20" x14ac:dyDescent="0.3">
      <c r="R2935" s="255"/>
      <c r="S2935" s="255"/>
      <c r="T2935" s="255"/>
    </row>
    <row r="2936" spans="18:20" x14ac:dyDescent="0.3">
      <c r="R2936" s="255"/>
      <c r="S2936" s="255"/>
      <c r="T2936" s="255"/>
    </row>
    <row r="2937" spans="18:20" x14ac:dyDescent="0.3">
      <c r="R2937" s="255"/>
      <c r="S2937" s="255"/>
      <c r="T2937" s="255"/>
    </row>
    <row r="2938" spans="18:20" x14ac:dyDescent="0.3">
      <c r="R2938" s="255"/>
      <c r="S2938" s="255"/>
      <c r="T2938" s="255"/>
    </row>
    <row r="2939" spans="18:20" x14ac:dyDescent="0.3">
      <c r="R2939" s="255"/>
      <c r="S2939" s="255"/>
      <c r="T2939" s="255"/>
    </row>
    <row r="2940" spans="18:20" x14ac:dyDescent="0.3">
      <c r="R2940" s="255"/>
      <c r="S2940" s="255"/>
      <c r="T2940" s="255"/>
    </row>
    <row r="2941" spans="18:20" x14ac:dyDescent="0.3">
      <c r="R2941" s="255"/>
      <c r="S2941" s="255"/>
      <c r="T2941" s="255"/>
    </row>
    <row r="2942" spans="18:20" x14ac:dyDescent="0.3">
      <c r="R2942" s="255"/>
      <c r="S2942" s="255"/>
      <c r="T2942" s="255"/>
    </row>
    <row r="2943" spans="18:20" x14ac:dyDescent="0.3">
      <c r="R2943" s="255"/>
      <c r="S2943" s="255"/>
      <c r="T2943" s="255"/>
    </row>
    <row r="2944" spans="18:20" x14ac:dyDescent="0.3">
      <c r="R2944" s="255"/>
      <c r="S2944" s="255"/>
      <c r="T2944" s="255"/>
    </row>
    <row r="2945" spans="18:20" x14ac:dyDescent="0.3">
      <c r="R2945" s="255"/>
      <c r="S2945" s="255"/>
      <c r="T2945" s="255"/>
    </row>
    <row r="2946" spans="18:20" x14ac:dyDescent="0.3">
      <c r="R2946" s="255"/>
      <c r="S2946" s="255"/>
      <c r="T2946" s="255"/>
    </row>
    <row r="2947" spans="18:20" x14ac:dyDescent="0.3">
      <c r="R2947" s="255"/>
      <c r="S2947" s="255"/>
      <c r="T2947" s="255"/>
    </row>
    <row r="2948" spans="18:20" x14ac:dyDescent="0.3">
      <c r="R2948" s="255"/>
      <c r="S2948" s="255"/>
      <c r="T2948" s="255"/>
    </row>
    <row r="2949" spans="18:20" x14ac:dyDescent="0.3">
      <c r="R2949" s="255"/>
      <c r="S2949" s="255"/>
      <c r="T2949" s="255"/>
    </row>
    <row r="2950" spans="18:20" x14ac:dyDescent="0.3">
      <c r="R2950" s="255"/>
      <c r="S2950" s="255"/>
      <c r="T2950" s="255"/>
    </row>
    <row r="2951" spans="18:20" x14ac:dyDescent="0.3">
      <c r="R2951" s="255"/>
      <c r="S2951" s="255"/>
      <c r="T2951" s="255"/>
    </row>
    <row r="2952" spans="18:20" x14ac:dyDescent="0.3">
      <c r="R2952" s="255"/>
      <c r="S2952" s="255"/>
      <c r="T2952" s="255"/>
    </row>
    <row r="2953" spans="18:20" x14ac:dyDescent="0.3">
      <c r="R2953" s="255"/>
      <c r="S2953" s="255"/>
      <c r="T2953" s="255"/>
    </row>
    <row r="2954" spans="18:20" x14ac:dyDescent="0.3">
      <c r="R2954" s="255"/>
      <c r="S2954" s="255"/>
      <c r="T2954" s="255"/>
    </row>
    <row r="2955" spans="18:20" x14ac:dyDescent="0.3">
      <c r="R2955" s="255"/>
      <c r="S2955" s="255"/>
      <c r="T2955" s="255"/>
    </row>
    <row r="2956" spans="18:20" x14ac:dyDescent="0.3">
      <c r="R2956" s="255"/>
      <c r="S2956" s="255"/>
      <c r="T2956" s="255"/>
    </row>
    <row r="2957" spans="18:20" x14ac:dyDescent="0.3">
      <c r="R2957" s="255"/>
      <c r="S2957" s="255"/>
      <c r="T2957" s="255"/>
    </row>
    <row r="2958" spans="18:20" x14ac:dyDescent="0.3">
      <c r="R2958" s="255"/>
      <c r="S2958" s="255"/>
      <c r="T2958" s="255"/>
    </row>
    <row r="2959" spans="18:20" x14ac:dyDescent="0.3">
      <c r="R2959" s="255"/>
      <c r="S2959" s="255"/>
      <c r="T2959" s="255"/>
    </row>
    <row r="2960" spans="18:20" x14ac:dyDescent="0.3">
      <c r="R2960" s="255"/>
      <c r="S2960" s="255"/>
      <c r="T2960" s="255"/>
    </row>
    <row r="2961" spans="18:20" x14ac:dyDescent="0.3">
      <c r="R2961" s="255"/>
      <c r="S2961" s="255"/>
      <c r="T2961" s="255"/>
    </row>
    <row r="2962" spans="18:20" x14ac:dyDescent="0.3">
      <c r="R2962" s="255"/>
      <c r="S2962" s="255"/>
      <c r="T2962" s="255"/>
    </row>
    <row r="2963" spans="18:20" x14ac:dyDescent="0.3">
      <c r="R2963" s="255"/>
      <c r="S2963" s="255"/>
      <c r="T2963" s="255"/>
    </row>
    <row r="2964" spans="18:20" x14ac:dyDescent="0.3">
      <c r="R2964" s="255"/>
      <c r="S2964" s="255"/>
      <c r="T2964" s="255"/>
    </row>
    <row r="2965" spans="18:20" x14ac:dyDescent="0.3">
      <c r="R2965" s="255"/>
      <c r="S2965" s="255"/>
      <c r="T2965" s="255"/>
    </row>
    <row r="2966" spans="18:20" x14ac:dyDescent="0.3">
      <c r="R2966" s="255"/>
      <c r="S2966" s="255"/>
      <c r="T2966" s="255"/>
    </row>
    <row r="2967" spans="18:20" x14ac:dyDescent="0.3">
      <c r="R2967" s="255"/>
      <c r="S2967" s="255"/>
      <c r="T2967" s="255"/>
    </row>
    <row r="2968" spans="18:20" x14ac:dyDescent="0.3">
      <c r="R2968" s="255"/>
      <c r="S2968" s="255"/>
      <c r="T2968" s="255"/>
    </row>
    <row r="2969" spans="18:20" x14ac:dyDescent="0.3">
      <c r="R2969" s="255"/>
      <c r="S2969" s="255"/>
      <c r="T2969" s="255"/>
    </row>
    <row r="2970" spans="18:20" x14ac:dyDescent="0.3">
      <c r="R2970" s="255"/>
      <c r="S2970" s="255"/>
      <c r="T2970" s="255"/>
    </row>
    <row r="2971" spans="18:20" x14ac:dyDescent="0.3">
      <c r="R2971" s="255"/>
      <c r="S2971" s="255"/>
      <c r="T2971" s="255"/>
    </row>
    <row r="2972" spans="18:20" x14ac:dyDescent="0.3">
      <c r="R2972" s="255"/>
      <c r="S2972" s="255"/>
      <c r="T2972" s="255"/>
    </row>
    <row r="2973" spans="18:20" x14ac:dyDescent="0.3">
      <c r="R2973" s="255"/>
      <c r="S2973" s="255"/>
      <c r="T2973" s="255"/>
    </row>
    <row r="2974" spans="18:20" x14ac:dyDescent="0.3">
      <c r="R2974" s="255"/>
      <c r="S2974" s="255"/>
      <c r="T2974" s="255"/>
    </row>
    <row r="2975" spans="18:20" x14ac:dyDescent="0.3">
      <c r="R2975" s="255"/>
      <c r="S2975" s="255"/>
      <c r="T2975" s="255"/>
    </row>
    <row r="2976" spans="18:20" x14ac:dyDescent="0.3">
      <c r="R2976" s="255"/>
      <c r="S2976" s="255"/>
      <c r="T2976" s="255"/>
    </row>
    <row r="2977" spans="18:20" x14ac:dyDescent="0.3">
      <c r="R2977" s="255"/>
      <c r="S2977" s="255"/>
      <c r="T2977" s="255"/>
    </row>
    <row r="2978" spans="18:20" x14ac:dyDescent="0.3">
      <c r="R2978" s="255"/>
      <c r="S2978" s="255"/>
      <c r="T2978" s="255"/>
    </row>
    <row r="2979" spans="18:20" x14ac:dyDescent="0.3">
      <c r="R2979" s="255"/>
      <c r="S2979" s="255"/>
      <c r="T2979" s="255"/>
    </row>
    <row r="2980" spans="18:20" x14ac:dyDescent="0.3">
      <c r="R2980" s="255"/>
      <c r="S2980" s="255"/>
      <c r="T2980" s="255"/>
    </row>
    <row r="2981" spans="18:20" x14ac:dyDescent="0.3">
      <c r="R2981" s="255"/>
      <c r="S2981" s="255"/>
      <c r="T2981" s="255"/>
    </row>
    <row r="2982" spans="18:20" x14ac:dyDescent="0.3">
      <c r="R2982" s="255"/>
      <c r="S2982" s="255"/>
      <c r="T2982" s="255"/>
    </row>
    <row r="2983" spans="18:20" x14ac:dyDescent="0.3">
      <c r="R2983" s="255"/>
      <c r="S2983" s="255"/>
      <c r="T2983" s="255"/>
    </row>
    <row r="2984" spans="18:20" x14ac:dyDescent="0.3">
      <c r="R2984" s="255"/>
      <c r="S2984" s="255"/>
      <c r="T2984" s="255"/>
    </row>
    <row r="2985" spans="18:20" x14ac:dyDescent="0.3">
      <c r="R2985" s="255"/>
      <c r="S2985" s="255"/>
      <c r="T2985" s="255"/>
    </row>
    <row r="2986" spans="18:20" x14ac:dyDescent="0.3">
      <c r="R2986" s="255"/>
      <c r="S2986" s="255"/>
      <c r="T2986" s="255"/>
    </row>
    <row r="2987" spans="18:20" x14ac:dyDescent="0.3">
      <c r="R2987" s="255"/>
      <c r="S2987" s="255"/>
      <c r="T2987" s="255"/>
    </row>
    <row r="2988" spans="18:20" x14ac:dyDescent="0.3">
      <c r="R2988" s="255"/>
      <c r="S2988" s="255"/>
      <c r="T2988" s="255"/>
    </row>
    <row r="2989" spans="18:20" x14ac:dyDescent="0.3">
      <c r="R2989" s="255"/>
      <c r="S2989" s="255"/>
      <c r="T2989" s="255"/>
    </row>
    <row r="2990" spans="18:20" x14ac:dyDescent="0.3">
      <c r="R2990" s="255"/>
      <c r="S2990" s="255"/>
      <c r="T2990" s="255"/>
    </row>
    <row r="2991" spans="18:20" x14ac:dyDescent="0.3">
      <c r="R2991" s="255"/>
      <c r="S2991" s="255"/>
      <c r="T2991" s="255"/>
    </row>
    <row r="2992" spans="18:20" x14ac:dyDescent="0.3">
      <c r="R2992" s="255"/>
      <c r="S2992" s="255"/>
      <c r="T2992" s="255"/>
    </row>
    <row r="2993" spans="18:20" x14ac:dyDescent="0.3">
      <c r="R2993" s="255"/>
      <c r="S2993" s="255"/>
      <c r="T2993" s="255"/>
    </row>
    <row r="2994" spans="18:20" x14ac:dyDescent="0.3">
      <c r="R2994" s="255"/>
      <c r="S2994" s="255"/>
      <c r="T2994" s="255"/>
    </row>
    <row r="2995" spans="18:20" x14ac:dyDescent="0.3">
      <c r="R2995" s="255"/>
      <c r="S2995" s="255"/>
      <c r="T2995" s="255"/>
    </row>
    <row r="2996" spans="18:20" x14ac:dyDescent="0.3">
      <c r="R2996" s="255"/>
      <c r="S2996" s="255"/>
      <c r="T2996" s="255"/>
    </row>
    <row r="2997" spans="18:20" x14ac:dyDescent="0.3">
      <c r="R2997" s="255"/>
      <c r="S2997" s="255"/>
      <c r="T2997" s="255"/>
    </row>
    <row r="2998" spans="18:20" x14ac:dyDescent="0.3">
      <c r="R2998" s="255"/>
      <c r="S2998" s="255"/>
      <c r="T2998" s="255"/>
    </row>
    <row r="2999" spans="18:20" x14ac:dyDescent="0.3">
      <c r="R2999" s="255"/>
      <c r="S2999" s="255"/>
      <c r="T2999" s="255"/>
    </row>
    <row r="3000" spans="18:20" x14ac:dyDescent="0.3">
      <c r="R3000" s="255"/>
      <c r="S3000" s="255"/>
      <c r="T3000" s="255"/>
    </row>
    <row r="3001" spans="18:20" x14ac:dyDescent="0.3">
      <c r="R3001" s="255"/>
      <c r="S3001" s="255"/>
      <c r="T3001" s="255"/>
    </row>
    <row r="3002" spans="18:20" x14ac:dyDescent="0.3">
      <c r="R3002" s="255"/>
      <c r="S3002" s="255"/>
      <c r="T3002" s="255"/>
    </row>
    <row r="3003" spans="18:20" x14ac:dyDescent="0.3">
      <c r="R3003" s="255"/>
      <c r="S3003" s="255"/>
      <c r="T3003" s="255"/>
    </row>
    <row r="3004" spans="18:20" x14ac:dyDescent="0.3">
      <c r="R3004" s="255"/>
      <c r="S3004" s="255"/>
      <c r="T3004" s="255"/>
    </row>
    <row r="3005" spans="18:20" x14ac:dyDescent="0.3">
      <c r="R3005" s="255"/>
      <c r="S3005" s="255"/>
      <c r="T3005" s="255"/>
    </row>
    <row r="3006" spans="18:20" x14ac:dyDescent="0.3">
      <c r="R3006" s="255"/>
      <c r="S3006" s="255"/>
      <c r="T3006" s="255"/>
    </row>
    <row r="3007" spans="18:20" x14ac:dyDescent="0.3">
      <c r="R3007" s="255"/>
      <c r="S3007" s="255"/>
      <c r="T3007" s="255"/>
    </row>
    <row r="3008" spans="18:20" x14ac:dyDescent="0.3">
      <c r="R3008" s="255"/>
      <c r="S3008" s="255"/>
      <c r="T3008" s="255"/>
    </row>
    <row r="3009" spans="18:20" x14ac:dyDescent="0.3">
      <c r="R3009" s="255"/>
      <c r="S3009" s="255"/>
      <c r="T3009" s="255"/>
    </row>
    <row r="3010" spans="18:20" x14ac:dyDescent="0.3">
      <c r="R3010" s="255"/>
      <c r="S3010" s="255"/>
      <c r="T3010" s="255"/>
    </row>
    <row r="3011" spans="18:20" x14ac:dyDescent="0.3">
      <c r="R3011" s="255"/>
      <c r="S3011" s="255"/>
      <c r="T3011" s="255"/>
    </row>
    <row r="3012" spans="18:20" x14ac:dyDescent="0.3">
      <c r="R3012" s="255"/>
      <c r="S3012" s="255"/>
      <c r="T3012" s="255"/>
    </row>
    <row r="3013" spans="18:20" x14ac:dyDescent="0.3">
      <c r="R3013" s="255"/>
      <c r="S3013" s="255"/>
      <c r="T3013" s="255"/>
    </row>
    <row r="3014" spans="18:20" x14ac:dyDescent="0.3">
      <c r="R3014" s="255"/>
      <c r="S3014" s="255"/>
      <c r="T3014" s="255"/>
    </row>
    <row r="3015" spans="18:20" x14ac:dyDescent="0.3">
      <c r="R3015" s="255"/>
      <c r="S3015" s="255"/>
      <c r="T3015" s="255"/>
    </row>
    <row r="3016" spans="18:20" x14ac:dyDescent="0.3">
      <c r="R3016" s="255"/>
      <c r="S3016" s="255"/>
      <c r="T3016" s="255"/>
    </row>
    <row r="3017" spans="18:20" x14ac:dyDescent="0.3">
      <c r="R3017" s="255"/>
      <c r="S3017" s="255"/>
      <c r="T3017" s="255"/>
    </row>
    <row r="3018" spans="18:20" x14ac:dyDescent="0.3">
      <c r="R3018" s="255"/>
      <c r="S3018" s="255"/>
      <c r="T3018" s="255"/>
    </row>
    <row r="3019" spans="18:20" x14ac:dyDescent="0.3">
      <c r="R3019" s="255"/>
      <c r="S3019" s="255"/>
      <c r="T3019" s="255"/>
    </row>
    <row r="3020" spans="18:20" x14ac:dyDescent="0.3">
      <c r="R3020" s="255"/>
      <c r="S3020" s="255"/>
      <c r="T3020" s="255"/>
    </row>
    <row r="3021" spans="18:20" x14ac:dyDescent="0.3">
      <c r="R3021" s="255"/>
      <c r="S3021" s="255"/>
      <c r="T3021" s="255"/>
    </row>
    <row r="3022" spans="18:20" x14ac:dyDescent="0.3">
      <c r="R3022" s="255"/>
      <c r="S3022" s="255"/>
      <c r="T3022" s="255"/>
    </row>
    <row r="3023" spans="18:20" x14ac:dyDescent="0.3">
      <c r="R3023" s="255"/>
      <c r="S3023" s="255"/>
      <c r="T3023" s="255"/>
    </row>
    <row r="3024" spans="18:20" x14ac:dyDescent="0.3">
      <c r="R3024" s="255"/>
      <c r="S3024" s="255"/>
      <c r="T3024" s="255"/>
    </row>
    <row r="3025" spans="18:20" x14ac:dyDescent="0.3">
      <c r="R3025" s="255"/>
      <c r="S3025" s="255"/>
      <c r="T3025" s="255"/>
    </row>
    <row r="3026" spans="18:20" x14ac:dyDescent="0.3">
      <c r="R3026" s="255"/>
      <c r="S3026" s="255"/>
      <c r="T3026" s="255"/>
    </row>
    <row r="3027" spans="18:20" x14ac:dyDescent="0.3">
      <c r="R3027" s="255"/>
      <c r="S3027" s="255"/>
      <c r="T3027" s="255"/>
    </row>
    <row r="3028" spans="18:20" x14ac:dyDescent="0.3">
      <c r="R3028" s="255"/>
      <c r="S3028" s="255"/>
      <c r="T3028" s="255"/>
    </row>
    <row r="3029" spans="18:20" x14ac:dyDescent="0.3">
      <c r="R3029" s="255"/>
      <c r="S3029" s="255"/>
      <c r="T3029" s="255"/>
    </row>
    <row r="3030" spans="18:20" x14ac:dyDescent="0.3">
      <c r="R3030" s="255"/>
      <c r="S3030" s="255"/>
      <c r="T3030" s="255"/>
    </row>
    <row r="3031" spans="18:20" x14ac:dyDescent="0.3">
      <c r="R3031" s="255"/>
      <c r="S3031" s="255"/>
      <c r="T3031" s="255"/>
    </row>
    <row r="3032" spans="18:20" x14ac:dyDescent="0.3">
      <c r="R3032" s="255"/>
      <c r="S3032" s="255"/>
      <c r="T3032" s="255"/>
    </row>
    <row r="3033" spans="18:20" x14ac:dyDescent="0.3">
      <c r="R3033" s="255"/>
      <c r="S3033" s="255"/>
      <c r="T3033" s="255"/>
    </row>
    <row r="3034" spans="18:20" x14ac:dyDescent="0.3">
      <c r="R3034" s="255"/>
      <c r="S3034" s="255"/>
      <c r="T3034" s="255"/>
    </row>
    <row r="3035" spans="18:20" x14ac:dyDescent="0.3">
      <c r="R3035" s="255"/>
      <c r="S3035" s="255"/>
      <c r="T3035" s="255"/>
    </row>
    <row r="3036" spans="18:20" x14ac:dyDescent="0.3">
      <c r="R3036" s="255"/>
      <c r="S3036" s="255"/>
      <c r="T3036" s="255"/>
    </row>
    <row r="3037" spans="18:20" x14ac:dyDescent="0.3">
      <c r="R3037" s="255"/>
      <c r="S3037" s="255"/>
      <c r="T3037" s="255"/>
    </row>
    <row r="3038" spans="18:20" x14ac:dyDescent="0.3">
      <c r="R3038" s="255"/>
      <c r="S3038" s="255"/>
      <c r="T3038" s="255"/>
    </row>
    <row r="3039" spans="18:20" x14ac:dyDescent="0.3">
      <c r="R3039" s="255"/>
      <c r="S3039" s="255"/>
      <c r="T3039" s="255"/>
    </row>
    <row r="3040" spans="18:20" x14ac:dyDescent="0.3">
      <c r="R3040" s="255"/>
      <c r="S3040" s="255"/>
      <c r="T3040" s="255"/>
    </row>
    <row r="3041" spans="18:20" x14ac:dyDescent="0.3">
      <c r="R3041" s="255"/>
      <c r="S3041" s="255"/>
      <c r="T3041" s="255"/>
    </row>
    <row r="3042" spans="18:20" x14ac:dyDescent="0.3">
      <c r="R3042" s="255"/>
      <c r="S3042" s="255"/>
      <c r="T3042" s="255"/>
    </row>
    <row r="3043" spans="18:20" x14ac:dyDescent="0.3">
      <c r="R3043" s="255"/>
      <c r="S3043" s="255"/>
      <c r="T3043" s="255"/>
    </row>
    <row r="3044" spans="18:20" x14ac:dyDescent="0.3">
      <c r="R3044" s="255"/>
      <c r="S3044" s="255"/>
      <c r="T3044" s="255"/>
    </row>
    <row r="3045" spans="18:20" x14ac:dyDescent="0.3">
      <c r="R3045" s="255"/>
      <c r="S3045" s="255"/>
      <c r="T3045" s="255"/>
    </row>
    <row r="3046" spans="18:20" x14ac:dyDescent="0.3">
      <c r="R3046" s="255"/>
      <c r="S3046" s="255"/>
      <c r="T3046" s="255"/>
    </row>
    <row r="3047" spans="18:20" x14ac:dyDescent="0.3">
      <c r="R3047" s="255"/>
      <c r="S3047" s="255"/>
      <c r="T3047" s="255"/>
    </row>
    <row r="3048" spans="18:20" x14ac:dyDescent="0.3">
      <c r="R3048" s="255"/>
      <c r="S3048" s="255"/>
      <c r="T3048" s="255"/>
    </row>
    <row r="3049" spans="18:20" x14ac:dyDescent="0.3">
      <c r="R3049" s="255"/>
      <c r="S3049" s="255"/>
      <c r="T3049" s="255"/>
    </row>
    <row r="3050" spans="18:20" x14ac:dyDescent="0.3">
      <c r="R3050" s="255"/>
      <c r="S3050" s="255"/>
      <c r="T3050" s="255"/>
    </row>
    <row r="3051" spans="18:20" x14ac:dyDescent="0.3">
      <c r="R3051" s="255"/>
      <c r="S3051" s="255"/>
      <c r="T3051" s="255"/>
    </row>
    <row r="3052" spans="18:20" x14ac:dyDescent="0.3">
      <c r="R3052" s="255"/>
      <c r="S3052" s="255"/>
      <c r="T3052" s="255"/>
    </row>
    <row r="3053" spans="18:20" x14ac:dyDescent="0.3">
      <c r="R3053" s="255"/>
      <c r="S3053" s="255"/>
      <c r="T3053" s="255"/>
    </row>
    <row r="3054" spans="18:20" x14ac:dyDescent="0.3">
      <c r="R3054" s="255"/>
      <c r="S3054" s="255"/>
      <c r="T3054" s="255"/>
    </row>
    <row r="3055" spans="18:20" x14ac:dyDescent="0.3">
      <c r="R3055" s="255"/>
      <c r="S3055" s="255"/>
      <c r="T3055" s="255"/>
    </row>
    <row r="3056" spans="18:20" x14ac:dyDescent="0.3">
      <c r="R3056" s="255"/>
      <c r="S3056" s="255"/>
      <c r="T3056" s="255"/>
    </row>
    <row r="3057" spans="18:20" x14ac:dyDescent="0.3">
      <c r="R3057" s="255"/>
      <c r="S3057" s="255"/>
      <c r="T3057" s="255"/>
    </row>
    <row r="3058" spans="18:20" x14ac:dyDescent="0.3">
      <c r="R3058" s="255"/>
      <c r="S3058" s="255"/>
      <c r="T3058" s="255"/>
    </row>
    <row r="3059" spans="18:20" x14ac:dyDescent="0.3">
      <c r="R3059" s="255"/>
      <c r="S3059" s="255"/>
      <c r="T3059" s="255"/>
    </row>
    <row r="3060" spans="18:20" x14ac:dyDescent="0.3">
      <c r="R3060" s="255"/>
      <c r="S3060" s="255"/>
      <c r="T3060" s="255"/>
    </row>
    <row r="3061" spans="18:20" x14ac:dyDescent="0.3">
      <c r="R3061" s="255"/>
      <c r="S3061" s="255"/>
      <c r="T3061" s="255"/>
    </row>
    <row r="3062" spans="18:20" x14ac:dyDescent="0.3">
      <c r="R3062" s="255"/>
      <c r="S3062" s="255"/>
      <c r="T3062" s="255"/>
    </row>
    <row r="3063" spans="18:20" x14ac:dyDescent="0.3">
      <c r="R3063" s="255"/>
      <c r="S3063" s="255"/>
      <c r="T3063" s="255"/>
    </row>
    <row r="3064" spans="18:20" x14ac:dyDescent="0.3">
      <c r="R3064" s="255"/>
      <c r="S3064" s="255"/>
      <c r="T3064" s="255"/>
    </row>
    <row r="3065" spans="18:20" x14ac:dyDescent="0.3">
      <c r="R3065" s="255"/>
      <c r="S3065" s="255"/>
      <c r="T3065" s="255"/>
    </row>
    <row r="3066" spans="18:20" x14ac:dyDescent="0.3">
      <c r="R3066" s="255"/>
      <c r="S3066" s="255"/>
      <c r="T3066" s="255"/>
    </row>
    <row r="3067" spans="18:20" x14ac:dyDescent="0.3">
      <c r="R3067" s="255"/>
      <c r="S3067" s="255"/>
      <c r="T3067" s="255"/>
    </row>
    <row r="3068" spans="18:20" x14ac:dyDescent="0.3">
      <c r="R3068" s="255"/>
      <c r="S3068" s="255"/>
      <c r="T3068" s="255"/>
    </row>
    <row r="3069" spans="18:20" x14ac:dyDescent="0.3">
      <c r="R3069" s="255"/>
      <c r="S3069" s="255"/>
      <c r="T3069" s="255"/>
    </row>
    <row r="3070" spans="18:20" x14ac:dyDescent="0.3">
      <c r="R3070" s="255"/>
      <c r="S3070" s="255"/>
      <c r="T3070" s="255"/>
    </row>
    <row r="3071" spans="18:20" x14ac:dyDescent="0.3">
      <c r="R3071" s="255"/>
      <c r="S3071" s="255"/>
      <c r="T3071" s="255"/>
    </row>
    <row r="3072" spans="18:20" x14ac:dyDescent="0.3">
      <c r="R3072" s="255"/>
      <c r="S3072" s="255"/>
      <c r="T3072" s="255"/>
    </row>
    <row r="3073" spans="18:20" x14ac:dyDescent="0.3">
      <c r="R3073" s="255"/>
      <c r="S3073" s="255"/>
      <c r="T3073" s="255"/>
    </row>
    <row r="3074" spans="18:20" x14ac:dyDescent="0.3">
      <c r="R3074" s="255"/>
      <c r="S3074" s="255"/>
      <c r="T3074" s="255"/>
    </row>
    <row r="3075" spans="18:20" x14ac:dyDescent="0.3">
      <c r="R3075" s="255"/>
      <c r="S3075" s="255"/>
      <c r="T3075" s="255"/>
    </row>
    <row r="3076" spans="18:20" x14ac:dyDescent="0.3">
      <c r="R3076" s="255"/>
      <c r="S3076" s="255"/>
      <c r="T3076" s="255"/>
    </row>
    <row r="3077" spans="18:20" x14ac:dyDescent="0.3">
      <c r="R3077" s="255"/>
      <c r="S3077" s="255"/>
      <c r="T3077" s="255"/>
    </row>
    <row r="3078" spans="18:20" x14ac:dyDescent="0.3">
      <c r="R3078" s="255"/>
      <c r="S3078" s="255"/>
      <c r="T3078" s="255"/>
    </row>
    <row r="3079" spans="18:20" x14ac:dyDescent="0.3">
      <c r="R3079" s="255"/>
      <c r="S3079" s="255"/>
      <c r="T3079" s="255"/>
    </row>
    <row r="3080" spans="18:20" x14ac:dyDescent="0.3">
      <c r="R3080" s="255"/>
      <c r="S3080" s="255"/>
      <c r="T3080" s="255"/>
    </row>
    <row r="3081" spans="18:20" x14ac:dyDescent="0.3">
      <c r="R3081" s="255"/>
      <c r="S3081" s="255"/>
      <c r="T3081" s="255"/>
    </row>
    <row r="3082" spans="18:20" x14ac:dyDescent="0.3">
      <c r="R3082" s="255"/>
      <c r="S3082" s="255"/>
      <c r="T3082" s="255"/>
    </row>
    <row r="3083" spans="18:20" x14ac:dyDescent="0.3">
      <c r="R3083" s="255"/>
      <c r="S3083" s="255"/>
      <c r="T3083" s="255"/>
    </row>
    <row r="3084" spans="18:20" x14ac:dyDescent="0.3">
      <c r="R3084" s="255"/>
      <c r="S3084" s="255"/>
      <c r="T3084" s="255"/>
    </row>
    <row r="3085" spans="18:20" x14ac:dyDescent="0.3">
      <c r="R3085" s="255"/>
      <c r="S3085" s="255"/>
      <c r="T3085" s="255"/>
    </row>
    <row r="3086" spans="18:20" x14ac:dyDescent="0.3">
      <c r="R3086" s="255"/>
      <c r="S3086" s="255"/>
      <c r="T3086" s="255"/>
    </row>
    <row r="3087" spans="18:20" x14ac:dyDescent="0.3">
      <c r="R3087" s="255"/>
      <c r="S3087" s="255"/>
      <c r="T3087" s="255"/>
    </row>
    <row r="3088" spans="18:20" x14ac:dyDescent="0.3">
      <c r="R3088" s="255"/>
      <c r="S3088" s="255"/>
      <c r="T3088" s="255"/>
    </row>
    <row r="3089" spans="18:20" x14ac:dyDescent="0.3">
      <c r="R3089" s="255"/>
      <c r="S3089" s="255"/>
      <c r="T3089" s="255"/>
    </row>
    <row r="3090" spans="18:20" x14ac:dyDescent="0.3">
      <c r="R3090" s="255"/>
      <c r="S3090" s="255"/>
      <c r="T3090" s="255"/>
    </row>
    <row r="3091" spans="18:20" x14ac:dyDescent="0.3">
      <c r="R3091" s="255"/>
      <c r="S3091" s="255"/>
      <c r="T3091" s="255"/>
    </row>
    <row r="3092" spans="18:20" x14ac:dyDescent="0.3">
      <c r="R3092" s="255"/>
      <c r="S3092" s="255"/>
      <c r="T3092" s="255"/>
    </row>
    <row r="3093" spans="18:20" x14ac:dyDescent="0.3">
      <c r="R3093" s="255"/>
      <c r="S3093" s="255"/>
      <c r="T3093" s="255"/>
    </row>
    <row r="3094" spans="18:20" x14ac:dyDescent="0.3">
      <c r="R3094" s="255"/>
      <c r="S3094" s="255"/>
      <c r="T3094" s="255"/>
    </row>
    <row r="3095" spans="18:20" x14ac:dyDescent="0.3">
      <c r="R3095" s="255"/>
      <c r="S3095" s="255"/>
      <c r="T3095" s="255"/>
    </row>
    <row r="3096" spans="18:20" x14ac:dyDescent="0.3">
      <c r="R3096" s="255"/>
      <c r="S3096" s="255"/>
      <c r="T3096" s="255"/>
    </row>
    <row r="3097" spans="18:20" x14ac:dyDescent="0.3">
      <c r="R3097" s="255"/>
      <c r="S3097" s="255"/>
      <c r="T3097" s="255"/>
    </row>
    <row r="3098" spans="18:20" x14ac:dyDescent="0.3">
      <c r="R3098" s="255"/>
      <c r="S3098" s="255"/>
      <c r="T3098" s="255"/>
    </row>
    <row r="3099" spans="18:20" x14ac:dyDescent="0.3">
      <c r="R3099" s="255"/>
      <c r="S3099" s="255"/>
      <c r="T3099" s="255"/>
    </row>
    <row r="3100" spans="18:20" x14ac:dyDescent="0.3">
      <c r="R3100" s="255"/>
      <c r="S3100" s="255"/>
      <c r="T3100" s="255"/>
    </row>
    <row r="3101" spans="18:20" x14ac:dyDescent="0.3">
      <c r="R3101" s="255"/>
      <c r="S3101" s="255"/>
      <c r="T3101" s="255"/>
    </row>
    <row r="3102" spans="18:20" x14ac:dyDescent="0.3">
      <c r="R3102" s="255"/>
      <c r="S3102" s="255"/>
      <c r="T3102" s="255"/>
    </row>
    <row r="3103" spans="18:20" x14ac:dyDescent="0.3">
      <c r="R3103" s="255"/>
      <c r="S3103" s="255"/>
      <c r="T3103" s="255"/>
    </row>
    <row r="3104" spans="18:20" x14ac:dyDescent="0.3">
      <c r="R3104" s="255"/>
      <c r="S3104" s="255"/>
      <c r="T3104" s="255"/>
    </row>
    <row r="3105" spans="18:20" x14ac:dyDescent="0.3">
      <c r="R3105" s="255"/>
      <c r="S3105" s="255"/>
      <c r="T3105" s="255"/>
    </row>
    <row r="3106" spans="18:20" x14ac:dyDescent="0.3">
      <c r="R3106" s="255"/>
      <c r="S3106" s="255"/>
      <c r="T3106" s="255"/>
    </row>
    <row r="3107" spans="18:20" x14ac:dyDescent="0.3">
      <c r="R3107" s="255"/>
      <c r="S3107" s="255"/>
      <c r="T3107" s="255"/>
    </row>
    <row r="3108" spans="18:20" x14ac:dyDescent="0.3">
      <c r="R3108" s="255"/>
      <c r="S3108" s="255"/>
      <c r="T3108" s="255"/>
    </row>
    <row r="3109" spans="18:20" x14ac:dyDescent="0.3">
      <c r="R3109" s="255"/>
      <c r="S3109" s="255"/>
      <c r="T3109" s="255"/>
    </row>
    <row r="3110" spans="18:20" x14ac:dyDescent="0.3">
      <c r="R3110" s="255"/>
      <c r="S3110" s="255"/>
      <c r="T3110" s="255"/>
    </row>
    <row r="3111" spans="18:20" x14ac:dyDescent="0.3">
      <c r="R3111" s="255"/>
      <c r="S3111" s="255"/>
      <c r="T3111" s="255"/>
    </row>
    <row r="3112" spans="18:20" x14ac:dyDescent="0.3">
      <c r="R3112" s="255"/>
      <c r="S3112" s="255"/>
      <c r="T3112" s="255"/>
    </row>
    <row r="3113" spans="18:20" x14ac:dyDescent="0.3">
      <c r="R3113" s="255"/>
      <c r="S3113" s="255"/>
      <c r="T3113" s="255"/>
    </row>
    <row r="3114" spans="18:20" x14ac:dyDescent="0.3">
      <c r="R3114" s="255"/>
      <c r="S3114" s="255"/>
      <c r="T3114" s="255"/>
    </row>
    <row r="3115" spans="18:20" x14ac:dyDescent="0.3">
      <c r="R3115" s="255"/>
      <c r="S3115" s="255"/>
      <c r="T3115" s="255"/>
    </row>
    <row r="3116" spans="18:20" x14ac:dyDescent="0.3">
      <c r="R3116" s="255"/>
      <c r="S3116" s="255"/>
      <c r="T3116" s="255"/>
    </row>
    <row r="3117" spans="18:20" x14ac:dyDescent="0.3">
      <c r="R3117" s="255"/>
      <c r="S3117" s="255"/>
      <c r="T3117" s="255"/>
    </row>
    <row r="3118" spans="18:20" x14ac:dyDescent="0.3">
      <c r="R3118" s="255"/>
      <c r="S3118" s="255"/>
      <c r="T3118" s="255"/>
    </row>
    <row r="3119" spans="18:20" x14ac:dyDescent="0.3">
      <c r="R3119" s="255"/>
      <c r="S3119" s="255"/>
      <c r="T3119" s="255"/>
    </row>
    <row r="3120" spans="18:20" x14ac:dyDescent="0.3">
      <c r="R3120" s="255"/>
      <c r="S3120" s="255"/>
      <c r="T3120" s="255"/>
    </row>
    <row r="3121" spans="18:20" x14ac:dyDescent="0.3">
      <c r="R3121" s="255"/>
      <c r="S3121" s="255"/>
      <c r="T3121" s="255"/>
    </row>
    <row r="3122" spans="18:20" x14ac:dyDescent="0.3">
      <c r="R3122" s="255"/>
      <c r="S3122" s="255"/>
      <c r="T3122" s="255"/>
    </row>
    <row r="3123" spans="18:20" x14ac:dyDescent="0.3">
      <c r="R3123" s="255"/>
      <c r="S3123" s="255"/>
      <c r="T3123" s="255"/>
    </row>
    <row r="3124" spans="18:20" x14ac:dyDescent="0.3">
      <c r="R3124" s="255"/>
      <c r="S3124" s="255"/>
      <c r="T3124" s="255"/>
    </row>
    <row r="3125" spans="18:20" x14ac:dyDescent="0.3">
      <c r="R3125" s="255"/>
      <c r="S3125" s="255"/>
      <c r="T3125" s="255"/>
    </row>
    <row r="3126" spans="18:20" x14ac:dyDescent="0.3">
      <c r="R3126" s="255"/>
      <c r="S3126" s="255"/>
      <c r="T3126" s="255"/>
    </row>
    <row r="3127" spans="18:20" x14ac:dyDescent="0.3">
      <c r="R3127" s="255"/>
      <c r="S3127" s="255"/>
      <c r="T3127" s="255"/>
    </row>
    <row r="3128" spans="18:20" x14ac:dyDescent="0.3">
      <c r="R3128" s="255"/>
      <c r="S3128" s="255"/>
      <c r="T3128" s="255"/>
    </row>
    <row r="3129" spans="18:20" x14ac:dyDescent="0.3">
      <c r="R3129" s="255"/>
      <c r="S3129" s="255"/>
      <c r="T3129" s="255"/>
    </row>
    <row r="3130" spans="18:20" x14ac:dyDescent="0.3">
      <c r="R3130" s="255"/>
      <c r="S3130" s="255"/>
      <c r="T3130" s="255"/>
    </row>
    <row r="3131" spans="18:20" x14ac:dyDescent="0.3">
      <c r="R3131" s="255"/>
      <c r="S3131" s="255"/>
      <c r="T3131" s="255"/>
    </row>
    <row r="3132" spans="18:20" x14ac:dyDescent="0.3">
      <c r="R3132" s="255"/>
      <c r="S3132" s="255"/>
      <c r="T3132" s="255"/>
    </row>
    <row r="3133" spans="18:20" x14ac:dyDescent="0.3">
      <c r="R3133" s="255"/>
      <c r="S3133" s="255"/>
      <c r="T3133" s="255"/>
    </row>
    <row r="3134" spans="18:20" x14ac:dyDescent="0.3">
      <c r="R3134" s="255"/>
      <c r="S3134" s="255"/>
      <c r="T3134" s="255"/>
    </row>
    <row r="3135" spans="18:20" x14ac:dyDescent="0.3">
      <c r="R3135" s="255"/>
      <c r="S3135" s="255"/>
      <c r="T3135" s="255"/>
    </row>
    <row r="3136" spans="18:20" x14ac:dyDescent="0.3">
      <c r="R3136" s="255"/>
      <c r="S3136" s="255"/>
      <c r="T3136" s="255"/>
    </row>
    <row r="3137" spans="18:20" x14ac:dyDescent="0.3">
      <c r="R3137" s="255"/>
      <c r="S3137" s="255"/>
      <c r="T3137" s="255"/>
    </row>
    <row r="3138" spans="18:20" x14ac:dyDescent="0.3">
      <c r="R3138" s="255"/>
      <c r="S3138" s="255"/>
      <c r="T3138" s="255"/>
    </row>
    <row r="3139" spans="18:20" x14ac:dyDescent="0.3">
      <c r="R3139" s="255"/>
      <c r="S3139" s="255"/>
      <c r="T3139" s="255"/>
    </row>
    <row r="3140" spans="18:20" x14ac:dyDescent="0.3">
      <c r="R3140" s="255"/>
      <c r="S3140" s="255"/>
      <c r="T3140" s="255"/>
    </row>
    <row r="3141" spans="18:20" x14ac:dyDescent="0.3">
      <c r="R3141" s="255"/>
      <c r="S3141" s="255"/>
      <c r="T3141" s="255"/>
    </row>
    <row r="3142" spans="18:20" x14ac:dyDescent="0.3">
      <c r="R3142" s="255"/>
      <c r="S3142" s="255"/>
      <c r="T3142" s="255"/>
    </row>
    <row r="3143" spans="18:20" x14ac:dyDescent="0.3">
      <c r="R3143" s="255"/>
      <c r="S3143" s="255"/>
      <c r="T3143" s="255"/>
    </row>
    <row r="3144" spans="18:20" x14ac:dyDescent="0.3">
      <c r="R3144" s="255"/>
      <c r="S3144" s="255"/>
      <c r="T3144" s="255"/>
    </row>
    <row r="3145" spans="18:20" x14ac:dyDescent="0.3">
      <c r="R3145" s="255"/>
      <c r="S3145" s="255"/>
      <c r="T3145" s="255"/>
    </row>
    <row r="3146" spans="18:20" x14ac:dyDescent="0.3">
      <c r="R3146" s="255"/>
      <c r="S3146" s="255"/>
      <c r="T3146" s="255"/>
    </row>
    <row r="3147" spans="18:20" x14ac:dyDescent="0.3">
      <c r="R3147" s="255"/>
      <c r="S3147" s="255"/>
      <c r="T3147" s="255"/>
    </row>
    <row r="3148" spans="18:20" x14ac:dyDescent="0.3">
      <c r="R3148" s="255"/>
      <c r="S3148" s="255"/>
      <c r="T3148" s="255"/>
    </row>
    <row r="3149" spans="18:20" x14ac:dyDescent="0.3">
      <c r="R3149" s="255"/>
      <c r="S3149" s="255"/>
      <c r="T3149" s="255"/>
    </row>
    <row r="3150" spans="18:20" x14ac:dyDescent="0.3">
      <c r="R3150" s="255"/>
      <c r="S3150" s="255"/>
      <c r="T3150" s="255"/>
    </row>
    <row r="3151" spans="18:20" x14ac:dyDescent="0.3">
      <c r="R3151" s="255"/>
      <c r="S3151" s="255"/>
      <c r="T3151" s="255"/>
    </row>
    <row r="3152" spans="18:20" x14ac:dyDescent="0.3">
      <c r="R3152" s="255"/>
      <c r="S3152" s="255"/>
      <c r="T3152" s="255"/>
    </row>
    <row r="3153" spans="18:20" x14ac:dyDescent="0.3">
      <c r="R3153" s="255"/>
      <c r="S3153" s="255"/>
      <c r="T3153" s="255"/>
    </row>
    <row r="3154" spans="18:20" x14ac:dyDescent="0.3">
      <c r="R3154" s="255"/>
      <c r="S3154" s="255"/>
      <c r="T3154" s="255"/>
    </row>
    <row r="3155" spans="18:20" x14ac:dyDescent="0.3">
      <c r="R3155" s="255"/>
      <c r="S3155" s="255"/>
      <c r="T3155" s="255"/>
    </row>
    <row r="3156" spans="18:20" x14ac:dyDescent="0.3">
      <c r="R3156" s="255"/>
      <c r="S3156" s="255"/>
      <c r="T3156" s="255"/>
    </row>
    <row r="3157" spans="18:20" x14ac:dyDescent="0.3">
      <c r="R3157" s="255"/>
      <c r="S3157" s="255"/>
      <c r="T3157" s="255"/>
    </row>
    <row r="3158" spans="18:20" x14ac:dyDescent="0.3">
      <c r="R3158" s="255"/>
      <c r="S3158" s="255"/>
      <c r="T3158" s="255"/>
    </row>
    <row r="3159" spans="18:20" x14ac:dyDescent="0.3">
      <c r="R3159" s="255"/>
      <c r="S3159" s="255"/>
      <c r="T3159" s="255"/>
    </row>
    <row r="3160" spans="18:20" x14ac:dyDescent="0.3">
      <c r="R3160" s="255"/>
      <c r="S3160" s="255"/>
      <c r="T3160" s="255"/>
    </row>
    <row r="3161" spans="18:20" x14ac:dyDescent="0.3">
      <c r="R3161" s="255"/>
      <c r="S3161" s="255"/>
      <c r="T3161" s="255"/>
    </row>
    <row r="3162" spans="18:20" x14ac:dyDescent="0.3">
      <c r="R3162" s="255"/>
      <c r="S3162" s="255"/>
      <c r="T3162" s="255"/>
    </row>
    <row r="3163" spans="18:20" x14ac:dyDescent="0.3">
      <c r="R3163" s="255"/>
      <c r="S3163" s="255"/>
      <c r="T3163" s="255"/>
    </row>
    <row r="3164" spans="18:20" x14ac:dyDescent="0.3">
      <c r="R3164" s="255"/>
      <c r="S3164" s="255"/>
      <c r="T3164" s="255"/>
    </row>
    <row r="3165" spans="18:20" x14ac:dyDescent="0.3">
      <c r="R3165" s="255"/>
      <c r="S3165" s="255"/>
      <c r="T3165" s="255"/>
    </row>
    <row r="3166" spans="18:20" x14ac:dyDescent="0.3">
      <c r="R3166" s="255"/>
      <c r="S3166" s="255"/>
      <c r="T3166" s="255"/>
    </row>
    <row r="3167" spans="18:20" x14ac:dyDescent="0.3">
      <c r="R3167" s="255"/>
      <c r="S3167" s="255"/>
      <c r="T3167" s="255"/>
    </row>
    <row r="3168" spans="18:20" x14ac:dyDescent="0.3">
      <c r="R3168" s="255"/>
      <c r="S3168" s="255"/>
      <c r="T3168" s="255"/>
    </row>
    <row r="3169" spans="18:20" x14ac:dyDescent="0.3">
      <c r="R3169" s="255"/>
      <c r="S3169" s="255"/>
      <c r="T3169" s="255"/>
    </row>
    <row r="3170" spans="18:20" x14ac:dyDescent="0.3">
      <c r="R3170" s="255"/>
      <c r="S3170" s="255"/>
      <c r="T3170" s="255"/>
    </row>
    <row r="3171" spans="18:20" x14ac:dyDescent="0.3">
      <c r="R3171" s="255"/>
      <c r="S3171" s="255"/>
      <c r="T3171" s="255"/>
    </row>
    <row r="3172" spans="18:20" x14ac:dyDescent="0.3">
      <c r="R3172" s="255"/>
      <c r="S3172" s="255"/>
      <c r="T3172" s="255"/>
    </row>
    <row r="3173" spans="18:20" x14ac:dyDescent="0.3">
      <c r="R3173" s="255"/>
      <c r="S3173" s="255"/>
      <c r="T3173" s="255"/>
    </row>
    <row r="3174" spans="18:20" x14ac:dyDescent="0.3">
      <c r="R3174" s="255"/>
      <c r="S3174" s="255"/>
      <c r="T3174" s="255"/>
    </row>
    <row r="3175" spans="18:20" x14ac:dyDescent="0.3">
      <c r="R3175" s="255"/>
      <c r="S3175" s="255"/>
      <c r="T3175" s="255"/>
    </row>
    <row r="3176" spans="18:20" x14ac:dyDescent="0.3">
      <c r="R3176" s="255"/>
      <c r="S3176" s="255"/>
      <c r="T3176" s="255"/>
    </row>
    <row r="3177" spans="18:20" x14ac:dyDescent="0.3">
      <c r="R3177" s="255"/>
      <c r="S3177" s="255"/>
      <c r="T3177" s="255"/>
    </row>
    <row r="3178" spans="18:20" x14ac:dyDescent="0.3">
      <c r="R3178" s="255"/>
      <c r="S3178" s="255"/>
      <c r="T3178" s="255"/>
    </row>
    <row r="3179" spans="18:20" x14ac:dyDescent="0.3">
      <c r="R3179" s="255"/>
      <c r="S3179" s="255"/>
      <c r="T3179" s="255"/>
    </row>
    <row r="3180" spans="18:20" x14ac:dyDescent="0.3">
      <c r="R3180" s="255"/>
      <c r="S3180" s="255"/>
      <c r="T3180" s="255"/>
    </row>
    <row r="3181" spans="18:20" x14ac:dyDescent="0.3">
      <c r="R3181" s="255"/>
      <c r="S3181" s="255"/>
      <c r="T3181" s="255"/>
    </row>
    <row r="3182" spans="18:20" x14ac:dyDescent="0.3">
      <c r="R3182" s="255"/>
      <c r="S3182" s="255"/>
      <c r="T3182" s="255"/>
    </row>
    <row r="3183" spans="18:20" x14ac:dyDescent="0.3">
      <c r="R3183" s="255"/>
      <c r="S3183" s="255"/>
      <c r="T3183" s="255"/>
    </row>
    <row r="3184" spans="18:20" x14ac:dyDescent="0.3">
      <c r="R3184" s="255"/>
      <c r="S3184" s="255"/>
      <c r="T3184" s="255"/>
    </row>
    <row r="3185" spans="18:20" x14ac:dyDescent="0.3">
      <c r="R3185" s="255"/>
      <c r="S3185" s="255"/>
      <c r="T3185" s="255"/>
    </row>
    <row r="3186" spans="18:20" x14ac:dyDescent="0.3">
      <c r="R3186" s="255"/>
      <c r="S3186" s="255"/>
      <c r="T3186" s="255"/>
    </row>
    <row r="3187" spans="18:20" x14ac:dyDescent="0.3">
      <c r="R3187" s="255"/>
      <c r="S3187" s="255"/>
      <c r="T3187" s="255"/>
    </row>
    <row r="3188" spans="18:20" x14ac:dyDescent="0.3">
      <c r="R3188" s="255"/>
      <c r="S3188" s="255"/>
      <c r="T3188" s="255"/>
    </row>
    <row r="3189" spans="18:20" x14ac:dyDescent="0.3">
      <c r="R3189" s="255"/>
      <c r="S3189" s="255"/>
      <c r="T3189" s="255"/>
    </row>
    <row r="3190" spans="18:20" x14ac:dyDescent="0.3">
      <c r="R3190" s="255"/>
      <c r="S3190" s="255"/>
      <c r="T3190" s="255"/>
    </row>
    <row r="3191" spans="18:20" x14ac:dyDescent="0.3">
      <c r="R3191" s="255"/>
      <c r="S3191" s="255"/>
      <c r="T3191" s="255"/>
    </row>
    <row r="3192" spans="18:20" x14ac:dyDescent="0.3">
      <c r="R3192" s="255"/>
      <c r="S3192" s="255"/>
      <c r="T3192" s="255"/>
    </row>
    <row r="3193" spans="18:20" x14ac:dyDescent="0.3">
      <c r="R3193" s="255"/>
      <c r="S3193" s="255"/>
      <c r="T3193" s="255"/>
    </row>
    <row r="3194" spans="18:20" x14ac:dyDescent="0.3">
      <c r="R3194" s="255"/>
      <c r="S3194" s="255"/>
      <c r="T3194" s="255"/>
    </row>
    <row r="3195" spans="18:20" x14ac:dyDescent="0.3">
      <c r="R3195" s="255"/>
      <c r="S3195" s="255"/>
      <c r="T3195" s="255"/>
    </row>
    <row r="3196" spans="18:20" x14ac:dyDescent="0.3">
      <c r="R3196" s="255"/>
      <c r="S3196" s="255"/>
      <c r="T3196" s="255"/>
    </row>
    <row r="3197" spans="18:20" x14ac:dyDescent="0.3">
      <c r="R3197" s="255"/>
      <c r="S3197" s="255"/>
      <c r="T3197" s="255"/>
    </row>
    <row r="3198" spans="18:20" x14ac:dyDescent="0.3">
      <c r="R3198" s="255"/>
      <c r="S3198" s="255"/>
      <c r="T3198" s="255"/>
    </row>
    <row r="3199" spans="18:20" x14ac:dyDescent="0.3">
      <c r="R3199" s="255"/>
      <c r="S3199" s="255"/>
      <c r="T3199" s="255"/>
    </row>
    <row r="3200" spans="18:20" x14ac:dyDescent="0.3">
      <c r="R3200" s="255"/>
      <c r="S3200" s="255"/>
      <c r="T3200" s="255"/>
    </row>
    <row r="3201" spans="18:20" x14ac:dyDescent="0.3">
      <c r="R3201" s="255"/>
      <c r="S3201" s="255"/>
      <c r="T3201" s="255"/>
    </row>
    <row r="3202" spans="18:20" x14ac:dyDescent="0.3">
      <c r="R3202" s="255"/>
      <c r="S3202" s="255"/>
      <c r="T3202" s="255"/>
    </row>
    <row r="3203" spans="18:20" x14ac:dyDescent="0.3">
      <c r="R3203" s="255"/>
      <c r="S3203" s="255"/>
      <c r="T3203" s="255"/>
    </row>
    <row r="3204" spans="18:20" x14ac:dyDescent="0.3">
      <c r="R3204" s="255"/>
      <c r="S3204" s="255"/>
      <c r="T3204" s="255"/>
    </row>
    <row r="3205" spans="18:20" x14ac:dyDescent="0.3">
      <c r="R3205" s="255"/>
      <c r="S3205" s="255"/>
      <c r="T3205" s="255"/>
    </row>
    <row r="3206" spans="18:20" x14ac:dyDescent="0.3">
      <c r="R3206" s="255"/>
      <c r="S3206" s="255"/>
      <c r="T3206" s="255"/>
    </row>
    <row r="3207" spans="18:20" x14ac:dyDescent="0.3">
      <c r="R3207" s="255"/>
      <c r="S3207" s="255"/>
      <c r="T3207" s="255"/>
    </row>
    <row r="3208" spans="18:20" x14ac:dyDescent="0.3">
      <c r="R3208" s="255"/>
      <c r="S3208" s="255"/>
      <c r="T3208" s="255"/>
    </row>
    <row r="3209" spans="18:20" x14ac:dyDescent="0.3">
      <c r="R3209" s="255"/>
      <c r="S3209" s="255"/>
      <c r="T3209" s="255"/>
    </row>
    <row r="3210" spans="18:20" x14ac:dyDescent="0.3">
      <c r="R3210" s="255"/>
      <c r="S3210" s="255"/>
      <c r="T3210" s="255"/>
    </row>
    <row r="3211" spans="18:20" x14ac:dyDescent="0.3">
      <c r="R3211" s="255"/>
      <c r="S3211" s="255"/>
      <c r="T3211" s="255"/>
    </row>
    <row r="3212" spans="18:20" x14ac:dyDescent="0.3">
      <c r="R3212" s="255"/>
      <c r="S3212" s="255"/>
      <c r="T3212" s="255"/>
    </row>
    <row r="3213" spans="18:20" x14ac:dyDescent="0.3">
      <c r="R3213" s="255"/>
      <c r="S3213" s="255"/>
      <c r="T3213" s="255"/>
    </row>
    <row r="3214" spans="18:20" x14ac:dyDescent="0.3">
      <c r="R3214" s="255"/>
      <c r="S3214" s="255"/>
      <c r="T3214" s="255"/>
    </row>
    <row r="3215" spans="18:20" x14ac:dyDescent="0.3">
      <c r="R3215" s="255"/>
      <c r="S3215" s="255"/>
      <c r="T3215" s="255"/>
    </row>
    <row r="3216" spans="18:20" x14ac:dyDescent="0.3">
      <c r="R3216" s="255"/>
      <c r="S3216" s="255"/>
      <c r="T3216" s="255"/>
    </row>
    <row r="3217" spans="18:20" x14ac:dyDescent="0.3">
      <c r="R3217" s="255"/>
      <c r="S3217" s="255"/>
      <c r="T3217" s="255"/>
    </row>
    <row r="3218" spans="18:20" x14ac:dyDescent="0.3">
      <c r="R3218" s="255"/>
      <c r="S3218" s="255"/>
      <c r="T3218" s="255"/>
    </row>
    <row r="3219" spans="18:20" x14ac:dyDescent="0.3">
      <c r="R3219" s="255"/>
      <c r="S3219" s="255"/>
      <c r="T3219" s="255"/>
    </row>
    <row r="3220" spans="18:20" x14ac:dyDescent="0.3">
      <c r="R3220" s="255"/>
      <c r="S3220" s="255"/>
      <c r="T3220" s="255"/>
    </row>
    <row r="3221" spans="18:20" x14ac:dyDescent="0.3">
      <c r="R3221" s="255"/>
      <c r="S3221" s="255"/>
      <c r="T3221" s="255"/>
    </row>
    <row r="3222" spans="18:20" x14ac:dyDescent="0.3">
      <c r="R3222" s="255"/>
      <c r="S3222" s="255"/>
      <c r="T3222" s="255"/>
    </row>
    <row r="3223" spans="18:20" x14ac:dyDescent="0.3">
      <c r="R3223" s="255"/>
      <c r="S3223" s="255"/>
      <c r="T3223" s="255"/>
    </row>
    <row r="3224" spans="18:20" x14ac:dyDescent="0.3">
      <c r="R3224" s="255"/>
      <c r="S3224" s="255"/>
      <c r="T3224" s="255"/>
    </row>
    <row r="3225" spans="18:20" x14ac:dyDescent="0.3">
      <c r="R3225" s="255"/>
      <c r="S3225" s="255"/>
      <c r="T3225" s="255"/>
    </row>
    <row r="3226" spans="18:20" x14ac:dyDescent="0.3">
      <c r="R3226" s="255"/>
      <c r="S3226" s="255"/>
      <c r="T3226" s="255"/>
    </row>
    <row r="3227" spans="18:20" x14ac:dyDescent="0.3">
      <c r="R3227" s="255"/>
      <c r="S3227" s="255"/>
      <c r="T3227" s="255"/>
    </row>
    <row r="3228" spans="18:20" x14ac:dyDescent="0.3">
      <c r="R3228" s="255"/>
      <c r="S3228" s="255"/>
      <c r="T3228" s="255"/>
    </row>
    <row r="3229" spans="18:20" x14ac:dyDescent="0.3">
      <c r="R3229" s="255"/>
      <c r="S3229" s="255"/>
      <c r="T3229" s="255"/>
    </row>
    <row r="3230" spans="18:20" x14ac:dyDescent="0.3">
      <c r="R3230" s="255"/>
      <c r="S3230" s="255"/>
      <c r="T3230" s="255"/>
    </row>
    <row r="3231" spans="18:20" x14ac:dyDescent="0.3">
      <c r="R3231" s="255"/>
      <c r="S3231" s="255"/>
      <c r="T3231" s="255"/>
    </row>
    <row r="3232" spans="18:20" x14ac:dyDescent="0.3">
      <c r="R3232" s="255"/>
      <c r="S3232" s="255"/>
      <c r="T3232" s="255"/>
    </row>
    <row r="3233" spans="18:20" x14ac:dyDescent="0.3">
      <c r="R3233" s="255"/>
      <c r="S3233" s="255"/>
      <c r="T3233" s="255"/>
    </row>
    <row r="3234" spans="18:20" x14ac:dyDescent="0.3">
      <c r="R3234" s="255"/>
      <c r="S3234" s="255"/>
      <c r="T3234" s="255"/>
    </row>
    <row r="3235" spans="18:20" x14ac:dyDescent="0.3">
      <c r="R3235" s="255"/>
      <c r="S3235" s="255"/>
      <c r="T3235" s="255"/>
    </row>
    <row r="3236" spans="18:20" x14ac:dyDescent="0.3">
      <c r="R3236" s="255"/>
      <c r="S3236" s="255"/>
      <c r="T3236" s="255"/>
    </row>
    <row r="3237" spans="18:20" x14ac:dyDescent="0.3">
      <c r="R3237" s="255"/>
      <c r="S3237" s="255"/>
      <c r="T3237" s="255"/>
    </row>
    <row r="3238" spans="18:20" x14ac:dyDescent="0.3">
      <c r="R3238" s="255"/>
      <c r="S3238" s="255"/>
      <c r="T3238" s="255"/>
    </row>
    <row r="3239" spans="18:20" x14ac:dyDescent="0.3">
      <c r="R3239" s="255"/>
      <c r="S3239" s="255"/>
      <c r="T3239" s="255"/>
    </row>
    <row r="3240" spans="18:20" x14ac:dyDescent="0.3">
      <c r="R3240" s="255"/>
      <c r="S3240" s="255"/>
      <c r="T3240" s="255"/>
    </row>
    <row r="3241" spans="18:20" x14ac:dyDescent="0.3">
      <c r="R3241" s="255"/>
      <c r="S3241" s="255"/>
      <c r="T3241" s="255"/>
    </row>
    <row r="3242" spans="18:20" x14ac:dyDescent="0.3">
      <c r="R3242" s="255"/>
      <c r="S3242" s="255"/>
      <c r="T3242" s="255"/>
    </row>
    <row r="3243" spans="18:20" x14ac:dyDescent="0.3">
      <c r="R3243" s="255"/>
      <c r="S3243" s="255"/>
      <c r="T3243" s="255"/>
    </row>
    <row r="3244" spans="18:20" x14ac:dyDescent="0.3">
      <c r="R3244" s="255"/>
      <c r="S3244" s="255"/>
      <c r="T3244" s="255"/>
    </row>
    <row r="3245" spans="18:20" x14ac:dyDescent="0.3">
      <c r="R3245" s="255"/>
      <c r="S3245" s="255"/>
      <c r="T3245" s="255"/>
    </row>
    <row r="3246" spans="18:20" x14ac:dyDescent="0.3">
      <c r="R3246" s="255"/>
      <c r="S3246" s="255"/>
      <c r="T3246" s="255"/>
    </row>
    <row r="3247" spans="18:20" x14ac:dyDescent="0.3">
      <c r="R3247" s="255"/>
      <c r="S3247" s="255"/>
      <c r="T3247" s="255"/>
    </row>
    <row r="3248" spans="18:20" x14ac:dyDescent="0.3">
      <c r="R3248" s="255"/>
      <c r="S3248" s="255"/>
      <c r="T3248" s="255"/>
    </row>
    <row r="3249" spans="18:20" x14ac:dyDescent="0.3">
      <c r="R3249" s="255"/>
      <c r="S3249" s="255"/>
      <c r="T3249" s="255"/>
    </row>
    <row r="3250" spans="18:20" x14ac:dyDescent="0.3">
      <c r="R3250" s="255"/>
      <c r="S3250" s="255"/>
      <c r="T3250" s="255"/>
    </row>
    <row r="3251" spans="18:20" x14ac:dyDescent="0.3">
      <c r="R3251" s="255"/>
      <c r="S3251" s="255"/>
      <c r="T3251" s="255"/>
    </row>
    <row r="3252" spans="18:20" x14ac:dyDescent="0.3">
      <c r="R3252" s="255"/>
      <c r="S3252" s="255"/>
      <c r="T3252" s="255"/>
    </row>
    <row r="3253" spans="18:20" x14ac:dyDescent="0.3">
      <c r="R3253" s="255"/>
      <c r="S3253" s="255"/>
      <c r="T3253" s="255"/>
    </row>
    <row r="3254" spans="18:20" x14ac:dyDescent="0.3">
      <c r="R3254" s="255"/>
      <c r="S3254" s="255"/>
      <c r="T3254" s="255"/>
    </row>
    <row r="3255" spans="18:20" x14ac:dyDescent="0.3">
      <c r="R3255" s="255"/>
      <c r="S3255" s="255"/>
      <c r="T3255" s="255"/>
    </row>
    <row r="3256" spans="18:20" x14ac:dyDescent="0.3">
      <c r="R3256" s="255"/>
      <c r="S3256" s="255"/>
      <c r="T3256" s="255"/>
    </row>
    <row r="3257" spans="18:20" x14ac:dyDescent="0.3">
      <c r="R3257" s="255"/>
      <c r="S3257" s="255"/>
      <c r="T3257" s="255"/>
    </row>
    <row r="3258" spans="18:20" x14ac:dyDescent="0.3">
      <c r="R3258" s="255"/>
      <c r="S3258" s="255"/>
      <c r="T3258" s="255"/>
    </row>
    <row r="3259" spans="18:20" x14ac:dyDescent="0.3">
      <c r="R3259" s="255"/>
      <c r="S3259" s="255"/>
      <c r="T3259" s="255"/>
    </row>
    <row r="3260" spans="18:20" x14ac:dyDescent="0.3">
      <c r="R3260" s="255"/>
      <c r="S3260" s="255"/>
      <c r="T3260" s="255"/>
    </row>
    <row r="3261" spans="18:20" x14ac:dyDescent="0.3">
      <c r="R3261" s="255"/>
      <c r="S3261" s="255"/>
      <c r="T3261" s="255"/>
    </row>
    <row r="3262" spans="18:20" x14ac:dyDescent="0.3">
      <c r="R3262" s="255"/>
      <c r="S3262" s="255"/>
      <c r="T3262" s="255"/>
    </row>
    <row r="3263" spans="18:20" x14ac:dyDescent="0.3">
      <c r="R3263" s="255"/>
      <c r="S3263" s="255"/>
      <c r="T3263" s="255"/>
    </row>
    <row r="3264" spans="18:20" x14ac:dyDescent="0.3">
      <c r="R3264" s="255"/>
      <c r="S3264" s="255"/>
      <c r="T3264" s="255"/>
    </row>
    <row r="3265" spans="18:20" x14ac:dyDescent="0.3">
      <c r="R3265" s="255"/>
      <c r="S3265" s="255"/>
      <c r="T3265" s="255"/>
    </row>
    <row r="3266" spans="18:20" x14ac:dyDescent="0.3">
      <c r="R3266" s="255"/>
      <c r="S3266" s="255"/>
      <c r="T3266" s="255"/>
    </row>
    <row r="3267" spans="18:20" x14ac:dyDescent="0.3">
      <c r="R3267" s="255"/>
      <c r="S3267" s="255"/>
      <c r="T3267" s="255"/>
    </row>
    <row r="3268" spans="18:20" x14ac:dyDescent="0.3">
      <c r="R3268" s="255"/>
      <c r="S3268" s="255"/>
      <c r="T3268" s="255"/>
    </row>
    <row r="3269" spans="18:20" x14ac:dyDescent="0.3">
      <c r="R3269" s="255"/>
      <c r="S3269" s="255"/>
      <c r="T3269" s="255"/>
    </row>
    <row r="3270" spans="18:20" x14ac:dyDescent="0.3">
      <c r="R3270" s="255"/>
      <c r="S3270" s="255"/>
      <c r="T3270" s="255"/>
    </row>
    <row r="3271" spans="18:20" x14ac:dyDescent="0.3">
      <c r="R3271" s="255"/>
      <c r="S3271" s="255"/>
      <c r="T3271" s="255"/>
    </row>
    <row r="3272" spans="18:20" x14ac:dyDescent="0.3">
      <c r="R3272" s="255"/>
      <c r="S3272" s="255"/>
      <c r="T3272" s="255"/>
    </row>
    <row r="3273" spans="18:20" x14ac:dyDescent="0.3">
      <c r="R3273" s="255"/>
      <c r="S3273" s="255"/>
      <c r="T3273" s="255"/>
    </row>
    <row r="3274" spans="18:20" x14ac:dyDescent="0.3">
      <c r="R3274" s="255"/>
      <c r="S3274" s="255"/>
      <c r="T3274" s="255"/>
    </row>
    <row r="3275" spans="18:20" x14ac:dyDescent="0.3">
      <c r="R3275" s="255"/>
      <c r="S3275" s="255"/>
      <c r="T3275" s="255"/>
    </row>
    <row r="3276" spans="18:20" x14ac:dyDescent="0.3">
      <c r="R3276" s="255"/>
      <c r="S3276" s="255"/>
      <c r="T3276" s="255"/>
    </row>
    <row r="3277" spans="18:20" x14ac:dyDescent="0.3">
      <c r="R3277" s="255"/>
      <c r="S3277" s="255"/>
      <c r="T3277" s="255"/>
    </row>
    <row r="3278" spans="18:20" x14ac:dyDescent="0.3">
      <c r="R3278" s="255"/>
      <c r="S3278" s="255"/>
      <c r="T3278" s="255"/>
    </row>
    <row r="3279" spans="18:20" x14ac:dyDescent="0.3">
      <c r="R3279" s="255"/>
      <c r="S3279" s="255"/>
      <c r="T3279" s="255"/>
    </row>
    <row r="3280" spans="18:20" x14ac:dyDescent="0.3">
      <c r="R3280" s="255"/>
      <c r="S3280" s="255"/>
      <c r="T3280" s="255"/>
    </row>
    <row r="3281" spans="18:20" x14ac:dyDescent="0.3">
      <c r="R3281" s="255"/>
      <c r="S3281" s="255"/>
      <c r="T3281" s="255"/>
    </row>
    <row r="3282" spans="18:20" x14ac:dyDescent="0.3">
      <c r="R3282" s="255"/>
      <c r="S3282" s="255"/>
      <c r="T3282" s="255"/>
    </row>
    <row r="3283" spans="18:20" x14ac:dyDescent="0.3">
      <c r="R3283" s="255"/>
      <c r="S3283" s="255"/>
      <c r="T3283" s="255"/>
    </row>
    <row r="3284" spans="18:20" x14ac:dyDescent="0.3">
      <c r="R3284" s="255"/>
      <c r="S3284" s="255"/>
      <c r="T3284" s="255"/>
    </row>
    <row r="3285" spans="18:20" x14ac:dyDescent="0.3">
      <c r="R3285" s="255"/>
      <c r="S3285" s="255"/>
      <c r="T3285" s="255"/>
    </row>
    <row r="3286" spans="18:20" x14ac:dyDescent="0.3">
      <c r="R3286" s="255"/>
      <c r="S3286" s="255"/>
      <c r="T3286" s="255"/>
    </row>
    <row r="3287" spans="18:20" x14ac:dyDescent="0.3">
      <c r="R3287" s="255"/>
      <c r="S3287" s="255"/>
      <c r="T3287" s="255"/>
    </row>
    <row r="3288" spans="18:20" x14ac:dyDescent="0.3">
      <c r="R3288" s="255"/>
      <c r="S3288" s="255"/>
      <c r="T3288" s="255"/>
    </row>
    <row r="3289" spans="18:20" x14ac:dyDescent="0.3">
      <c r="R3289" s="255"/>
      <c r="S3289" s="255"/>
      <c r="T3289" s="255"/>
    </row>
    <row r="3290" spans="18:20" x14ac:dyDescent="0.3">
      <c r="R3290" s="255"/>
      <c r="S3290" s="255"/>
      <c r="T3290" s="255"/>
    </row>
    <row r="3291" spans="18:20" x14ac:dyDescent="0.3">
      <c r="R3291" s="255"/>
      <c r="S3291" s="255"/>
      <c r="T3291" s="255"/>
    </row>
    <row r="3292" spans="18:20" x14ac:dyDescent="0.3">
      <c r="R3292" s="255"/>
      <c r="S3292" s="255"/>
      <c r="T3292" s="255"/>
    </row>
    <row r="3293" spans="18:20" x14ac:dyDescent="0.3">
      <c r="R3293" s="255"/>
      <c r="S3293" s="255"/>
      <c r="T3293" s="255"/>
    </row>
    <row r="3294" spans="18:20" x14ac:dyDescent="0.3">
      <c r="R3294" s="255"/>
      <c r="S3294" s="255"/>
      <c r="T3294" s="255"/>
    </row>
    <row r="3295" spans="18:20" x14ac:dyDescent="0.3">
      <c r="R3295" s="255"/>
      <c r="S3295" s="255"/>
      <c r="T3295" s="255"/>
    </row>
    <row r="3296" spans="18:20" x14ac:dyDescent="0.3">
      <c r="R3296" s="255"/>
      <c r="S3296" s="255"/>
      <c r="T3296" s="255"/>
    </row>
    <row r="3297" spans="18:20" x14ac:dyDescent="0.3">
      <c r="R3297" s="255"/>
      <c r="S3297" s="255"/>
      <c r="T3297" s="255"/>
    </row>
    <row r="3298" spans="18:20" x14ac:dyDescent="0.3">
      <c r="R3298" s="255"/>
      <c r="S3298" s="255"/>
      <c r="T3298" s="255"/>
    </row>
    <row r="3299" spans="18:20" x14ac:dyDescent="0.3">
      <c r="R3299" s="255"/>
      <c r="S3299" s="255"/>
      <c r="T3299" s="255"/>
    </row>
    <row r="3300" spans="18:20" x14ac:dyDescent="0.3">
      <c r="R3300" s="255"/>
      <c r="S3300" s="255"/>
      <c r="T3300" s="255"/>
    </row>
    <row r="3301" spans="18:20" x14ac:dyDescent="0.3">
      <c r="R3301" s="255"/>
      <c r="S3301" s="255"/>
      <c r="T3301" s="255"/>
    </row>
    <row r="3302" spans="18:20" x14ac:dyDescent="0.3">
      <c r="R3302" s="255"/>
      <c r="S3302" s="255"/>
      <c r="T3302" s="255"/>
    </row>
    <row r="3303" spans="18:20" x14ac:dyDescent="0.3">
      <c r="R3303" s="255"/>
      <c r="S3303" s="255"/>
      <c r="T3303" s="255"/>
    </row>
    <row r="3304" spans="18:20" x14ac:dyDescent="0.3">
      <c r="R3304" s="255"/>
      <c r="S3304" s="255"/>
      <c r="T3304" s="255"/>
    </row>
    <row r="3305" spans="18:20" x14ac:dyDescent="0.3">
      <c r="R3305" s="255"/>
      <c r="S3305" s="255"/>
      <c r="T3305" s="255"/>
    </row>
    <row r="3306" spans="18:20" x14ac:dyDescent="0.3">
      <c r="R3306" s="255"/>
      <c r="S3306" s="255"/>
      <c r="T3306" s="255"/>
    </row>
    <row r="3307" spans="18:20" x14ac:dyDescent="0.3">
      <c r="R3307" s="255"/>
      <c r="S3307" s="255"/>
      <c r="T3307" s="255"/>
    </row>
    <row r="3308" spans="18:20" x14ac:dyDescent="0.3">
      <c r="R3308" s="255"/>
      <c r="S3308" s="255"/>
      <c r="T3308" s="255"/>
    </row>
    <row r="3309" spans="18:20" x14ac:dyDescent="0.3">
      <c r="R3309" s="255"/>
      <c r="S3309" s="255"/>
      <c r="T3309" s="255"/>
    </row>
    <row r="3310" spans="18:20" x14ac:dyDescent="0.3">
      <c r="R3310" s="255"/>
      <c r="S3310" s="255"/>
      <c r="T3310" s="255"/>
    </row>
    <row r="3311" spans="18:20" x14ac:dyDescent="0.3">
      <c r="R3311" s="255"/>
      <c r="S3311" s="255"/>
      <c r="T3311" s="255"/>
    </row>
    <row r="3312" spans="18:20" x14ac:dyDescent="0.3">
      <c r="R3312" s="255"/>
      <c r="S3312" s="255"/>
      <c r="T3312" s="255"/>
    </row>
    <row r="3313" spans="18:20" x14ac:dyDescent="0.3">
      <c r="R3313" s="255"/>
      <c r="S3313" s="255"/>
      <c r="T3313" s="255"/>
    </row>
    <row r="3314" spans="18:20" x14ac:dyDescent="0.3">
      <c r="R3314" s="255"/>
      <c r="S3314" s="255"/>
      <c r="T3314" s="255"/>
    </row>
    <row r="3315" spans="18:20" x14ac:dyDescent="0.3">
      <c r="R3315" s="255"/>
      <c r="S3315" s="255"/>
      <c r="T3315" s="255"/>
    </row>
    <row r="3316" spans="18:20" x14ac:dyDescent="0.3">
      <c r="R3316" s="255"/>
      <c r="S3316" s="255"/>
      <c r="T3316" s="255"/>
    </row>
    <row r="3317" spans="18:20" x14ac:dyDescent="0.3">
      <c r="R3317" s="255"/>
      <c r="S3317" s="255"/>
      <c r="T3317" s="255"/>
    </row>
    <row r="3318" spans="18:20" x14ac:dyDescent="0.3">
      <c r="R3318" s="255"/>
      <c r="S3318" s="255"/>
      <c r="T3318" s="255"/>
    </row>
    <row r="3319" spans="18:20" x14ac:dyDescent="0.3">
      <c r="R3319" s="255"/>
      <c r="S3319" s="255"/>
      <c r="T3319" s="255"/>
    </row>
    <row r="3320" spans="18:20" x14ac:dyDescent="0.3">
      <c r="R3320" s="255"/>
      <c r="S3320" s="255"/>
      <c r="T3320" s="255"/>
    </row>
    <row r="3321" spans="18:20" x14ac:dyDescent="0.3">
      <c r="R3321" s="255"/>
      <c r="S3321" s="255"/>
      <c r="T3321" s="255"/>
    </row>
    <row r="3322" spans="18:20" x14ac:dyDescent="0.3">
      <c r="R3322" s="255"/>
      <c r="S3322" s="255"/>
      <c r="T3322" s="255"/>
    </row>
    <row r="3323" spans="18:20" x14ac:dyDescent="0.3">
      <c r="R3323" s="255"/>
      <c r="S3323" s="255"/>
      <c r="T3323" s="255"/>
    </row>
    <row r="3324" spans="18:20" x14ac:dyDescent="0.3">
      <c r="R3324" s="255"/>
      <c r="S3324" s="255"/>
      <c r="T3324" s="255"/>
    </row>
    <row r="3325" spans="18:20" x14ac:dyDescent="0.3">
      <c r="R3325" s="255"/>
      <c r="S3325" s="255"/>
      <c r="T3325" s="255"/>
    </row>
    <row r="3326" spans="18:20" x14ac:dyDescent="0.3">
      <c r="R3326" s="255"/>
      <c r="S3326" s="255"/>
      <c r="T3326" s="255"/>
    </row>
    <row r="3327" spans="18:20" x14ac:dyDescent="0.3">
      <c r="R3327" s="255"/>
      <c r="S3327" s="255"/>
      <c r="T3327" s="255"/>
    </row>
    <row r="3328" spans="18:20" x14ac:dyDescent="0.3">
      <c r="R3328" s="255"/>
      <c r="S3328" s="255"/>
      <c r="T3328" s="255"/>
    </row>
    <row r="3329" spans="18:20" x14ac:dyDescent="0.3">
      <c r="R3329" s="255"/>
      <c r="S3329" s="255"/>
      <c r="T3329" s="255"/>
    </row>
    <row r="3330" spans="18:20" x14ac:dyDescent="0.3">
      <c r="R3330" s="255"/>
      <c r="S3330" s="255"/>
      <c r="T3330" s="255"/>
    </row>
    <row r="3331" spans="18:20" x14ac:dyDescent="0.3">
      <c r="R3331" s="255"/>
      <c r="S3331" s="255"/>
      <c r="T3331" s="255"/>
    </row>
    <row r="3332" spans="18:20" x14ac:dyDescent="0.3">
      <c r="R3332" s="255"/>
      <c r="S3332" s="255"/>
      <c r="T3332" s="255"/>
    </row>
    <row r="3333" spans="18:20" x14ac:dyDescent="0.3">
      <c r="R3333" s="255"/>
      <c r="S3333" s="255"/>
      <c r="T3333" s="255"/>
    </row>
    <row r="3334" spans="18:20" x14ac:dyDescent="0.3">
      <c r="R3334" s="255"/>
      <c r="S3334" s="255"/>
      <c r="T3334" s="255"/>
    </row>
    <row r="3335" spans="18:20" x14ac:dyDescent="0.3">
      <c r="R3335" s="255"/>
      <c r="S3335" s="255"/>
      <c r="T3335" s="255"/>
    </row>
    <row r="3336" spans="18:20" x14ac:dyDescent="0.3">
      <c r="R3336" s="255"/>
      <c r="S3336" s="255"/>
      <c r="T3336" s="255"/>
    </row>
    <row r="3337" spans="18:20" x14ac:dyDescent="0.3">
      <c r="R3337" s="255"/>
      <c r="S3337" s="255"/>
      <c r="T3337" s="255"/>
    </row>
    <row r="3338" spans="18:20" x14ac:dyDescent="0.3">
      <c r="R3338" s="255"/>
      <c r="S3338" s="255"/>
      <c r="T3338" s="255"/>
    </row>
    <row r="3339" spans="18:20" x14ac:dyDescent="0.3">
      <c r="R3339" s="255"/>
      <c r="S3339" s="255"/>
      <c r="T3339" s="255"/>
    </row>
    <row r="3340" spans="18:20" x14ac:dyDescent="0.3">
      <c r="R3340" s="255"/>
      <c r="S3340" s="255"/>
      <c r="T3340" s="255"/>
    </row>
    <row r="3341" spans="18:20" x14ac:dyDescent="0.3">
      <c r="R3341" s="255"/>
      <c r="S3341" s="255"/>
      <c r="T3341" s="255"/>
    </row>
    <row r="3342" spans="18:20" x14ac:dyDescent="0.3">
      <c r="R3342" s="255"/>
      <c r="S3342" s="255"/>
      <c r="T3342" s="255"/>
    </row>
    <row r="3343" spans="18:20" x14ac:dyDescent="0.3">
      <c r="R3343" s="255"/>
      <c r="S3343" s="255"/>
      <c r="T3343" s="255"/>
    </row>
    <row r="3344" spans="18:20" x14ac:dyDescent="0.3">
      <c r="R3344" s="255"/>
      <c r="S3344" s="255"/>
      <c r="T3344" s="255"/>
    </row>
    <row r="3345" spans="18:20" x14ac:dyDescent="0.3">
      <c r="R3345" s="255"/>
      <c r="S3345" s="255"/>
      <c r="T3345" s="255"/>
    </row>
    <row r="3346" spans="18:20" x14ac:dyDescent="0.3">
      <c r="R3346" s="255"/>
      <c r="S3346" s="255"/>
      <c r="T3346" s="255"/>
    </row>
    <row r="3347" spans="18:20" x14ac:dyDescent="0.3">
      <c r="R3347" s="255"/>
      <c r="S3347" s="255"/>
      <c r="T3347" s="255"/>
    </row>
    <row r="3348" spans="18:20" x14ac:dyDescent="0.3">
      <c r="R3348" s="255"/>
      <c r="S3348" s="255"/>
      <c r="T3348" s="255"/>
    </row>
    <row r="3349" spans="18:20" x14ac:dyDescent="0.3">
      <c r="R3349" s="255"/>
      <c r="S3349" s="255"/>
      <c r="T3349" s="255"/>
    </row>
    <row r="3350" spans="18:20" x14ac:dyDescent="0.3">
      <c r="R3350" s="255"/>
      <c r="S3350" s="255"/>
      <c r="T3350" s="255"/>
    </row>
    <row r="3351" spans="18:20" x14ac:dyDescent="0.3">
      <c r="R3351" s="255"/>
      <c r="S3351" s="255"/>
      <c r="T3351" s="255"/>
    </row>
    <row r="3352" spans="18:20" x14ac:dyDescent="0.3">
      <c r="R3352" s="255"/>
      <c r="S3352" s="255"/>
      <c r="T3352" s="255"/>
    </row>
    <row r="3353" spans="18:20" x14ac:dyDescent="0.3">
      <c r="R3353" s="255"/>
      <c r="S3353" s="255"/>
      <c r="T3353" s="255"/>
    </row>
    <row r="3354" spans="18:20" x14ac:dyDescent="0.3">
      <c r="R3354" s="255"/>
      <c r="S3354" s="255"/>
      <c r="T3354" s="255"/>
    </row>
    <row r="3355" spans="18:20" x14ac:dyDescent="0.3">
      <c r="R3355" s="255"/>
      <c r="S3355" s="255"/>
      <c r="T3355" s="255"/>
    </row>
    <row r="3356" spans="18:20" x14ac:dyDescent="0.3">
      <c r="R3356" s="255"/>
      <c r="S3356" s="255"/>
      <c r="T3356" s="255"/>
    </row>
    <row r="3357" spans="18:20" x14ac:dyDescent="0.3">
      <c r="R3357" s="255"/>
      <c r="S3357" s="255"/>
      <c r="T3357" s="255"/>
    </row>
    <row r="3358" spans="18:20" x14ac:dyDescent="0.3">
      <c r="R3358" s="255"/>
      <c r="S3358" s="255"/>
      <c r="T3358" s="255"/>
    </row>
    <row r="3359" spans="18:20" x14ac:dyDescent="0.3">
      <c r="R3359" s="255"/>
      <c r="S3359" s="255"/>
      <c r="T3359" s="255"/>
    </row>
    <row r="3360" spans="18:20" x14ac:dyDescent="0.3">
      <c r="R3360" s="255"/>
      <c r="S3360" s="255"/>
      <c r="T3360" s="255"/>
    </row>
    <row r="3361" spans="18:20" x14ac:dyDescent="0.3">
      <c r="R3361" s="255"/>
      <c r="S3361" s="255"/>
      <c r="T3361" s="255"/>
    </row>
    <row r="3362" spans="18:20" x14ac:dyDescent="0.3">
      <c r="R3362" s="255"/>
      <c r="S3362" s="255"/>
      <c r="T3362" s="255"/>
    </row>
    <row r="3363" spans="18:20" x14ac:dyDescent="0.3">
      <c r="R3363" s="255"/>
      <c r="S3363" s="255"/>
      <c r="T3363" s="255"/>
    </row>
    <row r="3364" spans="18:20" x14ac:dyDescent="0.3">
      <c r="R3364" s="255"/>
      <c r="S3364" s="255"/>
      <c r="T3364" s="255"/>
    </row>
    <row r="3365" spans="18:20" x14ac:dyDescent="0.3">
      <c r="R3365" s="255"/>
      <c r="S3365" s="255"/>
      <c r="T3365" s="255"/>
    </row>
    <row r="3366" spans="18:20" x14ac:dyDescent="0.3">
      <c r="R3366" s="255"/>
      <c r="S3366" s="255"/>
      <c r="T3366" s="255"/>
    </row>
    <row r="3367" spans="18:20" x14ac:dyDescent="0.3">
      <c r="R3367" s="255"/>
      <c r="S3367" s="255"/>
      <c r="T3367" s="255"/>
    </row>
    <row r="3368" spans="18:20" x14ac:dyDescent="0.3">
      <c r="R3368" s="255"/>
      <c r="S3368" s="255"/>
      <c r="T3368" s="255"/>
    </row>
    <row r="3369" spans="18:20" x14ac:dyDescent="0.3">
      <c r="R3369" s="255"/>
      <c r="S3369" s="255"/>
      <c r="T3369" s="255"/>
    </row>
    <row r="3370" spans="18:20" x14ac:dyDescent="0.3">
      <c r="R3370" s="255"/>
      <c r="S3370" s="255"/>
      <c r="T3370" s="255"/>
    </row>
    <row r="3371" spans="18:20" x14ac:dyDescent="0.3">
      <c r="R3371" s="255"/>
      <c r="S3371" s="255"/>
      <c r="T3371" s="255"/>
    </row>
    <row r="3372" spans="18:20" x14ac:dyDescent="0.3">
      <c r="R3372" s="255"/>
      <c r="S3372" s="255"/>
      <c r="T3372" s="255"/>
    </row>
    <row r="3373" spans="18:20" x14ac:dyDescent="0.3">
      <c r="R3373" s="255"/>
      <c r="S3373" s="255"/>
      <c r="T3373" s="255"/>
    </row>
    <row r="3374" spans="18:20" x14ac:dyDescent="0.3">
      <c r="R3374" s="255"/>
      <c r="S3374" s="255"/>
      <c r="T3374" s="255"/>
    </row>
    <row r="3375" spans="18:20" x14ac:dyDescent="0.3">
      <c r="R3375" s="255"/>
      <c r="S3375" s="255"/>
      <c r="T3375" s="255"/>
    </row>
    <row r="3376" spans="18:20" x14ac:dyDescent="0.3">
      <c r="R3376" s="255"/>
      <c r="S3376" s="255"/>
      <c r="T3376" s="255"/>
    </row>
    <row r="3377" spans="18:20" x14ac:dyDescent="0.3">
      <c r="R3377" s="255"/>
      <c r="S3377" s="255"/>
      <c r="T3377" s="255"/>
    </row>
    <row r="3378" spans="18:20" x14ac:dyDescent="0.3">
      <c r="R3378" s="255"/>
      <c r="S3378" s="255"/>
      <c r="T3378" s="255"/>
    </row>
    <row r="3379" spans="18:20" x14ac:dyDescent="0.3">
      <c r="R3379" s="255"/>
      <c r="S3379" s="255"/>
      <c r="T3379" s="255"/>
    </row>
    <row r="3380" spans="18:20" x14ac:dyDescent="0.3">
      <c r="R3380" s="255"/>
      <c r="S3380" s="255"/>
      <c r="T3380" s="255"/>
    </row>
    <row r="3381" spans="18:20" x14ac:dyDescent="0.3">
      <c r="R3381" s="255"/>
      <c r="S3381" s="255"/>
      <c r="T3381" s="255"/>
    </row>
    <row r="3382" spans="18:20" x14ac:dyDescent="0.3">
      <c r="R3382" s="255"/>
      <c r="S3382" s="255"/>
      <c r="T3382" s="255"/>
    </row>
    <row r="3383" spans="18:20" x14ac:dyDescent="0.3">
      <c r="R3383" s="255"/>
      <c r="S3383" s="255"/>
      <c r="T3383" s="255"/>
    </row>
    <row r="3384" spans="18:20" x14ac:dyDescent="0.3">
      <c r="R3384" s="255"/>
      <c r="S3384" s="255"/>
      <c r="T3384" s="255"/>
    </row>
    <row r="3385" spans="18:20" x14ac:dyDescent="0.3">
      <c r="R3385" s="255"/>
      <c r="S3385" s="255"/>
      <c r="T3385" s="255"/>
    </row>
    <row r="3386" spans="18:20" x14ac:dyDescent="0.3">
      <c r="R3386" s="255"/>
      <c r="S3386" s="255"/>
      <c r="T3386" s="255"/>
    </row>
    <row r="3387" spans="18:20" x14ac:dyDescent="0.3">
      <c r="R3387" s="255"/>
      <c r="S3387" s="255"/>
      <c r="T3387" s="255"/>
    </row>
    <row r="3388" spans="18:20" x14ac:dyDescent="0.3">
      <c r="R3388" s="255"/>
      <c r="S3388" s="255"/>
      <c r="T3388" s="255"/>
    </row>
    <row r="3389" spans="18:20" x14ac:dyDescent="0.3">
      <c r="R3389" s="255"/>
      <c r="S3389" s="255"/>
      <c r="T3389" s="255"/>
    </row>
    <row r="3390" spans="18:20" x14ac:dyDescent="0.3">
      <c r="R3390" s="255"/>
      <c r="S3390" s="255"/>
      <c r="T3390" s="255"/>
    </row>
    <row r="3391" spans="18:20" x14ac:dyDescent="0.3">
      <c r="R3391" s="255"/>
      <c r="S3391" s="255"/>
      <c r="T3391" s="255"/>
    </row>
    <row r="3392" spans="18:20" x14ac:dyDescent="0.3">
      <c r="R3392" s="255"/>
      <c r="S3392" s="255"/>
      <c r="T3392" s="255"/>
    </row>
    <row r="3393" spans="18:20" x14ac:dyDescent="0.3">
      <c r="R3393" s="255"/>
      <c r="S3393" s="255"/>
      <c r="T3393" s="255"/>
    </row>
    <row r="3394" spans="18:20" x14ac:dyDescent="0.3">
      <c r="R3394" s="255"/>
      <c r="S3394" s="255"/>
      <c r="T3394" s="255"/>
    </row>
    <row r="3395" spans="18:20" x14ac:dyDescent="0.3">
      <c r="R3395" s="255"/>
      <c r="S3395" s="255"/>
      <c r="T3395" s="255"/>
    </row>
    <row r="3396" spans="18:20" x14ac:dyDescent="0.3">
      <c r="R3396" s="255"/>
      <c r="S3396" s="255"/>
      <c r="T3396" s="255"/>
    </row>
    <row r="3397" spans="18:20" x14ac:dyDescent="0.3">
      <c r="R3397" s="255"/>
      <c r="S3397" s="255"/>
      <c r="T3397" s="255"/>
    </row>
    <row r="3398" spans="18:20" x14ac:dyDescent="0.3">
      <c r="R3398" s="255"/>
      <c r="S3398" s="255"/>
      <c r="T3398" s="255"/>
    </row>
    <row r="3399" spans="18:20" x14ac:dyDescent="0.3">
      <c r="R3399" s="255"/>
      <c r="S3399" s="255"/>
      <c r="T3399" s="255"/>
    </row>
    <row r="3400" spans="18:20" x14ac:dyDescent="0.3">
      <c r="R3400" s="255"/>
      <c r="S3400" s="255"/>
      <c r="T3400" s="255"/>
    </row>
    <row r="3401" spans="18:20" x14ac:dyDescent="0.3">
      <c r="R3401" s="255"/>
      <c r="S3401" s="255"/>
      <c r="T3401" s="255"/>
    </row>
    <row r="3402" spans="18:20" x14ac:dyDescent="0.3">
      <c r="R3402" s="255"/>
      <c r="S3402" s="255"/>
      <c r="T3402" s="255"/>
    </row>
    <row r="3403" spans="18:20" x14ac:dyDescent="0.3">
      <c r="R3403" s="255"/>
      <c r="S3403" s="255"/>
      <c r="T3403" s="255"/>
    </row>
    <row r="3404" spans="18:20" x14ac:dyDescent="0.3">
      <c r="R3404" s="255"/>
      <c r="S3404" s="255"/>
      <c r="T3404" s="255"/>
    </row>
    <row r="3405" spans="18:20" x14ac:dyDescent="0.3">
      <c r="R3405" s="255"/>
      <c r="S3405" s="255"/>
      <c r="T3405" s="255"/>
    </row>
    <row r="3406" spans="18:20" x14ac:dyDescent="0.3">
      <c r="R3406" s="255"/>
      <c r="S3406" s="255"/>
      <c r="T3406" s="255"/>
    </row>
    <row r="3407" spans="18:20" x14ac:dyDescent="0.3">
      <c r="R3407" s="255"/>
      <c r="S3407" s="255"/>
      <c r="T3407" s="255"/>
    </row>
    <row r="3408" spans="18:20" x14ac:dyDescent="0.3">
      <c r="R3408" s="255"/>
      <c r="S3408" s="255"/>
      <c r="T3408" s="255"/>
    </row>
    <row r="3409" spans="18:20" x14ac:dyDescent="0.3">
      <c r="R3409" s="255"/>
      <c r="S3409" s="255"/>
      <c r="T3409" s="255"/>
    </row>
    <row r="3410" spans="18:20" x14ac:dyDescent="0.3">
      <c r="R3410" s="255"/>
      <c r="S3410" s="255"/>
      <c r="T3410" s="255"/>
    </row>
    <row r="3411" spans="18:20" x14ac:dyDescent="0.3">
      <c r="R3411" s="255"/>
      <c r="S3411" s="255"/>
      <c r="T3411" s="255"/>
    </row>
    <row r="3412" spans="18:20" x14ac:dyDescent="0.3">
      <c r="R3412" s="255"/>
      <c r="S3412" s="255"/>
      <c r="T3412" s="255"/>
    </row>
    <row r="3413" spans="18:20" x14ac:dyDescent="0.3">
      <c r="R3413" s="255"/>
      <c r="S3413" s="255"/>
      <c r="T3413" s="255"/>
    </row>
    <row r="3414" spans="18:20" x14ac:dyDescent="0.3">
      <c r="R3414" s="255"/>
      <c r="S3414" s="255"/>
      <c r="T3414" s="255"/>
    </row>
    <row r="3415" spans="18:20" x14ac:dyDescent="0.3">
      <c r="R3415" s="255"/>
      <c r="S3415" s="255"/>
      <c r="T3415" s="255"/>
    </row>
    <row r="3416" spans="18:20" x14ac:dyDescent="0.3">
      <c r="R3416" s="255"/>
      <c r="S3416" s="255"/>
      <c r="T3416" s="255"/>
    </row>
    <row r="3417" spans="18:20" x14ac:dyDescent="0.3">
      <c r="R3417" s="255"/>
      <c r="S3417" s="255"/>
      <c r="T3417" s="255"/>
    </row>
    <row r="3418" spans="18:20" x14ac:dyDescent="0.3">
      <c r="R3418" s="255"/>
      <c r="S3418" s="255"/>
      <c r="T3418" s="255"/>
    </row>
    <row r="3419" spans="18:20" x14ac:dyDescent="0.3">
      <c r="R3419" s="255"/>
      <c r="S3419" s="255"/>
      <c r="T3419" s="255"/>
    </row>
    <row r="3420" spans="18:20" x14ac:dyDescent="0.3">
      <c r="R3420" s="255"/>
      <c r="S3420" s="255"/>
      <c r="T3420" s="255"/>
    </row>
    <row r="3421" spans="18:20" x14ac:dyDescent="0.3">
      <c r="R3421" s="255"/>
      <c r="S3421" s="255"/>
      <c r="T3421" s="255"/>
    </row>
    <row r="3422" spans="18:20" x14ac:dyDescent="0.3">
      <c r="R3422" s="255"/>
      <c r="S3422" s="255"/>
      <c r="T3422" s="255"/>
    </row>
    <row r="3423" spans="18:20" x14ac:dyDescent="0.3">
      <c r="R3423" s="255"/>
      <c r="S3423" s="255"/>
      <c r="T3423" s="255"/>
    </row>
    <row r="3424" spans="18:20" x14ac:dyDescent="0.3">
      <c r="R3424" s="255"/>
      <c r="S3424" s="255"/>
      <c r="T3424" s="255"/>
    </row>
    <row r="3425" spans="18:20" x14ac:dyDescent="0.3">
      <c r="R3425" s="255"/>
      <c r="S3425" s="255"/>
      <c r="T3425" s="255"/>
    </row>
    <row r="3426" spans="18:20" x14ac:dyDescent="0.3">
      <c r="R3426" s="255"/>
      <c r="S3426" s="255"/>
      <c r="T3426" s="255"/>
    </row>
    <row r="3427" spans="18:20" x14ac:dyDescent="0.3">
      <c r="R3427" s="255"/>
      <c r="S3427" s="255"/>
      <c r="T3427" s="255"/>
    </row>
    <row r="3428" spans="18:20" x14ac:dyDescent="0.3">
      <c r="R3428" s="255"/>
      <c r="S3428" s="255"/>
      <c r="T3428" s="255"/>
    </row>
    <row r="3429" spans="18:20" x14ac:dyDescent="0.3">
      <c r="R3429" s="255"/>
      <c r="S3429" s="255"/>
      <c r="T3429" s="255"/>
    </row>
    <row r="3430" spans="18:20" x14ac:dyDescent="0.3">
      <c r="R3430" s="255"/>
      <c r="S3430" s="255"/>
      <c r="T3430" s="255"/>
    </row>
    <row r="3431" spans="18:20" x14ac:dyDescent="0.3">
      <c r="R3431" s="255"/>
      <c r="S3431" s="255"/>
      <c r="T3431" s="255"/>
    </row>
    <row r="3432" spans="18:20" x14ac:dyDescent="0.3">
      <c r="R3432" s="255"/>
      <c r="S3432" s="255"/>
      <c r="T3432" s="255"/>
    </row>
    <row r="3433" spans="18:20" x14ac:dyDescent="0.3">
      <c r="R3433" s="255"/>
      <c r="S3433" s="255"/>
      <c r="T3433" s="255"/>
    </row>
    <row r="3434" spans="18:20" x14ac:dyDescent="0.3">
      <c r="R3434" s="255"/>
      <c r="S3434" s="255"/>
      <c r="T3434" s="255"/>
    </row>
    <row r="3435" spans="18:20" x14ac:dyDescent="0.3">
      <c r="R3435" s="255"/>
      <c r="S3435" s="255"/>
      <c r="T3435" s="255"/>
    </row>
    <row r="3436" spans="18:20" x14ac:dyDescent="0.3">
      <c r="R3436" s="255"/>
      <c r="S3436" s="255"/>
      <c r="T3436" s="255"/>
    </row>
    <row r="3437" spans="18:20" x14ac:dyDescent="0.3">
      <c r="R3437" s="255"/>
      <c r="S3437" s="255"/>
      <c r="T3437" s="255"/>
    </row>
    <row r="3438" spans="18:20" x14ac:dyDescent="0.3">
      <c r="R3438" s="255"/>
      <c r="S3438" s="255"/>
      <c r="T3438" s="255"/>
    </row>
    <row r="3439" spans="18:20" x14ac:dyDescent="0.3">
      <c r="R3439" s="255"/>
      <c r="S3439" s="255"/>
      <c r="T3439" s="255"/>
    </row>
    <row r="3440" spans="18:20" x14ac:dyDescent="0.3">
      <c r="R3440" s="255"/>
      <c r="S3440" s="255"/>
      <c r="T3440" s="255"/>
    </row>
    <row r="3441" spans="18:20" x14ac:dyDescent="0.3">
      <c r="R3441" s="255"/>
      <c r="S3441" s="255"/>
      <c r="T3441" s="255"/>
    </row>
    <row r="3442" spans="18:20" x14ac:dyDescent="0.3">
      <c r="R3442" s="255"/>
      <c r="S3442" s="255"/>
      <c r="T3442" s="255"/>
    </row>
    <row r="3443" spans="18:20" x14ac:dyDescent="0.3">
      <c r="R3443" s="255"/>
      <c r="S3443" s="255"/>
      <c r="T3443" s="255"/>
    </row>
    <row r="3444" spans="18:20" x14ac:dyDescent="0.3">
      <c r="R3444" s="255"/>
      <c r="S3444" s="255"/>
      <c r="T3444" s="255"/>
    </row>
    <row r="3445" spans="18:20" x14ac:dyDescent="0.3">
      <c r="R3445" s="255"/>
      <c r="S3445" s="255"/>
      <c r="T3445" s="255"/>
    </row>
    <row r="3446" spans="18:20" x14ac:dyDescent="0.3">
      <c r="R3446" s="255"/>
      <c r="S3446" s="255"/>
      <c r="T3446" s="255"/>
    </row>
    <row r="3447" spans="18:20" x14ac:dyDescent="0.3">
      <c r="R3447" s="255"/>
      <c r="S3447" s="255"/>
      <c r="T3447" s="255"/>
    </row>
    <row r="3448" spans="18:20" x14ac:dyDescent="0.3">
      <c r="R3448" s="255"/>
      <c r="S3448" s="255"/>
      <c r="T3448" s="255"/>
    </row>
    <row r="3449" spans="18:20" x14ac:dyDescent="0.3">
      <c r="R3449" s="255"/>
      <c r="S3449" s="255"/>
      <c r="T3449" s="255"/>
    </row>
    <row r="3450" spans="18:20" x14ac:dyDescent="0.3">
      <c r="R3450" s="255"/>
      <c r="S3450" s="255"/>
      <c r="T3450" s="255"/>
    </row>
    <row r="3451" spans="18:20" x14ac:dyDescent="0.3">
      <c r="R3451" s="255"/>
      <c r="S3451" s="255"/>
      <c r="T3451" s="255"/>
    </row>
    <row r="3452" spans="18:20" x14ac:dyDescent="0.3">
      <c r="R3452" s="255"/>
      <c r="S3452" s="255"/>
      <c r="T3452" s="255"/>
    </row>
    <row r="3453" spans="18:20" x14ac:dyDescent="0.3">
      <c r="R3453" s="255"/>
      <c r="S3453" s="255"/>
      <c r="T3453" s="255"/>
    </row>
    <row r="3454" spans="18:20" x14ac:dyDescent="0.3">
      <c r="R3454" s="255"/>
      <c r="S3454" s="255"/>
      <c r="T3454" s="255"/>
    </row>
    <row r="3455" spans="18:20" x14ac:dyDescent="0.3">
      <c r="R3455" s="255"/>
      <c r="S3455" s="255"/>
      <c r="T3455" s="255"/>
    </row>
    <row r="3456" spans="18:20" x14ac:dyDescent="0.3">
      <c r="R3456" s="255"/>
      <c r="S3456" s="255"/>
      <c r="T3456" s="255"/>
    </row>
    <row r="3457" spans="18:20" x14ac:dyDescent="0.3">
      <c r="R3457" s="255"/>
      <c r="S3457" s="255"/>
      <c r="T3457" s="255"/>
    </row>
    <row r="3458" spans="18:20" x14ac:dyDescent="0.3">
      <c r="R3458" s="255"/>
      <c r="S3458" s="255"/>
      <c r="T3458" s="255"/>
    </row>
    <row r="3459" spans="18:20" x14ac:dyDescent="0.3">
      <c r="R3459" s="255"/>
      <c r="S3459" s="255"/>
      <c r="T3459" s="255"/>
    </row>
    <row r="3460" spans="18:20" x14ac:dyDescent="0.3">
      <c r="R3460" s="255"/>
      <c r="S3460" s="255"/>
      <c r="T3460" s="255"/>
    </row>
    <row r="3461" spans="18:20" x14ac:dyDescent="0.3">
      <c r="R3461" s="255"/>
      <c r="S3461" s="255"/>
      <c r="T3461" s="255"/>
    </row>
    <row r="3462" spans="18:20" x14ac:dyDescent="0.3">
      <c r="R3462" s="255"/>
      <c r="S3462" s="255"/>
      <c r="T3462" s="255"/>
    </row>
    <row r="3463" spans="18:20" x14ac:dyDescent="0.3">
      <c r="R3463" s="255"/>
      <c r="S3463" s="255"/>
      <c r="T3463" s="255"/>
    </row>
    <row r="3464" spans="18:20" x14ac:dyDescent="0.3">
      <c r="R3464" s="255"/>
      <c r="S3464" s="255"/>
      <c r="T3464" s="255"/>
    </row>
    <row r="3465" spans="18:20" x14ac:dyDescent="0.3">
      <c r="R3465" s="255"/>
      <c r="S3465" s="255"/>
      <c r="T3465" s="255"/>
    </row>
    <row r="3466" spans="18:20" x14ac:dyDescent="0.3">
      <c r="R3466" s="255"/>
      <c r="S3466" s="255"/>
      <c r="T3466" s="255"/>
    </row>
    <row r="3467" spans="18:20" x14ac:dyDescent="0.3">
      <c r="R3467" s="255"/>
      <c r="S3467" s="255"/>
      <c r="T3467" s="255"/>
    </row>
    <row r="3468" spans="18:20" x14ac:dyDescent="0.3">
      <c r="R3468" s="255"/>
      <c r="S3468" s="255"/>
      <c r="T3468" s="255"/>
    </row>
    <row r="3469" spans="18:20" x14ac:dyDescent="0.3">
      <c r="R3469" s="255"/>
      <c r="S3469" s="255"/>
      <c r="T3469" s="255"/>
    </row>
    <row r="3470" spans="18:20" x14ac:dyDescent="0.3">
      <c r="R3470" s="255"/>
      <c r="S3470" s="255"/>
      <c r="T3470" s="255"/>
    </row>
    <row r="3471" spans="18:20" x14ac:dyDescent="0.3">
      <c r="R3471" s="255"/>
      <c r="S3471" s="255"/>
      <c r="T3471" s="255"/>
    </row>
    <row r="3472" spans="18:20" x14ac:dyDescent="0.3">
      <c r="R3472" s="255"/>
      <c r="S3472" s="255"/>
      <c r="T3472" s="255"/>
    </row>
    <row r="3473" spans="18:20" x14ac:dyDescent="0.3">
      <c r="R3473" s="255"/>
      <c r="S3473" s="255"/>
      <c r="T3473" s="255"/>
    </row>
    <row r="3474" spans="18:20" x14ac:dyDescent="0.3">
      <c r="R3474" s="255"/>
      <c r="S3474" s="255"/>
      <c r="T3474" s="255"/>
    </row>
    <row r="3475" spans="18:20" x14ac:dyDescent="0.3">
      <c r="R3475" s="255"/>
      <c r="S3475" s="255"/>
      <c r="T3475" s="255"/>
    </row>
    <row r="3476" spans="18:20" x14ac:dyDescent="0.3">
      <c r="R3476" s="255"/>
      <c r="S3476" s="255"/>
      <c r="T3476" s="255"/>
    </row>
    <row r="3477" spans="18:20" x14ac:dyDescent="0.3">
      <c r="R3477" s="255"/>
      <c r="S3477" s="255"/>
      <c r="T3477" s="255"/>
    </row>
    <row r="3478" spans="18:20" x14ac:dyDescent="0.3">
      <c r="R3478" s="255"/>
      <c r="S3478" s="255"/>
      <c r="T3478" s="255"/>
    </row>
    <row r="3479" spans="18:20" x14ac:dyDescent="0.3">
      <c r="R3479" s="255"/>
      <c r="S3479" s="255"/>
      <c r="T3479" s="255"/>
    </row>
    <row r="3480" spans="18:20" x14ac:dyDescent="0.3">
      <c r="R3480" s="255"/>
      <c r="S3480" s="255"/>
      <c r="T3480" s="255"/>
    </row>
    <row r="3481" spans="18:20" x14ac:dyDescent="0.3">
      <c r="R3481" s="255"/>
      <c r="S3481" s="255"/>
      <c r="T3481" s="255"/>
    </row>
    <row r="3482" spans="18:20" x14ac:dyDescent="0.3">
      <c r="R3482" s="255"/>
      <c r="S3482" s="255"/>
      <c r="T3482" s="255"/>
    </row>
    <row r="3483" spans="18:20" x14ac:dyDescent="0.3">
      <c r="R3483" s="255"/>
      <c r="S3483" s="255"/>
      <c r="T3483" s="255"/>
    </row>
    <row r="3484" spans="18:20" x14ac:dyDescent="0.3">
      <c r="R3484" s="255"/>
      <c r="S3484" s="255"/>
      <c r="T3484" s="255"/>
    </row>
    <row r="3485" spans="18:20" x14ac:dyDescent="0.3">
      <c r="R3485" s="255"/>
      <c r="S3485" s="255"/>
      <c r="T3485" s="255"/>
    </row>
    <row r="3486" spans="18:20" x14ac:dyDescent="0.3">
      <c r="R3486" s="255"/>
      <c r="S3486" s="255"/>
      <c r="T3486" s="255"/>
    </row>
    <row r="3487" spans="18:20" x14ac:dyDescent="0.3">
      <c r="R3487" s="255"/>
      <c r="S3487" s="255"/>
      <c r="T3487" s="255"/>
    </row>
    <row r="3488" spans="18:20" x14ac:dyDescent="0.3">
      <c r="R3488" s="255"/>
      <c r="S3488" s="255"/>
      <c r="T3488" s="255"/>
    </row>
    <row r="3489" spans="18:20" x14ac:dyDescent="0.3">
      <c r="R3489" s="255"/>
      <c r="S3489" s="255"/>
      <c r="T3489" s="255"/>
    </row>
    <row r="3490" spans="18:20" x14ac:dyDescent="0.3">
      <c r="R3490" s="255"/>
      <c r="S3490" s="255"/>
      <c r="T3490" s="255"/>
    </row>
    <row r="3491" spans="18:20" x14ac:dyDescent="0.3">
      <c r="R3491" s="255"/>
      <c r="S3491" s="255"/>
      <c r="T3491" s="255"/>
    </row>
    <row r="3492" spans="18:20" x14ac:dyDescent="0.3">
      <c r="R3492" s="255"/>
      <c r="S3492" s="255"/>
      <c r="T3492" s="255"/>
    </row>
    <row r="3493" spans="18:20" x14ac:dyDescent="0.3">
      <c r="R3493" s="255"/>
      <c r="S3493" s="255"/>
      <c r="T3493" s="255"/>
    </row>
    <row r="3494" spans="18:20" x14ac:dyDescent="0.3">
      <c r="R3494" s="255"/>
      <c r="S3494" s="255"/>
      <c r="T3494" s="255"/>
    </row>
    <row r="3495" spans="18:20" x14ac:dyDescent="0.3">
      <c r="R3495" s="255"/>
      <c r="S3495" s="255"/>
      <c r="T3495" s="255"/>
    </row>
    <row r="3496" spans="18:20" x14ac:dyDescent="0.3">
      <c r="R3496" s="255"/>
      <c r="S3496" s="255"/>
      <c r="T3496" s="255"/>
    </row>
    <row r="3497" spans="18:20" x14ac:dyDescent="0.3">
      <c r="R3497" s="255"/>
      <c r="S3497" s="255"/>
      <c r="T3497" s="255"/>
    </row>
    <row r="3498" spans="18:20" x14ac:dyDescent="0.3">
      <c r="R3498" s="255"/>
      <c r="S3498" s="255"/>
      <c r="T3498" s="255"/>
    </row>
    <row r="3499" spans="18:20" x14ac:dyDescent="0.3">
      <c r="R3499" s="255"/>
      <c r="S3499" s="255"/>
      <c r="T3499" s="255"/>
    </row>
    <row r="3500" spans="18:20" x14ac:dyDescent="0.3">
      <c r="R3500" s="255"/>
      <c r="S3500" s="255"/>
      <c r="T3500" s="255"/>
    </row>
    <row r="3501" spans="18:20" x14ac:dyDescent="0.3">
      <c r="R3501" s="255"/>
      <c r="S3501" s="255"/>
      <c r="T3501" s="255"/>
    </row>
    <row r="3502" spans="18:20" x14ac:dyDescent="0.3">
      <c r="R3502" s="255"/>
      <c r="S3502" s="255"/>
      <c r="T3502" s="255"/>
    </row>
    <row r="3503" spans="18:20" x14ac:dyDescent="0.3">
      <c r="R3503" s="255"/>
      <c r="S3503" s="255"/>
      <c r="T3503" s="255"/>
    </row>
    <row r="3504" spans="18:20" x14ac:dyDescent="0.3">
      <c r="R3504" s="255"/>
      <c r="S3504" s="255"/>
      <c r="T3504" s="255"/>
    </row>
    <row r="3505" spans="18:20" x14ac:dyDescent="0.3">
      <c r="R3505" s="255"/>
      <c r="S3505" s="255"/>
      <c r="T3505" s="255"/>
    </row>
    <row r="3506" spans="18:20" x14ac:dyDescent="0.3">
      <c r="R3506" s="255"/>
      <c r="S3506" s="255"/>
      <c r="T3506" s="255"/>
    </row>
    <row r="3507" spans="18:20" x14ac:dyDescent="0.3">
      <c r="R3507" s="255"/>
      <c r="S3507" s="255"/>
      <c r="T3507" s="255"/>
    </row>
    <row r="3508" spans="18:20" x14ac:dyDescent="0.3">
      <c r="R3508" s="255"/>
      <c r="S3508" s="255"/>
      <c r="T3508" s="255"/>
    </row>
    <row r="3509" spans="18:20" x14ac:dyDescent="0.3">
      <c r="R3509" s="255"/>
      <c r="S3509" s="255"/>
      <c r="T3509" s="255"/>
    </row>
    <row r="3510" spans="18:20" x14ac:dyDescent="0.3">
      <c r="R3510" s="255"/>
      <c r="S3510" s="255"/>
      <c r="T3510" s="255"/>
    </row>
    <row r="3511" spans="18:20" x14ac:dyDescent="0.3">
      <c r="R3511" s="255"/>
      <c r="S3511" s="255"/>
      <c r="T3511" s="255"/>
    </row>
    <row r="3512" spans="18:20" x14ac:dyDescent="0.3">
      <c r="R3512" s="255"/>
      <c r="S3512" s="255"/>
      <c r="T3512" s="255"/>
    </row>
    <row r="3513" spans="18:20" x14ac:dyDescent="0.3">
      <c r="R3513" s="255"/>
      <c r="S3513" s="255"/>
      <c r="T3513" s="255"/>
    </row>
    <row r="3514" spans="18:20" x14ac:dyDescent="0.3">
      <c r="R3514" s="255"/>
      <c r="S3514" s="255"/>
      <c r="T3514" s="255"/>
    </row>
    <row r="3515" spans="18:20" x14ac:dyDescent="0.3">
      <c r="R3515" s="255"/>
      <c r="S3515" s="255"/>
      <c r="T3515" s="255"/>
    </row>
    <row r="3516" spans="18:20" x14ac:dyDescent="0.3">
      <c r="R3516" s="255"/>
      <c r="S3516" s="255"/>
      <c r="T3516" s="255"/>
    </row>
    <row r="3517" spans="18:20" x14ac:dyDescent="0.3">
      <c r="R3517" s="255"/>
      <c r="S3517" s="255"/>
      <c r="T3517" s="255"/>
    </row>
    <row r="3518" spans="18:20" x14ac:dyDescent="0.3">
      <c r="R3518" s="255"/>
      <c r="S3518" s="255"/>
      <c r="T3518" s="255"/>
    </row>
    <row r="3519" spans="18:20" x14ac:dyDescent="0.3">
      <c r="R3519" s="255"/>
      <c r="S3519" s="255"/>
      <c r="T3519" s="255"/>
    </row>
    <row r="3520" spans="18:20" x14ac:dyDescent="0.3">
      <c r="R3520" s="255"/>
      <c r="S3520" s="255"/>
      <c r="T3520" s="255"/>
    </row>
    <row r="3521" spans="18:20" x14ac:dyDescent="0.3">
      <c r="R3521" s="255"/>
      <c r="S3521" s="255"/>
      <c r="T3521" s="255"/>
    </row>
    <row r="3522" spans="18:20" x14ac:dyDescent="0.3">
      <c r="R3522" s="255"/>
      <c r="S3522" s="255"/>
      <c r="T3522" s="255"/>
    </row>
    <row r="3523" spans="18:20" x14ac:dyDescent="0.3">
      <c r="R3523" s="255"/>
      <c r="S3523" s="255"/>
      <c r="T3523" s="255"/>
    </row>
    <row r="3524" spans="18:20" x14ac:dyDescent="0.3">
      <c r="R3524" s="255"/>
      <c r="S3524" s="255"/>
      <c r="T3524" s="255"/>
    </row>
    <row r="3525" spans="18:20" x14ac:dyDescent="0.3">
      <c r="R3525" s="255"/>
      <c r="S3525" s="255"/>
      <c r="T3525" s="255"/>
    </row>
    <row r="3526" spans="18:20" x14ac:dyDescent="0.3">
      <c r="R3526" s="255"/>
      <c r="S3526" s="255"/>
      <c r="T3526" s="255"/>
    </row>
    <row r="3527" spans="18:20" x14ac:dyDescent="0.3">
      <c r="R3527" s="255"/>
      <c r="S3527" s="255"/>
      <c r="T3527" s="255"/>
    </row>
    <row r="3528" spans="18:20" x14ac:dyDescent="0.3">
      <c r="R3528" s="255"/>
      <c r="S3528" s="255"/>
      <c r="T3528" s="255"/>
    </row>
    <row r="3529" spans="18:20" x14ac:dyDescent="0.3">
      <c r="R3529" s="255"/>
      <c r="S3529" s="255"/>
      <c r="T3529" s="255"/>
    </row>
    <row r="3530" spans="18:20" x14ac:dyDescent="0.3">
      <c r="R3530" s="255"/>
      <c r="S3530" s="255"/>
      <c r="T3530" s="255"/>
    </row>
    <row r="3531" spans="18:20" x14ac:dyDescent="0.3">
      <c r="R3531" s="255"/>
      <c r="S3531" s="255"/>
      <c r="T3531" s="255"/>
    </row>
    <row r="3532" spans="18:20" x14ac:dyDescent="0.3">
      <c r="R3532" s="255"/>
      <c r="S3532" s="255"/>
      <c r="T3532" s="255"/>
    </row>
    <row r="3533" spans="18:20" x14ac:dyDescent="0.3">
      <c r="R3533" s="255"/>
      <c r="S3533" s="255"/>
      <c r="T3533" s="255"/>
    </row>
    <row r="3534" spans="18:20" x14ac:dyDescent="0.3">
      <c r="R3534" s="255"/>
      <c r="S3534" s="255"/>
      <c r="T3534" s="255"/>
    </row>
    <row r="3535" spans="18:20" x14ac:dyDescent="0.3">
      <c r="R3535" s="255"/>
      <c r="S3535" s="255"/>
      <c r="T3535" s="255"/>
    </row>
    <row r="3536" spans="18:20" x14ac:dyDescent="0.3">
      <c r="R3536" s="255"/>
      <c r="S3536" s="255"/>
      <c r="T3536" s="255"/>
    </row>
    <row r="3537" spans="18:20" x14ac:dyDescent="0.3">
      <c r="R3537" s="255"/>
      <c r="S3537" s="255"/>
      <c r="T3537" s="255"/>
    </row>
    <row r="3538" spans="18:20" x14ac:dyDescent="0.3">
      <c r="R3538" s="255"/>
      <c r="S3538" s="255"/>
      <c r="T3538" s="255"/>
    </row>
    <row r="3539" spans="18:20" x14ac:dyDescent="0.3">
      <c r="R3539" s="255"/>
      <c r="S3539" s="255"/>
      <c r="T3539" s="255"/>
    </row>
    <row r="3540" spans="18:20" x14ac:dyDescent="0.3">
      <c r="R3540" s="255"/>
      <c r="S3540" s="255"/>
      <c r="T3540" s="255"/>
    </row>
    <row r="3541" spans="18:20" x14ac:dyDescent="0.3">
      <c r="R3541" s="255"/>
      <c r="S3541" s="255"/>
      <c r="T3541" s="255"/>
    </row>
    <row r="3542" spans="18:20" x14ac:dyDescent="0.3">
      <c r="R3542" s="255"/>
      <c r="S3542" s="255"/>
      <c r="T3542" s="255"/>
    </row>
    <row r="3543" spans="18:20" x14ac:dyDescent="0.3">
      <c r="R3543" s="255"/>
      <c r="S3543" s="255"/>
      <c r="T3543" s="255"/>
    </row>
    <row r="3544" spans="18:20" x14ac:dyDescent="0.3">
      <c r="R3544" s="255"/>
      <c r="S3544" s="255"/>
      <c r="T3544" s="255"/>
    </row>
    <row r="3545" spans="18:20" x14ac:dyDescent="0.3">
      <c r="R3545" s="255"/>
      <c r="S3545" s="255"/>
      <c r="T3545" s="255"/>
    </row>
    <row r="3546" spans="18:20" x14ac:dyDescent="0.3">
      <c r="R3546" s="255"/>
      <c r="S3546" s="255"/>
      <c r="T3546" s="255"/>
    </row>
    <row r="3547" spans="18:20" x14ac:dyDescent="0.3">
      <c r="R3547" s="255"/>
      <c r="S3547" s="255"/>
      <c r="T3547" s="255"/>
    </row>
    <row r="3548" spans="18:20" x14ac:dyDescent="0.3">
      <c r="R3548" s="255"/>
      <c r="S3548" s="255"/>
      <c r="T3548" s="255"/>
    </row>
    <row r="3549" spans="18:20" x14ac:dyDescent="0.3">
      <c r="R3549" s="255"/>
      <c r="S3549" s="255"/>
      <c r="T3549" s="255"/>
    </row>
    <row r="3550" spans="18:20" x14ac:dyDescent="0.3">
      <c r="R3550" s="255"/>
      <c r="S3550" s="255"/>
      <c r="T3550" s="255"/>
    </row>
    <row r="3551" spans="18:20" x14ac:dyDescent="0.3">
      <c r="R3551" s="255"/>
      <c r="S3551" s="255"/>
      <c r="T3551" s="255"/>
    </row>
    <row r="3552" spans="18:20" x14ac:dyDescent="0.3">
      <c r="R3552" s="255"/>
      <c r="S3552" s="255"/>
      <c r="T3552" s="255"/>
    </row>
    <row r="3553" spans="18:20" x14ac:dyDescent="0.3">
      <c r="R3553" s="255"/>
      <c r="S3553" s="255"/>
      <c r="T3553" s="255"/>
    </row>
    <row r="3554" spans="18:20" x14ac:dyDescent="0.3">
      <c r="R3554" s="255"/>
      <c r="S3554" s="255"/>
      <c r="T3554" s="255"/>
    </row>
    <row r="3555" spans="18:20" x14ac:dyDescent="0.3">
      <c r="R3555" s="255"/>
      <c r="S3555" s="255"/>
      <c r="T3555" s="255"/>
    </row>
    <row r="3556" spans="18:20" x14ac:dyDescent="0.3">
      <c r="R3556" s="255"/>
      <c r="S3556" s="255"/>
      <c r="T3556" s="255"/>
    </row>
    <row r="3557" spans="18:20" x14ac:dyDescent="0.3">
      <c r="R3557" s="255"/>
      <c r="S3557" s="255"/>
      <c r="T3557" s="255"/>
    </row>
    <row r="3558" spans="18:20" x14ac:dyDescent="0.3">
      <c r="R3558" s="255"/>
      <c r="S3558" s="255"/>
      <c r="T3558" s="255"/>
    </row>
    <row r="3559" spans="18:20" x14ac:dyDescent="0.3">
      <c r="R3559" s="255"/>
      <c r="S3559" s="255"/>
      <c r="T3559" s="255"/>
    </row>
    <row r="3560" spans="18:20" x14ac:dyDescent="0.3">
      <c r="R3560" s="255"/>
      <c r="S3560" s="255"/>
      <c r="T3560" s="255"/>
    </row>
    <row r="3561" spans="18:20" x14ac:dyDescent="0.3">
      <c r="R3561" s="255"/>
      <c r="S3561" s="255"/>
      <c r="T3561" s="255"/>
    </row>
    <row r="3562" spans="18:20" x14ac:dyDescent="0.3">
      <c r="R3562" s="255"/>
      <c r="S3562" s="255"/>
      <c r="T3562" s="255"/>
    </row>
    <row r="3563" spans="18:20" x14ac:dyDescent="0.3">
      <c r="R3563" s="255"/>
      <c r="S3563" s="255"/>
      <c r="T3563" s="255"/>
    </row>
    <row r="3564" spans="18:20" x14ac:dyDescent="0.3">
      <c r="R3564" s="255"/>
      <c r="S3564" s="255"/>
      <c r="T3564" s="255"/>
    </row>
    <row r="3565" spans="18:20" x14ac:dyDescent="0.3">
      <c r="R3565" s="255"/>
      <c r="S3565" s="255"/>
      <c r="T3565" s="255"/>
    </row>
    <row r="3566" spans="18:20" x14ac:dyDescent="0.3">
      <c r="R3566" s="255"/>
      <c r="S3566" s="255"/>
      <c r="T3566" s="255"/>
    </row>
    <row r="3567" spans="18:20" x14ac:dyDescent="0.3">
      <c r="R3567" s="255"/>
      <c r="S3567" s="255"/>
      <c r="T3567" s="255"/>
    </row>
    <row r="3568" spans="18:20" x14ac:dyDescent="0.3">
      <c r="R3568" s="255"/>
      <c r="S3568" s="255"/>
      <c r="T3568" s="255"/>
    </row>
    <row r="3569" spans="18:20" x14ac:dyDescent="0.3">
      <c r="R3569" s="255"/>
      <c r="S3569" s="255"/>
      <c r="T3569" s="255"/>
    </row>
    <row r="3570" spans="18:20" x14ac:dyDescent="0.3">
      <c r="R3570" s="255"/>
      <c r="S3570" s="255"/>
      <c r="T3570" s="255"/>
    </row>
    <row r="3571" spans="18:20" x14ac:dyDescent="0.3">
      <c r="R3571" s="255"/>
      <c r="S3571" s="255"/>
      <c r="T3571" s="255"/>
    </row>
    <row r="3572" spans="18:20" x14ac:dyDescent="0.3">
      <c r="R3572" s="255"/>
      <c r="S3572" s="255"/>
      <c r="T3572" s="255"/>
    </row>
    <row r="3573" spans="18:20" x14ac:dyDescent="0.3">
      <c r="R3573" s="255"/>
      <c r="S3573" s="255"/>
      <c r="T3573" s="255"/>
    </row>
    <row r="3574" spans="18:20" x14ac:dyDescent="0.3">
      <c r="R3574" s="255"/>
      <c r="S3574" s="255"/>
      <c r="T3574" s="255"/>
    </row>
    <row r="3575" spans="18:20" x14ac:dyDescent="0.3">
      <c r="R3575" s="255"/>
      <c r="S3575" s="255"/>
      <c r="T3575" s="255"/>
    </row>
    <row r="3576" spans="18:20" x14ac:dyDescent="0.3">
      <c r="R3576" s="255"/>
      <c r="S3576" s="255"/>
      <c r="T3576" s="255"/>
    </row>
    <row r="3577" spans="18:20" x14ac:dyDescent="0.3">
      <c r="R3577" s="255"/>
      <c r="S3577" s="255"/>
      <c r="T3577" s="255"/>
    </row>
    <row r="3578" spans="18:20" x14ac:dyDescent="0.3">
      <c r="R3578" s="255"/>
      <c r="S3578" s="255"/>
      <c r="T3578" s="255"/>
    </row>
    <row r="3579" spans="18:20" x14ac:dyDescent="0.3">
      <c r="R3579" s="255"/>
      <c r="S3579" s="255"/>
      <c r="T3579" s="255"/>
    </row>
    <row r="3580" spans="18:20" x14ac:dyDescent="0.3">
      <c r="R3580" s="255"/>
      <c r="S3580" s="255"/>
      <c r="T3580" s="255"/>
    </row>
    <row r="3581" spans="18:20" x14ac:dyDescent="0.3">
      <c r="R3581" s="255"/>
      <c r="S3581" s="255"/>
      <c r="T3581" s="255"/>
    </row>
    <row r="3582" spans="18:20" x14ac:dyDescent="0.3">
      <c r="R3582" s="255"/>
      <c r="S3582" s="255"/>
      <c r="T3582" s="255"/>
    </row>
    <row r="3583" spans="18:20" x14ac:dyDescent="0.3">
      <c r="R3583" s="255"/>
      <c r="S3583" s="255"/>
      <c r="T3583" s="255"/>
    </row>
    <row r="3584" spans="18:20" x14ac:dyDescent="0.3">
      <c r="R3584" s="255"/>
      <c r="S3584" s="255"/>
      <c r="T3584" s="255"/>
    </row>
    <row r="3585" spans="18:20" x14ac:dyDescent="0.3">
      <c r="R3585" s="255"/>
      <c r="S3585" s="255"/>
      <c r="T3585" s="255"/>
    </row>
    <row r="3586" spans="18:20" x14ac:dyDescent="0.3">
      <c r="R3586" s="255"/>
      <c r="S3586" s="255"/>
      <c r="T3586" s="255"/>
    </row>
    <row r="3587" spans="18:20" x14ac:dyDescent="0.3">
      <c r="R3587" s="255"/>
      <c r="S3587" s="255"/>
      <c r="T3587" s="255"/>
    </row>
    <row r="3588" spans="18:20" x14ac:dyDescent="0.3">
      <c r="R3588" s="255"/>
      <c r="S3588" s="255"/>
      <c r="T3588" s="255"/>
    </row>
    <row r="3589" spans="18:20" x14ac:dyDescent="0.3">
      <c r="R3589" s="255"/>
      <c r="S3589" s="255"/>
      <c r="T3589" s="255"/>
    </row>
    <row r="3590" spans="18:20" x14ac:dyDescent="0.3">
      <c r="R3590" s="255"/>
      <c r="S3590" s="255"/>
      <c r="T3590" s="255"/>
    </row>
    <row r="3591" spans="18:20" x14ac:dyDescent="0.3">
      <c r="R3591" s="255"/>
      <c r="S3591" s="255"/>
      <c r="T3591" s="255"/>
    </row>
    <row r="3592" spans="18:20" x14ac:dyDescent="0.3">
      <c r="R3592" s="255"/>
      <c r="S3592" s="255"/>
      <c r="T3592" s="255"/>
    </row>
    <row r="3593" spans="18:20" x14ac:dyDescent="0.3">
      <c r="R3593" s="255"/>
      <c r="S3593" s="255"/>
      <c r="T3593" s="255"/>
    </row>
    <row r="3594" spans="18:20" x14ac:dyDescent="0.3">
      <c r="R3594" s="255"/>
      <c r="S3594" s="255"/>
      <c r="T3594" s="255"/>
    </row>
    <row r="3595" spans="18:20" x14ac:dyDescent="0.3">
      <c r="R3595" s="255"/>
      <c r="S3595" s="255"/>
      <c r="T3595" s="255"/>
    </row>
    <row r="3596" spans="18:20" x14ac:dyDescent="0.3">
      <c r="R3596" s="255"/>
      <c r="S3596" s="255"/>
      <c r="T3596" s="255"/>
    </row>
    <row r="3597" spans="18:20" x14ac:dyDescent="0.3">
      <c r="R3597" s="255"/>
      <c r="S3597" s="255"/>
      <c r="T3597" s="255"/>
    </row>
    <row r="3598" spans="18:20" x14ac:dyDescent="0.3">
      <c r="R3598" s="255"/>
      <c r="S3598" s="255"/>
      <c r="T3598" s="255"/>
    </row>
    <row r="3599" spans="18:20" x14ac:dyDescent="0.3">
      <c r="R3599" s="255"/>
      <c r="S3599" s="255"/>
      <c r="T3599" s="255"/>
    </row>
    <row r="3600" spans="18:20" x14ac:dyDescent="0.3">
      <c r="R3600" s="255"/>
      <c r="S3600" s="255"/>
      <c r="T3600" s="255"/>
    </row>
    <row r="3601" spans="18:20" x14ac:dyDescent="0.3">
      <c r="R3601" s="255"/>
      <c r="S3601" s="255"/>
      <c r="T3601" s="255"/>
    </row>
    <row r="3602" spans="18:20" x14ac:dyDescent="0.3">
      <c r="R3602" s="255"/>
      <c r="S3602" s="255"/>
      <c r="T3602" s="255"/>
    </row>
    <row r="3603" spans="18:20" x14ac:dyDescent="0.3">
      <c r="R3603" s="255"/>
      <c r="S3603" s="255"/>
      <c r="T3603" s="255"/>
    </row>
    <row r="3604" spans="18:20" x14ac:dyDescent="0.3">
      <c r="R3604" s="255"/>
      <c r="S3604" s="255"/>
      <c r="T3604" s="255"/>
    </row>
    <row r="3605" spans="18:20" x14ac:dyDescent="0.3">
      <c r="R3605" s="255"/>
      <c r="S3605" s="255"/>
      <c r="T3605" s="255"/>
    </row>
    <row r="3606" spans="18:20" x14ac:dyDescent="0.3">
      <c r="R3606" s="255"/>
      <c r="S3606" s="255"/>
      <c r="T3606" s="255"/>
    </row>
    <row r="3607" spans="18:20" x14ac:dyDescent="0.3">
      <c r="R3607" s="255"/>
      <c r="S3607" s="255"/>
      <c r="T3607" s="255"/>
    </row>
    <row r="3608" spans="18:20" x14ac:dyDescent="0.3">
      <c r="R3608" s="255"/>
      <c r="S3608" s="255"/>
      <c r="T3608" s="255"/>
    </row>
    <row r="3609" spans="18:20" x14ac:dyDescent="0.3">
      <c r="R3609" s="255"/>
      <c r="S3609" s="255"/>
      <c r="T3609" s="255"/>
    </row>
    <row r="3610" spans="18:20" x14ac:dyDescent="0.3">
      <c r="R3610" s="255"/>
      <c r="S3610" s="255"/>
      <c r="T3610" s="255"/>
    </row>
    <row r="3611" spans="18:20" x14ac:dyDescent="0.3">
      <c r="R3611" s="255"/>
      <c r="S3611" s="255"/>
      <c r="T3611" s="255"/>
    </row>
    <row r="3612" spans="18:20" x14ac:dyDescent="0.3">
      <c r="R3612" s="255"/>
      <c r="S3612" s="255"/>
      <c r="T3612" s="255"/>
    </row>
    <row r="3613" spans="18:20" x14ac:dyDescent="0.3">
      <c r="R3613" s="255"/>
      <c r="S3613" s="255"/>
      <c r="T3613" s="255"/>
    </row>
    <row r="3614" spans="18:20" x14ac:dyDescent="0.3">
      <c r="R3614" s="255"/>
      <c r="S3614" s="255"/>
      <c r="T3614" s="255"/>
    </row>
    <row r="3615" spans="18:20" x14ac:dyDescent="0.3">
      <c r="R3615" s="255"/>
      <c r="S3615" s="255"/>
      <c r="T3615" s="255"/>
    </row>
    <row r="3616" spans="18:20" x14ac:dyDescent="0.3">
      <c r="R3616" s="255"/>
      <c r="S3616" s="255"/>
      <c r="T3616" s="255"/>
    </row>
    <row r="3617" spans="18:20" x14ac:dyDescent="0.3">
      <c r="R3617" s="255"/>
      <c r="S3617" s="255"/>
      <c r="T3617" s="255"/>
    </row>
    <row r="3618" spans="18:20" x14ac:dyDescent="0.3">
      <c r="R3618" s="255"/>
      <c r="S3618" s="255"/>
      <c r="T3618" s="255"/>
    </row>
    <row r="3619" spans="18:20" x14ac:dyDescent="0.3">
      <c r="R3619" s="255"/>
      <c r="S3619" s="255"/>
      <c r="T3619" s="255"/>
    </row>
    <row r="3620" spans="18:20" x14ac:dyDescent="0.3">
      <c r="R3620" s="255"/>
      <c r="S3620" s="255"/>
      <c r="T3620" s="255"/>
    </row>
    <row r="3621" spans="18:20" x14ac:dyDescent="0.3">
      <c r="R3621" s="255"/>
      <c r="S3621" s="255"/>
      <c r="T3621" s="255"/>
    </row>
    <row r="3622" spans="18:20" x14ac:dyDescent="0.3">
      <c r="R3622" s="255"/>
      <c r="S3622" s="255"/>
      <c r="T3622" s="255"/>
    </row>
    <row r="3623" spans="18:20" x14ac:dyDescent="0.3">
      <c r="R3623" s="255"/>
      <c r="S3623" s="255"/>
      <c r="T3623" s="255"/>
    </row>
    <row r="3624" spans="18:20" x14ac:dyDescent="0.3">
      <c r="R3624" s="255"/>
      <c r="S3624" s="255"/>
      <c r="T3624" s="255"/>
    </row>
    <row r="3625" spans="18:20" x14ac:dyDescent="0.3">
      <c r="R3625" s="255"/>
      <c r="S3625" s="255"/>
      <c r="T3625" s="255"/>
    </row>
    <row r="3626" spans="18:20" x14ac:dyDescent="0.3">
      <c r="R3626" s="255"/>
      <c r="S3626" s="255"/>
      <c r="T3626" s="255"/>
    </row>
    <row r="3627" spans="18:20" x14ac:dyDescent="0.3">
      <c r="R3627" s="255"/>
      <c r="S3627" s="255"/>
      <c r="T3627" s="255"/>
    </row>
    <row r="3628" spans="18:20" x14ac:dyDescent="0.3">
      <c r="R3628" s="255"/>
      <c r="S3628" s="255"/>
      <c r="T3628" s="255"/>
    </row>
    <row r="3629" spans="18:20" x14ac:dyDescent="0.3">
      <c r="R3629" s="255"/>
      <c r="S3629" s="255"/>
      <c r="T3629" s="255"/>
    </row>
    <row r="3630" spans="18:20" x14ac:dyDescent="0.3">
      <c r="R3630" s="255"/>
      <c r="S3630" s="255"/>
      <c r="T3630" s="255"/>
    </row>
    <row r="3631" spans="18:20" x14ac:dyDescent="0.3">
      <c r="R3631" s="255"/>
      <c r="S3631" s="255"/>
      <c r="T3631" s="255"/>
    </row>
    <row r="3632" spans="18:20" x14ac:dyDescent="0.3">
      <c r="R3632" s="255"/>
      <c r="S3632" s="255"/>
      <c r="T3632" s="255"/>
    </row>
    <row r="3633" spans="18:20" x14ac:dyDescent="0.3">
      <c r="R3633" s="255"/>
      <c r="S3633" s="255"/>
      <c r="T3633" s="255"/>
    </row>
    <row r="3634" spans="18:20" x14ac:dyDescent="0.3">
      <c r="R3634" s="255"/>
      <c r="S3634" s="255"/>
      <c r="T3634" s="255"/>
    </row>
    <row r="3635" spans="18:20" x14ac:dyDescent="0.3">
      <c r="R3635" s="255"/>
      <c r="S3635" s="255"/>
      <c r="T3635" s="255"/>
    </row>
    <row r="3636" spans="18:20" x14ac:dyDescent="0.3">
      <c r="R3636" s="255"/>
      <c r="S3636" s="255"/>
      <c r="T3636" s="255"/>
    </row>
    <row r="3637" spans="18:20" x14ac:dyDescent="0.3">
      <c r="R3637" s="255"/>
      <c r="S3637" s="255"/>
      <c r="T3637" s="255"/>
    </row>
    <row r="3638" spans="18:20" x14ac:dyDescent="0.3">
      <c r="R3638" s="255"/>
      <c r="S3638" s="255"/>
      <c r="T3638" s="255"/>
    </row>
    <row r="3639" spans="18:20" x14ac:dyDescent="0.3">
      <c r="R3639" s="255"/>
      <c r="S3639" s="255"/>
      <c r="T3639" s="255"/>
    </row>
    <row r="3640" spans="18:20" x14ac:dyDescent="0.3">
      <c r="R3640" s="255"/>
      <c r="S3640" s="255"/>
      <c r="T3640" s="255"/>
    </row>
    <row r="3641" spans="18:20" x14ac:dyDescent="0.3">
      <c r="R3641" s="255"/>
      <c r="S3641" s="255"/>
      <c r="T3641" s="255"/>
    </row>
    <row r="3642" spans="18:20" x14ac:dyDescent="0.3">
      <c r="R3642" s="255"/>
      <c r="S3642" s="255"/>
      <c r="T3642" s="255"/>
    </row>
    <row r="3643" spans="18:20" x14ac:dyDescent="0.3">
      <c r="R3643" s="255"/>
      <c r="S3643" s="255"/>
      <c r="T3643" s="255"/>
    </row>
    <row r="3644" spans="18:20" x14ac:dyDescent="0.3">
      <c r="R3644" s="255"/>
      <c r="S3644" s="255"/>
      <c r="T3644" s="255"/>
    </row>
    <row r="3645" spans="18:20" x14ac:dyDescent="0.3">
      <c r="R3645" s="255"/>
      <c r="S3645" s="255"/>
      <c r="T3645" s="255"/>
    </row>
    <row r="3646" spans="18:20" x14ac:dyDescent="0.3">
      <c r="R3646" s="255"/>
      <c r="S3646" s="255"/>
      <c r="T3646" s="255"/>
    </row>
    <row r="3647" spans="18:20" x14ac:dyDescent="0.3">
      <c r="R3647" s="255"/>
      <c r="S3647" s="255"/>
      <c r="T3647" s="255"/>
    </row>
    <row r="3648" spans="18:20" x14ac:dyDescent="0.3">
      <c r="R3648" s="255"/>
      <c r="S3648" s="255"/>
      <c r="T3648" s="255"/>
    </row>
    <row r="3649" spans="18:20" x14ac:dyDescent="0.3">
      <c r="R3649" s="255"/>
      <c r="S3649" s="255"/>
      <c r="T3649" s="255"/>
    </row>
    <row r="3650" spans="18:20" x14ac:dyDescent="0.3">
      <c r="R3650" s="255"/>
      <c r="S3650" s="255"/>
      <c r="T3650" s="255"/>
    </row>
    <row r="3651" spans="18:20" x14ac:dyDescent="0.3">
      <c r="R3651" s="255"/>
      <c r="S3651" s="255"/>
      <c r="T3651" s="255"/>
    </row>
    <row r="3652" spans="18:20" x14ac:dyDescent="0.3">
      <c r="R3652" s="255"/>
      <c r="S3652" s="255"/>
      <c r="T3652" s="255"/>
    </row>
    <row r="3653" spans="18:20" x14ac:dyDescent="0.3">
      <c r="R3653" s="255"/>
      <c r="S3653" s="255"/>
      <c r="T3653" s="255"/>
    </row>
    <row r="3654" spans="18:20" x14ac:dyDescent="0.3">
      <c r="R3654" s="255"/>
      <c r="S3654" s="255"/>
      <c r="T3654" s="255"/>
    </row>
    <row r="3655" spans="18:20" x14ac:dyDescent="0.3">
      <c r="R3655" s="255"/>
      <c r="S3655" s="255"/>
      <c r="T3655" s="255"/>
    </row>
    <row r="3656" spans="18:20" x14ac:dyDescent="0.3">
      <c r="R3656" s="255"/>
      <c r="S3656" s="255"/>
      <c r="T3656" s="255"/>
    </row>
    <row r="3657" spans="18:20" x14ac:dyDescent="0.3">
      <c r="R3657" s="255"/>
      <c r="S3657" s="255"/>
      <c r="T3657" s="255"/>
    </row>
    <row r="3658" spans="18:20" x14ac:dyDescent="0.3">
      <c r="R3658" s="255"/>
      <c r="S3658" s="255"/>
      <c r="T3658" s="255"/>
    </row>
    <row r="3659" spans="18:20" x14ac:dyDescent="0.3">
      <c r="R3659" s="255"/>
      <c r="S3659" s="255"/>
      <c r="T3659" s="255"/>
    </row>
    <row r="3660" spans="18:20" x14ac:dyDescent="0.3">
      <c r="R3660" s="255"/>
      <c r="S3660" s="255"/>
      <c r="T3660" s="255"/>
    </row>
    <row r="3661" spans="18:20" x14ac:dyDescent="0.3">
      <c r="R3661" s="255"/>
      <c r="S3661" s="255"/>
      <c r="T3661" s="255"/>
    </row>
    <row r="3662" spans="18:20" x14ac:dyDescent="0.3">
      <c r="R3662" s="255"/>
      <c r="S3662" s="255"/>
      <c r="T3662" s="255"/>
    </row>
    <row r="3663" spans="18:20" x14ac:dyDescent="0.3">
      <c r="R3663" s="255"/>
      <c r="S3663" s="255"/>
      <c r="T3663" s="255"/>
    </row>
    <row r="3664" spans="18:20" x14ac:dyDescent="0.3">
      <c r="R3664" s="255"/>
      <c r="S3664" s="255"/>
      <c r="T3664" s="255"/>
    </row>
    <row r="3665" spans="18:20" x14ac:dyDescent="0.3">
      <c r="R3665" s="255"/>
      <c r="S3665" s="255"/>
      <c r="T3665" s="255"/>
    </row>
    <row r="3666" spans="18:20" x14ac:dyDescent="0.3">
      <c r="R3666" s="255"/>
      <c r="S3666" s="255"/>
      <c r="T3666" s="255"/>
    </row>
    <row r="3667" spans="18:20" x14ac:dyDescent="0.3">
      <c r="R3667" s="255"/>
      <c r="S3667" s="255"/>
      <c r="T3667" s="255"/>
    </row>
    <row r="3668" spans="18:20" x14ac:dyDescent="0.3">
      <c r="R3668" s="255"/>
      <c r="S3668" s="255"/>
      <c r="T3668" s="255"/>
    </row>
    <row r="3669" spans="18:20" x14ac:dyDescent="0.3">
      <c r="R3669" s="255"/>
      <c r="S3669" s="255"/>
      <c r="T3669" s="255"/>
    </row>
    <row r="3670" spans="18:20" x14ac:dyDescent="0.3">
      <c r="R3670" s="255"/>
      <c r="S3670" s="255"/>
      <c r="T3670" s="255"/>
    </row>
    <row r="3671" spans="18:20" x14ac:dyDescent="0.3">
      <c r="R3671" s="255"/>
      <c r="S3671" s="255"/>
      <c r="T3671" s="255"/>
    </row>
    <row r="3672" spans="18:20" x14ac:dyDescent="0.3">
      <c r="R3672" s="255"/>
      <c r="S3672" s="255"/>
      <c r="T3672" s="255"/>
    </row>
    <row r="3673" spans="18:20" x14ac:dyDescent="0.3">
      <c r="R3673" s="255"/>
      <c r="S3673" s="255"/>
      <c r="T3673" s="255"/>
    </row>
    <row r="3674" spans="18:20" x14ac:dyDescent="0.3">
      <c r="R3674" s="255"/>
      <c r="S3674" s="255"/>
      <c r="T3674" s="255"/>
    </row>
    <row r="3675" spans="18:20" x14ac:dyDescent="0.3">
      <c r="R3675" s="255"/>
      <c r="S3675" s="255"/>
      <c r="T3675" s="255"/>
    </row>
    <row r="3676" spans="18:20" x14ac:dyDescent="0.3">
      <c r="R3676" s="255"/>
      <c r="S3676" s="255"/>
      <c r="T3676" s="255"/>
    </row>
    <row r="3677" spans="18:20" x14ac:dyDescent="0.3">
      <c r="R3677" s="255"/>
      <c r="S3677" s="255"/>
      <c r="T3677" s="255"/>
    </row>
    <row r="3678" spans="18:20" x14ac:dyDescent="0.3">
      <c r="R3678" s="255"/>
      <c r="S3678" s="255"/>
      <c r="T3678" s="255"/>
    </row>
    <row r="3679" spans="18:20" x14ac:dyDescent="0.3">
      <c r="R3679" s="255"/>
      <c r="S3679" s="255"/>
      <c r="T3679" s="255"/>
    </row>
    <row r="3680" spans="18:20" x14ac:dyDescent="0.3">
      <c r="R3680" s="255"/>
      <c r="S3680" s="255"/>
      <c r="T3680" s="255"/>
    </row>
    <row r="3681" spans="18:20" x14ac:dyDescent="0.3">
      <c r="R3681" s="255"/>
      <c r="S3681" s="255"/>
      <c r="T3681" s="255"/>
    </row>
    <row r="3682" spans="18:20" x14ac:dyDescent="0.3">
      <c r="R3682" s="255"/>
      <c r="S3682" s="255"/>
      <c r="T3682" s="255"/>
    </row>
    <row r="3683" spans="18:20" x14ac:dyDescent="0.3">
      <c r="R3683" s="255"/>
      <c r="S3683" s="255"/>
      <c r="T3683" s="255"/>
    </row>
    <row r="3684" spans="18:20" x14ac:dyDescent="0.3">
      <c r="R3684" s="255"/>
      <c r="S3684" s="255"/>
      <c r="T3684" s="255"/>
    </row>
    <row r="3685" spans="18:20" x14ac:dyDescent="0.3">
      <c r="R3685" s="255"/>
      <c r="S3685" s="255"/>
      <c r="T3685" s="255"/>
    </row>
    <row r="3686" spans="18:20" x14ac:dyDescent="0.3">
      <c r="R3686" s="255"/>
      <c r="S3686" s="255"/>
      <c r="T3686" s="255"/>
    </row>
    <row r="3687" spans="18:20" x14ac:dyDescent="0.3">
      <c r="R3687" s="255"/>
      <c r="S3687" s="255"/>
      <c r="T3687" s="255"/>
    </row>
    <row r="3688" spans="18:20" x14ac:dyDescent="0.3">
      <c r="R3688" s="255"/>
      <c r="S3688" s="255"/>
      <c r="T3688" s="255"/>
    </row>
    <row r="3689" spans="18:20" x14ac:dyDescent="0.3">
      <c r="R3689" s="255"/>
      <c r="S3689" s="255"/>
      <c r="T3689" s="255"/>
    </row>
    <row r="3690" spans="18:20" x14ac:dyDescent="0.3">
      <c r="R3690" s="255"/>
      <c r="S3690" s="255"/>
      <c r="T3690" s="255"/>
    </row>
    <row r="3691" spans="18:20" x14ac:dyDescent="0.3">
      <c r="R3691" s="255"/>
      <c r="S3691" s="255"/>
      <c r="T3691" s="255"/>
    </row>
    <row r="3692" spans="18:20" x14ac:dyDescent="0.3">
      <c r="R3692" s="255"/>
      <c r="S3692" s="255"/>
      <c r="T3692" s="255"/>
    </row>
    <row r="3693" spans="18:20" x14ac:dyDescent="0.3">
      <c r="R3693" s="255"/>
      <c r="S3693" s="255"/>
      <c r="T3693" s="255"/>
    </row>
    <row r="3694" spans="18:20" x14ac:dyDescent="0.3">
      <c r="R3694" s="255"/>
      <c r="S3694" s="255"/>
      <c r="T3694" s="255"/>
    </row>
    <row r="3695" spans="18:20" x14ac:dyDescent="0.3">
      <c r="R3695" s="255"/>
      <c r="S3695" s="255"/>
      <c r="T3695" s="255"/>
    </row>
    <row r="3696" spans="18:20" x14ac:dyDescent="0.3">
      <c r="R3696" s="255"/>
      <c r="S3696" s="255"/>
      <c r="T3696" s="255"/>
    </row>
    <row r="3697" spans="18:20" x14ac:dyDescent="0.3">
      <c r="R3697" s="255"/>
      <c r="S3697" s="255"/>
      <c r="T3697" s="255"/>
    </row>
    <row r="3698" spans="18:20" x14ac:dyDescent="0.3">
      <c r="R3698" s="255"/>
      <c r="S3698" s="255"/>
      <c r="T3698" s="255"/>
    </row>
    <row r="3699" spans="18:20" x14ac:dyDescent="0.3">
      <c r="R3699" s="255"/>
      <c r="S3699" s="255"/>
      <c r="T3699" s="255"/>
    </row>
    <row r="3700" spans="18:20" x14ac:dyDescent="0.3">
      <c r="R3700" s="255"/>
      <c r="S3700" s="255"/>
      <c r="T3700" s="255"/>
    </row>
    <row r="3701" spans="18:20" x14ac:dyDescent="0.3">
      <c r="R3701" s="255"/>
      <c r="S3701" s="255"/>
      <c r="T3701" s="255"/>
    </row>
    <row r="3702" spans="18:20" x14ac:dyDescent="0.3">
      <c r="R3702" s="255"/>
      <c r="S3702" s="255"/>
      <c r="T3702" s="255"/>
    </row>
    <row r="3703" spans="18:20" x14ac:dyDescent="0.3">
      <c r="R3703" s="255"/>
      <c r="S3703" s="255"/>
      <c r="T3703" s="255"/>
    </row>
    <row r="3704" spans="18:20" x14ac:dyDescent="0.3">
      <c r="R3704" s="255"/>
      <c r="S3704" s="255"/>
      <c r="T3704" s="255"/>
    </row>
    <row r="3705" spans="18:20" x14ac:dyDescent="0.3">
      <c r="R3705" s="255"/>
      <c r="S3705" s="255"/>
      <c r="T3705" s="255"/>
    </row>
    <row r="3706" spans="18:20" x14ac:dyDescent="0.3">
      <c r="R3706" s="255"/>
      <c r="S3706" s="255"/>
      <c r="T3706" s="255"/>
    </row>
    <row r="3707" spans="18:20" x14ac:dyDescent="0.3">
      <c r="R3707" s="255"/>
      <c r="S3707" s="255"/>
      <c r="T3707" s="255"/>
    </row>
    <row r="3708" spans="18:20" x14ac:dyDescent="0.3">
      <c r="R3708" s="255"/>
      <c r="S3708" s="255"/>
      <c r="T3708" s="255"/>
    </row>
    <row r="3709" spans="18:20" x14ac:dyDescent="0.3">
      <c r="R3709" s="255"/>
      <c r="S3709" s="255"/>
      <c r="T3709" s="255"/>
    </row>
    <row r="3710" spans="18:20" x14ac:dyDescent="0.3">
      <c r="R3710" s="255"/>
      <c r="S3710" s="255"/>
      <c r="T3710" s="255"/>
    </row>
    <row r="3711" spans="18:20" x14ac:dyDescent="0.3">
      <c r="R3711" s="255"/>
      <c r="S3711" s="255"/>
      <c r="T3711" s="255"/>
    </row>
    <row r="3712" spans="18:20" x14ac:dyDescent="0.3">
      <c r="R3712" s="255"/>
      <c r="S3712" s="255"/>
      <c r="T3712" s="255"/>
    </row>
    <row r="3713" spans="18:20" x14ac:dyDescent="0.3">
      <c r="R3713" s="255"/>
      <c r="S3713" s="255"/>
      <c r="T3713" s="255"/>
    </row>
    <row r="3714" spans="18:20" x14ac:dyDescent="0.3">
      <c r="R3714" s="255"/>
      <c r="S3714" s="255"/>
      <c r="T3714" s="255"/>
    </row>
    <row r="3715" spans="18:20" x14ac:dyDescent="0.3">
      <c r="R3715" s="255"/>
      <c r="S3715" s="255"/>
      <c r="T3715" s="255"/>
    </row>
    <row r="3716" spans="18:20" x14ac:dyDescent="0.3">
      <c r="R3716" s="255"/>
      <c r="S3716" s="255"/>
      <c r="T3716" s="255"/>
    </row>
    <row r="3717" spans="18:20" x14ac:dyDescent="0.3">
      <c r="R3717" s="255"/>
      <c r="S3717" s="255"/>
      <c r="T3717" s="255"/>
    </row>
    <row r="3718" spans="18:20" x14ac:dyDescent="0.3">
      <c r="R3718" s="255"/>
      <c r="S3718" s="255"/>
      <c r="T3718" s="255"/>
    </row>
    <row r="3719" spans="18:20" x14ac:dyDescent="0.3">
      <c r="R3719" s="255"/>
      <c r="S3719" s="255"/>
      <c r="T3719" s="255"/>
    </row>
    <row r="3720" spans="18:20" x14ac:dyDescent="0.3">
      <c r="R3720" s="255"/>
      <c r="S3720" s="255"/>
      <c r="T3720" s="255"/>
    </row>
    <row r="3721" spans="18:20" x14ac:dyDescent="0.3">
      <c r="R3721" s="255"/>
      <c r="S3721" s="255"/>
      <c r="T3721" s="255"/>
    </row>
    <row r="3722" spans="18:20" x14ac:dyDescent="0.3">
      <c r="R3722" s="255"/>
      <c r="S3722" s="255"/>
      <c r="T3722" s="255"/>
    </row>
    <row r="3723" spans="18:20" x14ac:dyDescent="0.3">
      <c r="R3723" s="255"/>
      <c r="S3723" s="255"/>
      <c r="T3723" s="255"/>
    </row>
    <row r="3724" spans="18:20" x14ac:dyDescent="0.3">
      <c r="R3724" s="255"/>
      <c r="S3724" s="255"/>
      <c r="T3724" s="255"/>
    </row>
    <row r="3725" spans="18:20" x14ac:dyDescent="0.3">
      <c r="R3725" s="255"/>
      <c r="S3725" s="255"/>
      <c r="T3725" s="255"/>
    </row>
    <row r="3726" spans="18:20" x14ac:dyDescent="0.3">
      <c r="R3726" s="255"/>
      <c r="S3726" s="255"/>
      <c r="T3726" s="255"/>
    </row>
    <row r="3727" spans="18:20" x14ac:dyDescent="0.3">
      <c r="R3727" s="255"/>
      <c r="S3727" s="255"/>
      <c r="T3727" s="255"/>
    </row>
    <row r="3728" spans="18:20" x14ac:dyDescent="0.3">
      <c r="R3728" s="255"/>
      <c r="S3728" s="255"/>
      <c r="T3728" s="255"/>
    </row>
    <row r="3729" spans="18:20" x14ac:dyDescent="0.3">
      <c r="R3729" s="255"/>
      <c r="S3729" s="255"/>
      <c r="T3729" s="255"/>
    </row>
    <row r="3730" spans="18:20" x14ac:dyDescent="0.3">
      <c r="R3730" s="255"/>
      <c r="S3730" s="255"/>
      <c r="T3730" s="255"/>
    </row>
    <row r="3731" spans="18:20" x14ac:dyDescent="0.3">
      <c r="R3731" s="255"/>
      <c r="S3731" s="255"/>
      <c r="T3731" s="255"/>
    </row>
    <row r="3732" spans="18:20" x14ac:dyDescent="0.3">
      <c r="R3732" s="255"/>
      <c r="S3732" s="255"/>
      <c r="T3732" s="255"/>
    </row>
    <row r="3733" spans="18:20" x14ac:dyDescent="0.3">
      <c r="R3733" s="255"/>
      <c r="S3733" s="255"/>
      <c r="T3733" s="255"/>
    </row>
    <row r="3734" spans="18:20" x14ac:dyDescent="0.3">
      <c r="R3734" s="255"/>
      <c r="S3734" s="255"/>
      <c r="T3734" s="255"/>
    </row>
    <row r="3735" spans="18:20" x14ac:dyDescent="0.3">
      <c r="R3735" s="255"/>
      <c r="S3735" s="255"/>
      <c r="T3735" s="255"/>
    </row>
    <row r="3736" spans="18:20" x14ac:dyDescent="0.3">
      <c r="R3736" s="255"/>
      <c r="S3736" s="255"/>
      <c r="T3736" s="255"/>
    </row>
    <row r="3737" spans="18:20" x14ac:dyDescent="0.3">
      <c r="R3737" s="255"/>
      <c r="S3737" s="255"/>
      <c r="T3737" s="255"/>
    </row>
    <row r="3738" spans="18:20" x14ac:dyDescent="0.3">
      <c r="R3738" s="255"/>
      <c r="S3738" s="255"/>
      <c r="T3738" s="255"/>
    </row>
    <row r="3739" spans="18:20" x14ac:dyDescent="0.3">
      <c r="R3739" s="255"/>
      <c r="S3739" s="255"/>
      <c r="T3739" s="255"/>
    </row>
    <row r="3740" spans="18:20" x14ac:dyDescent="0.3">
      <c r="R3740" s="255"/>
      <c r="S3740" s="255"/>
      <c r="T3740" s="255"/>
    </row>
    <row r="3741" spans="18:20" x14ac:dyDescent="0.3">
      <c r="R3741" s="255"/>
      <c r="S3741" s="255"/>
      <c r="T3741" s="255"/>
    </row>
    <row r="3742" spans="18:20" x14ac:dyDescent="0.3">
      <c r="R3742" s="255"/>
      <c r="S3742" s="255"/>
      <c r="T3742" s="255"/>
    </row>
    <row r="3743" spans="18:20" x14ac:dyDescent="0.3">
      <c r="R3743" s="255"/>
      <c r="S3743" s="255"/>
      <c r="T3743" s="255"/>
    </row>
    <row r="3744" spans="18:20" x14ac:dyDescent="0.3">
      <c r="R3744" s="255"/>
      <c r="S3744" s="255"/>
      <c r="T3744" s="255"/>
    </row>
    <row r="3745" spans="18:20" x14ac:dyDescent="0.3">
      <c r="R3745" s="255"/>
      <c r="S3745" s="255"/>
      <c r="T3745" s="255"/>
    </row>
    <row r="3746" spans="18:20" x14ac:dyDescent="0.3">
      <c r="R3746" s="255"/>
      <c r="S3746" s="255"/>
      <c r="T3746" s="255"/>
    </row>
    <row r="3747" spans="18:20" x14ac:dyDescent="0.3">
      <c r="R3747" s="255"/>
      <c r="S3747" s="255"/>
      <c r="T3747" s="255"/>
    </row>
    <row r="3748" spans="18:20" x14ac:dyDescent="0.3">
      <c r="R3748" s="255"/>
      <c r="S3748" s="255"/>
      <c r="T3748" s="255"/>
    </row>
    <row r="3749" spans="18:20" x14ac:dyDescent="0.3">
      <c r="R3749" s="255"/>
      <c r="S3749" s="255"/>
      <c r="T3749" s="255"/>
    </row>
    <row r="3750" spans="18:20" x14ac:dyDescent="0.3">
      <c r="R3750" s="255"/>
      <c r="S3750" s="255"/>
      <c r="T3750" s="255"/>
    </row>
    <row r="3751" spans="18:20" x14ac:dyDescent="0.3">
      <c r="R3751" s="255"/>
      <c r="S3751" s="255"/>
      <c r="T3751" s="255"/>
    </row>
    <row r="3752" spans="18:20" x14ac:dyDescent="0.3">
      <c r="R3752" s="255"/>
      <c r="S3752" s="255"/>
      <c r="T3752" s="255"/>
    </row>
    <row r="3753" spans="18:20" x14ac:dyDescent="0.3">
      <c r="R3753" s="255"/>
      <c r="S3753" s="255"/>
      <c r="T3753" s="255"/>
    </row>
    <row r="3754" spans="18:20" x14ac:dyDescent="0.3">
      <c r="R3754" s="255"/>
      <c r="S3754" s="255"/>
      <c r="T3754" s="255"/>
    </row>
    <row r="3755" spans="18:20" x14ac:dyDescent="0.3">
      <c r="R3755" s="255"/>
      <c r="S3755" s="255"/>
      <c r="T3755" s="255"/>
    </row>
    <row r="3756" spans="18:20" x14ac:dyDescent="0.3">
      <c r="R3756" s="255"/>
      <c r="S3756" s="255"/>
      <c r="T3756" s="255"/>
    </row>
    <row r="3757" spans="18:20" x14ac:dyDescent="0.3">
      <c r="R3757" s="255"/>
      <c r="S3757" s="255"/>
      <c r="T3757" s="255"/>
    </row>
    <row r="3758" spans="18:20" x14ac:dyDescent="0.3">
      <c r="R3758" s="255"/>
      <c r="S3758" s="255"/>
      <c r="T3758" s="255"/>
    </row>
    <row r="3759" spans="18:20" x14ac:dyDescent="0.3">
      <c r="R3759" s="255"/>
      <c r="S3759" s="255"/>
      <c r="T3759" s="255"/>
    </row>
    <row r="3760" spans="18:20" x14ac:dyDescent="0.3">
      <c r="R3760" s="255"/>
      <c r="S3760" s="255"/>
      <c r="T3760" s="255"/>
    </row>
    <row r="3761" spans="18:20" x14ac:dyDescent="0.3">
      <c r="R3761" s="255"/>
      <c r="S3761" s="255"/>
      <c r="T3761" s="255"/>
    </row>
    <row r="3762" spans="18:20" x14ac:dyDescent="0.3">
      <c r="R3762" s="255"/>
      <c r="S3762" s="255"/>
      <c r="T3762" s="255"/>
    </row>
    <row r="3763" spans="18:20" x14ac:dyDescent="0.3">
      <c r="R3763" s="255"/>
      <c r="S3763" s="255"/>
      <c r="T3763" s="255"/>
    </row>
    <row r="3764" spans="18:20" x14ac:dyDescent="0.3">
      <c r="R3764" s="255"/>
      <c r="S3764" s="255"/>
      <c r="T3764" s="255"/>
    </row>
    <row r="3765" spans="18:20" x14ac:dyDescent="0.3">
      <c r="R3765" s="255"/>
      <c r="S3765" s="255"/>
      <c r="T3765" s="255"/>
    </row>
    <row r="3766" spans="18:20" x14ac:dyDescent="0.3">
      <c r="R3766" s="255"/>
      <c r="S3766" s="255"/>
      <c r="T3766" s="255"/>
    </row>
    <row r="3767" spans="18:20" x14ac:dyDescent="0.3">
      <c r="R3767" s="255"/>
      <c r="S3767" s="255"/>
      <c r="T3767" s="255"/>
    </row>
    <row r="3768" spans="18:20" x14ac:dyDescent="0.3">
      <c r="R3768" s="255"/>
      <c r="S3768" s="255"/>
      <c r="T3768" s="255"/>
    </row>
    <row r="3769" spans="18:20" x14ac:dyDescent="0.3">
      <c r="R3769" s="255"/>
      <c r="S3769" s="255"/>
      <c r="T3769" s="255"/>
    </row>
    <row r="3770" spans="18:20" x14ac:dyDescent="0.3">
      <c r="R3770" s="255"/>
      <c r="S3770" s="255"/>
      <c r="T3770" s="255"/>
    </row>
    <row r="3771" spans="18:20" x14ac:dyDescent="0.3">
      <c r="R3771" s="255"/>
      <c r="S3771" s="255"/>
      <c r="T3771" s="255"/>
    </row>
    <row r="3772" spans="18:20" x14ac:dyDescent="0.3">
      <c r="R3772" s="255"/>
      <c r="S3772" s="255"/>
      <c r="T3772" s="255"/>
    </row>
    <row r="3773" spans="18:20" x14ac:dyDescent="0.3">
      <c r="R3773" s="255"/>
      <c r="S3773" s="255"/>
      <c r="T3773" s="255"/>
    </row>
    <row r="3774" spans="18:20" x14ac:dyDescent="0.3">
      <c r="R3774" s="255"/>
      <c r="S3774" s="255"/>
      <c r="T3774" s="255"/>
    </row>
    <row r="3775" spans="18:20" x14ac:dyDescent="0.3">
      <c r="R3775" s="255"/>
      <c r="S3775" s="255"/>
      <c r="T3775" s="255"/>
    </row>
    <row r="3776" spans="18:20" x14ac:dyDescent="0.3">
      <c r="R3776" s="255"/>
      <c r="S3776" s="255"/>
      <c r="T3776" s="255"/>
    </row>
    <row r="3777" spans="18:20" x14ac:dyDescent="0.3">
      <c r="R3777" s="255"/>
      <c r="S3777" s="255"/>
      <c r="T3777" s="255"/>
    </row>
    <row r="3778" spans="18:20" x14ac:dyDescent="0.3">
      <c r="R3778" s="255"/>
      <c r="S3778" s="255"/>
      <c r="T3778" s="255"/>
    </row>
    <row r="3779" spans="18:20" x14ac:dyDescent="0.3">
      <c r="R3779" s="255"/>
      <c r="S3779" s="255"/>
      <c r="T3779" s="255"/>
    </row>
    <row r="3780" spans="18:20" x14ac:dyDescent="0.3">
      <c r="R3780" s="255"/>
      <c r="S3780" s="255"/>
      <c r="T3780" s="255"/>
    </row>
    <row r="3781" spans="18:20" x14ac:dyDescent="0.3">
      <c r="R3781" s="255"/>
      <c r="S3781" s="255"/>
      <c r="T3781" s="255"/>
    </row>
    <row r="3782" spans="18:20" x14ac:dyDescent="0.3">
      <c r="R3782" s="255"/>
      <c r="S3782" s="255"/>
      <c r="T3782" s="255"/>
    </row>
    <row r="3783" spans="18:20" x14ac:dyDescent="0.3">
      <c r="R3783" s="255"/>
      <c r="S3783" s="255"/>
      <c r="T3783" s="255"/>
    </row>
    <row r="3784" spans="18:20" x14ac:dyDescent="0.3">
      <c r="R3784" s="255"/>
      <c r="S3784" s="255"/>
      <c r="T3784" s="255"/>
    </row>
    <row r="3785" spans="18:20" x14ac:dyDescent="0.3">
      <c r="R3785" s="255"/>
      <c r="S3785" s="255"/>
      <c r="T3785" s="255"/>
    </row>
    <row r="3786" spans="18:20" x14ac:dyDescent="0.3">
      <c r="R3786" s="255"/>
      <c r="S3786" s="255"/>
      <c r="T3786" s="255"/>
    </row>
    <row r="3787" spans="18:20" x14ac:dyDescent="0.3">
      <c r="R3787" s="255"/>
      <c r="S3787" s="255"/>
      <c r="T3787" s="255"/>
    </row>
    <row r="3788" spans="18:20" x14ac:dyDescent="0.3">
      <c r="R3788" s="255"/>
      <c r="S3788" s="255"/>
      <c r="T3788" s="255"/>
    </row>
    <row r="3789" spans="18:20" x14ac:dyDescent="0.3">
      <c r="R3789" s="255"/>
      <c r="S3789" s="255"/>
      <c r="T3789" s="255"/>
    </row>
    <row r="3790" spans="18:20" x14ac:dyDescent="0.3">
      <c r="R3790" s="255"/>
      <c r="S3790" s="255"/>
      <c r="T3790" s="255"/>
    </row>
    <row r="3791" spans="18:20" x14ac:dyDescent="0.3">
      <c r="R3791" s="255"/>
      <c r="S3791" s="255"/>
      <c r="T3791" s="255"/>
    </row>
    <row r="3792" spans="18:20" x14ac:dyDescent="0.3">
      <c r="R3792" s="255"/>
      <c r="S3792" s="255"/>
      <c r="T3792" s="255"/>
    </row>
    <row r="3793" spans="18:20" x14ac:dyDescent="0.3">
      <c r="R3793" s="255"/>
      <c r="S3793" s="255"/>
      <c r="T3793" s="255"/>
    </row>
    <row r="3794" spans="18:20" x14ac:dyDescent="0.3">
      <c r="R3794" s="255"/>
      <c r="S3794" s="255"/>
      <c r="T3794" s="255"/>
    </row>
    <row r="3795" spans="18:20" x14ac:dyDescent="0.3">
      <c r="R3795" s="255"/>
      <c r="S3795" s="255"/>
      <c r="T3795" s="255"/>
    </row>
    <row r="3796" spans="18:20" x14ac:dyDescent="0.3">
      <c r="R3796" s="255"/>
      <c r="S3796" s="255"/>
      <c r="T3796" s="255"/>
    </row>
    <row r="3797" spans="18:20" x14ac:dyDescent="0.3">
      <c r="R3797" s="255"/>
      <c r="S3797" s="255"/>
      <c r="T3797" s="255"/>
    </row>
    <row r="3798" spans="18:20" x14ac:dyDescent="0.3">
      <c r="R3798" s="255"/>
      <c r="S3798" s="255"/>
      <c r="T3798" s="255"/>
    </row>
    <row r="3799" spans="18:20" x14ac:dyDescent="0.3">
      <c r="R3799" s="255"/>
      <c r="S3799" s="255"/>
      <c r="T3799" s="255"/>
    </row>
    <row r="3800" spans="18:20" x14ac:dyDescent="0.3">
      <c r="R3800" s="255"/>
      <c r="S3800" s="255"/>
      <c r="T3800" s="255"/>
    </row>
    <row r="3801" spans="18:20" x14ac:dyDescent="0.3">
      <c r="R3801" s="255"/>
      <c r="S3801" s="255"/>
      <c r="T3801" s="255"/>
    </row>
    <row r="3802" spans="18:20" x14ac:dyDescent="0.3">
      <c r="R3802" s="255"/>
      <c r="S3802" s="255"/>
      <c r="T3802" s="255"/>
    </row>
    <row r="3803" spans="18:20" x14ac:dyDescent="0.3">
      <c r="R3803" s="255"/>
      <c r="S3803" s="255"/>
      <c r="T3803" s="255"/>
    </row>
    <row r="3804" spans="18:20" x14ac:dyDescent="0.3">
      <c r="R3804" s="255"/>
      <c r="S3804" s="255"/>
      <c r="T3804" s="255"/>
    </row>
    <row r="3805" spans="18:20" x14ac:dyDescent="0.3">
      <c r="R3805" s="255"/>
      <c r="S3805" s="255"/>
      <c r="T3805" s="255"/>
    </row>
    <row r="3806" spans="18:20" x14ac:dyDescent="0.3">
      <c r="R3806" s="255"/>
      <c r="S3806" s="255"/>
      <c r="T3806" s="255"/>
    </row>
    <row r="3807" spans="18:20" x14ac:dyDescent="0.3">
      <c r="R3807" s="255"/>
      <c r="S3807" s="255"/>
      <c r="T3807" s="255"/>
    </row>
    <row r="3808" spans="18:20" x14ac:dyDescent="0.3">
      <c r="R3808" s="255"/>
      <c r="S3808" s="255"/>
      <c r="T3808" s="255"/>
    </row>
    <row r="3809" spans="18:20" x14ac:dyDescent="0.3">
      <c r="R3809" s="255"/>
      <c r="S3809" s="255"/>
      <c r="T3809" s="255"/>
    </row>
    <row r="3810" spans="18:20" x14ac:dyDescent="0.3">
      <c r="R3810" s="255"/>
      <c r="S3810" s="255"/>
      <c r="T3810" s="255"/>
    </row>
    <row r="3811" spans="18:20" x14ac:dyDescent="0.3">
      <c r="R3811" s="255"/>
      <c r="S3811" s="255"/>
      <c r="T3811" s="255"/>
    </row>
    <row r="3812" spans="18:20" x14ac:dyDescent="0.3">
      <c r="R3812" s="255"/>
      <c r="S3812" s="255"/>
      <c r="T3812" s="255"/>
    </row>
    <row r="3813" spans="18:20" x14ac:dyDescent="0.3">
      <c r="R3813" s="255"/>
      <c r="S3813" s="255"/>
      <c r="T3813" s="255"/>
    </row>
    <row r="3814" spans="18:20" x14ac:dyDescent="0.3">
      <c r="R3814" s="255"/>
      <c r="S3814" s="255"/>
      <c r="T3814" s="255"/>
    </row>
    <row r="3815" spans="18:20" x14ac:dyDescent="0.3">
      <c r="R3815" s="255"/>
      <c r="S3815" s="255"/>
      <c r="T3815" s="255"/>
    </row>
    <row r="3816" spans="18:20" x14ac:dyDescent="0.3">
      <c r="R3816" s="255"/>
      <c r="S3816" s="255"/>
      <c r="T3816" s="255"/>
    </row>
    <row r="3817" spans="18:20" x14ac:dyDescent="0.3">
      <c r="R3817" s="255"/>
      <c r="S3817" s="255"/>
      <c r="T3817" s="255"/>
    </row>
    <row r="3818" spans="18:20" x14ac:dyDescent="0.3">
      <c r="R3818" s="255"/>
      <c r="S3818" s="255"/>
      <c r="T3818" s="255"/>
    </row>
    <row r="3819" spans="18:20" x14ac:dyDescent="0.3">
      <c r="R3819" s="255"/>
      <c r="S3819" s="255"/>
      <c r="T3819" s="255"/>
    </row>
    <row r="3820" spans="18:20" x14ac:dyDescent="0.3">
      <c r="R3820" s="255"/>
      <c r="S3820" s="255"/>
      <c r="T3820" s="255"/>
    </row>
    <row r="3821" spans="18:20" x14ac:dyDescent="0.3">
      <c r="R3821" s="255"/>
      <c r="S3821" s="255"/>
      <c r="T3821" s="255"/>
    </row>
    <row r="3822" spans="18:20" x14ac:dyDescent="0.3">
      <c r="R3822" s="255"/>
      <c r="S3822" s="255"/>
      <c r="T3822" s="255"/>
    </row>
    <row r="3823" spans="18:20" x14ac:dyDescent="0.3">
      <c r="R3823" s="255"/>
      <c r="S3823" s="255"/>
      <c r="T3823" s="255"/>
    </row>
    <row r="3824" spans="18:20" x14ac:dyDescent="0.3">
      <c r="R3824" s="255"/>
      <c r="S3824" s="255"/>
      <c r="T3824" s="255"/>
    </row>
    <row r="3825" spans="18:20" x14ac:dyDescent="0.3">
      <c r="R3825" s="255"/>
      <c r="S3825" s="255"/>
      <c r="T3825" s="255"/>
    </row>
    <row r="3826" spans="18:20" x14ac:dyDescent="0.3">
      <c r="R3826" s="255"/>
      <c r="S3826" s="255"/>
      <c r="T3826" s="255"/>
    </row>
    <row r="3827" spans="18:20" x14ac:dyDescent="0.3">
      <c r="R3827" s="255"/>
      <c r="S3827" s="255"/>
      <c r="T3827" s="255"/>
    </row>
    <row r="3828" spans="18:20" x14ac:dyDescent="0.3">
      <c r="R3828" s="255"/>
      <c r="S3828" s="255"/>
      <c r="T3828" s="255"/>
    </row>
    <row r="3829" spans="18:20" x14ac:dyDescent="0.3">
      <c r="R3829" s="255"/>
      <c r="S3829" s="255"/>
      <c r="T3829" s="255"/>
    </row>
    <row r="3830" spans="18:20" x14ac:dyDescent="0.3">
      <c r="R3830" s="255"/>
      <c r="S3830" s="255"/>
      <c r="T3830" s="255"/>
    </row>
    <row r="3831" spans="18:20" x14ac:dyDescent="0.3">
      <c r="R3831" s="255"/>
      <c r="S3831" s="255"/>
      <c r="T3831" s="255"/>
    </row>
    <row r="3832" spans="18:20" x14ac:dyDescent="0.3">
      <c r="R3832" s="255"/>
      <c r="S3832" s="255"/>
      <c r="T3832" s="255"/>
    </row>
    <row r="3833" spans="18:20" x14ac:dyDescent="0.3">
      <c r="R3833" s="255"/>
      <c r="S3833" s="255"/>
      <c r="T3833" s="255"/>
    </row>
    <row r="3834" spans="18:20" x14ac:dyDescent="0.3">
      <c r="R3834" s="255"/>
      <c r="S3834" s="255"/>
      <c r="T3834" s="255"/>
    </row>
    <row r="3835" spans="18:20" x14ac:dyDescent="0.3">
      <c r="R3835" s="255"/>
      <c r="S3835" s="255"/>
      <c r="T3835" s="255"/>
    </row>
    <row r="3836" spans="18:20" x14ac:dyDescent="0.3">
      <c r="R3836" s="255"/>
      <c r="S3836" s="255"/>
      <c r="T3836" s="255"/>
    </row>
    <row r="3837" spans="18:20" x14ac:dyDescent="0.3">
      <c r="R3837" s="255"/>
      <c r="S3837" s="255"/>
      <c r="T3837" s="255"/>
    </row>
    <row r="3838" spans="18:20" x14ac:dyDescent="0.3">
      <c r="R3838" s="255"/>
      <c r="S3838" s="255"/>
      <c r="T3838" s="255"/>
    </row>
    <row r="3839" spans="18:20" x14ac:dyDescent="0.3">
      <c r="R3839" s="255"/>
      <c r="S3839" s="255"/>
      <c r="T3839" s="255"/>
    </row>
    <row r="3840" spans="18:20" x14ac:dyDescent="0.3">
      <c r="R3840" s="255"/>
      <c r="S3840" s="255"/>
      <c r="T3840" s="255"/>
    </row>
    <row r="3841" spans="18:20" x14ac:dyDescent="0.3">
      <c r="R3841" s="255"/>
      <c r="S3841" s="255"/>
      <c r="T3841" s="255"/>
    </row>
    <row r="3842" spans="18:20" x14ac:dyDescent="0.3">
      <c r="R3842" s="255"/>
      <c r="S3842" s="255"/>
      <c r="T3842" s="255"/>
    </row>
    <row r="3843" spans="18:20" x14ac:dyDescent="0.3">
      <c r="R3843" s="255"/>
      <c r="S3843" s="255"/>
      <c r="T3843" s="255"/>
    </row>
    <row r="3844" spans="18:20" x14ac:dyDescent="0.3">
      <c r="R3844" s="255"/>
      <c r="S3844" s="255"/>
      <c r="T3844" s="255"/>
    </row>
    <row r="3845" spans="18:20" x14ac:dyDescent="0.3">
      <c r="R3845" s="255"/>
      <c r="S3845" s="255"/>
      <c r="T3845" s="255"/>
    </row>
    <row r="3846" spans="18:20" x14ac:dyDescent="0.3">
      <c r="R3846" s="255"/>
      <c r="S3846" s="255"/>
      <c r="T3846" s="255"/>
    </row>
    <row r="3847" spans="18:20" x14ac:dyDescent="0.3">
      <c r="R3847" s="255"/>
      <c r="S3847" s="255"/>
      <c r="T3847" s="255"/>
    </row>
    <row r="3848" spans="18:20" x14ac:dyDescent="0.3">
      <c r="R3848" s="255"/>
      <c r="S3848" s="255"/>
      <c r="T3848" s="255"/>
    </row>
    <row r="3849" spans="18:20" x14ac:dyDescent="0.3">
      <c r="R3849" s="255"/>
      <c r="S3849" s="255"/>
      <c r="T3849" s="255"/>
    </row>
    <row r="3850" spans="18:20" x14ac:dyDescent="0.3">
      <c r="R3850" s="255"/>
      <c r="S3850" s="255"/>
      <c r="T3850" s="255"/>
    </row>
    <row r="3851" spans="18:20" x14ac:dyDescent="0.3">
      <c r="R3851" s="255"/>
      <c r="S3851" s="255"/>
      <c r="T3851" s="255"/>
    </row>
    <row r="3852" spans="18:20" x14ac:dyDescent="0.3">
      <c r="R3852" s="255"/>
      <c r="S3852" s="255"/>
      <c r="T3852" s="255"/>
    </row>
    <row r="3853" spans="18:20" x14ac:dyDescent="0.3">
      <c r="R3853" s="255"/>
      <c r="S3853" s="255"/>
      <c r="T3853" s="255"/>
    </row>
    <row r="3854" spans="18:20" x14ac:dyDescent="0.3">
      <c r="R3854" s="255"/>
      <c r="S3854" s="255"/>
      <c r="T3854" s="255"/>
    </row>
    <row r="3855" spans="18:20" x14ac:dyDescent="0.3">
      <c r="R3855" s="255"/>
      <c r="S3855" s="255"/>
      <c r="T3855" s="255"/>
    </row>
    <row r="3856" spans="18:20" x14ac:dyDescent="0.3">
      <c r="R3856" s="255"/>
      <c r="S3856" s="255"/>
      <c r="T3856" s="255"/>
    </row>
    <row r="3857" spans="18:20" x14ac:dyDescent="0.3">
      <c r="R3857" s="255"/>
      <c r="S3857" s="255"/>
      <c r="T3857" s="255"/>
    </row>
    <row r="3858" spans="18:20" x14ac:dyDescent="0.3">
      <c r="R3858" s="255"/>
      <c r="S3858" s="255"/>
      <c r="T3858" s="255"/>
    </row>
    <row r="3859" spans="18:20" x14ac:dyDescent="0.3">
      <c r="R3859" s="255"/>
      <c r="S3859" s="255"/>
      <c r="T3859" s="255"/>
    </row>
    <row r="3860" spans="18:20" x14ac:dyDescent="0.3">
      <c r="R3860" s="255"/>
      <c r="S3860" s="255"/>
      <c r="T3860" s="255"/>
    </row>
    <row r="3861" spans="18:20" x14ac:dyDescent="0.3">
      <c r="R3861" s="255"/>
      <c r="S3861" s="255"/>
      <c r="T3861" s="255"/>
    </row>
    <row r="3862" spans="18:20" x14ac:dyDescent="0.3">
      <c r="R3862" s="255"/>
      <c r="S3862" s="255"/>
      <c r="T3862" s="255"/>
    </row>
    <row r="3863" spans="18:20" x14ac:dyDescent="0.3">
      <c r="R3863" s="255"/>
      <c r="S3863" s="255"/>
      <c r="T3863" s="255"/>
    </row>
    <row r="3864" spans="18:20" x14ac:dyDescent="0.3">
      <c r="R3864" s="255"/>
      <c r="S3864" s="255"/>
      <c r="T3864" s="255"/>
    </row>
    <row r="3865" spans="18:20" x14ac:dyDescent="0.3">
      <c r="R3865" s="255"/>
      <c r="S3865" s="255"/>
      <c r="T3865" s="255"/>
    </row>
    <row r="3866" spans="18:20" x14ac:dyDescent="0.3">
      <c r="R3866" s="255"/>
      <c r="S3866" s="255"/>
      <c r="T3866" s="255"/>
    </row>
    <row r="3867" spans="18:20" x14ac:dyDescent="0.3">
      <c r="R3867" s="255"/>
      <c r="S3867" s="255"/>
      <c r="T3867" s="255"/>
    </row>
    <row r="3868" spans="18:20" x14ac:dyDescent="0.3">
      <c r="R3868" s="255"/>
      <c r="S3868" s="255"/>
      <c r="T3868" s="255"/>
    </row>
    <row r="3869" spans="18:20" x14ac:dyDescent="0.3">
      <c r="R3869" s="255"/>
      <c r="S3869" s="255"/>
      <c r="T3869" s="255"/>
    </row>
    <row r="3870" spans="18:20" x14ac:dyDescent="0.3">
      <c r="R3870" s="255"/>
      <c r="S3870" s="255"/>
      <c r="T3870" s="255"/>
    </row>
    <row r="3871" spans="18:20" x14ac:dyDescent="0.3">
      <c r="R3871" s="255"/>
      <c r="S3871" s="255"/>
      <c r="T3871" s="255"/>
    </row>
    <row r="3872" spans="18:20" x14ac:dyDescent="0.3">
      <c r="R3872" s="255"/>
      <c r="S3872" s="255"/>
      <c r="T3872" s="255"/>
    </row>
    <row r="3873" spans="18:20" x14ac:dyDescent="0.3">
      <c r="R3873" s="255"/>
      <c r="S3873" s="255"/>
      <c r="T3873" s="255"/>
    </row>
    <row r="3874" spans="18:20" x14ac:dyDescent="0.3">
      <c r="R3874" s="255"/>
      <c r="S3874" s="255"/>
      <c r="T3874" s="255"/>
    </row>
    <row r="3875" spans="18:20" x14ac:dyDescent="0.3">
      <c r="R3875" s="255"/>
      <c r="S3875" s="255"/>
      <c r="T3875" s="255"/>
    </row>
    <row r="3876" spans="18:20" x14ac:dyDescent="0.3">
      <c r="R3876" s="255"/>
      <c r="S3876" s="255"/>
      <c r="T3876" s="255"/>
    </row>
    <row r="3877" spans="18:20" x14ac:dyDescent="0.3">
      <c r="R3877" s="255"/>
      <c r="S3877" s="255"/>
      <c r="T3877" s="255"/>
    </row>
    <row r="3878" spans="18:20" x14ac:dyDescent="0.3">
      <c r="R3878" s="255"/>
      <c r="S3878" s="255"/>
      <c r="T3878" s="255"/>
    </row>
    <row r="3879" spans="18:20" x14ac:dyDescent="0.3">
      <c r="R3879" s="255"/>
      <c r="S3879" s="255"/>
      <c r="T3879" s="255"/>
    </row>
    <row r="3880" spans="18:20" x14ac:dyDescent="0.3">
      <c r="R3880" s="255"/>
      <c r="S3880" s="255"/>
      <c r="T3880" s="255"/>
    </row>
    <row r="3881" spans="18:20" x14ac:dyDescent="0.3">
      <c r="R3881" s="255"/>
      <c r="S3881" s="255"/>
      <c r="T3881" s="255"/>
    </row>
    <row r="3882" spans="18:20" x14ac:dyDescent="0.3">
      <c r="R3882" s="255"/>
      <c r="S3882" s="255"/>
      <c r="T3882" s="255"/>
    </row>
    <row r="3883" spans="18:20" x14ac:dyDescent="0.3">
      <c r="R3883" s="255"/>
      <c r="S3883" s="255"/>
      <c r="T3883" s="255"/>
    </row>
    <row r="3884" spans="18:20" x14ac:dyDescent="0.3">
      <c r="R3884" s="255"/>
      <c r="S3884" s="255"/>
      <c r="T3884" s="255"/>
    </row>
    <row r="3885" spans="18:20" x14ac:dyDescent="0.3">
      <c r="R3885" s="255"/>
      <c r="S3885" s="255"/>
      <c r="T3885" s="255"/>
    </row>
    <row r="3886" spans="18:20" x14ac:dyDescent="0.3">
      <c r="R3886" s="255"/>
      <c r="S3886" s="255"/>
      <c r="T3886" s="255"/>
    </row>
    <row r="3887" spans="18:20" x14ac:dyDescent="0.3">
      <c r="R3887" s="255"/>
      <c r="S3887" s="255"/>
      <c r="T3887" s="255"/>
    </row>
    <row r="3888" spans="18:20" x14ac:dyDescent="0.3">
      <c r="R3888" s="255"/>
      <c r="S3888" s="255"/>
      <c r="T3888" s="255"/>
    </row>
    <row r="3889" spans="18:20" x14ac:dyDescent="0.3">
      <c r="R3889" s="255"/>
      <c r="S3889" s="255"/>
      <c r="T3889" s="255"/>
    </row>
    <row r="3890" spans="18:20" x14ac:dyDescent="0.3">
      <c r="R3890" s="255"/>
      <c r="S3890" s="255"/>
      <c r="T3890" s="255"/>
    </row>
    <row r="3891" spans="18:20" x14ac:dyDescent="0.3">
      <c r="R3891" s="255"/>
      <c r="S3891" s="255"/>
      <c r="T3891" s="255"/>
    </row>
    <row r="3892" spans="18:20" x14ac:dyDescent="0.3">
      <c r="R3892" s="255"/>
      <c r="S3892" s="255"/>
      <c r="T3892" s="255"/>
    </row>
    <row r="3893" spans="18:20" x14ac:dyDescent="0.3">
      <c r="R3893" s="255"/>
      <c r="S3893" s="255"/>
      <c r="T3893" s="255"/>
    </row>
    <row r="3894" spans="18:20" x14ac:dyDescent="0.3">
      <c r="R3894" s="255"/>
      <c r="S3894" s="255"/>
      <c r="T3894" s="255"/>
    </row>
    <row r="3895" spans="18:20" x14ac:dyDescent="0.3">
      <c r="R3895" s="255"/>
      <c r="S3895" s="255"/>
      <c r="T3895" s="255"/>
    </row>
    <row r="3896" spans="18:20" x14ac:dyDescent="0.3">
      <c r="R3896" s="255"/>
      <c r="S3896" s="255"/>
      <c r="T3896" s="255"/>
    </row>
    <row r="3897" spans="18:20" x14ac:dyDescent="0.3">
      <c r="R3897" s="255"/>
      <c r="S3897" s="255"/>
      <c r="T3897" s="255"/>
    </row>
    <row r="3898" spans="18:20" x14ac:dyDescent="0.3">
      <c r="R3898" s="255"/>
      <c r="S3898" s="255"/>
      <c r="T3898" s="255"/>
    </row>
    <row r="3899" spans="18:20" x14ac:dyDescent="0.3">
      <c r="R3899" s="255"/>
      <c r="S3899" s="255"/>
      <c r="T3899" s="255"/>
    </row>
    <row r="3900" spans="18:20" x14ac:dyDescent="0.3">
      <c r="R3900" s="255"/>
      <c r="S3900" s="255"/>
      <c r="T3900" s="255"/>
    </row>
    <row r="3901" spans="18:20" x14ac:dyDescent="0.3">
      <c r="R3901" s="255"/>
      <c r="S3901" s="255"/>
      <c r="T3901" s="255"/>
    </row>
    <row r="3902" spans="18:20" x14ac:dyDescent="0.3">
      <c r="R3902" s="255"/>
      <c r="S3902" s="255"/>
      <c r="T3902" s="255"/>
    </row>
    <row r="3903" spans="18:20" x14ac:dyDescent="0.3">
      <c r="R3903" s="255"/>
      <c r="S3903" s="255"/>
      <c r="T3903" s="255"/>
    </row>
    <row r="3904" spans="18:20" x14ac:dyDescent="0.3">
      <c r="R3904" s="255"/>
      <c r="S3904" s="255"/>
      <c r="T3904" s="255"/>
    </row>
    <row r="3905" spans="18:20" x14ac:dyDescent="0.3">
      <c r="R3905" s="255"/>
      <c r="S3905" s="255"/>
      <c r="T3905" s="255"/>
    </row>
    <row r="3906" spans="18:20" x14ac:dyDescent="0.3">
      <c r="R3906" s="255"/>
      <c r="S3906" s="255"/>
      <c r="T3906" s="255"/>
    </row>
    <row r="3907" spans="18:20" x14ac:dyDescent="0.3">
      <c r="R3907" s="255"/>
      <c r="S3907" s="255"/>
      <c r="T3907" s="255"/>
    </row>
    <row r="3908" spans="18:20" x14ac:dyDescent="0.3">
      <c r="R3908" s="255"/>
      <c r="S3908" s="255"/>
      <c r="T3908" s="255"/>
    </row>
    <row r="3909" spans="18:20" x14ac:dyDescent="0.3">
      <c r="R3909" s="255"/>
      <c r="S3909" s="255"/>
      <c r="T3909" s="255"/>
    </row>
    <row r="3910" spans="18:20" x14ac:dyDescent="0.3">
      <c r="R3910" s="255"/>
      <c r="S3910" s="255"/>
      <c r="T3910" s="255"/>
    </row>
    <row r="3911" spans="18:20" x14ac:dyDescent="0.3">
      <c r="R3911" s="255"/>
      <c r="S3911" s="255"/>
      <c r="T3911" s="255"/>
    </row>
    <row r="3912" spans="18:20" x14ac:dyDescent="0.3">
      <c r="R3912" s="255"/>
      <c r="S3912" s="255"/>
      <c r="T3912" s="255"/>
    </row>
    <row r="3913" spans="18:20" x14ac:dyDescent="0.3">
      <c r="R3913" s="255"/>
      <c r="S3913" s="255"/>
      <c r="T3913" s="255"/>
    </row>
    <row r="3914" spans="18:20" x14ac:dyDescent="0.3">
      <c r="R3914" s="255"/>
      <c r="S3914" s="255"/>
      <c r="T3914" s="255"/>
    </row>
    <row r="3915" spans="18:20" x14ac:dyDescent="0.3">
      <c r="R3915" s="255"/>
      <c r="S3915" s="255"/>
      <c r="T3915" s="255"/>
    </row>
    <row r="3916" spans="18:20" x14ac:dyDescent="0.3">
      <c r="R3916" s="255"/>
      <c r="S3916" s="255"/>
      <c r="T3916" s="255"/>
    </row>
    <row r="3917" spans="18:20" x14ac:dyDescent="0.3">
      <c r="R3917" s="255"/>
      <c r="S3917" s="255"/>
      <c r="T3917" s="255"/>
    </row>
    <row r="3918" spans="18:20" x14ac:dyDescent="0.3">
      <c r="R3918" s="255"/>
      <c r="S3918" s="255"/>
      <c r="T3918" s="255"/>
    </row>
    <row r="3919" spans="18:20" x14ac:dyDescent="0.3">
      <c r="R3919" s="255"/>
      <c r="S3919" s="255"/>
      <c r="T3919" s="255"/>
    </row>
    <row r="3920" spans="18:20" x14ac:dyDescent="0.3">
      <c r="R3920" s="255"/>
      <c r="S3920" s="255"/>
      <c r="T3920" s="255"/>
    </row>
    <row r="3921" spans="18:20" x14ac:dyDescent="0.3">
      <c r="R3921" s="255"/>
      <c r="S3921" s="255"/>
      <c r="T3921" s="255"/>
    </row>
    <row r="3922" spans="18:20" x14ac:dyDescent="0.3">
      <c r="R3922" s="255"/>
      <c r="S3922" s="255"/>
      <c r="T3922" s="255"/>
    </row>
    <row r="3923" spans="18:20" x14ac:dyDescent="0.3">
      <c r="R3923" s="255"/>
      <c r="S3923" s="255"/>
      <c r="T3923" s="255"/>
    </row>
    <row r="3924" spans="18:20" x14ac:dyDescent="0.3">
      <c r="R3924" s="255"/>
      <c r="S3924" s="255"/>
      <c r="T3924" s="255"/>
    </row>
    <row r="3925" spans="18:20" x14ac:dyDescent="0.3">
      <c r="R3925" s="255"/>
      <c r="S3925" s="255"/>
      <c r="T3925" s="255"/>
    </row>
    <row r="3926" spans="18:20" x14ac:dyDescent="0.3">
      <c r="R3926" s="255"/>
      <c r="S3926" s="255"/>
      <c r="T3926" s="255"/>
    </row>
    <row r="3927" spans="18:20" x14ac:dyDescent="0.3">
      <c r="R3927" s="255"/>
      <c r="S3927" s="255"/>
      <c r="T3927" s="255"/>
    </row>
    <row r="3928" spans="18:20" x14ac:dyDescent="0.3">
      <c r="R3928" s="255"/>
      <c r="S3928" s="255"/>
      <c r="T3928" s="255"/>
    </row>
    <row r="3929" spans="18:20" x14ac:dyDescent="0.3">
      <c r="R3929" s="255"/>
      <c r="S3929" s="255"/>
      <c r="T3929" s="255"/>
    </row>
    <row r="3930" spans="18:20" x14ac:dyDescent="0.3">
      <c r="R3930" s="255"/>
      <c r="S3930" s="255"/>
      <c r="T3930" s="255"/>
    </row>
    <row r="3931" spans="18:20" x14ac:dyDescent="0.3">
      <c r="R3931" s="255"/>
      <c r="S3931" s="255"/>
      <c r="T3931" s="255"/>
    </row>
    <row r="3932" spans="18:20" x14ac:dyDescent="0.3">
      <c r="R3932" s="255"/>
      <c r="S3932" s="255"/>
      <c r="T3932" s="255"/>
    </row>
    <row r="3933" spans="18:20" x14ac:dyDescent="0.3">
      <c r="R3933" s="255"/>
      <c r="S3933" s="255"/>
      <c r="T3933" s="255"/>
    </row>
    <row r="3934" spans="18:20" x14ac:dyDescent="0.3">
      <c r="R3934" s="255"/>
      <c r="S3934" s="255"/>
      <c r="T3934" s="255"/>
    </row>
    <row r="3935" spans="18:20" x14ac:dyDescent="0.3">
      <c r="R3935" s="255"/>
      <c r="S3935" s="255"/>
      <c r="T3935" s="255"/>
    </row>
    <row r="3936" spans="18:20" x14ac:dyDescent="0.3">
      <c r="R3936" s="255"/>
      <c r="S3936" s="255"/>
      <c r="T3936" s="255"/>
    </row>
    <row r="3937" spans="18:20" x14ac:dyDescent="0.3">
      <c r="R3937" s="255"/>
      <c r="S3937" s="255"/>
      <c r="T3937" s="255"/>
    </row>
    <row r="3938" spans="18:20" x14ac:dyDescent="0.3">
      <c r="R3938" s="255"/>
      <c r="S3938" s="255"/>
      <c r="T3938" s="255"/>
    </row>
    <row r="3939" spans="18:20" x14ac:dyDescent="0.3">
      <c r="R3939" s="255"/>
      <c r="S3939" s="255"/>
      <c r="T3939" s="255"/>
    </row>
    <row r="3940" spans="18:20" x14ac:dyDescent="0.3">
      <c r="R3940" s="255"/>
      <c r="S3940" s="255"/>
      <c r="T3940" s="255"/>
    </row>
    <row r="3941" spans="18:20" x14ac:dyDescent="0.3">
      <c r="R3941" s="255"/>
      <c r="S3941" s="255"/>
      <c r="T3941" s="255"/>
    </row>
    <row r="3942" spans="18:20" x14ac:dyDescent="0.3">
      <c r="R3942" s="255"/>
      <c r="S3942" s="255"/>
      <c r="T3942" s="255"/>
    </row>
    <row r="3943" spans="18:20" x14ac:dyDescent="0.3">
      <c r="R3943" s="255"/>
      <c r="S3943" s="255"/>
      <c r="T3943" s="255"/>
    </row>
    <row r="3944" spans="18:20" x14ac:dyDescent="0.3">
      <c r="R3944" s="255"/>
      <c r="S3944" s="255"/>
      <c r="T3944" s="255"/>
    </row>
    <row r="3945" spans="18:20" x14ac:dyDescent="0.3">
      <c r="R3945" s="255"/>
      <c r="S3945" s="255"/>
      <c r="T3945" s="255"/>
    </row>
    <row r="3946" spans="18:20" x14ac:dyDescent="0.3">
      <c r="R3946" s="255"/>
      <c r="S3946" s="255"/>
      <c r="T3946" s="255"/>
    </row>
    <row r="3947" spans="18:20" x14ac:dyDescent="0.3">
      <c r="R3947" s="255"/>
      <c r="S3947" s="255"/>
      <c r="T3947" s="255"/>
    </row>
    <row r="3948" spans="18:20" x14ac:dyDescent="0.3">
      <c r="R3948" s="255"/>
      <c r="S3948" s="255"/>
      <c r="T3948" s="255"/>
    </row>
    <row r="3949" spans="18:20" x14ac:dyDescent="0.3">
      <c r="R3949" s="255"/>
      <c r="S3949" s="255"/>
      <c r="T3949" s="255"/>
    </row>
    <row r="3950" spans="18:20" x14ac:dyDescent="0.3">
      <c r="R3950" s="255"/>
      <c r="S3950" s="255"/>
      <c r="T3950" s="255"/>
    </row>
    <row r="3951" spans="18:20" x14ac:dyDescent="0.3">
      <c r="R3951" s="255"/>
      <c r="S3951" s="255"/>
      <c r="T3951" s="255"/>
    </row>
    <row r="3952" spans="18:20" x14ac:dyDescent="0.3">
      <c r="R3952" s="255"/>
      <c r="S3952" s="255"/>
      <c r="T3952" s="255"/>
    </row>
    <row r="3953" spans="18:20" x14ac:dyDescent="0.3">
      <c r="R3953" s="255"/>
      <c r="S3953" s="255"/>
      <c r="T3953" s="255"/>
    </row>
    <row r="3954" spans="18:20" x14ac:dyDescent="0.3">
      <c r="R3954" s="255"/>
      <c r="S3954" s="255"/>
      <c r="T3954" s="255"/>
    </row>
    <row r="3955" spans="18:20" x14ac:dyDescent="0.3">
      <c r="R3955" s="255"/>
      <c r="S3955" s="255"/>
      <c r="T3955" s="255"/>
    </row>
    <row r="3956" spans="18:20" x14ac:dyDescent="0.3">
      <c r="R3956" s="255"/>
      <c r="S3956" s="255"/>
      <c r="T3956" s="255"/>
    </row>
    <row r="3957" spans="18:20" x14ac:dyDescent="0.3">
      <c r="R3957" s="255"/>
      <c r="S3957" s="255"/>
      <c r="T3957" s="255"/>
    </row>
    <row r="3958" spans="18:20" x14ac:dyDescent="0.3">
      <c r="R3958" s="255"/>
      <c r="S3958" s="255"/>
      <c r="T3958" s="255"/>
    </row>
    <row r="3959" spans="18:20" x14ac:dyDescent="0.3">
      <c r="R3959" s="255"/>
      <c r="S3959" s="255"/>
      <c r="T3959" s="255"/>
    </row>
    <row r="3960" spans="18:20" x14ac:dyDescent="0.3">
      <c r="R3960" s="255"/>
      <c r="S3960" s="255"/>
      <c r="T3960" s="255"/>
    </row>
    <row r="3961" spans="18:20" x14ac:dyDescent="0.3">
      <c r="R3961" s="255"/>
      <c r="S3961" s="255"/>
      <c r="T3961" s="255"/>
    </row>
    <row r="3962" spans="18:20" x14ac:dyDescent="0.3">
      <c r="R3962" s="255"/>
      <c r="S3962" s="255"/>
      <c r="T3962" s="255"/>
    </row>
    <row r="3963" spans="18:20" x14ac:dyDescent="0.3">
      <c r="R3963" s="255"/>
      <c r="S3963" s="255"/>
      <c r="T3963" s="255"/>
    </row>
    <row r="3964" spans="18:20" x14ac:dyDescent="0.3">
      <c r="R3964" s="255"/>
      <c r="S3964" s="255"/>
      <c r="T3964" s="255"/>
    </row>
    <row r="3965" spans="18:20" x14ac:dyDescent="0.3">
      <c r="R3965" s="255"/>
      <c r="S3965" s="255"/>
      <c r="T3965" s="255"/>
    </row>
    <row r="3966" spans="18:20" x14ac:dyDescent="0.3">
      <c r="R3966" s="255"/>
      <c r="S3966" s="255"/>
      <c r="T3966" s="255"/>
    </row>
    <row r="3967" spans="18:20" x14ac:dyDescent="0.3">
      <c r="R3967" s="255"/>
      <c r="S3967" s="255"/>
      <c r="T3967" s="255"/>
    </row>
    <row r="3968" spans="18:20" x14ac:dyDescent="0.3">
      <c r="R3968" s="255"/>
      <c r="S3968" s="255"/>
      <c r="T3968" s="255"/>
    </row>
    <row r="3969" spans="18:20" x14ac:dyDescent="0.3">
      <c r="R3969" s="255"/>
      <c r="S3969" s="255"/>
      <c r="T3969" s="255"/>
    </row>
    <row r="3970" spans="18:20" x14ac:dyDescent="0.3">
      <c r="R3970" s="255"/>
      <c r="S3970" s="255"/>
      <c r="T3970" s="255"/>
    </row>
    <row r="3971" spans="18:20" x14ac:dyDescent="0.3">
      <c r="R3971" s="255"/>
      <c r="S3971" s="255"/>
      <c r="T3971" s="255"/>
    </row>
    <row r="3972" spans="18:20" x14ac:dyDescent="0.3">
      <c r="R3972" s="255"/>
      <c r="S3972" s="255"/>
      <c r="T3972" s="255"/>
    </row>
    <row r="3973" spans="18:20" x14ac:dyDescent="0.3">
      <c r="R3973" s="255"/>
      <c r="S3973" s="255"/>
      <c r="T3973" s="255"/>
    </row>
    <row r="3974" spans="18:20" x14ac:dyDescent="0.3">
      <c r="R3974" s="255"/>
      <c r="S3974" s="255"/>
      <c r="T3974" s="255"/>
    </row>
    <row r="3975" spans="18:20" x14ac:dyDescent="0.3">
      <c r="R3975" s="255"/>
      <c r="S3975" s="255"/>
      <c r="T3975" s="255"/>
    </row>
    <row r="3976" spans="18:20" x14ac:dyDescent="0.3">
      <c r="R3976" s="255"/>
      <c r="S3976" s="255"/>
      <c r="T3976" s="255"/>
    </row>
    <row r="3977" spans="18:20" x14ac:dyDescent="0.3">
      <c r="R3977" s="255"/>
      <c r="S3977" s="255"/>
      <c r="T3977" s="255"/>
    </row>
    <row r="3978" spans="18:20" x14ac:dyDescent="0.3">
      <c r="R3978" s="255"/>
      <c r="S3978" s="255"/>
      <c r="T3978" s="255"/>
    </row>
    <row r="3979" spans="18:20" x14ac:dyDescent="0.3">
      <c r="R3979" s="255"/>
      <c r="S3979" s="255"/>
      <c r="T3979" s="255"/>
    </row>
    <row r="3980" spans="18:20" x14ac:dyDescent="0.3">
      <c r="R3980" s="255"/>
      <c r="S3980" s="255"/>
      <c r="T3980" s="255"/>
    </row>
    <row r="3981" spans="18:20" x14ac:dyDescent="0.3">
      <c r="R3981" s="255"/>
      <c r="S3981" s="255"/>
      <c r="T3981" s="255"/>
    </row>
    <row r="3982" spans="18:20" x14ac:dyDescent="0.3">
      <c r="R3982" s="255"/>
      <c r="S3982" s="255"/>
      <c r="T3982" s="255"/>
    </row>
    <row r="3983" spans="18:20" x14ac:dyDescent="0.3">
      <c r="R3983" s="255"/>
      <c r="S3983" s="255"/>
      <c r="T3983" s="255"/>
    </row>
    <row r="3984" spans="18:20" x14ac:dyDescent="0.3">
      <c r="R3984" s="255"/>
      <c r="S3984" s="255"/>
      <c r="T3984" s="255"/>
    </row>
    <row r="3985" spans="18:20" x14ac:dyDescent="0.3">
      <c r="R3985" s="255"/>
      <c r="S3985" s="255"/>
      <c r="T3985" s="255"/>
    </row>
    <row r="3986" spans="18:20" x14ac:dyDescent="0.3">
      <c r="R3986" s="255"/>
      <c r="S3986" s="255"/>
      <c r="T3986" s="255"/>
    </row>
    <row r="3987" spans="18:20" x14ac:dyDescent="0.3">
      <c r="R3987" s="255"/>
      <c r="S3987" s="255"/>
      <c r="T3987" s="255"/>
    </row>
    <row r="3988" spans="18:20" x14ac:dyDescent="0.3">
      <c r="R3988" s="255"/>
      <c r="S3988" s="255"/>
      <c r="T3988" s="255"/>
    </row>
    <row r="3989" spans="18:20" x14ac:dyDescent="0.3">
      <c r="R3989" s="255"/>
      <c r="S3989" s="255"/>
      <c r="T3989" s="255"/>
    </row>
    <row r="3990" spans="18:20" x14ac:dyDescent="0.3">
      <c r="R3990" s="255"/>
      <c r="S3990" s="255"/>
      <c r="T3990" s="255"/>
    </row>
    <row r="3991" spans="18:20" x14ac:dyDescent="0.3">
      <c r="R3991" s="255"/>
      <c r="S3991" s="255"/>
      <c r="T3991" s="255"/>
    </row>
    <row r="3992" spans="18:20" x14ac:dyDescent="0.3">
      <c r="R3992" s="255"/>
      <c r="S3992" s="255"/>
      <c r="T3992" s="255"/>
    </row>
    <row r="3993" spans="18:20" x14ac:dyDescent="0.3">
      <c r="R3993" s="255"/>
      <c r="S3993" s="255"/>
      <c r="T3993" s="255"/>
    </row>
    <row r="3994" spans="18:20" x14ac:dyDescent="0.3">
      <c r="R3994" s="255"/>
      <c r="S3994" s="255"/>
      <c r="T3994" s="255"/>
    </row>
    <row r="3995" spans="18:20" x14ac:dyDescent="0.3">
      <c r="R3995" s="255"/>
      <c r="S3995" s="255"/>
      <c r="T3995" s="255"/>
    </row>
    <row r="3996" spans="18:20" x14ac:dyDescent="0.3">
      <c r="R3996" s="255"/>
      <c r="S3996" s="255"/>
      <c r="T3996" s="255"/>
    </row>
    <row r="3997" spans="18:20" x14ac:dyDescent="0.3">
      <c r="R3997" s="255"/>
      <c r="S3997" s="255"/>
      <c r="T3997" s="255"/>
    </row>
    <row r="3998" spans="18:20" x14ac:dyDescent="0.3">
      <c r="R3998" s="255"/>
      <c r="S3998" s="255"/>
      <c r="T3998" s="255"/>
    </row>
    <row r="3999" spans="18:20" x14ac:dyDescent="0.3">
      <c r="R3999" s="255"/>
      <c r="S3999" s="255"/>
      <c r="T3999" s="255"/>
    </row>
    <row r="4000" spans="18:20" x14ac:dyDescent="0.3">
      <c r="R4000" s="255"/>
      <c r="S4000" s="255"/>
      <c r="T4000" s="255"/>
    </row>
    <row r="4001" spans="18:20" x14ac:dyDescent="0.3">
      <c r="R4001" s="255"/>
      <c r="S4001" s="255"/>
      <c r="T4001" s="255"/>
    </row>
    <row r="4002" spans="18:20" x14ac:dyDescent="0.3">
      <c r="R4002" s="255"/>
      <c r="S4002" s="255"/>
      <c r="T4002" s="255"/>
    </row>
    <row r="4003" spans="18:20" x14ac:dyDescent="0.3">
      <c r="R4003" s="255"/>
      <c r="S4003" s="255"/>
      <c r="T4003" s="255"/>
    </row>
    <row r="4004" spans="18:20" x14ac:dyDescent="0.3">
      <c r="R4004" s="255"/>
      <c r="S4004" s="255"/>
      <c r="T4004" s="255"/>
    </row>
    <row r="4005" spans="18:20" x14ac:dyDescent="0.3">
      <c r="R4005" s="255"/>
      <c r="S4005" s="255"/>
      <c r="T4005" s="255"/>
    </row>
    <row r="4006" spans="18:20" x14ac:dyDescent="0.3">
      <c r="R4006" s="255"/>
      <c r="S4006" s="255"/>
      <c r="T4006" s="255"/>
    </row>
    <row r="4007" spans="18:20" x14ac:dyDescent="0.3">
      <c r="R4007" s="255"/>
      <c r="S4007" s="255"/>
      <c r="T4007" s="255"/>
    </row>
    <row r="4008" spans="18:20" x14ac:dyDescent="0.3">
      <c r="R4008" s="255"/>
      <c r="S4008" s="255"/>
      <c r="T4008" s="255"/>
    </row>
    <row r="4009" spans="18:20" x14ac:dyDescent="0.3">
      <c r="R4009" s="255"/>
      <c r="S4009" s="255"/>
      <c r="T4009" s="255"/>
    </row>
    <row r="4010" spans="18:20" x14ac:dyDescent="0.3">
      <c r="R4010" s="255"/>
      <c r="S4010" s="255"/>
      <c r="T4010" s="255"/>
    </row>
    <row r="4011" spans="18:20" x14ac:dyDescent="0.3">
      <c r="R4011" s="255"/>
      <c r="S4011" s="255"/>
      <c r="T4011" s="255"/>
    </row>
    <row r="4012" spans="18:20" x14ac:dyDescent="0.3">
      <c r="R4012" s="255"/>
      <c r="S4012" s="255"/>
      <c r="T4012" s="255"/>
    </row>
    <row r="4013" spans="18:20" x14ac:dyDescent="0.3">
      <c r="R4013" s="255"/>
      <c r="S4013" s="255"/>
      <c r="T4013" s="255"/>
    </row>
    <row r="4014" spans="18:20" x14ac:dyDescent="0.3">
      <c r="R4014" s="255"/>
      <c r="S4014" s="255"/>
      <c r="T4014" s="255"/>
    </row>
    <row r="4015" spans="18:20" x14ac:dyDescent="0.3">
      <c r="R4015" s="255"/>
      <c r="S4015" s="255"/>
      <c r="T4015" s="255"/>
    </row>
    <row r="4016" spans="18:20" x14ac:dyDescent="0.3">
      <c r="R4016" s="255"/>
      <c r="S4016" s="255"/>
      <c r="T4016" s="255"/>
    </row>
    <row r="4017" spans="18:20" x14ac:dyDescent="0.3">
      <c r="R4017" s="255"/>
      <c r="S4017" s="255"/>
      <c r="T4017" s="255"/>
    </row>
    <row r="4018" spans="18:20" x14ac:dyDescent="0.3">
      <c r="R4018" s="255"/>
      <c r="S4018" s="255"/>
      <c r="T4018" s="255"/>
    </row>
    <row r="4019" spans="18:20" x14ac:dyDescent="0.3">
      <c r="R4019" s="255"/>
      <c r="S4019" s="255"/>
      <c r="T4019" s="255"/>
    </row>
    <row r="4020" spans="18:20" x14ac:dyDescent="0.3">
      <c r="R4020" s="255"/>
      <c r="S4020" s="255"/>
      <c r="T4020" s="255"/>
    </row>
    <row r="4021" spans="18:20" x14ac:dyDescent="0.3">
      <c r="R4021" s="255"/>
      <c r="S4021" s="255"/>
      <c r="T4021" s="255"/>
    </row>
    <row r="4022" spans="18:20" x14ac:dyDescent="0.3">
      <c r="R4022" s="255"/>
      <c r="S4022" s="255"/>
      <c r="T4022" s="255"/>
    </row>
    <row r="4023" spans="18:20" x14ac:dyDescent="0.3">
      <c r="R4023" s="255"/>
      <c r="S4023" s="255"/>
      <c r="T4023" s="255"/>
    </row>
    <row r="4024" spans="18:20" x14ac:dyDescent="0.3">
      <c r="R4024" s="255"/>
      <c r="S4024" s="255"/>
      <c r="T4024" s="255"/>
    </row>
    <row r="4025" spans="18:20" x14ac:dyDescent="0.3">
      <c r="R4025" s="255"/>
      <c r="S4025" s="255"/>
      <c r="T4025" s="255"/>
    </row>
    <row r="4026" spans="18:20" x14ac:dyDescent="0.3">
      <c r="R4026" s="255"/>
      <c r="S4026" s="255"/>
      <c r="T4026" s="255"/>
    </row>
    <row r="4027" spans="18:20" x14ac:dyDescent="0.3">
      <c r="R4027" s="255"/>
      <c r="S4027" s="255"/>
      <c r="T4027" s="255"/>
    </row>
    <row r="4028" spans="18:20" x14ac:dyDescent="0.3">
      <c r="R4028" s="255"/>
      <c r="S4028" s="255"/>
      <c r="T4028" s="255"/>
    </row>
    <row r="4029" spans="18:20" x14ac:dyDescent="0.3">
      <c r="R4029" s="255"/>
      <c r="S4029" s="255"/>
      <c r="T4029" s="255"/>
    </row>
    <row r="4030" spans="18:20" x14ac:dyDescent="0.3">
      <c r="R4030" s="255"/>
      <c r="S4030" s="255"/>
      <c r="T4030" s="255"/>
    </row>
    <row r="4031" spans="18:20" x14ac:dyDescent="0.3">
      <c r="R4031" s="255"/>
      <c r="S4031" s="255"/>
      <c r="T4031" s="255"/>
    </row>
    <row r="4032" spans="18:20" x14ac:dyDescent="0.3">
      <c r="R4032" s="255"/>
      <c r="S4032" s="255"/>
      <c r="T4032" s="255"/>
    </row>
    <row r="4033" spans="18:20" x14ac:dyDescent="0.3">
      <c r="R4033" s="255"/>
      <c r="S4033" s="255"/>
      <c r="T4033" s="255"/>
    </row>
    <row r="4034" spans="18:20" x14ac:dyDescent="0.3">
      <c r="R4034" s="255"/>
      <c r="S4034" s="255"/>
      <c r="T4034" s="255"/>
    </row>
    <row r="4035" spans="18:20" x14ac:dyDescent="0.3">
      <c r="R4035" s="255"/>
      <c r="S4035" s="255"/>
      <c r="T4035" s="255"/>
    </row>
    <row r="4036" spans="18:20" x14ac:dyDescent="0.3">
      <c r="R4036" s="255"/>
      <c r="S4036" s="255"/>
      <c r="T4036" s="255"/>
    </row>
    <row r="4037" spans="18:20" x14ac:dyDescent="0.3">
      <c r="R4037" s="255"/>
      <c r="S4037" s="255"/>
      <c r="T4037" s="255"/>
    </row>
    <row r="4038" spans="18:20" x14ac:dyDescent="0.3">
      <c r="R4038" s="255"/>
      <c r="S4038" s="255"/>
      <c r="T4038" s="255"/>
    </row>
    <row r="4039" spans="18:20" x14ac:dyDescent="0.3">
      <c r="R4039" s="255"/>
      <c r="S4039" s="255"/>
      <c r="T4039" s="255"/>
    </row>
    <row r="4040" spans="18:20" x14ac:dyDescent="0.3">
      <c r="R4040" s="255"/>
      <c r="S4040" s="255"/>
      <c r="T4040" s="255"/>
    </row>
    <row r="4041" spans="18:20" x14ac:dyDescent="0.3">
      <c r="R4041" s="255"/>
      <c r="S4041" s="255"/>
      <c r="T4041" s="255"/>
    </row>
    <row r="4042" spans="18:20" x14ac:dyDescent="0.3">
      <c r="R4042" s="255"/>
      <c r="S4042" s="255"/>
      <c r="T4042" s="255"/>
    </row>
    <row r="4043" spans="18:20" x14ac:dyDescent="0.3">
      <c r="R4043" s="255"/>
      <c r="S4043" s="255"/>
      <c r="T4043" s="255"/>
    </row>
    <row r="4044" spans="18:20" x14ac:dyDescent="0.3">
      <c r="R4044" s="255"/>
      <c r="S4044" s="255"/>
      <c r="T4044" s="255"/>
    </row>
    <row r="4045" spans="18:20" x14ac:dyDescent="0.3">
      <c r="R4045" s="255"/>
      <c r="S4045" s="255"/>
      <c r="T4045" s="255"/>
    </row>
    <row r="4046" spans="18:20" x14ac:dyDescent="0.3">
      <c r="R4046" s="255"/>
      <c r="S4046" s="255"/>
      <c r="T4046" s="255"/>
    </row>
    <row r="4047" spans="18:20" x14ac:dyDescent="0.3">
      <c r="R4047" s="255"/>
      <c r="S4047" s="255"/>
      <c r="T4047" s="255"/>
    </row>
    <row r="4048" spans="18:20" x14ac:dyDescent="0.3">
      <c r="R4048" s="255"/>
      <c r="S4048" s="255"/>
      <c r="T4048" s="255"/>
    </row>
    <row r="4049" spans="18:20" x14ac:dyDescent="0.3">
      <c r="R4049" s="255"/>
      <c r="S4049" s="255"/>
      <c r="T4049" s="255"/>
    </row>
    <row r="4050" spans="18:20" x14ac:dyDescent="0.3">
      <c r="R4050" s="255"/>
      <c r="S4050" s="255"/>
      <c r="T4050" s="255"/>
    </row>
    <row r="4051" spans="18:20" x14ac:dyDescent="0.3">
      <c r="R4051" s="255"/>
      <c r="S4051" s="255"/>
      <c r="T4051" s="255"/>
    </row>
    <row r="4052" spans="18:20" x14ac:dyDescent="0.3">
      <c r="R4052" s="255"/>
      <c r="S4052" s="255"/>
      <c r="T4052" s="255"/>
    </row>
    <row r="4053" spans="18:20" x14ac:dyDescent="0.3">
      <c r="R4053" s="255"/>
      <c r="S4053" s="255"/>
      <c r="T4053" s="255"/>
    </row>
    <row r="4054" spans="18:20" x14ac:dyDescent="0.3">
      <c r="R4054" s="255"/>
      <c r="S4054" s="255"/>
      <c r="T4054" s="255"/>
    </row>
    <row r="4055" spans="18:20" x14ac:dyDescent="0.3">
      <c r="R4055" s="255"/>
      <c r="S4055" s="255"/>
      <c r="T4055" s="255"/>
    </row>
    <row r="4056" spans="18:20" x14ac:dyDescent="0.3">
      <c r="R4056" s="255"/>
      <c r="S4056" s="255"/>
      <c r="T4056" s="255"/>
    </row>
    <row r="4057" spans="18:20" x14ac:dyDescent="0.3">
      <c r="R4057" s="255"/>
      <c r="S4057" s="255"/>
      <c r="T4057" s="255"/>
    </row>
    <row r="4058" spans="18:20" x14ac:dyDescent="0.3">
      <c r="R4058" s="255"/>
      <c r="S4058" s="255"/>
      <c r="T4058" s="255"/>
    </row>
    <row r="4059" spans="18:20" x14ac:dyDescent="0.3">
      <c r="R4059" s="255"/>
      <c r="S4059" s="255"/>
      <c r="T4059" s="255"/>
    </row>
    <row r="4060" spans="18:20" x14ac:dyDescent="0.3">
      <c r="R4060" s="255"/>
      <c r="S4060" s="255"/>
      <c r="T4060" s="255"/>
    </row>
    <row r="4061" spans="18:20" x14ac:dyDescent="0.3">
      <c r="R4061" s="255"/>
      <c r="S4061" s="255"/>
      <c r="T4061" s="255"/>
    </row>
    <row r="4062" spans="18:20" x14ac:dyDescent="0.3">
      <c r="R4062" s="255"/>
      <c r="S4062" s="255"/>
      <c r="T4062" s="255"/>
    </row>
    <row r="4063" spans="18:20" x14ac:dyDescent="0.3">
      <c r="R4063" s="255"/>
      <c r="S4063" s="255"/>
      <c r="T4063" s="255"/>
    </row>
    <row r="4064" spans="18:20" x14ac:dyDescent="0.3">
      <c r="R4064" s="255"/>
      <c r="S4064" s="255"/>
      <c r="T4064" s="255"/>
    </row>
    <row r="4065" spans="18:20" x14ac:dyDescent="0.3">
      <c r="R4065" s="255"/>
      <c r="S4065" s="255"/>
      <c r="T4065" s="255"/>
    </row>
    <row r="4066" spans="18:20" x14ac:dyDescent="0.3">
      <c r="R4066" s="255"/>
      <c r="S4066" s="255"/>
      <c r="T4066" s="255"/>
    </row>
    <row r="4067" spans="18:20" x14ac:dyDescent="0.3">
      <c r="R4067" s="255"/>
      <c r="S4067" s="255"/>
      <c r="T4067" s="255"/>
    </row>
    <row r="4068" spans="18:20" x14ac:dyDescent="0.3">
      <c r="R4068" s="255"/>
      <c r="S4068" s="255"/>
      <c r="T4068" s="255"/>
    </row>
    <row r="4069" spans="18:20" x14ac:dyDescent="0.3">
      <c r="R4069" s="255"/>
      <c r="S4069" s="255"/>
      <c r="T4069" s="255"/>
    </row>
    <row r="4070" spans="18:20" x14ac:dyDescent="0.3">
      <c r="R4070" s="255"/>
      <c r="S4070" s="255"/>
      <c r="T4070" s="255"/>
    </row>
    <row r="4071" spans="18:20" x14ac:dyDescent="0.3">
      <c r="R4071" s="255"/>
      <c r="S4071" s="255"/>
      <c r="T4071" s="255"/>
    </row>
    <row r="4072" spans="18:20" x14ac:dyDescent="0.3">
      <c r="R4072" s="255"/>
      <c r="S4072" s="255"/>
      <c r="T4072" s="255"/>
    </row>
    <row r="4073" spans="18:20" x14ac:dyDescent="0.3">
      <c r="R4073" s="255"/>
      <c r="S4073" s="255"/>
      <c r="T4073" s="255"/>
    </row>
    <row r="4074" spans="18:20" x14ac:dyDescent="0.3">
      <c r="R4074" s="255"/>
      <c r="S4074" s="255"/>
      <c r="T4074" s="255"/>
    </row>
    <row r="4075" spans="18:20" x14ac:dyDescent="0.3">
      <c r="R4075" s="255"/>
      <c r="S4075" s="255"/>
      <c r="T4075" s="255"/>
    </row>
    <row r="4076" spans="18:20" x14ac:dyDescent="0.3">
      <c r="R4076" s="255"/>
      <c r="S4076" s="255"/>
      <c r="T4076" s="255"/>
    </row>
    <row r="4077" spans="18:20" x14ac:dyDescent="0.3">
      <c r="R4077" s="255"/>
      <c r="S4077" s="255"/>
      <c r="T4077" s="255"/>
    </row>
    <row r="4078" spans="18:20" x14ac:dyDescent="0.3">
      <c r="R4078" s="255"/>
      <c r="S4078" s="255"/>
      <c r="T4078" s="255"/>
    </row>
    <row r="4079" spans="18:20" x14ac:dyDescent="0.3">
      <c r="R4079" s="255"/>
      <c r="S4079" s="255"/>
      <c r="T4079" s="255"/>
    </row>
    <row r="4080" spans="18:20" x14ac:dyDescent="0.3">
      <c r="R4080" s="255"/>
      <c r="S4080" s="255"/>
      <c r="T4080" s="255"/>
    </row>
    <row r="4081" spans="18:20" x14ac:dyDescent="0.3">
      <c r="R4081" s="255"/>
      <c r="S4081" s="255"/>
      <c r="T4081" s="255"/>
    </row>
    <row r="4082" spans="18:20" x14ac:dyDescent="0.3">
      <c r="R4082" s="255"/>
      <c r="S4082" s="255"/>
      <c r="T4082" s="255"/>
    </row>
    <row r="4083" spans="18:20" x14ac:dyDescent="0.3">
      <c r="R4083" s="255"/>
      <c r="S4083" s="255"/>
      <c r="T4083" s="255"/>
    </row>
    <row r="4084" spans="18:20" x14ac:dyDescent="0.3">
      <c r="R4084" s="255"/>
      <c r="S4084" s="255"/>
      <c r="T4084" s="255"/>
    </row>
    <row r="4085" spans="18:20" x14ac:dyDescent="0.3">
      <c r="R4085" s="255"/>
      <c r="S4085" s="255"/>
      <c r="T4085" s="255"/>
    </row>
    <row r="4086" spans="18:20" x14ac:dyDescent="0.3">
      <c r="R4086" s="255"/>
      <c r="S4086" s="255"/>
      <c r="T4086" s="255"/>
    </row>
    <row r="4087" spans="18:20" x14ac:dyDescent="0.3">
      <c r="R4087" s="255"/>
      <c r="S4087" s="255"/>
      <c r="T4087" s="255"/>
    </row>
    <row r="4088" spans="18:20" x14ac:dyDescent="0.3">
      <c r="R4088" s="255"/>
      <c r="S4088" s="255"/>
      <c r="T4088" s="255"/>
    </row>
    <row r="4089" spans="18:20" x14ac:dyDescent="0.3">
      <c r="R4089" s="255"/>
      <c r="S4089" s="255"/>
      <c r="T4089" s="255"/>
    </row>
    <row r="4090" spans="18:20" x14ac:dyDescent="0.3">
      <c r="R4090" s="255"/>
      <c r="S4090" s="255"/>
      <c r="T4090" s="255"/>
    </row>
    <row r="4091" spans="18:20" x14ac:dyDescent="0.3">
      <c r="R4091" s="255"/>
      <c r="S4091" s="255"/>
      <c r="T4091" s="255"/>
    </row>
    <row r="4092" spans="18:20" x14ac:dyDescent="0.3">
      <c r="R4092" s="255"/>
      <c r="S4092" s="255"/>
      <c r="T4092" s="255"/>
    </row>
    <row r="4093" spans="18:20" x14ac:dyDescent="0.3">
      <c r="R4093" s="255"/>
      <c r="S4093" s="255"/>
      <c r="T4093" s="255"/>
    </row>
    <row r="4094" spans="18:20" x14ac:dyDescent="0.3">
      <c r="R4094" s="255"/>
      <c r="S4094" s="255"/>
      <c r="T4094" s="255"/>
    </row>
    <row r="4095" spans="18:20" x14ac:dyDescent="0.3">
      <c r="R4095" s="255"/>
      <c r="S4095" s="255"/>
      <c r="T4095" s="255"/>
    </row>
    <row r="4096" spans="18:20" x14ac:dyDescent="0.3">
      <c r="R4096" s="255"/>
      <c r="S4096" s="255"/>
      <c r="T4096" s="255"/>
    </row>
    <row r="4097" spans="18:20" x14ac:dyDescent="0.3">
      <c r="R4097" s="255"/>
      <c r="S4097" s="255"/>
      <c r="T4097" s="255"/>
    </row>
    <row r="4098" spans="18:20" x14ac:dyDescent="0.3">
      <c r="R4098" s="255"/>
      <c r="S4098" s="255"/>
      <c r="T4098" s="255"/>
    </row>
    <row r="4099" spans="18:20" x14ac:dyDescent="0.3">
      <c r="R4099" s="255"/>
      <c r="S4099" s="255"/>
      <c r="T4099" s="255"/>
    </row>
    <row r="4100" spans="18:20" x14ac:dyDescent="0.3">
      <c r="R4100" s="255"/>
      <c r="S4100" s="255"/>
      <c r="T4100" s="255"/>
    </row>
    <row r="4101" spans="18:20" x14ac:dyDescent="0.3">
      <c r="R4101" s="255"/>
      <c r="S4101" s="255"/>
      <c r="T4101" s="255"/>
    </row>
    <row r="4102" spans="18:20" x14ac:dyDescent="0.3">
      <c r="R4102" s="255"/>
      <c r="S4102" s="255"/>
      <c r="T4102" s="255"/>
    </row>
    <row r="4103" spans="18:20" x14ac:dyDescent="0.3">
      <c r="R4103" s="255"/>
      <c r="S4103" s="255"/>
      <c r="T4103" s="255"/>
    </row>
    <row r="4104" spans="18:20" x14ac:dyDescent="0.3">
      <c r="R4104" s="255"/>
      <c r="S4104" s="255"/>
      <c r="T4104" s="255"/>
    </row>
    <row r="4105" spans="18:20" x14ac:dyDescent="0.3">
      <c r="R4105" s="255"/>
      <c r="S4105" s="255"/>
      <c r="T4105" s="255"/>
    </row>
    <row r="4106" spans="18:20" x14ac:dyDescent="0.3">
      <c r="R4106" s="255"/>
      <c r="S4106" s="255"/>
      <c r="T4106" s="255"/>
    </row>
    <row r="4107" spans="18:20" x14ac:dyDescent="0.3">
      <c r="R4107" s="255"/>
      <c r="S4107" s="255"/>
      <c r="T4107" s="255"/>
    </row>
    <row r="4108" spans="18:20" x14ac:dyDescent="0.3">
      <c r="R4108" s="255"/>
      <c r="S4108" s="255"/>
      <c r="T4108" s="255"/>
    </row>
    <row r="4109" spans="18:20" x14ac:dyDescent="0.3">
      <c r="R4109" s="255"/>
      <c r="S4109" s="255"/>
      <c r="T4109" s="255"/>
    </row>
    <row r="4110" spans="18:20" x14ac:dyDescent="0.3">
      <c r="R4110" s="255"/>
      <c r="S4110" s="255"/>
      <c r="T4110" s="255"/>
    </row>
    <row r="4111" spans="18:20" x14ac:dyDescent="0.3">
      <c r="R4111" s="255"/>
      <c r="S4111" s="255"/>
      <c r="T4111" s="255"/>
    </row>
    <row r="4112" spans="18:20" x14ac:dyDescent="0.3">
      <c r="R4112" s="255"/>
      <c r="S4112" s="255"/>
      <c r="T4112" s="255"/>
    </row>
    <row r="4113" spans="18:20" x14ac:dyDescent="0.3">
      <c r="R4113" s="255"/>
      <c r="S4113" s="255"/>
      <c r="T4113" s="255"/>
    </row>
    <row r="4114" spans="18:20" x14ac:dyDescent="0.3">
      <c r="R4114" s="255"/>
      <c r="S4114" s="255"/>
      <c r="T4114" s="255"/>
    </row>
    <row r="4115" spans="18:20" x14ac:dyDescent="0.3">
      <c r="R4115" s="255"/>
      <c r="S4115" s="255"/>
      <c r="T4115" s="255"/>
    </row>
    <row r="4116" spans="18:20" x14ac:dyDescent="0.3">
      <c r="R4116" s="255"/>
      <c r="S4116" s="255"/>
      <c r="T4116" s="255"/>
    </row>
    <row r="4117" spans="18:20" x14ac:dyDescent="0.3">
      <c r="R4117" s="255"/>
      <c r="S4117" s="255"/>
      <c r="T4117" s="255"/>
    </row>
    <row r="4118" spans="18:20" x14ac:dyDescent="0.3">
      <c r="R4118" s="255"/>
      <c r="S4118" s="255"/>
      <c r="T4118" s="255"/>
    </row>
    <row r="4119" spans="18:20" x14ac:dyDescent="0.3">
      <c r="R4119" s="255"/>
      <c r="S4119" s="255"/>
      <c r="T4119" s="255"/>
    </row>
    <row r="4120" spans="18:20" x14ac:dyDescent="0.3">
      <c r="R4120" s="255"/>
      <c r="S4120" s="255"/>
      <c r="T4120" s="255"/>
    </row>
    <row r="4121" spans="18:20" x14ac:dyDescent="0.3">
      <c r="R4121" s="255"/>
      <c r="S4121" s="255"/>
      <c r="T4121" s="255"/>
    </row>
    <row r="4122" spans="18:20" x14ac:dyDescent="0.3">
      <c r="R4122" s="255"/>
      <c r="S4122" s="255"/>
      <c r="T4122" s="255"/>
    </row>
    <row r="4123" spans="18:20" x14ac:dyDescent="0.3">
      <c r="R4123" s="255"/>
      <c r="S4123" s="255"/>
      <c r="T4123" s="255"/>
    </row>
    <row r="4124" spans="18:20" x14ac:dyDescent="0.3">
      <c r="R4124" s="255"/>
      <c r="S4124" s="255"/>
      <c r="T4124" s="255"/>
    </row>
    <row r="4125" spans="18:20" x14ac:dyDescent="0.3">
      <c r="R4125" s="255"/>
      <c r="S4125" s="255"/>
      <c r="T4125" s="255"/>
    </row>
    <row r="4126" spans="18:20" x14ac:dyDescent="0.3">
      <c r="R4126" s="255"/>
      <c r="S4126" s="255"/>
      <c r="T4126" s="255"/>
    </row>
    <row r="4127" spans="18:20" x14ac:dyDescent="0.3">
      <c r="R4127" s="255"/>
      <c r="S4127" s="255"/>
      <c r="T4127" s="255"/>
    </row>
    <row r="4128" spans="18:20" x14ac:dyDescent="0.3">
      <c r="R4128" s="255"/>
      <c r="S4128" s="255"/>
      <c r="T4128" s="255"/>
    </row>
    <row r="4129" spans="18:20" x14ac:dyDescent="0.3">
      <c r="R4129" s="255"/>
      <c r="S4129" s="255"/>
      <c r="T4129" s="255"/>
    </row>
    <row r="4130" spans="18:20" x14ac:dyDescent="0.3">
      <c r="R4130" s="255"/>
      <c r="S4130" s="255"/>
      <c r="T4130" s="255"/>
    </row>
    <row r="4131" spans="18:20" x14ac:dyDescent="0.3">
      <c r="R4131" s="255"/>
      <c r="S4131" s="255"/>
      <c r="T4131" s="255"/>
    </row>
    <row r="4132" spans="18:20" x14ac:dyDescent="0.3">
      <c r="R4132" s="255"/>
      <c r="S4132" s="255"/>
      <c r="T4132" s="255"/>
    </row>
    <row r="4133" spans="18:20" x14ac:dyDescent="0.3">
      <c r="R4133" s="255"/>
      <c r="S4133" s="255"/>
      <c r="T4133" s="255"/>
    </row>
    <row r="4134" spans="18:20" x14ac:dyDescent="0.3">
      <c r="R4134" s="255"/>
      <c r="S4134" s="255"/>
      <c r="T4134" s="255"/>
    </row>
    <row r="4135" spans="18:20" x14ac:dyDescent="0.3">
      <c r="R4135" s="255"/>
      <c r="S4135" s="255"/>
      <c r="T4135" s="255"/>
    </row>
    <row r="4136" spans="18:20" x14ac:dyDescent="0.3">
      <c r="R4136" s="255"/>
      <c r="S4136" s="255"/>
      <c r="T4136" s="255"/>
    </row>
    <row r="4137" spans="18:20" x14ac:dyDescent="0.3">
      <c r="R4137" s="255"/>
      <c r="S4137" s="255"/>
      <c r="T4137" s="255"/>
    </row>
    <row r="4138" spans="18:20" x14ac:dyDescent="0.3">
      <c r="R4138" s="255"/>
      <c r="S4138" s="255"/>
      <c r="T4138" s="255"/>
    </row>
    <row r="4139" spans="18:20" x14ac:dyDescent="0.3">
      <c r="R4139" s="255"/>
      <c r="S4139" s="255"/>
      <c r="T4139" s="255"/>
    </row>
    <row r="4140" spans="18:20" x14ac:dyDescent="0.3">
      <c r="R4140" s="255"/>
      <c r="S4140" s="255"/>
      <c r="T4140" s="255"/>
    </row>
    <row r="4141" spans="18:20" x14ac:dyDescent="0.3">
      <c r="R4141" s="255"/>
      <c r="S4141" s="255"/>
      <c r="T4141" s="255"/>
    </row>
    <row r="4142" spans="18:20" x14ac:dyDescent="0.3">
      <c r="R4142" s="255"/>
      <c r="S4142" s="255"/>
      <c r="T4142" s="255"/>
    </row>
    <row r="4143" spans="18:20" x14ac:dyDescent="0.3">
      <c r="R4143" s="255"/>
      <c r="S4143" s="255"/>
      <c r="T4143" s="255"/>
    </row>
    <row r="4144" spans="18:20" x14ac:dyDescent="0.3">
      <c r="R4144" s="255"/>
      <c r="S4144" s="255"/>
      <c r="T4144" s="255"/>
    </row>
    <row r="4145" spans="18:20" x14ac:dyDescent="0.3">
      <c r="R4145" s="255"/>
      <c r="S4145" s="255"/>
      <c r="T4145" s="255"/>
    </row>
    <row r="4146" spans="18:20" x14ac:dyDescent="0.3">
      <c r="R4146" s="255"/>
      <c r="S4146" s="255"/>
      <c r="T4146" s="255"/>
    </row>
    <row r="4147" spans="18:20" x14ac:dyDescent="0.3">
      <c r="R4147" s="255"/>
      <c r="S4147" s="255"/>
      <c r="T4147" s="255"/>
    </row>
    <row r="4148" spans="18:20" x14ac:dyDescent="0.3">
      <c r="R4148" s="255"/>
      <c r="S4148" s="255"/>
      <c r="T4148" s="255"/>
    </row>
    <row r="4149" spans="18:20" x14ac:dyDescent="0.3">
      <c r="R4149" s="255"/>
      <c r="S4149" s="255"/>
      <c r="T4149" s="255"/>
    </row>
    <row r="4150" spans="18:20" x14ac:dyDescent="0.3">
      <c r="R4150" s="255"/>
      <c r="S4150" s="255"/>
      <c r="T4150" s="255"/>
    </row>
    <row r="4151" spans="18:20" x14ac:dyDescent="0.3">
      <c r="R4151" s="255"/>
      <c r="S4151" s="255"/>
      <c r="T4151" s="255"/>
    </row>
    <row r="4152" spans="18:20" x14ac:dyDescent="0.3">
      <c r="R4152" s="255"/>
      <c r="S4152" s="255"/>
      <c r="T4152" s="255"/>
    </row>
    <row r="4153" spans="18:20" x14ac:dyDescent="0.3">
      <c r="R4153" s="255"/>
      <c r="S4153" s="255"/>
      <c r="T4153" s="255"/>
    </row>
    <row r="4154" spans="18:20" x14ac:dyDescent="0.3">
      <c r="R4154" s="255"/>
      <c r="S4154" s="255"/>
      <c r="T4154" s="255"/>
    </row>
    <row r="4155" spans="18:20" x14ac:dyDescent="0.3">
      <c r="R4155" s="255"/>
      <c r="S4155" s="255"/>
      <c r="T4155" s="255"/>
    </row>
    <row r="4156" spans="18:20" x14ac:dyDescent="0.3">
      <c r="R4156" s="255"/>
      <c r="S4156" s="255"/>
      <c r="T4156" s="255"/>
    </row>
    <row r="4157" spans="18:20" x14ac:dyDescent="0.3">
      <c r="R4157" s="255"/>
      <c r="S4157" s="255"/>
      <c r="T4157" s="255"/>
    </row>
    <row r="4158" spans="18:20" x14ac:dyDescent="0.3">
      <c r="R4158" s="255"/>
      <c r="S4158" s="255"/>
      <c r="T4158" s="255"/>
    </row>
    <row r="4159" spans="18:20" x14ac:dyDescent="0.3">
      <c r="R4159" s="255"/>
      <c r="S4159" s="255"/>
      <c r="T4159" s="255"/>
    </row>
    <row r="4160" spans="18:20" x14ac:dyDescent="0.3">
      <c r="R4160" s="255"/>
      <c r="S4160" s="255"/>
      <c r="T4160" s="255"/>
    </row>
    <row r="4161" spans="18:20" x14ac:dyDescent="0.3">
      <c r="R4161" s="255"/>
      <c r="S4161" s="255"/>
      <c r="T4161" s="255"/>
    </row>
    <row r="4162" spans="18:20" x14ac:dyDescent="0.3">
      <c r="R4162" s="255"/>
      <c r="S4162" s="255"/>
      <c r="T4162" s="255"/>
    </row>
    <row r="4163" spans="18:20" x14ac:dyDescent="0.3">
      <c r="R4163" s="255"/>
      <c r="S4163" s="255"/>
      <c r="T4163" s="255"/>
    </row>
    <row r="4164" spans="18:20" x14ac:dyDescent="0.3">
      <c r="R4164" s="255"/>
      <c r="S4164" s="255"/>
      <c r="T4164" s="255"/>
    </row>
    <row r="4165" spans="18:20" x14ac:dyDescent="0.3">
      <c r="R4165" s="255"/>
      <c r="S4165" s="255"/>
      <c r="T4165" s="255"/>
    </row>
    <row r="4166" spans="18:20" x14ac:dyDescent="0.3">
      <c r="R4166" s="255"/>
      <c r="S4166" s="255"/>
      <c r="T4166" s="255"/>
    </row>
    <row r="4167" spans="18:20" x14ac:dyDescent="0.3">
      <c r="R4167" s="255"/>
      <c r="S4167" s="255"/>
      <c r="T4167" s="255"/>
    </row>
    <row r="4168" spans="18:20" x14ac:dyDescent="0.3">
      <c r="R4168" s="255"/>
      <c r="S4168" s="255"/>
      <c r="T4168" s="255"/>
    </row>
    <row r="4169" spans="18:20" x14ac:dyDescent="0.3">
      <c r="R4169" s="255"/>
      <c r="S4169" s="255"/>
      <c r="T4169" s="255"/>
    </row>
    <row r="4170" spans="18:20" x14ac:dyDescent="0.3">
      <c r="R4170" s="255"/>
      <c r="S4170" s="255"/>
      <c r="T4170" s="255"/>
    </row>
    <row r="4171" spans="18:20" x14ac:dyDescent="0.3">
      <c r="R4171" s="255"/>
      <c r="S4171" s="255"/>
      <c r="T4171" s="255"/>
    </row>
    <row r="4172" spans="18:20" x14ac:dyDescent="0.3">
      <c r="R4172" s="255"/>
      <c r="S4172" s="255"/>
      <c r="T4172" s="255"/>
    </row>
    <row r="4173" spans="18:20" x14ac:dyDescent="0.3">
      <c r="R4173" s="255"/>
      <c r="S4173" s="255"/>
      <c r="T4173" s="255"/>
    </row>
    <row r="4174" spans="18:20" x14ac:dyDescent="0.3">
      <c r="R4174" s="255"/>
      <c r="S4174" s="255"/>
      <c r="T4174" s="255"/>
    </row>
    <row r="4175" spans="18:20" x14ac:dyDescent="0.3">
      <c r="R4175" s="255"/>
      <c r="S4175" s="255"/>
      <c r="T4175" s="255"/>
    </row>
    <row r="4176" spans="18:20" x14ac:dyDescent="0.3">
      <c r="R4176" s="255"/>
      <c r="S4176" s="255"/>
      <c r="T4176" s="255"/>
    </row>
    <row r="4177" spans="18:20" x14ac:dyDescent="0.3">
      <c r="R4177" s="255"/>
      <c r="S4177" s="255"/>
      <c r="T4177" s="255"/>
    </row>
    <row r="4178" spans="18:20" x14ac:dyDescent="0.3">
      <c r="R4178" s="255"/>
      <c r="S4178" s="255"/>
      <c r="T4178" s="255"/>
    </row>
    <row r="4179" spans="18:20" x14ac:dyDescent="0.3">
      <c r="R4179" s="255"/>
      <c r="S4179" s="255"/>
      <c r="T4179" s="255"/>
    </row>
    <row r="4180" spans="18:20" x14ac:dyDescent="0.3">
      <c r="R4180" s="255"/>
      <c r="S4180" s="255"/>
      <c r="T4180" s="255"/>
    </row>
    <row r="4181" spans="18:20" x14ac:dyDescent="0.3">
      <c r="R4181" s="255"/>
      <c r="S4181" s="255"/>
      <c r="T4181" s="255"/>
    </row>
    <row r="4182" spans="18:20" x14ac:dyDescent="0.3">
      <c r="R4182" s="255"/>
      <c r="S4182" s="255"/>
      <c r="T4182" s="255"/>
    </row>
    <row r="4183" spans="18:20" x14ac:dyDescent="0.3">
      <c r="R4183" s="255"/>
      <c r="S4183" s="255"/>
      <c r="T4183" s="255"/>
    </row>
    <row r="4184" spans="18:20" x14ac:dyDescent="0.3">
      <c r="R4184" s="255"/>
      <c r="S4184" s="255"/>
      <c r="T4184" s="255"/>
    </row>
    <row r="4185" spans="18:20" x14ac:dyDescent="0.3">
      <c r="R4185" s="255"/>
      <c r="S4185" s="255"/>
      <c r="T4185" s="255"/>
    </row>
    <row r="4186" spans="18:20" x14ac:dyDescent="0.3">
      <c r="R4186" s="255"/>
      <c r="S4186" s="255"/>
      <c r="T4186" s="255"/>
    </row>
    <row r="4187" spans="18:20" x14ac:dyDescent="0.3">
      <c r="R4187" s="255"/>
      <c r="S4187" s="255"/>
      <c r="T4187" s="255"/>
    </row>
    <row r="4188" spans="18:20" x14ac:dyDescent="0.3">
      <c r="R4188" s="255"/>
      <c r="S4188" s="255"/>
      <c r="T4188" s="255"/>
    </row>
    <row r="4189" spans="18:20" x14ac:dyDescent="0.3">
      <c r="R4189" s="255"/>
      <c r="S4189" s="255"/>
      <c r="T4189" s="255"/>
    </row>
    <row r="4190" spans="18:20" x14ac:dyDescent="0.3">
      <c r="R4190" s="255"/>
      <c r="S4190" s="255"/>
      <c r="T4190" s="255"/>
    </row>
    <row r="4191" spans="18:20" x14ac:dyDescent="0.3">
      <c r="R4191" s="255"/>
      <c r="S4191" s="255"/>
      <c r="T4191" s="255"/>
    </row>
    <row r="4192" spans="18:20" x14ac:dyDescent="0.3">
      <c r="R4192" s="255"/>
      <c r="S4192" s="255"/>
      <c r="T4192" s="255"/>
    </row>
    <row r="4193" spans="18:20" x14ac:dyDescent="0.3">
      <c r="R4193" s="255"/>
      <c r="S4193" s="255"/>
      <c r="T4193" s="255"/>
    </row>
    <row r="4194" spans="18:20" x14ac:dyDescent="0.3">
      <c r="R4194" s="255"/>
      <c r="S4194" s="255"/>
      <c r="T4194" s="255"/>
    </row>
    <row r="4195" spans="18:20" x14ac:dyDescent="0.3">
      <c r="R4195" s="255"/>
      <c r="S4195" s="255"/>
      <c r="T4195" s="255"/>
    </row>
    <row r="4196" spans="18:20" x14ac:dyDescent="0.3">
      <c r="R4196" s="255"/>
      <c r="S4196" s="255"/>
      <c r="T4196" s="255"/>
    </row>
    <row r="4197" spans="18:20" x14ac:dyDescent="0.3">
      <c r="R4197" s="255"/>
      <c r="S4197" s="255"/>
      <c r="T4197" s="255"/>
    </row>
    <row r="4198" spans="18:20" x14ac:dyDescent="0.3">
      <c r="R4198" s="255"/>
      <c r="S4198" s="255"/>
      <c r="T4198" s="255"/>
    </row>
    <row r="4199" spans="18:20" x14ac:dyDescent="0.3">
      <c r="R4199" s="255"/>
      <c r="S4199" s="255"/>
      <c r="T4199" s="255"/>
    </row>
    <row r="4200" spans="18:20" x14ac:dyDescent="0.3">
      <c r="R4200" s="255"/>
      <c r="S4200" s="255"/>
      <c r="T4200" s="255"/>
    </row>
    <row r="4201" spans="18:20" x14ac:dyDescent="0.3">
      <c r="R4201" s="255"/>
      <c r="S4201" s="255"/>
      <c r="T4201" s="255"/>
    </row>
    <row r="4202" spans="18:20" x14ac:dyDescent="0.3">
      <c r="R4202" s="255"/>
      <c r="S4202" s="255"/>
      <c r="T4202" s="255"/>
    </row>
    <row r="4203" spans="18:20" x14ac:dyDescent="0.3">
      <c r="R4203" s="255"/>
      <c r="S4203" s="255"/>
      <c r="T4203" s="255"/>
    </row>
    <row r="4204" spans="18:20" x14ac:dyDescent="0.3">
      <c r="R4204" s="255"/>
      <c r="S4204" s="255"/>
      <c r="T4204" s="255"/>
    </row>
    <row r="4205" spans="18:20" x14ac:dyDescent="0.3">
      <c r="R4205" s="255"/>
      <c r="S4205" s="255"/>
      <c r="T4205" s="255"/>
    </row>
    <row r="4206" spans="18:20" x14ac:dyDescent="0.3">
      <c r="R4206" s="255"/>
      <c r="S4206" s="255"/>
      <c r="T4206" s="255"/>
    </row>
    <row r="4207" spans="18:20" x14ac:dyDescent="0.3">
      <c r="R4207" s="255"/>
      <c r="S4207" s="255"/>
      <c r="T4207" s="255"/>
    </row>
    <row r="4208" spans="18:20" x14ac:dyDescent="0.3">
      <c r="R4208" s="255"/>
      <c r="S4208" s="255"/>
      <c r="T4208" s="255"/>
    </row>
    <row r="4209" spans="18:20" x14ac:dyDescent="0.3">
      <c r="R4209" s="255"/>
      <c r="S4209" s="255"/>
      <c r="T4209" s="255"/>
    </row>
    <row r="4210" spans="18:20" x14ac:dyDescent="0.3">
      <c r="R4210" s="255"/>
      <c r="S4210" s="255"/>
      <c r="T4210" s="255"/>
    </row>
    <row r="4211" spans="18:20" x14ac:dyDescent="0.3">
      <c r="R4211" s="255"/>
      <c r="S4211" s="255"/>
      <c r="T4211" s="255"/>
    </row>
    <row r="4212" spans="18:20" x14ac:dyDescent="0.3">
      <c r="R4212" s="255"/>
      <c r="S4212" s="255"/>
      <c r="T4212" s="255"/>
    </row>
    <row r="4213" spans="18:20" x14ac:dyDescent="0.3">
      <c r="R4213" s="255"/>
      <c r="S4213" s="255"/>
      <c r="T4213" s="255"/>
    </row>
    <row r="4214" spans="18:20" x14ac:dyDescent="0.3">
      <c r="R4214" s="255"/>
      <c r="S4214" s="255"/>
      <c r="T4214" s="255"/>
    </row>
    <row r="4215" spans="18:20" x14ac:dyDescent="0.3">
      <c r="R4215" s="255"/>
      <c r="S4215" s="255"/>
      <c r="T4215" s="255"/>
    </row>
    <row r="4216" spans="18:20" x14ac:dyDescent="0.3">
      <c r="R4216" s="255"/>
      <c r="S4216" s="255"/>
      <c r="T4216" s="255"/>
    </row>
    <row r="4217" spans="18:20" x14ac:dyDescent="0.3">
      <c r="R4217" s="255"/>
      <c r="S4217" s="255"/>
      <c r="T4217" s="255"/>
    </row>
    <row r="4218" spans="18:20" x14ac:dyDescent="0.3">
      <c r="R4218" s="255"/>
      <c r="S4218" s="255"/>
      <c r="T4218" s="255"/>
    </row>
    <row r="4219" spans="18:20" x14ac:dyDescent="0.3">
      <c r="R4219" s="255"/>
      <c r="S4219" s="255"/>
      <c r="T4219" s="255"/>
    </row>
    <row r="4220" spans="18:20" x14ac:dyDescent="0.3">
      <c r="R4220" s="255"/>
      <c r="S4220" s="255"/>
      <c r="T4220" s="255"/>
    </row>
    <row r="4221" spans="18:20" x14ac:dyDescent="0.3">
      <c r="R4221" s="255"/>
      <c r="S4221" s="255"/>
      <c r="T4221" s="255"/>
    </row>
    <row r="4222" spans="18:20" x14ac:dyDescent="0.3">
      <c r="R4222" s="255"/>
      <c r="S4222" s="255"/>
      <c r="T4222" s="255"/>
    </row>
    <row r="4223" spans="18:20" x14ac:dyDescent="0.3">
      <c r="R4223" s="255"/>
      <c r="S4223" s="255"/>
      <c r="T4223" s="255"/>
    </row>
    <row r="4224" spans="18:20" x14ac:dyDescent="0.3">
      <c r="R4224" s="255"/>
      <c r="S4224" s="255"/>
      <c r="T4224" s="255"/>
    </row>
    <row r="4225" spans="18:20" x14ac:dyDescent="0.3">
      <c r="R4225" s="255"/>
      <c r="S4225" s="255"/>
      <c r="T4225" s="255"/>
    </row>
    <row r="4226" spans="18:20" x14ac:dyDescent="0.3">
      <c r="R4226" s="255"/>
      <c r="S4226" s="255"/>
      <c r="T4226" s="255"/>
    </row>
    <row r="4227" spans="18:20" x14ac:dyDescent="0.3">
      <c r="R4227" s="255"/>
      <c r="S4227" s="255"/>
      <c r="T4227" s="255"/>
    </row>
    <row r="4228" spans="18:20" x14ac:dyDescent="0.3">
      <c r="R4228" s="255"/>
      <c r="S4228" s="255"/>
      <c r="T4228" s="255"/>
    </row>
    <row r="4229" spans="18:20" x14ac:dyDescent="0.3">
      <c r="R4229" s="255"/>
      <c r="S4229" s="255"/>
      <c r="T4229" s="255"/>
    </row>
    <row r="4230" spans="18:20" x14ac:dyDescent="0.3">
      <c r="R4230" s="255"/>
      <c r="S4230" s="255"/>
      <c r="T4230" s="255"/>
    </row>
    <row r="4231" spans="18:20" x14ac:dyDescent="0.3">
      <c r="R4231" s="255"/>
      <c r="S4231" s="255"/>
      <c r="T4231" s="255"/>
    </row>
    <row r="4232" spans="18:20" x14ac:dyDescent="0.3">
      <c r="R4232" s="255"/>
      <c r="S4232" s="255"/>
      <c r="T4232" s="255"/>
    </row>
    <row r="4233" spans="18:20" x14ac:dyDescent="0.3">
      <c r="R4233" s="255"/>
      <c r="S4233" s="255"/>
      <c r="T4233" s="255"/>
    </row>
    <row r="4234" spans="18:20" x14ac:dyDescent="0.3">
      <c r="R4234" s="255"/>
      <c r="S4234" s="255"/>
      <c r="T4234" s="255"/>
    </row>
    <row r="4235" spans="18:20" x14ac:dyDescent="0.3">
      <c r="R4235" s="255"/>
      <c r="S4235" s="255"/>
      <c r="T4235" s="255"/>
    </row>
    <row r="4236" spans="18:20" x14ac:dyDescent="0.3">
      <c r="R4236" s="255"/>
      <c r="S4236" s="255"/>
      <c r="T4236" s="255"/>
    </row>
    <row r="4237" spans="18:20" x14ac:dyDescent="0.3">
      <c r="R4237" s="255"/>
      <c r="S4237" s="255"/>
      <c r="T4237" s="255"/>
    </row>
    <row r="4238" spans="18:20" x14ac:dyDescent="0.3">
      <c r="R4238" s="255"/>
      <c r="S4238" s="255"/>
      <c r="T4238" s="255"/>
    </row>
    <row r="4239" spans="18:20" x14ac:dyDescent="0.3">
      <c r="R4239" s="255"/>
      <c r="S4239" s="255"/>
      <c r="T4239" s="255"/>
    </row>
    <row r="4240" spans="18:20" x14ac:dyDescent="0.3">
      <c r="R4240" s="255"/>
      <c r="S4240" s="255"/>
      <c r="T4240" s="255"/>
    </row>
    <row r="4241" spans="18:20" x14ac:dyDescent="0.3">
      <c r="R4241" s="255"/>
      <c r="S4241" s="255"/>
      <c r="T4241" s="255"/>
    </row>
    <row r="4242" spans="18:20" x14ac:dyDescent="0.3">
      <c r="R4242" s="255"/>
      <c r="S4242" s="255"/>
      <c r="T4242" s="255"/>
    </row>
    <row r="4243" spans="18:20" x14ac:dyDescent="0.3">
      <c r="R4243" s="255"/>
      <c r="S4243" s="255"/>
      <c r="T4243" s="255"/>
    </row>
    <row r="4244" spans="18:20" x14ac:dyDescent="0.3">
      <c r="R4244" s="255"/>
      <c r="S4244" s="255"/>
      <c r="T4244" s="255"/>
    </row>
    <row r="4245" spans="18:20" x14ac:dyDescent="0.3">
      <c r="R4245" s="255"/>
      <c r="S4245" s="255"/>
      <c r="T4245" s="255"/>
    </row>
    <row r="4246" spans="18:20" x14ac:dyDescent="0.3">
      <c r="R4246" s="255"/>
      <c r="S4246" s="255"/>
      <c r="T4246" s="255"/>
    </row>
    <row r="4247" spans="18:20" x14ac:dyDescent="0.3">
      <c r="R4247" s="255"/>
      <c r="S4247" s="255"/>
      <c r="T4247" s="255"/>
    </row>
    <row r="4248" spans="18:20" x14ac:dyDescent="0.3">
      <c r="R4248" s="255"/>
      <c r="S4248" s="255"/>
      <c r="T4248" s="255"/>
    </row>
    <row r="4249" spans="18:20" x14ac:dyDescent="0.3">
      <c r="R4249" s="255"/>
      <c r="S4249" s="255"/>
      <c r="T4249" s="255"/>
    </row>
    <row r="4250" spans="18:20" x14ac:dyDescent="0.3">
      <c r="R4250" s="255"/>
      <c r="S4250" s="255"/>
      <c r="T4250" s="255"/>
    </row>
    <row r="4251" spans="18:20" x14ac:dyDescent="0.3">
      <c r="R4251" s="255"/>
      <c r="S4251" s="255"/>
      <c r="T4251" s="255"/>
    </row>
    <row r="4252" spans="18:20" x14ac:dyDescent="0.3">
      <c r="R4252" s="255"/>
      <c r="S4252" s="255"/>
      <c r="T4252" s="255"/>
    </row>
    <row r="4253" spans="18:20" x14ac:dyDescent="0.3">
      <c r="R4253" s="255"/>
      <c r="S4253" s="255"/>
      <c r="T4253" s="255"/>
    </row>
    <row r="4254" spans="18:20" x14ac:dyDescent="0.3">
      <c r="R4254" s="255"/>
      <c r="S4254" s="255"/>
      <c r="T4254" s="255"/>
    </row>
    <row r="4255" spans="18:20" x14ac:dyDescent="0.3">
      <c r="R4255" s="255"/>
      <c r="S4255" s="255"/>
      <c r="T4255" s="255"/>
    </row>
    <row r="4256" spans="18:20" x14ac:dyDescent="0.3">
      <c r="R4256" s="255"/>
      <c r="S4256" s="255"/>
      <c r="T4256" s="255"/>
    </row>
    <row r="4257" spans="18:20" x14ac:dyDescent="0.3">
      <c r="R4257" s="255"/>
      <c r="S4257" s="255"/>
      <c r="T4257" s="255"/>
    </row>
    <row r="4258" spans="18:20" x14ac:dyDescent="0.3">
      <c r="R4258" s="255"/>
      <c r="S4258" s="255"/>
      <c r="T4258" s="255"/>
    </row>
    <row r="4259" spans="18:20" x14ac:dyDescent="0.3">
      <c r="R4259" s="255"/>
      <c r="S4259" s="255"/>
      <c r="T4259" s="255"/>
    </row>
    <row r="4260" spans="18:20" x14ac:dyDescent="0.3">
      <c r="R4260" s="255"/>
      <c r="S4260" s="255"/>
      <c r="T4260" s="255"/>
    </row>
    <row r="4261" spans="18:20" x14ac:dyDescent="0.3">
      <c r="R4261" s="255"/>
      <c r="S4261" s="255"/>
      <c r="T4261" s="255"/>
    </row>
    <row r="4262" spans="18:20" x14ac:dyDescent="0.3">
      <c r="R4262" s="255"/>
      <c r="S4262" s="255"/>
      <c r="T4262" s="255"/>
    </row>
    <row r="4263" spans="18:20" x14ac:dyDescent="0.3">
      <c r="R4263" s="255"/>
      <c r="S4263" s="255"/>
      <c r="T4263" s="255"/>
    </row>
    <row r="4264" spans="18:20" x14ac:dyDescent="0.3">
      <c r="R4264" s="255"/>
      <c r="S4264" s="255"/>
      <c r="T4264" s="255"/>
    </row>
    <row r="4265" spans="18:20" x14ac:dyDescent="0.3">
      <c r="R4265" s="255"/>
      <c r="S4265" s="255"/>
      <c r="T4265" s="255"/>
    </row>
    <row r="4266" spans="18:20" x14ac:dyDescent="0.3">
      <c r="R4266" s="255"/>
      <c r="S4266" s="255"/>
      <c r="T4266" s="255"/>
    </row>
    <row r="4267" spans="18:20" x14ac:dyDescent="0.3">
      <c r="R4267" s="255"/>
      <c r="S4267" s="255"/>
      <c r="T4267" s="255"/>
    </row>
    <row r="4268" spans="18:20" x14ac:dyDescent="0.3">
      <c r="R4268" s="255"/>
      <c r="S4268" s="255"/>
      <c r="T4268" s="255"/>
    </row>
    <row r="4269" spans="18:20" x14ac:dyDescent="0.3">
      <c r="R4269" s="255"/>
      <c r="S4269" s="255"/>
      <c r="T4269" s="255"/>
    </row>
    <row r="4270" spans="18:20" x14ac:dyDescent="0.3">
      <c r="R4270" s="255"/>
      <c r="S4270" s="255"/>
      <c r="T4270" s="255"/>
    </row>
    <row r="4271" spans="18:20" x14ac:dyDescent="0.3">
      <c r="R4271" s="255"/>
      <c r="S4271" s="255"/>
      <c r="T4271" s="255"/>
    </row>
    <row r="4272" spans="18:20" x14ac:dyDescent="0.3">
      <c r="R4272" s="255"/>
      <c r="S4272" s="255"/>
      <c r="T4272" s="255"/>
    </row>
    <row r="4273" spans="18:20" x14ac:dyDescent="0.3">
      <c r="R4273" s="255"/>
      <c r="S4273" s="255"/>
      <c r="T4273" s="255"/>
    </row>
    <row r="4274" spans="18:20" x14ac:dyDescent="0.3">
      <c r="R4274" s="255"/>
      <c r="S4274" s="255"/>
      <c r="T4274" s="255"/>
    </row>
    <row r="4275" spans="18:20" x14ac:dyDescent="0.3">
      <c r="R4275" s="255"/>
      <c r="S4275" s="255"/>
      <c r="T4275" s="255"/>
    </row>
    <row r="4276" spans="18:20" x14ac:dyDescent="0.3">
      <c r="R4276" s="255"/>
      <c r="S4276" s="255"/>
      <c r="T4276" s="255"/>
    </row>
    <row r="4277" spans="18:20" x14ac:dyDescent="0.3">
      <c r="R4277" s="255"/>
      <c r="S4277" s="255"/>
      <c r="T4277" s="255"/>
    </row>
    <row r="4278" spans="18:20" x14ac:dyDescent="0.3">
      <c r="R4278" s="255"/>
      <c r="S4278" s="255"/>
      <c r="T4278" s="255"/>
    </row>
    <row r="4279" spans="18:20" x14ac:dyDescent="0.3">
      <c r="R4279" s="255"/>
      <c r="S4279" s="255"/>
      <c r="T4279" s="255"/>
    </row>
    <row r="4280" spans="18:20" x14ac:dyDescent="0.3">
      <c r="R4280" s="255"/>
      <c r="S4280" s="255"/>
      <c r="T4280" s="255"/>
    </row>
    <row r="4281" spans="18:20" x14ac:dyDescent="0.3">
      <c r="R4281" s="255"/>
      <c r="S4281" s="255"/>
      <c r="T4281" s="255"/>
    </row>
    <row r="4282" spans="18:20" x14ac:dyDescent="0.3">
      <c r="R4282" s="255"/>
      <c r="S4282" s="255"/>
      <c r="T4282" s="255"/>
    </row>
    <row r="4283" spans="18:20" x14ac:dyDescent="0.3">
      <c r="R4283" s="255"/>
      <c r="S4283" s="255"/>
      <c r="T4283" s="255"/>
    </row>
    <row r="4284" spans="18:20" x14ac:dyDescent="0.3">
      <c r="R4284" s="255"/>
      <c r="S4284" s="255"/>
      <c r="T4284" s="255"/>
    </row>
    <row r="4285" spans="18:20" x14ac:dyDescent="0.3">
      <c r="R4285" s="255"/>
      <c r="S4285" s="255"/>
      <c r="T4285" s="255"/>
    </row>
    <row r="4286" spans="18:20" x14ac:dyDescent="0.3">
      <c r="R4286" s="255"/>
      <c r="S4286" s="255"/>
      <c r="T4286" s="255"/>
    </row>
    <row r="4287" spans="18:20" x14ac:dyDescent="0.3">
      <c r="R4287" s="255"/>
      <c r="S4287" s="255"/>
      <c r="T4287" s="255"/>
    </row>
    <row r="4288" spans="18:20" x14ac:dyDescent="0.3">
      <c r="R4288" s="255"/>
      <c r="S4288" s="255"/>
      <c r="T4288" s="255"/>
    </row>
    <row r="4289" spans="18:20" x14ac:dyDescent="0.3">
      <c r="R4289" s="255"/>
      <c r="S4289" s="255"/>
      <c r="T4289" s="255"/>
    </row>
    <row r="4290" spans="18:20" x14ac:dyDescent="0.3">
      <c r="R4290" s="255"/>
      <c r="S4290" s="255"/>
      <c r="T4290" s="255"/>
    </row>
    <row r="4291" spans="18:20" x14ac:dyDescent="0.3">
      <c r="R4291" s="255"/>
      <c r="S4291" s="255"/>
      <c r="T4291" s="255"/>
    </row>
    <row r="4292" spans="18:20" x14ac:dyDescent="0.3">
      <c r="R4292" s="255"/>
      <c r="S4292" s="255"/>
      <c r="T4292" s="255"/>
    </row>
    <row r="4293" spans="18:20" x14ac:dyDescent="0.3">
      <c r="R4293" s="255"/>
      <c r="S4293" s="255"/>
      <c r="T4293" s="255"/>
    </row>
    <row r="4294" spans="18:20" x14ac:dyDescent="0.3">
      <c r="R4294" s="255"/>
      <c r="S4294" s="255"/>
      <c r="T4294" s="255"/>
    </row>
    <row r="4295" spans="18:20" x14ac:dyDescent="0.3">
      <c r="R4295" s="255"/>
      <c r="S4295" s="255"/>
      <c r="T4295" s="255"/>
    </row>
    <row r="4296" spans="18:20" x14ac:dyDescent="0.3">
      <c r="R4296" s="255"/>
      <c r="S4296" s="255"/>
      <c r="T4296" s="255"/>
    </row>
    <row r="4297" spans="18:20" x14ac:dyDescent="0.3">
      <c r="R4297" s="255"/>
      <c r="S4297" s="255"/>
      <c r="T4297" s="255"/>
    </row>
    <row r="4298" spans="18:20" x14ac:dyDescent="0.3">
      <c r="R4298" s="255"/>
      <c r="S4298" s="255"/>
      <c r="T4298" s="255"/>
    </row>
    <row r="4299" spans="18:20" x14ac:dyDescent="0.3">
      <c r="R4299" s="255"/>
      <c r="S4299" s="255"/>
      <c r="T4299" s="255"/>
    </row>
    <row r="4300" spans="18:20" x14ac:dyDescent="0.3">
      <c r="R4300" s="255"/>
      <c r="S4300" s="255"/>
      <c r="T4300" s="255"/>
    </row>
    <row r="4301" spans="18:20" x14ac:dyDescent="0.3">
      <c r="R4301" s="255"/>
      <c r="S4301" s="255"/>
      <c r="T4301" s="255"/>
    </row>
    <row r="4302" spans="18:20" x14ac:dyDescent="0.3">
      <c r="R4302" s="255"/>
      <c r="S4302" s="255"/>
      <c r="T4302" s="255"/>
    </row>
    <row r="4303" spans="18:20" x14ac:dyDescent="0.3">
      <c r="R4303" s="255"/>
      <c r="S4303" s="255"/>
      <c r="T4303" s="255"/>
    </row>
    <row r="4304" spans="18:20" x14ac:dyDescent="0.3">
      <c r="R4304" s="255"/>
      <c r="S4304" s="255"/>
      <c r="T4304" s="255"/>
    </row>
    <row r="4305" spans="18:20" x14ac:dyDescent="0.3">
      <c r="R4305" s="255"/>
      <c r="S4305" s="255"/>
      <c r="T4305" s="255"/>
    </row>
    <row r="4306" spans="18:20" x14ac:dyDescent="0.3">
      <c r="R4306" s="255"/>
      <c r="S4306" s="255"/>
      <c r="T4306" s="255"/>
    </row>
    <row r="4307" spans="18:20" x14ac:dyDescent="0.3">
      <c r="R4307" s="255"/>
      <c r="S4307" s="255"/>
      <c r="T4307" s="255"/>
    </row>
    <row r="4308" spans="18:20" x14ac:dyDescent="0.3">
      <c r="R4308" s="255"/>
      <c r="S4308" s="255"/>
      <c r="T4308" s="255"/>
    </row>
    <row r="4309" spans="18:20" x14ac:dyDescent="0.3">
      <c r="R4309" s="255"/>
      <c r="S4309" s="255"/>
      <c r="T4309" s="255"/>
    </row>
    <row r="4310" spans="18:20" x14ac:dyDescent="0.3">
      <c r="R4310" s="255"/>
      <c r="S4310" s="255"/>
      <c r="T4310" s="255"/>
    </row>
    <row r="4311" spans="18:20" x14ac:dyDescent="0.3">
      <c r="R4311" s="255"/>
      <c r="S4311" s="255"/>
      <c r="T4311" s="255"/>
    </row>
    <row r="4312" spans="18:20" x14ac:dyDescent="0.3">
      <c r="R4312" s="255"/>
      <c r="S4312" s="255"/>
      <c r="T4312" s="255"/>
    </row>
    <row r="4313" spans="18:20" x14ac:dyDescent="0.3">
      <c r="R4313" s="255"/>
      <c r="S4313" s="255"/>
      <c r="T4313" s="255"/>
    </row>
    <row r="4314" spans="18:20" x14ac:dyDescent="0.3">
      <c r="R4314" s="255"/>
      <c r="S4314" s="255"/>
      <c r="T4314" s="255"/>
    </row>
    <row r="4315" spans="18:20" x14ac:dyDescent="0.3">
      <c r="R4315" s="255"/>
      <c r="S4315" s="255"/>
      <c r="T4315" s="255"/>
    </row>
    <row r="4316" spans="18:20" x14ac:dyDescent="0.3">
      <c r="R4316" s="255"/>
      <c r="S4316" s="255"/>
      <c r="T4316" s="255"/>
    </row>
    <row r="4317" spans="18:20" x14ac:dyDescent="0.3">
      <c r="R4317" s="255"/>
      <c r="S4317" s="255"/>
      <c r="T4317" s="255"/>
    </row>
    <row r="4318" spans="18:20" x14ac:dyDescent="0.3">
      <c r="R4318" s="255"/>
      <c r="S4318" s="255"/>
      <c r="T4318" s="255"/>
    </row>
    <row r="4319" spans="18:20" x14ac:dyDescent="0.3">
      <c r="R4319" s="255"/>
      <c r="S4319" s="255"/>
      <c r="T4319" s="255"/>
    </row>
    <row r="4320" spans="18:20" x14ac:dyDescent="0.3">
      <c r="R4320" s="255"/>
      <c r="S4320" s="255"/>
      <c r="T4320" s="255"/>
    </row>
    <row r="4321" spans="18:20" x14ac:dyDescent="0.3">
      <c r="R4321" s="255"/>
      <c r="S4321" s="255"/>
      <c r="T4321" s="255"/>
    </row>
    <row r="4322" spans="18:20" x14ac:dyDescent="0.3">
      <c r="R4322" s="255"/>
      <c r="S4322" s="255"/>
      <c r="T4322" s="255"/>
    </row>
    <row r="4323" spans="18:20" x14ac:dyDescent="0.3">
      <c r="R4323" s="255"/>
      <c r="S4323" s="255"/>
      <c r="T4323" s="255"/>
    </row>
    <row r="4324" spans="18:20" x14ac:dyDescent="0.3">
      <c r="R4324" s="255"/>
      <c r="S4324" s="255"/>
      <c r="T4324" s="255"/>
    </row>
    <row r="4325" spans="18:20" x14ac:dyDescent="0.3">
      <c r="R4325" s="255"/>
      <c r="S4325" s="255"/>
      <c r="T4325" s="255"/>
    </row>
    <row r="4326" spans="18:20" x14ac:dyDescent="0.3">
      <c r="R4326" s="255"/>
      <c r="S4326" s="255"/>
      <c r="T4326" s="255"/>
    </row>
    <row r="4327" spans="18:20" x14ac:dyDescent="0.3">
      <c r="R4327" s="255"/>
      <c r="S4327" s="255"/>
      <c r="T4327" s="255"/>
    </row>
    <row r="4328" spans="18:20" x14ac:dyDescent="0.3">
      <c r="R4328" s="255"/>
      <c r="S4328" s="255"/>
      <c r="T4328" s="255"/>
    </row>
    <row r="4329" spans="18:20" x14ac:dyDescent="0.3">
      <c r="R4329" s="255"/>
      <c r="S4329" s="255"/>
      <c r="T4329" s="255"/>
    </row>
    <row r="4330" spans="18:20" x14ac:dyDescent="0.3">
      <c r="R4330" s="255"/>
      <c r="S4330" s="255"/>
      <c r="T4330" s="255"/>
    </row>
    <row r="4331" spans="18:20" x14ac:dyDescent="0.3">
      <c r="R4331" s="255"/>
      <c r="S4331" s="255"/>
      <c r="T4331" s="255"/>
    </row>
    <row r="4332" spans="18:20" x14ac:dyDescent="0.3">
      <c r="R4332" s="255"/>
      <c r="S4332" s="255"/>
      <c r="T4332" s="255"/>
    </row>
    <row r="4333" spans="18:20" x14ac:dyDescent="0.3">
      <c r="R4333" s="255"/>
      <c r="S4333" s="255"/>
      <c r="T4333" s="255"/>
    </row>
    <row r="4334" spans="18:20" x14ac:dyDescent="0.3">
      <c r="R4334" s="255"/>
      <c r="S4334" s="255"/>
      <c r="T4334" s="255"/>
    </row>
    <row r="4335" spans="18:20" x14ac:dyDescent="0.3">
      <c r="R4335" s="255"/>
      <c r="S4335" s="255"/>
      <c r="T4335" s="255"/>
    </row>
    <row r="4336" spans="18:20" x14ac:dyDescent="0.3">
      <c r="R4336" s="255"/>
      <c r="S4336" s="255"/>
      <c r="T4336" s="255"/>
    </row>
    <row r="4337" spans="18:20" x14ac:dyDescent="0.3">
      <c r="R4337" s="255"/>
      <c r="S4337" s="255"/>
      <c r="T4337" s="255"/>
    </row>
    <row r="4338" spans="18:20" x14ac:dyDescent="0.3">
      <c r="R4338" s="255"/>
      <c r="S4338" s="255"/>
      <c r="T4338" s="255"/>
    </row>
    <row r="4339" spans="18:20" x14ac:dyDescent="0.3">
      <c r="R4339" s="255"/>
      <c r="S4339" s="255"/>
      <c r="T4339" s="255"/>
    </row>
    <row r="4340" spans="18:20" x14ac:dyDescent="0.3">
      <c r="R4340" s="255"/>
      <c r="S4340" s="255"/>
      <c r="T4340" s="255"/>
    </row>
    <row r="4341" spans="18:20" x14ac:dyDescent="0.3">
      <c r="R4341" s="255"/>
      <c r="S4341" s="255"/>
      <c r="T4341" s="255"/>
    </row>
    <row r="4342" spans="18:20" x14ac:dyDescent="0.3">
      <c r="R4342" s="255"/>
      <c r="S4342" s="255"/>
      <c r="T4342" s="255"/>
    </row>
    <row r="4343" spans="18:20" x14ac:dyDescent="0.3">
      <c r="R4343" s="255"/>
      <c r="S4343" s="255"/>
      <c r="T4343" s="255"/>
    </row>
    <row r="4344" spans="18:20" x14ac:dyDescent="0.3">
      <c r="R4344" s="255"/>
      <c r="S4344" s="255"/>
      <c r="T4344" s="255"/>
    </row>
    <row r="4345" spans="18:20" x14ac:dyDescent="0.3">
      <c r="R4345" s="255"/>
      <c r="S4345" s="255"/>
      <c r="T4345" s="255"/>
    </row>
    <row r="4346" spans="18:20" x14ac:dyDescent="0.3">
      <c r="R4346" s="255"/>
      <c r="S4346" s="255"/>
      <c r="T4346" s="255"/>
    </row>
    <row r="4347" spans="18:20" x14ac:dyDescent="0.3">
      <c r="R4347" s="255"/>
      <c r="S4347" s="255"/>
      <c r="T4347" s="255"/>
    </row>
    <row r="4348" spans="18:20" x14ac:dyDescent="0.3">
      <c r="R4348" s="255"/>
      <c r="S4348" s="255"/>
      <c r="T4348" s="255"/>
    </row>
    <row r="4349" spans="18:20" x14ac:dyDescent="0.3">
      <c r="R4349" s="255"/>
      <c r="S4349" s="255"/>
      <c r="T4349" s="255"/>
    </row>
    <row r="4350" spans="18:20" x14ac:dyDescent="0.3">
      <c r="R4350" s="255"/>
      <c r="S4350" s="255"/>
      <c r="T4350" s="255"/>
    </row>
    <row r="4351" spans="18:20" x14ac:dyDescent="0.3">
      <c r="R4351" s="255"/>
      <c r="S4351" s="255"/>
      <c r="T4351" s="255"/>
    </row>
    <row r="4352" spans="18:20" x14ac:dyDescent="0.3">
      <c r="R4352" s="255"/>
      <c r="S4352" s="255"/>
      <c r="T4352" s="255"/>
    </row>
    <row r="4353" spans="18:20" x14ac:dyDescent="0.3">
      <c r="R4353" s="255"/>
      <c r="S4353" s="255"/>
      <c r="T4353" s="255"/>
    </row>
    <row r="4354" spans="18:20" x14ac:dyDescent="0.3">
      <c r="R4354" s="255"/>
      <c r="S4354" s="255"/>
      <c r="T4354" s="255"/>
    </row>
    <row r="4355" spans="18:20" x14ac:dyDescent="0.3">
      <c r="R4355" s="255"/>
      <c r="S4355" s="255"/>
      <c r="T4355" s="255"/>
    </row>
    <row r="4356" spans="18:20" x14ac:dyDescent="0.3">
      <c r="R4356" s="255"/>
      <c r="S4356" s="255"/>
      <c r="T4356" s="255"/>
    </row>
    <row r="4357" spans="18:20" x14ac:dyDescent="0.3">
      <c r="R4357" s="255"/>
      <c r="S4357" s="255"/>
      <c r="T4357" s="255"/>
    </row>
    <row r="4358" spans="18:20" x14ac:dyDescent="0.3">
      <c r="R4358" s="255"/>
      <c r="S4358" s="255"/>
      <c r="T4358" s="255"/>
    </row>
    <row r="4359" spans="18:20" x14ac:dyDescent="0.3">
      <c r="R4359" s="255"/>
      <c r="S4359" s="255"/>
      <c r="T4359" s="255"/>
    </row>
    <row r="4360" spans="18:20" x14ac:dyDescent="0.3">
      <c r="R4360" s="255"/>
      <c r="S4360" s="255"/>
      <c r="T4360" s="255"/>
    </row>
    <row r="4361" spans="18:20" x14ac:dyDescent="0.3">
      <c r="R4361" s="255"/>
      <c r="S4361" s="255"/>
      <c r="T4361" s="255"/>
    </row>
    <row r="4362" spans="18:20" x14ac:dyDescent="0.3">
      <c r="R4362" s="255"/>
      <c r="S4362" s="255"/>
      <c r="T4362" s="255"/>
    </row>
    <row r="4363" spans="18:20" x14ac:dyDescent="0.3">
      <c r="R4363" s="255"/>
      <c r="S4363" s="255"/>
      <c r="T4363" s="255"/>
    </row>
    <row r="4364" spans="18:20" x14ac:dyDescent="0.3">
      <c r="R4364" s="255"/>
      <c r="S4364" s="255"/>
      <c r="T4364" s="255"/>
    </row>
    <row r="4365" spans="18:20" x14ac:dyDescent="0.3">
      <c r="R4365" s="255"/>
      <c r="S4365" s="255"/>
      <c r="T4365" s="255"/>
    </row>
    <row r="4366" spans="18:20" x14ac:dyDescent="0.3">
      <c r="R4366" s="255"/>
      <c r="S4366" s="255"/>
      <c r="T4366" s="255"/>
    </row>
    <row r="4367" spans="18:20" x14ac:dyDescent="0.3">
      <c r="R4367" s="255"/>
      <c r="S4367" s="255"/>
      <c r="T4367" s="255"/>
    </row>
    <row r="4368" spans="18:20" x14ac:dyDescent="0.3">
      <c r="R4368" s="255"/>
      <c r="S4368" s="255"/>
      <c r="T4368" s="255"/>
    </row>
    <row r="4369" spans="18:20" x14ac:dyDescent="0.3">
      <c r="R4369" s="255"/>
      <c r="S4369" s="255"/>
      <c r="T4369" s="255"/>
    </row>
    <row r="4370" spans="18:20" x14ac:dyDescent="0.3">
      <c r="R4370" s="255"/>
      <c r="S4370" s="255"/>
      <c r="T4370" s="255"/>
    </row>
    <row r="4371" spans="18:20" x14ac:dyDescent="0.3">
      <c r="R4371" s="255"/>
      <c r="S4371" s="255"/>
      <c r="T4371" s="255"/>
    </row>
    <row r="4372" spans="18:20" x14ac:dyDescent="0.3">
      <c r="R4372" s="255"/>
      <c r="S4372" s="255"/>
      <c r="T4372" s="255"/>
    </row>
    <row r="4373" spans="18:20" x14ac:dyDescent="0.3">
      <c r="R4373" s="255"/>
      <c r="S4373" s="255"/>
      <c r="T4373" s="255"/>
    </row>
    <row r="4374" spans="18:20" x14ac:dyDescent="0.3">
      <c r="R4374" s="255"/>
      <c r="S4374" s="255"/>
      <c r="T4374" s="255"/>
    </row>
    <row r="4375" spans="18:20" x14ac:dyDescent="0.3">
      <c r="R4375" s="255"/>
      <c r="S4375" s="255"/>
      <c r="T4375" s="255"/>
    </row>
    <row r="4376" spans="18:20" x14ac:dyDescent="0.3">
      <c r="R4376" s="255"/>
      <c r="S4376" s="255"/>
      <c r="T4376" s="255"/>
    </row>
    <row r="4377" spans="18:20" x14ac:dyDescent="0.3">
      <c r="R4377" s="255"/>
      <c r="S4377" s="255"/>
      <c r="T4377" s="255"/>
    </row>
    <row r="4378" spans="18:20" x14ac:dyDescent="0.3">
      <c r="R4378" s="255"/>
      <c r="S4378" s="255"/>
      <c r="T4378" s="255"/>
    </row>
    <row r="4379" spans="18:20" x14ac:dyDescent="0.3">
      <c r="R4379" s="255"/>
      <c r="S4379" s="255"/>
      <c r="T4379" s="255"/>
    </row>
    <row r="4380" spans="18:20" x14ac:dyDescent="0.3">
      <c r="R4380" s="255"/>
      <c r="S4380" s="255"/>
      <c r="T4380" s="255"/>
    </row>
    <row r="4381" spans="18:20" x14ac:dyDescent="0.3">
      <c r="R4381" s="255"/>
      <c r="S4381" s="255"/>
      <c r="T4381" s="255"/>
    </row>
    <row r="4382" spans="18:20" x14ac:dyDescent="0.3">
      <c r="R4382" s="255"/>
      <c r="S4382" s="255"/>
      <c r="T4382" s="255"/>
    </row>
    <row r="4383" spans="18:20" x14ac:dyDescent="0.3">
      <c r="R4383" s="255"/>
      <c r="S4383" s="255"/>
      <c r="T4383" s="255"/>
    </row>
    <row r="4384" spans="18:20" x14ac:dyDescent="0.3">
      <c r="R4384" s="255"/>
      <c r="S4384" s="255"/>
      <c r="T4384" s="255"/>
    </row>
    <row r="4385" spans="18:20" x14ac:dyDescent="0.3">
      <c r="R4385" s="255"/>
      <c r="S4385" s="255"/>
      <c r="T4385" s="255"/>
    </row>
    <row r="4386" spans="18:20" x14ac:dyDescent="0.3">
      <c r="R4386" s="255"/>
      <c r="S4386" s="255"/>
      <c r="T4386" s="255"/>
    </row>
    <row r="4387" spans="18:20" x14ac:dyDescent="0.3">
      <c r="R4387" s="255"/>
      <c r="S4387" s="255"/>
      <c r="T4387" s="255"/>
    </row>
    <row r="4388" spans="18:20" x14ac:dyDescent="0.3">
      <c r="R4388" s="255"/>
      <c r="S4388" s="255"/>
      <c r="T4388" s="255"/>
    </row>
    <row r="4389" spans="18:20" x14ac:dyDescent="0.3">
      <c r="R4389" s="255"/>
      <c r="S4389" s="255"/>
      <c r="T4389" s="255"/>
    </row>
    <row r="4390" spans="18:20" x14ac:dyDescent="0.3">
      <c r="R4390" s="255"/>
      <c r="S4390" s="255"/>
      <c r="T4390" s="255"/>
    </row>
    <row r="4391" spans="18:20" x14ac:dyDescent="0.3">
      <c r="R4391" s="255"/>
      <c r="S4391" s="255"/>
      <c r="T4391" s="255"/>
    </row>
    <row r="4392" spans="18:20" x14ac:dyDescent="0.3">
      <c r="R4392" s="255"/>
      <c r="S4392" s="255"/>
      <c r="T4392" s="255"/>
    </row>
    <row r="4393" spans="18:20" x14ac:dyDescent="0.3">
      <c r="R4393" s="255"/>
      <c r="S4393" s="255"/>
      <c r="T4393" s="255"/>
    </row>
    <row r="4394" spans="18:20" x14ac:dyDescent="0.3">
      <c r="R4394" s="255"/>
      <c r="S4394" s="255"/>
      <c r="T4394" s="255"/>
    </row>
    <row r="4395" spans="18:20" x14ac:dyDescent="0.3">
      <c r="R4395" s="255"/>
      <c r="S4395" s="255"/>
      <c r="T4395" s="255"/>
    </row>
    <row r="4396" spans="18:20" x14ac:dyDescent="0.3">
      <c r="R4396" s="255"/>
      <c r="S4396" s="255"/>
      <c r="T4396" s="255"/>
    </row>
    <row r="4397" spans="18:20" x14ac:dyDescent="0.3">
      <c r="R4397" s="255"/>
      <c r="S4397" s="255"/>
      <c r="T4397" s="255"/>
    </row>
    <row r="4398" spans="18:20" x14ac:dyDescent="0.3">
      <c r="R4398" s="255"/>
      <c r="S4398" s="255"/>
      <c r="T4398" s="255"/>
    </row>
    <row r="4399" spans="18:20" x14ac:dyDescent="0.3">
      <c r="R4399" s="255"/>
      <c r="S4399" s="255"/>
      <c r="T4399" s="255"/>
    </row>
    <row r="4400" spans="18:20" x14ac:dyDescent="0.3">
      <c r="R4400" s="255"/>
      <c r="S4400" s="255"/>
      <c r="T4400" s="255"/>
    </row>
    <row r="4401" spans="18:20" x14ac:dyDescent="0.3">
      <c r="R4401" s="255"/>
      <c r="S4401" s="255"/>
      <c r="T4401" s="255"/>
    </row>
    <row r="4402" spans="18:20" x14ac:dyDescent="0.3">
      <c r="R4402" s="255"/>
      <c r="S4402" s="255"/>
      <c r="T4402" s="255"/>
    </row>
    <row r="4403" spans="18:20" x14ac:dyDescent="0.3">
      <c r="R4403" s="255"/>
      <c r="S4403" s="255"/>
      <c r="T4403" s="255"/>
    </row>
    <row r="4404" spans="18:20" x14ac:dyDescent="0.3">
      <c r="R4404" s="255"/>
      <c r="S4404" s="255"/>
      <c r="T4404" s="255"/>
    </row>
    <row r="4405" spans="18:20" x14ac:dyDescent="0.3">
      <c r="R4405" s="255"/>
      <c r="S4405" s="255"/>
      <c r="T4405" s="255"/>
    </row>
    <row r="4406" spans="18:20" x14ac:dyDescent="0.3">
      <c r="R4406" s="255"/>
      <c r="S4406" s="255"/>
      <c r="T4406" s="255"/>
    </row>
    <row r="4407" spans="18:20" x14ac:dyDescent="0.3">
      <c r="R4407" s="255"/>
      <c r="S4407" s="255"/>
      <c r="T4407" s="255"/>
    </row>
    <row r="4408" spans="18:20" x14ac:dyDescent="0.3">
      <c r="R4408" s="255"/>
      <c r="S4408" s="255"/>
      <c r="T4408" s="255"/>
    </row>
    <row r="4409" spans="18:20" x14ac:dyDescent="0.3">
      <c r="R4409" s="255"/>
      <c r="S4409" s="255"/>
      <c r="T4409" s="255"/>
    </row>
    <row r="4410" spans="18:20" x14ac:dyDescent="0.3">
      <c r="R4410" s="255"/>
      <c r="S4410" s="255"/>
      <c r="T4410" s="255"/>
    </row>
    <row r="4411" spans="18:20" x14ac:dyDescent="0.3">
      <c r="R4411" s="255"/>
      <c r="S4411" s="255"/>
      <c r="T4411" s="255"/>
    </row>
    <row r="4412" spans="18:20" x14ac:dyDescent="0.3">
      <c r="R4412" s="255"/>
      <c r="S4412" s="255"/>
      <c r="T4412" s="255"/>
    </row>
    <row r="4413" spans="18:20" x14ac:dyDescent="0.3">
      <c r="R4413" s="255"/>
      <c r="S4413" s="255"/>
      <c r="T4413" s="255"/>
    </row>
    <row r="4414" spans="18:20" x14ac:dyDescent="0.3">
      <c r="R4414" s="255"/>
      <c r="S4414" s="255"/>
      <c r="T4414" s="255"/>
    </row>
    <row r="4415" spans="18:20" x14ac:dyDescent="0.3">
      <c r="R4415" s="255"/>
      <c r="S4415" s="255"/>
      <c r="T4415" s="255"/>
    </row>
    <row r="4416" spans="18:20" x14ac:dyDescent="0.3">
      <c r="R4416" s="255"/>
      <c r="S4416" s="255"/>
      <c r="T4416" s="255"/>
    </row>
    <row r="4417" spans="18:20" x14ac:dyDescent="0.3">
      <c r="R4417" s="255"/>
      <c r="S4417" s="255"/>
      <c r="T4417" s="255"/>
    </row>
    <row r="4418" spans="18:20" x14ac:dyDescent="0.3">
      <c r="R4418" s="255"/>
      <c r="S4418" s="255"/>
      <c r="T4418" s="255"/>
    </row>
    <row r="4419" spans="18:20" x14ac:dyDescent="0.3">
      <c r="R4419" s="255"/>
      <c r="S4419" s="255"/>
      <c r="T4419" s="255"/>
    </row>
    <row r="4420" spans="18:20" x14ac:dyDescent="0.3">
      <c r="R4420" s="255"/>
      <c r="S4420" s="255"/>
      <c r="T4420" s="255"/>
    </row>
    <row r="4421" spans="18:20" x14ac:dyDescent="0.3">
      <c r="R4421" s="255"/>
      <c r="S4421" s="255"/>
      <c r="T4421" s="255"/>
    </row>
    <row r="4422" spans="18:20" x14ac:dyDescent="0.3">
      <c r="R4422" s="255"/>
      <c r="S4422" s="255"/>
      <c r="T4422" s="255"/>
    </row>
    <row r="4423" spans="18:20" x14ac:dyDescent="0.3">
      <c r="R4423" s="255"/>
      <c r="S4423" s="255"/>
      <c r="T4423" s="255"/>
    </row>
    <row r="4424" spans="18:20" x14ac:dyDescent="0.3">
      <c r="R4424" s="255"/>
      <c r="S4424" s="255"/>
      <c r="T4424" s="255"/>
    </row>
    <row r="4425" spans="18:20" x14ac:dyDescent="0.3">
      <c r="R4425" s="255"/>
      <c r="S4425" s="255"/>
      <c r="T4425" s="255"/>
    </row>
    <row r="4426" spans="18:20" x14ac:dyDescent="0.3">
      <c r="R4426" s="255"/>
      <c r="S4426" s="255"/>
      <c r="T4426" s="255"/>
    </row>
    <row r="4427" spans="18:20" x14ac:dyDescent="0.3">
      <c r="R4427" s="255"/>
      <c r="S4427" s="255"/>
      <c r="T4427" s="255"/>
    </row>
    <row r="4428" spans="18:20" x14ac:dyDescent="0.3">
      <c r="R4428" s="255"/>
      <c r="S4428" s="255"/>
      <c r="T4428" s="255"/>
    </row>
    <row r="4429" spans="18:20" x14ac:dyDescent="0.3">
      <c r="R4429" s="255"/>
      <c r="S4429" s="255"/>
      <c r="T4429" s="255"/>
    </row>
    <row r="4430" spans="18:20" x14ac:dyDescent="0.3">
      <c r="R4430" s="255"/>
      <c r="S4430" s="255"/>
      <c r="T4430" s="255"/>
    </row>
    <row r="4431" spans="18:20" x14ac:dyDescent="0.3">
      <c r="R4431" s="255"/>
      <c r="S4431" s="255"/>
      <c r="T4431" s="255"/>
    </row>
    <row r="4432" spans="18:20" x14ac:dyDescent="0.3">
      <c r="R4432" s="255"/>
      <c r="S4432" s="255"/>
      <c r="T4432" s="255"/>
    </row>
    <row r="4433" spans="18:20" x14ac:dyDescent="0.3">
      <c r="R4433" s="255"/>
      <c r="S4433" s="255"/>
      <c r="T4433" s="255"/>
    </row>
    <row r="4434" spans="18:20" x14ac:dyDescent="0.3">
      <c r="R4434" s="255"/>
      <c r="S4434" s="255"/>
      <c r="T4434" s="255"/>
    </row>
    <row r="4435" spans="18:20" x14ac:dyDescent="0.3">
      <c r="R4435" s="255"/>
      <c r="S4435" s="255"/>
      <c r="T4435" s="255"/>
    </row>
    <row r="4436" spans="18:20" x14ac:dyDescent="0.3">
      <c r="R4436" s="255"/>
      <c r="S4436" s="255"/>
      <c r="T4436" s="255"/>
    </row>
    <row r="4437" spans="18:20" x14ac:dyDescent="0.3">
      <c r="R4437" s="255"/>
      <c r="S4437" s="255"/>
      <c r="T4437" s="255"/>
    </row>
    <row r="4438" spans="18:20" x14ac:dyDescent="0.3">
      <c r="R4438" s="255"/>
      <c r="S4438" s="255"/>
      <c r="T4438" s="255"/>
    </row>
    <row r="4439" spans="18:20" x14ac:dyDescent="0.3">
      <c r="R4439" s="255"/>
      <c r="S4439" s="255"/>
      <c r="T4439" s="255"/>
    </row>
    <row r="4440" spans="18:20" x14ac:dyDescent="0.3">
      <c r="R4440" s="255"/>
      <c r="S4440" s="255"/>
      <c r="T4440" s="255"/>
    </row>
    <row r="4441" spans="18:20" x14ac:dyDescent="0.3">
      <c r="R4441" s="255"/>
      <c r="S4441" s="255"/>
      <c r="T4441" s="255"/>
    </row>
    <row r="4442" spans="18:20" x14ac:dyDescent="0.3">
      <c r="R4442" s="255"/>
      <c r="S4442" s="255"/>
      <c r="T4442" s="255"/>
    </row>
    <row r="4443" spans="18:20" x14ac:dyDescent="0.3">
      <c r="R4443" s="255"/>
      <c r="S4443" s="255"/>
      <c r="T4443" s="255"/>
    </row>
    <row r="4444" spans="18:20" x14ac:dyDescent="0.3">
      <c r="R4444" s="255"/>
      <c r="S4444" s="255"/>
      <c r="T4444" s="255"/>
    </row>
    <row r="4445" spans="18:20" x14ac:dyDescent="0.3">
      <c r="R4445" s="255"/>
      <c r="S4445" s="255"/>
      <c r="T4445" s="255"/>
    </row>
    <row r="4446" spans="18:20" x14ac:dyDescent="0.3">
      <c r="R4446" s="255"/>
      <c r="S4446" s="255"/>
      <c r="T4446" s="255"/>
    </row>
    <row r="4447" spans="18:20" x14ac:dyDescent="0.3">
      <c r="R4447" s="255"/>
      <c r="S4447" s="255"/>
      <c r="T4447" s="255"/>
    </row>
    <row r="4448" spans="18:20" x14ac:dyDescent="0.3">
      <c r="R4448" s="255"/>
      <c r="S4448" s="255"/>
      <c r="T4448" s="255"/>
    </row>
    <row r="4449" spans="18:20" x14ac:dyDescent="0.3">
      <c r="R4449" s="255"/>
      <c r="S4449" s="255"/>
      <c r="T4449" s="255"/>
    </row>
    <row r="4450" spans="18:20" x14ac:dyDescent="0.3">
      <c r="R4450" s="255"/>
      <c r="S4450" s="255"/>
      <c r="T4450" s="255"/>
    </row>
    <row r="4451" spans="18:20" x14ac:dyDescent="0.3">
      <c r="R4451" s="255"/>
      <c r="S4451" s="255"/>
      <c r="T4451" s="255"/>
    </row>
    <row r="4452" spans="18:20" x14ac:dyDescent="0.3">
      <c r="R4452" s="255"/>
      <c r="S4452" s="255"/>
      <c r="T4452" s="255"/>
    </row>
    <row r="4453" spans="18:20" x14ac:dyDescent="0.3">
      <c r="R4453" s="255"/>
      <c r="S4453" s="255"/>
      <c r="T4453" s="255"/>
    </row>
    <row r="4454" spans="18:20" x14ac:dyDescent="0.3">
      <c r="R4454" s="255"/>
      <c r="S4454" s="255"/>
      <c r="T4454" s="255"/>
    </row>
    <row r="4455" spans="18:20" x14ac:dyDescent="0.3">
      <c r="R4455" s="255"/>
      <c r="S4455" s="255"/>
      <c r="T4455" s="255"/>
    </row>
    <row r="4456" spans="18:20" x14ac:dyDescent="0.3">
      <c r="R4456" s="255"/>
      <c r="S4456" s="255"/>
      <c r="T4456" s="255"/>
    </row>
    <row r="4457" spans="18:20" x14ac:dyDescent="0.3">
      <c r="R4457" s="255"/>
      <c r="S4457" s="255"/>
      <c r="T4457" s="255"/>
    </row>
    <row r="4458" spans="18:20" x14ac:dyDescent="0.3">
      <c r="R4458" s="255"/>
      <c r="S4458" s="255"/>
      <c r="T4458" s="255"/>
    </row>
    <row r="4459" spans="18:20" x14ac:dyDescent="0.3">
      <c r="R4459" s="255"/>
      <c r="S4459" s="255"/>
      <c r="T4459" s="255"/>
    </row>
    <row r="4460" spans="18:20" x14ac:dyDescent="0.3">
      <c r="R4460" s="255"/>
      <c r="S4460" s="255"/>
      <c r="T4460" s="255"/>
    </row>
    <row r="4461" spans="18:20" x14ac:dyDescent="0.3">
      <c r="R4461" s="255"/>
      <c r="S4461" s="255"/>
      <c r="T4461" s="255"/>
    </row>
    <row r="4462" spans="18:20" x14ac:dyDescent="0.3">
      <c r="R4462" s="255"/>
      <c r="S4462" s="255"/>
      <c r="T4462" s="255"/>
    </row>
    <row r="4463" spans="18:20" x14ac:dyDescent="0.3">
      <c r="R4463" s="255"/>
      <c r="S4463" s="255"/>
      <c r="T4463" s="255"/>
    </row>
    <row r="4464" spans="18:20" x14ac:dyDescent="0.3">
      <c r="R4464" s="255"/>
      <c r="S4464" s="255"/>
      <c r="T4464" s="255"/>
    </row>
    <row r="4465" spans="18:20" x14ac:dyDescent="0.3">
      <c r="R4465" s="255"/>
      <c r="S4465" s="255"/>
      <c r="T4465" s="255"/>
    </row>
    <row r="4466" spans="18:20" x14ac:dyDescent="0.3">
      <c r="R4466" s="255"/>
      <c r="S4466" s="255"/>
      <c r="T4466" s="255"/>
    </row>
    <row r="4467" spans="18:20" x14ac:dyDescent="0.3">
      <c r="R4467" s="255"/>
      <c r="S4467" s="255"/>
      <c r="T4467" s="255"/>
    </row>
    <row r="4468" spans="18:20" x14ac:dyDescent="0.3">
      <c r="R4468" s="255"/>
      <c r="S4468" s="255"/>
      <c r="T4468" s="255"/>
    </row>
    <row r="4469" spans="18:20" x14ac:dyDescent="0.3">
      <c r="R4469" s="255"/>
      <c r="S4469" s="255"/>
      <c r="T4469" s="255"/>
    </row>
    <row r="4470" spans="18:20" x14ac:dyDescent="0.3">
      <c r="R4470" s="255"/>
      <c r="S4470" s="255"/>
      <c r="T4470" s="255"/>
    </row>
    <row r="4471" spans="18:20" x14ac:dyDescent="0.3">
      <c r="R4471" s="255"/>
      <c r="S4471" s="255"/>
      <c r="T4471" s="255"/>
    </row>
    <row r="4472" spans="18:20" x14ac:dyDescent="0.3">
      <c r="R4472" s="255"/>
      <c r="S4472" s="255"/>
      <c r="T4472" s="255"/>
    </row>
    <row r="4473" spans="18:20" x14ac:dyDescent="0.3">
      <c r="R4473" s="255"/>
      <c r="S4473" s="255"/>
      <c r="T4473" s="255"/>
    </row>
    <row r="4474" spans="18:20" x14ac:dyDescent="0.3">
      <c r="R4474" s="255"/>
      <c r="S4474" s="255"/>
      <c r="T4474" s="255"/>
    </row>
    <row r="4475" spans="18:20" x14ac:dyDescent="0.3">
      <c r="R4475" s="255"/>
      <c r="S4475" s="255"/>
      <c r="T4475" s="255"/>
    </row>
    <row r="4476" spans="18:20" x14ac:dyDescent="0.3">
      <c r="R4476" s="255"/>
      <c r="S4476" s="255"/>
      <c r="T4476" s="255"/>
    </row>
    <row r="4477" spans="18:20" x14ac:dyDescent="0.3">
      <c r="R4477" s="255"/>
      <c r="S4477" s="255"/>
      <c r="T4477" s="255"/>
    </row>
    <row r="4478" spans="18:20" x14ac:dyDescent="0.3">
      <c r="R4478" s="255"/>
      <c r="S4478" s="255"/>
      <c r="T4478" s="255"/>
    </row>
    <row r="4479" spans="18:20" x14ac:dyDescent="0.3">
      <c r="R4479" s="255"/>
      <c r="S4479" s="255"/>
      <c r="T4479" s="255"/>
    </row>
    <row r="4480" spans="18:20" x14ac:dyDescent="0.3">
      <c r="R4480" s="255"/>
      <c r="S4480" s="255"/>
      <c r="T4480" s="255"/>
    </row>
    <row r="4481" spans="18:20" x14ac:dyDescent="0.3">
      <c r="R4481" s="255"/>
      <c r="S4481" s="255"/>
      <c r="T4481" s="255"/>
    </row>
    <row r="4482" spans="18:20" x14ac:dyDescent="0.3">
      <c r="R4482" s="255"/>
      <c r="S4482" s="255"/>
      <c r="T4482" s="255"/>
    </row>
    <row r="4483" spans="18:20" x14ac:dyDescent="0.3">
      <c r="R4483" s="255"/>
      <c r="S4483" s="255"/>
      <c r="T4483" s="255"/>
    </row>
    <row r="4484" spans="18:20" x14ac:dyDescent="0.3">
      <c r="R4484" s="255"/>
      <c r="S4484" s="255"/>
      <c r="T4484" s="255"/>
    </row>
    <row r="4485" spans="18:20" x14ac:dyDescent="0.3">
      <c r="R4485" s="255"/>
      <c r="S4485" s="255"/>
      <c r="T4485" s="255"/>
    </row>
    <row r="4486" spans="18:20" x14ac:dyDescent="0.3">
      <c r="R4486" s="255"/>
      <c r="S4486" s="255"/>
      <c r="T4486" s="255"/>
    </row>
    <row r="4487" spans="18:20" x14ac:dyDescent="0.3">
      <c r="R4487" s="255"/>
      <c r="S4487" s="255"/>
      <c r="T4487" s="255"/>
    </row>
    <row r="4488" spans="18:20" x14ac:dyDescent="0.3">
      <c r="R4488" s="255"/>
      <c r="S4488" s="255"/>
      <c r="T4488" s="255"/>
    </row>
    <row r="4489" spans="18:20" x14ac:dyDescent="0.3">
      <c r="R4489" s="255"/>
      <c r="S4489" s="255"/>
      <c r="T4489" s="255"/>
    </row>
    <row r="4490" spans="18:20" x14ac:dyDescent="0.3">
      <c r="R4490" s="255"/>
      <c r="S4490" s="255"/>
      <c r="T4490" s="255"/>
    </row>
    <row r="4491" spans="18:20" x14ac:dyDescent="0.3">
      <c r="R4491" s="255"/>
      <c r="S4491" s="255"/>
      <c r="T4491" s="255"/>
    </row>
    <row r="4492" spans="18:20" x14ac:dyDescent="0.3">
      <c r="R4492" s="255"/>
      <c r="S4492" s="255"/>
      <c r="T4492" s="255"/>
    </row>
    <row r="4493" spans="18:20" x14ac:dyDescent="0.3">
      <c r="R4493" s="255"/>
      <c r="S4493" s="255"/>
      <c r="T4493" s="255"/>
    </row>
    <row r="4494" spans="18:20" x14ac:dyDescent="0.3">
      <c r="R4494" s="255"/>
      <c r="S4494" s="255"/>
      <c r="T4494" s="255"/>
    </row>
    <row r="4495" spans="18:20" x14ac:dyDescent="0.3">
      <c r="R4495" s="255"/>
      <c r="S4495" s="255"/>
      <c r="T4495" s="255"/>
    </row>
    <row r="4496" spans="18:20" x14ac:dyDescent="0.3">
      <c r="R4496" s="255"/>
      <c r="S4496" s="255"/>
      <c r="T4496" s="255"/>
    </row>
    <row r="4497" spans="18:20" x14ac:dyDescent="0.3">
      <c r="R4497" s="255"/>
      <c r="S4497" s="255"/>
      <c r="T4497" s="255"/>
    </row>
    <row r="4498" spans="18:20" x14ac:dyDescent="0.3">
      <c r="R4498" s="255"/>
      <c r="S4498" s="255"/>
      <c r="T4498" s="255"/>
    </row>
    <row r="4499" spans="18:20" x14ac:dyDescent="0.3">
      <c r="R4499" s="255"/>
      <c r="S4499" s="255"/>
      <c r="T4499" s="255"/>
    </row>
    <row r="4500" spans="18:20" x14ac:dyDescent="0.3">
      <c r="R4500" s="255"/>
      <c r="S4500" s="255"/>
      <c r="T4500" s="255"/>
    </row>
    <row r="4501" spans="18:20" x14ac:dyDescent="0.3">
      <c r="R4501" s="255"/>
      <c r="S4501" s="255"/>
      <c r="T4501" s="255"/>
    </row>
    <row r="4502" spans="18:20" x14ac:dyDescent="0.3">
      <c r="R4502" s="255"/>
      <c r="S4502" s="255"/>
      <c r="T4502" s="255"/>
    </row>
    <row r="4503" spans="18:20" x14ac:dyDescent="0.3">
      <c r="R4503" s="255"/>
      <c r="S4503" s="255"/>
      <c r="T4503" s="255"/>
    </row>
    <row r="4504" spans="18:20" x14ac:dyDescent="0.3">
      <c r="R4504" s="255"/>
      <c r="S4504" s="255"/>
      <c r="T4504" s="255"/>
    </row>
    <row r="4505" spans="18:20" x14ac:dyDescent="0.3">
      <c r="R4505" s="255"/>
      <c r="S4505" s="255"/>
      <c r="T4505" s="255"/>
    </row>
    <row r="4506" spans="18:20" x14ac:dyDescent="0.3">
      <c r="R4506" s="255"/>
      <c r="S4506" s="255"/>
      <c r="T4506" s="255"/>
    </row>
    <row r="4507" spans="18:20" x14ac:dyDescent="0.3">
      <c r="R4507" s="255"/>
      <c r="S4507" s="255"/>
      <c r="T4507" s="255"/>
    </row>
    <row r="4508" spans="18:20" x14ac:dyDescent="0.3">
      <c r="R4508" s="255"/>
      <c r="S4508" s="255"/>
      <c r="T4508" s="255"/>
    </row>
    <row r="4509" spans="18:20" x14ac:dyDescent="0.3">
      <c r="R4509" s="255"/>
      <c r="S4509" s="255"/>
      <c r="T4509" s="255"/>
    </row>
    <row r="4510" spans="18:20" x14ac:dyDescent="0.3">
      <c r="R4510" s="255"/>
      <c r="S4510" s="255"/>
      <c r="T4510" s="255"/>
    </row>
    <row r="4511" spans="18:20" x14ac:dyDescent="0.3">
      <c r="R4511" s="255"/>
      <c r="S4511" s="255"/>
      <c r="T4511" s="255"/>
    </row>
    <row r="4512" spans="18:20" x14ac:dyDescent="0.3">
      <c r="R4512" s="255"/>
      <c r="S4512" s="255"/>
      <c r="T4512" s="255"/>
    </row>
    <row r="4513" spans="18:20" x14ac:dyDescent="0.3">
      <c r="R4513" s="255"/>
      <c r="S4513" s="255"/>
      <c r="T4513" s="255"/>
    </row>
    <row r="4514" spans="18:20" x14ac:dyDescent="0.3">
      <c r="R4514" s="255"/>
      <c r="S4514" s="255"/>
      <c r="T4514" s="255"/>
    </row>
    <row r="4515" spans="18:20" x14ac:dyDescent="0.3">
      <c r="R4515" s="255"/>
      <c r="S4515" s="255"/>
      <c r="T4515" s="255"/>
    </row>
    <row r="4516" spans="18:20" x14ac:dyDescent="0.3">
      <c r="R4516" s="255"/>
      <c r="S4516" s="255"/>
      <c r="T4516" s="255"/>
    </row>
    <row r="4517" spans="18:20" x14ac:dyDescent="0.3">
      <c r="R4517" s="255"/>
      <c r="S4517" s="255"/>
      <c r="T4517" s="255"/>
    </row>
    <row r="4518" spans="18:20" x14ac:dyDescent="0.3">
      <c r="R4518" s="255"/>
      <c r="S4518" s="255"/>
      <c r="T4518" s="255"/>
    </row>
    <row r="4519" spans="18:20" x14ac:dyDescent="0.3">
      <c r="R4519" s="255"/>
      <c r="S4519" s="255"/>
      <c r="T4519" s="255"/>
    </row>
    <row r="4520" spans="18:20" x14ac:dyDescent="0.3">
      <c r="R4520" s="255"/>
      <c r="S4520" s="255"/>
      <c r="T4520" s="255"/>
    </row>
    <row r="4521" spans="18:20" x14ac:dyDescent="0.3">
      <c r="R4521" s="255"/>
      <c r="S4521" s="255"/>
      <c r="T4521" s="255"/>
    </row>
    <row r="4522" spans="18:20" x14ac:dyDescent="0.3">
      <c r="R4522" s="255"/>
      <c r="S4522" s="255"/>
      <c r="T4522" s="255"/>
    </row>
    <row r="4523" spans="18:20" x14ac:dyDescent="0.3">
      <c r="R4523" s="255"/>
      <c r="S4523" s="255"/>
      <c r="T4523" s="255"/>
    </row>
    <row r="4524" spans="18:20" x14ac:dyDescent="0.3">
      <c r="R4524" s="255"/>
      <c r="S4524" s="255"/>
      <c r="T4524" s="255"/>
    </row>
    <row r="4525" spans="18:20" x14ac:dyDescent="0.3">
      <c r="R4525" s="255"/>
      <c r="S4525" s="255"/>
      <c r="T4525" s="255"/>
    </row>
    <row r="4526" spans="18:20" x14ac:dyDescent="0.3">
      <c r="R4526" s="255"/>
      <c r="S4526" s="255"/>
      <c r="T4526" s="255"/>
    </row>
    <row r="4527" spans="18:20" x14ac:dyDescent="0.3">
      <c r="R4527" s="255"/>
      <c r="S4527" s="255"/>
      <c r="T4527" s="255"/>
    </row>
    <row r="4528" spans="18:20" x14ac:dyDescent="0.3">
      <c r="R4528" s="255"/>
      <c r="S4528" s="255"/>
      <c r="T4528" s="255"/>
    </row>
    <row r="4529" spans="18:20" x14ac:dyDescent="0.3">
      <c r="R4529" s="255"/>
      <c r="S4529" s="255"/>
      <c r="T4529" s="255"/>
    </row>
    <row r="4530" spans="18:20" x14ac:dyDescent="0.3">
      <c r="R4530" s="255"/>
      <c r="S4530" s="255"/>
      <c r="T4530" s="255"/>
    </row>
    <row r="4531" spans="18:20" x14ac:dyDescent="0.3">
      <c r="R4531" s="255"/>
      <c r="S4531" s="255"/>
      <c r="T4531" s="255"/>
    </row>
    <row r="4532" spans="18:20" x14ac:dyDescent="0.3">
      <c r="R4532" s="255"/>
      <c r="S4532" s="255"/>
      <c r="T4532" s="255"/>
    </row>
    <row r="4533" spans="18:20" x14ac:dyDescent="0.3">
      <c r="R4533" s="255"/>
      <c r="S4533" s="255"/>
      <c r="T4533" s="255"/>
    </row>
    <row r="4534" spans="18:20" x14ac:dyDescent="0.3">
      <c r="R4534" s="255"/>
      <c r="S4534" s="255"/>
      <c r="T4534" s="255"/>
    </row>
    <row r="4535" spans="18:20" x14ac:dyDescent="0.3">
      <c r="R4535" s="255"/>
      <c r="S4535" s="255"/>
      <c r="T4535" s="255"/>
    </row>
    <row r="4536" spans="18:20" x14ac:dyDescent="0.3">
      <c r="R4536" s="255"/>
      <c r="S4536" s="255"/>
      <c r="T4536" s="255"/>
    </row>
    <row r="4537" spans="18:20" x14ac:dyDescent="0.3">
      <c r="R4537" s="255"/>
      <c r="S4537" s="255"/>
      <c r="T4537" s="255"/>
    </row>
    <row r="4538" spans="18:20" x14ac:dyDescent="0.3">
      <c r="R4538" s="255"/>
      <c r="S4538" s="255"/>
      <c r="T4538" s="255"/>
    </row>
    <row r="4539" spans="18:20" x14ac:dyDescent="0.3">
      <c r="R4539" s="255"/>
      <c r="S4539" s="255"/>
      <c r="T4539" s="255"/>
    </row>
    <row r="4540" spans="18:20" x14ac:dyDescent="0.3">
      <c r="R4540" s="255"/>
      <c r="S4540" s="255"/>
      <c r="T4540" s="255"/>
    </row>
    <row r="4541" spans="18:20" x14ac:dyDescent="0.3">
      <c r="R4541" s="255"/>
      <c r="S4541" s="255"/>
      <c r="T4541" s="255"/>
    </row>
    <row r="4542" spans="18:20" x14ac:dyDescent="0.3">
      <c r="R4542" s="255"/>
      <c r="S4542" s="255"/>
      <c r="T4542" s="255"/>
    </row>
    <row r="4543" spans="18:20" x14ac:dyDescent="0.3">
      <c r="R4543" s="255"/>
      <c r="S4543" s="255"/>
      <c r="T4543" s="255"/>
    </row>
    <row r="4544" spans="18:20" x14ac:dyDescent="0.3">
      <c r="R4544" s="255"/>
      <c r="S4544" s="255"/>
      <c r="T4544" s="255"/>
    </row>
    <row r="4545" spans="18:20" x14ac:dyDescent="0.3">
      <c r="R4545" s="255"/>
      <c r="S4545" s="255"/>
      <c r="T4545" s="255"/>
    </row>
    <row r="4546" spans="18:20" x14ac:dyDescent="0.3">
      <c r="R4546" s="255"/>
      <c r="S4546" s="255"/>
      <c r="T4546" s="255"/>
    </row>
    <row r="4547" spans="18:20" x14ac:dyDescent="0.3">
      <c r="R4547" s="255"/>
      <c r="S4547" s="255"/>
      <c r="T4547" s="255"/>
    </row>
    <row r="4548" spans="18:20" x14ac:dyDescent="0.3">
      <c r="R4548" s="255"/>
      <c r="S4548" s="255"/>
      <c r="T4548" s="255"/>
    </row>
    <row r="4549" spans="18:20" x14ac:dyDescent="0.3">
      <c r="R4549" s="255"/>
      <c r="S4549" s="255"/>
      <c r="T4549" s="255"/>
    </row>
    <row r="4550" spans="18:20" x14ac:dyDescent="0.3">
      <c r="R4550" s="255"/>
      <c r="S4550" s="255"/>
      <c r="T4550" s="255"/>
    </row>
    <row r="4551" spans="18:20" x14ac:dyDescent="0.3">
      <c r="R4551" s="255"/>
      <c r="S4551" s="255"/>
      <c r="T4551" s="255"/>
    </row>
    <row r="4552" spans="18:20" x14ac:dyDescent="0.3">
      <c r="R4552" s="255"/>
      <c r="S4552" s="255"/>
      <c r="T4552" s="255"/>
    </row>
    <row r="4553" spans="18:20" x14ac:dyDescent="0.3">
      <c r="R4553" s="255"/>
      <c r="S4553" s="255"/>
      <c r="T4553" s="255"/>
    </row>
    <row r="4554" spans="18:20" x14ac:dyDescent="0.3">
      <c r="R4554" s="255"/>
      <c r="S4554" s="255"/>
      <c r="T4554" s="255"/>
    </row>
    <row r="4555" spans="18:20" x14ac:dyDescent="0.3">
      <c r="R4555" s="255"/>
      <c r="S4555" s="255"/>
      <c r="T4555" s="255"/>
    </row>
    <row r="4556" spans="18:20" x14ac:dyDescent="0.3">
      <c r="R4556" s="255"/>
      <c r="S4556" s="255"/>
      <c r="T4556" s="255"/>
    </row>
    <row r="4557" spans="18:20" x14ac:dyDescent="0.3">
      <c r="R4557" s="255"/>
      <c r="S4557" s="255"/>
      <c r="T4557" s="255"/>
    </row>
    <row r="4558" spans="18:20" x14ac:dyDescent="0.3">
      <c r="R4558" s="255"/>
      <c r="S4558" s="255"/>
      <c r="T4558" s="255"/>
    </row>
    <row r="4559" spans="18:20" x14ac:dyDescent="0.3">
      <c r="R4559" s="255"/>
      <c r="S4559" s="255"/>
      <c r="T4559" s="255"/>
    </row>
    <row r="4560" spans="18:20" x14ac:dyDescent="0.3">
      <c r="R4560" s="255"/>
      <c r="S4560" s="255"/>
      <c r="T4560" s="255"/>
    </row>
    <row r="4561" spans="18:20" x14ac:dyDescent="0.3">
      <c r="R4561" s="255"/>
      <c r="S4561" s="255"/>
      <c r="T4561" s="255"/>
    </row>
    <row r="4562" spans="18:20" x14ac:dyDescent="0.3">
      <c r="R4562" s="255"/>
      <c r="S4562" s="255"/>
      <c r="T4562" s="255"/>
    </row>
    <row r="4563" spans="18:20" x14ac:dyDescent="0.3">
      <c r="R4563" s="255"/>
      <c r="S4563" s="255"/>
      <c r="T4563" s="255"/>
    </row>
    <row r="4564" spans="18:20" x14ac:dyDescent="0.3">
      <c r="R4564" s="255"/>
      <c r="S4564" s="255"/>
      <c r="T4564" s="255"/>
    </row>
    <row r="4565" spans="18:20" x14ac:dyDescent="0.3">
      <c r="R4565" s="255"/>
      <c r="S4565" s="255"/>
      <c r="T4565" s="255"/>
    </row>
    <row r="4566" spans="18:20" x14ac:dyDescent="0.3">
      <c r="R4566" s="255"/>
      <c r="S4566" s="255"/>
      <c r="T4566" s="255"/>
    </row>
    <row r="4567" spans="18:20" x14ac:dyDescent="0.3">
      <c r="R4567" s="255"/>
      <c r="S4567" s="255"/>
      <c r="T4567" s="255"/>
    </row>
    <row r="4568" spans="18:20" x14ac:dyDescent="0.3">
      <c r="R4568" s="255"/>
      <c r="S4568" s="255"/>
      <c r="T4568" s="255"/>
    </row>
    <row r="4569" spans="18:20" x14ac:dyDescent="0.3">
      <c r="R4569" s="255"/>
      <c r="S4569" s="255"/>
      <c r="T4569" s="255"/>
    </row>
    <row r="4570" spans="18:20" x14ac:dyDescent="0.3">
      <c r="R4570" s="255"/>
      <c r="S4570" s="255"/>
      <c r="T4570" s="255"/>
    </row>
    <row r="4571" spans="18:20" x14ac:dyDescent="0.3">
      <c r="R4571" s="255"/>
      <c r="S4571" s="255"/>
      <c r="T4571" s="255"/>
    </row>
    <row r="4572" spans="18:20" x14ac:dyDescent="0.3">
      <c r="R4572" s="255"/>
      <c r="S4572" s="255"/>
      <c r="T4572" s="255"/>
    </row>
    <row r="4573" spans="18:20" x14ac:dyDescent="0.3">
      <c r="R4573" s="255"/>
      <c r="S4573" s="255"/>
      <c r="T4573" s="255"/>
    </row>
    <row r="4574" spans="18:20" x14ac:dyDescent="0.3">
      <c r="R4574" s="255"/>
      <c r="S4574" s="255"/>
      <c r="T4574" s="255"/>
    </row>
    <row r="4575" spans="18:20" x14ac:dyDescent="0.3">
      <c r="R4575" s="255"/>
      <c r="S4575" s="255"/>
      <c r="T4575" s="255"/>
    </row>
    <row r="4576" spans="18:20" x14ac:dyDescent="0.3">
      <c r="R4576" s="255"/>
      <c r="S4576" s="255"/>
      <c r="T4576" s="255"/>
    </row>
    <row r="4577" spans="18:20" x14ac:dyDescent="0.3">
      <c r="R4577" s="255"/>
      <c r="S4577" s="255"/>
      <c r="T4577" s="255"/>
    </row>
    <row r="4578" spans="18:20" x14ac:dyDescent="0.3">
      <c r="R4578" s="255"/>
      <c r="S4578" s="255"/>
      <c r="T4578" s="255"/>
    </row>
    <row r="4579" spans="18:20" x14ac:dyDescent="0.3">
      <c r="R4579" s="255"/>
      <c r="S4579" s="255"/>
      <c r="T4579" s="255"/>
    </row>
    <row r="4580" spans="18:20" x14ac:dyDescent="0.3">
      <c r="R4580" s="255"/>
      <c r="S4580" s="255"/>
      <c r="T4580" s="255"/>
    </row>
    <row r="4581" spans="18:20" x14ac:dyDescent="0.3">
      <c r="R4581" s="255"/>
      <c r="S4581" s="255"/>
      <c r="T4581" s="255"/>
    </row>
    <row r="4582" spans="18:20" x14ac:dyDescent="0.3">
      <c r="R4582" s="255"/>
      <c r="S4582" s="255"/>
      <c r="T4582" s="255"/>
    </row>
    <row r="4583" spans="18:20" x14ac:dyDescent="0.3">
      <c r="R4583" s="255"/>
      <c r="S4583" s="255"/>
      <c r="T4583" s="255"/>
    </row>
    <row r="4584" spans="18:20" x14ac:dyDescent="0.3">
      <c r="R4584" s="255"/>
      <c r="S4584" s="255"/>
      <c r="T4584" s="255"/>
    </row>
    <row r="4585" spans="18:20" x14ac:dyDescent="0.3">
      <c r="R4585" s="255"/>
      <c r="S4585" s="255"/>
      <c r="T4585" s="255"/>
    </row>
    <row r="4586" spans="18:20" x14ac:dyDescent="0.3">
      <c r="R4586" s="255"/>
      <c r="S4586" s="255"/>
      <c r="T4586" s="255"/>
    </row>
    <row r="4587" spans="18:20" x14ac:dyDescent="0.3">
      <c r="R4587" s="255"/>
      <c r="S4587" s="255"/>
      <c r="T4587" s="255"/>
    </row>
    <row r="4588" spans="18:20" x14ac:dyDescent="0.3">
      <c r="R4588" s="255"/>
      <c r="S4588" s="255"/>
      <c r="T4588" s="255"/>
    </row>
    <row r="4589" spans="18:20" x14ac:dyDescent="0.3">
      <c r="R4589" s="255"/>
      <c r="S4589" s="255"/>
      <c r="T4589" s="255"/>
    </row>
    <row r="4590" spans="18:20" x14ac:dyDescent="0.3">
      <c r="R4590" s="255"/>
      <c r="S4590" s="255"/>
      <c r="T4590" s="255"/>
    </row>
    <row r="4591" spans="18:20" x14ac:dyDescent="0.3">
      <c r="R4591" s="255"/>
      <c r="S4591" s="255"/>
      <c r="T4591" s="255"/>
    </row>
    <row r="4592" spans="18:20" x14ac:dyDescent="0.3">
      <c r="R4592" s="255"/>
      <c r="S4592" s="255"/>
      <c r="T4592" s="255"/>
    </row>
    <row r="4593" spans="18:20" x14ac:dyDescent="0.3">
      <c r="R4593" s="255"/>
      <c r="S4593" s="255"/>
      <c r="T4593" s="255"/>
    </row>
    <row r="4594" spans="18:20" x14ac:dyDescent="0.3">
      <c r="R4594" s="255"/>
      <c r="S4594" s="255"/>
      <c r="T4594" s="255"/>
    </row>
    <row r="4595" spans="18:20" x14ac:dyDescent="0.3">
      <c r="R4595" s="255"/>
      <c r="S4595" s="255"/>
      <c r="T4595" s="255"/>
    </row>
    <row r="4596" spans="18:20" x14ac:dyDescent="0.3">
      <c r="R4596" s="255"/>
      <c r="S4596" s="255"/>
      <c r="T4596" s="255"/>
    </row>
    <row r="4597" spans="18:20" x14ac:dyDescent="0.3">
      <c r="R4597" s="255"/>
      <c r="S4597" s="255"/>
      <c r="T4597" s="255"/>
    </row>
    <row r="4598" spans="18:20" x14ac:dyDescent="0.3">
      <c r="R4598" s="255"/>
      <c r="S4598" s="255"/>
      <c r="T4598" s="255"/>
    </row>
    <row r="4599" spans="18:20" x14ac:dyDescent="0.3">
      <c r="R4599" s="255"/>
      <c r="S4599" s="255"/>
      <c r="T4599" s="255"/>
    </row>
    <row r="4600" spans="18:20" x14ac:dyDescent="0.3">
      <c r="R4600" s="255"/>
      <c r="S4600" s="255"/>
      <c r="T4600" s="255"/>
    </row>
    <row r="4601" spans="18:20" x14ac:dyDescent="0.3">
      <c r="R4601" s="255"/>
      <c r="S4601" s="255"/>
      <c r="T4601" s="255"/>
    </row>
    <row r="4602" spans="18:20" x14ac:dyDescent="0.3">
      <c r="R4602" s="255"/>
      <c r="S4602" s="255"/>
      <c r="T4602" s="255"/>
    </row>
    <row r="4603" spans="18:20" x14ac:dyDescent="0.3">
      <c r="R4603" s="255"/>
      <c r="S4603" s="255"/>
      <c r="T4603" s="255"/>
    </row>
    <row r="4604" spans="18:20" x14ac:dyDescent="0.3">
      <c r="R4604" s="255"/>
      <c r="S4604" s="255"/>
      <c r="T4604" s="255"/>
    </row>
    <row r="4605" spans="18:20" x14ac:dyDescent="0.3">
      <c r="R4605" s="255"/>
      <c r="S4605" s="255"/>
      <c r="T4605" s="255"/>
    </row>
    <row r="4606" spans="18:20" x14ac:dyDescent="0.3">
      <c r="R4606" s="255"/>
      <c r="S4606" s="255"/>
      <c r="T4606" s="255"/>
    </row>
    <row r="4607" spans="18:20" x14ac:dyDescent="0.3">
      <c r="R4607" s="255"/>
      <c r="S4607" s="255"/>
      <c r="T4607" s="255"/>
    </row>
    <row r="4608" spans="18:20" x14ac:dyDescent="0.3">
      <c r="R4608" s="255"/>
      <c r="S4608" s="255"/>
      <c r="T4608" s="255"/>
    </row>
    <row r="4609" spans="18:20" x14ac:dyDescent="0.3">
      <c r="R4609" s="255"/>
      <c r="S4609" s="255"/>
      <c r="T4609" s="255"/>
    </row>
    <row r="4610" spans="18:20" x14ac:dyDescent="0.3">
      <c r="R4610" s="255"/>
      <c r="S4610" s="255"/>
      <c r="T4610" s="255"/>
    </row>
    <row r="4611" spans="18:20" x14ac:dyDescent="0.3">
      <c r="R4611" s="255"/>
      <c r="S4611" s="255"/>
      <c r="T4611" s="255"/>
    </row>
    <row r="4612" spans="18:20" x14ac:dyDescent="0.3">
      <c r="R4612" s="255"/>
      <c r="S4612" s="255"/>
      <c r="T4612" s="255"/>
    </row>
    <row r="4613" spans="18:20" x14ac:dyDescent="0.3">
      <c r="R4613" s="255"/>
      <c r="S4613" s="255"/>
      <c r="T4613" s="255"/>
    </row>
    <row r="4614" spans="18:20" x14ac:dyDescent="0.3">
      <c r="R4614" s="255"/>
      <c r="S4614" s="255"/>
      <c r="T4614" s="255"/>
    </row>
    <row r="4615" spans="18:20" x14ac:dyDescent="0.3">
      <c r="R4615" s="255"/>
      <c r="S4615" s="255"/>
      <c r="T4615" s="255"/>
    </row>
    <row r="4616" spans="18:20" x14ac:dyDescent="0.3">
      <c r="R4616" s="255"/>
      <c r="S4616" s="255"/>
      <c r="T4616" s="255"/>
    </row>
    <row r="4617" spans="18:20" x14ac:dyDescent="0.3">
      <c r="R4617" s="255"/>
      <c r="S4617" s="255"/>
      <c r="T4617" s="255"/>
    </row>
    <row r="4618" spans="18:20" x14ac:dyDescent="0.3">
      <c r="R4618" s="255"/>
      <c r="S4618" s="255"/>
      <c r="T4618" s="255"/>
    </row>
    <row r="4619" spans="18:20" x14ac:dyDescent="0.3">
      <c r="R4619" s="255"/>
      <c r="S4619" s="255"/>
      <c r="T4619" s="255"/>
    </row>
    <row r="4620" spans="18:20" x14ac:dyDescent="0.3">
      <c r="R4620" s="255"/>
      <c r="S4620" s="255"/>
      <c r="T4620" s="255"/>
    </row>
    <row r="4621" spans="18:20" x14ac:dyDescent="0.3">
      <c r="R4621" s="255"/>
      <c r="S4621" s="255"/>
      <c r="T4621" s="255"/>
    </row>
    <row r="4622" spans="18:20" x14ac:dyDescent="0.3">
      <c r="R4622" s="255"/>
      <c r="S4622" s="255"/>
      <c r="T4622" s="255"/>
    </row>
    <row r="4623" spans="18:20" x14ac:dyDescent="0.3">
      <c r="R4623" s="255"/>
      <c r="S4623" s="255"/>
      <c r="T4623" s="255"/>
    </row>
    <row r="4624" spans="18:20" x14ac:dyDescent="0.3">
      <c r="R4624" s="255"/>
      <c r="S4624" s="255"/>
      <c r="T4624" s="255"/>
    </row>
    <row r="4625" spans="18:20" x14ac:dyDescent="0.3">
      <c r="R4625" s="255"/>
      <c r="S4625" s="255"/>
      <c r="T4625" s="255"/>
    </row>
    <row r="4626" spans="18:20" x14ac:dyDescent="0.3">
      <c r="R4626" s="255"/>
      <c r="S4626" s="255"/>
      <c r="T4626" s="255"/>
    </row>
    <row r="4627" spans="18:20" x14ac:dyDescent="0.3">
      <c r="R4627" s="255"/>
      <c r="S4627" s="255"/>
      <c r="T4627" s="255"/>
    </row>
    <row r="4628" spans="18:20" x14ac:dyDescent="0.3">
      <c r="R4628" s="255"/>
      <c r="S4628" s="255"/>
      <c r="T4628" s="255"/>
    </row>
    <row r="4629" spans="18:20" x14ac:dyDescent="0.3">
      <c r="R4629" s="255"/>
      <c r="S4629" s="255"/>
      <c r="T4629" s="255"/>
    </row>
    <row r="4630" spans="18:20" x14ac:dyDescent="0.3">
      <c r="R4630" s="255"/>
      <c r="S4630" s="255"/>
      <c r="T4630" s="255"/>
    </row>
    <row r="4631" spans="18:20" x14ac:dyDescent="0.3">
      <c r="R4631" s="255"/>
      <c r="S4631" s="255"/>
      <c r="T4631" s="255"/>
    </row>
    <row r="4632" spans="18:20" x14ac:dyDescent="0.3">
      <c r="R4632" s="255"/>
      <c r="S4632" s="255"/>
      <c r="T4632" s="255"/>
    </row>
    <row r="4633" spans="18:20" x14ac:dyDescent="0.3">
      <c r="R4633" s="255"/>
      <c r="S4633" s="255"/>
      <c r="T4633" s="255"/>
    </row>
    <row r="4634" spans="18:20" x14ac:dyDescent="0.3">
      <c r="R4634" s="255"/>
      <c r="S4634" s="255"/>
      <c r="T4634" s="255"/>
    </row>
    <row r="4635" spans="18:20" x14ac:dyDescent="0.3">
      <c r="R4635" s="255"/>
      <c r="S4635" s="255"/>
      <c r="T4635" s="255"/>
    </row>
    <row r="4636" spans="18:20" x14ac:dyDescent="0.3">
      <c r="R4636" s="255"/>
      <c r="S4636" s="255"/>
      <c r="T4636" s="255"/>
    </row>
    <row r="4637" spans="18:20" x14ac:dyDescent="0.3">
      <c r="R4637" s="255"/>
      <c r="S4637" s="255"/>
      <c r="T4637" s="255"/>
    </row>
    <row r="4638" spans="18:20" x14ac:dyDescent="0.3">
      <c r="R4638" s="255"/>
      <c r="S4638" s="255"/>
      <c r="T4638" s="255"/>
    </row>
    <row r="4639" spans="18:20" x14ac:dyDescent="0.3">
      <c r="R4639" s="255"/>
      <c r="S4639" s="255"/>
      <c r="T4639" s="255"/>
    </row>
    <row r="4640" spans="18:20" x14ac:dyDescent="0.3">
      <c r="R4640" s="255"/>
      <c r="S4640" s="255"/>
      <c r="T4640" s="255"/>
    </row>
    <row r="4641" spans="18:20" x14ac:dyDescent="0.3">
      <c r="R4641" s="255"/>
      <c r="S4641" s="255"/>
      <c r="T4641" s="255"/>
    </row>
    <row r="4642" spans="18:20" x14ac:dyDescent="0.3">
      <c r="R4642" s="255"/>
      <c r="S4642" s="255"/>
      <c r="T4642" s="255"/>
    </row>
    <row r="4643" spans="18:20" x14ac:dyDescent="0.3">
      <c r="R4643" s="255"/>
      <c r="S4643" s="255"/>
      <c r="T4643" s="255"/>
    </row>
    <row r="4644" spans="18:20" x14ac:dyDescent="0.3">
      <c r="R4644" s="255"/>
      <c r="S4644" s="255"/>
      <c r="T4644" s="255"/>
    </row>
    <row r="4645" spans="18:20" x14ac:dyDescent="0.3">
      <c r="R4645" s="255"/>
      <c r="S4645" s="255"/>
      <c r="T4645" s="255"/>
    </row>
    <row r="4646" spans="18:20" x14ac:dyDescent="0.3">
      <c r="R4646" s="255"/>
      <c r="S4646" s="255"/>
      <c r="T4646" s="255"/>
    </row>
    <row r="4647" spans="18:20" x14ac:dyDescent="0.3">
      <c r="R4647" s="255"/>
      <c r="S4647" s="255"/>
      <c r="T4647" s="255"/>
    </row>
    <row r="4648" spans="18:20" x14ac:dyDescent="0.3">
      <c r="R4648" s="255"/>
      <c r="S4648" s="255"/>
      <c r="T4648" s="255"/>
    </row>
    <row r="4649" spans="18:20" x14ac:dyDescent="0.3">
      <c r="R4649" s="255"/>
      <c r="S4649" s="255"/>
      <c r="T4649" s="255"/>
    </row>
    <row r="4650" spans="18:20" x14ac:dyDescent="0.3">
      <c r="R4650" s="255"/>
      <c r="S4650" s="255"/>
      <c r="T4650" s="255"/>
    </row>
    <row r="4651" spans="18:20" x14ac:dyDescent="0.3">
      <c r="R4651" s="255"/>
      <c r="S4651" s="255"/>
      <c r="T4651" s="255"/>
    </row>
    <row r="4652" spans="18:20" x14ac:dyDescent="0.3">
      <c r="R4652" s="255"/>
      <c r="S4652" s="255"/>
      <c r="T4652" s="255"/>
    </row>
    <row r="4653" spans="18:20" x14ac:dyDescent="0.3">
      <c r="R4653" s="255"/>
      <c r="S4653" s="255"/>
      <c r="T4653" s="255"/>
    </row>
    <row r="4654" spans="18:20" x14ac:dyDescent="0.3">
      <c r="R4654" s="255"/>
      <c r="S4654" s="255"/>
      <c r="T4654" s="255"/>
    </row>
    <row r="4655" spans="18:20" x14ac:dyDescent="0.3">
      <c r="R4655" s="255"/>
      <c r="S4655" s="255"/>
      <c r="T4655" s="255"/>
    </row>
    <row r="4656" spans="18:20" x14ac:dyDescent="0.3">
      <c r="R4656" s="255"/>
      <c r="S4656" s="255"/>
      <c r="T4656" s="255"/>
    </row>
    <row r="4657" spans="18:20" x14ac:dyDescent="0.3">
      <c r="R4657" s="255"/>
      <c r="S4657" s="255"/>
      <c r="T4657" s="255"/>
    </row>
    <row r="4658" spans="18:20" x14ac:dyDescent="0.3">
      <c r="R4658" s="255"/>
      <c r="S4658" s="255"/>
      <c r="T4658" s="255"/>
    </row>
    <row r="4659" spans="18:20" x14ac:dyDescent="0.3">
      <c r="R4659" s="255"/>
      <c r="S4659" s="255"/>
      <c r="T4659" s="255"/>
    </row>
    <row r="4660" spans="18:20" x14ac:dyDescent="0.3">
      <c r="R4660" s="255"/>
      <c r="S4660" s="255"/>
      <c r="T4660" s="255"/>
    </row>
    <row r="4661" spans="18:20" x14ac:dyDescent="0.3">
      <c r="R4661" s="255"/>
      <c r="S4661" s="255"/>
      <c r="T4661" s="255"/>
    </row>
    <row r="4662" spans="18:20" x14ac:dyDescent="0.3">
      <c r="R4662" s="255"/>
      <c r="S4662" s="255"/>
      <c r="T4662" s="255"/>
    </row>
    <row r="4663" spans="18:20" x14ac:dyDescent="0.3">
      <c r="R4663" s="255"/>
      <c r="S4663" s="255"/>
      <c r="T4663" s="255"/>
    </row>
    <row r="4664" spans="18:20" x14ac:dyDescent="0.3">
      <c r="R4664" s="255"/>
      <c r="S4664" s="255"/>
      <c r="T4664" s="255"/>
    </row>
    <row r="4665" spans="18:20" x14ac:dyDescent="0.3">
      <c r="R4665" s="255"/>
      <c r="S4665" s="255"/>
      <c r="T4665" s="255"/>
    </row>
    <row r="4666" spans="18:20" x14ac:dyDescent="0.3">
      <c r="R4666" s="255"/>
      <c r="S4666" s="255"/>
      <c r="T4666" s="255"/>
    </row>
    <row r="4667" spans="18:20" x14ac:dyDescent="0.3">
      <c r="R4667" s="255"/>
      <c r="S4667" s="255"/>
      <c r="T4667" s="255"/>
    </row>
    <row r="4668" spans="18:20" x14ac:dyDescent="0.3">
      <c r="R4668" s="255"/>
      <c r="S4668" s="255"/>
      <c r="T4668" s="255"/>
    </row>
    <row r="4669" spans="18:20" x14ac:dyDescent="0.3">
      <c r="R4669" s="255"/>
      <c r="S4669" s="255"/>
      <c r="T4669" s="255"/>
    </row>
    <row r="4670" spans="18:20" x14ac:dyDescent="0.3">
      <c r="R4670" s="255"/>
      <c r="S4670" s="255"/>
      <c r="T4670" s="255"/>
    </row>
    <row r="4671" spans="18:20" x14ac:dyDescent="0.3">
      <c r="R4671" s="255"/>
      <c r="S4671" s="255"/>
      <c r="T4671" s="255"/>
    </row>
    <row r="4672" spans="18:20" x14ac:dyDescent="0.3">
      <c r="R4672" s="255"/>
      <c r="S4672" s="255"/>
      <c r="T4672" s="255"/>
    </row>
    <row r="4673" spans="18:20" x14ac:dyDescent="0.3">
      <c r="R4673" s="255"/>
      <c r="S4673" s="255"/>
      <c r="T4673" s="255"/>
    </row>
    <row r="4674" spans="18:20" x14ac:dyDescent="0.3">
      <c r="R4674" s="255"/>
      <c r="S4674" s="255"/>
      <c r="T4674" s="255"/>
    </row>
    <row r="4675" spans="18:20" x14ac:dyDescent="0.3">
      <c r="R4675" s="255"/>
      <c r="S4675" s="255"/>
      <c r="T4675" s="255"/>
    </row>
    <row r="4676" spans="18:20" x14ac:dyDescent="0.3">
      <c r="R4676" s="255"/>
      <c r="S4676" s="255"/>
      <c r="T4676" s="255"/>
    </row>
    <row r="4677" spans="18:20" x14ac:dyDescent="0.3">
      <c r="R4677" s="255"/>
      <c r="S4677" s="255"/>
      <c r="T4677" s="255"/>
    </row>
    <row r="4678" spans="18:20" x14ac:dyDescent="0.3">
      <c r="R4678" s="255"/>
      <c r="S4678" s="255"/>
      <c r="T4678" s="255"/>
    </row>
    <row r="4679" spans="18:20" x14ac:dyDescent="0.3">
      <c r="R4679" s="255"/>
      <c r="S4679" s="255"/>
      <c r="T4679" s="255"/>
    </row>
    <row r="4680" spans="18:20" x14ac:dyDescent="0.3">
      <c r="R4680" s="255"/>
      <c r="S4680" s="255"/>
      <c r="T4680" s="255"/>
    </row>
    <row r="4681" spans="18:20" x14ac:dyDescent="0.3">
      <c r="R4681" s="255"/>
      <c r="S4681" s="255"/>
      <c r="T4681" s="255"/>
    </row>
    <row r="4682" spans="18:20" x14ac:dyDescent="0.3">
      <c r="R4682" s="255"/>
      <c r="S4682" s="255"/>
      <c r="T4682" s="255"/>
    </row>
    <row r="4683" spans="18:20" x14ac:dyDescent="0.3">
      <c r="R4683" s="255"/>
      <c r="S4683" s="255"/>
      <c r="T4683" s="255"/>
    </row>
    <row r="4684" spans="18:20" x14ac:dyDescent="0.3">
      <c r="R4684" s="255"/>
      <c r="S4684" s="255"/>
      <c r="T4684" s="255"/>
    </row>
    <row r="4685" spans="18:20" x14ac:dyDescent="0.3">
      <c r="R4685" s="255"/>
      <c r="S4685" s="255"/>
      <c r="T4685" s="255"/>
    </row>
    <row r="4686" spans="18:20" x14ac:dyDescent="0.3">
      <c r="R4686" s="255"/>
      <c r="S4686" s="255"/>
      <c r="T4686" s="255"/>
    </row>
    <row r="4687" spans="18:20" x14ac:dyDescent="0.3">
      <c r="R4687" s="255"/>
      <c r="S4687" s="255"/>
      <c r="T4687" s="255"/>
    </row>
    <row r="4688" spans="18:20" x14ac:dyDescent="0.3">
      <c r="R4688" s="255"/>
      <c r="S4688" s="255"/>
      <c r="T4688" s="255"/>
    </row>
    <row r="4689" spans="18:20" x14ac:dyDescent="0.3">
      <c r="R4689" s="255"/>
      <c r="S4689" s="255"/>
      <c r="T4689" s="255"/>
    </row>
    <row r="4690" spans="18:20" x14ac:dyDescent="0.3">
      <c r="R4690" s="255"/>
      <c r="S4690" s="255"/>
      <c r="T4690" s="255"/>
    </row>
    <row r="4691" spans="18:20" x14ac:dyDescent="0.3">
      <c r="R4691" s="255"/>
      <c r="S4691" s="255"/>
      <c r="T4691" s="255"/>
    </row>
    <row r="4692" spans="18:20" x14ac:dyDescent="0.3">
      <c r="R4692" s="255"/>
      <c r="S4692" s="255"/>
      <c r="T4692" s="255"/>
    </row>
    <row r="4693" spans="18:20" x14ac:dyDescent="0.3">
      <c r="R4693" s="255"/>
      <c r="S4693" s="255"/>
      <c r="T4693" s="255"/>
    </row>
    <row r="4694" spans="18:20" x14ac:dyDescent="0.3">
      <c r="R4694" s="255"/>
      <c r="S4694" s="255"/>
      <c r="T4694" s="255"/>
    </row>
    <row r="4695" spans="18:20" x14ac:dyDescent="0.3">
      <c r="R4695" s="255"/>
      <c r="S4695" s="255"/>
      <c r="T4695" s="255"/>
    </row>
    <row r="4696" spans="18:20" x14ac:dyDescent="0.3">
      <c r="R4696" s="255"/>
      <c r="S4696" s="255"/>
      <c r="T4696" s="255"/>
    </row>
    <row r="4697" spans="18:20" x14ac:dyDescent="0.3">
      <c r="R4697" s="255"/>
      <c r="S4697" s="255"/>
      <c r="T4697" s="255"/>
    </row>
    <row r="4698" spans="18:20" x14ac:dyDescent="0.3">
      <c r="R4698" s="255"/>
      <c r="S4698" s="255"/>
      <c r="T4698" s="255"/>
    </row>
    <row r="4699" spans="18:20" x14ac:dyDescent="0.3">
      <c r="R4699" s="255"/>
      <c r="S4699" s="255"/>
      <c r="T4699" s="255"/>
    </row>
    <row r="4700" spans="18:20" x14ac:dyDescent="0.3">
      <c r="R4700" s="255"/>
      <c r="S4700" s="255"/>
      <c r="T4700" s="255"/>
    </row>
    <row r="4701" spans="18:20" x14ac:dyDescent="0.3">
      <c r="R4701" s="255"/>
      <c r="S4701" s="255"/>
      <c r="T4701" s="255"/>
    </row>
    <row r="4702" spans="18:20" x14ac:dyDescent="0.3">
      <c r="R4702" s="255"/>
      <c r="S4702" s="255"/>
      <c r="T4702" s="255"/>
    </row>
    <row r="4703" spans="18:20" x14ac:dyDescent="0.3">
      <c r="R4703" s="255"/>
      <c r="S4703" s="255"/>
      <c r="T4703" s="255"/>
    </row>
    <row r="4704" spans="18:20" x14ac:dyDescent="0.3">
      <c r="R4704" s="255"/>
      <c r="S4704" s="255"/>
      <c r="T4704" s="255"/>
    </row>
    <row r="4705" spans="18:20" x14ac:dyDescent="0.3">
      <c r="R4705" s="255"/>
      <c r="S4705" s="255"/>
      <c r="T4705" s="255"/>
    </row>
    <row r="4706" spans="18:20" x14ac:dyDescent="0.3">
      <c r="R4706" s="255"/>
      <c r="S4706" s="255"/>
      <c r="T4706" s="255"/>
    </row>
    <row r="4707" spans="18:20" x14ac:dyDescent="0.3">
      <c r="R4707" s="255"/>
      <c r="S4707" s="255"/>
      <c r="T4707" s="255"/>
    </row>
    <row r="4708" spans="18:20" x14ac:dyDescent="0.3">
      <c r="R4708" s="255"/>
      <c r="S4708" s="255"/>
      <c r="T4708" s="255"/>
    </row>
    <row r="4709" spans="18:20" x14ac:dyDescent="0.3">
      <c r="R4709" s="255"/>
      <c r="S4709" s="255"/>
      <c r="T4709" s="255"/>
    </row>
    <row r="4710" spans="18:20" x14ac:dyDescent="0.3">
      <c r="R4710" s="255"/>
      <c r="S4710" s="255"/>
      <c r="T4710" s="255"/>
    </row>
    <row r="4711" spans="18:20" x14ac:dyDescent="0.3">
      <c r="R4711" s="255"/>
      <c r="S4711" s="255"/>
      <c r="T4711" s="255"/>
    </row>
    <row r="4712" spans="18:20" x14ac:dyDescent="0.3">
      <c r="R4712" s="255"/>
      <c r="S4712" s="255"/>
      <c r="T4712" s="255"/>
    </row>
    <row r="4713" spans="18:20" x14ac:dyDescent="0.3">
      <c r="R4713" s="255"/>
      <c r="S4713" s="255"/>
      <c r="T4713" s="255"/>
    </row>
    <row r="4714" spans="18:20" x14ac:dyDescent="0.3">
      <c r="R4714" s="255"/>
      <c r="S4714" s="255"/>
      <c r="T4714" s="255"/>
    </row>
    <row r="4715" spans="18:20" x14ac:dyDescent="0.3">
      <c r="R4715" s="255"/>
      <c r="S4715" s="255"/>
      <c r="T4715" s="255"/>
    </row>
    <row r="4716" spans="18:20" x14ac:dyDescent="0.3">
      <c r="R4716" s="255"/>
      <c r="S4716" s="255"/>
      <c r="T4716" s="255"/>
    </row>
    <row r="4717" spans="18:20" x14ac:dyDescent="0.3">
      <c r="R4717" s="255"/>
      <c r="S4717" s="255"/>
      <c r="T4717" s="255"/>
    </row>
    <row r="4718" spans="18:20" x14ac:dyDescent="0.3">
      <c r="R4718" s="255"/>
      <c r="S4718" s="255"/>
      <c r="T4718" s="255"/>
    </row>
    <row r="4719" spans="18:20" x14ac:dyDescent="0.3">
      <c r="R4719" s="255"/>
      <c r="S4719" s="255"/>
      <c r="T4719" s="255"/>
    </row>
    <row r="4720" spans="18:20" x14ac:dyDescent="0.3">
      <c r="R4720" s="255"/>
      <c r="S4720" s="255"/>
      <c r="T4720" s="255"/>
    </row>
    <row r="4721" spans="18:20" x14ac:dyDescent="0.3">
      <c r="R4721" s="255"/>
      <c r="S4721" s="255"/>
      <c r="T4721" s="255"/>
    </row>
    <row r="4722" spans="18:20" x14ac:dyDescent="0.3">
      <c r="R4722" s="255"/>
      <c r="S4722" s="255"/>
      <c r="T4722" s="255"/>
    </row>
    <row r="4723" spans="18:20" x14ac:dyDescent="0.3">
      <c r="R4723" s="255"/>
      <c r="S4723" s="255"/>
      <c r="T4723" s="255"/>
    </row>
    <row r="4724" spans="18:20" x14ac:dyDescent="0.3">
      <c r="R4724" s="255"/>
      <c r="S4724" s="255"/>
      <c r="T4724" s="255"/>
    </row>
    <row r="4725" spans="18:20" x14ac:dyDescent="0.3">
      <c r="R4725" s="255"/>
      <c r="S4725" s="255"/>
      <c r="T4725" s="255"/>
    </row>
    <row r="4726" spans="18:20" x14ac:dyDescent="0.3">
      <c r="R4726" s="255"/>
      <c r="S4726" s="255"/>
      <c r="T4726" s="255"/>
    </row>
    <row r="4727" spans="18:20" x14ac:dyDescent="0.3">
      <c r="R4727" s="255"/>
      <c r="S4727" s="255"/>
      <c r="T4727" s="255"/>
    </row>
    <row r="4728" spans="18:20" x14ac:dyDescent="0.3">
      <c r="R4728" s="255"/>
      <c r="S4728" s="255"/>
      <c r="T4728" s="255"/>
    </row>
    <row r="4729" spans="18:20" x14ac:dyDescent="0.3">
      <c r="R4729" s="255"/>
      <c r="S4729" s="255"/>
      <c r="T4729" s="255"/>
    </row>
    <row r="4730" spans="18:20" x14ac:dyDescent="0.3">
      <c r="R4730" s="255"/>
      <c r="S4730" s="255"/>
      <c r="T4730" s="255"/>
    </row>
    <row r="4731" spans="18:20" x14ac:dyDescent="0.3">
      <c r="R4731" s="255"/>
      <c r="S4731" s="255"/>
      <c r="T4731" s="255"/>
    </row>
    <row r="4732" spans="18:20" x14ac:dyDescent="0.3">
      <c r="R4732" s="255"/>
      <c r="S4732" s="255"/>
      <c r="T4732" s="255"/>
    </row>
    <row r="4733" spans="18:20" x14ac:dyDescent="0.3">
      <c r="R4733" s="255"/>
      <c r="S4733" s="255"/>
      <c r="T4733" s="255"/>
    </row>
    <row r="4734" spans="18:20" x14ac:dyDescent="0.3">
      <c r="R4734" s="255"/>
      <c r="S4734" s="255"/>
      <c r="T4734" s="255"/>
    </row>
    <row r="4735" spans="18:20" x14ac:dyDescent="0.3">
      <c r="R4735" s="255"/>
      <c r="S4735" s="255"/>
      <c r="T4735" s="255"/>
    </row>
    <row r="4736" spans="18:20" x14ac:dyDescent="0.3">
      <c r="R4736" s="255"/>
      <c r="S4736" s="255"/>
      <c r="T4736" s="255"/>
    </row>
    <row r="4737" spans="18:20" x14ac:dyDescent="0.3">
      <c r="R4737" s="255"/>
      <c r="S4737" s="255"/>
      <c r="T4737" s="255"/>
    </row>
    <row r="4738" spans="18:20" x14ac:dyDescent="0.3">
      <c r="R4738" s="255"/>
      <c r="S4738" s="255"/>
      <c r="T4738" s="255"/>
    </row>
    <row r="4739" spans="18:20" x14ac:dyDescent="0.3">
      <c r="R4739" s="255"/>
      <c r="S4739" s="255"/>
      <c r="T4739" s="255"/>
    </row>
    <row r="4740" spans="18:20" x14ac:dyDescent="0.3">
      <c r="R4740" s="255"/>
      <c r="S4740" s="255"/>
      <c r="T4740" s="255"/>
    </row>
    <row r="4741" spans="18:20" x14ac:dyDescent="0.3">
      <c r="R4741" s="255"/>
      <c r="S4741" s="255"/>
      <c r="T4741" s="255"/>
    </row>
    <row r="4742" spans="18:20" x14ac:dyDescent="0.3">
      <c r="R4742" s="255"/>
      <c r="S4742" s="255"/>
      <c r="T4742" s="255"/>
    </row>
    <row r="4743" spans="18:20" x14ac:dyDescent="0.3">
      <c r="R4743" s="255"/>
      <c r="S4743" s="255"/>
      <c r="T4743" s="255"/>
    </row>
    <row r="4744" spans="18:20" x14ac:dyDescent="0.3">
      <c r="R4744" s="255"/>
      <c r="S4744" s="255"/>
      <c r="T4744" s="255"/>
    </row>
    <row r="4745" spans="18:20" x14ac:dyDescent="0.3">
      <c r="R4745" s="255"/>
      <c r="S4745" s="255"/>
      <c r="T4745" s="255"/>
    </row>
    <row r="4746" spans="18:20" x14ac:dyDescent="0.3">
      <c r="R4746" s="255"/>
      <c r="S4746" s="255"/>
      <c r="T4746" s="255"/>
    </row>
    <row r="4747" spans="18:20" x14ac:dyDescent="0.3">
      <c r="R4747" s="255"/>
      <c r="S4747" s="255"/>
      <c r="T4747" s="255"/>
    </row>
    <row r="4748" spans="18:20" x14ac:dyDescent="0.3">
      <c r="R4748" s="255"/>
      <c r="S4748" s="255"/>
      <c r="T4748" s="255"/>
    </row>
    <row r="4749" spans="18:20" x14ac:dyDescent="0.3">
      <c r="R4749" s="255"/>
      <c r="S4749" s="255"/>
      <c r="T4749" s="255"/>
    </row>
    <row r="4750" spans="18:20" x14ac:dyDescent="0.3">
      <c r="R4750" s="255"/>
      <c r="S4750" s="255"/>
      <c r="T4750" s="255"/>
    </row>
    <row r="4751" spans="18:20" x14ac:dyDescent="0.3">
      <c r="R4751" s="255"/>
      <c r="S4751" s="255"/>
      <c r="T4751" s="255"/>
    </row>
    <row r="4752" spans="18:20" x14ac:dyDescent="0.3">
      <c r="R4752" s="255"/>
      <c r="S4752" s="255"/>
      <c r="T4752" s="255"/>
    </row>
    <row r="4753" spans="18:20" x14ac:dyDescent="0.3">
      <c r="R4753" s="255"/>
      <c r="S4753" s="255"/>
      <c r="T4753" s="255"/>
    </row>
    <row r="4754" spans="18:20" x14ac:dyDescent="0.3">
      <c r="R4754" s="255"/>
      <c r="S4754" s="255"/>
      <c r="T4754" s="255"/>
    </row>
    <row r="4755" spans="18:20" x14ac:dyDescent="0.3">
      <c r="R4755" s="255"/>
      <c r="S4755" s="255"/>
      <c r="T4755" s="255"/>
    </row>
    <row r="4756" spans="18:20" x14ac:dyDescent="0.3">
      <c r="R4756" s="255"/>
      <c r="S4756" s="255"/>
      <c r="T4756" s="255"/>
    </row>
    <row r="4757" spans="18:20" x14ac:dyDescent="0.3">
      <c r="R4757" s="255"/>
      <c r="S4757" s="255"/>
      <c r="T4757" s="255"/>
    </row>
    <row r="4758" spans="18:20" x14ac:dyDescent="0.3">
      <c r="R4758" s="255"/>
      <c r="S4758" s="255"/>
      <c r="T4758" s="255"/>
    </row>
    <row r="4759" spans="18:20" x14ac:dyDescent="0.3">
      <c r="R4759" s="255"/>
      <c r="S4759" s="255"/>
      <c r="T4759" s="255"/>
    </row>
    <row r="4760" spans="18:20" x14ac:dyDescent="0.3">
      <c r="R4760" s="255"/>
      <c r="S4760" s="255"/>
      <c r="T4760" s="255"/>
    </row>
    <row r="4761" spans="18:20" x14ac:dyDescent="0.3">
      <c r="R4761" s="255"/>
      <c r="S4761" s="255"/>
      <c r="T4761" s="255"/>
    </row>
    <row r="4762" spans="18:20" x14ac:dyDescent="0.3">
      <c r="R4762" s="255"/>
      <c r="S4762" s="255"/>
      <c r="T4762" s="255"/>
    </row>
    <row r="4763" spans="18:20" x14ac:dyDescent="0.3">
      <c r="R4763" s="255"/>
      <c r="S4763" s="255"/>
      <c r="T4763" s="255"/>
    </row>
    <row r="4764" spans="18:20" x14ac:dyDescent="0.3">
      <c r="R4764" s="255"/>
      <c r="S4764" s="255"/>
      <c r="T4764" s="255"/>
    </row>
    <row r="4765" spans="18:20" x14ac:dyDescent="0.3">
      <c r="R4765" s="255"/>
      <c r="S4765" s="255"/>
      <c r="T4765" s="255"/>
    </row>
    <row r="4766" spans="18:20" x14ac:dyDescent="0.3">
      <c r="R4766" s="255"/>
      <c r="S4766" s="255"/>
      <c r="T4766" s="255"/>
    </row>
    <row r="4767" spans="18:20" x14ac:dyDescent="0.3">
      <c r="R4767" s="255"/>
      <c r="S4767" s="255"/>
      <c r="T4767" s="255"/>
    </row>
    <row r="4768" spans="18:20" x14ac:dyDescent="0.3">
      <c r="R4768" s="255"/>
      <c r="S4768" s="255"/>
      <c r="T4768" s="255"/>
    </row>
    <row r="4769" spans="18:20" x14ac:dyDescent="0.3">
      <c r="R4769" s="255"/>
      <c r="S4769" s="255"/>
      <c r="T4769" s="255"/>
    </row>
    <row r="4770" spans="18:20" x14ac:dyDescent="0.3">
      <c r="R4770" s="255"/>
      <c r="S4770" s="255"/>
      <c r="T4770" s="255"/>
    </row>
    <row r="4771" spans="18:20" x14ac:dyDescent="0.3">
      <c r="R4771" s="255"/>
      <c r="S4771" s="255"/>
      <c r="T4771" s="255"/>
    </row>
    <row r="4772" spans="18:20" x14ac:dyDescent="0.3">
      <c r="R4772" s="255"/>
      <c r="S4772" s="255"/>
      <c r="T4772" s="255"/>
    </row>
    <row r="4773" spans="18:20" x14ac:dyDescent="0.3">
      <c r="R4773" s="255"/>
      <c r="S4773" s="255"/>
      <c r="T4773" s="255"/>
    </row>
    <row r="4774" spans="18:20" x14ac:dyDescent="0.3">
      <c r="R4774" s="255"/>
      <c r="S4774" s="255"/>
      <c r="T4774" s="255"/>
    </row>
    <row r="4775" spans="18:20" x14ac:dyDescent="0.3">
      <c r="R4775" s="255"/>
      <c r="S4775" s="255"/>
      <c r="T4775" s="255"/>
    </row>
    <row r="4776" spans="18:20" x14ac:dyDescent="0.3">
      <c r="R4776" s="255"/>
      <c r="S4776" s="255"/>
      <c r="T4776" s="255"/>
    </row>
    <row r="4777" spans="18:20" x14ac:dyDescent="0.3">
      <c r="R4777" s="255"/>
      <c r="S4777" s="255"/>
      <c r="T4777" s="255"/>
    </row>
    <row r="4778" spans="18:20" x14ac:dyDescent="0.3">
      <c r="R4778" s="255"/>
      <c r="S4778" s="255"/>
      <c r="T4778" s="255"/>
    </row>
    <row r="4779" spans="18:20" x14ac:dyDescent="0.3">
      <c r="R4779" s="255"/>
      <c r="S4779" s="255"/>
      <c r="T4779" s="255"/>
    </row>
    <row r="4780" spans="18:20" x14ac:dyDescent="0.3">
      <c r="R4780" s="255"/>
      <c r="S4780" s="255"/>
      <c r="T4780" s="255"/>
    </row>
    <row r="4781" spans="18:20" x14ac:dyDescent="0.3">
      <c r="R4781" s="255"/>
      <c r="S4781" s="255"/>
      <c r="T4781" s="255"/>
    </row>
    <row r="4782" spans="18:20" x14ac:dyDescent="0.3">
      <c r="R4782" s="255"/>
      <c r="S4782" s="255"/>
      <c r="T4782" s="255"/>
    </row>
    <row r="4783" spans="18:20" x14ac:dyDescent="0.3">
      <c r="R4783" s="255"/>
      <c r="S4783" s="255"/>
      <c r="T4783" s="255"/>
    </row>
    <row r="4784" spans="18:20" x14ac:dyDescent="0.3">
      <c r="R4784" s="255"/>
      <c r="S4784" s="255"/>
      <c r="T4784" s="255"/>
    </row>
    <row r="4785" spans="18:20" x14ac:dyDescent="0.3">
      <c r="R4785" s="255"/>
      <c r="S4785" s="255"/>
      <c r="T4785" s="255"/>
    </row>
    <row r="4786" spans="18:20" x14ac:dyDescent="0.3">
      <c r="R4786" s="255"/>
      <c r="S4786" s="255"/>
      <c r="T4786" s="255"/>
    </row>
    <row r="4787" spans="18:20" x14ac:dyDescent="0.3">
      <c r="R4787" s="255"/>
      <c r="S4787" s="255"/>
      <c r="T4787" s="255"/>
    </row>
    <row r="4788" spans="18:20" x14ac:dyDescent="0.3">
      <c r="R4788" s="255"/>
      <c r="S4788" s="255"/>
      <c r="T4788" s="255"/>
    </row>
    <row r="4789" spans="18:20" x14ac:dyDescent="0.3">
      <c r="R4789" s="255"/>
      <c r="S4789" s="255"/>
      <c r="T4789" s="255"/>
    </row>
    <row r="4790" spans="18:20" x14ac:dyDescent="0.3">
      <c r="R4790" s="255"/>
      <c r="S4790" s="255"/>
      <c r="T4790" s="255"/>
    </row>
    <row r="4791" spans="18:20" x14ac:dyDescent="0.3">
      <c r="R4791" s="255"/>
      <c r="S4791" s="255"/>
      <c r="T4791" s="255"/>
    </row>
    <row r="4792" spans="18:20" x14ac:dyDescent="0.3">
      <c r="R4792" s="255"/>
      <c r="S4792" s="255"/>
      <c r="T4792" s="255"/>
    </row>
    <row r="4793" spans="18:20" x14ac:dyDescent="0.3">
      <c r="R4793" s="255"/>
      <c r="S4793" s="255"/>
      <c r="T4793" s="255"/>
    </row>
    <row r="4794" spans="18:20" x14ac:dyDescent="0.3">
      <c r="R4794" s="255"/>
      <c r="S4794" s="255"/>
      <c r="T4794" s="255"/>
    </row>
    <row r="4795" spans="18:20" x14ac:dyDescent="0.3">
      <c r="R4795" s="255"/>
      <c r="S4795" s="255"/>
      <c r="T4795" s="255"/>
    </row>
    <row r="4796" spans="18:20" x14ac:dyDescent="0.3">
      <c r="R4796" s="255"/>
      <c r="S4796" s="255"/>
      <c r="T4796" s="255"/>
    </row>
    <row r="4797" spans="18:20" x14ac:dyDescent="0.3">
      <c r="R4797" s="255"/>
      <c r="S4797" s="255"/>
      <c r="T4797" s="255"/>
    </row>
    <row r="4798" spans="18:20" x14ac:dyDescent="0.3">
      <c r="R4798" s="255"/>
      <c r="S4798" s="255"/>
      <c r="T4798" s="255"/>
    </row>
    <row r="4799" spans="18:20" x14ac:dyDescent="0.3">
      <c r="R4799" s="255"/>
      <c r="S4799" s="255"/>
      <c r="T4799" s="255"/>
    </row>
    <row r="4800" spans="18:20" x14ac:dyDescent="0.3">
      <c r="R4800" s="255"/>
      <c r="S4800" s="255"/>
      <c r="T4800" s="255"/>
    </row>
    <row r="4801" spans="18:20" x14ac:dyDescent="0.3">
      <c r="R4801" s="255"/>
      <c r="S4801" s="255"/>
      <c r="T4801" s="255"/>
    </row>
    <row r="4802" spans="18:20" x14ac:dyDescent="0.3">
      <c r="R4802" s="255"/>
      <c r="S4802" s="255"/>
      <c r="T4802" s="255"/>
    </row>
    <row r="4803" spans="18:20" x14ac:dyDescent="0.3">
      <c r="R4803" s="255"/>
      <c r="S4803" s="255"/>
      <c r="T4803" s="255"/>
    </row>
    <row r="4804" spans="18:20" x14ac:dyDescent="0.3">
      <c r="R4804" s="255"/>
      <c r="S4804" s="255"/>
      <c r="T4804" s="255"/>
    </row>
    <row r="4805" spans="18:20" x14ac:dyDescent="0.3">
      <c r="R4805" s="255"/>
      <c r="S4805" s="255"/>
      <c r="T4805" s="255"/>
    </row>
    <row r="4806" spans="18:20" x14ac:dyDescent="0.3">
      <c r="R4806" s="255"/>
      <c r="S4806" s="255"/>
      <c r="T4806" s="255"/>
    </row>
    <row r="4807" spans="18:20" x14ac:dyDescent="0.3">
      <c r="R4807" s="255"/>
      <c r="S4807" s="255"/>
      <c r="T4807" s="255"/>
    </row>
    <row r="4808" spans="18:20" x14ac:dyDescent="0.3">
      <c r="R4808" s="255"/>
      <c r="S4808" s="255"/>
      <c r="T4808" s="255"/>
    </row>
    <row r="4809" spans="18:20" x14ac:dyDescent="0.3">
      <c r="R4809" s="255"/>
      <c r="S4809" s="255"/>
      <c r="T4809" s="255"/>
    </row>
    <row r="4810" spans="18:20" x14ac:dyDescent="0.3">
      <c r="R4810" s="255"/>
      <c r="S4810" s="255"/>
      <c r="T4810" s="255"/>
    </row>
    <row r="4811" spans="18:20" x14ac:dyDescent="0.3">
      <c r="R4811" s="255"/>
      <c r="S4811" s="255"/>
      <c r="T4811" s="255"/>
    </row>
    <row r="4812" spans="18:20" x14ac:dyDescent="0.3">
      <c r="R4812" s="255"/>
      <c r="S4812" s="255"/>
      <c r="T4812" s="255"/>
    </row>
    <row r="4813" spans="18:20" x14ac:dyDescent="0.3">
      <c r="R4813" s="255"/>
      <c r="S4813" s="255"/>
      <c r="T4813" s="255"/>
    </row>
    <row r="4814" spans="18:20" x14ac:dyDescent="0.3">
      <c r="R4814" s="255"/>
      <c r="S4814" s="255"/>
      <c r="T4814" s="255"/>
    </row>
    <row r="4815" spans="18:20" x14ac:dyDescent="0.3">
      <c r="R4815" s="255"/>
      <c r="S4815" s="255"/>
      <c r="T4815" s="255"/>
    </row>
    <row r="4816" spans="18:20" x14ac:dyDescent="0.3">
      <c r="R4816" s="255"/>
      <c r="S4816" s="255"/>
      <c r="T4816" s="255"/>
    </row>
    <row r="4817" spans="18:20" x14ac:dyDescent="0.3">
      <c r="R4817" s="255"/>
      <c r="S4817" s="255"/>
      <c r="T4817" s="255"/>
    </row>
    <row r="4818" spans="18:20" x14ac:dyDescent="0.3">
      <c r="R4818" s="255"/>
      <c r="S4818" s="255"/>
      <c r="T4818" s="255"/>
    </row>
    <row r="4819" spans="18:20" x14ac:dyDescent="0.3">
      <c r="R4819" s="255"/>
      <c r="S4819" s="255"/>
      <c r="T4819" s="255"/>
    </row>
    <row r="4820" spans="18:20" x14ac:dyDescent="0.3">
      <c r="R4820" s="255"/>
      <c r="S4820" s="255"/>
      <c r="T4820" s="255"/>
    </row>
    <row r="4821" spans="18:20" x14ac:dyDescent="0.3">
      <c r="R4821" s="255"/>
      <c r="S4821" s="255"/>
      <c r="T4821" s="255"/>
    </row>
    <row r="4822" spans="18:20" x14ac:dyDescent="0.3">
      <c r="R4822" s="255"/>
      <c r="S4822" s="255"/>
      <c r="T4822" s="255"/>
    </row>
    <row r="4823" spans="18:20" x14ac:dyDescent="0.3">
      <c r="R4823" s="255"/>
      <c r="S4823" s="255"/>
      <c r="T4823" s="255"/>
    </row>
    <row r="4824" spans="18:20" x14ac:dyDescent="0.3">
      <c r="R4824" s="255"/>
      <c r="S4824" s="255"/>
      <c r="T4824" s="255"/>
    </row>
    <row r="4825" spans="18:20" x14ac:dyDescent="0.3">
      <c r="R4825" s="255"/>
      <c r="S4825" s="255"/>
      <c r="T4825" s="255"/>
    </row>
    <row r="4826" spans="18:20" x14ac:dyDescent="0.3">
      <c r="R4826" s="255"/>
      <c r="S4826" s="255"/>
      <c r="T4826" s="255"/>
    </row>
    <row r="4827" spans="18:20" x14ac:dyDescent="0.3">
      <c r="R4827" s="255"/>
      <c r="S4827" s="255"/>
      <c r="T4827" s="255"/>
    </row>
    <row r="4828" spans="18:20" x14ac:dyDescent="0.3">
      <c r="R4828" s="255"/>
      <c r="S4828" s="255"/>
      <c r="T4828" s="255"/>
    </row>
    <row r="4829" spans="18:20" x14ac:dyDescent="0.3">
      <c r="R4829" s="255"/>
      <c r="S4829" s="255"/>
      <c r="T4829" s="255"/>
    </row>
    <row r="4830" spans="18:20" x14ac:dyDescent="0.3">
      <c r="R4830" s="255"/>
      <c r="S4830" s="255"/>
      <c r="T4830" s="255"/>
    </row>
    <row r="4831" spans="18:20" x14ac:dyDescent="0.3">
      <c r="R4831" s="255"/>
      <c r="S4831" s="255"/>
      <c r="T4831" s="255"/>
    </row>
    <row r="4832" spans="18:20" x14ac:dyDescent="0.3">
      <c r="R4832" s="255"/>
      <c r="S4832" s="255"/>
      <c r="T4832" s="255"/>
    </row>
    <row r="4833" spans="18:20" x14ac:dyDescent="0.3">
      <c r="R4833" s="255"/>
      <c r="S4833" s="255"/>
      <c r="T4833" s="255"/>
    </row>
    <row r="4834" spans="18:20" x14ac:dyDescent="0.3">
      <c r="R4834" s="255"/>
      <c r="S4834" s="255"/>
      <c r="T4834" s="255"/>
    </row>
    <row r="4835" spans="18:20" x14ac:dyDescent="0.3">
      <c r="R4835" s="255"/>
      <c r="S4835" s="255"/>
      <c r="T4835" s="255"/>
    </row>
    <row r="4836" spans="18:20" x14ac:dyDescent="0.3">
      <c r="R4836" s="255"/>
      <c r="S4836" s="255"/>
      <c r="T4836" s="255"/>
    </row>
    <row r="4837" spans="18:20" x14ac:dyDescent="0.3">
      <c r="R4837" s="255"/>
      <c r="S4837" s="255"/>
      <c r="T4837" s="255"/>
    </row>
    <row r="4838" spans="18:20" x14ac:dyDescent="0.3">
      <c r="R4838" s="255"/>
      <c r="S4838" s="255"/>
      <c r="T4838" s="255"/>
    </row>
    <row r="4839" spans="18:20" x14ac:dyDescent="0.3">
      <c r="R4839" s="255"/>
      <c r="S4839" s="255"/>
      <c r="T4839" s="255"/>
    </row>
    <row r="4840" spans="18:20" x14ac:dyDescent="0.3">
      <c r="R4840" s="255"/>
      <c r="S4840" s="255"/>
      <c r="T4840" s="255"/>
    </row>
    <row r="4841" spans="18:20" x14ac:dyDescent="0.3">
      <c r="R4841" s="255"/>
      <c r="S4841" s="255"/>
      <c r="T4841" s="255"/>
    </row>
    <row r="4842" spans="18:20" x14ac:dyDescent="0.3">
      <c r="R4842" s="255"/>
      <c r="S4842" s="255"/>
      <c r="T4842" s="255"/>
    </row>
    <row r="4843" spans="18:20" x14ac:dyDescent="0.3">
      <c r="R4843" s="255"/>
      <c r="S4843" s="255"/>
      <c r="T4843" s="255"/>
    </row>
    <row r="4844" spans="18:20" x14ac:dyDescent="0.3">
      <c r="R4844" s="255"/>
      <c r="S4844" s="255"/>
      <c r="T4844" s="255"/>
    </row>
    <row r="4845" spans="18:20" x14ac:dyDescent="0.3">
      <c r="R4845" s="255"/>
      <c r="S4845" s="255"/>
      <c r="T4845" s="255"/>
    </row>
    <row r="4846" spans="18:20" x14ac:dyDescent="0.3">
      <c r="R4846" s="255"/>
      <c r="S4846" s="255"/>
      <c r="T4846" s="255"/>
    </row>
    <row r="4847" spans="18:20" x14ac:dyDescent="0.3">
      <c r="R4847" s="255"/>
      <c r="S4847" s="255"/>
      <c r="T4847" s="255"/>
    </row>
    <row r="4848" spans="18:20" x14ac:dyDescent="0.3">
      <c r="R4848" s="255"/>
      <c r="S4848" s="255"/>
      <c r="T4848" s="255"/>
    </row>
    <row r="4849" spans="18:20" x14ac:dyDescent="0.3">
      <c r="R4849" s="255"/>
      <c r="S4849" s="255"/>
      <c r="T4849" s="255"/>
    </row>
    <row r="4850" spans="18:20" x14ac:dyDescent="0.3">
      <c r="R4850" s="255"/>
      <c r="S4850" s="255"/>
      <c r="T4850" s="255"/>
    </row>
    <row r="4851" spans="18:20" x14ac:dyDescent="0.3">
      <c r="R4851" s="255"/>
      <c r="S4851" s="255"/>
      <c r="T4851" s="255"/>
    </row>
    <row r="4852" spans="18:20" x14ac:dyDescent="0.3">
      <c r="R4852" s="255"/>
      <c r="S4852" s="255"/>
      <c r="T4852" s="255"/>
    </row>
    <row r="4853" spans="18:20" x14ac:dyDescent="0.3">
      <c r="R4853" s="255"/>
      <c r="S4853" s="255"/>
      <c r="T4853" s="255"/>
    </row>
    <row r="4854" spans="18:20" x14ac:dyDescent="0.3">
      <c r="R4854" s="255"/>
      <c r="S4854" s="255"/>
      <c r="T4854" s="255"/>
    </row>
    <row r="4855" spans="18:20" x14ac:dyDescent="0.3">
      <c r="R4855" s="255"/>
      <c r="S4855" s="255"/>
      <c r="T4855" s="255"/>
    </row>
    <row r="4856" spans="18:20" x14ac:dyDescent="0.3">
      <c r="R4856" s="255"/>
      <c r="S4856" s="255"/>
      <c r="T4856" s="255"/>
    </row>
    <row r="4857" spans="18:20" x14ac:dyDescent="0.3">
      <c r="R4857" s="255"/>
      <c r="S4857" s="255"/>
      <c r="T4857" s="255"/>
    </row>
    <row r="4858" spans="18:20" x14ac:dyDescent="0.3">
      <c r="R4858" s="255"/>
      <c r="S4858" s="255"/>
      <c r="T4858" s="255"/>
    </row>
    <row r="4859" spans="18:20" x14ac:dyDescent="0.3">
      <c r="R4859" s="255"/>
      <c r="S4859" s="255"/>
      <c r="T4859" s="255"/>
    </row>
    <row r="4860" spans="18:20" x14ac:dyDescent="0.3">
      <c r="R4860" s="255"/>
      <c r="S4860" s="255"/>
      <c r="T4860" s="255"/>
    </row>
    <row r="4861" spans="18:20" x14ac:dyDescent="0.3">
      <c r="R4861" s="255"/>
      <c r="S4861" s="255"/>
      <c r="T4861" s="255"/>
    </row>
    <row r="4862" spans="18:20" x14ac:dyDescent="0.3">
      <c r="R4862" s="255"/>
      <c r="S4862" s="255"/>
      <c r="T4862" s="255"/>
    </row>
    <row r="4863" spans="18:20" x14ac:dyDescent="0.3">
      <c r="R4863" s="255"/>
      <c r="S4863" s="255"/>
      <c r="T4863" s="255"/>
    </row>
    <row r="4864" spans="18:20" x14ac:dyDescent="0.3">
      <c r="R4864" s="255"/>
      <c r="S4864" s="255"/>
      <c r="T4864" s="255"/>
    </row>
    <row r="4865" spans="18:20" x14ac:dyDescent="0.3">
      <c r="R4865" s="255"/>
      <c r="S4865" s="255"/>
      <c r="T4865" s="255"/>
    </row>
    <row r="4866" spans="18:20" x14ac:dyDescent="0.3">
      <c r="R4866" s="255"/>
      <c r="S4866" s="255"/>
      <c r="T4866" s="255"/>
    </row>
    <row r="4867" spans="18:20" x14ac:dyDescent="0.3">
      <c r="R4867" s="255"/>
      <c r="S4867" s="255"/>
      <c r="T4867" s="255"/>
    </row>
    <row r="4868" spans="18:20" x14ac:dyDescent="0.3">
      <c r="R4868" s="255"/>
      <c r="S4868" s="255"/>
      <c r="T4868" s="255"/>
    </row>
    <row r="4869" spans="18:20" x14ac:dyDescent="0.3">
      <c r="R4869" s="255"/>
      <c r="S4869" s="255"/>
      <c r="T4869" s="255"/>
    </row>
    <row r="4870" spans="18:20" x14ac:dyDescent="0.3">
      <c r="R4870" s="255"/>
      <c r="S4870" s="255"/>
      <c r="T4870" s="255"/>
    </row>
    <row r="4871" spans="18:20" x14ac:dyDescent="0.3">
      <c r="R4871" s="255"/>
      <c r="S4871" s="255"/>
      <c r="T4871" s="255"/>
    </row>
    <row r="4872" spans="18:20" x14ac:dyDescent="0.3">
      <c r="R4872" s="255"/>
      <c r="S4872" s="255"/>
      <c r="T4872" s="255"/>
    </row>
    <row r="4873" spans="18:20" x14ac:dyDescent="0.3">
      <c r="R4873" s="255"/>
      <c r="S4873" s="255"/>
      <c r="T4873" s="255"/>
    </row>
    <row r="4874" spans="18:20" x14ac:dyDescent="0.3">
      <c r="R4874" s="255"/>
      <c r="S4874" s="255"/>
      <c r="T4874" s="255"/>
    </row>
    <row r="4875" spans="18:20" x14ac:dyDescent="0.3">
      <c r="R4875" s="255"/>
      <c r="S4875" s="255"/>
      <c r="T4875" s="255"/>
    </row>
    <row r="4876" spans="18:20" x14ac:dyDescent="0.3">
      <c r="R4876" s="255"/>
      <c r="S4876" s="255"/>
      <c r="T4876" s="255"/>
    </row>
    <row r="4877" spans="18:20" x14ac:dyDescent="0.3">
      <c r="R4877" s="255"/>
      <c r="S4877" s="255"/>
      <c r="T4877" s="255"/>
    </row>
    <row r="4878" spans="18:20" x14ac:dyDescent="0.3">
      <c r="R4878" s="255"/>
      <c r="S4878" s="255"/>
      <c r="T4878" s="255"/>
    </row>
    <row r="4879" spans="18:20" x14ac:dyDescent="0.3">
      <c r="R4879" s="255"/>
      <c r="S4879" s="255"/>
      <c r="T4879" s="255"/>
    </row>
    <row r="4880" spans="18:20" x14ac:dyDescent="0.3">
      <c r="R4880" s="255"/>
      <c r="S4880" s="255"/>
      <c r="T4880" s="255"/>
    </row>
    <row r="4881" spans="18:20" x14ac:dyDescent="0.3">
      <c r="R4881" s="255"/>
      <c r="S4881" s="255"/>
      <c r="T4881" s="255"/>
    </row>
    <row r="4882" spans="18:20" x14ac:dyDescent="0.3">
      <c r="R4882" s="255"/>
      <c r="S4882" s="255"/>
      <c r="T4882" s="255"/>
    </row>
    <row r="4883" spans="18:20" x14ac:dyDescent="0.3">
      <c r="R4883" s="255"/>
      <c r="S4883" s="255"/>
      <c r="T4883" s="255"/>
    </row>
    <row r="4884" spans="18:20" x14ac:dyDescent="0.3">
      <c r="R4884" s="255"/>
      <c r="S4884" s="255"/>
      <c r="T4884" s="255"/>
    </row>
    <row r="4885" spans="18:20" x14ac:dyDescent="0.3">
      <c r="R4885" s="255"/>
      <c r="S4885" s="255"/>
      <c r="T4885" s="255"/>
    </row>
    <row r="4886" spans="18:20" x14ac:dyDescent="0.3">
      <c r="R4886" s="255"/>
      <c r="S4886" s="255"/>
      <c r="T4886" s="255"/>
    </row>
    <row r="4887" spans="18:20" x14ac:dyDescent="0.3">
      <c r="R4887" s="255"/>
      <c r="S4887" s="255"/>
      <c r="T4887" s="255"/>
    </row>
    <row r="4888" spans="18:20" x14ac:dyDescent="0.3">
      <c r="R4888" s="255"/>
      <c r="S4888" s="255"/>
      <c r="T4888" s="255"/>
    </row>
    <row r="4889" spans="18:20" x14ac:dyDescent="0.3">
      <c r="R4889" s="255"/>
      <c r="S4889" s="255"/>
      <c r="T4889" s="255"/>
    </row>
    <row r="4890" spans="18:20" x14ac:dyDescent="0.3">
      <c r="R4890" s="255"/>
      <c r="S4890" s="255"/>
      <c r="T4890" s="255"/>
    </row>
    <row r="4891" spans="18:20" x14ac:dyDescent="0.3">
      <c r="R4891" s="255"/>
      <c r="S4891" s="255"/>
      <c r="T4891" s="255"/>
    </row>
    <row r="4892" spans="18:20" x14ac:dyDescent="0.3">
      <c r="R4892" s="255"/>
      <c r="S4892" s="255"/>
      <c r="T4892" s="255"/>
    </row>
    <row r="4893" spans="18:20" x14ac:dyDescent="0.3">
      <c r="R4893" s="255"/>
      <c r="S4893" s="255"/>
      <c r="T4893" s="255"/>
    </row>
    <row r="4894" spans="18:20" x14ac:dyDescent="0.3">
      <c r="R4894" s="255"/>
      <c r="S4894" s="255"/>
      <c r="T4894" s="255"/>
    </row>
    <row r="4895" spans="18:20" x14ac:dyDescent="0.3">
      <c r="R4895" s="255"/>
      <c r="S4895" s="255"/>
      <c r="T4895" s="255"/>
    </row>
    <row r="4896" spans="18:20" x14ac:dyDescent="0.3">
      <c r="R4896" s="255"/>
      <c r="S4896" s="255"/>
      <c r="T4896" s="255"/>
    </row>
    <row r="4897" spans="18:20" x14ac:dyDescent="0.3">
      <c r="R4897" s="255"/>
      <c r="S4897" s="255"/>
      <c r="T4897" s="255"/>
    </row>
    <row r="4898" spans="18:20" x14ac:dyDescent="0.3">
      <c r="R4898" s="255"/>
      <c r="S4898" s="255"/>
      <c r="T4898" s="255"/>
    </row>
    <row r="4899" spans="18:20" x14ac:dyDescent="0.3">
      <c r="R4899" s="255"/>
      <c r="S4899" s="255"/>
      <c r="T4899" s="255"/>
    </row>
    <row r="4900" spans="18:20" x14ac:dyDescent="0.3">
      <c r="R4900" s="255"/>
      <c r="S4900" s="255"/>
      <c r="T4900" s="255"/>
    </row>
    <row r="4901" spans="18:20" x14ac:dyDescent="0.3">
      <c r="R4901" s="255"/>
      <c r="S4901" s="255"/>
      <c r="T4901" s="255"/>
    </row>
    <row r="4902" spans="18:20" x14ac:dyDescent="0.3">
      <c r="R4902" s="255"/>
      <c r="S4902" s="255"/>
      <c r="T4902" s="255"/>
    </row>
    <row r="4903" spans="18:20" x14ac:dyDescent="0.3">
      <c r="R4903" s="255"/>
      <c r="S4903" s="255"/>
      <c r="T4903" s="255"/>
    </row>
    <row r="4904" spans="18:20" x14ac:dyDescent="0.3">
      <c r="R4904" s="255"/>
      <c r="S4904" s="255"/>
      <c r="T4904" s="255"/>
    </row>
    <row r="4905" spans="18:20" x14ac:dyDescent="0.3">
      <c r="R4905" s="255"/>
      <c r="S4905" s="255"/>
      <c r="T4905" s="255"/>
    </row>
    <row r="4906" spans="18:20" x14ac:dyDescent="0.3">
      <c r="R4906" s="255"/>
      <c r="S4906" s="255"/>
      <c r="T4906" s="255"/>
    </row>
    <row r="4907" spans="18:20" x14ac:dyDescent="0.3">
      <c r="R4907" s="255"/>
      <c r="S4907" s="255"/>
      <c r="T4907" s="255"/>
    </row>
    <row r="4908" spans="18:20" x14ac:dyDescent="0.3">
      <c r="R4908" s="255"/>
      <c r="S4908" s="255"/>
      <c r="T4908" s="255"/>
    </row>
    <row r="4909" spans="18:20" x14ac:dyDescent="0.3">
      <c r="R4909" s="255"/>
      <c r="S4909" s="255"/>
      <c r="T4909" s="255"/>
    </row>
    <row r="4910" spans="18:20" x14ac:dyDescent="0.3">
      <c r="R4910" s="255"/>
      <c r="S4910" s="255"/>
      <c r="T4910" s="255"/>
    </row>
    <row r="4911" spans="18:20" x14ac:dyDescent="0.3">
      <c r="R4911" s="255"/>
      <c r="S4911" s="255"/>
      <c r="T4911" s="255"/>
    </row>
    <row r="4912" spans="18:20" x14ac:dyDescent="0.3">
      <c r="R4912" s="255"/>
      <c r="S4912" s="255"/>
      <c r="T4912" s="255"/>
    </row>
    <row r="4913" spans="18:20" x14ac:dyDescent="0.3">
      <c r="R4913" s="255"/>
      <c r="S4913" s="255"/>
      <c r="T4913" s="255"/>
    </row>
    <row r="4914" spans="18:20" x14ac:dyDescent="0.3">
      <c r="R4914" s="255"/>
      <c r="S4914" s="255"/>
      <c r="T4914" s="255"/>
    </row>
    <row r="4915" spans="18:20" x14ac:dyDescent="0.3">
      <c r="R4915" s="255"/>
      <c r="S4915" s="255"/>
      <c r="T4915" s="255"/>
    </row>
    <row r="4916" spans="18:20" x14ac:dyDescent="0.3">
      <c r="R4916" s="255"/>
      <c r="S4916" s="255"/>
      <c r="T4916" s="255"/>
    </row>
    <row r="4917" spans="18:20" x14ac:dyDescent="0.3">
      <c r="R4917" s="255"/>
      <c r="S4917" s="255"/>
      <c r="T4917" s="255"/>
    </row>
    <row r="4918" spans="18:20" x14ac:dyDescent="0.3">
      <c r="R4918" s="255"/>
      <c r="S4918" s="255"/>
      <c r="T4918" s="255"/>
    </row>
    <row r="4919" spans="18:20" x14ac:dyDescent="0.3">
      <c r="R4919" s="255"/>
      <c r="S4919" s="255"/>
      <c r="T4919" s="255"/>
    </row>
    <row r="4920" spans="18:20" x14ac:dyDescent="0.3">
      <c r="R4920" s="255"/>
      <c r="S4920" s="255"/>
      <c r="T4920" s="255"/>
    </row>
    <row r="4921" spans="18:20" x14ac:dyDescent="0.3">
      <c r="R4921" s="255"/>
      <c r="S4921" s="255"/>
      <c r="T4921" s="255"/>
    </row>
    <row r="4922" spans="18:20" x14ac:dyDescent="0.3">
      <c r="R4922" s="255"/>
      <c r="S4922" s="255"/>
      <c r="T4922" s="255"/>
    </row>
    <row r="4923" spans="18:20" x14ac:dyDescent="0.3">
      <c r="R4923" s="255"/>
      <c r="S4923" s="255"/>
      <c r="T4923" s="255"/>
    </row>
    <row r="4924" spans="18:20" x14ac:dyDescent="0.3">
      <c r="R4924" s="255"/>
      <c r="S4924" s="255"/>
      <c r="T4924" s="255"/>
    </row>
    <row r="4925" spans="18:20" x14ac:dyDescent="0.3">
      <c r="R4925" s="255"/>
      <c r="S4925" s="255"/>
      <c r="T4925" s="255"/>
    </row>
    <row r="4926" spans="18:20" x14ac:dyDescent="0.3">
      <c r="R4926" s="255"/>
      <c r="S4926" s="255"/>
      <c r="T4926" s="255"/>
    </row>
    <row r="4927" spans="18:20" x14ac:dyDescent="0.3">
      <c r="R4927" s="255"/>
      <c r="S4927" s="255"/>
      <c r="T4927" s="255"/>
    </row>
    <row r="4928" spans="18:20" x14ac:dyDescent="0.3">
      <c r="R4928" s="255"/>
      <c r="S4928" s="255"/>
      <c r="T4928" s="255"/>
    </row>
    <row r="4929" spans="18:20" x14ac:dyDescent="0.3">
      <c r="R4929" s="255"/>
      <c r="S4929" s="255"/>
      <c r="T4929" s="255"/>
    </row>
    <row r="4930" spans="18:20" x14ac:dyDescent="0.3">
      <c r="R4930" s="255"/>
      <c r="S4930" s="255"/>
      <c r="T4930" s="255"/>
    </row>
    <row r="4931" spans="18:20" x14ac:dyDescent="0.3">
      <c r="R4931" s="255"/>
      <c r="S4931" s="255"/>
      <c r="T4931" s="255"/>
    </row>
    <row r="4932" spans="18:20" x14ac:dyDescent="0.3">
      <c r="R4932" s="255"/>
      <c r="S4932" s="255"/>
      <c r="T4932" s="255"/>
    </row>
    <row r="4933" spans="18:20" x14ac:dyDescent="0.3">
      <c r="R4933" s="255"/>
      <c r="S4933" s="255"/>
      <c r="T4933" s="255"/>
    </row>
    <row r="4934" spans="18:20" x14ac:dyDescent="0.3">
      <c r="R4934" s="255"/>
      <c r="S4934" s="255"/>
      <c r="T4934" s="255"/>
    </row>
    <row r="4935" spans="18:20" x14ac:dyDescent="0.3">
      <c r="R4935" s="255"/>
      <c r="S4935" s="255"/>
      <c r="T4935" s="255"/>
    </row>
    <row r="4936" spans="18:20" x14ac:dyDescent="0.3">
      <c r="R4936" s="255"/>
      <c r="S4936" s="255"/>
      <c r="T4936" s="255"/>
    </row>
    <row r="4937" spans="18:20" x14ac:dyDescent="0.3">
      <c r="R4937" s="255"/>
      <c r="S4937" s="255"/>
      <c r="T4937" s="255"/>
    </row>
    <row r="4938" spans="18:20" x14ac:dyDescent="0.3">
      <c r="R4938" s="255"/>
      <c r="S4938" s="255"/>
      <c r="T4938" s="255"/>
    </row>
    <row r="4939" spans="18:20" x14ac:dyDescent="0.3">
      <c r="R4939" s="255"/>
      <c r="S4939" s="255"/>
      <c r="T4939" s="255"/>
    </row>
    <row r="4940" spans="18:20" x14ac:dyDescent="0.3">
      <c r="R4940" s="255"/>
      <c r="S4940" s="255"/>
      <c r="T4940" s="255"/>
    </row>
    <row r="4941" spans="18:20" x14ac:dyDescent="0.3">
      <c r="R4941" s="255"/>
      <c r="S4941" s="255"/>
      <c r="T4941" s="255"/>
    </row>
    <row r="4942" spans="18:20" x14ac:dyDescent="0.3">
      <c r="R4942" s="255"/>
      <c r="S4942" s="255"/>
      <c r="T4942" s="255"/>
    </row>
    <row r="4943" spans="18:20" x14ac:dyDescent="0.3">
      <c r="R4943" s="255"/>
      <c r="S4943" s="255"/>
      <c r="T4943" s="255"/>
    </row>
    <row r="4944" spans="18:20" x14ac:dyDescent="0.3">
      <c r="R4944" s="255"/>
      <c r="S4944" s="255"/>
      <c r="T4944" s="255"/>
    </row>
    <row r="4945" spans="18:20" x14ac:dyDescent="0.3">
      <c r="R4945" s="255"/>
      <c r="S4945" s="255"/>
      <c r="T4945" s="255"/>
    </row>
    <row r="4946" spans="18:20" x14ac:dyDescent="0.3">
      <c r="R4946" s="255"/>
      <c r="S4946" s="255"/>
      <c r="T4946" s="255"/>
    </row>
    <row r="4947" spans="18:20" x14ac:dyDescent="0.3">
      <c r="R4947" s="255"/>
      <c r="S4947" s="255"/>
      <c r="T4947" s="255"/>
    </row>
    <row r="4948" spans="18:20" x14ac:dyDescent="0.3">
      <c r="R4948" s="255"/>
      <c r="S4948" s="255"/>
      <c r="T4948" s="255"/>
    </row>
    <row r="4949" spans="18:20" x14ac:dyDescent="0.3">
      <c r="R4949" s="255"/>
      <c r="S4949" s="255"/>
      <c r="T4949" s="255"/>
    </row>
    <row r="4950" spans="18:20" x14ac:dyDescent="0.3">
      <c r="R4950" s="255"/>
      <c r="S4950" s="255"/>
      <c r="T4950" s="255"/>
    </row>
    <row r="4951" spans="18:20" x14ac:dyDescent="0.3">
      <c r="R4951" s="255"/>
      <c r="S4951" s="255"/>
      <c r="T4951" s="255"/>
    </row>
    <row r="4952" spans="18:20" x14ac:dyDescent="0.3">
      <c r="R4952" s="255"/>
      <c r="S4952" s="255"/>
      <c r="T4952" s="255"/>
    </row>
    <row r="4953" spans="18:20" x14ac:dyDescent="0.3">
      <c r="R4953" s="255"/>
      <c r="S4953" s="255"/>
      <c r="T4953" s="255"/>
    </row>
    <row r="4954" spans="18:20" x14ac:dyDescent="0.3">
      <c r="R4954" s="255"/>
      <c r="S4954" s="255"/>
      <c r="T4954" s="255"/>
    </row>
    <row r="4955" spans="18:20" x14ac:dyDescent="0.3">
      <c r="R4955" s="255"/>
      <c r="S4955" s="255"/>
      <c r="T4955" s="255"/>
    </row>
    <row r="4956" spans="18:20" x14ac:dyDescent="0.3">
      <c r="R4956" s="255"/>
      <c r="S4956" s="255"/>
      <c r="T4956" s="255"/>
    </row>
    <row r="4957" spans="18:20" x14ac:dyDescent="0.3">
      <c r="R4957" s="255"/>
      <c r="S4957" s="255"/>
      <c r="T4957" s="255"/>
    </row>
    <row r="4958" spans="18:20" x14ac:dyDescent="0.3">
      <c r="R4958" s="255"/>
      <c r="S4958" s="255"/>
      <c r="T4958" s="255"/>
    </row>
    <row r="4959" spans="18:20" x14ac:dyDescent="0.3">
      <c r="R4959" s="255"/>
      <c r="S4959" s="255"/>
      <c r="T4959" s="255"/>
    </row>
    <row r="4960" spans="18:20" x14ac:dyDescent="0.3">
      <c r="R4960" s="255"/>
      <c r="S4960" s="255"/>
      <c r="T4960" s="255"/>
    </row>
    <row r="4961" spans="18:20" x14ac:dyDescent="0.3">
      <c r="R4961" s="255"/>
      <c r="S4961" s="255"/>
      <c r="T4961" s="255"/>
    </row>
    <row r="4962" spans="18:20" x14ac:dyDescent="0.3">
      <c r="R4962" s="255"/>
      <c r="S4962" s="255"/>
      <c r="T4962" s="255"/>
    </row>
    <row r="4963" spans="18:20" x14ac:dyDescent="0.3">
      <c r="R4963" s="255"/>
      <c r="S4963" s="255"/>
      <c r="T4963" s="255"/>
    </row>
    <row r="4964" spans="18:20" x14ac:dyDescent="0.3">
      <c r="R4964" s="255"/>
      <c r="S4964" s="255"/>
      <c r="T4964" s="255"/>
    </row>
    <row r="4965" spans="18:20" x14ac:dyDescent="0.3">
      <c r="R4965" s="255"/>
      <c r="S4965" s="255"/>
      <c r="T4965" s="255"/>
    </row>
    <row r="4966" spans="18:20" x14ac:dyDescent="0.3">
      <c r="R4966" s="255"/>
      <c r="S4966" s="255"/>
      <c r="T4966" s="255"/>
    </row>
    <row r="4967" spans="18:20" x14ac:dyDescent="0.3">
      <c r="R4967" s="255"/>
      <c r="S4967" s="255"/>
      <c r="T4967" s="255"/>
    </row>
    <row r="4968" spans="18:20" x14ac:dyDescent="0.3">
      <c r="R4968" s="255"/>
      <c r="S4968" s="255"/>
      <c r="T4968" s="255"/>
    </row>
    <row r="4969" spans="18:20" x14ac:dyDescent="0.3">
      <c r="R4969" s="255"/>
      <c r="S4969" s="255"/>
      <c r="T4969" s="255"/>
    </row>
    <row r="4970" spans="18:20" x14ac:dyDescent="0.3">
      <c r="R4970" s="255"/>
      <c r="S4970" s="255"/>
      <c r="T4970" s="255"/>
    </row>
    <row r="4971" spans="18:20" x14ac:dyDescent="0.3">
      <c r="R4971" s="255"/>
      <c r="S4971" s="255"/>
      <c r="T4971" s="255"/>
    </row>
    <row r="4972" spans="18:20" x14ac:dyDescent="0.3">
      <c r="R4972" s="255"/>
      <c r="S4972" s="255"/>
      <c r="T4972" s="255"/>
    </row>
    <row r="4973" spans="18:20" x14ac:dyDescent="0.3">
      <c r="R4973" s="255"/>
      <c r="S4973" s="255"/>
      <c r="T4973" s="255"/>
    </row>
    <row r="4974" spans="18:20" x14ac:dyDescent="0.3">
      <c r="R4974" s="255"/>
      <c r="S4974" s="255"/>
      <c r="T4974" s="255"/>
    </row>
    <row r="4975" spans="18:20" x14ac:dyDescent="0.3">
      <c r="R4975" s="255"/>
      <c r="S4975" s="255"/>
      <c r="T4975" s="255"/>
    </row>
    <row r="4976" spans="18:20" x14ac:dyDescent="0.3">
      <c r="R4976" s="255"/>
      <c r="S4976" s="255"/>
      <c r="T4976" s="255"/>
    </row>
    <row r="4977" spans="18:20" x14ac:dyDescent="0.3">
      <c r="R4977" s="255"/>
      <c r="S4977" s="255"/>
      <c r="T4977" s="255"/>
    </row>
    <row r="4978" spans="18:20" x14ac:dyDescent="0.3">
      <c r="R4978" s="255"/>
      <c r="S4978" s="255"/>
      <c r="T4978" s="255"/>
    </row>
    <row r="4979" spans="18:20" x14ac:dyDescent="0.3">
      <c r="R4979" s="255"/>
      <c r="S4979" s="255"/>
      <c r="T4979" s="255"/>
    </row>
    <row r="4980" spans="18:20" x14ac:dyDescent="0.3">
      <c r="R4980" s="255"/>
      <c r="S4980" s="255"/>
      <c r="T4980" s="255"/>
    </row>
    <row r="4981" spans="18:20" x14ac:dyDescent="0.3">
      <c r="R4981" s="255"/>
      <c r="S4981" s="255"/>
      <c r="T4981" s="255"/>
    </row>
    <row r="4982" spans="18:20" x14ac:dyDescent="0.3">
      <c r="R4982" s="255"/>
      <c r="S4982" s="255"/>
      <c r="T4982" s="255"/>
    </row>
    <row r="4983" spans="18:20" x14ac:dyDescent="0.3">
      <c r="R4983" s="255"/>
      <c r="S4983" s="255"/>
      <c r="T4983" s="255"/>
    </row>
    <row r="4984" spans="18:20" x14ac:dyDescent="0.3">
      <c r="R4984" s="255"/>
      <c r="S4984" s="255"/>
      <c r="T4984" s="255"/>
    </row>
    <row r="4985" spans="18:20" x14ac:dyDescent="0.3">
      <c r="R4985" s="255"/>
      <c r="S4985" s="255"/>
      <c r="T4985" s="255"/>
    </row>
    <row r="4986" spans="18:20" x14ac:dyDescent="0.3">
      <c r="R4986" s="255"/>
      <c r="S4986" s="255"/>
      <c r="T4986" s="255"/>
    </row>
    <row r="4987" spans="18:20" x14ac:dyDescent="0.3">
      <c r="R4987" s="255"/>
      <c r="S4987" s="255"/>
      <c r="T4987" s="255"/>
    </row>
    <row r="4988" spans="18:20" x14ac:dyDescent="0.3">
      <c r="R4988" s="255"/>
      <c r="S4988" s="255"/>
      <c r="T4988" s="255"/>
    </row>
    <row r="4989" spans="18:20" x14ac:dyDescent="0.3">
      <c r="R4989" s="255"/>
      <c r="S4989" s="255"/>
      <c r="T4989" s="255"/>
    </row>
    <row r="4990" spans="18:20" x14ac:dyDescent="0.3">
      <c r="R4990" s="255"/>
      <c r="S4990" s="255"/>
      <c r="T4990" s="255"/>
    </row>
    <row r="4991" spans="18:20" x14ac:dyDescent="0.3">
      <c r="R4991" s="255"/>
      <c r="S4991" s="255"/>
      <c r="T4991" s="255"/>
    </row>
    <row r="4992" spans="18:20" x14ac:dyDescent="0.3">
      <c r="R4992" s="255"/>
      <c r="S4992" s="255"/>
      <c r="T4992" s="255"/>
    </row>
    <row r="4993" spans="18:20" x14ac:dyDescent="0.3">
      <c r="R4993" s="255"/>
      <c r="S4993" s="255"/>
      <c r="T4993" s="255"/>
    </row>
    <row r="4994" spans="18:20" x14ac:dyDescent="0.3">
      <c r="R4994" s="255"/>
      <c r="S4994" s="255"/>
      <c r="T4994" s="255"/>
    </row>
    <row r="4995" spans="18:20" x14ac:dyDescent="0.3">
      <c r="R4995" s="255"/>
      <c r="S4995" s="255"/>
      <c r="T4995" s="255"/>
    </row>
    <row r="4996" spans="18:20" x14ac:dyDescent="0.3">
      <c r="R4996" s="255"/>
      <c r="S4996" s="255"/>
      <c r="T4996" s="255"/>
    </row>
    <row r="4997" spans="18:20" x14ac:dyDescent="0.3">
      <c r="R4997" s="255"/>
      <c r="S4997" s="255"/>
      <c r="T4997" s="255"/>
    </row>
    <row r="4998" spans="18:20" x14ac:dyDescent="0.3">
      <c r="R4998" s="255"/>
      <c r="S4998" s="255"/>
      <c r="T4998" s="255"/>
    </row>
    <row r="4999" spans="18:20" x14ac:dyDescent="0.3">
      <c r="R4999" s="255"/>
      <c r="S4999" s="255"/>
      <c r="T4999" s="255"/>
    </row>
    <row r="5000" spans="18:20" x14ac:dyDescent="0.3">
      <c r="R5000" s="255"/>
      <c r="S5000" s="255"/>
      <c r="T5000" s="255"/>
    </row>
    <row r="5001" spans="18:20" x14ac:dyDescent="0.3">
      <c r="R5001" s="255"/>
      <c r="S5001" s="255"/>
      <c r="T5001" s="255"/>
    </row>
    <row r="5002" spans="18:20" x14ac:dyDescent="0.3">
      <c r="R5002" s="255"/>
      <c r="S5002" s="255"/>
      <c r="T5002" s="255"/>
    </row>
    <row r="5003" spans="18:20" x14ac:dyDescent="0.3">
      <c r="R5003" s="255"/>
      <c r="S5003" s="255"/>
      <c r="T5003" s="255"/>
    </row>
    <row r="5004" spans="18:20" x14ac:dyDescent="0.3">
      <c r="R5004" s="255"/>
      <c r="S5004" s="255"/>
      <c r="T5004" s="255"/>
    </row>
    <row r="5005" spans="18:20" x14ac:dyDescent="0.3">
      <c r="R5005" s="255"/>
      <c r="S5005" s="255"/>
      <c r="T5005" s="255"/>
    </row>
    <row r="5006" spans="18:20" x14ac:dyDescent="0.3">
      <c r="R5006" s="255"/>
      <c r="S5006" s="255"/>
      <c r="T5006" s="255"/>
    </row>
    <row r="5007" spans="18:20" x14ac:dyDescent="0.3">
      <c r="R5007" s="255"/>
      <c r="S5007" s="255"/>
      <c r="T5007" s="255"/>
    </row>
    <row r="5008" spans="18:20" x14ac:dyDescent="0.3">
      <c r="R5008" s="255"/>
      <c r="S5008" s="255"/>
      <c r="T5008" s="255"/>
    </row>
    <row r="5009" spans="18:20" x14ac:dyDescent="0.3">
      <c r="R5009" s="255"/>
      <c r="S5009" s="255"/>
      <c r="T5009" s="255"/>
    </row>
    <row r="5010" spans="18:20" x14ac:dyDescent="0.3">
      <c r="R5010" s="255"/>
      <c r="S5010" s="255"/>
      <c r="T5010" s="255"/>
    </row>
    <row r="5011" spans="18:20" x14ac:dyDescent="0.3">
      <c r="R5011" s="255"/>
      <c r="S5011" s="255"/>
      <c r="T5011" s="255"/>
    </row>
    <row r="5012" spans="18:20" x14ac:dyDescent="0.3">
      <c r="R5012" s="255"/>
      <c r="S5012" s="255"/>
      <c r="T5012" s="255"/>
    </row>
    <row r="5013" spans="18:20" x14ac:dyDescent="0.3">
      <c r="R5013" s="255"/>
      <c r="S5013" s="255"/>
      <c r="T5013" s="255"/>
    </row>
    <row r="5014" spans="18:20" x14ac:dyDescent="0.3">
      <c r="R5014" s="255"/>
      <c r="S5014" s="255"/>
      <c r="T5014" s="255"/>
    </row>
    <row r="5015" spans="18:20" x14ac:dyDescent="0.3">
      <c r="R5015" s="255"/>
      <c r="S5015" s="255"/>
      <c r="T5015" s="255"/>
    </row>
    <row r="5016" spans="18:20" x14ac:dyDescent="0.3">
      <c r="R5016" s="255"/>
      <c r="S5016" s="255"/>
      <c r="T5016" s="255"/>
    </row>
    <row r="5017" spans="18:20" x14ac:dyDescent="0.3">
      <c r="R5017" s="255"/>
      <c r="S5017" s="255"/>
      <c r="T5017" s="255"/>
    </row>
    <row r="5018" spans="18:20" x14ac:dyDescent="0.3">
      <c r="R5018" s="255"/>
      <c r="S5018" s="255"/>
      <c r="T5018" s="255"/>
    </row>
    <row r="5019" spans="18:20" x14ac:dyDescent="0.3">
      <c r="R5019" s="255"/>
      <c r="S5019" s="255"/>
      <c r="T5019" s="255"/>
    </row>
    <row r="5020" spans="18:20" x14ac:dyDescent="0.3">
      <c r="R5020" s="255"/>
      <c r="S5020" s="255"/>
      <c r="T5020" s="255"/>
    </row>
    <row r="5021" spans="18:20" x14ac:dyDescent="0.3">
      <c r="R5021" s="255"/>
      <c r="S5021" s="255"/>
      <c r="T5021" s="255"/>
    </row>
    <row r="5022" spans="18:20" x14ac:dyDescent="0.3">
      <c r="R5022" s="255"/>
      <c r="S5022" s="255"/>
      <c r="T5022" s="255"/>
    </row>
    <row r="5023" spans="18:20" x14ac:dyDescent="0.3">
      <c r="R5023" s="255"/>
      <c r="S5023" s="255"/>
      <c r="T5023" s="255"/>
    </row>
    <row r="5024" spans="18:20" x14ac:dyDescent="0.3">
      <c r="R5024" s="255"/>
      <c r="S5024" s="255"/>
      <c r="T5024" s="255"/>
    </row>
    <row r="5025" spans="18:20" x14ac:dyDescent="0.3">
      <c r="R5025" s="255"/>
      <c r="S5025" s="255"/>
      <c r="T5025" s="255"/>
    </row>
    <row r="5026" spans="18:20" x14ac:dyDescent="0.3">
      <c r="R5026" s="255"/>
      <c r="S5026" s="255"/>
      <c r="T5026" s="255"/>
    </row>
    <row r="5027" spans="18:20" x14ac:dyDescent="0.3">
      <c r="R5027" s="255"/>
      <c r="S5027" s="255"/>
      <c r="T5027" s="255"/>
    </row>
    <row r="5028" spans="18:20" x14ac:dyDescent="0.3">
      <c r="R5028" s="255"/>
      <c r="S5028" s="255"/>
      <c r="T5028" s="255"/>
    </row>
    <row r="5029" spans="18:20" x14ac:dyDescent="0.3">
      <c r="R5029" s="255"/>
      <c r="S5029" s="255"/>
      <c r="T5029" s="255"/>
    </row>
    <row r="5030" spans="18:20" x14ac:dyDescent="0.3">
      <c r="R5030" s="255"/>
      <c r="S5030" s="255"/>
      <c r="T5030" s="255"/>
    </row>
    <row r="5031" spans="18:20" x14ac:dyDescent="0.3">
      <c r="R5031" s="255"/>
      <c r="S5031" s="255"/>
      <c r="T5031" s="255"/>
    </row>
    <row r="5032" spans="18:20" x14ac:dyDescent="0.3">
      <c r="R5032" s="255"/>
      <c r="S5032" s="255"/>
      <c r="T5032" s="255"/>
    </row>
    <row r="5033" spans="18:20" x14ac:dyDescent="0.3">
      <c r="R5033" s="255"/>
      <c r="S5033" s="255"/>
      <c r="T5033" s="255"/>
    </row>
    <row r="5034" spans="18:20" x14ac:dyDescent="0.3">
      <c r="R5034" s="255"/>
      <c r="S5034" s="255"/>
      <c r="T5034" s="255"/>
    </row>
    <row r="5035" spans="18:20" x14ac:dyDescent="0.3">
      <c r="R5035" s="255"/>
      <c r="S5035" s="255"/>
      <c r="T5035" s="255"/>
    </row>
    <row r="5036" spans="18:20" x14ac:dyDescent="0.3">
      <c r="R5036" s="255"/>
      <c r="S5036" s="255"/>
      <c r="T5036" s="255"/>
    </row>
    <row r="5037" spans="18:20" x14ac:dyDescent="0.3">
      <c r="R5037" s="255"/>
      <c r="S5037" s="255"/>
      <c r="T5037" s="255"/>
    </row>
    <row r="5038" spans="18:20" x14ac:dyDescent="0.3">
      <c r="R5038" s="255"/>
      <c r="S5038" s="255"/>
      <c r="T5038" s="255"/>
    </row>
    <row r="5039" spans="18:20" x14ac:dyDescent="0.3">
      <c r="R5039" s="255"/>
      <c r="S5039" s="255"/>
      <c r="T5039" s="255"/>
    </row>
    <row r="5040" spans="18:20" x14ac:dyDescent="0.3">
      <c r="R5040" s="255"/>
      <c r="S5040" s="255"/>
      <c r="T5040" s="255"/>
    </row>
    <row r="5041" spans="18:20" x14ac:dyDescent="0.3">
      <c r="R5041" s="255"/>
      <c r="S5041" s="255"/>
      <c r="T5041" s="255"/>
    </row>
    <row r="5042" spans="18:20" x14ac:dyDescent="0.3">
      <c r="R5042" s="255"/>
      <c r="S5042" s="255"/>
      <c r="T5042" s="255"/>
    </row>
    <row r="5043" spans="18:20" x14ac:dyDescent="0.3">
      <c r="R5043" s="255"/>
      <c r="S5043" s="255"/>
      <c r="T5043" s="255"/>
    </row>
    <row r="5044" spans="18:20" x14ac:dyDescent="0.3">
      <c r="R5044" s="255"/>
      <c r="S5044" s="255"/>
      <c r="T5044" s="255"/>
    </row>
    <row r="5045" spans="18:20" x14ac:dyDescent="0.3">
      <c r="R5045" s="255"/>
      <c r="S5045" s="255"/>
      <c r="T5045" s="255"/>
    </row>
    <row r="5046" spans="18:20" x14ac:dyDescent="0.3">
      <c r="R5046" s="255"/>
      <c r="S5046" s="255"/>
      <c r="T5046" s="255"/>
    </row>
    <row r="5047" spans="18:20" x14ac:dyDescent="0.3">
      <c r="R5047" s="255"/>
      <c r="S5047" s="255"/>
      <c r="T5047" s="255"/>
    </row>
    <row r="5048" spans="18:20" x14ac:dyDescent="0.3">
      <c r="R5048" s="255"/>
      <c r="S5048" s="255"/>
      <c r="T5048" s="255"/>
    </row>
    <row r="5049" spans="18:20" x14ac:dyDescent="0.3">
      <c r="R5049" s="255"/>
      <c r="S5049" s="255"/>
      <c r="T5049" s="255"/>
    </row>
    <row r="5050" spans="18:20" x14ac:dyDescent="0.3">
      <c r="R5050" s="255"/>
      <c r="S5050" s="255"/>
      <c r="T5050" s="255"/>
    </row>
    <row r="5051" spans="18:20" x14ac:dyDescent="0.3">
      <c r="R5051" s="255"/>
      <c r="S5051" s="255"/>
      <c r="T5051" s="255"/>
    </row>
    <row r="5052" spans="18:20" x14ac:dyDescent="0.3">
      <c r="R5052" s="255"/>
      <c r="S5052" s="255"/>
      <c r="T5052" s="255"/>
    </row>
    <row r="5053" spans="18:20" x14ac:dyDescent="0.3">
      <c r="R5053" s="255"/>
      <c r="S5053" s="255"/>
      <c r="T5053" s="255"/>
    </row>
    <row r="5054" spans="18:20" x14ac:dyDescent="0.3">
      <c r="R5054" s="255"/>
      <c r="S5054" s="255"/>
      <c r="T5054" s="255"/>
    </row>
    <row r="5055" spans="18:20" x14ac:dyDescent="0.3">
      <c r="R5055" s="255"/>
      <c r="S5055" s="255"/>
      <c r="T5055" s="255"/>
    </row>
    <row r="5056" spans="18:20" x14ac:dyDescent="0.3">
      <c r="R5056" s="255"/>
      <c r="S5056" s="255"/>
      <c r="T5056" s="255"/>
    </row>
    <row r="5057" spans="18:20" x14ac:dyDescent="0.3">
      <c r="R5057" s="255"/>
      <c r="S5057" s="255"/>
      <c r="T5057" s="255"/>
    </row>
    <row r="5058" spans="18:20" x14ac:dyDescent="0.3">
      <c r="R5058" s="255"/>
      <c r="S5058" s="255"/>
      <c r="T5058" s="255"/>
    </row>
    <row r="5059" spans="18:20" x14ac:dyDescent="0.3">
      <c r="R5059" s="255"/>
      <c r="S5059" s="255"/>
      <c r="T5059" s="255"/>
    </row>
    <row r="5060" spans="18:20" x14ac:dyDescent="0.3">
      <c r="R5060" s="255"/>
      <c r="S5060" s="255"/>
      <c r="T5060" s="255"/>
    </row>
    <row r="5061" spans="18:20" x14ac:dyDescent="0.3">
      <c r="R5061" s="255"/>
      <c r="S5061" s="255"/>
      <c r="T5061" s="255"/>
    </row>
    <row r="5062" spans="18:20" x14ac:dyDescent="0.3">
      <c r="R5062" s="255"/>
      <c r="S5062" s="255"/>
      <c r="T5062" s="255"/>
    </row>
    <row r="5063" spans="18:20" x14ac:dyDescent="0.3">
      <c r="R5063" s="255"/>
      <c r="S5063" s="255"/>
      <c r="T5063" s="255"/>
    </row>
    <row r="5064" spans="18:20" x14ac:dyDescent="0.3">
      <c r="R5064" s="255"/>
      <c r="S5064" s="255"/>
      <c r="T5064" s="255"/>
    </row>
    <row r="5065" spans="18:20" x14ac:dyDescent="0.3">
      <c r="R5065" s="255"/>
      <c r="S5065" s="255"/>
      <c r="T5065" s="255"/>
    </row>
    <row r="5066" spans="18:20" x14ac:dyDescent="0.3">
      <c r="R5066" s="255"/>
      <c r="S5066" s="255"/>
      <c r="T5066" s="255"/>
    </row>
    <row r="5067" spans="18:20" x14ac:dyDescent="0.3">
      <c r="R5067" s="255"/>
      <c r="S5067" s="255"/>
      <c r="T5067" s="255"/>
    </row>
    <row r="5068" spans="18:20" x14ac:dyDescent="0.3">
      <c r="R5068" s="255"/>
      <c r="S5068" s="255"/>
      <c r="T5068" s="255"/>
    </row>
    <row r="5069" spans="18:20" x14ac:dyDescent="0.3">
      <c r="R5069" s="255"/>
      <c r="S5069" s="255"/>
      <c r="T5069" s="255"/>
    </row>
    <row r="5070" spans="18:20" x14ac:dyDescent="0.3">
      <c r="R5070" s="255"/>
      <c r="S5070" s="255"/>
      <c r="T5070" s="255"/>
    </row>
    <row r="5071" spans="18:20" x14ac:dyDescent="0.3">
      <c r="R5071" s="255"/>
      <c r="S5071" s="255"/>
      <c r="T5071" s="255"/>
    </row>
    <row r="5072" spans="18:20" x14ac:dyDescent="0.3">
      <c r="R5072" s="255"/>
      <c r="S5072" s="255"/>
      <c r="T5072" s="255"/>
    </row>
    <row r="5073" spans="18:20" x14ac:dyDescent="0.3">
      <c r="R5073" s="255"/>
      <c r="S5073" s="255"/>
      <c r="T5073" s="255"/>
    </row>
    <row r="5074" spans="18:20" x14ac:dyDescent="0.3">
      <c r="R5074" s="255"/>
      <c r="S5074" s="255"/>
      <c r="T5074" s="255"/>
    </row>
    <row r="5075" spans="18:20" x14ac:dyDescent="0.3">
      <c r="R5075" s="255"/>
      <c r="S5075" s="255"/>
      <c r="T5075" s="255"/>
    </row>
    <row r="5076" spans="18:20" x14ac:dyDescent="0.3">
      <c r="R5076" s="255"/>
      <c r="S5076" s="255"/>
      <c r="T5076" s="255"/>
    </row>
    <row r="5077" spans="18:20" x14ac:dyDescent="0.3">
      <c r="R5077" s="255"/>
      <c r="S5077" s="255"/>
      <c r="T5077" s="255"/>
    </row>
    <row r="5078" spans="18:20" x14ac:dyDescent="0.3">
      <c r="R5078" s="255"/>
      <c r="S5078" s="255"/>
      <c r="T5078" s="255"/>
    </row>
    <row r="5079" spans="18:20" x14ac:dyDescent="0.3">
      <c r="R5079" s="255"/>
      <c r="S5079" s="255"/>
      <c r="T5079" s="255"/>
    </row>
    <row r="5080" spans="18:20" x14ac:dyDescent="0.3">
      <c r="R5080" s="255"/>
      <c r="S5080" s="255"/>
      <c r="T5080" s="255"/>
    </row>
    <row r="5081" spans="18:20" x14ac:dyDescent="0.3">
      <c r="R5081" s="255"/>
      <c r="S5081" s="255"/>
      <c r="T5081" s="255"/>
    </row>
    <row r="5082" spans="18:20" x14ac:dyDescent="0.3">
      <c r="R5082" s="255"/>
      <c r="S5082" s="255"/>
      <c r="T5082" s="255"/>
    </row>
    <row r="5083" spans="18:20" x14ac:dyDescent="0.3">
      <c r="R5083" s="255"/>
      <c r="S5083" s="255"/>
      <c r="T5083" s="255"/>
    </row>
    <row r="5084" spans="18:20" x14ac:dyDescent="0.3">
      <c r="R5084" s="255"/>
      <c r="S5084" s="255"/>
      <c r="T5084" s="255"/>
    </row>
    <row r="5085" spans="18:20" x14ac:dyDescent="0.3">
      <c r="R5085" s="255"/>
      <c r="S5085" s="255"/>
      <c r="T5085" s="255"/>
    </row>
    <row r="5086" spans="18:20" x14ac:dyDescent="0.3">
      <c r="R5086" s="255"/>
      <c r="S5086" s="255"/>
      <c r="T5086" s="255"/>
    </row>
    <row r="5087" spans="18:20" x14ac:dyDescent="0.3">
      <c r="R5087" s="255"/>
      <c r="S5087" s="255"/>
      <c r="T5087" s="255"/>
    </row>
    <row r="5088" spans="18:20" x14ac:dyDescent="0.3">
      <c r="R5088" s="255"/>
      <c r="S5088" s="255"/>
      <c r="T5088" s="255"/>
    </row>
    <row r="5089" spans="18:20" x14ac:dyDescent="0.3">
      <c r="R5089" s="255"/>
      <c r="S5089" s="255"/>
      <c r="T5089" s="255"/>
    </row>
    <row r="5090" spans="18:20" x14ac:dyDescent="0.3">
      <c r="R5090" s="255"/>
      <c r="S5090" s="255"/>
      <c r="T5090" s="255"/>
    </row>
    <row r="5091" spans="18:20" x14ac:dyDescent="0.3">
      <c r="R5091" s="255"/>
      <c r="S5091" s="255"/>
      <c r="T5091" s="255"/>
    </row>
    <row r="5092" spans="18:20" x14ac:dyDescent="0.3">
      <c r="R5092" s="255"/>
      <c r="S5092" s="255"/>
      <c r="T5092" s="255"/>
    </row>
    <row r="5093" spans="18:20" x14ac:dyDescent="0.3">
      <c r="R5093" s="255"/>
      <c r="S5093" s="255"/>
      <c r="T5093" s="255"/>
    </row>
    <row r="5094" spans="18:20" x14ac:dyDescent="0.3">
      <c r="R5094" s="255"/>
      <c r="S5094" s="255"/>
      <c r="T5094" s="255"/>
    </row>
    <row r="5095" spans="18:20" x14ac:dyDescent="0.3">
      <c r="R5095" s="255"/>
      <c r="S5095" s="255"/>
      <c r="T5095" s="255"/>
    </row>
    <row r="5096" spans="18:20" x14ac:dyDescent="0.3">
      <c r="R5096" s="255"/>
      <c r="S5096" s="255"/>
      <c r="T5096" s="255"/>
    </row>
    <row r="5097" spans="18:20" x14ac:dyDescent="0.3">
      <c r="R5097" s="255"/>
      <c r="S5097" s="255"/>
      <c r="T5097" s="255"/>
    </row>
    <row r="5098" spans="18:20" x14ac:dyDescent="0.3">
      <c r="R5098" s="255"/>
      <c r="S5098" s="255"/>
      <c r="T5098" s="255"/>
    </row>
    <row r="5099" spans="18:20" x14ac:dyDescent="0.3">
      <c r="R5099" s="255"/>
      <c r="S5099" s="255"/>
      <c r="T5099" s="255"/>
    </row>
    <row r="5100" spans="18:20" x14ac:dyDescent="0.3">
      <c r="R5100" s="255"/>
      <c r="S5100" s="255"/>
      <c r="T5100" s="255"/>
    </row>
    <row r="5101" spans="18:20" x14ac:dyDescent="0.3">
      <c r="R5101" s="255"/>
      <c r="S5101" s="255"/>
      <c r="T5101" s="255"/>
    </row>
    <row r="5102" spans="18:20" x14ac:dyDescent="0.3">
      <c r="R5102" s="255"/>
      <c r="S5102" s="255"/>
      <c r="T5102" s="255"/>
    </row>
    <row r="5103" spans="18:20" x14ac:dyDescent="0.3">
      <c r="R5103" s="255"/>
      <c r="S5103" s="255"/>
      <c r="T5103" s="255"/>
    </row>
    <row r="5104" spans="18:20" x14ac:dyDescent="0.3">
      <c r="R5104" s="255"/>
      <c r="S5104" s="255"/>
      <c r="T5104" s="255"/>
    </row>
    <row r="5105" spans="18:20" x14ac:dyDescent="0.3">
      <c r="R5105" s="255"/>
      <c r="S5105" s="255"/>
      <c r="T5105" s="255"/>
    </row>
    <row r="5106" spans="18:20" x14ac:dyDescent="0.3">
      <c r="R5106" s="255"/>
      <c r="S5106" s="255"/>
      <c r="T5106" s="255"/>
    </row>
    <row r="5107" spans="18:20" x14ac:dyDescent="0.3">
      <c r="R5107" s="255"/>
      <c r="S5107" s="255"/>
      <c r="T5107" s="255"/>
    </row>
    <row r="5108" spans="18:20" x14ac:dyDescent="0.3">
      <c r="R5108" s="255"/>
      <c r="S5108" s="255"/>
      <c r="T5108" s="255"/>
    </row>
    <row r="5109" spans="18:20" x14ac:dyDescent="0.3">
      <c r="R5109" s="255"/>
      <c r="S5109" s="255"/>
      <c r="T5109" s="255"/>
    </row>
    <row r="5110" spans="18:20" x14ac:dyDescent="0.3">
      <c r="R5110" s="255"/>
      <c r="S5110" s="255"/>
      <c r="T5110" s="255"/>
    </row>
    <row r="5111" spans="18:20" x14ac:dyDescent="0.3">
      <c r="R5111" s="255"/>
      <c r="S5111" s="255"/>
      <c r="T5111" s="255"/>
    </row>
    <row r="5112" spans="18:20" x14ac:dyDescent="0.3">
      <c r="R5112" s="255"/>
      <c r="S5112" s="255"/>
      <c r="T5112" s="255"/>
    </row>
    <row r="5113" spans="18:20" x14ac:dyDescent="0.3">
      <c r="R5113" s="255"/>
      <c r="S5113" s="255"/>
      <c r="T5113" s="255"/>
    </row>
    <row r="5114" spans="18:20" x14ac:dyDescent="0.3">
      <c r="R5114" s="255"/>
      <c r="S5114" s="255"/>
      <c r="T5114" s="255"/>
    </row>
    <row r="5115" spans="18:20" x14ac:dyDescent="0.3">
      <c r="R5115" s="255"/>
      <c r="S5115" s="255"/>
      <c r="T5115" s="255"/>
    </row>
    <row r="5116" spans="18:20" x14ac:dyDescent="0.3">
      <c r="R5116" s="255"/>
      <c r="S5116" s="255"/>
      <c r="T5116" s="255"/>
    </row>
    <row r="5117" spans="18:20" x14ac:dyDescent="0.3">
      <c r="R5117" s="255"/>
      <c r="S5117" s="255"/>
      <c r="T5117" s="255"/>
    </row>
    <row r="5118" spans="18:20" x14ac:dyDescent="0.3">
      <c r="R5118" s="255"/>
      <c r="S5118" s="255"/>
      <c r="T5118" s="255"/>
    </row>
    <row r="5119" spans="18:20" x14ac:dyDescent="0.3">
      <c r="R5119" s="255"/>
      <c r="S5119" s="255"/>
      <c r="T5119" s="255"/>
    </row>
    <row r="5120" spans="18:20" x14ac:dyDescent="0.3">
      <c r="R5120" s="255"/>
      <c r="S5120" s="255"/>
      <c r="T5120" s="255"/>
    </row>
    <row r="5121" spans="18:20" x14ac:dyDescent="0.3">
      <c r="R5121" s="255"/>
      <c r="S5121" s="255"/>
      <c r="T5121" s="255"/>
    </row>
    <row r="5122" spans="18:20" x14ac:dyDescent="0.3">
      <c r="R5122" s="255"/>
      <c r="S5122" s="255"/>
      <c r="T5122" s="255"/>
    </row>
    <row r="5123" spans="18:20" x14ac:dyDescent="0.3">
      <c r="R5123" s="255"/>
      <c r="S5123" s="255"/>
      <c r="T5123" s="255"/>
    </row>
    <row r="5124" spans="18:20" x14ac:dyDescent="0.3">
      <c r="R5124" s="255"/>
      <c r="S5124" s="255"/>
      <c r="T5124" s="255"/>
    </row>
    <row r="5125" spans="18:20" x14ac:dyDescent="0.3">
      <c r="R5125" s="255"/>
      <c r="S5125" s="255"/>
      <c r="T5125" s="255"/>
    </row>
    <row r="5126" spans="18:20" x14ac:dyDescent="0.3">
      <c r="R5126" s="255"/>
      <c r="S5126" s="255"/>
      <c r="T5126" s="255"/>
    </row>
    <row r="5127" spans="18:20" x14ac:dyDescent="0.3">
      <c r="R5127" s="255"/>
      <c r="S5127" s="255"/>
      <c r="T5127" s="255"/>
    </row>
    <row r="5128" spans="18:20" x14ac:dyDescent="0.3">
      <c r="R5128" s="255"/>
      <c r="S5128" s="255"/>
      <c r="T5128" s="255"/>
    </row>
    <row r="5129" spans="18:20" x14ac:dyDescent="0.3">
      <c r="R5129" s="255"/>
      <c r="S5129" s="255"/>
      <c r="T5129" s="255"/>
    </row>
    <row r="5130" spans="18:20" x14ac:dyDescent="0.3">
      <c r="R5130" s="255"/>
      <c r="S5130" s="255"/>
      <c r="T5130" s="255"/>
    </row>
    <row r="5131" spans="18:20" x14ac:dyDescent="0.3">
      <c r="R5131" s="255"/>
      <c r="S5131" s="255"/>
      <c r="T5131" s="255"/>
    </row>
    <row r="5132" spans="18:20" x14ac:dyDescent="0.3">
      <c r="R5132" s="255"/>
      <c r="S5132" s="255"/>
      <c r="T5132" s="255"/>
    </row>
    <row r="5133" spans="18:20" x14ac:dyDescent="0.3">
      <c r="R5133" s="255"/>
      <c r="S5133" s="255"/>
      <c r="T5133" s="255"/>
    </row>
    <row r="5134" spans="18:20" x14ac:dyDescent="0.3">
      <c r="R5134" s="255"/>
      <c r="S5134" s="255"/>
      <c r="T5134" s="255"/>
    </row>
    <row r="5135" spans="18:20" x14ac:dyDescent="0.3">
      <c r="R5135" s="255"/>
      <c r="S5135" s="255"/>
      <c r="T5135" s="255"/>
    </row>
    <row r="5136" spans="18:20" x14ac:dyDescent="0.3">
      <c r="R5136" s="255"/>
      <c r="S5136" s="255"/>
      <c r="T5136" s="255"/>
    </row>
    <row r="5137" spans="18:20" x14ac:dyDescent="0.3">
      <c r="R5137" s="255"/>
      <c r="S5137" s="255"/>
      <c r="T5137" s="255"/>
    </row>
    <row r="5138" spans="18:20" x14ac:dyDescent="0.3">
      <c r="R5138" s="255"/>
      <c r="S5138" s="255"/>
      <c r="T5138" s="255"/>
    </row>
    <row r="5139" spans="18:20" x14ac:dyDescent="0.3">
      <c r="R5139" s="255"/>
      <c r="S5139" s="255"/>
      <c r="T5139" s="255"/>
    </row>
    <row r="5140" spans="18:20" x14ac:dyDescent="0.3">
      <c r="R5140" s="255"/>
      <c r="S5140" s="255"/>
      <c r="T5140" s="255"/>
    </row>
    <row r="5141" spans="18:20" x14ac:dyDescent="0.3">
      <c r="R5141" s="255"/>
      <c r="S5141" s="255"/>
      <c r="T5141" s="255"/>
    </row>
    <row r="5142" spans="18:20" x14ac:dyDescent="0.3">
      <c r="R5142" s="255"/>
      <c r="S5142" s="255"/>
      <c r="T5142" s="255"/>
    </row>
    <row r="5143" spans="18:20" x14ac:dyDescent="0.3">
      <c r="R5143" s="255"/>
      <c r="S5143" s="255"/>
      <c r="T5143" s="255"/>
    </row>
    <row r="5144" spans="18:20" x14ac:dyDescent="0.3">
      <c r="R5144" s="255"/>
      <c r="S5144" s="255"/>
      <c r="T5144" s="255"/>
    </row>
    <row r="5145" spans="18:20" x14ac:dyDescent="0.3">
      <c r="R5145" s="255"/>
      <c r="S5145" s="255"/>
      <c r="T5145" s="255"/>
    </row>
    <row r="5146" spans="18:20" x14ac:dyDescent="0.3">
      <c r="R5146" s="255"/>
      <c r="S5146" s="255"/>
      <c r="T5146" s="255"/>
    </row>
    <row r="5147" spans="18:20" x14ac:dyDescent="0.3">
      <c r="R5147" s="255"/>
      <c r="S5147" s="255"/>
      <c r="T5147" s="255"/>
    </row>
    <row r="5148" spans="18:20" x14ac:dyDescent="0.3">
      <c r="R5148" s="255"/>
      <c r="S5148" s="255"/>
      <c r="T5148" s="255"/>
    </row>
    <row r="5149" spans="18:20" x14ac:dyDescent="0.3">
      <c r="R5149" s="255"/>
      <c r="S5149" s="255"/>
      <c r="T5149" s="255"/>
    </row>
    <row r="5150" spans="18:20" x14ac:dyDescent="0.3">
      <c r="R5150" s="255"/>
      <c r="S5150" s="255"/>
      <c r="T5150" s="255"/>
    </row>
    <row r="5151" spans="18:20" x14ac:dyDescent="0.3">
      <c r="R5151" s="255"/>
      <c r="S5151" s="255"/>
      <c r="T5151" s="255"/>
    </row>
    <row r="5152" spans="18:20" x14ac:dyDescent="0.3">
      <c r="R5152" s="255"/>
      <c r="S5152" s="255"/>
      <c r="T5152" s="255"/>
    </row>
    <row r="5153" spans="18:20" x14ac:dyDescent="0.3">
      <c r="R5153" s="255"/>
      <c r="S5153" s="255"/>
      <c r="T5153" s="255"/>
    </row>
    <row r="5154" spans="18:20" x14ac:dyDescent="0.3">
      <c r="R5154" s="255"/>
      <c r="S5154" s="255"/>
      <c r="T5154" s="255"/>
    </row>
    <row r="5155" spans="18:20" x14ac:dyDescent="0.3">
      <c r="R5155" s="255"/>
      <c r="S5155" s="255"/>
      <c r="T5155" s="255"/>
    </row>
    <row r="5156" spans="18:20" x14ac:dyDescent="0.3">
      <c r="R5156" s="255"/>
      <c r="S5156" s="255"/>
      <c r="T5156" s="255"/>
    </row>
    <row r="5157" spans="18:20" x14ac:dyDescent="0.3">
      <c r="R5157" s="255"/>
      <c r="S5157" s="255"/>
      <c r="T5157" s="255"/>
    </row>
    <row r="5158" spans="18:20" x14ac:dyDescent="0.3">
      <c r="R5158" s="255"/>
      <c r="S5158" s="255"/>
      <c r="T5158" s="255"/>
    </row>
    <row r="5159" spans="18:20" x14ac:dyDescent="0.3">
      <c r="R5159" s="255"/>
      <c r="S5159" s="255"/>
      <c r="T5159" s="255"/>
    </row>
    <row r="5160" spans="18:20" x14ac:dyDescent="0.3">
      <c r="R5160" s="255"/>
      <c r="S5160" s="255"/>
      <c r="T5160" s="255"/>
    </row>
    <row r="5161" spans="18:20" x14ac:dyDescent="0.3">
      <c r="R5161" s="255"/>
      <c r="S5161" s="255"/>
      <c r="T5161" s="255"/>
    </row>
    <row r="5162" spans="18:20" x14ac:dyDescent="0.3">
      <c r="R5162" s="255"/>
      <c r="S5162" s="255"/>
      <c r="T5162" s="255"/>
    </row>
    <row r="5163" spans="18:20" x14ac:dyDescent="0.3">
      <c r="R5163" s="255"/>
      <c r="S5163" s="255"/>
      <c r="T5163" s="255"/>
    </row>
    <row r="5164" spans="18:20" x14ac:dyDescent="0.3">
      <c r="R5164" s="255"/>
      <c r="S5164" s="255"/>
      <c r="T5164" s="255"/>
    </row>
    <row r="5165" spans="18:20" x14ac:dyDescent="0.3">
      <c r="R5165" s="255"/>
      <c r="S5165" s="255"/>
      <c r="T5165" s="255"/>
    </row>
    <row r="5166" spans="18:20" x14ac:dyDescent="0.3">
      <c r="R5166" s="255"/>
      <c r="S5166" s="255"/>
      <c r="T5166" s="255"/>
    </row>
    <row r="5167" spans="18:20" x14ac:dyDescent="0.3">
      <c r="R5167" s="255"/>
      <c r="S5167" s="255"/>
      <c r="T5167" s="255"/>
    </row>
    <row r="5168" spans="18:20" x14ac:dyDescent="0.3">
      <c r="R5168" s="255"/>
      <c r="S5168" s="255"/>
      <c r="T5168" s="255"/>
    </row>
    <row r="5169" spans="18:20" x14ac:dyDescent="0.3">
      <c r="R5169" s="255"/>
      <c r="S5169" s="255"/>
      <c r="T5169" s="255"/>
    </row>
    <row r="5170" spans="18:20" x14ac:dyDescent="0.3">
      <c r="R5170" s="255"/>
      <c r="S5170" s="255"/>
      <c r="T5170" s="255"/>
    </row>
    <row r="5171" spans="18:20" x14ac:dyDescent="0.3">
      <c r="R5171" s="255"/>
      <c r="S5171" s="255"/>
      <c r="T5171" s="255"/>
    </row>
    <row r="5172" spans="18:20" x14ac:dyDescent="0.3">
      <c r="R5172" s="255"/>
      <c r="S5172" s="255"/>
      <c r="T5172" s="255"/>
    </row>
    <row r="5173" spans="18:20" x14ac:dyDescent="0.3">
      <c r="R5173" s="255"/>
      <c r="S5173" s="255"/>
      <c r="T5173" s="255"/>
    </row>
    <row r="5174" spans="18:20" x14ac:dyDescent="0.3">
      <c r="R5174" s="255"/>
      <c r="S5174" s="255"/>
      <c r="T5174" s="255"/>
    </row>
    <row r="5175" spans="18:20" x14ac:dyDescent="0.3">
      <c r="R5175" s="255"/>
      <c r="S5175" s="255"/>
      <c r="T5175" s="255"/>
    </row>
    <row r="5176" spans="18:20" x14ac:dyDescent="0.3">
      <c r="R5176" s="255"/>
      <c r="S5176" s="255"/>
      <c r="T5176" s="255"/>
    </row>
    <row r="5177" spans="18:20" x14ac:dyDescent="0.3">
      <c r="R5177" s="255"/>
      <c r="S5177" s="255"/>
      <c r="T5177" s="255"/>
    </row>
    <row r="5178" spans="18:20" x14ac:dyDescent="0.3">
      <c r="R5178" s="255"/>
      <c r="S5178" s="255"/>
      <c r="T5178" s="255"/>
    </row>
    <row r="5179" spans="18:20" x14ac:dyDescent="0.3">
      <c r="R5179" s="255"/>
      <c r="S5179" s="255"/>
      <c r="T5179" s="255"/>
    </row>
    <row r="5180" spans="18:20" x14ac:dyDescent="0.3">
      <c r="R5180" s="255"/>
      <c r="S5180" s="255"/>
      <c r="T5180" s="255"/>
    </row>
    <row r="5181" spans="18:20" x14ac:dyDescent="0.3">
      <c r="R5181" s="255"/>
      <c r="S5181" s="255"/>
      <c r="T5181" s="255"/>
    </row>
    <row r="5182" spans="18:20" x14ac:dyDescent="0.3">
      <c r="R5182" s="255"/>
      <c r="S5182" s="255"/>
      <c r="T5182" s="255"/>
    </row>
    <row r="5183" spans="18:20" x14ac:dyDescent="0.3">
      <c r="R5183" s="255"/>
      <c r="S5183" s="255"/>
      <c r="T5183" s="255"/>
    </row>
    <row r="5184" spans="18:20" x14ac:dyDescent="0.3">
      <c r="R5184" s="255"/>
      <c r="S5184" s="255"/>
      <c r="T5184" s="255"/>
    </row>
    <row r="5185" spans="18:20" x14ac:dyDescent="0.3">
      <c r="R5185" s="255"/>
      <c r="S5185" s="255"/>
      <c r="T5185" s="255"/>
    </row>
    <row r="5186" spans="18:20" x14ac:dyDescent="0.3">
      <c r="R5186" s="255"/>
      <c r="S5186" s="255"/>
      <c r="T5186" s="255"/>
    </row>
    <row r="5187" spans="18:20" x14ac:dyDescent="0.3">
      <c r="R5187" s="255"/>
      <c r="S5187" s="255"/>
      <c r="T5187" s="255"/>
    </row>
    <row r="5188" spans="18:20" x14ac:dyDescent="0.3">
      <c r="R5188" s="255"/>
      <c r="S5188" s="255"/>
      <c r="T5188" s="255"/>
    </row>
    <row r="5189" spans="18:20" x14ac:dyDescent="0.3">
      <c r="R5189" s="255"/>
      <c r="S5189" s="255"/>
      <c r="T5189" s="255"/>
    </row>
    <row r="5190" spans="18:20" x14ac:dyDescent="0.3">
      <c r="R5190" s="255"/>
      <c r="S5190" s="255"/>
      <c r="T5190" s="255"/>
    </row>
    <row r="5191" spans="18:20" x14ac:dyDescent="0.3">
      <c r="R5191" s="255"/>
      <c r="S5191" s="255"/>
      <c r="T5191" s="255"/>
    </row>
    <row r="5192" spans="18:20" x14ac:dyDescent="0.3">
      <c r="R5192" s="255"/>
      <c r="S5192" s="255"/>
      <c r="T5192" s="255"/>
    </row>
    <row r="5193" spans="18:20" x14ac:dyDescent="0.3">
      <c r="R5193" s="255"/>
      <c r="S5193" s="255"/>
      <c r="T5193" s="255"/>
    </row>
    <row r="5194" spans="18:20" x14ac:dyDescent="0.3">
      <c r="R5194" s="255"/>
      <c r="S5194" s="255"/>
      <c r="T5194" s="255"/>
    </row>
    <row r="5195" spans="18:20" x14ac:dyDescent="0.3">
      <c r="R5195" s="255"/>
      <c r="S5195" s="255"/>
      <c r="T5195" s="255"/>
    </row>
    <row r="5196" spans="18:20" x14ac:dyDescent="0.3">
      <c r="R5196" s="255"/>
      <c r="S5196" s="255"/>
      <c r="T5196" s="255"/>
    </row>
    <row r="5197" spans="18:20" x14ac:dyDescent="0.3">
      <c r="R5197" s="255"/>
      <c r="S5197" s="255"/>
      <c r="T5197" s="255"/>
    </row>
    <row r="5198" spans="18:20" x14ac:dyDescent="0.3">
      <c r="R5198" s="255"/>
      <c r="S5198" s="255"/>
      <c r="T5198" s="255"/>
    </row>
    <row r="5199" spans="18:20" x14ac:dyDescent="0.3">
      <c r="R5199" s="255"/>
      <c r="S5199" s="255"/>
      <c r="T5199" s="255"/>
    </row>
    <row r="5200" spans="18:20" x14ac:dyDescent="0.3">
      <c r="R5200" s="255"/>
      <c r="S5200" s="255"/>
      <c r="T5200" s="255"/>
    </row>
    <row r="5201" spans="18:20" x14ac:dyDescent="0.3">
      <c r="R5201" s="255"/>
      <c r="S5201" s="255"/>
      <c r="T5201" s="255"/>
    </row>
    <row r="5202" spans="18:20" x14ac:dyDescent="0.3">
      <c r="R5202" s="255"/>
      <c r="S5202" s="255"/>
      <c r="T5202" s="255"/>
    </row>
    <row r="5203" spans="18:20" x14ac:dyDescent="0.3">
      <c r="R5203" s="255"/>
      <c r="S5203" s="255"/>
      <c r="T5203" s="255"/>
    </row>
    <row r="5204" spans="18:20" x14ac:dyDescent="0.3">
      <c r="R5204" s="255"/>
      <c r="S5204" s="255"/>
      <c r="T5204" s="255"/>
    </row>
    <row r="5205" spans="18:20" x14ac:dyDescent="0.3">
      <c r="R5205" s="255"/>
      <c r="S5205" s="255"/>
      <c r="T5205" s="255"/>
    </row>
    <row r="5206" spans="18:20" x14ac:dyDescent="0.3">
      <c r="R5206" s="255"/>
      <c r="S5206" s="255"/>
      <c r="T5206" s="255"/>
    </row>
    <row r="5207" spans="18:20" x14ac:dyDescent="0.3">
      <c r="R5207" s="255"/>
      <c r="S5207" s="255"/>
      <c r="T5207" s="255"/>
    </row>
    <row r="5208" spans="18:20" x14ac:dyDescent="0.3">
      <c r="R5208" s="255"/>
      <c r="S5208" s="255"/>
      <c r="T5208" s="255"/>
    </row>
    <row r="5209" spans="18:20" x14ac:dyDescent="0.3">
      <c r="R5209" s="255"/>
      <c r="S5209" s="255"/>
      <c r="T5209" s="255"/>
    </row>
    <row r="5210" spans="18:20" x14ac:dyDescent="0.3">
      <c r="R5210" s="255"/>
      <c r="S5210" s="255"/>
      <c r="T5210" s="255"/>
    </row>
    <row r="5211" spans="18:20" x14ac:dyDescent="0.3">
      <c r="R5211" s="255"/>
      <c r="S5211" s="255"/>
      <c r="T5211" s="255"/>
    </row>
    <row r="5212" spans="18:20" x14ac:dyDescent="0.3">
      <c r="R5212" s="255"/>
      <c r="S5212" s="255"/>
      <c r="T5212" s="255"/>
    </row>
    <row r="5213" spans="18:20" x14ac:dyDescent="0.3">
      <c r="R5213" s="255"/>
      <c r="S5213" s="255"/>
      <c r="T5213" s="255"/>
    </row>
    <row r="5214" spans="18:20" x14ac:dyDescent="0.3">
      <c r="R5214" s="255"/>
      <c r="S5214" s="255"/>
      <c r="T5214" s="255"/>
    </row>
    <row r="5215" spans="18:20" x14ac:dyDescent="0.3">
      <c r="R5215" s="255"/>
      <c r="S5215" s="255"/>
      <c r="T5215" s="255"/>
    </row>
    <row r="5216" spans="18:20" x14ac:dyDescent="0.3">
      <c r="R5216" s="255"/>
      <c r="S5216" s="255"/>
      <c r="T5216" s="255"/>
    </row>
    <row r="5217" spans="18:20" x14ac:dyDescent="0.3">
      <c r="R5217" s="255"/>
      <c r="S5217" s="255"/>
      <c r="T5217" s="255"/>
    </row>
    <row r="5218" spans="18:20" x14ac:dyDescent="0.3">
      <c r="R5218" s="255"/>
      <c r="S5218" s="255"/>
      <c r="T5218" s="255"/>
    </row>
    <row r="5219" spans="18:20" x14ac:dyDescent="0.3">
      <c r="R5219" s="255"/>
      <c r="S5219" s="255"/>
      <c r="T5219" s="255"/>
    </row>
    <row r="5220" spans="18:20" x14ac:dyDescent="0.3">
      <c r="R5220" s="255"/>
      <c r="S5220" s="255"/>
      <c r="T5220" s="255"/>
    </row>
    <row r="5221" spans="18:20" x14ac:dyDescent="0.3">
      <c r="R5221" s="255"/>
      <c r="S5221" s="255"/>
      <c r="T5221" s="255"/>
    </row>
    <row r="5222" spans="18:20" x14ac:dyDescent="0.3">
      <c r="R5222" s="255"/>
      <c r="S5222" s="255"/>
      <c r="T5222" s="255"/>
    </row>
    <row r="5223" spans="18:20" x14ac:dyDescent="0.3">
      <c r="R5223" s="255"/>
      <c r="S5223" s="255"/>
      <c r="T5223" s="255"/>
    </row>
    <row r="5224" spans="18:20" x14ac:dyDescent="0.3">
      <c r="R5224" s="255"/>
      <c r="S5224" s="255"/>
      <c r="T5224" s="255"/>
    </row>
    <row r="5225" spans="18:20" x14ac:dyDescent="0.3">
      <c r="R5225" s="255"/>
      <c r="S5225" s="255"/>
      <c r="T5225" s="255"/>
    </row>
    <row r="5226" spans="18:20" x14ac:dyDescent="0.3">
      <c r="R5226" s="255"/>
      <c r="S5226" s="255"/>
      <c r="T5226" s="255"/>
    </row>
    <row r="5227" spans="18:20" x14ac:dyDescent="0.3">
      <c r="R5227" s="255"/>
      <c r="S5227" s="255"/>
      <c r="T5227" s="255"/>
    </row>
    <row r="5228" spans="18:20" x14ac:dyDescent="0.3">
      <c r="R5228" s="255"/>
      <c r="S5228" s="255"/>
      <c r="T5228" s="255"/>
    </row>
    <row r="5229" spans="18:20" x14ac:dyDescent="0.3">
      <c r="R5229" s="255"/>
      <c r="S5229" s="255"/>
      <c r="T5229" s="255"/>
    </row>
    <row r="5230" spans="18:20" x14ac:dyDescent="0.3">
      <c r="R5230" s="255"/>
      <c r="S5230" s="255"/>
      <c r="T5230" s="255"/>
    </row>
    <row r="5231" spans="18:20" x14ac:dyDescent="0.3">
      <c r="R5231" s="255"/>
      <c r="S5231" s="255"/>
      <c r="T5231" s="255"/>
    </row>
    <row r="5232" spans="18:20" x14ac:dyDescent="0.3">
      <c r="R5232" s="255"/>
      <c r="S5232" s="255"/>
      <c r="T5232" s="255"/>
    </row>
    <row r="5233" spans="18:20" x14ac:dyDescent="0.3">
      <c r="R5233" s="255"/>
      <c r="S5233" s="255"/>
      <c r="T5233" s="255"/>
    </row>
    <row r="5234" spans="18:20" x14ac:dyDescent="0.3">
      <c r="R5234" s="255"/>
      <c r="S5234" s="255"/>
      <c r="T5234" s="255"/>
    </row>
    <row r="5235" spans="18:20" x14ac:dyDescent="0.3">
      <c r="R5235" s="255"/>
      <c r="S5235" s="255"/>
      <c r="T5235" s="255"/>
    </row>
    <row r="5236" spans="18:20" x14ac:dyDescent="0.3">
      <c r="R5236" s="255"/>
      <c r="S5236" s="255"/>
      <c r="T5236" s="255"/>
    </row>
    <row r="5237" spans="18:20" x14ac:dyDescent="0.3">
      <c r="R5237" s="255"/>
      <c r="S5237" s="255"/>
      <c r="T5237" s="255"/>
    </row>
    <row r="5238" spans="18:20" x14ac:dyDescent="0.3">
      <c r="R5238" s="255"/>
      <c r="S5238" s="255"/>
      <c r="T5238" s="255"/>
    </row>
    <row r="5239" spans="18:20" x14ac:dyDescent="0.3">
      <c r="R5239" s="255"/>
      <c r="S5239" s="255"/>
      <c r="T5239" s="255"/>
    </row>
    <row r="5240" spans="18:20" x14ac:dyDescent="0.3">
      <c r="R5240" s="255"/>
      <c r="S5240" s="255"/>
      <c r="T5240" s="255"/>
    </row>
    <row r="5241" spans="18:20" x14ac:dyDescent="0.3">
      <c r="R5241" s="255"/>
      <c r="S5241" s="255"/>
      <c r="T5241" s="255"/>
    </row>
    <row r="5242" spans="18:20" x14ac:dyDescent="0.3">
      <c r="R5242" s="255"/>
      <c r="S5242" s="255"/>
      <c r="T5242" s="255"/>
    </row>
    <row r="5243" spans="18:20" x14ac:dyDescent="0.3">
      <c r="R5243" s="255"/>
      <c r="S5243" s="255"/>
      <c r="T5243" s="255"/>
    </row>
    <row r="5244" spans="18:20" x14ac:dyDescent="0.3">
      <c r="R5244" s="255"/>
      <c r="S5244" s="255"/>
      <c r="T5244" s="255"/>
    </row>
    <row r="5245" spans="18:20" x14ac:dyDescent="0.3">
      <c r="R5245" s="255"/>
      <c r="S5245" s="255"/>
      <c r="T5245" s="255"/>
    </row>
    <row r="5246" spans="18:20" x14ac:dyDescent="0.3">
      <c r="R5246" s="255"/>
      <c r="S5246" s="255"/>
      <c r="T5246" s="255"/>
    </row>
    <row r="5247" spans="18:20" x14ac:dyDescent="0.3">
      <c r="R5247" s="255"/>
      <c r="S5247" s="255"/>
      <c r="T5247" s="255"/>
    </row>
    <row r="5248" spans="18:20" x14ac:dyDescent="0.3">
      <c r="R5248" s="255"/>
      <c r="S5248" s="255"/>
      <c r="T5248" s="255"/>
    </row>
    <row r="5249" spans="18:20" x14ac:dyDescent="0.3">
      <c r="R5249" s="255"/>
      <c r="S5249" s="255"/>
      <c r="T5249" s="255"/>
    </row>
    <row r="5250" spans="18:20" x14ac:dyDescent="0.3">
      <c r="R5250" s="255"/>
      <c r="S5250" s="255"/>
      <c r="T5250" s="255"/>
    </row>
    <row r="5251" spans="18:20" x14ac:dyDescent="0.3">
      <c r="R5251" s="255"/>
      <c r="S5251" s="255"/>
      <c r="T5251" s="255"/>
    </row>
    <row r="5252" spans="18:20" x14ac:dyDescent="0.3">
      <c r="R5252" s="255"/>
      <c r="S5252" s="255"/>
      <c r="T5252" s="255"/>
    </row>
    <row r="5253" spans="18:20" x14ac:dyDescent="0.3">
      <c r="R5253" s="255"/>
      <c r="S5253" s="255"/>
      <c r="T5253" s="255"/>
    </row>
    <row r="5254" spans="18:20" x14ac:dyDescent="0.3">
      <c r="R5254" s="255"/>
      <c r="S5254" s="255"/>
      <c r="T5254" s="255"/>
    </row>
    <row r="5255" spans="18:20" x14ac:dyDescent="0.3">
      <c r="R5255" s="255"/>
      <c r="S5255" s="255"/>
      <c r="T5255" s="255"/>
    </row>
    <row r="5256" spans="18:20" x14ac:dyDescent="0.3">
      <c r="R5256" s="255"/>
      <c r="S5256" s="255"/>
      <c r="T5256" s="255"/>
    </row>
    <row r="5257" spans="18:20" x14ac:dyDescent="0.3">
      <c r="R5257" s="255"/>
      <c r="S5257" s="255"/>
      <c r="T5257" s="255"/>
    </row>
    <row r="5258" spans="18:20" x14ac:dyDescent="0.3">
      <c r="R5258" s="255"/>
      <c r="S5258" s="255"/>
      <c r="T5258" s="255"/>
    </row>
    <row r="5259" spans="18:20" x14ac:dyDescent="0.3">
      <c r="R5259" s="255"/>
      <c r="S5259" s="255"/>
      <c r="T5259" s="255"/>
    </row>
    <row r="5260" spans="18:20" x14ac:dyDescent="0.3">
      <c r="R5260" s="255"/>
      <c r="S5260" s="255"/>
      <c r="T5260" s="255"/>
    </row>
    <row r="5261" spans="18:20" x14ac:dyDescent="0.3">
      <c r="R5261" s="255"/>
      <c r="S5261" s="255"/>
      <c r="T5261" s="255"/>
    </row>
    <row r="5262" spans="18:20" x14ac:dyDescent="0.3">
      <c r="R5262" s="255"/>
      <c r="S5262" s="255"/>
      <c r="T5262" s="255"/>
    </row>
    <row r="5263" spans="18:20" x14ac:dyDescent="0.3">
      <c r="R5263" s="255"/>
      <c r="S5263" s="255"/>
      <c r="T5263" s="255"/>
    </row>
    <row r="5264" spans="18:20" x14ac:dyDescent="0.3">
      <c r="R5264" s="255"/>
      <c r="S5264" s="255"/>
      <c r="T5264" s="255"/>
    </row>
    <row r="5265" spans="18:20" x14ac:dyDescent="0.3">
      <c r="R5265" s="255"/>
      <c r="S5265" s="255"/>
      <c r="T5265" s="255"/>
    </row>
    <row r="5266" spans="18:20" x14ac:dyDescent="0.3">
      <c r="R5266" s="255"/>
      <c r="S5266" s="255"/>
      <c r="T5266" s="255"/>
    </row>
    <row r="5267" spans="18:20" x14ac:dyDescent="0.3">
      <c r="R5267" s="255"/>
      <c r="S5267" s="255"/>
      <c r="T5267" s="255"/>
    </row>
    <row r="5268" spans="18:20" x14ac:dyDescent="0.3">
      <c r="R5268" s="255"/>
      <c r="S5268" s="255"/>
      <c r="T5268" s="255"/>
    </row>
    <row r="5269" spans="18:20" x14ac:dyDescent="0.3">
      <c r="R5269" s="255"/>
      <c r="S5269" s="255"/>
      <c r="T5269" s="255"/>
    </row>
    <row r="5270" spans="18:20" x14ac:dyDescent="0.3">
      <c r="R5270" s="255"/>
      <c r="S5270" s="255"/>
      <c r="T5270" s="255"/>
    </row>
    <row r="5271" spans="18:20" x14ac:dyDescent="0.3">
      <c r="R5271" s="255"/>
      <c r="S5271" s="255"/>
      <c r="T5271" s="255"/>
    </row>
    <row r="5272" spans="18:20" x14ac:dyDescent="0.3">
      <c r="R5272" s="255"/>
      <c r="S5272" s="255"/>
      <c r="T5272" s="255"/>
    </row>
    <row r="5273" spans="18:20" x14ac:dyDescent="0.3">
      <c r="R5273" s="255"/>
      <c r="S5273" s="255"/>
      <c r="T5273" s="255"/>
    </row>
    <row r="5274" spans="18:20" x14ac:dyDescent="0.3">
      <c r="R5274" s="255"/>
      <c r="S5274" s="255"/>
      <c r="T5274" s="255"/>
    </row>
    <row r="5275" spans="18:20" x14ac:dyDescent="0.3">
      <c r="R5275" s="255"/>
      <c r="S5275" s="255"/>
      <c r="T5275" s="255"/>
    </row>
    <row r="5276" spans="18:20" x14ac:dyDescent="0.3">
      <c r="R5276" s="255"/>
      <c r="S5276" s="255"/>
      <c r="T5276" s="255"/>
    </row>
    <row r="5277" spans="18:20" x14ac:dyDescent="0.3">
      <c r="R5277" s="255"/>
      <c r="S5277" s="255"/>
      <c r="T5277" s="255"/>
    </row>
    <row r="5278" spans="18:20" x14ac:dyDescent="0.3">
      <c r="R5278" s="255"/>
      <c r="S5278" s="255"/>
      <c r="T5278" s="255"/>
    </row>
    <row r="5279" spans="18:20" x14ac:dyDescent="0.3">
      <c r="R5279" s="255"/>
      <c r="S5279" s="255"/>
      <c r="T5279" s="255"/>
    </row>
    <row r="5280" spans="18:20" x14ac:dyDescent="0.3">
      <c r="R5280" s="255"/>
      <c r="S5280" s="255"/>
      <c r="T5280" s="255"/>
    </row>
    <row r="5281" spans="18:20" x14ac:dyDescent="0.3">
      <c r="R5281" s="255"/>
      <c r="S5281" s="255"/>
      <c r="T5281" s="255"/>
    </row>
    <row r="5282" spans="18:20" x14ac:dyDescent="0.3">
      <c r="R5282" s="255"/>
      <c r="S5282" s="255"/>
      <c r="T5282" s="255"/>
    </row>
    <row r="5283" spans="18:20" x14ac:dyDescent="0.3">
      <c r="R5283" s="255"/>
      <c r="S5283" s="255"/>
      <c r="T5283" s="255"/>
    </row>
    <row r="5284" spans="18:20" x14ac:dyDescent="0.3">
      <c r="R5284" s="255"/>
      <c r="S5284" s="255"/>
      <c r="T5284" s="255"/>
    </row>
    <row r="5285" spans="18:20" x14ac:dyDescent="0.3">
      <c r="R5285" s="255"/>
      <c r="S5285" s="255"/>
      <c r="T5285" s="255"/>
    </row>
    <row r="5286" spans="18:20" x14ac:dyDescent="0.3">
      <c r="R5286" s="255"/>
      <c r="S5286" s="255"/>
      <c r="T5286" s="255"/>
    </row>
    <row r="5287" spans="18:20" x14ac:dyDescent="0.3">
      <c r="R5287" s="255"/>
      <c r="S5287" s="255"/>
      <c r="T5287" s="255"/>
    </row>
    <row r="5288" spans="18:20" x14ac:dyDescent="0.3">
      <c r="R5288" s="255"/>
      <c r="S5288" s="255"/>
      <c r="T5288" s="255"/>
    </row>
    <row r="5289" spans="18:20" x14ac:dyDescent="0.3">
      <c r="R5289" s="255"/>
      <c r="S5289" s="255"/>
      <c r="T5289" s="255"/>
    </row>
    <row r="5290" spans="18:20" x14ac:dyDescent="0.3">
      <c r="R5290" s="255"/>
      <c r="S5290" s="255"/>
      <c r="T5290" s="255"/>
    </row>
    <row r="5291" spans="18:20" x14ac:dyDescent="0.3">
      <c r="R5291" s="255"/>
      <c r="S5291" s="255"/>
      <c r="T5291" s="255"/>
    </row>
    <row r="5292" spans="18:20" x14ac:dyDescent="0.3">
      <c r="R5292" s="255"/>
      <c r="S5292" s="255"/>
      <c r="T5292" s="255"/>
    </row>
    <row r="5293" spans="18:20" x14ac:dyDescent="0.3">
      <c r="R5293" s="255"/>
      <c r="S5293" s="255"/>
      <c r="T5293" s="255"/>
    </row>
    <row r="5294" spans="18:20" x14ac:dyDescent="0.3">
      <c r="R5294" s="255"/>
      <c r="S5294" s="255"/>
      <c r="T5294" s="255"/>
    </row>
    <row r="5295" spans="18:20" x14ac:dyDescent="0.3">
      <c r="R5295" s="255"/>
      <c r="S5295" s="255"/>
      <c r="T5295" s="255"/>
    </row>
    <row r="5296" spans="18:20" x14ac:dyDescent="0.3">
      <c r="R5296" s="255"/>
      <c r="S5296" s="255"/>
      <c r="T5296" s="255"/>
    </row>
    <row r="5297" spans="18:20" x14ac:dyDescent="0.3">
      <c r="R5297" s="255"/>
      <c r="S5297" s="255"/>
      <c r="T5297" s="255"/>
    </row>
    <row r="5298" spans="18:20" x14ac:dyDescent="0.3">
      <c r="R5298" s="255"/>
      <c r="S5298" s="255"/>
      <c r="T5298" s="255"/>
    </row>
    <row r="5299" spans="18:20" x14ac:dyDescent="0.3">
      <c r="R5299" s="255"/>
      <c r="S5299" s="255"/>
      <c r="T5299" s="255"/>
    </row>
    <row r="5300" spans="18:20" x14ac:dyDescent="0.3">
      <c r="R5300" s="255"/>
      <c r="S5300" s="255"/>
      <c r="T5300" s="255"/>
    </row>
    <row r="5301" spans="18:20" x14ac:dyDescent="0.3">
      <c r="R5301" s="255"/>
      <c r="S5301" s="255"/>
      <c r="T5301" s="255"/>
    </row>
    <row r="5302" spans="18:20" x14ac:dyDescent="0.3">
      <c r="R5302" s="255"/>
      <c r="S5302" s="255"/>
      <c r="T5302" s="255"/>
    </row>
    <row r="5303" spans="18:20" x14ac:dyDescent="0.3">
      <c r="R5303" s="255"/>
      <c r="S5303" s="255"/>
      <c r="T5303" s="255"/>
    </row>
    <row r="5304" spans="18:20" x14ac:dyDescent="0.3">
      <c r="R5304" s="255"/>
      <c r="S5304" s="255"/>
      <c r="T5304" s="255"/>
    </row>
    <row r="5305" spans="18:20" x14ac:dyDescent="0.3">
      <c r="R5305" s="255"/>
      <c r="S5305" s="255"/>
      <c r="T5305" s="255"/>
    </row>
    <row r="5306" spans="18:20" x14ac:dyDescent="0.3">
      <c r="R5306" s="255"/>
      <c r="S5306" s="255"/>
      <c r="T5306" s="255"/>
    </row>
    <row r="5307" spans="18:20" x14ac:dyDescent="0.3">
      <c r="R5307" s="255"/>
      <c r="S5307" s="255"/>
      <c r="T5307" s="255"/>
    </row>
    <row r="5308" spans="18:20" x14ac:dyDescent="0.3">
      <c r="R5308" s="255"/>
      <c r="S5308" s="255"/>
      <c r="T5308" s="255"/>
    </row>
    <row r="5309" spans="18:20" x14ac:dyDescent="0.3">
      <c r="R5309" s="255"/>
      <c r="S5309" s="255"/>
      <c r="T5309" s="255"/>
    </row>
    <row r="5310" spans="18:20" x14ac:dyDescent="0.3">
      <c r="R5310" s="255"/>
      <c r="S5310" s="255"/>
      <c r="T5310" s="255"/>
    </row>
    <row r="5311" spans="18:20" x14ac:dyDescent="0.3">
      <c r="R5311" s="255"/>
      <c r="S5311" s="255"/>
      <c r="T5311" s="255"/>
    </row>
    <row r="5312" spans="18:20" x14ac:dyDescent="0.3">
      <c r="R5312" s="255"/>
      <c r="S5312" s="255"/>
      <c r="T5312" s="255"/>
    </row>
    <row r="5313" spans="18:20" x14ac:dyDescent="0.3">
      <c r="R5313" s="255"/>
      <c r="S5313" s="255"/>
      <c r="T5313" s="255"/>
    </row>
    <row r="5314" spans="18:20" x14ac:dyDescent="0.3">
      <c r="R5314" s="255"/>
      <c r="S5314" s="255"/>
      <c r="T5314" s="255"/>
    </row>
    <row r="5315" spans="18:20" x14ac:dyDescent="0.3">
      <c r="R5315" s="255"/>
      <c r="S5315" s="255"/>
      <c r="T5315" s="255"/>
    </row>
    <row r="5316" spans="18:20" x14ac:dyDescent="0.3">
      <c r="R5316" s="255"/>
      <c r="S5316" s="255"/>
      <c r="T5316" s="255"/>
    </row>
    <row r="5317" spans="18:20" x14ac:dyDescent="0.3">
      <c r="R5317" s="255"/>
      <c r="S5317" s="255"/>
      <c r="T5317" s="255"/>
    </row>
    <row r="5318" spans="18:20" x14ac:dyDescent="0.3">
      <c r="R5318" s="255"/>
      <c r="S5318" s="255"/>
      <c r="T5318" s="255"/>
    </row>
    <row r="5319" spans="18:20" x14ac:dyDescent="0.3">
      <c r="R5319" s="255"/>
      <c r="S5319" s="255"/>
      <c r="T5319" s="255"/>
    </row>
    <row r="5320" spans="18:20" x14ac:dyDescent="0.3">
      <c r="R5320" s="255"/>
      <c r="S5320" s="255"/>
      <c r="T5320" s="255"/>
    </row>
    <row r="5321" spans="18:20" x14ac:dyDescent="0.3">
      <c r="R5321" s="255"/>
      <c r="S5321" s="255"/>
      <c r="T5321" s="255"/>
    </row>
    <row r="5322" spans="18:20" x14ac:dyDescent="0.3">
      <c r="R5322" s="255"/>
      <c r="S5322" s="255"/>
      <c r="T5322" s="255"/>
    </row>
    <row r="5323" spans="18:20" x14ac:dyDescent="0.3">
      <c r="R5323" s="255"/>
      <c r="S5323" s="255"/>
      <c r="T5323" s="255"/>
    </row>
    <row r="5324" spans="18:20" x14ac:dyDescent="0.3">
      <c r="R5324" s="255"/>
      <c r="S5324" s="255"/>
      <c r="T5324" s="255"/>
    </row>
    <row r="5325" spans="18:20" x14ac:dyDescent="0.3">
      <c r="R5325" s="255"/>
      <c r="S5325" s="255"/>
      <c r="T5325" s="255"/>
    </row>
    <row r="5326" spans="18:20" x14ac:dyDescent="0.3">
      <c r="R5326" s="255"/>
      <c r="S5326" s="255"/>
      <c r="T5326" s="255"/>
    </row>
    <row r="5327" spans="18:20" x14ac:dyDescent="0.3">
      <c r="R5327" s="255"/>
      <c r="S5327" s="255"/>
      <c r="T5327" s="255"/>
    </row>
    <row r="5328" spans="18:20" x14ac:dyDescent="0.3">
      <c r="R5328" s="255"/>
      <c r="S5328" s="255"/>
      <c r="T5328" s="255"/>
    </row>
    <row r="5329" spans="18:20" x14ac:dyDescent="0.3">
      <c r="R5329" s="255"/>
      <c r="S5329" s="255"/>
      <c r="T5329" s="255"/>
    </row>
    <row r="5330" spans="18:20" x14ac:dyDescent="0.3">
      <c r="R5330" s="255"/>
      <c r="S5330" s="255"/>
      <c r="T5330" s="255"/>
    </row>
    <row r="5331" spans="18:20" x14ac:dyDescent="0.3">
      <c r="R5331" s="255"/>
      <c r="S5331" s="255"/>
      <c r="T5331" s="255"/>
    </row>
    <row r="5332" spans="18:20" x14ac:dyDescent="0.3">
      <c r="R5332" s="255"/>
      <c r="S5332" s="255"/>
      <c r="T5332" s="255"/>
    </row>
    <row r="5333" spans="18:20" x14ac:dyDescent="0.3">
      <c r="R5333" s="255"/>
      <c r="S5333" s="255"/>
      <c r="T5333" s="255"/>
    </row>
    <row r="5334" spans="18:20" x14ac:dyDescent="0.3">
      <c r="R5334" s="255"/>
      <c r="S5334" s="255"/>
      <c r="T5334" s="255"/>
    </row>
    <row r="5335" spans="18:20" x14ac:dyDescent="0.3">
      <c r="R5335" s="255"/>
      <c r="S5335" s="255"/>
      <c r="T5335" s="255"/>
    </row>
    <row r="5336" spans="18:20" x14ac:dyDescent="0.3">
      <c r="R5336" s="255"/>
      <c r="S5336" s="255"/>
      <c r="T5336" s="255"/>
    </row>
    <row r="5337" spans="18:20" x14ac:dyDescent="0.3">
      <c r="R5337" s="255"/>
      <c r="S5337" s="255"/>
      <c r="T5337" s="255"/>
    </row>
    <row r="5338" spans="18:20" x14ac:dyDescent="0.3">
      <c r="R5338" s="255"/>
      <c r="S5338" s="255"/>
      <c r="T5338" s="255"/>
    </row>
    <row r="5339" spans="18:20" x14ac:dyDescent="0.3">
      <c r="R5339" s="255"/>
      <c r="S5339" s="255"/>
      <c r="T5339" s="255"/>
    </row>
    <row r="5340" spans="18:20" x14ac:dyDescent="0.3">
      <c r="R5340" s="255"/>
      <c r="S5340" s="255"/>
      <c r="T5340" s="255"/>
    </row>
    <row r="5341" spans="18:20" x14ac:dyDescent="0.3">
      <c r="R5341" s="255"/>
      <c r="S5341" s="255"/>
      <c r="T5341" s="255"/>
    </row>
    <row r="5342" spans="18:20" x14ac:dyDescent="0.3">
      <c r="R5342" s="255"/>
      <c r="S5342" s="255"/>
      <c r="T5342" s="255"/>
    </row>
    <row r="5343" spans="18:20" x14ac:dyDescent="0.3">
      <c r="R5343" s="255"/>
      <c r="S5343" s="255"/>
      <c r="T5343" s="255"/>
    </row>
    <row r="5344" spans="18:20" x14ac:dyDescent="0.3">
      <c r="R5344" s="255"/>
      <c r="S5344" s="255"/>
      <c r="T5344" s="255"/>
    </row>
    <row r="5345" spans="18:20" x14ac:dyDescent="0.3">
      <c r="R5345" s="255"/>
      <c r="S5345" s="255"/>
      <c r="T5345" s="255"/>
    </row>
    <row r="5346" spans="18:20" x14ac:dyDescent="0.3">
      <c r="R5346" s="255"/>
      <c r="S5346" s="255"/>
      <c r="T5346" s="255"/>
    </row>
    <row r="5347" spans="18:20" x14ac:dyDescent="0.3">
      <c r="R5347" s="255"/>
      <c r="S5347" s="255"/>
      <c r="T5347" s="255"/>
    </row>
    <row r="5348" spans="18:20" x14ac:dyDescent="0.3">
      <c r="R5348" s="255"/>
      <c r="S5348" s="255"/>
      <c r="T5348" s="255"/>
    </row>
    <row r="5349" spans="18:20" x14ac:dyDescent="0.3">
      <c r="R5349" s="255"/>
      <c r="S5349" s="255"/>
      <c r="T5349" s="255"/>
    </row>
    <row r="5350" spans="18:20" x14ac:dyDescent="0.3">
      <c r="R5350" s="255"/>
      <c r="S5350" s="255"/>
      <c r="T5350" s="255"/>
    </row>
    <row r="5351" spans="18:20" x14ac:dyDescent="0.3">
      <c r="R5351" s="255"/>
      <c r="S5351" s="255"/>
      <c r="T5351" s="255"/>
    </row>
    <row r="5352" spans="18:20" x14ac:dyDescent="0.3">
      <c r="R5352" s="255"/>
      <c r="S5352" s="255"/>
      <c r="T5352" s="255"/>
    </row>
    <row r="5353" spans="18:20" x14ac:dyDescent="0.3">
      <c r="R5353" s="255"/>
      <c r="S5353" s="255"/>
      <c r="T5353" s="255"/>
    </row>
    <row r="5354" spans="18:20" x14ac:dyDescent="0.3">
      <c r="R5354" s="255"/>
      <c r="S5354" s="255"/>
      <c r="T5354" s="255"/>
    </row>
    <row r="5355" spans="18:20" x14ac:dyDescent="0.3">
      <c r="R5355" s="255"/>
      <c r="S5355" s="255"/>
      <c r="T5355" s="255"/>
    </row>
    <row r="5356" spans="18:20" x14ac:dyDescent="0.3">
      <c r="R5356" s="255"/>
      <c r="S5356" s="255"/>
      <c r="T5356" s="255"/>
    </row>
    <row r="5357" spans="18:20" x14ac:dyDescent="0.3">
      <c r="R5357" s="255"/>
      <c r="S5357" s="255"/>
      <c r="T5357" s="255"/>
    </row>
    <row r="5358" spans="18:20" x14ac:dyDescent="0.3">
      <c r="R5358" s="255"/>
      <c r="S5358" s="255"/>
      <c r="T5358" s="255"/>
    </row>
    <row r="5359" spans="18:20" x14ac:dyDescent="0.3">
      <c r="R5359" s="255"/>
      <c r="S5359" s="255"/>
      <c r="T5359" s="255"/>
    </row>
    <row r="5360" spans="18:20" x14ac:dyDescent="0.3">
      <c r="R5360" s="255"/>
      <c r="S5360" s="255"/>
      <c r="T5360" s="255"/>
    </row>
    <row r="5361" spans="18:20" x14ac:dyDescent="0.3">
      <c r="R5361" s="255"/>
      <c r="S5361" s="255"/>
      <c r="T5361" s="255"/>
    </row>
    <row r="5362" spans="18:20" x14ac:dyDescent="0.3">
      <c r="R5362" s="255"/>
      <c r="S5362" s="255"/>
      <c r="T5362" s="255"/>
    </row>
    <row r="5363" spans="18:20" x14ac:dyDescent="0.3">
      <c r="R5363" s="255"/>
      <c r="S5363" s="255"/>
      <c r="T5363" s="255"/>
    </row>
    <row r="5364" spans="18:20" x14ac:dyDescent="0.3">
      <c r="R5364" s="255"/>
      <c r="S5364" s="255"/>
      <c r="T5364" s="255"/>
    </row>
    <row r="5365" spans="18:20" x14ac:dyDescent="0.3">
      <c r="R5365" s="255"/>
      <c r="S5365" s="255"/>
      <c r="T5365" s="255"/>
    </row>
    <row r="5366" spans="18:20" x14ac:dyDescent="0.3">
      <c r="R5366" s="255"/>
      <c r="S5366" s="255"/>
      <c r="T5366" s="255"/>
    </row>
    <row r="5367" spans="18:20" x14ac:dyDescent="0.3">
      <c r="R5367" s="255"/>
      <c r="S5367" s="255"/>
      <c r="T5367" s="255"/>
    </row>
    <row r="5368" spans="18:20" x14ac:dyDescent="0.3">
      <c r="R5368" s="255"/>
      <c r="S5368" s="255"/>
      <c r="T5368" s="255"/>
    </row>
    <row r="5369" spans="18:20" x14ac:dyDescent="0.3">
      <c r="R5369" s="255"/>
      <c r="S5369" s="255"/>
      <c r="T5369" s="255"/>
    </row>
    <row r="5370" spans="18:20" x14ac:dyDescent="0.3">
      <c r="R5370" s="255"/>
      <c r="S5370" s="255"/>
      <c r="T5370" s="255"/>
    </row>
    <row r="5371" spans="18:20" x14ac:dyDescent="0.3">
      <c r="R5371" s="255"/>
      <c r="S5371" s="255"/>
      <c r="T5371" s="255"/>
    </row>
    <row r="5372" spans="18:20" x14ac:dyDescent="0.3">
      <c r="R5372" s="255"/>
      <c r="S5372" s="255"/>
      <c r="T5372" s="255"/>
    </row>
    <row r="5373" spans="18:20" x14ac:dyDescent="0.3">
      <c r="R5373" s="255"/>
      <c r="S5373" s="255"/>
      <c r="T5373" s="255"/>
    </row>
    <row r="5374" spans="18:20" x14ac:dyDescent="0.3">
      <c r="R5374" s="255"/>
      <c r="S5374" s="255"/>
      <c r="T5374" s="255"/>
    </row>
    <row r="5375" spans="18:20" x14ac:dyDescent="0.3">
      <c r="R5375" s="255"/>
      <c r="S5375" s="255"/>
      <c r="T5375" s="255"/>
    </row>
    <row r="5376" spans="18:20" x14ac:dyDescent="0.3">
      <c r="R5376" s="255"/>
      <c r="S5376" s="255"/>
      <c r="T5376" s="255"/>
    </row>
    <row r="5377" spans="18:20" x14ac:dyDescent="0.3">
      <c r="R5377" s="255"/>
      <c r="S5377" s="255"/>
      <c r="T5377" s="255"/>
    </row>
    <row r="5378" spans="18:20" x14ac:dyDescent="0.3">
      <c r="R5378" s="255"/>
      <c r="S5378" s="255"/>
      <c r="T5378" s="255"/>
    </row>
    <row r="5379" spans="18:20" x14ac:dyDescent="0.3">
      <c r="R5379" s="255"/>
      <c r="S5379" s="255"/>
      <c r="T5379" s="255"/>
    </row>
    <row r="5380" spans="18:20" x14ac:dyDescent="0.3">
      <c r="R5380" s="255"/>
      <c r="S5380" s="255"/>
      <c r="T5380" s="255"/>
    </row>
    <row r="5381" spans="18:20" x14ac:dyDescent="0.3">
      <c r="R5381" s="255"/>
      <c r="S5381" s="255"/>
      <c r="T5381" s="255"/>
    </row>
    <row r="5382" spans="18:20" x14ac:dyDescent="0.3">
      <c r="R5382" s="255"/>
      <c r="S5382" s="255"/>
      <c r="T5382" s="255"/>
    </row>
    <row r="5383" spans="18:20" x14ac:dyDescent="0.3">
      <c r="R5383" s="255"/>
      <c r="S5383" s="255"/>
      <c r="T5383" s="255"/>
    </row>
    <row r="5384" spans="18:20" x14ac:dyDescent="0.3">
      <c r="R5384" s="255"/>
      <c r="S5384" s="255"/>
      <c r="T5384" s="255"/>
    </row>
    <row r="5385" spans="18:20" x14ac:dyDescent="0.3">
      <c r="R5385" s="255"/>
      <c r="S5385" s="255"/>
      <c r="T5385" s="255"/>
    </row>
    <row r="5386" spans="18:20" x14ac:dyDescent="0.3">
      <c r="R5386" s="255"/>
      <c r="S5386" s="255"/>
      <c r="T5386" s="255"/>
    </row>
    <row r="5387" spans="18:20" x14ac:dyDescent="0.3">
      <c r="R5387" s="255"/>
      <c r="S5387" s="255"/>
      <c r="T5387" s="255"/>
    </row>
    <row r="5388" spans="18:20" x14ac:dyDescent="0.3">
      <c r="R5388" s="255"/>
      <c r="S5388" s="255"/>
      <c r="T5388" s="255"/>
    </row>
    <row r="5389" spans="18:20" x14ac:dyDescent="0.3">
      <c r="R5389" s="255"/>
      <c r="S5389" s="255"/>
      <c r="T5389" s="255"/>
    </row>
    <row r="5390" spans="18:20" x14ac:dyDescent="0.3">
      <c r="R5390" s="255"/>
      <c r="S5390" s="255"/>
      <c r="T5390" s="255"/>
    </row>
    <row r="5391" spans="18:20" x14ac:dyDescent="0.3">
      <c r="R5391" s="255"/>
      <c r="S5391" s="255"/>
      <c r="T5391" s="255"/>
    </row>
    <row r="5392" spans="18:20" x14ac:dyDescent="0.3">
      <c r="R5392" s="255"/>
      <c r="S5392" s="255"/>
      <c r="T5392" s="255"/>
    </row>
    <row r="5393" spans="18:20" x14ac:dyDescent="0.3">
      <c r="R5393" s="255"/>
      <c r="S5393" s="255"/>
      <c r="T5393" s="255"/>
    </row>
    <row r="5394" spans="18:20" x14ac:dyDescent="0.3">
      <c r="R5394" s="255"/>
      <c r="S5394" s="255"/>
      <c r="T5394" s="255"/>
    </row>
    <row r="5395" spans="18:20" x14ac:dyDescent="0.3">
      <c r="R5395" s="255"/>
      <c r="S5395" s="255"/>
      <c r="T5395" s="255"/>
    </row>
    <row r="5396" spans="18:20" x14ac:dyDescent="0.3">
      <c r="R5396" s="255"/>
      <c r="S5396" s="255"/>
      <c r="T5396" s="255"/>
    </row>
    <row r="5397" spans="18:20" x14ac:dyDescent="0.3">
      <c r="R5397" s="255"/>
      <c r="S5397" s="255"/>
      <c r="T5397" s="255"/>
    </row>
    <row r="5398" spans="18:20" x14ac:dyDescent="0.3">
      <c r="R5398" s="255"/>
      <c r="S5398" s="255"/>
      <c r="T5398" s="255"/>
    </row>
    <row r="5399" spans="18:20" x14ac:dyDescent="0.3">
      <c r="R5399" s="255"/>
      <c r="S5399" s="255"/>
      <c r="T5399" s="255"/>
    </row>
    <row r="5400" spans="18:20" x14ac:dyDescent="0.3">
      <c r="R5400" s="255"/>
      <c r="S5400" s="255"/>
      <c r="T5400" s="255"/>
    </row>
    <row r="5401" spans="18:20" x14ac:dyDescent="0.3">
      <c r="R5401" s="255"/>
      <c r="S5401" s="255"/>
      <c r="T5401" s="255"/>
    </row>
    <row r="5402" spans="18:20" x14ac:dyDescent="0.3">
      <c r="R5402" s="255"/>
      <c r="S5402" s="255"/>
      <c r="T5402" s="255"/>
    </row>
    <row r="5403" spans="18:20" x14ac:dyDescent="0.3">
      <c r="R5403" s="255"/>
      <c r="S5403" s="255"/>
      <c r="T5403" s="255"/>
    </row>
    <row r="5404" spans="18:20" x14ac:dyDescent="0.3">
      <c r="R5404" s="255"/>
      <c r="S5404" s="255"/>
      <c r="T5404" s="255"/>
    </row>
    <row r="5405" spans="18:20" x14ac:dyDescent="0.3">
      <c r="R5405" s="255"/>
      <c r="S5405" s="255"/>
      <c r="T5405" s="255"/>
    </row>
    <row r="5406" spans="18:20" x14ac:dyDescent="0.3">
      <c r="R5406" s="255"/>
      <c r="S5406" s="255"/>
      <c r="T5406" s="255"/>
    </row>
    <row r="5407" spans="18:20" x14ac:dyDescent="0.3">
      <c r="R5407" s="255"/>
      <c r="S5407" s="255"/>
      <c r="T5407" s="255"/>
    </row>
    <row r="5408" spans="18:20" x14ac:dyDescent="0.3">
      <c r="R5408" s="255"/>
      <c r="S5408" s="255"/>
      <c r="T5408" s="255"/>
    </row>
    <row r="5409" spans="18:20" x14ac:dyDescent="0.3">
      <c r="R5409" s="255"/>
      <c r="S5409" s="255"/>
      <c r="T5409" s="255"/>
    </row>
    <row r="5410" spans="18:20" x14ac:dyDescent="0.3">
      <c r="R5410" s="255"/>
      <c r="S5410" s="255"/>
      <c r="T5410" s="255"/>
    </row>
    <row r="5411" spans="18:20" x14ac:dyDescent="0.3">
      <c r="R5411" s="255"/>
      <c r="S5411" s="255"/>
      <c r="T5411" s="255"/>
    </row>
    <row r="5412" spans="18:20" x14ac:dyDescent="0.3">
      <c r="R5412" s="255"/>
      <c r="S5412" s="255"/>
      <c r="T5412" s="255"/>
    </row>
    <row r="5413" spans="18:20" x14ac:dyDescent="0.3">
      <c r="R5413" s="255"/>
      <c r="S5413" s="255"/>
      <c r="T5413" s="255"/>
    </row>
    <row r="5414" spans="18:20" x14ac:dyDescent="0.3">
      <c r="R5414" s="255"/>
      <c r="S5414" s="255"/>
      <c r="T5414" s="255"/>
    </row>
    <row r="5415" spans="18:20" x14ac:dyDescent="0.3">
      <c r="R5415" s="255"/>
      <c r="S5415" s="255"/>
      <c r="T5415" s="255"/>
    </row>
    <row r="5416" spans="18:20" x14ac:dyDescent="0.3">
      <c r="R5416" s="255"/>
      <c r="S5416" s="255"/>
      <c r="T5416" s="255"/>
    </row>
    <row r="5417" spans="18:20" x14ac:dyDescent="0.3">
      <c r="R5417" s="255"/>
      <c r="S5417" s="255"/>
      <c r="T5417" s="255"/>
    </row>
    <row r="5418" spans="18:20" x14ac:dyDescent="0.3">
      <c r="R5418" s="255"/>
      <c r="S5418" s="255"/>
      <c r="T5418" s="255"/>
    </row>
    <row r="5419" spans="18:20" x14ac:dyDescent="0.3">
      <c r="R5419" s="255"/>
      <c r="S5419" s="255"/>
      <c r="T5419" s="255"/>
    </row>
    <row r="5420" spans="18:20" x14ac:dyDescent="0.3">
      <c r="R5420" s="255"/>
      <c r="S5420" s="255"/>
      <c r="T5420" s="255"/>
    </row>
    <row r="5421" spans="18:20" x14ac:dyDescent="0.3">
      <c r="R5421" s="255"/>
      <c r="S5421" s="255"/>
      <c r="T5421" s="255"/>
    </row>
    <row r="5422" spans="18:20" x14ac:dyDescent="0.3">
      <c r="R5422" s="255"/>
      <c r="S5422" s="255"/>
      <c r="T5422" s="255"/>
    </row>
    <row r="5423" spans="18:20" x14ac:dyDescent="0.3">
      <c r="R5423" s="255"/>
      <c r="S5423" s="255"/>
      <c r="T5423" s="255"/>
    </row>
    <row r="5424" spans="18:20" x14ac:dyDescent="0.3">
      <c r="R5424" s="255"/>
      <c r="S5424" s="255"/>
      <c r="T5424" s="255"/>
    </row>
    <row r="5425" spans="18:20" x14ac:dyDescent="0.3">
      <c r="R5425" s="255"/>
      <c r="S5425" s="255"/>
      <c r="T5425" s="255"/>
    </row>
    <row r="5426" spans="18:20" x14ac:dyDescent="0.3">
      <c r="R5426" s="255"/>
      <c r="S5426" s="255"/>
      <c r="T5426" s="255"/>
    </row>
    <row r="5427" spans="18:20" x14ac:dyDescent="0.3">
      <c r="R5427" s="255"/>
      <c r="S5427" s="255"/>
      <c r="T5427" s="255"/>
    </row>
    <row r="5428" spans="18:20" x14ac:dyDescent="0.3">
      <c r="R5428" s="255"/>
      <c r="S5428" s="255"/>
      <c r="T5428" s="255"/>
    </row>
    <row r="5429" spans="18:20" x14ac:dyDescent="0.3">
      <c r="R5429" s="255"/>
      <c r="S5429" s="255"/>
      <c r="T5429" s="255"/>
    </row>
    <row r="5430" spans="18:20" x14ac:dyDescent="0.3">
      <c r="R5430" s="255"/>
      <c r="S5430" s="255"/>
      <c r="T5430" s="255"/>
    </row>
    <row r="5431" spans="18:20" x14ac:dyDescent="0.3">
      <c r="R5431" s="255"/>
      <c r="S5431" s="255"/>
      <c r="T5431" s="255"/>
    </row>
    <row r="5432" spans="18:20" x14ac:dyDescent="0.3">
      <c r="R5432" s="255"/>
      <c r="S5432" s="255"/>
      <c r="T5432" s="255"/>
    </row>
    <row r="5433" spans="18:20" x14ac:dyDescent="0.3">
      <c r="R5433" s="255"/>
      <c r="S5433" s="255"/>
      <c r="T5433" s="255"/>
    </row>
    <row r="5434" spans="18:20" x14ac:dyDescent="0.3">
      <c r="R5434" s="255"/>
      <c r="S5434" s="255"/>
      <c r="T5434" s="255"/>
    </row>
    <row r="5435" spans="18:20" x14ac:dyDescent="0.3">
      <c r="R5435" s="255"/>
      <c r="S5435" s="255"/>
      <c r="T5435" s="255"/>
    </row>
    <row r="5436" spans="18:20" x14ac:dyDescent="0.3">
      <c r="R5436" s="255"/>
      <c r="S5436" s="255"/>
      <c r="T5436" s="255"/>
    </row>
    <row r="5437" spans="18:20" x14ac:dyDescent="0.3">
      <c r="R5437" s="255"/>
      <c r="S5437" s="255"/>
      <c r="T5437" s="255"/>
    </row>
    <row r="5438" spans="18:20" x14ac:dyDescent="0.3">
      <c r="R5438" s="255"/>
      <c r="S5438" s="255"/>
      <c r="T5438" s="255"/>
    </row>
    <row r="5439" spans="18:20" x14ac:dyDescent="0.3">
      <c r="R5439" s="255"/>
      <c r="S5439" s="255"/>
      <c r="T5439" s="255"/>
    </row>
    <row r="5440" spans="18:20" x14ac:dyDescent="0.3">
      <c r="R5440" s="255"/>
      <c r="S5440" s="255"/>
      <c r="T5440" s="255"/>
    </row>
    <row r="5441" spans="18:20" x14ac:dyDescent="0.3">
      <c r="R5441" s="255"/>
      <c r="S5441" s="255"/>
      <c r="T5441" s="255"/>
    </row>
    <row r="5442" spans="18:20" x14ac:dyDescent="0.3">
      <c r="R5442" s="255"/>
      <c r="S5442" s="255"/>
      <c r="T5442" s="255"/>
    </row>
    <row r="5443" spans="18:20" x14ac:dyDescent="0.3">
      <c r="R5443" s="255"/>
      <c r="S5443" s="255"/>
      <c r="T5443" s="255"/>
    </row>
    <row r="5444" spans="18:20" x14ac:dyDescent="0.3">
      <c r="R5444" s="255"/>
      <c r="S5444" s="255"/>
      <c r="T5444" s="255"/>
    </row>
    <row r="5445" spans="18:20" x14ac:dyDescent="0.3">
      <c r="R5445" s="255"/>
      <c r="S5445" s="255"/>
      <c r="T5445" s="255"/>
    </row>
    <row r="5446" spans="18:20" x14ac:dyDescent="0.3">
      <c r="R5446" s="255"/>
      <c r="S5446" s="255"/>
      <c r="T5446" s="255"/>
    </row>
    <row r="5447" spans="18:20" x14ac:dyDescent="0.3">
      <c r="R5447" s="255"/>
      <c r="S5447" s="255"/>
      <c r="T5447" s="255"/>
    </row>
    <row r="5448" spans="18:20" x14ac:dyDescent="0.3">
      <c r="R5448" s="255"/>
      <c r="S5448" s="255"/>
      <c r="T5448" s="255"/>
    </row>
    <row r="5449" spans="18:20" x14ac:dyDescent="0.3">
      <c r="R5449" s="255"/>
      <c r="S5449" s="255"/>
      <c r="T5449" s="255"/>
    </row>
    <row r="5450" spans="18:20" x14ac:dyDescent="0.3">
      <c r="R5450" s="255"/>
      <c r="S5450" s="255"/>
      <c r="T5450" s="255"/>
    </row>
    <row r="5451" spans="18:20" x14ac:dyDescent="0.3">
      <c r="R5451" s="255"/>
      <c r="S5451" s="255"/>
      <c r="T5451" s="255"/>
    </row>
    <row r="5452" spans="18:20" x14ac:dyDescent="0.3">
      <c r="R5452" s="255"/>
      <c r="S5452" s="255"/>
      <c r="T5452" s="255"/>
    </row>
    <row r="5453" spans="18:20" x14ac:dyDescent="0.3">
      <c r="R5453" s="255"/>
      <c r="S5453" s="255"/>
      <c r="T5453" s="255"/>
    </row>
    <row r="5454" spans="18:20" x14ac:dyDescent="0.3">
      <c r="R5454" s="255"/>
      <c r="S5454" s="255"/>
      <c r="T5454" s="255"/>
    </row>
    <row r="5455" spans="18:20" x14ac:dyDescent="0.3">
      <c r="R5455" s="255"/>
      <c r="S5455" s="255"/>
      <c r="T5455" s="255"/>
    </row>
    <row r="5456" spans="18:20" x14ac:dyDescent="0.3">
      <c r="R5456" s="255"/>
      <c r="S5456" s="255"/>
      <c r="T5456" s="255"/>
    </row>
    <row r="5457" spans="18:20" x14ac:dyDescent="0.3">
      <c r="R5457" s="255"/>
      <c r="S5457" s="255"/>
      <c r="T5457" s="255"/>
    </row>
    <row r="5458" spans="18:20" x14ac:dyDescent="0.3">
      <c r="R5458" s="255"/>
      <c r="S5458" s="255"/>
      <c r="T5458" s="255"/>
    </row>
    <row r="5459" spans="18:20" x14ac:dyDescent="0.3">
      <c r="R5459" s="255"/>
      <c r="S5459" s="255"/>
      <c r="T5459" s="255"/>
    </row>
    <row r="5460" spans="18:20" x14ac:dyDescent="0.3">
      <c r="R5460" s="255"/>
      <c r="S5460" s="255"/>
      <c r="T5460" s="255"/>
    </row>
    <row r="5461" spans="18:20" x14ac:dyDescent="0.3">
      <c r="R5461" s="255"/>
      <c r="S5461" s="255"/>
      <c r="T5461" s="255"/>
    </row>
    <row r="5462" spans="18:20" x14ac:dyDescent="0.3">
      <c r="R5462" s="255"/>
      <c r="S5462" s="255"/>
      <c r="T5462" s="255"/>
    </row>
    <row r="5463" spans="18:20" x14ac:dyDescent="0.3">
      <c r="R5463" s="255"/>
      <c r="S5463" s="255"/>
      <c r="T5463" s="255"/>
    </row>
    <row r="5464" spans="18:20" x14ac:dyDescent="0.3">
      <c r="R5464" s="255"/>
      <c r="S5464" s="255"/>
      <c r="T5464" s="255"/>
    </row>
    <row r="5465" spans="18:20" x14ac:dyDescent="0.3">
      <c r="R5465" s="255"/>
      <c r="S5465" s="255"/>
      <c r="T5465" s="255"/>
    </row>
    <row r="5466" spans="18:20" x14ac:dyDescent="0.3">
      <c r="R5466" s="255"/>
      <c r="S5466" s="255"/>
      <c r="T5466" s="255"/>
    </row>
    <row r="5467" spans="18:20" x14ac:dyDescent="0.3">
      <c r="R5467" s="255"/>
      <c r="S5467" s="255"/>
      <c r="T5467" s="255"/>
    </row>
    <row r="5468" spans="18:20" x14ac:dyDescent="0.3">
      <c r="R5468" s="255"/>
      <c r="S5468" s="255"/>
      <c r="T5468" s="255"/>
    </row>
    <row r="5469" spans="18:20" x14ac:dyDescent="0.3">
      <c r="R5469" s="255"/>
      <c r="S5469" s="255"/>
      <c r="T5469" s="255"/>
    </row>
    <row r="5470" spans="18:20" x14ac:dyDescent="0.3">
      <c r="R5470" s="255"/>
      <c r="S5470" s="255"/>
      <c r="T5470" s="255"/>
    </row>
    <row r="5471" spans="18:20" x14ac:dyDescent="0.3">
      <c r="R5471" s="255"/>
      <c r="S5471" s="255"/>
      <c r="T5471" s="255"/>
    </row>
    <row r="5472" spans="18:20" x14ac:dyDescent="0.3">
      <c r="R5472" s="255"/>
      <c r="S5472" s="255"/>
      <c r="T5472" s="255"/>
    </row>
    <row r="5473" spans="18:20" x14ac:dyDescent="0.3">
      <c r="R5473" s="255"/>
      <c r="S5473" s="255"/>
      <c r="T5473" s="255"/>
    </row>
    <row r="5474" spans="18:20" x14ac:dyDescent="0.3">
      <c r="R5474" s="255"/>
      <c r="S5474" s="255"/>
      <c r="T5474" s="255"/>
    </row>
    <row r="5475" spans="18:20" x14ac:dyDescent="0.3">
      <c r="R5475" s="255"/>
      <c r="S5475" s="255"/>
      <c r="T5475" s="255"/>
    </row>
    <row r="5476" spans="18:20" x14ac:dyDescent="0.3">
      <c r="R5476" s="255"/>
      <c r="S5476" s="255"/>
      <c r="T5476" s="255"/>
    </row>
    <row r="5477" spans="18:20" x14ac:dyDescent="0.3">
      <c r="R5477" s="255"/>
      <c r="S5477" s="255"/>
      <c r="T5477" s="255"/>
    </row>
    <row r="5478" spans="18:20" x14ac:dyDescent="0.3">
      <c r="R5478" s="255"/>
      <c r="S5478" s="255"/>
      <c r="T5478" s="255"/>
    </row>
    <row r="5479" spans="18:20" x14ac:dyDescent="0.3">
      <c r="R5479" s="255"/>
      <c r="S5479" s="255"/>
      <c r="T5479" s="255"/>
    </row>
    <row r="5480" spans="18:20" x14ac:dyDescent="0.3">
      <c r="R5480" s="255"/>
      <c r="S5480" s="255"/>
      <c r="T5480" s="255"/>
    </row>
    <row r="5481" spans="18:20" x14ac:dyDescent="0.3">
      <c r="R5481" s="255"/>
      <c r="S5481" s="255"/>
      <c r="T5481" s="255"/>
    </row>
    <row r="5482" spans="18:20" x14ac:dyDescent="0.3">
      <c r="R5482" s="255"/>
      <c r="S5482" s="255"/>
      <c r="T5482" s="255"/>
    </row>
    <row r="5483" spans="18:20" x14ac:dyDescent="0.3">
      <c r="R5483" s="255"/>
      <c r="S5483" s="255"/>
      <c r="T5483" s="255"/>
    </row>
    <row r="5484" spans="18:20" x14ac:dyDescent="0.3">
      <c r="R5484" s="255"/>
      <c r="S5484" s="255"/>
      <c r="T5484" s="255"/>
    </row>
    <row r="5485" spans="18:20" x14ac:dyDescent="0.3">
      <c r="R5485" s="255"/>
      <c r="S5485" s="255"/>
      <c r="T5485" s="255"/>
    </row>
    <row r="5486" spans="18:20" x14ac:dyDescent="0.3">
      <c r="R5486" s="255"/>
      <c r="S5486" s="255"/>
      <c r="T5486" s="255"/>
    </row>
    <row r="5487" spans="18:20" x14ac:dyDescent="0.3">
      <c r="R5487" s="255"/>
      <c r="S5487" s="255"/>
      <c r="T5487" s="255"/>
    </row>
    <row r="5488" spans="18:20" x14ac:dyDescent="0.3">
      <c r="R5488" s="255"/>
      <c r="S5488" s="255"/>
      <c r="T5488" s="255"/>
    </row>
    <row r="5489" spans="18:20" x14ac:dyDescent="0.3">
      <c r="R5489" s="255"/>
      <c r="S5489" s="255"/>
      <c r="T5489" s="255"/>
    </row>
    <row r="5490" spans="18:20" x14ac:dyDescent="0.3">
      <c r="R5490" s="255"/>
      <c r="S5490" s="255"/>
      <c r="T5490" s="255"/>
    </row>
    <row r="5491" spans="18:20" x14ac:dyDescent="0.3">
      <c r="R5491" s="255"/>
      <c r="S5491" s="255"/>
      <c r="T5491" s="255"/>
    </row>
    <row r="5492" spans="18:20" x14ac:dyDescent="0.3">
      <c r="R5492" s="255"/>
      <c r="S5492" s="255"/>
      <c r="T5492" s="255"/>
    </row>
    <row r="5493" spans="18:20" x14ac:dyDescent="0.3">
      <c r="R5493" s="255"/>
      <c r="S5493" s="255"/>
      <c r="T5493" s="255"/>
    </row>
    <row r="5494" spans="18:20" x14ac:dyDescent="0.3">
      <c r="R5494" s="255"/>
      <c r="S5494" s="255"/>
      <c r="T5494" s="255"/>
    </row>
    <row r="5495" spans="18:20" x14ac:dyDescent="0.3">
      <c r="R5495" s="255"/>
      <c r="S5495" s="255"/>
      <c r="T5495" s="255"/>
    </row>
    <row r="5496" spans="18:20" x14ac:dyDescent="0.3">
      <c r="R5496" s="255"/>
      <c r="S5496" s="255"/>
      <c r="T5496" s="255"/>
    </row>
    <row r="5497" spans="18:20" x14ac:dyDescent="0.3">
      <c r="R5497" s="255"/>
      <c r="S5497" s="255"/>
      <c r="T5497" s="255"/>
    </row>
    <row r="5498" spans="18:20" x14ac:dyDescent="0.3">
      <c r="R5498" s="255"/>
      <c r="S5498" s="255"/>
      <c r="T5498" s="255"/>
    </row>
    <row r="5499" spans="18:20" x14ac:dyDescent="0.3">
      <c r="R5499" s="255"/>
      <c r="S5499" s="255"/>
      <c r="T5499" s="255"/>
    </row>
    <row r="5500" spans="18:20" x14ac:dyDescent="0.3">
      <c r="R5500" s="255"/>
      <c r="S5500" s="255"/>
      <c r="T5500" s="255"/>
    </row>
    <row r="5501" spans="18:20" x14ac:dyDescent="0.3">
      <c r="R5501" s="255"/>
      <c r="S5501" s="255"/>
      <c r="T5501" s="255"/>
    </row>
    <row r="5502" spans="18:20" x14ac:dyDescent="0.3">
      <c r="R5502" s="255"/>
      <c r="S5502" s="255"/>
      <c r="T5502" s="255"/>
    </row>
    <row r="5503" spans="18:20" x14ac:dyDescent="0.3">
      <c r="R5503" s="255"/>
      <c r="S5503" s="255"/>
      <c r="T5503" s="255"/>
    </row>
    <row r="5504" spans="18:20" x14ac:dyDescent="0.3">
      <c r="R5504" s="255"/>
      <c r="S5504" s="255"/>
      <c r="T5504" s="255"/>
    </row>
    <row r="5505" spans="18:20" x14ac:dyDescent="0.3">
      <c r="R5505" s="255"/>
      <c r="S5505" s="255"/>
      <c r="T5505" s="255"/>
    </row>
    <row r="5506" spans="18:20" x14ac:dyDescent="0.3">
      <c r="R5506" s="255"/>
      <c r="S5506" s="255"/>
      <c r="T5506" s="255"/>
    </row>
    <row r="5507" spans="18:20" x14ac:dyDescent="0.3">
      <c r="R5507" s="255"/>
      <c r="S5507" s="255"/>
      <c r="T5507" s="255"/>
    </row>
    <row r="5508" spans="18:20" x14ac:dyDescent="0.3">
      <c r="R5508" s="255"/>
      <c r="S5508" s="255"/>
      <c r="T5508" s="255"/>
    </row>
    <row r="5509" spans="18:20" x14ac:dyDescent="0.3">
      <c r="R5509" s="255"/>
      <c r="S5509" s="255"/>
      <c r="T5509" s="255"/>
    </row>
    <row r="5510" spans="18:20" x14ac:dyDescent="0.3">
      <c r="R5510" s="255"/>
      <c r="S5510" s="255"/>
      <c r="T5510" s="255"/>
    </row>
    <row r="5511" spans="18:20" x14ac:dyDescent="0.3">
      <c r="R5511" s="255"/>
      <c r="S5511" s="255"/>
      <c r="T5511" s="255"/>
    </row>
    <row r="5512" spans="18:20" x14ac:dyDescent="0.3">
      <c r="R5512" s="255"/>
      <c r="S5512" s="255"/>
      <c r="T5512" s="255"/>
    </row>
    <row r="5513" spans="18:20" x14ac:dyDescent="0.3">
      <c r="R5513" s="255"/>
      <c r="S5513" s="255"/>
      <c r="T5513" s="255"/>
    </row>
    <row r="5514" spans="18:20" x14ac:dyDescent="0.3">
      <c r="R5514" s="255"/>
      <c r="S5514" s="255"/>
      <c r="T5514" s="255"/>
    </row>
    <row r="5515" spans="18:20" x14ac:dyDescent="0.3">
      <c r="R5515" s="255"/>
      <c r="S5515" s="255"/>
      <c r="T5515" s="255"/>
    </row>
    <row r="5516" spans="18:20" x14ac:dyDescent="0.3">
      <c r="R5516" s="255"/>
      <c r="S5516" s="255"/>
      <c r="T5516" s="255"/>
    </row>
    <row r="5517" spans="18:20" x14ac:dyDescent="0.3">
      <c r="R5517" s="255"/>
      <c r="S5517" s="255"/>
      <c r="T5517" s="255"/>
    </row>
    <row r="5518" spans="18:20" x14ac:dyDescent="0.3">
      <c r="R5518" s="255"/>
      <c r="S5518" s="255"/>
      <c r="T5518" s="255"/>
    </row>
    <row r="5519" spans="18:20" x14ac:dyDescent="0.3">
      <c r="R5519" s="255"/>
      <c r="S5519" s="255"/>
      <c r="T5519" s="255"/>
    </row>
    <row r="5520" spans="18:20" x14ac:dyDescent="0.3">
      <c r="R5520" s="255"/>
      <c r="S5520" s="255"/>
      <c r="T5520" s="255"/>
    </row>
    <row r="5521" spans="18:20" x14ac:dyDescent="0.3">
      <c r="R5521" s="255"/>
      <c r="S5521" s="255"/>
      <c r="T5521" s="255"/>
    </row>
    <row r="5522" spans="18:20" x14ac:dyDescent="0.3">
      <c r="R5522" s="255"/>
      <c r="S5522" s="255"/>
      <c r="T5522" s="255"/>
    </row>
    <row r="5523" spans="18:20" x14ac:dyDescent="0.3">
      <c r="R5523" s="255"/>
      <c r="S5523" s="255"/>
      <c r="T5523" s="255"/>
    </row>
    <row r="5524" spans="18:20" x14ac:dyDescent="0.3">
      <c r="R5524" s="255"/>
      <c r="S5524" s="255"/>
      <c r="T5524" s="255"/>
    </row>
    <row r="5525" spans="18:20" x14ac:dyDescent="0.3">
      <c r="R5525" s="255"/>
      <c r="S5525" s="255"/>
      <c r="T5525" s="255"/>
    </row>
    <row r="5526" spans="18:20" x14ac:dyDescent="0.3">
      <c r="R5526" s="255"/>
      <c r="S5526" s="255"/>
      <c r="T5526" s="255"/>
    </row>
    <row r="5527" spans="18:20" x14ac:dyDescent="0.3">
      <c r="R5527" s="255"/>
      <c r="S5527" s="255"/>
      <c r="T5527" s="255"/>
    </row>
    <row r="5528" spans="18:20" x14ac:dyDescent="0.3">
      <c r="R5528" s="255"/>
      <c r="S5528" s="255"/>
      <c r="T5528" s="255"/>
    </row>
    <row r="5529" spans="18:20" x14ac:dyDescent="0.3">
      <c r="R5529" s="255"/>
      <c r="S5529" s="255"/>
      <c r="T5529" s="255"/>
    </row>
    <row r="5530" spans="18:20" x14ac:dyDescent="0.3">
      <c r="R5530" s="255"/>
      <c r="S5530" s="255"/>
      <c r="T5530" s="255"/>
    </row>
    <row r="5531" spans="18:20" x14ac:dyDescent="0.3">
      <c r="R5531" s="255"/>
      <c r="S5531" s="255"/>
      <c r="T5531" s="255"/>
    </row>
    <row r="5532" spans="18:20" x14ac:dyDescent="0.3">
      <c r="R5532" s="255"/>
      <c r="S5532" s="255"/>
      <c r="T5532" s="255"/>
    </row>
    <row r="5533" spans="18:20" x14ac:dyDescent="0.3">
      <c r="R5533" s="255"/>
      <c r="S5533" s="255"/>
      <c r="T5533" s="255"/>
    </row>
    <row r="5534" spans="18:20" x14ac:dyDescent="0.3">
      <c r="R5534" s="255"/>
      <c r="S5534" s="255"/>
      <c r="T5534" s="255"/>
    </row>
    <row r="5535" spans="18:20" x14ac:dyDescent="0.3">
      <c r="R5535" s="255"/>
      <c r="S5535" s="255"/>
      <c r="T5535" s="255"/>
    </row>
    <row r="5536" spans="18:20" x14ac:dyDescent="0.3">
      <c r="R5536" s="255"/>
      <c r="S5536" s="255"/>
      <c r="T5536" s="255"/>
    </row>
    <row r="5537" spans="18:20" x14ac:dyDescent="0.3">
      <c r="R5537" s="255"/>
      <c r="S5537" s="255"/>
      <c r="T5537" s="255"/>
    </row>
    <row r="5538" spans="18:20" x14ac:dyDescent="0.3">
      <c r="R5538" s="255"/>
      <c r="S5538" s="255"/>
      <c r="T5538" s="255"/>
    </row>
    <row r="5539" spans="18:20" x14ac:dyDescent="0.3">
      <c r="R5539" s="255"/>
      <c r="S5539" s="255"/>
      <c r="T5539" s="255"/>
    </row>
    <row r="5540" spans="18:20" x14ac:dyDescent="0.3">
      <c r="R5540" s="255"/>
      <c r="S5540" s="255"/>
      <c r="T5540" s="255"/>
    </row>
    <row r="5541" spans="18:20" x14ac:dyDescent="0.3">
      <c r="R5541" s="255"/>
      <c r="S5541" s="255"/>
      <c r="T5541" s="255"/>
    </row>
    <row r="5542" spans="18:20" x14ac:dyDescent="0.3">
      <c r="R5542" s="255"/>
      <c r="S5542" s="255"/>
      <c r="T5542" s="255"/>
    </row>
    <row r="5543" spans="18:20" x14ac:dyDescent="0.3">
      <c r="R5543" s="255"/>
      <c r="S5543" s="255"/>
      <c r="T5543" s="255"/>
    </row>
    <row r="5544" spans="18:20" x14ac:dyDescent="0.3">
      <c r="R5544" s="255"/>
      <c r="S5544" s="255"/>
      <c r="T5544" s="255"/>
    </row>
    <row r="5545" spans="18:20" x14ac:dyDescent="0.3">
      <c r="R5545" s="255"/>
      <c r="S5545" s="255"/>
      <c r="T5545" s="255"/>
    </row>
    <row r="5546" spans="18:20" x14ac:dyDescent="0.3">
      <c r="R5546" s="255"/>
      <c r="S5546" s="255"/>
      <c r="T5546" s="255"/>
    </row>
    <row r="5547" spans="18:20" x14ac:dyDescent="0.3">
      <c r="R5547" s="255"/>
      <c r="S5547" s="255"/>
      <c r="T5547" s="255"/>
    </row>
    <row r="5548" spans="18:20" x14ac:dyDescent="0.3">
      <c r="R5548" s="255"/>
      <c r="S5548" s="255"/>
      <c r="T5548" s="255"/>
    </row>
    <row r="5549" spans="18:20" x14ac:dyDescent="0.3">
      <c r="R5549" s="255"/>
      <c r="S5549" s="255"/>
      <c r="T5549" s="255"/>
    </row>
    <row r="5550" spans="18:20" x14ac:dyDescent="0.3">
      <c r="R5550" s="255"/>
      <c r="S5550" s="255"/>
      <c r="T5550" s="255"/>
    </row>
    <row r="5551" spans="18:20" x14ac:dyDescent="0.3">
      <c r="R5551" s="255"/>
      <c r="S5551" s="255"/>
      <c r="T5551" s="255"/>
    </row>
    <row r="5552" spans="18:20" x14ac:dyDescent="0.3">
      <c r="R5552" s="255"/>
      <c r="S5552" s="255"/>
      <c r="T5552" s="255"/>
    </row>
    <row r="5553" spans="18:20" x14ac:dyDescent="0.3">
      <c r="R5553" s="255"/>
      <c r="S5553" s="255"/>
      <c r="T5553" s="255"/>
    </row>
    <row r="5554" spans="18:20" x14ac:dyDescent="0.3">
      <c r="R5554" s="255"/>
      <c r="S5554" s="255"/>
      <c r="T5554" s="255"/>
    </row>
    <row r="5555" spans="18:20" x14ac:dyDescent="0.3">
      <c r="R5555" s="255"/>
      <c r="S5555" s="255"/>
      <c r="T5555" s="255"/>
    </row>
    <row r="5556" spans="18:20" x14ac:dyDescent="0.3">
      <c r="R5556" s="255"/>
      <c r="S5556" s="255"/>
      <c r="T5556" s="255"/>
    </row>
    <row r="5557" spans="18:20" x14ac:dyDescent="0.3">
      <c r="R5557" s="255"/>
      <c r="S5557" s="255"/>
      <c r="T5557" s="255"/>
    </row>
    <row r="5558" spans="18:20" x14ac:dyDescent="0.3">
      <c r="R5558" s="255"/>
      <c r="S5558" s="255"/>
      <c r="T5558" s="255"/>
    </row>
    <row r="5559" spans="18:20" x14ac:dyDescent="0.3">
      <c r="R5559" s="255"/>
      <c r="S5559" s="255"/>
      <c r="T5559" s="255"/>
    </row>
    <row r="5560" spans="18:20" x14ac:dyDescent="0.3">
      <c r="R5560" s="255"/>
      <c r="S5560" s="255"/>
      <c r="T5560" s="255"/>
    </row>
    <row r="5561" spans="18:20" x14ac:dyDescent="0.3">
      <c r="R5561" s="255"/>
      <c r="S5561" s="255"/>
      <c r="T5561" s="255"/>
    </row>
    <row r="5562" spans="18:20" x14ac:dyDescent="0.3">
      <c r="R5562" s="255"/>
      <c r="S5562" s="255"/>
      <c r="T5562" s="255"/>
    </row>
    <row r="5563" spans="18:20" x14ac:dyDescent="0.3">
      <c r="R5563" s="255"/>
      <c r="S5563" s="255"/>
      <c r="T5563" s="255"/>
    </row>
    <row r="5564" spans="18:20" x14ac:dyDescent="0.3">
      <c r="R5564" s="255"/>
      <c r="S5564" s="255"/>
      <c r="T5564" s="255"/>
    </row>
    <row r="5565" spans="18:20" x14ac:dyDescent="0.3">
      <c r="R5565" s="255"/>
      <c r="S5565" s="255"/>
      <c r="T5565" s="255"/>
    </row>
    <row r="5566" spans="18:20" x14ac:dyDescent="0.3">
      <c r="R5566" s="255"/>
      <c r="S5566" s="255"/>
      <c r="T5566" s="255"/>
    </row>
    <row r="5567" spans="18:20" x14ac:dyDescent="0.3">
      <c r="R5567" s="255"/>
      <c r="S5567" s="255"/>
      <c r="T5567" s="255"/>
    </row>
    <row r="5568" spans="18:20" x14ac:dyDescent="0.3">
      <c r="R5568" s="255"/>
      <c r="S5568" s="255"/>
      <c r="T5568" s="255"/>
    </row>
    <row r="5569" spans="18:20" x14ac:dyDescent="0.3">
      <c r="R5569" s="255"/>
      <c r="S5569" s="255"/>
      <c r="T5569" s="255"/>
    </row>
    <row r="5570" spans="18:20" x14ac:dyDescent="0.3">
      <c r="R5570" s="255"/>
      <c r="S5570" s="255"/>
      <c r="T5570" s="255"/>
    </row>
    <row r="5571" spans="18:20" x14ac:dyDescent="0.3">
      <c r="R5571" s="255"/>
      <c r="S5571" s="255"/>
      <c r="T5571" s="255"/>
    </row>
    <row r="5572" spans="18:20" x14ac:dyDescent="0.3">
      <c r="R5572" s="255"/>
      <c r="S5572" s="255"/>
      <c r="T5572" s="255"/>
    </row>
    <row r="5573" spans="18:20" x14ac:dyDescent="0.3">
      <c r="R5573" s="255"/>
      <c r="S5573" s="255"/>
      <c r="T5573" s="255"/>
    </row>
    <row r="5574" spans="18:20" x14ac:dyDescent="0.3">
      <c r="R5574" s="255"/>
      <c r="S5574" s="255"/>
      <c r="T5574" s="255"/>
    </row>
    <row r="5575" spans="18:20" x14ac:dyDescent="0.3">
      <c r="R5575" s="255"/>
      <c r="S5575" s="255"/>
      <c r="T5575" s="255"/>
    </row>
    <row r="5576" spans="18:20" x14ac:dyDescent="0.3">
      <c r="R5576" s="255"/>
      <c r="S5576" s="255"/>
      <c r="T5576" s="255"/>
    </row>
    <row r="5577" spans="18:20" x14ac:dyDescent="0.3">
      <c r="R5577" s="255"/>
      <c r="S5577" s="255"/>
      <c r="T5577" s="255"/>
    </row>
    <row r="5578" spans="18:20" x14ac:dyDescent="0.3">
      <c r="R5578" s="255"/>
      <c r="S5578" s="255"/>
      <c r="T5578" s="255"/>
    </row>
    <row r="5579" spans="18:20" x14ac:dyDescent="0.3">
      <c r="R5579" s="255"/>
      <c r="S5579" s="255"/>
      <c r="T5579" s="255"/>
    </row>
    <row r="5580" spans="18:20" x14ac:dyDescent="0.3">
      <c r="R5580" s="255"/>
      <c r="S5580" s="255"/>
      <c r="T5580" s="255"/>
    </row>
    <row r="5581" spans="18:20" x14ac:dyDescent="0.3">
      <c r="R5581" s="255"/>
      <c r="S5581" s="255"/>
      <c r="T5581" s="255"/>
    </row>
    <row r="5582" spans="18:20" x14ac:dyDescent="0.3">
      <c r="R5582" s="255"/>
      <c r="S5582" s="255"/>
      <c r="T5582" s="255"/>
    </row>
    <row r="5583" spans="18:20" x14ac:dyDescent="0.3">
      <c r="R5583" s="255"/>
      <c r="S5583" s="255"/>
      <c r="T5583" s="255"/>
    </row>
    <row r="5584" spans="18:20" x14ac:dyDescent="0.3">
      <c r="R5584" s="255"/>
      <c r="S5584" s="255"/>
      <c r="T5584" s="255"/>
    </row>
    <row r="5585" spans="18:20" x14ac:dyDescent="0.3">
      <c r="R5585" s="255"/>
      <c r="S5585" s="255"/>
      <c r="T5585" s="255"/>
    </row>
    <row r="5586" spans="18:20" x14ac:dyDescent="0.3">
      <c r="R5586" s="255"/>
      <c r="S5586" s="255"/>
      <c r="T5586" s="255"/>
    </row>
    <row r="5587" spans="18:20" x14ac:dyDescent="0.3">
      <c r="R5587" s="255"/>
      <c r="S5587" s="255"/>
      <c r="T5587" s="255"/>
    </row>
    <row r="5588" spans="18:20" x14ac:dyDescent="0.3">
      <c r="R5588" s="255"/>
      <c r="S5588" s="255"/>
      <c r="T5588" s="255"/>
    </row>
    <row r="5589" spans="18:20" x14ac:dyDescent="0.3">
      <c r="R5589" s="255"/>
      <c r="S5589" s="255"/>
      <c r="T5589" s="255"/>
    </row>
    <row r="5590" spans="18:20" x14ac:dyDescent="0.3">
      <c r="R5590" s="255"/>
      <c r="S5590" s="255"/>
      <c r="T5590" s="255"/>
    </row>
    <row r="5591" spans="18:20" x14ac:dyDescent="0.3">
      <c r="R5591" s="255"/>
      <c r="S5591" s="255"/>
      <c r="T5591" s="255"/>
    </row>
    <row r="5592" spans="18:20" x14ac:dyDescent="0.3">
      <c r="R5592" s="255"/>
      <c r="S5592" s="255"/>
      <c r="T5592" s="255"/>
    </row>
    <row r="5593" spans="18:20" x14ac:dyDescent="0.3">
      <c r="R5593" s="255"/>
      <c r="S5593" s="255"/>
      <c r="T5593" s="255"/>
    </row>
    <row r="5594" spans="18:20" x14ac:dyDescent="0.3">
      <c r="R5594" s="255"/>
      <c r="S5594" s="255"/>
      <c r="T5594" s="255"/>
    </row>
    <row r="5595" spans="18:20" x14ac:dyDescent="0.3">
      <c r="R5595" s="255"/>
      <c r="S5595" s="255"/>
      <c r="T5595" s="255"/>
    </row>
    <row r="5596" spans="18:20" x14ac:dyDescent="0.3">
      <c r="R5596" s="255"/>
      <c r="S5596" s="255"/>
      <c r="T5596" s="255"/>
    </row>
    <row r="5597" spans="18:20" x14ac:dyDescent="0.3">
      <c r="R5597" s="255"/>
      <c r="S5597" s="255"/>
      <c r="T5597" s="255"/>
    </row>
    <row r="5598" spans="18:20" x14ac:dyDescent="0.3">
      <c r="R5598" s="255"/>
      <c r="S5598" s="255"/>
      <c r="T5598" s="255"/>
    </row>
    <row r="5599" spans="18:20" x14ac:dyDescent="0.3">
      <c r="R5599" s="255"/>
      <c r="S5599" s="255"/>
      <c r="T5599" s="255"/>
    </row>
    <row r="5600" spans="18:20" x14ac:dyDescent="0.3">
      <c r="R5600" s="255"/>
      <c r="S5600" s="255"/>
      <c r="T5600" s="255"/>
    </row>
    <row r="5601" spans="18:20" x14ac:dyDescent="0.3">
      <c r="R5601" s="255"/>
      <c r="S5601" s="255"/>
      <c r="T5601" s="255"/>
    </row>
    <row r="5602" spans="18:20" x14ac:dyDescent="0.3">
      <c r="R5602" s="255"/>
      <c r="S5602" s="255"/>
      <c r="T5602" s="255"/>
    </row>
    <row r="5603" spans="18:20" x14ac:dyDescent="0.3">
      <c r="R5603" s="255"/>
      <c r="S5603" s="255"/>
      <c r="T5603" s="255"/>
    </row>
    <row r="5604" spans="18:20" x14ac:dyDescent="0.3">
      <c r="R5604" s="255"/>
      <c r="S5604" s="255"/>
      <c r="T5604" s="255"/>
    </row>
    <row r="5605" spans="18:20" x14ac:dyDescent="0.3">
      <c r="R5605" s="255"/>
      <c r="S5605" s="255"/>
      <c r="T5605" s="255"/>
    </row>
    <row r="5606" spans="18:20" x14ac:dyDescent="0.3">
      <c r="R5606" s="255"/>
      <c r="S5606" s="255"/>
      <c r="T5606" s="255"/>
    </row>
    <row r="5607" spans="18:20" x14ac:dyDescent="0.3">
      <c r="R5607" s="255"/>
      <c r="S5607" s="255"/>
      <c r="T5607" s="255"/>
    </row>
    <row r="5608" spans="18:20" x14ac:dyDescent="0.3">
      <c r="R5608" s="255"/>
      <c r="S5608" s="255"/>
      <c r="T5608" s="255"/>
    </row>
    <row r="5609" spans="18:20" x14ac:dyDescent="0.3">
      <c r="R5609" s="255"/>
      <c r="S5609" s="255"/>
      <c r="T5609" s="255"/>
    </row>
    <row r="5610" spans="18:20" x14ac:dyDescent="0.3">
      <c r="R5610" s="255"/>
      <c r="S5610" s="255"/>
      <c r="T5610" s="255"/>
    </row>
    <row r="5611" spans="18:20" x14ac:dyDescent="0.3">
      <c r="R5611" s="255"/>
      <c r="S5611" s="255"/>
      <c r="T5611" s="255"/>
    </row>
    <row r="5612" spans="18:20" x14ac:dyDescent="0.3">
      <c r="R5612" s="255"/>
      <c r="S5612" s="255"/>
      <c r="T5612" s="255"/>
    </row>
    <row r="5613" spans="18:20" x14ac:dyDescent="0.3">
      <c r="R5613" s="255"/>
      <c r="S5613" s="255"/>
      <c r="T5613" s="255"/>
    </row>
    <row r="5614" spans="18:20" x14ac:dyDescent="0.3">
      <c r="R5614" s="255"/>
      <c r="S5614" s="255"/>
      <c r="T5614" s="255"/>
    </row>
    <row r="5615" spans="18:20" x14ac:dyDescent="0.3">
      <c r="R5615" s="255"/>
      <c r="S5615" s="255"/>
      <c r="T5615" s="255"/>
    </row>
    <row r="5616" spans="18:20" x14ac:dyDescent="0.3">
      <c r="R5616" s="255"/>
      <c r="S5616" s="255"/>
      <c r="T5616" s="255"/>
    </row>
    <row r="5617" spans="18:20" x14ac:dyDescent="0.3">
      <c r="R5617" s="255"/>
      <c r="S5617" s="255"/>
      <c r="T5617" s="255"/>
    </row>
    <row r="5618" spans="18:20" x14ac:dyDescent="0.3">
      <c r="R5618" s="255"/>
      <c r="S5618" s="255"/>
      <c r="T5618" s="255"/>
    </row>
    <row r="5619" spans="18:20" x14ac:dyDescent="0.3">
      <c r="R5619" s="255"/>
      <c r="S5619" s="255"/>
      <c r="T5619" s="255"/>
    </row>
    <row r="5620" spans="18:20" x14ac:dyDescent="0.3">
      <c r="R5620" s="255"/>
      <c r="S5620" s="255"/>
      <c r="T5620" s="255"/>
    </row>
    <row r="5621" spans="18:20" x14ac:dyDescent="0.3">
      <c r="R5621" s="255"/>
      <c r="S5621" s="255"/>
      <c r="T5621" s="255"/>
    </row>
    <row r="5622" spans="18:20" x14ac:dyDescent="0.3">
      <c r="R5622" s="255"/>
      <c r="S5622" s="255"/>
      <c r="T5622" s="255"/>
    </row>
    <row r="5623" spans="18:20" x14ac:dyDescent="0.3">
      <c r="R5623" s="255"/>
      <c r="S5623" s="255"/>
      <c r="T5623" s="255"/>
    </row>
    <row r="5624" spans="18:20" x14ac:dyDescent="0.3">
      <c r="R5624" s="255"/>
      <c r="S5624" s="255"/>
      <c r="T5624" s="255"/>
    </row>
    <row r="5625" spans="18:20" x14ac:dyDescent="0.3">
      <c r="R5625" s="255"/>
      <c r="S5625" s="255"/>
      <c r="T5625" s="255"/>
    </row>
    <row r="5626" spans="18:20" x14ac:dyDescent="0.3">
      <c r="R5626" s="255"/>
      <c r="S5626" s="255"/>
      <c r="T5626" s="255"/>
    </row>
    <row r="5627" spans="18:20" x14ac:dyDescent="0.3">
      <c r="R5627" s="255"/>
      <c r="S5627" s="255"/>
      <c r="T5627" s="255"/>
    </row>
    <row r="5628" spans="18:20" x14ac:dyDescent="0.3">
      <c r="R5628" s="255"/>
      <c r="S5628" s="255"/>
      <c r="T5628" s="255"/>
    </row>
    <row r="5629" spans="18:20" x14ac:dyDescent="0.3">
      <c r="R5629" s="255"/>
      <c r="S5629" s="255"/>
      <c r="T5629" s="255"/>
    </row>
    <row r="5630" spans="18:20" x14ac:dyDescent="0.3">
      <c r="R5630" s="255"/>
      <c r="S5630" s="255"/>
      <c r="T5630" s="255"/>
    </row>
    <row r="5631" spans="18:20" x14ac:dyDescent="0.3">
      <c r="R5631" s="255"/>
      <c r="S5631" s="255"/>
      <c r="T5631" s="255"/>
    </row>
    <row r="5632" spans="18:20" x14ac:dyDescent="0.3">
      <c r="R5632" s="255"/>
      <c r="S5632" s="255"/>
      <c r="T5632" s="255"/>
    </row>
    <row r="5633" spans="18:20" x14ac:dyDescent="0.3">
      <c r="R5633" s="255"/>
      <c r="S5633" s="255"/>
      <c r="T5633" s="255"/>
    </row>
    <row r="5634" spans="18:20" x14ac:dyDescent="0.3">
      <c r="R5634" s="255"/>
      <c r="S5634" s="255"/>
      <c r="T5634" s="255"/>
    </row>
    <row r="5635" spans="18:20" x14ac:dyDescent="0.3">
      <c r="R5635" s="255"/>
      <c r="S5635" s="255"/>
      <c r="T5635" s="255"/>
    </row>
    <row r="5636" spans="18:20" x14ac:dyDescent="0.3">
      <c r="R5636" s="255"/>
      <c r="S5636" s="255"/>
      <c r="T5636" s="255"/>
    </row>
    <row r="5637" spans="18:20" x14ac:dyDescent="0.3">
      <c r="R5637" s="255"/>
      <c r="S5637" s="255"/>
      <c r="T5637" s="255"/>
    </row>
    <row r="5638" spans="18:20" x14ac:dyDescent="0.3">
      <c r="R5638" s="255"/>
      <c r="S5638" s="255"/>
      <c r="T5638" s="255"/>
    </row>
    <row r="5639" spans="18:20" x14ac:dyDescent="0.3">
      <c r="R5639" s="255"/>
      <c r="S5639" s="255"/>
      <c r="T5639" s="255"/>
    </row>
    <row r="5640" spans="18:20" x14ac:dyDescent="0.3">
      <c r="R5640" s="255"/>
      <c r="S5640" s="255"/>
      <c r="T5640" s="255"/>
    </row>
    <row r="5641" spans="18:20" x14ac:dyDescent="0.3">
      <c r="R5641" s="255"/>
      <c r="S5641" s="255"/>
      <c r="T5641" s="255"/>
    </row>
    <row r="5642" spans="18:20" x14ac:dyDescent="0.3">
      <c r="R5642" s="255"/>
      <c r="S5642" s="255"/>
      <c r="T5642" s="255"/>
    </row>
    <row r="5643" spans="18:20" x14ac:dyDescent="0.3">
      <c r="R5643" s="255"/>
      <c r="S5643" s="255"/>
      <c r="T5643" s="255"/>
    </row>
    <row r="5644" spans="18:20" x14ac:dyDescent="0.3">
      <c r="R5644" s="255"/>
      <c r="S5644" s="255"/>
      <c r="T5644" s="255"/>
    </row>
    <row r="5645" spans="18:20" x14ac:dyDescent="0.3">
      <c r="R5645" s="255"/>
      <c r="S5645" s="255"/>
      <c r="T5645" s="255"/>
    </row>
    <row r="5646" spans="18:20" x14ac:dyDescent="0.3">
      <c r="R5646" s="255"/>
      <c r="S5646" s="255"/>
      <c r="T5646" s="255"/>
    </row>
    <row r="5647" spans="18:20" x14ac:dyDescent="0.3">
      <c r="R5647" s="255"/>
      <c r="S5647" s="255"/>
      <c r="T5647" s="255"/>
    </row>
    <row r="5648" spans="18:20" x14ac:dyDescent="0.3">
      <c r="R5648" s="255"/>
      <c r="S5648" s="255"/>
      <c r="T5648" s="255"/>
    </row>
    <row r="5649" spans="18:20" x14ac:dyDescent="0.3">
      <c r="R5649" s="255"/>
      <c r="S5649" s="255"/>
      <c r="T5649" s="255"/>
    </row>
    <row r="5650" spans="18:20" x14ac:dyDescent="0.3">
      <c r="R5650" s="255"/>
      <c r="S5650" s="255"/>
      <c r="T5650" s="255"/>
    </row>
    <row r="5651" spans="18:20" x14ac:dyDescent="0.3">
      <c r="R5651" s="255"/>
      <c r="S5651" s="255"/>
      <c r="T5651" s="255"/>
    </row>
    <row r="5652" spans="18:20" x14ac:dyDescent="0.3">
      <c r="R5652" s="255"/>
      <c r="S5652" s="255"/>
      <c r="T5652" s="255"/>
    </row>
    <row r="5653" spans="18:20" x14ac:dyDescent="0.3">
      <c r="R5653" s="255"/>
      <c r="S5653" s="255"/>
      <c r="T5653" s="255"/>
    </row>
    <row r="5654" spans="18:20" x14ac:dyDescent="0.3">
      <c r="R5654" s="255"/>
      <c r="S5654" s="255"/>
      <c r="T5654" s="255"/>
    </row>
    <row r="5655" spans="18:20" x14ac:dyDescent="0.3">
      <c r="R5655" s="255"/>
      <c r="S5655" s="255"/>
      <c r="T5655" s="255"/>
    </row>
    <row r="5656" spans="18:20" x14ac:dyDescent="0.3">
      <c r="R5656" s="255"/>
      <c r="S5656" s="255"/>
      <c r="T5656" s="255"/>
    </row>
    <row r="5657" spans="18:20" x14ac:dyDescent="0.3">
      <c r="R5657" s="255"/>
      <c r="S5657" s="255"/>
      <c r="T5657" s="255"/>
    </row>
    <row r="5658" spans="18:20" x14ac:dyDescent="0.3">
      <c r="R5658" s="255"/>
      <c r="S5658" s="255"/>
      <c r="T5658" s="255"/>
    </row>
    <row r="5659" spans="18:20" x14ac:dyDescent="0.3">
      <c r="R5659" s="255"/>
      <c r="S5659" s="255"/>
      <c r="T5659" s="255"/>
    </row>
    <row r="5660" spans="18:20" x14ac:dyDescent="0.3">
      <c r="R5660" s="255"/>
      <c r="S5660" s="255"/>
      <c r="T5660" s="255"/>
    </row>
    <row r="5661" spans="18:20" x14ac:dyDescent="0.3">
      <c r="R5661" s="255"/>
      <c r="S5661" s="255"/>
      <c r="T5661" s="255"/>
    </row>
    <row r="5662" spans="18:20" x14ac:dyDescent="0.3">
      <c r="R5662" s="255"/>
      <c r="S5662" s="255"/>
      <c r="T5662" s="255"/>
    </row>
    <row r="5663" spans="18:20" x14ac:dyDescent="0.3">
      <c r="R5663" s="255"/>
      <c r="S5663" s="255"/>
      <c r="T5663" s="255"/>
    </row>
    <row r="5664" spans="18:20" x14ac:dyDescent="0.3">
      <c r="R5664" s="255"/>
      <c r="S5664" s="255"/>
      <c r="T5664" s="255"/>
    </row>
    <row r="5665" spans="18:20" x14ac:dyDescent="0.3">
      <c r="R5665" s="255"/>
      <c r="S5665" s="255"/>
      <c r="T5665" s="255"/>
    </row>
    <row r="5666" spans="18:20" x14ac:dyDescent="0.3">
      <c r="R5666" s="255"/>
      <c r="S5666" s="255"/>
      <c r="T5666" s="255"/>
    </row>
    <row r="5667" spans="18:20" x14ac:dyDescent="0.3">
      <c r="R5667" s="255"/>
      <c r="S5667" s="255"/>
      <c r="T5667" s="255"/>
    </row>
    <row r="5668" spans="18:20" x14ac:dyDescent="0.3">
      <c r="R5668" s="255"/>
      <c r="S5668" s="255"/>
      <c r="T5668" s="255"/>
    </row>
    <row r="5669" spans="18:20" x14ac:dyDescent="0.3">
      <c r="R5669" s="255"/>
      <c r="S5669" s="255"/>
      <c r="T5669" s="255"/>
    </row>
    <row r="5670" spans="18:20" x14ac:dyDescent="0.3">
      <c r="R5670" s="255"/>
      <c r="S5670" s="255"/>
      <c r="T5670" s="255"/>
    </row>
    <row r="5671" spans="18:20" x14ac:dyDescent="0.3">
      <c r="R5671" s="255"/>
      <c r="S5671" s="255"/>
      <c r="T5671" s="255"/>
    </row>
    <row r="5672" spans="18:20" x14ac:dyDescent="0.3">
      <c r="R5672" s="255"/>
      <c r="S5672" s="255"/>
      <c r="T5672" s="255"/>
    </row>
    <row r="5673" spans="18:20" x14ac:dyDescent="0.3">
      <c r="R5673" s="255"/>
      <c r="S5673" s="255"/>
      <c r="T5673" s="255"/>
    </row>
    <row r="5674" spans="18:20" x14ac:dyDescent="0.3">
      <c r="R5674" s="255"/>
      <c r="S5674" s="255"/>
      <c r="T5674" s="255"/>
    </row>
    <row r="5675" spans="18:20" x14ac:dyDescent="0.3">
      <c r="R5675" s="255"/>
      <c r="S5675" s="255"/>
      <c r="T5675" s="255"/>
    </row>
    <row r="5676" spans="18:20" x14ac:dyDescent="0.3">
      <c r="R5676" s="255"/>
      <c r="S5676" s="255"/>
      <c r="T5676" s="255"/>
    </row>
    <row r="5677" spans="18:20" x14ac:dyDescent="0.3">
      <c r="R5677" s="255"/>
      <c r="S5677" s="255"/>
      <c r="T5677" s="255"/>
    </row>
    <row r="5678" spans="18:20" x14ac:dyDescent="0.3">
      <c r="R5678" s="255"/>
      <c r="S5678" s="255"/>
      <c r="T5678" s="255"/>
    </row>
    <row r="5679" spans="18:20" x14ac:dyDescent="0.3">
      <c r="R5679" s="255"/>
      <c r="S5679" s="255"/>
      <c r="T5679" s="255"/>
    </row>
    <row r="5680" spans="18:20" x14ac:dyDescent="0.3">
      <c r="R5680" s="255"/>
      <c r="S5680" s="255"/>
      <c r="T5680" s="255"/>
    </row>
    <row r="5681" spans="18:20" x14ac:dyDescent="0.3">
      <c r="R5681" s="255"/>
      <c r="S5681" s="255"/>
      <c r="T5681" s="255"/>
    </row>
    <row r="5682" spans="18:20" x14ac:dyDescent="0.3">
      <c r="R5682" s="255"/>
      <c r="S5682" s="255"/>
      <c r="T5682" s="255"/>
    </row>
    <row r="5683" spans="18:20" x14ac:dyDescent="0.3">
      <c r="R5683" s="255"/>
      <c r="S5683" s="255"/>
      <c r="T5683" s="255"/>
    </row>
    <row r="5684" spans="18:20" x14ac:dyDescent="0.3">
      <c r="R5684" s="255"/>
      <c r="S5684" s="255"/>
      <c r="T5684" s="255"/>
    </row>
    <row r="5685" spans="18:20" x14ac:dyDescent="0.3">
      <c r="R5685" s="255"/>
      <c r="S5685" s="255"/>
      <c r="T5685" s="255"/>
    </row>
    <row r="5686" spans="18:20" x14ac:dyDescent="0.3">
      <c r="R5686" s="255"/>
      <c r="S5686" s="255"/>
      <c r="T5686" s="255"/>
    </row>
    <row r="5687" spans="18:20" x14ac:dyDescent="0.3">
      <c r="R5687" s="255"/>
      <c r="S5687" s="255"/>
      <c r="T5687" s="255"/>
    </row>
    <row r="5688" spans="18:20" x14ac:dyDescent="0.3">
      <c r="R5688" s="255"/>
      <c r="S5688" s="255"/>
      <c r="T5688" s="255"/>
    </row>
    <row r="5689" spans="18:20" x14ac:dyDescent="0.3">
      <c r="R5689" s="255"/>
      <c r="S5689" s="255"/>
      <c r="T5689" s="255"/>
    </row>
    <row r="5690" spans="18:20" x14ac:dyDescent="0.3">
      <c r="R5690" s="255"/>
      <c r="S5690" s="255"/>
      <c r="T5690" s="255"/>
    </row>
    <row r="5691" spans="18:20" x14ac:dyDescent="0.3">
      <c r="R5691" s="255"/>
      <c r="S5691" s="255"/>
      <c r="T5691" s="255"/>
    </row>
    <row r="5692" spans="18:20" x14ac:dyDescent="0.3">
      <c r="R5692" s="255"/>
      <c r="S5692" s="255"/>
      <c r="T5692" s="255"/>
    </row>
    <row r="5693" spans="18:20" x14ac:dyDescent="0.3">
      <c r="R5693" s="255"/>
      <c r="S5693" s="255"/>
      <c r="T5693" s="255"/>
    </row>
    <row r="5694" spans="18:20" x14ac:dyDescent="0.3">
      <c r="R5694" s="255"/>
      <c r="S5694" s="255"/>
      <c r="T5694" s="255"/>
    </row>
    <row r="5695" spans="18:20" x14ac:dyDescent="0.3">
      <c r="R5695" s="255"/>
      <c r="S5695" s="255"/>
      <c r="T5695" s="255"/>
    </row>
    <row r="5696" spans="18:20" x14ac:dyDescent="0.3">
      <c r="R5696" s="255"/>
      <c r="S5696" s="255"/>
      <c r="T5696" s="255"/>
    </row>
    <row r="5697" spans="18:20" x14ac:dyDescent="0.3">
      <c r="R5697" s="255"/>
      <c r="S5697" s="255"/>
      <c r="T5697" s="255"/>
    </row>
    <row r="5698" spans="18:20" x14ac:dyDescent="0.3">
      <c r="R5698" s="255"/>
      <c r="S5698" s="255"/>
      <c r="T5698" s="255"/>
    </row>
    <row r="5699" spans="18:20" x14ac:dyDescent="0.3">
      <c r="R5699" s="255"/>
      <c r="S5699" s="255"/>
      <c r="T5699" s="255"/>
    </row>
    <row r="5700" spans="18:20" x14ac:dyDescent="0.3">
      <c r="R5700" s="255"/>
      <c r="S5700" s="255"/>
      <c r="T5700" s="255"/>
    </row>
    <row r="5701" spans="18:20" x14ac:dyDescent="0.3">
      <c r="R5701" s="255"/>
      <c r="S5701" s="255"/>
      <c r="T5701" s="255"/>
    </row>
    <row r="5702" spans="18:20" x14ac:dyDescent="0.3">
      <c r="R5702" s="255"/>
      <c r="S5702" s="255"/>
      <c r="T5702" s="255"/>
    </row>
    <row r="5703" spans="18:20" x14ac:dyDescent="0.3">
      <c r="R5703" s="255"/>
      <c r="S5703" s="255"/>
      <c r="T5703" s="255"/>
    </row>
    <row r="5704" spans="18:20" x14ac:dyDescent="0.3">
      <c r="R5704" s="255"/>
      <c r="S5704" s="255"/>
      <c r="T5704" s="255"/>
    </row>
    <row r="5705" spans="18:20" x14ac:dyDescent="0.3">
      <c r="R5705" s="255"/>
      <c r="S5705" s="255"/>
      <c r="T5705" s="255"/>
    </row>
    <row r="5706" spans="18:20" x14ac:dyDescent="0.3">
      <c r="R5706" s="255"/>
      <c r="S5706" s="255"/>
      <c r="T5706" s="255"/>
    </row>
    <row r="5707" spans="18:20" x14ac:dyDescent="0.3">
      <c r="R5707" s="255"/>
      <c r="S5707" s="255"/>
      <c r="T5707" s="255"/>
    </row>
    <row r="5708" spans="18:20" x14ac:dyDescent="0.3">
      <c r="R5708" s="255"/>
      <c r="S5708" s="255"/>
      <c r="T5708" s="255"/>
    </row>
    <row r="5709" spans="18:20" x14ac:dyDescent="0.3">
      <c r="R5709" s="255"/>
      <c r="S5709" s="255"/>
      <c r="T5709" s="255"/>
    </row>
    <row r="5710" spans="18:20" x14ac:dyDescent="0.3">
      <c r="R5710" s="255"/>
      <c r="S5710" s="255"/>
      <c r="T5710" s="255"/>
    </row>
    <row r="5711" spans="18:20" x14ac:dyDescent="0.3">
      <c r="R5711" s="255"/>
      <c r="S5711" s="255"/>
      <c r="T5711" s="255"/>
    </row>
    <row r="5712" spans="18:20" x14ac:dyDescent="0.3">
      <c r="R5712" s="255"/>
      <c r="S5712" s="255"/>
      <c r="T5712" s="255"/>
    </row>
    <row r="5713" spans="18:20" x14ac:dyDescent="0.3">
      <c r="R5713" s="255"/>
      <c r="S5713" s="255"/>
      <c r="T5713" s="255"/>
    </row>
    <row r="5714" spans="18:20" x14ac:dyDescent="0.3">
      <c r="R5714" s="255"/>
      <c r="S5714" s="255"/>
      <c r="T5714" s="255"/>
    </row>
    <row r="5715" spans="18:20" x14ac:dyDescent="0.3">
      <c r="R5715" s="255"/>
      <c r="S5715" s="255"/>
      <c r="T5715" s="255"/>
    </row>
    <row r="5716" spans="18:20" x14ac:dyDescent="0.3">
      <c r="R5716" s="255"/>
      <c r="S5716" s="255"/>
      <c r="T5716" s="255"/>
    </row>
    <row r="5717" spans="18:20" x14ac:dyDescent="0.3">
      <c r="R5717" s="255"/>
      <c r="S5717" s="255"/>
      <c r="T5717" s="255"/>
    </row>
    <row r="5718" spans="18:20" x14ac:dyDescent="0.3">
      <c r="R5718" s="255"/>
      <c r="S5718" s="255"/>
      <c r="T5718" s="255"/>
    </row>
    <row r="5719" spans="18:20" x14ac:dyDescent="0.3">
      <c r="R5719" s="255"/>
      <c r="S5719" s="255"/>
      <c r="T5719" s="255"/>
    </row>
    <row r="5720" spans="18:20" x14ac:dyDescent="0.3">
      <c r="R5720" s="255"/>
      <c r="S5720" s="255"/>
      <c r="T5720" s="255"/>
    </row>
    <row r="5721" spans="18:20" x14ac:dyDescent="0.3">
      <c r="R5721" s="255"/>
      <c r="S5721" s="255"/>
      <c r="T5721" s="255"/>
    </row>
    <row r="5722" spans="18:20" x14ac:dyDescent="0.3">
      <c r="R5722" s="255"/>
      <c r="S5722" s="255"/>
      <c r="T5722" s="255"/>
    </row>
    <row r="5723" spans="18:20" x14ac:dyDescent="0.3">
      <c r="R5723" s="255"/>
      <c r="S5723" s="255"/>
      <c r="T5723" s="255"/>
    </row>
    <row r="5724" spans="18:20" x14ac:dyDescent="0.3">
      <c r="R5724" s="255"/>
      <c r="S5724" s="255"/>
      <c r="T5724" s="255"/>
    </row>
    <row r="5725" spans="18:20" x14ac:dyDescent="0.3">
      <c r="R5725" s="255"/>
      <c r="S5725" s="255"/>
      <c r="T5725" s="255"/>
    </row>
    <row r="5726" spans="18:20" x14ac:dyDescent="0.3">
      <c r="R5726" s="255"/>
      <c r="S5726" s="255"/>
      <c r="T5726" s="255"/>
    </row>
    <row r="5727" spans="18:20" x14ac:dyDescent="0.3">
      <c r="R5727" s="255"/>
      <c r="S5727" s="255"/>
      <c r="T5727" s="255"/>
    </row>
    <row r="5728" spans="18:20" x14ac:dyDescent="0.3">
      <c r="R5728" s="255"/>
      <c r="S5728" s="255"/>
      <c r="T5728" s="255"/>
    </row>
    <row r="5729" spans="18:20" x14ac:dyDescent="0.3">
      <c r="R5729" s="255"/>
      <c r="S5729" s="255"/>
      <c r="T5729" s="255"/>
    </row>
    <row r="5730" spans="18:20" x14ac:dyDescent="0.3">
      <c r="R5730" s="255"/>
      <c r="S5730" s="255"/>
      <c r="T5730" s="255"/>
    </row>
    <row r="5731" spans="18:20" x14ac:dyDescent="0.3">
      <c r="R5731" s="255"/>
      <c r="S5731" s="255"/>
      <c r="T5731" s="255"/>
    </row>
    <row r="5732" spans="18:20" x14ac:dyDescent="0.3">
      <c r="R5732" s="255"/>
      <c r="S5732" s="255"/>
      <c r="T5732" s="255"/>
    </row>
    <row r="5733" spans="18:20" x14ac:dyDescent="0.3">
      <c r="R5733" s="255"/>
      <c r="S5733" s="255"/>
      <c r="T5733" s="255"/>
    </row>
    <row r="5734" spans="18:20" x14ac:dyDescent="0.3">
      <c r="R5734" s="255"/>
      <c r="S5734" s="255"/>
      <c r="T5734" s="255"/>
    </row>
    <row r="5735" spans="18:20" x14ac:dyDescent="0.3">
      <c r="R5735" s="255"/>
      <c r="S5735" s="255"/>
      <c r="T5735" s="255"/>
    </row>
    <row r="5736" spans="18:20" x14ac:dyDescent="0.3">
      <c r="R5736" s="255"/>
      <c r="S5736" s="255"/>
      <c r="T5736" s="255"/>
    </row>
    <row r="5737" spans="18:20" x14ac:dyDescent="0.3">
      <c r="R5737" s="255"/>
      <c r="S5737" s="255"/>
      <c r="T5737" s="255"/>
    </row>
    <row r="5738" spans="18:20" x14ac:dyDescent="0.3">
      <c r="R5738" s="255"/>
      <c r="S5738" s="255"/>
      <c r="T5738" s="255"/>
    </row>
    <row r="5739" spans="18:20" x14ac:dyDescent="0.3">
      <c r="R5739" s="255"/>
      <c r="S5739" s="255"/>
      <c r="T5739" s="255"/>
    </row>
    <row r="5740" spans="18:20" x14ac:dyDescent="0.3">
      <c r="R5740" s="255"/>
      <c r="S5740" s="255"/>
      <c r="T5740" s="255"/>
    </row>
    <row r="5741" spans="18:20" x14ac:dyDescent="0.3">
      <c r="R5741" s="255"/>
      <c r="S5741" s="255"/>
      <c r="T5741" s="255"/>
    </row>
    <row r="5742" spans="18:20" x14ac:dyDescent="0.3">
      <c r="R5742" s="255"/>
      <c r="S5742" s="255"/>
      <c r="T5742" s="255"/>
    </row>
    <row r="5743" spans="18:20" x14ac:dyDescent="0.3">
      <c r="R5743" s="255"/>
      <c r="S5743" s="255"/>
      <c r="T5743" s="255"/>
    </row>
    <row r="5744" spans="18:20" x14ac:dyDescent="0.3">
      <c r="R5744" s="255"/>
      <c r="S5744" s="255"/>
      <c r="T5744" s="255"/>
    </row>
    <row r="5745" spans="18:20" x14ac:dyDescent="0.3">
      <c r="R5745" s="255"/>
      <c r="S5745" s="255"/>
      <c r="T5745" s="255"/>
    </row>
    <row r="5746" spans="18:20" x14ac:dyDescent="0.3">
      <c r="R5746" s="255"/>
      <c r="S5746" s="255"/>
      <c r="T5746" s="255"/>
    </row>
    <row r="5747" spans="18:20" x14ac:dyDescent="0.3">
      <c r="R5747" s="255"/>
      <c r="S5747" s="255"/>
      <c r="T5747" s="255"/>
    </row>
    <row r="5748" spans="18:20" x14ac:dyDescent="0.3">
      <c r="R5748" s="255"/>
      <c r="S5748" s="255"/>
      <c r="T5748" s="255"/>
    </row>
    <row r="5749" spans="18:20" x14ac:dyDescent="0.3">
      <c r="R5749" s="255"/>
      <c r="S5749" s="255"/>
      <c r="T5749" s="255"/>
    </row>
    <row r="5750" spans="18:20" x14ac:dyDescent="0.3">
      <c r="R5750" s="255"/>
      <c r="S5750" s="255"/>
      <c r="T5750" s="255"/>
    </row>
    <row r="5751" spans="18:20" x14ac:dyDescent="0.3">
      <c r="R5751" s="255"/>
      <c r="S5751" s="255"/>
      <c r="T5751" s="255"/>
    </row>
    <row r="5752" spans="18:20" x14ac:dyDescent="0.3">
      <c r="R5752" s="255"/>
      <c r="S5752" s="255"/>
      <c r="T5752" s="255"/>
    </row>
    <row r="5753" spans="18:20" x14ac:dyDescent="0.3">
      <c r="R5753" s="255"/>
      <c r="S5753" s="255"/>
      <c r="T5753" s="255"/>
    </row>
    <row r="5754" spans="18:20" x14ac:dyDescent="0.3">
      <c r="R5754" s="255"/>
      <c r="S5754" s="255"/>
      <c r="T5754" s="255"/>
    </row>
    <row r="5755" spans="18:20" x14ac:dyDescent="0.3">
      <c r="R5755" s="255"/>
      <c r="S5755" s="255"/>
      <c r="T5755" s="255"/>
    </row>
    <row r="5756" spans="18:20" x14ac:dyDescent="0.3">
      <c r="R5756" s="255"/>
      <c r="S5756" s="255"/>
      <c r="T5756" s="255"/>
    </row>
    <row r="5757" spans="18:20" x14ac:dyDescent="0.3">
      <c r="R5757" s="255"/>
      <c r="S5757" s="255"/>
      <c r="T5757" s="255"/>
    </row>
    <row r="5758" spans="18:20" x14ac:dyDescent="0.3">
      <c r="R5758" s="255"/>
      <c r="S5758" s="255"/>
      <c r="T5758" s="255"/>
    </row>
    <row r="5759" spans="18:20" x14ac:dyDescent="0.3">
      <c r="R5759" s="255"/>
      <c r="S5759" s="255"/>
      <c r="T5759" s="255"/>
    </row>
    <row r="5760" spans="18:20" x14ac:dyDescent="0.3">
      <c r="R5760" s="255"/>
      <c r="S5760" s="255"/>
      <c r="T5760" s="255"/>
    </row>
    <row r="5761" spans="18:20" x14ac:dyDescent="0.3">
      <c r="R5761" s="255"/>
      <c r="S5761" s="255"/>
      <c r="T5761" s="255"/>
    </row>
    <row r="5762" spans="18:20" x14ac:dyDescent="0.3">
      <c r="R5762" s="255"/>
      <c r="S5762" s="255"/>
      <c r="T5762" s="255"/>
    </row>
    <row r="5763" spans="18:20" x14ac:dyDescent="0.3">
      <c r="R5763" s="255"/>
      <c r="S5763" s="255"/>
      <c r="T5763" s="255"/>
    </row>
    <row r="5764" spans="18:20" x14ac:dyDescent="0.3">
      <c r="R5764" s="255"/>
      <c r="S5764" s="255"/>
      <c r="T5764" s="255"/>
    </row>
    <row r="5765" spans="18:20" x14ac:dyDescent="0.3">
      <c r="R5765" s="255"/>
      <c r="S5765" s="255"/>
      <c r="T5765" s="255"/>
    </row>
    <row r="5766" spans="18:20" x14ac:dyDescent="0.3">
      <c r="R5766" s="255"/>
      <c r="S5766" s="255"/>
      <c r="T5766" s="255"/>
    </row>
    <row r="5767" spans="18:20" x14ac:dyDescent="0.3">
      <c r="R5767" s="255"/>
      <c r="S5767" s="255"/>
      <c r="T5767" s="255"/>
    </row>
    <row r="5768" spans="18:20" x14ac:dyDescent="0.3">
      <c r="R5768" s="255"/>
      <c r="S5768" s="255"/>
      <c r="T5768" s="255"/>
    </row>
    <row r="5769" spans="18:20" x14ac:dyDescent="0.3">
      <c r="R5769" s="255"/>
      <c r="S5769" s="255"/>
      <c r="T5769" s="255"/>
    </row>
    <row r="5770" spans="18:20" x14ac:dyDescent="0.3">
      <c r="R5770" s="255"/>
      <c r="S5770" s="255"/>
      <c r="T5770" s="255"/>
    </row>
    <row r="5771" spans="18:20" x14ac:dyDescent="0.3">
      <c r="R5771" s="255"/>
      <c r="S5771" s="255"/>
      <c r="T5771" s="255"/>
    </row>
    <row r="5772" spans="18:20" x14ac:dyDescent="0.3">
      <c r="R5772" s="255"/>
      <c r="S5772" s="255"/>
      <c r="T5772" s="255"/>
    </row>
    <row r="5773" spans="18:20" x14ac:dyDescent="0.3">
      <c r="R5773" s="255"/>
      <c r="S5773" s="255"/>
      <c r="T5773" s="255"/>
    </row>
    <row r="5774" spans="18:20" x14ac:dyDescent="0.3">
      <c r="R5774" s="255"/>
      <c r="S5774" s="255"/>
      <c r="T5774" s="255"/>
    </row>
    <row r="5775" spans="18:20" x14ac:dyDescent="0.3">
      <c r="R5775" s="255"/>
      <c r="S5775" s="255"/>
      <c r="T5775" s="255"/>
    </row>
    <row r="5776" spans="18:20" x14ac:dyDescent="0.3">
      <c r="R5776" s="255"/>
      <c r="S5776" s="255"/>
      <c r="T5776" s="255"/>
    </row>
    <row r="5777" spans="18:20" x14ac:dyDescent="0.3">
      <c r="R5777" s="255"/>
      <c r="S5777" s="255"/>
      <c r="T5777" s="255"/>
    </row>
    <row r="5778" spans="18:20" x14ac:dyDescent="0.3">
      <c r="R5778" s="255"/>
      <c r="S5778" s="255"/>
      <c r="T5778" s="255"/>
    </row>
    <row r="5779" spans="18:20" x14ac:dyDescent="0.3">
      <c r="R5779" s="255"/>
      <c r="S5779" s="255"/>
      <c r="T5779" s="255"/>
    </row>
    <row r="5780" spans="18:20" x14ac:dyDescent="0.3">
      <c r="R5780" s="255"/>
      <c r="S5780" s="255"/>
      <c r="T5780" s="255"/>
    </row>
    <row r="5781" spans="18:20" x14ac:dyDescent="0.3">
      <c r="R5781" s="255"/>
      <c r="S5781" s="255"/>
      <c r="T5781" s="255"/>
    </row>
    <row r="5782" spans="18:20" x14ac:dyDescent="0.3">
      <c r="R5782" s="255"/>
      <c r="S5782" s="255"/>
      <c r="T5782" s="255"/>
    </row>
    <row r="5783" spans="18:20" x14ac:dyDescent="0.3">
      <c r="R5783" s="255"/>
      <c r="S5783" s="255"/>
      <c r="T5783" s="255"/>
    </row>
    <row r="5784" spans="18:20" x14ac:dyDescent="0.3">
      <c r="R5784" s="255"/>
      <c r="S5784" s="255"/>
      <c r="T5784" s="255"/>
    </row>
    <row r="5785" spans="18:20" x14ac:dyDescent="0.3">
      <c r="R5785" s="255"/>
      <c r="S5785" s="255"/>
      <c r="T5785" s="255"/>
    </row>
    <row r="5786" spans="18:20" x14ac:dyDescent="0.3">
      <c r="R5786" s="255"/>
      <c r="S5786" s="255"/>
      <c r="T5786" s="255"/>
    </row>
    <row r="5787" spans="18:20" x14ac:dyDescent="0.3">
      <c r="R5787" s="255"/>
      <c r="S5787" s="255"/>
      <c r="T5787" s="255"/>
    </row>
    <row r="5788" spans="18:20" x14ac:dyDescent="0.3">
      <c r="R5788" s="255"/>
      <c r="S5788" s="255"/>
      <c r="T5788" s="255"/>
    </row>
    <row r="5789" spans="18:20" x14ac:dyDescent="0.3">
      <c r="R5789" s="255"/>
      <c r="S5789" s="255"/>
      <c r="T5789" s="255"/>
    </row>
    <row r="5790" spans="18:20" x14ac:dyDescent="0.3">
      <c r="R5790" s="255"/>
      <c r="S5790" s="255"/>
      <c r="T5790" s="255"/>
    </row>
    <row r="5791" spans="18:20" x14ac:dyDescent="0.3">
      <c r="R5791" s="255"/>
      <c r="S5791" s="255"/>
      <c r="T5791" s="255"/>
    </row>
    <row r="5792" spans="18:20" x14ac:dyDescent="0.3">
      <c r="R5792" s="255"/>
      <c r="S5792" s="255"/>
      <c r="T5792" s="255"/>
    </row>
    <row r="5793" spans="18:20" x14ac:dyDescent="0.3">
      <c r="R5793" s="255"/>
      <c r="S5793" s="255"/>
      <c r="T5793" s="255"/>
    </row>
    <row r="5794" spans="18:20" x14ac:dyDescent="0.3">
      <c r="R5794" s="255"/>
      <c r="S5794" s="255"/>
      <c r="T5794" s="255"/>
    </row>
    <row r="5795" spans="18:20" x14ac:dyDescent="0.3">
      <c r="R5795" s="255"/>
      <c r="S5795" s="255"/>
      <c r="T5795" s="255"/>
    </row>
    <row r="5796" spans="18:20" x14ac:dyDescent="0.3">
      <c r="R5796" s="255"/>
      <c r="S5796" s="255"/>
      <c r="T5796" s="255"/>
    </row>
    <row r="5797" spans="18:20" x14ac:dyDescent="0.3">
      <c r="R5797" s="255"/>
      <c r="S5797" s="255"/>
      <c r="T5797" s="255"/>
    </row>
    <row r="5798" spans="18:20" x14ac:dyDescent="0.3">
      <c r="R5798" s="255"/>
      <c r="S5798" s="255"/>
      <c r="T5798" s="255"/>
    </row>
    <row r="5799" spans="18:20" x14ac:dyDescent="0.3">
      <c r="R5799" s="255"/>
      <c r="S5799" s="255"/>
      <c r="T5799" s="255"/>
    </row>
    <row r="5800" spans="18:20" x14ac:dyDescent="0.3">
      <c r="R5800" s="255"/>
      <c r="S5800" s="255"/>
      <c r="T5800" s="255"/>
    </row>
    <row r="5801" spans="18:20" x14ac:dyDescent="0.3">
      <c r="R5801" s="255"/>
      <c r="S5801" s="255"/>
      <c r="T5801" s="255"/>
    </row>
    <row r="5802" spans="18:20" x14ac:dyDescent="0.3">
      <c r="R5802" s="255"/>
      <c r="S5802" s="255"/>
      <c r="T5802" s="255"/>
    </row>
    <row r="5803" spans="18:20" x14ac:dyDescent="0.3">
      <c r="R5803" s="255"/>
      <c r="S5803" s="255"/>
      <c r="T5803" s="255"/>
    </row>
    <row r="5804" spans="18:20" x14ac:dyDescent="0.3">
      <c r="R5804" s="255"/>
      <c r="S5804" s="255"/>
      <c r="T5804" s="255"/>
    </row>
    <row r="5805" spans="18:20" x14ac:dyDescent="0.3">
      <c r="R5805" s="255"/>
      <c r="S5805" s="255"/>
      <c r="T5805" s="255"/>
    </row>
    <row r="5806" spans="18:20" x14ac:dyDescent="0.3">
      <c r="R5806" s="255"/>
      <c r="S5806" s="255"/>
      <c r="T5806" s="255"/>
    </row>
    <row r="5807" spans="18:20" x14ac:dyDescent="0.3">
      <c r="R5807" s="255"/>
      <c r="S5807" s="255"/>
      <c r="T5807" s="255"/>
    </row>
    <row r="5808" spans="18:20" x14ac:dyDescent="0.3">
      <c r="R5808" s="255"/>
      <c r="S5808" s="255"/>
      <c r="T5808" s="255"/>
    </row>
    <row r="5809" spans="18:20" x14ac:dyDescent="0.3">
      <c r="R5809" s="255"/>
      <c r="S5809" s="255"/>
      <c r="T5809" s="255"/>
    </row>
    <row r="5810" spans="18:20" x14ac:dyDescent="0.3">
      <c r="R5810" s="255"/>
      <c r="S5810" s="255"/>
      <c r="T5810" s="255"/>
    </row>
    <row r="5811" spans="18:20" x14ac:dyDescent="0.3">
      <c r="R5811" s="255"/>
      <c r="S5811" s="255"/>
      <c r="T5811" s="255"/>
    </row>
    <row r="5812" spans="18:20" x14ac:dyDescent="0.3">
      <c r="R5812" s="255"/>
      <c r="S5812" s="255"/>
      <c r="T5812" s="255"/>
    </row>
    <row r="5813" spans="18:20" x14ac:dyDescent="0.3">
      <c r="R5813" s="255"/>
      <c r="S5813" s="255"/>
      <c r="T5813" s="255"/>
    </row>
    <row r="5814" spans="18:20" x14ac:dyDescent="0.3">
      <c r="R5814" s="255"/>
      <c r="S5814" s="255"/>
      <c r="T5814" s="255"/>
    </row>
    <row r="5815" spans="18:20" x14ac:dyDescent="0.3">
      <c r="R5815" s="255"/>
      <c r="S5815" s="255"/>
      <c r="T5815" s="255"/>
    </row>
    <row r="5816" spans="18:20" x14ac:dyDescent="0.3">
      <c r="R5816" s="255"/>
      <c r="S5816" s="255"/>
      <c r="T5816" s="255"/>
    </row>
    <row r="5817" spans="18:20" x14ac:dyDescent="0.3">
      <c r="R5817" s="255"/>
      <c r="S5817" s="255"/>
      <c r="T5817" s="255"/>
    </row>
    <row r="5818" spans="18:20" x14ac:dyDescent="0.3">
      <c r="R5818" s="255"/>
      <c r="S5818" s="255"/>
      <c r="T5818" s="255"/>
    </row>
    <row r="5819" spans="18:20" x14ac:dyDescent="0.3">
      <c r="R5819" s="255"/>
      <c r="S5819" s="255"/>
      <c r="T5819" s="255"/>
    </row>
    <row r="5820" spans="18:20" x14ac:dyDescent="0.3">
      <c r="R5820" s="255"/>
      <c r="S5820" s="255"/>
      <c r="T5820" s="255"/>
    </row>
    <row r="5821" spans="18:20" x14ac:dyDescent="0.3">
      <c r="R5821" s="255"/>
      <c r="S5821" s="255"/>
      <c r="T5821" s="255"/>
    </row>
    <row r="5822" spans="18:20" x14ac:dyDescent="0.3">
      <c r="R5822" s="255"/>
      <c r="S5822" s="255"/>
      <c r="T5822" s="255"/>
    </row>
    <row r="5823" spans="18:20" x14ac:dyDescent="0.3">
      <c r="R5823" s="255"/>
      <c r="S5823" s="255"/>
      <c r="T5823" s="255"/>
    </row>
    <row r="5824" spans="18:20" x14ac:dyDescent="0.3">
      <c r="R5824" s="255"/>
      <c r="S5824" s="255"/>
      <c r="T5824" s="255"/>
    </row>
    <row r="5825" spans="18:20" x14ac:dyDescent="0.3">
      <c r="R5825" s="255"/>
      <c r="S5825" s="255"/>
      <c r="T5825" s="255"/>
    </row>
    <row r="5826" spans="18:20" x14ac:dyDescent="0.3">
      <c r="R5826" s="255"/>
      <c r="S5826" s="255"/>
      <c r="T5826" s="255"/>
    </row>
    <row r="5827" spans="18:20" x14ac:dyDescent="0.3">
      <c r="R5827" s="255"/>
      <c r="S5827" s="255"/>
      <c r="T5827" s="255"/>
    </row>
    <row r="5828" spans="18:20" x14ac:dyDescent="0.3">
      <c r="R5828" s="255"/>
      <c r="S5828" s="255"/>
      <c r="T5828" s="255"/>
    </row>
    <row r="5829" spans="18:20" x14ac:dyDescent="0.3">
      <c r="R5829" s="255"/>
      <c r="S5829" s="255"/>
      <c r="T5829" s="255"/>
    </row>
    <row r="5830" spans="18:20" x14ac:dyDescent="0.3">
      <c r="R5830" s="255"/>
      <c r="S5830" s="255"/>
      <c r="T5830" s="255"/>
    </row>
    <row r="5831" spans="18:20" x14ac:dyDescent="0.3">
      <c r="R5831" s="255"/>
      <c r="S5831" s="255"/>
      <c r="T5831" s="255"/>
    </row>
    <row r="5832" spans="18:20" x14ac:dyDescent="0.3">
      <c r="R5832" s="255"/>
      <c r="S5832" s="255"/>
      <c r="T5832" s="255"/>
    </row>
    <row r="5833" spans="18:20" x14ac:dyDescent="0.3">
      <c r="R5833" s="255"/>
      <c r="S5833" s="255"/>
      <c r="T5833" s="255"/>
    </row>
    <row r="5834" spans="18:20" x14ac:dyDescent="0.3">
      <c r="R5834" s="255"/>
      <c r="S5834" s="255"/>
      <c r="T5834" s="255"/>
    </row>
    <row r="5835" spans="18:20" x14ac:dyDescent="0.3">
      <c r="R5835" s="255"/>
      <c r="S5835" s="255"/>
      <c r="T5835" s="255"/>
    </row>
    <row r="5836" spans="18:20" x14ac:dyDescent="0.3">
      <c r="R5836" s="255"/>
      <c r="S5836" s="255"/>
      <c r="T5836" s="255"/>
    </row>
    <row r="5837" spans="18:20" x14ac:dyDescent="0.3">
      <c r="R5837" s="255"/>
      <c r="S5837" s="255"/>
      <c r="T5837" s="255"/>
    </row>
    <row r="5838" spans="18:20" x14ac:dyDescent="0.3">
      <c r="R5838" s="255"/>
      <c r="S5838" s="255"/>
      <c r="T5838" s="255"/>
    </row>
    <row r="5839" spans="18:20" x14ac:dyDescent="0.3">
      <c r="R5839" s="255"/>
      <c r="S5839" s="255"/>
      <c r="T5839" s="255"/>
    </row>
    <row r="5840" spans="18:20" x14ac:dyDescent="0.3">
      <c r="R5840" s="255"/>
      <c r="S5840" s="255"/>
      <c r="T5840" s="255"/>
    </row>
    <row r="5841" spans="18:20" x14ac:dyDescent="0.3">
      <c r="R5841" s="255"/>
      <c r="S5841" s="255"/>
      <c r="T5841" s="255"/>
    </row>
    <row r="5842" spans="18:20" x14ac:dyDescent="0.3">
      <c r="R5842" s="255"/>
      <c r="S5842" s="255"/>
      <c r="T5842" s="255"/>
    </row>
    <row r="5843" spans="18:20" x14ac:dyDescent="0.3">
      <c r="R5843" s="255"/>
      <c r="S5843" s="255"/>
      <c r="T5843" s="255"/>
    </row>
    <row r="5844" spans="18:20" x14ac:dyDescent="0.3">
      <c r="R5844" s="255"/>
      <c r="S5844" s="255"/>
      <c r="T5844" s="255"/>
    </row>
    <row r="5845" spans="18:20" x14ac:dyDescent="0.3">
      <c r="R5845" s="255"/>
      <c r="S5845" s="255"/>
      <c r="T5845" s="255"/>
    </row>
    <row r="5846" spans="18:20" x14ac:dyDescent="0.3">
      <c r="R5846" s="255"/>
      <c r="S5846" s="255"/>
      <c r="T5846" s="255"/>
    </row>
    <row r="5847" spans="18:20" x14ac:dyDescent="0.3">
      <c r="R5847" s="255"/>
      <c r="S5847" s="255"/>
      <c r="T5847" s="255"/>
    </row>
    <row r="5848" spans="18:20" x14ac:dyDescent="0.3">
      <c r="R5848" s="255"/>
      <c r="S5848" s="255"/>
      <c r="T5848" s="255"/>
    </row>
    <row r="5849" spans="18:20" x14ac:dyDescent="0.3">
      <c r="R5849" s="255"/>
      <c r="S5849" s="255"/>
      <c r="T5849" s="255"/>
    </row>
    <row r="5850" spans="18:20" x14ac:dyDescent="0.3">
      <c r="R5850" s="255"/>
      <c r="S5850" s="255"/>
      <c r="T5850" s="255"/>
    </row>
    <row r="5851" spans="18:20" x14ac:dyDescent="0.3">
      <c r="R5851" s="255"/>
      <c r="S5851" s="255"/>
      <c r="T5851" s="255"/>
    </row>
    <row r="5852" spans="18:20" x14ac:dyDescent="0.3">
      <c r="R5852" s="255"/>
      <c r="S5852" s="255"/>
      <c r="T5852" s="255"/>
    </row>
    <row r="5853" spans="18:20" x14ac:dyDescent="0.3">
      <c r="R5853" s="255"/>
      <c r="S5853" s="255"/>
      <c r="T5853" s="255"/>
    </row>
    <row r="5854" spans="18:20" x14ac:dyDescent="0.3">
      <c r="R5854" s="255"/>
      <c r="S5854" s="255"/>
      <c r="T5854" s="255"/>
    </row>
    <row r="5855" spans="18:20" x14ac:dyDescent="0.3">
      <c r="R5855" s="255"/>
      <c r="S5855" s="255"/>
      <c r="T5855" s="255"/>
    </row>
    <row r="5856" spans="18:20" x14ac:dyDescent="0.3">
      <c r="R5856" s="255"/>
      <c r="S5856" s="255"/>
      <c r="T5856" s="255"/>
    </row>
    <row r="5857" spans="18:20" x14ac:dyDescent="0.3">
      <c r="R5857" s="255"/>
      <c r="S5857" s="255"/>
      <c r="T5857" s="255"/>
    </row>
    <row r="5858" spans="18:20" x14ac:dyDescent="0.3">
      <c r="R5858" s="255"/>
      <c r="S5858" s="255"/>
      <c r="T5858" s="255"/>
    </row>
    <row r="5859" spans="18:20" x14ac:dyDescent="0.3">
      <c r="R5859" s="255"/>
      <c r="S5859" s="255"/>
      <c r="T5859" s="255"/>
    </row>
    <row r="5860" spans="18:20" x14ac:dyDescent="0.3">
      <c r="R5860" s="255"/>
      <c r="S5860" s="255"/>
      <c r="T5860" s="255"/>
    </row>
    <row r="5861" spans="18:20" x14ac:dyDescent="0.3">
      <c r="R5861" s="255"/>
      <c r="S5861" s="255"/>
      <c r="T5861" s="255"/>
    </row>
    <row r="5862" spans="18:20" x14ac:dyDescent="0.3">
      <c r="R5862" s="255"/>
      <c r="S5862" s="255"/>
      <c r="T5862" s="255"/>
    </row>
    <row r="5863" spans="18:20" x14ac:dyDescent="0.3">
      <c r="R5863" s="255"/>
      <c r="S5863" s="255"/>
      <c r="T5863" s="255"/>
    </row>
    <row r="5864" spans="18:20" x14ac:dyDescent="0.3">
      <c r="R5864" s="255"/>
      <c r="S5864" s="255"/>
      <c r="T5864" s="255"/>
    </row>
    <row r="5865" spans="18:20" x14ac:dyDescent="0.3">
      <c r="R5865" s="255"/>
      <c r="S5865" s="255"/>
      <c r="T5865" s="255"/>
    </row>
    <row r="5866" spans="18:20" x14ac:dyDescent="0.3">
      <c r="R5866" s="255"/>
      <c r="S5866" s="255"/>
      <c r="T5866" s="255"/>
    </row>
    <row r="5867" spans="18:20" x14ac:dyDescent="0.3">
      <c r="R5867" s="255"/>
      <c r="S5867" s="255"/>
      <c r="T5867" s="255"/>
    </row>
    <row r="5868" spans="18:20" x14ac:dyDescent="0.3">
      <c r="R5868" s="255"/>
      <c r="S5868" s="255"/>
      <c r="T5868" s="255"/>
    </row>
    <row r="5869" spans="18:20" x14ac:dyDescent="0.3">
      <c r="R5869" s="255"/>
      <c r="S5869" s="255"/>
      <c r="T5869" s="255"/>
    </row>
    <row r="5870" spans="18:20" x14ac:dyDescent="0.3">
      <c r="R5870" s="255"/>
      <c r="S5870" s="255"/>
      <c r="T5870" s="255"/>
    </row>
    <row r="5871" spans="18:20" x14ac:dyDescent="0.3">
      <c r="R5871" s="255"/>
      <c r="S5871" s="255"/>
      <c r="T5871" s="255"/>
    </row>
    <row r="5872" spans="18:20" x14ac:dyDescent="0.3">
      <c r="R5872" s="255"/>
      <c r="S5872" s="255"/>
      <c r="T5872" s="255"/>
    </row>
    <row r="5873" spans="18:20" x14ac:dyDescent="0.3">
      <c r="R5873" s="255"/>
      <c r="S5873" s="255"/>
      <c r="T5873" s="255"/>
    </row>
    <row r="5874" spans="18:20" x14ac:dyDescent="0.3">
      <c r="R5874" s="255"/>
      <c r="S5874" s="255"/>
      <c r="T5874" s="255"/>
    </row>
    <row r="5875" spans="18:20" x14ac:dyDescent="0.3">
      <c r="R5875" s="255"/>
      <c r="S5875" s="255"/>
      <c r="T5875" s="255"/>
    </row>
    <row r="5876" spans="18:20" x14ac:dyDescent="0.3">
      <c r="R5876" s="255"/>
      <c r="S5876" s="255"/>
      <c r="T5876" s="255"/>
    </row>
    <row r="5877" spans="18:20" x14ac:dyDescent="0.3">
      <c r="R5877" s="255"/>
      <c r="S5877" s="255"/>
      <c r="T5877" s="255"/>
    </row>
    <row r="5878" spans="18:20" x14ac:dyDescent="0.3">
      <c r="R5878" s="255"/>
      <c r="S5878" s="255"/>
      <c r="T5878" s="255"/>
    </row>
    <row r="5879" spans="18:20" x14ac:dyDescent="0.3">
      <c r="R5879" s="255"/>
      <c r="S5879" s="255"/>
      <c r="T5879" s="255"/>
    </row>
    <row r="5880" spans="18:20" x14ac:dyDescent="0.3">
      <c r="R5880" s="255"/>
      <c r="S5880" s="255"/>
      <c r="T5880" s="255"/>
    </row>
    <row r="5881" spans="18:20" x14ac:dyDescent="0.3">
      <c r="R5881" s="255"/>
      <c r="S5881" s="255"/>
      <c r="T5881" s="255"/>
    </row>
    <row r="5882" spans="18:20" x14ac:dyDescent="0.3">
      <c r="R5882" s="255"/>
      <c r="S5882" s="255"/>
      <c r="T5882" s="255"/>
    </row>
    <row r="5883" spans="18:20" x14ac:dyDescent="0.3">
      <c r="R5883" s="255"/>
      <c r="S5883" s="255"/>
      <c r="T5883" s="255"/>
    </row>
    <row r="5884" spans="18:20" x14ac:dyDescent="0.3">
      <c r="R5884" s="255"/>
      <c r="S5884" s="255"/>
      <c r="T5884" s="255"/>
    </row>
    <row r="5885" spans="18:20" x14ac:dyDescent="0.3">
      <c r="R5885" s="255"/>
      <c r="S5885" s="255"/>
      <c r="T5885" s="255"/>
    </row>
    <row r="5886" spans="18:20" x14ac:dyDescent="0.3">
      <c r="R5886" s="255"/>
      <c r="S5886" s="255"/>
      <c r="T5886" s="255"/>
    </row>
    <row r="5887" spans="18:20" x14ac:dyDescent="0.3">
      <c r="R5887" s="255"/>
      <c r="S5887" s="255"/>
      <c r="T5887" s="255"/>
    </row>
    <row r="5888" spans="18:20" x14ac:dyDescent="0.3">
      <c r="R5888" s="255"/>
      <c r="S5888" s="255"/>
      <c r="T5888" s="255"/>
    </row>
    <row r="5889" spans="18:20" x14ac:dyDescent="0.3">
      <c r="R5889" s="255"/>
      <c r="S5889" s="255"/>
      <c r="T5889" s="255"/>
    </row>
    <row r="5890" spans="18:20" x14ac:dyDescent="0.3">
      <c r="R5890" s="255"/>
      <c r="S5890" s="255"/>
      <c r="T5890" s="255"/>
    </row>
    <row r="5891" spans="18:20" x14ac:dyDescent="0.3">
      <c r="R5891" s="255"/>
      <c r="S5891" s="255"/>
      <c r="T5891" s="255"/>
    </row>
    <row r="5892" spans="18:20" x14ac:dyDescent="0.3">
      <c r="R5892" s="255"/>
      <c r="S5892" s="255"/>
      <c r="T5892" s="255"/>
    </row>
    <row r="5893" spans="18:20" x14ac:dyDescent="0.3">
      <c r="R5893" s="255"/>
      <c r="S5893" s="255"/>
      <c r="T5893" s="255"/>
    </row>
    <row r="5894" spans="18:20" x14ac:dyDescent="0.3">
      <c r="R5894" s="255"/>
      <c r="S5894" s="255"/>
      <c r="T5894" s="255"/>
    </row>
    <row r="5895" spans="18:20" x14ac:dyDescent="0.3">
      <c r="R5895" s="255"/>
      <c r="S5895" s="255"/>
      <c r="T5895" s="255"/>
    </row>
    <row r="5896" spans="18:20" x14ac:dyDescent="0.3">
      <c r="R5896" s="255"/>
      <c r="S5896" s="255"/>
      <c r="T5896" s="255"/>
    </row>
    <row r="5897" spans="18:20" x14ac:dyDescent="0.3">
      <c r="R5897" s="255"/>
      <c r="S5897" s="255"/>
      <c r="T5897" s="255"/>
    </row>
    <row r="5898" spans="18:20" x14ac:dyDescent="0.3">
      <c r="R5898" s="255"/>
      <c r="S5898" s="255"/>
      <c r="T5898" s="255"/>
    </row>
    <row r="5899" spans="18:20" x14ac:dyDescent="0.3">
      <c r="R5899" s="255"/>
      <c r="S5899" s="255"/>
      <c r="T5899" s="255"/>
    </row>
    <row r="5900" spans="18:20" x14ac:dyDescent="0.3">
      <c r="R5900" s="255"/>
      <c r="S5900" s="255"/>
      <c r="T5900" s="255"/>
    </row>
    <row r="5901" spans="18:20" x14ac:dyDescent="0.3">
      <c r="R5901" s="255"/>
      <c r="S5901" s="255"/>
      <c r="T5901" s="255"/>
    </row>
    <row r="5902" spans="18:20" x14ac:dyDescent="0.3">
      <c r="R5902" s="255"/>
      <c r="S5902" s="255"/>
      <c r="T5902" s="255"/>
    </row>
    <row r="5903" spans="18:20" x14ac:dyDescent="0.3">
      <c r="R5903" s="255"/>
      <c r="S5903" s="255"/>
      <c r="T5903" s="255"/>
    </row>
    <row r="5904" spans="18:20" x14ac:dyDescent="0.3">
      <c r="R5904" s="255"/>
      <c r="S5904" s="255"/>
      <c r="T5904" s="255"/>
    </row>
    <row r="5905" spans="18:20" x14ac:dyDescent="0.3">
      <c r="R5905" s="255"/>
      <c r="S5905" s="255"/>
      <c r="T5905" s="255"/>
    </row>
    <row r="5906" spans="18:20" x14ac:dyDescent="0.3">
      <c r="R5906" s="255"/>
      <c r="S5906" s="255"/>
      <c r="T5906" s="255"/>
    </row>
    <row r="5907" spans="18:20" x14ac:dyDescent="0.3">
      <c r="R5907" s="255"/>
      <c r="S5907" s="255"/>
      <c r="T5907" s="255"/>
    </row>
    <row r="5908" spans="18:20" x14ac:dyDescent="0.3">
      <c r="R5908" s="255"/>
      <c r="S5908" s="255"/>
      <c r="T5908" s="255"/>
    </row>
    <row r="5909" spans="18:20" x14ac:dyDescent="0.3">
      <c r="R5909" s="255"/>
      <c r="S5909" s="255"/>
      <c r="T5909" s="255"/>
    </row>
    <row r="5910" spans="18:20" x14ac:dyDescent="0.3">
      <c r="R5910" s="255"/>
      <c r="S5910" s="255"/>
      <c r="T5910" s="255"/>
    </row>
    <row r="5911" spans="18:20" x14ac:dyDescent="0.3">
      <c r="R5911" s="255"/>
      <c r="S5911" s="255"/>
      <c r="T5911" s="255"/>
    </row>
    <row r="5912" spans="18:20" x14ac:dyDescent="0.3">
      <c r="R5912" s="255"/>
      <c r="S5912" s="255"/>
      <c r="T5912" s="255"/>
    </row>
    <row r="5913" spans="18:20" x14ac:dyDescent="0.3">
      <c r="R5913" s="255"/>
      <c r="S5913" s="255"/>
      <c r="T5913" s="255"/>
    </row>
    <row r="5914" spans="18:20" x14ac:dyDescent="0.3">
      <c r="R5914" s="255"/>
      <c r="S5914" s="255"/>
      <c r="T5914" s="255"/>
    </row>
    <row r="5915" spans="18:20" x14ac:dyDescent="0.3">
      <c r="R5915" s="255"/>
      <c r="S5915" s="255"/>
      <c r="T5915" s="255"/>
    </row>
    <row r="5916" spans="18:20" x14ac:dyDescent="0.3">
      <c r="R5916" s="255"/>
      <c r="S5916" s="255"/>
      <c r="T5916" s="255"/>
    </row>
    <row r="5917" spans="18:20" x14ac:dyDescent="0.3">
      <c r="R5917" s="255"/>
      <c r="S5917" s="255"/>
      <c r="T5917" s="255"/>
    </row>
    <row r="5918" spans="18:20" x14ac:dyDescent="0.3">
      <c r="R5918" s="255"/>
      <c r="S5918" s="255"/>
      <c r="T5918" s="255"/>
    </row>
    <row r="5919" spans="18:20" x14ac:dyDescent="0.3">
      <c r="R5919" s="255"/>
      <c r="S5919" s="255"/>
      <c r="T5919" s="255"/>
    </row>
    <row r="5920" spans="18:20" x14ac:dyDescent="0.3">
      <c r="R5920" s="255"/>
      <c r="S5920" s="255"/>
      <c r="T5920" s="255"/>
    </row>
    <row r="5921" spans="18:20" x14ac:dyDescent="0.3">
      <c r="R5921" s="255"/>
      <c r="S5921" s="255"/>
      <c r="T5921" s="255"/>
    </row>
    <row r="5922" spans="18:20" x14ac:dyDescent="0.3">
      <c r="R5922" s="255"/>
      <c r="S5922" s="255"/>
      <c r="T5922" s="255"/>
    </row>
    <row r="5923" spans="18:20" x14ac:dyDescent="0.3">
      <c r="R5923" s="255"/>
      <c r="S5923" s="255"/>
      <c r="T5923" s="255"/>
    </row>
    <row r="5924" spans="18:20" x14ac:dyDescent="0.3">
      <c r="R5924" s="255"/>
      <c r="S5924" s="255"/>
      <c r="T5924" s="255"/>
    </row>
    <row r="5925" spans="18:20" x14ac:dyDescent="0.3">
      <c r="R5925" s="255"/>
      <c r="S5925" s="255"/>
      <c r="T5925" s="255"/>
    </row>
    <row r="5926" spans="18:20" x14ac:dyDescent="0.3">
      <c r="R5926" s="255"/>
      <c r="S5926" s="255"/>
      <c r="T5926" s="255"/>
    </row>
    <row r="5927" spans="18:20" x14ac:dyDescent="0.3">
      <c r="R5927" s="255"/>
      <c r="S5927" s="255"/>
      <c r="T5927" s="255"/>
    </row>
    <row r="5928" spans="18:20" x14ac:dyDescent="0.3">
      <c r="R5928" s="255"/>
      <c r="S5928" s="255"/>
      <c r="T5928" s="255"/>
    </row>
    <row r="5929" spans="18:20" x14ac:dyDescent="0.3">
      <c r="R5929" s="255"/>
      <c r="S5929" s="255"/>
      <c r="T5929" s="255"/>
    </row>
    <row r="5930" spans="18:20" x14ac:dyDescent="0.3">
      <c r="R5930" s="255"/>
      <c r="S5930" s="255"/>
      <c r="T5930" s="255"/>
    </row>
    <row r="5931" spans="18:20" x14ac:dyDescent="0.3">
      <c r="R5931" s="255"/>
      <c r="S5931" s="255"/>
      <c r="T5931" s="255"/>
    </row>
    <row r="5932" spans="18:20" x14ac:dyDescent="0.3">
      <c r="R5932" s="255"/>
      <c r="S5932" s="255"/>
      <c r="T5932" s="255"/>
    </row>
    <row r="5933" spans="18:20" x14ac:dyDescent="0.3">
      <c r="R5933" s="255"/>
      <c r="S5933" s="255"/>
      <c r="T5933" s="255"/>
    </row>
    <row r="5934" spans="18:20" x14ac:dyDescent="0.3">
      <c r="R5934" s="255"/>
      <c r="S5934" s="255"/>
      <c r="T5934" s="255"/>
    </row>
    <row r="5935" spans="18:20" x14ac:dyDescent="0.3">
      <c r="R5935" s="255"/>
      <c r="S5935" s="255"/>
      <c r="T5935" s="255"/>
    </row>
    <row r="5936" spans="18:20" x14ac:dyDescent="0.3">
      <c r="R5936" s="255"/>
      <c r="S5936" s="255"/>
      <c r="T5936" s="255"/>
    </row>
    <row r="5937" spans="18:20" x14ac:dyDescent="0.3">
      <c r="R5937" s="255"/>
      <c r="S5937" s="255"/>
      <c r="T5937" s="255"/>
    </row>
    <row r="5938" spans="18:20" x14ac:dyDescent="0.3">
      <c r="R5938" s="255"/>
      <c r="S5938" s="255"/>
      <c r="T5938" s="255"/>
    </row>
    <row r="5939" spans="18:20" x14ac:dyDescent="0.3">
      <c r="R5939" s="255"/>
      <c r="S5939" s="255"/>
      <c r="T5939" s="255"/>
    </row>
    <row r="5940" spans="18:20" x14ac:dyDescent="0.3">
      <c r="R5940" s="255"/>
      <c r="S5940" s="255"/>
      <c r="T5940" s="255"/>
    </row>
    <row r="5941" spans="18:20" x14ac:dyDescent="0.3">
      <c r="R5941" s="255"/>
      <c r="S5941" s="255"/>
      <c r="T5941" s="255"/>
    </row>
    <row r="5942" spans="18:20" x14ac:dyDescent="0.3">
      <c r="R5942" s="255"/>
      <c r="S5942" s="255"/>
      <c r="T5942" s="255"/>
    </row>
    <row r="5943" spans="18:20" x14ac:dyDescent="0.3">
      <c r="R5943" s="255"/>
      <c r="S5943" s="255"/>
      <c r="T5943" s="255"/>
    </row>
    <row r="5944" spans="18:20" x14ac:dyDescent="0.3">
      <c r="R5944" s="255"/>
      <c r="S5944" s="255"/>
      <c r="T5944" s="255"/>
    </row>
    <row r="5945" spans="18:20" x14ac:dyDescent="0.3">
      <c r="R5945" s="255"/>
      <c r="S5945" s="255"/>
      <c r="T5945" s="255"/>
    </row>
    <row r="5946" spans="18:20" x14ac:dyDescent="0.3">
      <c r="R5946" s="255"/>
      <c r="S5946" s="255"/>
      <c r="T5946" s="255"/>
    </row>
    <row r="5947" spans="18:20" x14ac:dyDescent="0.3">
      <c r="R5947" s="255"/>
      <c r="S5947" s="255"/>
      <c r="T5947" s="255"/>
    </row>
    <row r="5948" spans="18:20" x14ac:dyDescent="0.3">
      <c r="R5948" s="255"/>
      <c r="S5948" s="255"/>
      <c r="T5948" s="255"/>
    </row>
    <row r="5949" spans="18:20" x14ac:dyDescent="0.3">
      <c r="R5949" s="255"/>
      <c r="S5949" s="255"/>
      <c r="T5949" s="255"/>
    </row>
    <row r="5950" spans="18:20" x14ac:dyDescent="0.3">
      <c r="R5950" s="255"/>
      <c r="S5950" s="255"/>
      <c r="T5950" s="255"/>
    </row>
    <row r="5951" spans="18:20" x14ac:dyDescent="0.3">
      <c r="R5951" s="255"/>
      <c r="S5951" s="255"/>
      <c r="T5951" s="255"/>
    </row>
    <row r="5952" spans="18:20" x14ac:dyDescent="0.3">
      <c r="R5952" s="255"/>
      <c r="S5952" s="255"/>
      <c r="T5952" s="255"/>
    </row>
    <row r="5953" spans="18:20" x14ac:dyDescent="0.3">
      <c r="R5953" s="255"/>
      <c r="S5953" s="255"/>
      <c r="T5953" s="255"/>
    </row>
    <row r="5954" spans="18:20" x14ac:dyDescent="0.3">
      <c r="R5954" s="255"/>
      <c r="S5954" s="255"/>
      <c r="T5954" s="255"/>
    </row>
    <row r="5955" spans="18:20" x14ac:dyDescent="0.3">
      <c r="R5955" s="255"/>
      <c r="S5955" s="255"/>
      <c r="T5955" s="255"/>
    </row>
    <row r="5956" spans="18:20" x14ac:dyDescent="0.3">
      <c r="R5956" s="255"/>
      <c r="S5956" s="255"/>
      <c r="T5956" s="255"/>
    </row>
    <row r="5957" spans="18:20" x14ac:dyDescent="0.3">
      <c r="R5957" s="255"/>
      <c r="S5957" s="255"/>
      <c r="T5957" s="255"/>
    </row>
    <row r="5958" spans="18:20" x14ac:dyDescent="0.3">
      <c r="R5958" s="255"/>
      <c r="S5958" s="255"/>
      <c r="T5958" s="255"/>
    </row>
    <row r="5959" spans="18:20" x14ac:dyDescent="0.3">
      <c r="R5959" s="255"/>
      <c r="S5959" s="255"/>
      <c r="T5959" s="255"/>
    </row>
    <row r="5960" spans="18:20" x14ac:dyDescent="0.3">
      <c r="R5960" s="255"/>
      <c r="S5960" s="255"/>
      <c r="T5960" s="255"/>
    </row>
    <row r="5961" spans="18:20" x14ac:dyDescent="0.3">
      <c r="R5961" s="255"/>
      <c r="S5961" s="255"/>
      <c r="T5961" s="255"/>
    </row>
    <row r="5962" spans="18:20" x14ac:dyDescent="0.3">
      <c r="R5962" s="255"/>
      <c r="S5962" s="255"/>
      <c r="T5962" s="255"/>
    </row>
    <row r="5963" spans="18:20" x14ac:dyDescent="0.3">
      <c r="R5963" s="255"/>
      <c r="S5963" s="255"/>
      <c r="T5963" s="255"/>
    </row>
    <row r="5964" spans="18:20" x14ac:dyDescent="0.3">
      <c r="R5964" s="255"/>
      <c r="S5964" s="255"/>
      <c r="T5964" s="255"/>
    </row>
    <row r="5965" spans="18:20" x14ac:dyDescent="0.3">
      <c r="R5965" s="255"/>
      <c r="S5965" s="255"/>
      <c r="T5965" s="255"/>
    </row>
    <row r="5966" spans="18:20" x14ac:dyDescent="0.3">
      <c r="R5966" s="255"/>
      <c r="S5966" s="255"/>
      <c r="T5966" s="255"/>
    </row>
    <row r="5967" spans="18:20" x14ac:dyDescent="0.3">
      <c r="R5967" s="255"/>
      <c r="S5967" s="255"/>
      <c r="T5967" s="255"/>
    </row>
    <row r="5968" spans="18:20" x14ac:dyDescent="0.3">
      <c r="R5968" s="255"/>
      <c r="S5968" s="255"/>
      <c r="T5968" s="255"/>
    </row>
    <row r="5969" spans="18:20" x14ac:dyDescent="0.3">
      <c r="R5969" s="255"/>
      <c r="S5969" s="255"/>
      <c r="T5969" s="255"/>
    </row>
    <row r="5970" spans="18:20" x14ac:dyDescent="0.3">
      <c r="R5970" s="255"/>
      <c r="S5970" s="255"/>
      <c r="T5970" s="255"/>
    </row>
    <row r="5971" spans="18:20" x14ac:dyDescent="0.3">
      <c r="R5971" s="255"/>
      <c r="S5971" s="255"/>
      <c r="T5971" s="255"/>
    </row>
    <row r="5972" spans="18:20" x14ac:dyDescent="0.3">
      <c r="R5972" s="255"/>
      <c r="S5972" s="255"/>
      <c r="T5972" s="255"/>
    </row>
    <row r="5973" spans="18:20" x14ac:dyDescent="0.3">
      <c r="R5973" s="255"/>
      <c r="S5973" s="255"/>
      <c r="T5973" s="255"/>
    </row>
    <row r="5974" spans="18:20" x14ac:dyDescent="0.3">
      <c r="R5974" s="255"/>
      <c r="S5974" s="255"/>
      <c r="T5974" s="255"/>
    </row>
    <row r="5975" spans="18:20" x14ac:dyDescent="0.3">
      <c r="R5975" s="255"/>
      <c r="S5975" s="255"/>
      <c r="T5975" s="255"/>
    </row>
    <row r="5976" spans="18:20" x14ac:dyDescent="0.3">
      <c r="R5976" s="255"/>
      <c r="S5976" s="255"/>
      <c r="T5976" s="255"/>
    </row>
    <row r="5977" spans="18:20" x14ac:dyDescent="0.3">
      <c r="R5977" s="255"/>
      <c r="S5977" s="255"/>
      <c r="T5977" s="255"/>
    </row>
    <row r="5978" spans="18:20" x14ac:dyDescent="0.3">
      <c r="R5978" s="255"/>
      <c r="S5978" s="255"/>
      <c r="T5978" s="255"/>
    </row>
    <row r="5979" spans="18:20" x14ac:dyDescent="0.3">
      <c r="R5979" s="255"/>
      <c r="S5979" s="255"/>
      <c r="T5979" s="255"/>
    </row>
    <row r="5980" spans="18:20" x14ac:dyDescent="0.3">
      <c r="R5980" s="255"/>
      <c r="S5980" s="255"/>
      <c r="T5980" s="255"/>
    </row>
    <row r="5981" spans="18:20" x14ac:dyDescent="0.3">
      <c r="R5981" s="255"/>
      <c r="S5981" s="255"/>
      <c r="T5981" s="255"/>
    </row>
    <row r="5982" spans="18:20" x14ac:dyDescent="0.3">
      <c r="R5982" s="255"/>
      <c r="S5982" s="255"/>
      <c r="T5982" s="255"/>
    </row>
    <row r="5983" spans="18:20" x14ac:dyDescent="0.3">
      <c r="R5983" s="255"/>
      <c r="S5983" s="255"/>
      <c r="T5983" s="255"/>
    </row>
    <row r="5984" spans="18:20" x14ac:dyDescent="0.3">
      <c r="R5984" s="255"/>
      <c r="S5984" s="255"/>
      <c r="T5984" s="255"/>
    </row>
    <row r="5985" spans="18:20" x14ac:dyDescent="0.3">
      <c r="R5985" s="255"/>
      <c r="S5985" s="255"/>
      <c r="T5985" s="255"/>
    </row>
    <row r="5986" spans="18:20" x14ac:dyDescent="0.3">
      <c r="R5986" s="255"/>
      <c r="S5986" s="255"/>
      <c r="T5986" s="255"/>
    </row>
    <row r="5987" spans="18:20" x14ac:dyDescent="0.3">
      <c r="R5987" s="255"/>
      <c r="S5987" s="255"/>
      <c r="T5987" s="255"/>
    </row>
    <row r="5988" spans="18:20" x14ac:dyDescent="0.3">
      <c r="R5988" s="255"/>
      <c r="S5988" s="255"/>
      <c r="T5988" s="255"/>
    </row>
    <row r="5989" spans="18:20" x14ac:dyDescent="0.3">
      <c r="R5989" s="255"/>
      <c r="S5989" s="255"/>
      <c r="T5989" s="255"/>
    </row>
    <row r="5990" spans="18:20" x14ac:dyDescent="0.3">
      <c r="R5990" s="255"/>
      <c r="S5990" s="255"/>
      <c r="T5990" s="255"/>
    </row>
    <row r="5991" spans="18:20" x14ac:dyDescent="0.3">
      <c r="R5991" s="255"/>
      <c r="S5991" s="255"/>
      <c r="T5991" s="255"/>
    </row>
    <row r="5992" spans="18:20" x14ac:dyDescent="0.3">
      <c r="R5992" s="255"/>
      <c r="S5992" s="255"/>
      <c r="T5992" s="255"/>
    </row>
    <row r="5993" spans="18:20" x14ac:dyDescent="0.3">
      <c r="R5993" s="255"/>
      <c r="S5993" s="255"/>
      <c r="T5993" s="255"/>
    </row>
    <row r="5994" spans="18:20" x14ac:dyDescent="0.3">
      <c r="R5994" s="255"/>
      <c r="S5994" s="255"/>
      <c r="T5994" s="255"/>
    </row>
    <row r="5995" spans="18:20" x14ac:dyDescent="0.3">
      <c r="R5995" s="255"/>
      <c r="S5995" s="255"/>
      <c r="T5995" s="255"/>
    </row>
    <row r="5996" spans="18:20" x14ac:dyDescent="0.3">
      <c r="R5996" s="255"/>
      <c r="S5996" s="255"/>
      <c r="T5996" s="255"/>
    </row>
    <row r="5997" spans="18:20" x14ac:dyDescent="0.3">
      <c r="R5997" s="255"/>
      <c r="S5997" s="255"/>
      <c r="T5997" s="255"/>
    </row>
    <row r="5998" spans="18:20" x14ac:dyDescent="0.3">
      <c r="R5998" s="255"/>
      <c r="S5998" s="255"/>
      <c r="T5998" s="255"/>
    </row>
    <row r="5999" spans="18:20" x14ac:dyDescent="0.3">
      <c r="R5999" s="255"/>
      <c r="S5999" s="255"/>
      <c r="T5999" s="255"/>
    </row>
    <row r="6000" spans="18:20" x14ac:dyDescent="0.3">
      <c r="R6000" s="255"/>
      <c r="S6000" s="255"/>
      <c r="T6000" s="255"/>
    </row>
    <row r="6001" spans="18:20" x14ac:dyDescent="0.3">
      <c r="R6001" s="255"/>
      <c r="S6001" s="255"/>
      <c r="T6001" s="255"/>
    </row>
    <row r="6002" spans="18:20" x14ac:dyDescent="0.3">
      <c r="R6002" s="255"/>
      <c r="S6002" s="255"/>
      <c r="T6002" s="255"/>
    </row>
    <row r="6003" spans="18:20" x14ac:dyDescent="0.3">
      <c r="R6003" s="255"/>
      <c r="S6003" s="255"/>
      <c r="T6003" s="255"/>
    </row>
    <row r="6004" spans="18:20" x14ac:dyDescent="0.3">
      <c r="R6004" s="255"/>
      <c r="S6004" s="255"/>
      <c r="T6004" s="255"/>
    </row>
    <row r="6005" spans="18:20" x14ac:dyDescent="0.3">
      <c r="R6005" s="255"/>
      <c r="S6005" s="255"/>
      <c r="T6005" s="255"/>
    </row>
    <row r="6006" spans="18:20" x14ac:dyDescent="0.3">
      <c r="R6006" s="255"/>
      <c r="S6006" s="255"/>
      <c r="T6006" s="255"/>
    </row>
    <row r="6007" spans="18:20" x14ac:dyDescent="0.3">
      <c r="R6007" s="255"/>
      <c r="S6007" s="255"/>
      <c r="T6007" s="255"/>
    </row>
    <row r="6008" spans="18:20" x14ac:dyDescent="0.3">
      <c r="R6008" s="255"/>
      <c r="S6008" s="255"/>
      <c r="T6008" s="255"/>
    </row>
    <row r="6009" spans="18:20" x14ac:dyDescent="0.3">
      <c r="R6009" s="255"/>
      <c r="S6009" s="255"/>
      <c r="T6009" s="255"/>
    </row>
    <row r="6010" spans="18:20" x14ac:dyDescent="0.3">
      <c r="R6010" s="255"/>
      <c r="S6010" s="255"/>
      <c r="T6010" s="255"/>
    </row>
    <row r="6011" spans="18:20" x14ac:dyDescent="0.3">
      <c r="R6011" s="255"/>
      <c r="S6011" s="255"/>
      <c r="T6011" s="255"/>
    </row>
    <row r="6012" spans="18:20" x14ac:dyDescent="0.3">
      <c r="R6012" s="255"/>
      <c r="S6012" s="255"/>
      <c r="T6012" s="255"/>
    </row>
    <row r="6013" spans="18:20" x14ac:dyDescent="0.3">
      <c r="R6013" s="255"/>
      <c r="S6013" s="255"/>
      <c r="T6013" s="255"/>
    </row>
    <row r="6014" spans="18:20" x14ac:dyDescent="0.3">
      <c r="R6014" s="255"/>
      <c r="S6014" s="255"/>
      <c r="T6014" s="255"/>
    </row>
    <row r="6015" spans="18:20" x14ac:dyDescent="0.3">
      <c r="R6015" s="255"/>
      <c r="S6015" s="255"/>
      <c r="T6015" s="255"/>
    </row>
    <row r="6016" spans="18:20" x14ac:dyDescent="0.3">
      <c r="R6016" s="255"/>
      <c r="S6016" s="255"/>
      <c r="T6016" s="255"/>
    </row>
    <row r="6017" spans="18:20" x14ac:dyDescent="0.3">
      <c r="R6017" s="255"/>
      <c r="S6017" s="255"/>
      <c r="T6017" s="255"/>
    </row>
    <row r="6018" spans="18:20" x14ac:dyDescent="0.3">
      <c r="R6018" s="255"/>
      <c r="S6018" s="255"/>
      <c r="T6018" s="255"/>
    </row>
    <row r="6019" spans="18:20" x14ac:dyDescent="0.3">
      <c r="R6019" s="255"/>
      <c r="S6019" s="255"/>
      <c r="T6019" s="255"/>
    </row>
    <row r="6020" spans="18:20" x14ac:dyDescent="0.3">
      <c r="R6020" s="255"/>
      <c r="S6020" s="255"/>
      <c r="T6020" s="255"/>
    </row>
    <row r="6021" spans="18:20" x14ac:dyDescent="0.3">
      <c r="R6021" s="255"/>
      <c r="S6021" s="255"/>
      <c r="T6021" s="255"/>
    </row>
    <row r="6022" spans="18:20" x14ac:dyDescent="0.3">
      <c r="R6022" s="255"/>
      <c r="S6022" s="255"/>
      <c r="T6022" s="255"/>
    </row>
    <row r="6023" spans="18:20" x14ac:dyDescent="0.3">
      <c r="R6023" s="255"/>
      <c r="S6023" s="255"/>
      <c r="T6023" s="255"/>
    </row>
    <row r="6024" spans="18:20" x14ac:dyDescent="0.3">
      <c r="R6024" s="255"/>
      <c r="S6024" s="255"/>
      <c r="T6024" s="255"/>
    </row>
    <row r="6025" spans="18:20" x14ac:dyDescent="0.3">
      <c r="R6025" s="255"/>
      <c r="S6025" s="255"/>
      <c r="T6025" s="255"/>
    </row>
    <row r="6026" spans="18:20" x14ac:dyDescent="0.3">
      <c r="R6026" s="255"/>
      <c r="S6026" s="255"/>
      <c r="T6026" s="255"/>
    </row>
    <row r="6027" spans="18:20" x14ac:dyDescent="0.3">
      <c r="R6027" s="255"/>
      <c r="S6027" s="255"/>
      <c r="T6027" s="255"/>
    </row>
    <row r="6028" spans="18:20" x14ac:dyDescent="0.3">
      <c r="R6028" s="255"/>
      <c r="S6028" s="255"/>
      <c r="T6028" s="255"/>
    </row>
    <row r="6029" spans="18:20" x14ac:dyDescent="0.3">
      <c r="R6029" s="255"/>
      <c r="S6029" s="255"/>
      <c r="T6029" s="255"/>
    </row>
    <row r="6030" spans="18:20" x14ac:dyDescent="0.3">
      <c r="R6030" s="255"/>
      <c r="S6030" s="255"/>
      <c r="T6030" s="255"/>
    </row>
    <row r="6031" spans="18:20" x14ac:dyDescent="0.3">
      <c r="R6031" s="255"/>
      <c r="S6031" s="255"/>
      <c r="T6031" s="255"/>
    </row>
    <row r="6032" spans="18:20" x14ac:dyDescent="0.3">
      <c r="R6032" s="255"/>
      <c r="S6032" s="255"/>
      <c r="T6032" s="255"/>
    </row>
    <row r="6033" spans="18:20" x14ac:dyDescent="0.3">
      <c r="R6033" s="255"/>
      <c r="S6033" s="255"/>
      <c r="T6033" s="255"/>
    </row>
    <row r="6034" spans="18:20" x14ac:dyDescent="0.3">
      <c r="R6034" s="255"/>
      <c r="S6034" s="255"/>
      <c r="T6034" s="255"/>
    </row>
    <row r="6035" spans="18:20" x14ac:dyDescent="0.3">
      <c r="R6035" s="255"/>
      <c r="S6035" s="255"/>
      <c r="T6035" s="255"/>
    </row>
    <row r="6036" spans="18:20" x14ac:dyDescent="0.3">
      <c r="R6036" s="255"/>
      <c r="S6036" s="255"/>
      <c r="T6036" s="255"/>
    </row>
    <row r="6037" spans="18:20" x14ac:dyDescent="0.3">
      <c r="R6037" s="255"/>
      <c r="S6037" s="255"/>
      <c r="T6037" s="255"/>
    </row>
    <row r="6038" spans="18:20" x14ac:dyDescent="0.3">
      <c r="R6038" s="255"/>
      <c r="S6038" s="255"/>
      <c r="T6038" s="255"/>
    </row>
    <row r="6039" spans="18:20" x14ac:dyDescent="0.3">
      <c r="R6039" s="255"/>
      <c r="S6039" s="255"/>
      <c r="T6039" s="255"/>
    </row>
    <row r="6040" spans="18:20" x14ac:dyDescent="0.3">
      <c r="R6040" s="255"/>
      <c r="S6040" s="255"/>
      <c r="T6040" s="255"/>
    </row>
    <row r="6041" spans="18:20" x14ac:dyDescent="0.3">
      <c r="R6041" s="255"/>
      <c r="S6041" s="255"/>
      <c r="T6041" s="255"/>
    </row>
    <row r="6042" spans="18:20" x14ac:dyDescent="0.3">
      <c r="R6042" s="255"/>
      <c r="S6042" s="255"/>
      <c r="T6042" s="255"/>
    </row>
    <row r="6043" spans="18:20" x14ac:dyDescent="0.3">
      <c r="R6043" s="255"/>
      <c r="S6043" s="255"/>
      <c r="T6043" s="255"/>
    </row>
    <row r="6044" spans="18:20" x14ac:dyDescent="0.3">
      <c r="R6044" s="255"/>
      <c r="S6044" s="255"/>
      <c r="T6044" s="255"/>
    </row>
    <row r="6045" spans="18:20" x14ac:dyDescent="0.3">
      <c r="R6045" s="255"/>
      <c r="S6045" s="255"/>
      <c r="T6045" s="255"/>
    </row>
    <row r="6046" spans="18:20" x14ac:dyDescent="0.3">
      <c r="R6046" s="255"/>
      <c r="S6046" s="255"/>
      <c r="T6046" s="255"/>
    </row>
    <row r="6047" spans="18:20" x14ac:dyDescent="0.3">
      <c r="R6047" s="255"/>
      <c r="S6047" s="255"/>
      <c r="T6047" s="255"/>
    </row>
    <row r="6048" spans="18:20" x14ac:dyDescent="0.3">
      <c r="R6048" s="255"/>
      <c r="S6048" s="255"/>
      <c r="T6048" s="255"/>
    </row>
    <row r="6049" spans="18:20" x14ac:dyDescent="0.3">
      <c r="R6049" s="255"/>
      <c r="S6049" s="255"/>
      <c r="T6049" s="255"/>
    </row>
    <row r="6050" spans="18:20" x14ac:dyDescent="0.3">
      <c r="R6050" s="255"/>
      <c r="S6050" s="255"/>
      <c r="T6050" s="255"/>
    </row>
    <row r="6051" spans="18:20" x14ac:dyDescent="0.3">
      <c r="R6051" s="255"/>
      <c r="S6051" s="255"/>
      <c r="T6051" s="255"/>
    </row>
    <row r="6052" spans="18:20" x14ac:dyDescent="0.3">
      <c r="R6052" s="255"/>
      <c r="S6052" s="255"/>
      <c r="T6052" s="255"/>
    </row>
    <row r="6053" spans="18:20" x14ac:dyDescent="0.3">
      <c r="R6053" s="255"/>
      <c r="S6053" s="255"/>
      <c r="T6053" s="255"/>
    </row>
    <row r="6054" spans="18:20" x14ac:dyDescent="0.3">
      <c r="R6054" s="255"/>
      <c r="S6054" s="255"/>
      <c r="T6054" s="255"/>
    </row>
    <row r="6055" spans="18:20" x14ac:dyDescent="0.3">
      <c r="R6055" s="255"/>
      <c r="S6055" s="255"/>
      <c r="T6055" s="255"/>
    </row>
    <row r="6056" spans="18:20" x14ac:dyDescent="0.3">
      <c r="R6056" s="255"/>
      <c r="S6056" s="255"/>
      <c r="T6056" s="255"/>
    </row>
    <row r="6057" spans="18:20" x14ac:dyDescent="0.3">
      <c r="R6057" s="255"/>
      <c r="S6057" s="255"/>
      <c r="T6057" s="255"/>
    </row>
    <row r="6058" spans="18:20" x14ac:dyDescent="0.3">
      <c r="R6058" s="255"/>
      <c r="S6058" s="255"/>
      <c r="T6058" s="255"/>
    </row>
    <row r="6059" spans="18:20" x14ac:dyDescent="0.3">
      <c r="R6059" s="255"/>
      <c r="S6059" s="255"/>
      <c r="T6059" s="255"/>
    </row>
    <row r="6060" spans="18:20" x14ac:dyDescent="0.3">
      <c r="R6060" s="255"/>
      <c r="S6060" s="255"/>
      <c r="T6060" s="255"/>
    </row>
    <row r="6061" spans="18:20" x14ac:dyDescent="0.3">
      <c r="R6061" s="255"/>
      <c r="S6061" s="255"/>
      <c r="T6061" s="255"/>
    </row>
    <row r="6062" spans="18:20" x14ac:dyDescent="0.3">
      <c r="R6062" s="255"/>
      <c r="S6062" s="255"/>
      <c r="T6062" s="255"/>
    </row>
    <row r="6063" spans="18:20" x14ac:dyDescent="0.3">
      <c r="R6063" s="255"/>
      <c r="S6063" s="255"/>
      <c r="T6063" s="255"/>
    </row>
    <row r="6064" spans="18:20" x14ac:dyDescent="0.3">
      <c r="R6064" s="255"/>
      <c r="S6064" s="255"/>
      <c r="T6064" s="255"/>
    </row>
    <row r="6065" spans="18:20" x14ac:dyDescent="0.3">
      <c r="R6065" s="255"/>
      <c r="S6065" s="255"/>
      <c r="T6065" s="255"/>
    </row>
    <row r="6066" spans="18:20" x14ac:dyDescent="0.3">
      <c r="R6066" s="255"/>
      <c r="S6066" s="255"/>
      <c r="T6066" s="255"/>
    </row>
    <row r="6067" spans="18:20" x14ac:dyDescent="0.3">
      <c r="R6067" s="255"/>
      <c r="S6067" s="255"/>
      <c r="T6067" s="255"/>
    </row>
    <row r="6068" spans="18:20" x14ac:dyDescent="0.3">
      <c r="R6068" s="255"/>
      <c r="S6068" s="255"/>
      <c r="T6068" s="255"/>
    </row>
    <row r="6069" spans="18:20" x14ac:dyDescent="0.3">
      <c r="R6069" s="255"/>
      <c r="S6069" s="255"/>
      <c r="T6069" s="255"/>
    </row>
    <row r="6070" spans="18:20" x14ac:dyDescent="0.3">
      <c r="R6070" s="255"/>
      <c r="S6070" s="255"/>
      <c r="T6070" s="255"/>
    </row>
    <row r="6071" spans="18:20" x14ac:dyDescent="0.3">
      <c r="R6071" s="255"/>
      <c r="S6071" s="255"/>
      <c r="T6071" s="255"/>
    </row>
    <row r="6072" spans="18:20" x14ac:dyDescent="0.3">
      <c r="R6072" s="255"/>
      <c r="S6072" s="255"/>
      <c r="T6072" s="255"/>
    </row>
    <row r="6073" spans="18:20" x14ac:dyDescent="0.3">
      <c r="R6073" s="255"/>
      <c r="S6073" s="255"/>
      <c r="T6073" s="255"/>
    </row>
    <row r="6074" spans="18:20" x14ac:dyDescent="0.3">
      <c r="R6074" s="255"/>
      <c r="S6074" s="255"/>
      <c r="T6074" s="255"/>
    </row>
    <row r="6075" spans="18:20" x14ac:dyDescent="0.3">
      <c r="R6075" s="255"/>
      <c r="S6075" s="255"/>
      <c r="T6075" s="255"/>
    </row>
    <row r="6076" spans="18:20" x14ac:dyDescent="0.3">
      <c r="R6076" s="255"/>
      <c r="S6076" s="255"/>
      <c r="T6076" s="255"/>
    </row>
    <row r="6077" spans="18:20" x14ac:dyDescent="0.3">
      <c r="R6077" s="255"/>
      <c r="S6077" s="255"/>
      <c r="T6077" s="255"/>
    </row>
    <row r="6078" spans="18:20" x14ac:dyDescent="0.3">
      <c r="R6078" s="255"/>
      <c r="S6078" s="255"/>
      <c r="T6078" s="255"/>
    </row>
    <row r="6079" spans="18:20" x14ac:dyDescent="0.3">
      <c r="R6079" s="255"/>
      <c r="S6079" s="255"/>
      <c r="T6079" s="255"/>
    </row>
    <row r="6080" spans="18:20" x14ac:dyDescent="0.3">
      <c r="R6080" s="255"/>
      <c r="S6080" s="255"/>
      <c r="T6080" s="255"/>
    </row>
    <row r="6081" spans="18:20" x14ac:dyDescent="0.3">
      <c r="R6081" s="255"/>
      <c r="S6081" s="255"/>
      <c r="T6081" s="255"/>
    </row>
    <row r="6082" spans="18:20" x14ac:dyDescent="0.3">
      <c r="R6082" s="255"/>
      <c r="S6082" s="255"/>
      <c r="T6082" s="255"/>
    </row>
    <row r="6083" spans="18:20" x14ac:dyDescent="0.3">
      <c r="R6083" s="255"/>
      <c r="S6083" s="255"/>
      <c r="T6083" s="255"/>
    </row>
    <row r="6084" spans="18:20" x14ac:dyDescent="0.3">
      <c r="R6084" s="255"/>
      <c r="S6084" s="255"/>
      <c r="T6084" s="255"/>
    </row>
    <row r="6085" spans="18:20" x14ac:dyDescent="0.3">
      <c r="R6085" s="255"/>
      <c r="S6085" s="255"/>
      <c r="T6085" s="255"/>
    </row>
    <row r="6086" spans="18:20" x14ac:dyDescent="0.3">
      <c r="R6086" s="255"/>
      <c r="S6086" s="255"/>
      <c r="T6086" s="255"/>
    </row>
    <row r="6087" spans="18:20" x14ac:dyDescent="0.3">
      <c r="R6087" s="255"/>
      <c r="S6087" s="255"/>
      <c r="T6087" s="255"/>
    </row>
    <row r="6088" spans="18:20" x14ac:dyDescent="0.3">
      <c r="R6088" s="255"/>
      <c r="S6088" s="255"/>
      <c r="T6088" s="255"/>
    </row>
    <row r="6089" spans="18:20" x14ac:dyDescent="0.3">
      <c r="R6089" s="255"/>
      <c r="S6089" s="255"/>
      <c r="T6089" s="255"/>
    </row>
    <row r="6090" spans="18:20" x14ac:dyDescent="0.3">
      <c r="R6090" s="255"/>
      <c r="S6090" s="255"/>
      <c r="T6090" s="255"/>
    </row>
    <row r="6091" spans="18:20" x14ac:dyDescent="0.3">
      <c r="R6091" s="255"/>
      <c r="S6091" s="255"/>
      <c r="T6091" s="255"/>
    </row>
    <row r="6092" spans="18:20" x14ac:dyDescent="0.3">
      <c r="R6092" s="255"/>
      <c r="S6092" s="255"/>
      <c r="T6092" s="255"/>
    </row>
    <row r="6093" spans="18:20" x14ac:dyDescent="0.3">
      <c r="R6093" s="255"/>
      <c r="S6093" s="255"/>
      <c r="T6093" s="255"/>
    </row>
    <row r="6094" spans="18:20" x14ac:dyDescent="0.3">
      <c r="R6094" s="255"/>
      <c r="S6094" s="255"/>
      <c r="T6094" s="255"/>
    </row>
    <row r="6095" spans="18:20" x14ac:dyDescent="0.3">
      <c r="R6095" s="255"/>
      <c r="S6095" s="255"/>
      <c r="T6095" s="255"/>
    </row>
    <row r="6096" spans="18:20" x14ac:dyDescent="0.3">
      <c r="R6096" s="255"/>
      <c r="S6096" s="255"/>
      <c r="T6096" s="255"/>
    </row>
    <row r="6097" spans="18:20" x14ac:dyDescent="0.3">
      <c r="R6097" s="255"/>
      <c r="S6097" s="255"/>
      <c r="T6097" s="255"/>
    </row>
    <row r="6098" spans="18:20" x14ac:dyDescent="0.3">
      <c r="R6098" s="255"/>
      <c r="S6098" s="255"/>
      <c r="T6098" s="255"/>
    </row>
    <row r="6099" spans="18:20" x14ac:dyDescent="0.3">
      <c r="R6099" s="255"/>
      <c r="S6099" s="255"/>
      <c r="T6099" s="255"/>
    </row>
    <row r="6100" spans="18:20" x14ac:dyDescent="0.3">
      <c r="R6100" s="255"/>
      <c r="S6100" s="255"/>
      <c r="T6100" s="255"/>
    </row>
    <row r="6101" spans="18:20" x14ac:dyDescent="0.3">
      <c r="R6101" s="255"/>
      <c r="S6101" s="255"/>
      <c r="T6101" s="255"/>
    </row>
    <row r="6102" spans="18:20" x14ac:dyDescent="0.3">
      <c r="R6102" s="255"/>
      <c r="S6102" s="255"/>
      <c r="T6102" s="255"/>
    </row>
    <row r="6103" spans="18:20" x14ac:dyDescent="0.3">
      <c r="R6103" s="255"/>
      <c r="S6103" s="255"/>
      <c r="T6103" s="255"/>
    </row>
    <row r="6104" spans="18:20" x14ac:dyDescent="0.3">
      <c r="R6104" s="255"/>
      <c r="S6104" s="255"/>
      <c r="T6104" s="255"/>
    </row>
    <row r="6105" spans="18:20" x14ac:dyDescent="0.3">
      <c r="R6105" s="255"/>
      <c r="S6105" s="255"/>
      <c r="T6105" s="255"/>
    </row>
    <row r="6106" spans="18:20" x14ac:dyDescent="0.3">
      <c r="R6106" s="255"/>
      <c r="S6106" s="255"/>
      <c r="T6106" s="255"/>
    </row>
    <row r="6107" spans="18:20" x14ac:dyDescent="0.3">
      <c r="R6107" s="255"/>
      <c r="S6107" s="255"/>
      <c r="T6107" s="255"/>
    </row>
    <row r="6108" spans="18:20" x14ac:dyDescent="0.3">
      <c r="R6108" s="255"/>
      <c r="S6108" s="255"/>
      <c r="T6108" s="255"/>
    </row>
    <row r="6109" spans="18:20" x14ac:dyDescent="0.3">
      <c r="R6109" s="255"/>
      <c r="S6109" s="255"/>
      <c r="T6109" s="255"/>
    </row>
    <row r="6110" spans="18:20" x14ac:dyDescent="0.3">
      <c r="R6110" s="255"/>
      <c r="S6110" s="255"/>
      <c r="T6110" s="255"/>
    </row>
    <row r="6111" spans="18:20" x14ac:dyDescent="0.3">
      <c r="R6111" s="255"/>
      <c r="S6111" s="255"/>
      <c r="T6111" s="255"/>
    </row>
    <row r="6112" spans="18:20" x14ac:dyDescent="0.3">
      <c r="R6112" s="255"/>
      <c r="S6112" s="255"/>
      <c r="T6112" s="255"/>
    </row>
    <row r="6113" spans="18:20" x14ac:dyDescent="0.3">
      <c r="R6113" s="255"/>
      <c r="S6113" s="255"/>
      <c r="T6113" s="255"/>
    </row>
    <row r="6114" spans="18:20" x14ac:dyDescent="0.3">
      <c r="R6114" s="255"/>
      <c r="S6114" s="255"/>
      <c r="T6114" s="255"/>
    </row>
    <row r="6115" spans="18:20" x14ac:dyDescent="0.3">
      <c r="R6115" s="255"/>
      <c r="S6115" s="255"/>
      <c r="T6115" s="255"/>
    </row>
    <row r="6116" spans="18:20" x14ac:dyDescent="0.3">
      <c r="R6116" s="255"/>
      <c r="S6116" s="255"/>
      <c r="T6116" s="255"/>
    </row>
    <row r="6117" spans="18:20" x14ac:dyDescent="0.3">
      <c r="R6117" s="255"/>
      <c r="S6117" s="255"/>
      <c r="T6117" s="255"/>
    </row>
    <row r="6118" spans="18:20" x14ac:dyDescent="0.3">
      <c r="R6118" s="255"/>
      <c r="S6118" s="255"/>
      <c r="T6118" s="255"/>
    </row>
    <row r="6119" spans="18:20" x14ac:dyDescent="0.3">
      <c r="R6119" s="255"/>
      <c r="S6119" s="255"/>
      <c r="T6119" s="255"/>
    </row>
    <row r="6120" spans="18:20" x14ac:dyDescent="0.3">
      <c r="R6120" s="255"/>
      <c r="S6120" s="255"/>
      <c r="T6120" s="255"/>
    </row>
    <row r="6121" spans="18:20" x14ac:dyDescent="0.3">
      <c r="R6121" s="255"/>
      <c r="S6121" s="255"/>
      <c r="T6121" s="255"/>
    </row>
    <row r="6122" spans="18:20" x14ac:dyDescent="0.3">
      <c r="R6122" s="255"/>
      <c r="S6122" s="255"/>
      <c r="T6122" s="255"/>
    </row>
    <row r="6123" spans="18:20" x14ac:dyDescent="0.3">
      <c r="R6123" s="255"/>
      <c r="S6123" s="255"/>
      <c r="T6123" s="255"/>
    </row>
    <row r="6124" spans="18:20" x14ac:dyDescent="0.3">
      <c r="R6124" s="255"/>
      <c r="S6124" s="255"/>
      <c r="T6124" s="255"/>
    </row>
    <row r="6125" spans="18:20" x14ac:dyDescent="0.3">
      <c r="R6125" s="255"/>
      <c r="S6125" s="255"/>
      <c r="T6125" s="255"/>
    </row>
    <row r="6126" spans="18:20" x14ac:dyDescent="0.3">
      <c r="R6126" s="255"/>
      <c r="S6126" s="255"/>
      <c r="T6126" s="255"/>
    </row>
    <row r="6127" spans="18:20" x14ac:dyDescent="0.3">
      <c r="R6127" s="255"/>
      <c r="S6127" s="255"/>
      <c r="T6127" s="255"/>
    </row>
    <row r="6128" spans="18:20" x14ac:dyDescent="0.3">
      <c r="R6128" s="255"/>
      <c r="S6128" s="255"/>
      <c r="T6128" s="255"/>
    </row>
    <row r="6129" spans="18:20" x14ac:dyDescent="0.3">
      <c r="R6129" s="255"/>
      <c r="S6129" s="255"/>
      <c r="T6129" s="255"/>
    </row>
    <row r="6130" spans="18:20" x14ac:dyDescent="0.3">
      <c r="R6130" s="255"/>
      <c r="S6130" s="255"/>
      <c r="T6130" s="255"/>
    </row>
    <row r="6131" spans="18:20" x14ac:dyDescent="0.3">
      <c r="R6131" s="255"/>
      <c r="S6131" s="255"/>
      <c r="T6131" s="255"/>
    </row>
    <row r="6132" spans="18:20" x14ac:dyDescent="0.3">
      <c r="R6132" s="255"/>
      <c r="S6132" s="255"/>
      <c r="T6132" s="255"/>
    </row>
    <row r="6133" spans="18:20" x14ac:dyDescent="0.3">
      <c r="R6133" s="255"/>
      <c r="S6133" s="255"/>
      <c r="T6133" s="255"/>
    </row>
    <row r="6134" spans="18:20" x14ac:dyDescent="0.3">
      <c r="R6134" s="255"/>
      <c r="S6134" s="255"/>
      <c r="T6134" s="255"/>
    </row>
    <row r="6135" spans="18:20" x14ac:dyDescent="0.3">
      <c r="R6135" s="255"/>
      <c r="S6135" s="255"/>
      <c r="T6135" s="255"/>
    </row>
    <row r="6136" spans="18:20" x14ac:dyDescent="0.3">
      <c r="R6136" s="255"/>
      <c r="S6136" s="255"/>
      <c r="T6136" s="255"/>
    </row>
    <row r="6137" spans="18:20" x14ac:dyDescent="0.3">
      <c r="R6137" s="255"/>
      <c r="S6137" s="255"/>
      <c r="T6137" s="255"/>
    </row>
    <row r="6138" spans="18:20" x14ac:dyDescent="0.3">
      <c r="R6138" s="255"/>
      <c r="S6138" s="255"/>
      <c r="T6138" s="255"/>
    </row>
    <row r="6139" spans="18:20" x14ac:dyDescent="0.3">
      <c r="R6139" s="255"/>
      <c r="S6139" s="255"/>
      <c r="T6139" s="255"/>
    </row>
    <row r="6140" spans="18:20" x14ac:dyDescent="0.3">
      <c r="R6140" s="255"/>
      <c r="S6140" s="255"/>
      <c r="T6140" s="255"/>
    </row>
    <row r="6141" spans="18:20" x14ac:dyDescent="0.3">
      <c r="R6141" s="255"/>
      <c r="S6141" s="255"/>
      <c r="T6141" s="255"/>
    </row>
    <row r="6142" spans="18:20" x14ac:dyDescent="0.3">
      <c r="R6142" s="255"/>
      <c r="S6142" s="255"/>
      <c r="T6142" s="255"/>
    </row>
    <row r="6143" spans="18:20" x14ac:dyDescent="0.3">
      <c r="R6143" s="255"/>
      <c r="S6143" s="255"/>
      <c r="T6143" s="255"/>
    </row>
    <row r="6144" spans="18:20" x14ac:dyDescent="0.3">
      <c r="R6144" s="255"/>
      <c r="S6144" s="255"/>
      <c r="T6144" s="255"/>
    </row>
    <row r="6145" spans="18:20" x14ac:dyDescent="0.3">
      <c r="R6145" s="255"/>
      <c r="S6145" s="255"/>
      <c r="T6145" s="255"/>
    </row>
    <row r="6146" spans="18:20" x14ac:dyDescent="0.3">
      <c r="R6146" s="255"/>
      <c r="S6146" s="255"/>
      <c r="T6146" s="255"/>
    </row>
    <row r="6147" spans="18:20" x14ac:dyDescent="0.3">
      <c r="R6147" s="255"/>
      <c r="S6147" s="255"/>
      <c r="T6147" s="255"/>
    </row>
    <row r="6148" spans="18:20" x14ac:dyDescent="0.3">
      <c r="R6148" s="255"/>
      <c r="S6148" s="255"/>
      <c r="T6148" s="255"/>
    </row>
    <row r="6149" spans="18:20" x14ac:dyDescent="0.3">
      <c r="R6149" s="255"/>
      <c r="S6149" s="255"/>
      <c r="T6149" s="255"/>
    </row>
    <row r="6150" spans="18:20" x14ac:dyDescent="0.3">
      <c r="R6150" s="255"/>
      <c r="S6150" s="255"/>
      <c r="T6150" s="255"/>
    </row>
    <row r="6151" spans="18:20" x14ac:dyDescent="0.3">
      <c r="R6151" s="255"/>
      <c r="S6151" s="255"/>
      <c r="T6151" s="255"/>
    </row>
    <row r="6152" spans="18:20" x14ac:dyDescent="0.3">
      <c r="R6152" s="255"/>
      <c r="S6152" s="255"/>
      <c r="T6152" s="255"/>
    </row>
    <row r="6153" spans="18:20" x14ac:dyDescent="0.3">
      <c r="R6153" s="255"/>
      <c r="S6153" s="255"/>
      <c r="T6153" s="255"/>
    </row>
    <row r="6154" spans="18:20" x14ac:dyDescent="0.3">
      <c r="R6154" s="255"/>
      <c r="S6154" s="255"/>
      <c r="T6154" s="255"/>
    </row>
    <row r="6155" spans="18:20" x14ac:dyDescent="0.3">
      <c r="R6155" s="255"/>
      <c r="S6155" s="255"/>
      <c r="T6155" s="255"/>
    </row>
    <row r="6156" spans="18:20" x14ac:dyDescent="0.3">
      <c r="R6156" s="255"/>
      <c r="S6156" s="255"/>
      <c r="T6156" s="255"/>
    </row>
    <row r="6157" spans="18:20" x14ac:dyDescent="0.3">
      <c r="R6157" s="255"/>
      <c r="S6157" s="255"/>
      <c r="T6157" s="255"/>
    </row>
    <row r="6158" spans="18:20" x14ac:dyDescent="0.3">
      <c r="R6158" s="255"/>
      <c r="S6158" s="255"/>
      <c r="T6158" s="255"/>
    </row>
    <row r="6159" spans="18:20" x14ac:dyDescent="0.3">
      <c r="R6159" s="255"/>
      <c r="S6159" s="255"/>
      <c r="T6159" s="255"/>
    </row>
    <row r="6160" spans="18:20" x14ac:dyDescent="0.3">
      <c r="R6160" s="255"/>
      <c r="S6160" s="255"/>
      <c r="T6160" s="255"/>
    </row>
    <row r="6161" spans="18:20" x14ac:dyDescent="0.3">
      <c r="R6161" s="255"/>
      <c r="S6161" s="255"/>
      <c r="T6161" s="255"/>
    </row>
    <row r="6162" spans="18:20" x14ac:dyDescent="0.3">
      <c r="R6162" s="255"/>
      <c r="S6162" s="255"/>
      <c r="T6162" s="255"/>
    </row>
    <row r="6163" spans="18:20" x14ac:dyDescent="0.3">
      <c r="R6163" s="255"/>
      <c r="S6163" s="255"/>
      <c r="T6163" s="255"/>
    </row>
    <row r="6164" spans="18:20" x14ac:dyDescent="0.3">
      <c r="R6164" s="255"/>
      <c r="S6164" s="255"/>
      <c r="T6164" s="255"/>
    </row>
    <row r="6165" spans="18:20" x14ac:dyDescent="0.3">
      <c r="R6165" s="255"/>
      <c r="S6165" s="255"/>
      <c r="T6165" s="255"/>
    </row>
    <row r="6166" spans="18:20" x14ac:dyDescent="0.3">
      <c r="R6166" s="255"/>
      <c r="S6166" s="255"/>
      <c r="T6166" s="255"/>
    </row>
    <row r="6167" spans="18:20" x14ac:dyDescent="0.3">
      <c r="R6167" s="255"/>
      <c r="S6167" s="255"/>
      <c r="T6167" s="255"/>
    </row>
    <row r="6168" spans="18:20" x14ac:dyDescent="0.3">
      <c r="R6168" s="255"/>
      <c r="S6168" s="255"/>
      <c r="T6168" s="255"/>
    </row>
    <row r="6169" spans="18:20" x14ac:dyDescent="0.3">
      <c r="R6169" s="255"/>
      <c r="S6169" s="255"/>
      <c r="T6169" s="255"/>
    </row>
    <row r="6170" spans="18:20" x14ac:dyDescent="0.3">
      <c r="R6170" s="255"/>
      <c r="S6170" s="255"/>
      <c r="T6170" s="255"/>
    </row>
    <row r="6171" spans="18:20" x14ac:dyDescent="0.3">
      <c r="R6171" s="255"/>
      <c r="S6171" s="255"/>
      <c r="T6171" s="255"/>
    </row>
    <row r="6172" spans="18:20" x14ac:dyDescent="0.3">
      <c r="R6172" s="255"/>
      <c r="S6172" s="255"/>
      <c r="T6172" s="255"/>
    </row>
    <row r="6173" spans="18:20" x14ac:dyDescent="0.3">
      <c r="R6173" s="255"/>
      <c r="S6173" s="255"/>
      <c r="T6173" s="255"/>
    </row>
    <row r="6174" spans="18:20" x14ac:dyDescent="0.3">
      <c r="R6174" s="255"/>
      <c r="S6174" s="255"/>
      <c r="T6174" s="255"/>
    </row>
    <row r="6175" spans="18:20" x14ac:dyDescent="0.3">
      <c r="R6175" s="255"/>
      <c r="S6175" s="255"/>
      <c r="T6175" s="255"/>
    </row>
    <row r="6176" spans="18:20" x14ac:dyDescent="0.3">
      <c r="R6176" s="255"/>
      <c r="S6176" s="255"/>
      <c r="T6176" s="255"/>
    </row>
    <row r="6177" spans="18:20" x14ac:dyDescent="0.3">
      <c r="R6177" s="255"/>
      <c r="S6177" s="255"/>
      <c r="T6177" s="255"/>
    </row>
    <row r="6178" spans="18:20" x14ac:dyDescent="0.3">
      <c r="R6178" s="255"/>
      <c r="S6178" s="255"/>
      <c r="T6178" s="255"/>
    </row>
    <row r="6179" spans="18:20" x14ac:dyDescent="0.3">
      <c r="R6179" s="255"/>
      <c r="S6179" s="255"/>
      <c r="T6179" s="255"/>
    </row>
    <row r="6180" spans="18:20" x14ac:dyDescent="0.3">
      <c r="R6180" s="255"/>
      <c r="S6180" s="255"/>
      <c r="T6180" s="255"/>
    </row>
    <row r="6181" spans="18:20" x14ac:dyDescent="0.3">
      <c r="R6181" s="255"/>
      <c r="S6181" s="255"/>
      <c r="T6181" s="255"/>
    </row>
    <row r="6182" spans="18:20" x14ac:dyDescent="0.3">
      <c r="R6182" s="255"/>
      <c r="S6182" s="255"/>
      <c r="T6182" s="255"/>
    </row>
    <row r="6183" spans="18:20" x14ac:dyDescent="0.3">
      <c r="R6183" s="255"/>
      <c r="S6183" s="255"/>
      <c r="T6183" s="255"/>
    </row>
    <row r="6184" spans="18:20" x14ac:dyDescent="0.3">
      <c r="R6184" s="255"/>
      <c r="S6184" s="255"/>
      <c r="T6184" s="255"/>
    </row>
    <row r="6185" spans="18:20" x14ac:dyDescent="0.3">
      <c r="R6185" s="255"/>
      <c r="S6185" s="255"/>
      <c r="T6185" s="255"/>
    </row>
    <row r="6186" spans="18:20" x14ac:dyDescent="0.3">
      <c r="R6186" s="255"/>
      <c r="S6186" s="255"/>
      <c r="T6186" s="255"/>
    </row>
    <row r="6187" spans="18:20" x14ac:dyDescent="0.3">
      <c r="R6187" s="255"/>
      <c r="S6187" s="255"/>
      <c r="T6187" s="255"/>
    </row>
    <row r="6188" spans="18:20" x14ac:dyDescent="0.3">
      <c r="R6188" s="255"/>
      <c r="S6188" s="255"/>
      <c r="T6188" s="255"/>
    </row>
    <row r="6189" spans="18:20" x14ac:dyDescent="0.3">
      <c r="R6189" s="255"/>
      <c r="S6189" s="255"/>
      <c r="T6189" s="255"/>
    </row>
    <row r="6190" spans="18:20" x14ac:dyDescent="0.3">
      <c r="R6190" s="255"/>
      <c r="S6190" s="255"/>
      <c r="T6190" s="255"/>
    </row>
    <row r="6191" spans="18:20" x14ac:dyDescent="0.3">
      <c r="R6191" s="255"/>
      <c r="S6191" s="255"/>
      <c r="T6191" s="255"/>
    </row>
    <row r="6192" spans="18:20" x14ac:dyDescent="0.3">
      <c r="R6192" s="255"/>
      <c r="S6192" s="255"/>
      <c r="T6192" s="255"/>
    </row>
    <row r="6193" spans="18:20" x14ac:dyDescent="0.3">
      <c r="R6193" s="255"/>
      <c r="S6193" s="255"/>
      <c r="T6193" s="255"/>
    </row>
    <row r="6194" spans="18:20" x14ac:dyDescent="0.3">
      <c r="R6194" s="255"/>
      <c r="S6194" s="255"/>
      <c r="T6194" s="255"/>
    </row>
    <row r="6195" spans="18:20" x14ac:dyDescent="0.3">
      <c r="R6195" s="255"/>
      <c r="S6195" s="255"/>
      <c r="T6195" s="255"/>
    </row>
    <row r="6196" spans="18:20" x14ac:dyDescent="0.3">
      <c r="R6196" s="255"/>
      <c r="S6196" s="255"/>
      <c r="T6196" s="255"/>
    </row>
    <row r="6197" spans="18:20" x14ac:dyDescent="0.3">
      <c r="R6197" s="255"/>
      <c r="S6197" s="255"/>
      <c r="T6197" s="255"/>
    </row>
    <row r="6198" spans="18:20" x14ac:dyDescent="0.3">
      <c r="R6198" s="255"/>
      <c r="S6198" s="255"/>
      <c r="T6198" s="255"/>
    </row>
    <row r="6199" spans="18:20" x14ac:dyDescent="0.3">
      <c r="R6199" s="255"/>
      <c r="S6199" s="255"/>
      <c r="T6199" s="255"/>
    </row>
    <row r="6200" spans="18:20" x14ac:dyDescent="0.3">
      <c r="R6200" s="255"/>
      <c r="S6200" s="255"/>
      <c r="T6200" s="255"/>
    </row>
    <row r="6201" spans="18:20" x14ac:dyDescent="0.3">
      <c r="R6201" s="255"/>
      <c r="S6201" s="255"/>
      <c r="T6201" s="255"/>
    </row>
    <row r="6202" spans="18:20" x14ac:dyDescent="0.3">
      <c r="R6202" s="255"/>
      <c r="S6202" s="255"/>
      <c r="T6202" s="255"/>
    </row>
    <row r="6203" spans="18:20" x14ac:dyDescent="0.3">
      <c r="R6203" s="255"/>
      <c r="S6203" s="255"/>
      <c r="T6203" s="255"/>
    </row>
    <row r="6204" spans="18:20" x14ac:dyDescent="0.3">
      <c r="R6204" s="255"/>
      <c r="S6204" s="255"/>
      <c r="T6204" s="255"/>
    </row>
    <row r="6205" spans="18:20" x14ac:dyDescent="0.3">
      <c r="R6205" s="255"/>
      <c r="S6205" s="255"/>
      <c r="T6205" s="255"/>
    </row>
    <row r="6206" spans="18:20" x14ac:dyDescent="0.3">
      <c r="R6206" s="255"/>
      <c r="S6206" s="255"/>
      <c r="T6206" s="255"/>
    </row>
    <row r="6207" spans="18:20" x14ac:dyDescent="0.3">
      <c r="R6207" s="255"/>
      <c r="S6207" s="255"/>
      <c r="T6207" s="255"/>
    </row>
    <row r="6208" spans="18:20" x14ac:dyDescent="0.3">
      <c r="R6208" s="255"/>
      <c r="S6208" s="255"/>
      <c r="T6208" s="255"/>
    </row>
    <row r="6209" spans="18:20" x14ac:dyDescent="0.3">
      <c r="R6209" s="255"/>
      <c r="S6209" s="255"/>
      <c r="T6209" s="255"/>
    </row>
    <row r="6210" spans="18:20" x14ac:dyDescent="0.3">
      <c r="R6210" s="255"/>
      <c r="S6210" s="255"/>
      <c r="T6210" s="255"/>
    </row>
    <row r="6211" spans="18:20" x14ac:dyDescent="0.3">
      <c r="R6211" s="255"/>
      <c r="S6211" s="255"/>
      <c r="T6211" s="255"/>
    </row>
    <row r="6212" spans="18:20" x14ac:dyDescent="0.3">
      <c r="R6212" s="255"/>
      <c r="S6212" s="255"/>
      <c r="T6212" s="255"/>
    </row>
    <row r="6213" spans="18:20" x14ac:dyDescent="0.3">
      <c r="R6213" s="255"/>
      <c r="S6213" s="255"/>
      <c r="T6213" s="255"/>
    </row>
    <row r="6214" spans="18:20" x14ac:dyDescent="0.3">
      <c r="R6214" s="255"/>
      <c r="S6214" s="255"/>
      <c r="T6214" s="255"/>
    </row>
    <row r="6215" spans="18:20" x14ac:dyDescent="0.3">
      <c r="R6215" s="255"/>
      <c r="S6215" s="255"/>
      <c r="T6215" s="255"/>
    </row>
    <row r="6216" spans="18:20" x14ac:dyDescent="0.3">
      <c r="R6216" s="255"/>
      <c r="S6216" s="255"/>
      <c r="T6216" s="255"/>
    </row>
    <row r="6217" spans="18:20" x14ac:dyDescent="0.3">
      <c r="R6217" s="255"/>
      <c r="S6217" s="255"/>
      <c r="T6217" s="255"/>
    </row>
    <row r="6218" spans="18:20" x14ac:dyDescent="0.3">
      <c r="R6218" s="255"/>
      <c r="S6218" s="255"/>
      <c r="T6218" s="255"/>
    </row>
    <row r="6219" spans="18:20" x14ac:dyDescent="0.3">
      <c r="R6219" s="255"/>
      <c r="S6219" s="255"/>
      <c r="T6219" s="255"/>
    </row>
    <row r="6220" spans="18:20" x14ac:dyDescent="0.3">
      <c r="R6220" s="255"/>
      <c r="S6220" s="255"/>
      <c r="T6220" s="255"/>
    </row>
    <row r="6221" spans="18:20" x14ac:dyDescent="0.3">
      <c r="R6221" s="255"/>
      <c r="S6221" s="255"/>
      <c r="T6221" s="255"/>
    </row>
    <row r="6222" spans="18:20" x14ac:dyDescent="0.3">
      <c r="R6222" s="255"/>
      <c r="S6222" s="255"/>
      <c r="T6222" s="255"/>
    </row>
    <row r="6223" spans="18:20" x14ac:dyDescent="0.3">
      <c r="R6223" s="255"/>
      <c r="S6223" s="255"/>
      <c r="T6223" s="255"/>
    </row>
    <row r="6224" spans="18:20" x14ac:dyDescent="0.3">
      <c r="R6224" s="255"/>
      <c r="S6224" s="255"/>
      <c r="T6224" s="255"/>
    </row>
    <row r="6225" spans="18:20" x14ac:dyDescent="0.3">
      <c r="R6225" s="255"/>
      <c r="S6225" s="255"/>
      <c r="T6225" s="255"/>
    </row>
    <row r="6226" spans="18:20" x14ac:dyDescent="0.3">
      <c r="R6226" s="255"/>
      <c r="S6226" s="255"/>
      <c r="T6226" s="255"/>
    </row>
    <row r="6227" spans="18:20" x14ac:dyDescent="0.3">
      <c r="R6227" s="255"/>
      <c r="S6227" s="255"/>
      <c r="T6227" s="255"/>
    </row>
    <row r="6228" spans="18:20" x14ac:dyDescent="0.3">
      <c r="R6228" s="255"/>
      <c r="S6228" s="255"/>
      <c r="T6228" s="255"/>
    </row>
    <row r="6229" spans="18:20" x14ac:dyDescent="0.3">
      <c r="R6229" s="255"/>
      <c r="S6229" s="255"/>
      <c r="T6229" s="255"/>
    </row>
    <row r="6230" spans="18:20" x14ac:dyDescent="0.3">
      <c r="R6230" s="255"/>
      <c r="S6230" s="255"/>
      <c r="T6230" s="255"/>
    </row>
    <row r="6231" spans="18:20" x14ac:dyDescent="0.3">
      <c r="R6231" s="255"/>
      <c r="S6231" s="255"/>
      <c r="T6231" s="255"/>
    </row>
    <row r="6232" spans="18:20" x14ac:dyDescent="0.3">
      <c r="R6232" s="255"/>
      <c r="S6232" s="255"/>
      <c r="T6232" s="255"/>
    </row>
    <row r="6233" spans="18:20" x14ac:dyDescent="0.3">
      <c r="R6233" s="255"/>
      <c r="S6233" s="255"/>
      <c r="T6233" s="255"/>
    </row>
    <row r="6234" spans="18:20" x14ac:dyDescent="0.3">
      <c r="R6234" s="255"/>
      <c r="S6234" s="255"/>
      <c r="T6234" s="255"/>
    </row>
    <row r="6235" spans="18:20" x14ac:dyDescent="0.3">
      <c r="R6235" s="255"/>
      <c r="S6235" s="255"/>
      <c r="T6235" s="255"/>
    </row>
    <row r="6236" spans="18:20" x14ac:dyDescent="0.3">
      <c r="R6236" s="255"/>
      <c r="S6236" s="255"/>
      <c r="T6236" s="255"/>
    </row>
    <row r="6237" spans="18:20" x14ac:dyDescent="0.3">
      <c r="R6237" s="255"/>
      <c r="S6237" s="255"/>
      <c r="T6237" s="255"/>
    </row>
    <row r="6238" spans="18:20" x14ac:dyDescent="0.3">
      <c r="R6238" s="255"/>
      <c r="S6238" s="255"/>
      <c r="T6238" s="255"/>
    </row>
    <row r="6239" spans="18:20" x14ac:dyDescent="0.3">
      <c r="R6239" s="255"/>
      <c r="S6239" s="255"/>
      <c r="T6239" s="255"/>
    </row>
    <row r="6240" spans="18:20" x14ac:dyDescent="0.3">
      <c r="R6240" s="255"/>
      <c r="S6240" s="255"/>
      <c r="T6240" s="255"/>
    </row>
    <row r="6241" spans="18:20" x14ac:dyDescent="0.3">
      <c r="R6241" s="255"/>
      <c r="S6241" s="255"/>
      <c r="T6241" s="255"/>
    </row>
    <row r="6242" spans="18:20" x14ac:dyDescent="0.3">
      <c r="R6242" s="255"/>
      <c r="S6242" s="255"/>
      <c r="T6242" s="255"/>
    </row>
    <row r="6243" spans="18:20" x14ac:dyDescent="0.3">
      <c r="R6243" s="255"/>
      <c r="S6243" s="255"/>
      <c r="T6243" s="255"/>
    </row>
    <row r="6244" spans="18:20" x14ac:dyDescent="0.3">
      <c r="R6244" s="255"/>
      <c r="S6244" s="255"/>
      <c r="T6244" s="255"/>
    </row>
    <row r="6245" spans="18:20" x14ac:dyDescent="0.3">
      <c r="R6245" s="255"/>
      <c r="S6245" s="255"/>
      <c r="T6245" s="255"/>
    </row>
    <row r="6246" spans="18:20" x14ac:dyDescent="0.3">
      <c r="R6246" s="255"/>
      <c r="S6246" s="255"/>
      <c r="T6246" s="255"/>
    </row>
    <row r="6247" spans="18:20" x14ac:dyDescent="0.3">
      <c r="R6247" s="255"/>
      <c r="S6247" s="255"/>
      <c r="T6247" s="255"/>
    </row>
    <row r="6248" spans="18:20" x14ac:dyDescent="0.3">
      <c r="R6248" s="255"/>
      <c r="S6248" s="255"/>
      <c r="T6248" s="255"/>
    </row>
    <row r="6249" spans="18:20" x14ac:dyDescent="0.3">
      <c r="R6249" s="255"/>
      <c r="S6249" s="255"/>
      <c r="T6249" s="255"/>
    </row>
    <row r="6250" spans="18:20" x14ac:dyDescent="0.3">
      <c r="R6250" s="255"/>
      <c r="S6250" s="255"/>
      <c r="T6250" s="255"/>
    </row>
    <row r="6251" spans="18:20" x14ac:dyDescent="0.3">
      <c r="R6251" s="255"/>
      <c r="S6251" s="255"/>
      <c r="T6251" s="255"/>
    </row>
    <row r="6252" spans="18:20" x14ac:dyDescent="0.3">
      <c r="R6252" s="255"/>
      <c r="S6252" s="255"/>
      <c r="T6252" s="255"/>
    </row>
    <row r="6253" spans="18:20" x14ac:dyDescent="0.3">
      <c r="R6253" s="255"/>
      <c r="S6253" s="255"/>
      <c r="T6253" s="255"/>
    </row>
    <row r="6254" spans="18:20" x14ac:dyDescent="0.3">
      <c r="R6254" s="255"/>
      <c r="S6254" s="255"/>
      <c r="T6254" s="255"/>
    </row>
    <row r="6255" spans="18:20" x14ac:dyDescent="0.3">
      <c r="R6255" s="255"/>
      <c r="S6255" s="255"/>
      <c r="T6255" s="255"/>
    </row>
    <row r="6256" spans="18:20" x14ac:dyDescent="0.3">
      <c r="R6256" s="255"/>
      <c r="S6256" s="255"/>
      <c r="T6256" s="255"/>
    </row>
    <row r="6257" spans="18:20" x14ac:dyDescent="0.3">
      <c r="R6257" s="255"/>
      <c r="S6257" s="255"/>
      <c r="T6257" s="255"/>
    </row>
    <row r="6258" spans="18:20" x14ac:dyDescent="0.3">
      <c r="R6258" s="255"/>
      <c r="S6258" s="255"/>
      <c r="T6258" s="255"/>
    </row>
    <row r="6259" spans="18:20" x14ac:dyDescent="0.3">
      <c r="R6259" s="255"/>
      <c r="S6259" s="255"/>
      <c r="T6259" s="255"/>
    </row>
    <row r="6260" spans="18:20" x14ac:dyDescent="0.3">
      <c r="R6260" s="255"/>
      <c r="S6260" s="255"/>
      <c r="T6260" s="255"/>
    </row>
    <row r="6261" spans="18:20" x14ac:dyDescent="0.3">
      <c r="R6261" s="255"/>
      <c r="S6261" s="255"/>
      <c r="T6261" s="255"/>
    </row>
    <row r="6262" spans="18:20" x14ac:dyDescent="0.3">
      <c r="R6262" s="255"/>
      <c r="S6262" s="255"/>
      <c r="T6262" s="255"/>
    </row>
    <row r="6263" spans="18:20" x14ac:dyDescent="0.3">
      <c r="R6263" s="255"/>
      <c r="S6263" s="255"/>
      <c r="T6263" s="255"/>
    </row>
    <row r="6264" spans="18:20" x14ac:dyDescent="0.3">
      <c r="R6264" s="255"/>
      <c r="S6264" s="255"/>
      <c r="T6264" s="255"/>
    </row>
    <row r="6265" spans="18:20" x14ac:dyDescent="0.3">
      <c r="R6265" s="255"/>
      <c r="S6265" s="255"/>
      <c r="T6265" s="255"/>
    </row>
    <row r="6266" spans="18:20" x14ac:dyDescent="0.3">
      <c r="R6266" s="255"/>
      <c r="S6266" s="255"/>
      <c r="T6266" s="255"/>
    </row>
    <row r="6267" spans="18:20" x14ac:dyDescent="0.3">
      <c r="R6267" s="255"/>
      <c r="S6267" s="255"/>
      <c r="T6267" s="255"/>
    </row>
    <row r="6268" spans="18:20" x14ac:dyDescent="0.3">
      <c r="R6268" s="255"/>
      <c r="S6268" s="255"/>
      <c r="T6268" s="255"/>
    </row>
    <row r="6269" spans="18:20" x14ac:dyDescent="0.3">
      <c r="R6269" s="255"/>
      <c r="S6269" s="255"/>
      <c r="T6269" s="255"/>
    </row>
    <row r="6270" spans="18:20" x14ac:dyDescent="0.3">
      <c r="R6270" s="255"/>
      <c r="S6270" s="255"/>
      <c r="T6270" s="255"/>
    </row>
    <row r="6271" spans="18:20" x14ac:dyDescent="0.3">
      <c r="R6271" s="255"/>
      <c r="S6271" s="255"/>
      <c r="T6271" s="255"/>
    </row>
    <row r="6272" spans="18:20" x14ac:dyDescent="0.3">
      <c r="R6272" s="255"/>
      <c r="S6272" s="255"/>
      <c r="T6272" s="255"/>
    </row>
    <row r="6273" spans="18:20" x14ac:dyDescent="0.3">
      <c r="R6273" s="255"/>
      <c r="S6273" s="255"/>
      <c r="T6273" s="255"/>
    </row>
    <row r="6274" spans="18:20" x14ac:dyDescent="0.3">
      <c r="R6274" s="255"/>
      <c r="S6274" s="255"/>
      <c r="T6274" s="255"/>
    </row>
    <row r="6275" spans="18:20" x14ac:dyDescent="0.3">
      <c r="R6275" s="255"/>
      <c r="S6275" s="255"/>
      <c r="T6275" s="255"/>
    </row>
    <row r="6276" spans="18:20" x14ac:dyDescent="0.3">
      <c r="R6276" s="255"/>
      <c r="S6276" s="255"/>
      <c r="T6276" s="255"/>
    </row>
    <row r="6277" spans="18:20" x14ac:dyDescent="0.3">
      <c r="R6277" s="255"/>
      <c r="S6277" s="255"/>
      <c r="T6277" s="255"/>
    </row>
    <row r="6278" spans="18:20" x14ac:dyDescent="0.3">
      <c r="R6278" s="255"/>
      <c r="S6278" s="255"/>
      <c r="T6278" s="255"/>
    </row>
    <row r="6279" spans="18:20" x14ac:dyDescent="0.3">
      <c r="R6279" s="255"/>
      <c r="S6279" s="255"/>
      <c r="T6279" s="255"/>
    </row>
    <row r="6280" spans="18:20" x14ac:dyDescent="0.3">
      <c r="R6280" s="255"/>
      <c r="S6280" s="255"/>
      <c r="T6280" s="255"/>
    </row>
    <row r="6281" spans="18:20" x14ac:dyDescent="0.3">
      <c r="R6281" s="255"/>
      <c r="S6281" s="255"/>
      <c r="T6281" s="255"/>
    </row>
    <row r="6282" spans="18:20" x14ac:dyDescent="0.3">
      <c r="R6282" s="255"/>
      <c r="S6282" s="255"/>
      <c r="T6282" s="255"/>
    </row>
    <row r="6283" spans="18:20" x14ac:dyDescent="0.3">
      <c r="R6283" s="255"/>
      <c r="S6283" s="255"/>
      <c r="T6283" s="255"/>
    </row>
    <row r="6284" spans="18:20" x14ac:dyDescent="0.3">
      <c r="R6284" s="255"/>
      <c r="S6284" s="255"/>
      <c r="T6284" s="255"/>
    </row>
    <row r="6285" spans="18:20" x14ac:dyDescent="0.3">
      <c r="R6285" s="255"/>
      <c r="S6285" s="255"/>
      <c r="T6285" s="255"/>
    </row>
    <row r="6286" spans="18:20" x14ac:dyDescent="0.3">
      <c r="R6286" s="255"/>
      <c r="S6286" s="255"/>
      <c r="T6286" s="255"/>
    </row>
    <row r="6287" spans="18:20" x14ac:dyDescent="0.3">
      <c r="R6287" s="255"/>
      <c r="S6287" s="255"/>
      <c r="T6287" s="255"/>
    </row>
    <row r="6288" spans="18:20" x14ac:dyDescent="0.3">
      <c r="R6288" s="255"/>
      <c r="S6288" s="255"/>
      <c r="T6288" s="255"/>
    </row>
    <row r="6289" spans="18:20" x14ac:dyDescent="0.3">
      <c r="R6289" s="255"/>
      <c r="S6289" s="255"/>
      <c r="T6289" s="255"/>
    </row>
    <row r="6290" spans="18:20" x14ac:dyDescent="0.3">
      <c r="R6290" s="255"/>
      <c r="S6290" s="255"/>
      <c r="T6290" s="255"/>
    </row>
    <row r="6291" spans="18:20" x14ac:dyDescent="0.3">
      <c r="R6291" s="255"/>
      <c r="S6291" s="255"/>
      <c r="T6291" s="255"/>
    </row>
    <row r="6292" spans="18:20" x14ac:dyDescent="0.3">
      <c r="R6292" s="255"/>
      <c r="S6292" s="255"/>
      <c r="T6292" s="255"/>
    </row>
    <row r="6293" spans="18:20" x14ac:dyDescent="0.3">
      <c r="R6293" s="255"/>
      <c r="S6293" s="255"/>
      <c r="T6293" s="255"/>
    </row>
    <row r="6294" spans="18:20" x14ac:dyDescent="0.3">
      <c r="R6294" s="255"/>
      <c r="S6294" s="255"/>
      <c r="T6294" s="255"/>
    </row>
    <row r="6295" spans="18:20" x14ac:dyDescent="0.3">
      <c r="R6295" s="255"/>
      <c r="S6295" s="255"/>
      <c r="T6295" s="255"/>
    </row>
    <row r="6296" spans="18:20" x14ac:dyDescent="0.3">
      <c r="R6296" s="255"/>
      <c r="S6296" s="255"/>
      <c r="T6296" s="255"/>
    </row>
    <row r="6297" spans="18:20" x14ac:dyDescent="0.3">
      <c r="R6297" s="255"/>
      <c r="S6297" s="255"/>
      <c r="T6297" s="255"/>
    </row>
    <row r="6298" spans="18:20" x14ac:dyDescent="0.3">
      <c r="R6298" s="255"/>
      <c r="S6298" s="255"/>
      <c r="T6298" s="255"/>
    </row>
    <row r="6299" spans="18:20" x14ac:dyDescent="0.3">
      <c r="R6299" s="255"/>
      <c r="S6299" s="255"/>
      <c r="T6299" s="255"/>
    </row>
    <row r="6300" spans="18:20" x14ac:dyDescent="0.3">
      <c r="R6300" s="255"/>
      <c r="S6300" s="255"/>
      <c r="T6300" s="255"/>
    </row>
    <row r="6301" spans="18:20" x14ac:dyDescent="0.3">
      <c r="R6301" s="255"/>
      <c r="S6301" s="255"/>
      <c r="T6301" s="255"/>
    </row>
    <row r="6302" spans="18:20" x14ac:dyDescent="0.3">
      <c r="R6302" s="255"/>
      <c r="S6302" s="255"/>
      <c r="T6302" s="255"/>
    </row>
    <row r="6303" spans="18:20" x14ac:dyDescent="0.3">
      <c r="R6303" s="255"/>
      <c r="S6303" s="255"/>
      <c r="T6303" s="255"/>
    </row>
    <row r="6304" spans="18:20" x14ac:dyDescent="0.3">
      <c r="R6304" s="255"/>
      <c r="S6304" s="255"/>
      <c r="T6304" s="255"/>
    </row>
    <row r="6305" spans="18:20" x14ac:dyDescent="0.3">
      <c r="R6305" s="255"/>
      <c r="S6305" s="255"/>
      <c r="T6305" s="255"/>
    </row>
    <row r="6306" spans="18:20" x14ac:dyDescent="0.3">
      <c r="R6306" s="255"/>
      <c r="S6306" s="255"/>
      <c r="T6306" s="255"/>
    </row>
    <row r="6307" spans="18:20" x14ac:dyDescent="0.3">
      <c r="R6307" s="255"/>
      <c r="S6307" s="255"/>
      <c r="T6307" s="255"/>
    </row>
    <row r="6308" spans="18:20" x14ac:dyDescent="0.3">
      <c r="R6308" s="255"/>
      <c r="S6308" s="255"/>
      <c r="T6308" s="255"/>
    </row>
    <row r="6309" spans="18:20" x14ac:dyDescent="0.3">
      <c r="R6309" s="255"/>
      <c r="S6309" s="255"/>
      <c r="T6309" s="255"/>
    </row>
    <row r="6310" spans="18:20" x14ac:dyDescent="0.3">
      <c r="R6310" s="255"/>
      <c r="S6310" s="255"/>
      <c r="T6310" s="255"/>
    </row>
    <row r="6311" spans="18:20" x14ac:dyDescent="0.3">
      <c r="R6311" s="255"/>
      <c r="S6311" s="255"/>
      <c r="T6311" s="255"/>
    </row>
    <row r="6312" spans="18:20" x14ac:dyDescent="0.3">
      <c r="R6312" s="255"/>
      <c r="S6312" s="255"/>
      <c r="T6312" s="255"/>
    </row>
    <row r="6313" spans="18:20" x14ac:dyDescent="0.3">
      <c r="R6313" s="255"/>
      <c r="S6313" s="255"/>
      <c r="T6313" s="255"/>
    </row>
    <row r="6314" spans="18:20" x14ac:dyDescent="0.3">
      <c r="R6314" s="255"/>
      <c r="S6314" s="255"/>
      <c r="T6314" s="255"/>
    </row>
    <row r="6315" spans="18:20" x14ac:dyDescent="0.3">
      <c r="R6315" s="255"/>
      <c r="S6315" s="255"/>
      <c r="T6315" s="255"/>
    </row>
    <row r="6316" spans="18:20" x14ac:dyDescent="0.3">
      <c r="R6316" s="255"/>
      <c r="S6316" s="255"/>
      <c r="T6316" s="255"/>
    </row>
    <row r="6317" spans="18:20" x14ac:dyDescent="0.3">
      <c r="R6317" s="255"/>
      <c r="S6317" s="255"/>
      <c r="T6317" s="255"/>
    </row>
    <row r="6318" spans="18:20" x14ac:dyDescent="0.3">
      <c r="R6318" s="255"/>
      <c r="S6318" s="255"/>
      <c r="T6318" s="255"/>
    </row>
    <row r="6319" spans="18:20" x14ac:dyDescent="0.3">
      <c r="R6319" s="255"/>
      <c r="S6319" s="255"/>
      <c r="T6319" s="255"/>
    </row>
    <row r="6320" spans="18:20" x14ac:dyDescent="0.3">
      <c r="R6320" s="255"/>
      <c r="S6320" s="255"/>
      <c r="T6320" s="255"/>
    </row>
    <row r="6321" spans="18:20" x14ac:dyDescent="0.3">
      <c r="R6321" s="255"/>
      <c r="S6321" s="255"/>
      <c r="T6321" s="255"/>
    </row>
    <row r="6322" spans="18:20" x14ac:dyDescent="0.3">
      <c r="R6322" s="255"/>
      <c r="S6322" s="255"/>
      <c r="T6322" s="255"/>
    </row>
    <row r="6323" spans="18:20" x14ac:dyDescent="0.3">
      <c r="R6323" s="255"/>
      <c r="S6323" s="255"/>
      <c r="T6323" s="255"/>
    </row>
    <row r="6324" spans="18:20" x14ac:dyDescent="0.3">
      <c r="R6324" s="255"/>
      <c r="S6324" s="255"/>
      <c r="T6324" s="255"/>
    </row>
    <row r="6325" spans="18:20" x14ac:dyDescent="0.3">
      <c r="R6325" s="255"/>
      <c r="S6325" s="255"/>
      <c r="T6325" s="255"/>
    </row>
    <row r="6326" spans="18:20" x14ac:dyDescent="0.3">
      <c r="R6326" s="255"/>
      <c r="S6326" s="255"/>
      <c r="T6326" s="255"/>
    </row>
    <row r="6327" spans="18:20" x14ac:dyDescent="0.3">
      <c r="R6327" s="255"/>
      <c r="S6327" s="255"/>
      <c r="T6327" s="255"/>
    </row>
    <row r="6328" spans="18:20" x14ac:dyDescent="0.3">
      <c r="R6328" s="255"/>
      <c r="S6328" s="255"/>
      <c r="T6328" s="255"/>
    </row>
    <row r="6329" spans="18:20" x14ac:dyDescent="0.3">
      <c r="R6329" s="255"/>
      <c r="S6329" s="255"/>
      <c r="T6329" s="255"/>
    </row>
    <row r="6330" spans="18:20" x14ac:dyDescent="0.3">
      <c r="R6330" s="255"/>
      <c r="S6330" s="255"/>
      <c r="T6330" s="255"/>
    </row>
    <row r="6331" spans="18:20" x14ac:dyDescent="0.3">
      <c r="R6331" s="255"/>
      <c r="S6331" s="255"/>
      <c r="T6331" s="255"/>
    </row>
    <row r="6332" spans="18:20" x14ac:dyDescent="0.3">
      <c r="R6332" s="255"/>
      <c r="S6332" s="255"/>
      <c r="T6332" s="255"/>
    </row>
    <row r="6333" spans="18:20" x14ac:dyDescent="0.3">
      <c r="R6333" s="255"/>
      <c r="S6333" s="255"/>
      <c r="T6333" s="255"/>
    </row>
    <row r="6334" spans="18:20" x14ac:dyDescent="0.3">
      <c r="R6334" s="255"/>
      <c r="S6334" s="255"/>
      <c r="T6334" s="255"/>
    </row>
    <row r="6335" spans="18:20" x14ac:dyDescent="0.3">
      <c r="R6335" s="255"/>
      <c r="S6335" s="255"/>
      <c r="T6335" s="255"/>
    </row>
    <row r="6336" spans="18:20" x14ac:dyDescent="0.3">
      <c r="R6336" s="255"/>
      <c r="S6336" s="255"/>
      <c r="T6336" s="255"/>
    </row>
    <row r="6337" spans="18:20" x14ac:dyDescent="0.3">
      <c r="R6337" s="255"/>
      <c r="S6337" s="255"/>
      <c r="T6337" s="255"/>
    </row>
    <row r="6338" spans="18:20" x14ac:dyDescent="0.3">
      <c r="R6338" s="255"/>
      <c r="S6338" s="255"/>
      <c r="T6338" s="255"/>
    </row>
    <row r="6339" spans="18:20" x14ac:dyDescent="0.3">
      <c r="R6339" s="255"/>
      <c r="S6339" s="255"/>
      <c r="T6339" s="255"/>
    </row>
    <row r="6340" spans="18:20" x14ac:dyDescent="0.3">
      <c r="R6340" s="255"/>
      <c r="S6340" s="255"/>
      <c r="T6340" s="255"/>
    </row>
    <row r="6341" spans="18:20" x14ac:dyDescent="0.3">
      <c r="R6341" s="255"/>
      <c r="S6341" s="255"/>
      <c r="T6341" s="255"/>
    </row>
    <row r="6342" spans="18:20" x14ac:dyDescent="0.3">
      <c r="R6342" s="255"/>
      <c r="S6342" s="255"/>
      <c r="T6342" s="255"/>
    </row>
    <row r="6343" spans="18:20" x14ac:dyDescent="0.3">
      <c r="R6343" s="255"/>
      <c r="S6343" s="255"/>
      <c r="T6343" s="255"/>
    </row>
    <row r="6344" spans="18:20" x14ac:dyDescent="0.3">
      <c r="R6344" s="255"/>
      <c r="S6344" s="255"/>
      <c r="T6344" s="255"/>
    </row>
    <row r="6345" spans="18:20" x14ac:dyDescent="0.3">
      <c r="R6345" s="255"/>
      <c r="S6345" s="255"/>
      <c r="T6345" s="255"/>
    </row>
    <row r="6346" spans="18:20" x14ac:dyDescent="0.3">
      <c r="R6346" s="255"/>
      <c r="S6346" s="255"/>
      <c r="T6346" s="255"/>
    </row>
    <row r="6347" spans="18:20" x14ac:dyDescent="0.3">
      <c r="R6347" s="255"/>
      <c r="S6347" s="255"/>
      <c r="T6347" s="255"/>
    </row>
    <row r="6348" spans="18:20" x14ac:dyDescent="0.3">
      <c r="R6348" s="255"/>
      <c r="S6348" s="255"/>
      <c r="T6348" s="255"/>
    </row>
    <row r="6349" spans="18:20" x14ac:dyDescent="0.3">
      <c r="R6349" s="255"/>
      <c r="S6349" s="255"/>
      <c r="T6349" s="255"/>
    </row>
    <row r="6350" spans="18:20" x14ac:dyDescent="0.3">
      <c r="R6350" s="255"/>
      <c r="S6350" s="255"/>
      <c r="T6350" s="255"/>
    </row>
    <row r="6351" spans="18:20" x14ac:dyDescent="0.3">
      <c r="R6351" s="255"/>
      <c r="S6351" s="255"/>
      <c r="T6351" s="255"/>
    </row>
    <row r="6352" spans="18:20" x14ac:dyDescent="0.3">
      <c r="R6352" s="255"/>
      <c r="S6352" s="255"/>
      <c r="T6352" s="255"/>
    </row>
    <row r="6353" spans="18:20" x14ac:dyDescent="0.3">
      <c r="R6353" s="255"/>
      <c r="S6353" s="255"/>
      <c r="T6353" s="255"/>
    </row>
    <row r="6354" spans="18:20" x14ac:dyDescent="0.3">
      <c r="R6354" s="255"/>
      <c r="S6354" s="255"/>
      <c r="T6354" s="255"/>
    </row>
    <row r="6355" spans="18:20" x14ac:dyDescent="0.3">
      <c r="R6355" s="255"/>
      <c r="S6355" s="255"/>
      <c r="T6355" s="255"/>
    </row>
    <row r="6356" spans="18:20" x14ac:dyDescent="0.3">
      <c r="R6356" s="255"/>
      <c r="S6356" s="255"/>
      <c r="T6356" s="255"/>
    </row>
    <row r="6357" spans="18:20" x14ac:dyDescent="0.3">
      <c r="R6357" s="255"/>
      <c r="S6357" s="255"/>
      <c r="T6357" s="255"/>
    </row>
    <row r="6358" spans="18:20" x14ac:dyDescent="0.3">
      <c r="R6358" s="255"/>
      <c r="S6358" s="255"/>
      <c r="T6358" s="255"/>
    </row>
    <row r="6359" spans="18:20" x14ac:dyDescent="0.3">
      <c r="R6359" s="255"/>
      <c r="S6359" s="255"/>
      <c r="T6359" s="255"/>
    </row>
    <row r="6360" spans="18:20" x14ac:dyDescent="0.3">
      <c r="R6360" s="255"/>
      <c r="S6360" s="255"/>
      <c r="T6360" s="255"/>
    </row>
    <row r="6361" spans="18:20" x14ac:dyDescent="0.3">
      <c r="R6361" s="255"/>
      <c r="S6361" s="255"/>
      <c r="T6361" s="255"/>
    </row>
    <row r="6362" spans="18:20" x14ac:dyDescent="0.3">
      <c r="R6362" s="255"/>
      <c r="S6362" s="255"/>
      <c r="T6362" s="255"/>
    </row>
    <row r="6363" spans="18:20" x14ac:dyDescent="0.3">
      <c r="R6363" s="255"/>
      <c r="S6363" s="255"/>
      <c r="T6363" s="255"/>
    </row>
    <row r="6364" spans="18:20" x14ac:dyDescent="0.3">
      <c r="R6364" s="255"/>
      <c r="S6364" s="255"/>
      <c r="T6364" s="255"/>
    </row>
    <row r="6365" spans="18:20" x14ac:dyDescent="0.3">
      <c r="R6365" s="255"/>
      <c r="S6365" s="255"/>
      <c r="T6365" s="255"/>
    </row>
    <row r="6366" spans="18:20" x14ac:dyDescent="0.3">
      <c r="R6366" s="255"/>
      <c r="S6366" s="255"/>
      <c r="T6366" s="255"/>
    </row>
    <row r="6367" spans="18:20" x14ac:dyDescent="0.3">
      <c r="R6367" s="255"/>
      <c r="S6367" s="255"/>
      <c r="T6367" s="255"/>
    </row>
    <row r="6368" spans="18:20" x14ac:dyDescent="0.3">
      <c r="R6368" s="255"/>
      <c r="S6368" s="255"/>
      <c r="T6368" s="255"/>
    </row>
    <row r="6369" spans="18:20" x14ac:dyDescent="0.3">
      <c r="R6369" s="255"/>
      <c r="S6369" s="255"/>
      <c r="T6369" s="255"/>
    </row>
    <row r="6370" spans="18:20" x14ac:dyDescent="0.3">
      <c r="R6370" s="255"/>
      <c r="S6370" s="255"/>
      <c r="T6370" s="255"/>
    </row>
    <row r="6371" spans="18:20" x14ac:dyDescent="0.3">
      <c r="R6371" s="255"/>
      <c r="S6371" s="255"/>
      <c r="T6371" s="255"/>
    </row>
    <row r="6372" spans="18:20" x14ac:dyDescent="0.3">
      <c r="R6372" s="255"/>
      <c r="S6372" s="255"/>
      <c r="T6372" s="255"/>
    </row>
    <row r="6373" spans="18:20" x14ac:dyDescent="0.3">
      <c r="R6373" s="255"/>
      <c r="S6373" s="255"/>
      <c r="T6373" s="255"/>
    </row>
    <row r="6374" spans="18:20" x14ac:dyDescent="0.3">
      <c r="R6374" s="255"/>
      <c r="S6374" s="255"/>
      <c r="T6374" s="255"/>
    </row>
    <row r="6375" spans="18:20" x14ac:dyDescent="0.3">
      <c r="R6375" s="255"/>
      <c r="S6375" s="255"/>
      <c r="T6375" s="255"/>
    </row>
    <row r="6376" spans="18:20" x14ac:dyDescent="0.3">
      <c r="R6376" s="255"/>
      <c r="S6376" s="255"/>
      <c r="T6376" s="255"/>
    </row>
    <row r="6377" spans="18:20" x14ac:dyDescent="0.3">
      <c r="R6377" s="255"/>
      <c r="S6377" s="255"/>
      <c r="T6377" s="255"/>
    </row>
    <row r="6378" spans="18:20" x14ac:dyDescent="0.3">
      <c r="R6378" s="255"/>
      <c r="S6378" s="255"/>
      <c r="T6378" s="255"/>
    </row>
    <row r="6379" spans="18:20" x14ac:dyDescent="0.3">
      <c r="R6379" s="255"/>
      <c r="S6379" s="255"/>
      <c r="T6379" s="255"/>
    </row>
    <row r="6380" spans="18:20" x14ac:dyDescent="0.3">
      <c r="R6380" s="255"/>
      <c r="S6380" s="255"/>
      <c r="T6380" s="255"/>
    </row>
    <row r="6381" spans="18:20" x14ac:dyDescent="0.3">
      <c r="R6381" s="255"/>
      <c r="S6381" s="255"/>
      <c r="T6381" s="255"/>
    </row>
    <row r="6382" spans="18:20" x14ac:dyDescent="0.3">
      <c r="R6382" s="255"/>
      <c r="S6382" s="255"/>
      <c r="T6382" s="255"/>
    </row>
    <row r="6383" spans="18:20" x14ac:dyDescent="0.3">
      <c r="R6383" s="255"/>
      <c r="S6383" s="255"/>
      <c r="T6383" s="255"/>
    </row>
    <row r="6384" spans="18:20" x14ac:dyDescent="0.3">
      <c r="R6384" s="255"/>
      <c r="S6384" s="255"/>
      <c r="T6384" s="255"/>
    </row>
    <row r="6385" spans="18:20" x14ac:dyDescent="0.3">
      <c r="R6385" s="255"/>
      <c r="S6385" s="255"/>
      <c r="T6385" s="255"/>
    </row>
    <row r="6386" spans="18:20" x14ac:dyDescent="0.3">
      <c r="R6386" s="255"/>
      <c r="S6386" s="255"/>
      <c r="T6386" s="255"/>
    </row>
    <row r="6387" spans="18:20" x14ac:dyDescent="0.3">
      <c r="R6387" s="255"/>
      <c r="S6387" s="255"/>
      <c r="T6387" s="255"/>
    </row>
    <row r="6388" spans="18:20" x14ac:dyDescent="0.3">
      <c r="R6388" s="255"/>
      <c r="S6388" s="255"/>
      <c r="T6388" s="255"/>
    </row>
    <row r="6389" spans="18:20" x14ac:dyDescent="0.3">
      <c r="R6389" s="255"/>
      <c r="S6389" s="255"/>
      <c r="T6389" s="255"/>
    </row>
    <row r="6390" spans="18:20" x14ac:dyDescent="0.3">
      <c r="R6390" s="255"/>
      <c r="S6390" s="255"/>
      <c r="T6390" s="255"/>
    </row>
    <row r="6391" spans="18:20" x14ac:dyDescent="0.3">
      <c r="R6391" s="255"/>
      <c r="S6391" s="255"/>
      <c r="T6391" s="255"/>
    </row>
    <row r="6392" spans="18:20" x14ac:dyDescent="0.3">
      <c r="R6392" s="255"/>
      <c r="S6392" s="255"/>
      <c r="T6392" s="255"/>
    </row>
    <row r="6393" spans="18:20" x14ac:dyDescent="0.3">
      <c r="R6393" s="255"/>
      <c r="S6393" s="255"/>
      <c r="T6393" s="255"/>
    </row>
    <row r="6394" spans="18:20" x14ac:dyDescent="0.3">
      <c r="R6394" s="255"/>
      <c r="S6394" s="255"/>
      <c r="T6394" s="255"/>
    </row>
    <row r="6395" spans="18:20" x14ac:dyDescent="0.3">
      <c r="R6395" s="255"/>
      <c r="S6395" s="255"/>
      <c r="T6395" s="255"/>
    </row>
    <row r="6396" spans="18:20" x14ac:dyDescent="0.3">
      <c r="R6396" s="255"/>
      <c r="S6396" s="255"/>
      <c r="T6396" s="255"/>
    </row>
    <row r="6397" spans="18:20" x14ac:dyDescent="0.3">
      <c r="R6397" s="255"/>
      <c r="S6397" s="255"/>
      <c r="T6397" s="255"/>
    </row>
    <row r="6398" spans="18:20" x14ac:dyDescent="0.3">
      <c r="R6398" s="255"/>
      <c r="S6398" s="255"/>
      <c r="T6398" s="255"/>
    </row>
    <row r="6399" spans="18:20" x14ac:dyDescent="0.3">
      <c r="R6399" s="255"/>
      <c r="S6399" s="255"/>
      <c r="T6399" s="255"/>
    </row>
    <row r="6400" spans="18:20" x14ac:dyDescent="0.3">
      <c r="R6400" s="255"/>
      <c r="S6400" s="255"/>
      <c r="T6400" s="255"/>
    </row>
    <row r="6401" spans="18:20" x14ac:dyDescent="0.3">
      <c r="R6401" s="255"/>
      <c r="S6401" s="255"/>
      <c r="T6401" s="255"/>
    </row>
    <row r="6402" spans="18:20" x14ac:dyDescent="0.3">
      <c r="R6402" s="255"/>
      <c r="S6402" s="255"/>
      <c r="T6402" s="255"/>
    </row>
    <row r="6403" spans="18:20" x14ac:dyDescent="0.3">
      <c r="R6403" s="255"/>
      <c r="S6403" s="255"/>
      <c r="T6403" s="255"/>
    </row>
    <row r="6404" spans="18:20" x14ac:dyDescent="0.3">
      <c r="R6404" s="255"/>
      <c r="S6404" s="255"/>
      <c r="T6404" s="255"/>
    </row>
    <row r="6405" spans="18:20" x14ac:dyDescent="0.3">
      <c r="R6405" s="255"/>
      <c r="S6405" s="255"/>
      <c r="T6405" s="255"/>
    </row>
    <row r="6406" spans="18:20" x14ac:dyDescent="0.3">
      <c r="R6406" s="255"/>
      <c r="S6406" s="255"/>
      <c r="T6406" s="255"/>
    </row>
    <row r="6407" spans="18:20" x14ac:dyDescent="0.3">
      <c r="R6407" s="255"/>
      <c r="S6407" s="255"/>
      <c r="T6407" s="255"/>
    </row>
    <row r="6408" spans="18:20" x14ac:dyDescent="0.3">
      <c r="R6408" s="255"/>
      <c r="S6408" s="255"/>
      <c r="T6408" s="255"/>
    </row>
    <row r="6409" spans="18:20" x14ac:dyDescent="0.3">
      <c r="R6409" s="255"/>
      <c r="S6409" s="255"/>
      <c r="T6409" s="255"/>
    </row>
    <row r="6410" spans="18:20" x14ac:dyDescent="0.3">
      <c r="R6410" s="255"/>
      <c r="S6410" s="255"/>
      <c r="T6410" s="255"/>
    </row>
    <row r="6411" spans="18:20" x14ac:dyDescent="0.3">
      <c r="R6411" s="255"/>
      <c r="S6411" s="255"/>
      <c r="T6411" s="255"/>
    </row>
    <row r="6412" spans="18:20" x14ac:dyDescent="0.3">
      <c r="R6412" s="255"/>
      <c r="S6412" s="255"/>
      <c r="T6412" s="255"/>
    </row>
    <row r="6413" spans="18:20" x14ac:dyDescent="0.3">
      <c r="R6413" s="255"/>
      <c r="S6413" s="255"/>
      <c r="T6413" s="255"/>
    </row>
    <row r="6414" spans="18:20" x14ac:dyDescent="0.3">
      <c r="R6414" s="255"/>
      <c r="S6414" s="255"/>
      <c r="T6414" s="255"/>
    </row>
    <row r="6415" spans="18:20" x14ac:dyDescent="0.3">
      <c r="R6415" s="255"/>
      <c r="S6415" s="255"/>
      <c r="T6415" s="255"/>
    </row>
    <row r="6416" spans="18:20" x14ac:dyDescent="0.3">
      <c r="R6416" s="255"/>
      <c r="S6416" s="255"/>
      <c r="T6416" s="255"/>
    </row>
    <row r="6417" spans="18:20" x14ac:dyDescent="0.3">
      <c r="R6417" s="255"/>
      <c r="S6417" s="255"/>
      <c r="T6417" s="255"/>
    </row>
    <row r="6418" spans="18:20" x14ac:dyDescent="0.3">
      <c r="R6418" s="255"/>
      <c r="S6418" s="255"/>
      <c r="T6418" s="255"/>
    </row>
    <row r="6419" spans="18:20" x14ac:dyDescent="0.3">
      <c r="R6419" s="255"/>
      <c r="S6419" s="255"/>
      <c r="T6419" s="255"/>
    </row>
    <row r="6420" spans="18:20" x14ac:dyDescent="0.3">
      <c r="R6420" s="255"/>
      <c r="S6420" s="255"/>
      <c r="T6420" s="255"/>
    </row>
    <row r="6421" spans="18:20" x14ac:dyDescent="0.3">
      <c r="R6421" s="255"/>
      <c r="S6421" s="255"/>
      <c r="T6421" s="255"/>
    </row>
    <row r="6422" spans="18:20" x14ac:dyDescent="0.3">
      <c r="R6422" s="255"/>
      <c r="S6422" s="255"/>
      <c r="T6422" s="255"/>
    </row>
    <row r="6423" spans="18:20" x14ac:dyDescent="0.3">
      <c r="R6423" s="255"/>
      <c r="S6423" s="255"/>
      <c r="T6423" s="255"/>
    </row>
    <row r="6424" spans="18:20" x14ac:dyDescent="0.3">
      <c r="R6424" s="255"/>
      <c r="S6424" s="255"/>
      <c r="T6424" s="255"/>
    </row>
    <row r="6425" spans="18:20" x14ac:dyDescent="0.3">
      <c r="R6425" s="255"/>
      <c r="S6425" s="255"/>
      <c r="T6425" s="255"/>
    </row>
    <row r="6426" spans="18:20" x14ac:dyDescent="0.3">
      <c r="R6426" s="255"/>
      <c r="S6426" s="255"/>
      <c r="T6426" s="255"/>
    </row>
    <row r="6427" spans="18:20" x14ac:dyDescent="0.3">
      <c r="R6427" s="255"/>
      <c r="S6427" s="255"/>
      <c r="T6427" s="255"/>
    </row>
    <row r="6428" spans="18:20" x14ac:dyDescent="0.3">
      <c r="R6428" s="255"/>
      <c r="S6428" s="255"/>
      <c r="T6428" s="255"/>
    </row>
    <row r="6429" spans="18:20" x14ac:dyDescent="0.3">
      <c r="R6429" s="255"/>
      <c r="S6429" s="255"/>
      <c r="T6429" s="255"/>
    </row>
    <row r="6430" spans="18:20" x14ac:dyDescent="0.3">
      <c r="R6430" s="255"/>
      <c r="S6430" s="255"/>
      <c r="T6430" s="255"/>
    </row>
    <row r="6431" spans="18:20" x14ac:dyDescent="0.3">
      <c r="R6431" s="255"/>
      <c r="S6431" s="255"/>
      <c r="T6431" s="255"/>
    </row>
    <row r="6432" spans="18:20" x14ac:dyDescent="0.3">
      <c r="R6432" s="255"/>
      <c r="S6432" s="255"/>
      <c r="T6432" s="255"/>
    </row>
    <row r="6433" spans="18:20" x14ac:dyDescent="0.3">
      <c r="R6433" s="255"/>
      <c r="S6433" s="255"/>
      <c r="T6433" s="255"/>
    </row>
    <row r="6434" spans="18:20" x14ac:dyDescent="0.3">
      <c r="R6434" s="255"/>
      <c r="S6434" s="255"/>
      <c r="T6434" s="255"/>
    </row>
    <row r="6435" spans="18:20" x14ac:dyDescent="0.3">
      <c r="R6435" s="255"/>
      <c r="S6435" s="255"/>
      <c r="T6435" s="255"/>
    </row>
    <row r="6436" spans="18:20" x14ac:dyDescent="0.3">
      <c r="R6436" s="255"/>
      <c r="S6436" s="255"/>
      <c r="T6436" s="255"/>
    </row>
    <row r="6437" spans="18:20" x14ac:dyDescent="0.3">
      <c r="R6437" s="255"/>
      <c r="S6437" s="255"/>
      <c r="T6437" s="255"/>
    </row>
    <row r="6438" spans="18:20" x14ac:dyDescent="0.3">
      <c r="R6438" s="255"/>
      <c r="S6438" s="255"/>
      <c r="T6438" s="255"/>
    </row>
    <row r="6439" spans="18:20" x14ac:dyDescent="0.3">
      <c r="R6439" s="255"/>
      <c r="S6439" s="255"/>
      <c r="T6439" s="255"/>
    </row>
    <row r="6440" spans="18:20" x14ac:dyDescent="0.3">
      <c r="R6440" s="255"/>
      <c r="S6440" s="255"/>
      <c r="T6440" s="255"/>
    </row>
    <row r="6441" spans="18:20" x14ac:dyDescent="0.3">
      <c r="R6441" s="255"/>
      <c r="S6441" s="255"/>
      <c r="T6441" s="255"/>
    </row>
    <row r="6442" spans="18:20" x14ac:dyDescent="0.3">
      <c r="R6442" s="255"/>
      <c r="S6442" s="255"/>
      <c r="T6442" s="255"/>
    </row>
    <row r="6443" spans="18:20" x14ac:dyDescent="0.3">
      <c r="R6443" s="255"/>
      <c r="S6443" s="255"/>
      <c r="T6443" s="255"/>
    </row>
    <row r="6444" spans="18:20" x14ac:dyDescent="0.3">
      <c r="R6444" s="255"/>
      <c r="S6444" s="255"/>
      <c r="T6444" s="255"/>
    </row>
    <row r="6445" spans="18:20" x14ac:dyDescent="0.3">
      <c r="R6445" s="255"/>
      <c r="S6445" s="255"/>
      <c r="T6445" s="255"/>
    </row>
    <row r="6446" spans="18:20" x14ac:dyDescent="0.3">
      <c r="R6446" s="255"/>
      <c r="S6446" s="255"/>
      <c r="T6446" s="255"/>
    </row>
    <row r="6447" spans="18:20" x14ac:dyDescent="0.3">
      <c r="R6447" s="255"/>
      <c r="S6447" s="255"/>
      <c r="T6447" s="255"/>
    </row>
    <row r="6448" spans="18:20" x14ac:dyDescent="0.3">
      <c r="R6448" s="255"/>
      <c r="S6448" s="255"/>
      <c r="T6448" s="255"/>
    </row>
    <row r="6449" spans="18:20" x14ac:dyDescent="0.3">
      <c r="R6449" s="255"/>
      <c r="S6449" s="255"/>
      <c r="T6449" s="255"/>
    </row>
    <row r="6450" spans="18:20" x14ac:dyDescent="0.3">
      <c r="R6450" s="255"/>
      <c r="S6450" s="255"/>
      <c r="T6450" s="255"/>
    </row>
    <row r="6451" spans="18:20" x14ac:dyDescent="0.3">
      <c r="R6451" s="255"/>
      <c r="S6451" s="255"/>
      <c r="T6451" s="255"/>
    </row>
    <row r="6452" spans="18:20" x14ac:dyDescent="0.3">
      <c r="R6452" s="255"/>
      <c r="S6452" s="255"/>
      <c r="T6452" s="255"/>
    </row>
    <row r="6453" spans="18:20" x14ac:dyDescent="0.3">
      <c r="R6453" s="255"/>
      <c r="S6453" s="255"/>
      <c r="T6453" s="255"/>
    </row>
    <row r="6454" spans="18:20" x14ac:dyDescent="0.3">
      <c r="R6454" s="255"/>
      <c r="S6454" s="255"/>
      <c r="T6454" s="255"/>
    </row>
    <row r="6455" spans="18:20" x14ac:dyDescent="0.3">
      <c r="R6455" s="255"/>
      <c r="S6455" s="255"/>
      <c r="T6455" s="255"/>
    </row>
    <row r="6456" spans="18:20" x14ac:dyDescent="0.3">
      <c r="R6456" s="255"/>
      <c r="S6456" s="255"/>
      <c r="T6456" s="255"/>
    </row>
    <row r="6457" spans="18:20" x14ac:dyDescent="0.3">
      <c r="R6457" s="255"/>
      <c r="S6457" s="255"/>
      <c r="T6457" s="255"/>
    </row>
    <row r="6458" spans="18:20" x14ac:dyDescent="0.3">
      <c r="R6458" s="255"/>
      <c r="S6458" s="255"/>
      <c r="T6458" s="255"/>
    </row>
    <row r="6459" spans="18:20" x14ac:dyDescent="0.3">
      <c r="R6459" s="255"/>
      <c r="S6459" s="255"/>
      <c r="T6459" s="255"/>
    </row>
    <row r="6460" spans="18:20" x14ac:dyDescent="0.3">
      <c r="R6460" s="255"/>
      <c r="S6460" s="255"/>
      <c r="T6460" s="255"/>
    </row>
    <row r="6461" spans="18:20" x14ac:dyDescent="0.3">
      <c r="R6461" s="255"/>
      <c r="S6461" s="255"/>
      <c r="T6461" s="255"/>
    </row>
    <row r="6462" spans="18:20" x14ac:dyDescent="0.3">
      <c r="R6462" s="255"/>
      <c r="S6462" s="255"/>
      <c r="T6462" s="255"/>
    </row>
    <row r="6463" spans="18:20" x14ac:dyDescent="0.3">
      <c r="R6463" s="255"/>
      <c r="S6463" s="255"/>
      <c r="T6463" s="255"/>
    </row>
    <row r="6464" spans="18:20" x14ac:dyDescent="0.3">
      <c r="R6464" s="255"/>
      <c r="S6464" s="255"/>
      <c r="T6464" s="255"/>
    </row>
    <row r="6465" spans="18:20" x14ac:dyDescent="0.3">
      <c r="R6465" s="255"/>
      <c r="S6465" s="255"/>
      <c r="T6465" s="255"/>
    </row>
    <row r="6466" spans="18:20" x14ac:dyDescent="0.3">
      <c r="R6466" s="255"/>
      <c r="S6466" s="255"/>
      <c r="T6466" s="255"/>
    </row>
    <row r="6467" spans="18:20" x14ac:dyDescent="0.3">
      <c r="R6467" s="255"/>
      <c r="S6467" s="255"/>
      <c r="T6467" s="255"/>
    </row>
    <row r="6468" spans="18:20" x14ac:dyDescent="0.3">
      <c r="R6468" s="255"/>
      <c r="S6468" s="255"/>
      <c r="T6468" s="255"/>
    </row>
    <row r="6469" spans="18:20" x14ac:dyDescent="0.3">
      <c r="R6469" s="255"/>
      <c r="S6469" s="255"/>
      <c r="T6469" s="255"/>
    </row>
    <row r="6470" spans="18:20" x14ac:dyDescent="0.3">
      <c r="R6470" s="255"/>
      <c r="S6470" s="255"/>
      <c r="T6470" s="255"/>
    </row>
    <row r="6471" spans="18:20" x14ac:dyDescent="0.3">
      <c r="R6471" s="255"/>
      <c r="S6471" s="255"/>
      <c r="T6471" s="255"/>
    </row>
    <row r="6472" spans="18:20" x14ac:dyDescent="0.3">
      <c r="R6472" s="255"/>
      <c r="S6472" s="255"/>
      <c r="T6472" s="255"/>
    </row>
    <row r="6473" spans="18:20" x14ac:dyDescent="0.3">
      <c r="R6473" s="255"/>
      <c r="S6473" s="255"/>
      <c r="T6473" s="255"/>
    </row>
    <row r="6474" spans="18:20" x14ac:dyDescent="0.3">
      <c r="R6474" s="255"/>
      <c r="S6474" s="255"/>
      <c r="T6474" s="255"/>
    </row>
    <row r="6475" spans="18:20" x14ac:dyDescent="0.3">
      <c r="R6475" s="255"/>
      <c r="S6475" s="255"/>
      <c r="T6475" s="255"/>
    </row>
    <row r="6476" spans="18:20" x14ac:dyDescent="0.3">
      <c r="R6476" s="255"/>
      <c r="S6476" s="255"/>
      <c r="T6476" s="255"/>
    </row>
    <row r="6477" spans="18:20" x14ac:dyDescent="0.3">
      <c r="R6477" s="255"/>
      <c r="S6477" s="255"/>
      <c r="T6477" s="255"/>
    </row>
    <row r="6478" spans="18:20" x14ac:dyDescent="0.3">
      <c r="R6478" s="255"/>
      <c r="S6478" s="255"/>
      <c r="T6478" s="255"/>
    </row>
    <row r="6479" spans="18:20" x14ac:dyDescent="0.3">
      <c r="R6479" s="255"/>
      <c r="S6479" s="255"/>
      <c r="T6479" s="255"/>
    </row>
    <row r="6480" spans="18:20" x14ac:dyDescent="0.3">
      <c r="R6480" s="255"/>
      <c r="S6480" s="255"/>
      <c r="T6480" s="255"/>
    </row>
    <row r="6481" spans="18:20" x14ac:dyDescent="0.3">
      <c r="R6481" s="255"/>
      <c r="S6481" s="255"/>
      <c r="T6481" s="255"/>
    </row>
    <row r="6482" spans="18:20" x14ac:dyDescent="0.3">
      <c r="R6482" s="255"/>
      <c r="S6482" s="255"/>
      <c r="T6482" s="255"/>
    </row>
    <row r="6483" spans="18:20" x14ac:dyDescent="0.3">
      <c r="R6483" s="255"/>
      <c r="S6483" s="255"/>
      <c r="T6483" s="255"/>
    </row>
    <row r="6484" spans="18:20" x14ac:dyDescent="0.3">
      <c r="R6484" s="255"/>
      <c r="S6484" s="255"/>
      <c r="T6484" s="255"/>
    </row>
    <row r="6485" spans="18:20" x14ac:dyDescent="0.3">
      <c r="R6485" s="255"/>
      <c r="S6485" s="255"/>
      <c r="T6485" s="255"/>
    </row>
    <row r="6486" spans="18:20" x14ac:dyDescent="0.3">
      <c r="R6486" s="255"/>
      <c r="S6486" s="255"/>
      <c r="T6486" s="255"/>
    </row>
    <row r="6487" spans="18:20" x14ac:dyDescent="0.3">
      <c r="R6487" s="255"/>
      <c r="S6487" s="255"/>
      <c r="T6487" s="255"/>
    </row>
    <row r="6488" spans="18:20" x14ac:dyDescent="0.3">
      <c r="R6488" s="255"/>
      <c r="S6488" s="255"/>
      <c r="T6488" s="255"/>
    </row>
    <row r="6489" spans="18:20" x14ac:dyDescent="0.3">
      <c r="R6489" s="255"/>
      <c r="S6489" s="255"/>
      <c r="T6489" s="255"/>
    </row>
    <row r="6490" spans="18:20" x14ac:dyDescent="0.3">
      <c r="R6490" s="255"/>
      <c r="S6490" s="255"/>
      <c r="T6490" s="255"/>
    </row>
    <row r="6491" spans="18:20" x14ac:dyDescent="0.3">
      <c r="R6491" s="255"/>
      <c r="S6491" s="255"/>
      <c r="T6491" s="255"/>
    </row>
    <row r="6492" spans="18:20" x14ac:dyDescent="0.3">
      <c r="R6492" s="255"/>
      <c r="S6492" s="255"/>
      <c r="T6492" s="255"/>
    </row>
    <row r="6493" spans="18:20" x14ac:dyDescent="0.3">
      <c r="R6493" s="255"/>
      <c r="S6493" s="255"/>
      <c r="T6493" s="255"/>
    </row>
    <row r="6494" spans="18:20" x14ac:dyDescent="0.3">
      <c r="R6494" s="255"/>
      <c r="S6494" s="255"/>
      <c r="T6494" s="255"/>
    </row>
    <row r="6495" spans="18:20" x14ac:dyDescent="0.3">
      <c r="R6495" s="255"/>
      <c r="S6495" s="255"/>
      <c r="T6495" s="255"/>
    </row>
    <row r="6496" spans="18:20" x14ac:dyDescent="0.3">
      <c r="R6496" s="255"/>
      <c r="S6496" s="255"/>
      <c r="T6496" s="255"/>
    </row>
    <row r="6497" spans="18:20" x14ac:dyDescent="0.3">
      <c r="R6497" s="255"/>
      <c r="S6497" s="255"/>
      <c r="T6497" s="255"/>
    </row>
    <row r="6498" spans="18:20" x14ac:dyDescent="0.3">
      <c r="R6498" s="255"/>
      <c r="S6498" s="255"/>
      <c r="T6498" s="255"/>
    </row>
    <row r="6499" spans="18:20" x14ac:dyDescent="0.3">
      <c r="R6499" s="255"/>
      <c r="S6499" s="255"/>
      <c r="T6499" s="255"/>
    </row>
    <row r="6500" spans="18:20" x14ac:dyDescent="0.3">
      <c r="R6500" s="255"/>
      <c r="S6500" s="255"/>
      <c r="T6500" s="255"/>
    </row>
    <row r="6501" spans="18:20" x14ac:dyDescent="0.3">
      <c r="R6501" s="255"/>
      <c r="S6501" s="255"/>
      <c r="T6501" s="255"/>
    </row>
    <row r="6502" spans="18:20" x14ac:dyDescent="0.3">
      <c r="R6502" s="255"/>
      <c r="S6502" s="255"/>
      <c r="T6502" s="255"/>
    </row>
    <row r="6503" spans="18:20" x14ac:dyDescent="0.3">
      <c r="R6503" s="255"/>
      <c r="S6503" s="255"/>
      <c r="T6503" s="255"/>
    </row>
    <row r="6504" spans="18:20" x14ac:dyDescent="0.3">
      <c r="R6504" s="255"/>
      <c r="S6504" s="255"/>
      <c r="T6504" s="255"/>
    </row>
    <row r="6505" spans="18:20" x14ac:dyDescent="0.3">
      <c r="R6505" s="255"/>
      <c r="S6505" s="255"/>
      <c r="T6505" s="255"/>
    </row>
    <row r="6506" spans="18:20" x14ac:dyDescent="0.3">
      <c r="R6506" s="255"/>
      <c r="S6506" s="255"/>
      <c r="T6506" s="255"/>
    </row>
    <row r="6507" spans="18:20" x14ac:dyDescent="0.3">
      <c r="R6507" s="255"/>
      <c r="S6507" s="255"/>
      <c r="T6507" s="255"/>
    </row>
    <row r="6508" spans="18:20" x14ac:dyDescent="0.3">
      <c r="R6508" s="255"/>
      <c r="S6508" s="255"/>
      <c r="T6508" s="255"/>
    </row>
    <row r="6509" spans="18:20" x14ac:dyDescent="0.3">
      <c r="R6509" s="255"/>
      <c r="S6509" s="255"/>
      <c r="T6509" s="255"/>
    </row>
    <row r="6510" spans="18:20" x14ac:dyDescent="0.3">
      <c r="R6510" s="255"/>
      <c r="S6510" s="255"/>
      <c r="T6510" s="255"/>
    </row>
    <row r="6511" spans="18:20" x14ac:dyDescent="0.3">
      <c r="R6511" s="255"/>
      <c r="S6511" s="255"/>
      <c r="T6511" s="255"/>
    </row>
    <row r="6512" spans="18:20" x14ac:dyDescent="0.3">
      <c r="R6512" s="255"/>
      <c r="S6512" s="255"/>
      <c r="T6512" s="255"/>
    </row>
    <row r="6513" spans="18:20" x14ac:dyDescent="0.3">
      <c r="R6513" s="255"/>
      <c r="S6513" s="255"/>
      <c r="T6513" s="255"/>
    </row>
    <row r="6514" spans="18:20" x14ac:dyDescent="0.3">
      <c r="R6514" s="255"/>
      <c r="S6514" s="255"/>
      <c r="T6514" s="255"/>
    </row>
    <row r="6515" spans="18:20" x14ac:dyDescent="0.3">
      <c r="R6515" s="255"/>
      <c r="S6515" s="255"/>
      <c r="T6515" s="255"/>
    </row>
    <row r="6516" spans="18:20" x14ac:dyDescent="0.3">
      <c r="R6516" s="255"/>
      <c r="S6516" s="255"/>
      <c r="T6516" s="255"/>
    </row>
    <row r="6517" spans="18:20" x14ac:dyDescent="0.3">
      <c r="R6517" s="255"/>
      <c r="S6517" s="255"/>
      <c r="T6517" s="255"/>
    </row>
    <row r="6518" spans="18:20" x14ac:dyDescent="0.3">
      <c r="R6518" s="255"/>
      <c r="S6518" s="255"/>
      <c r="T6518" s="255"/>
    </row>
    <row r="6519" spans="18:20" x14ac:dyDescent="0.3">
      <c r="R6519" s="255"/>
      <c r="S6519" s="255"/>
      <c r="T6519" s="255"/>
    </row>
    <row r="6520" spans="18:20" x14ac:dyDescent="0.3">
      <c r="R6520" s="255"/>
      <c r="S6520" s="255"/>
      <c r="T6520" s="255"/>
    </row>
    <row r="6521" spans="18:20" x14ac:dyDescent="0.3">
      <c r="R6521" s="255"/>
      <c r="S6521" s="255"/>
      <c r="T6521" s="255"/>
    </row>
    <row r="6522" spans="18:20" x14ac:dyDescent="0.3">
      <c r="R6522" s="255"/>
      <c r="S6522" s="255"/>
      <c r="T6522" s="255"/>
    </row>
    <row r="6523" spans="18:20" x14ac:dyDescent="0.3">
      <c r="R6523" s="255"/>
      <c r="S6523" s="255"/>
      <c r="T6523" s="255"/>
    </row>
    <row r="6524" spans="18:20" x14ac:dyDescent="0.3">
      <c r="R6524" s="255"/>
      <c r="S6524" s="255"/>
      <c r="T6524" s="255"/>
    </row>
    <row r="6525" spans="18:20" x14ac:dyDescent="0.3">
      <c r="R6525" s="255"/>
      <c r="S6525" s="255"/>
      <c r="T6525" s="255"/>
    </row>
    <row r="6526" spans="18:20" x14ac:dyDescent="0.3">
      <c r="R6526" s="255"/>
      <c r="S6526" s="255"/>
      <c r="T6526" s="255"/>
    </row>
    <row r="6527" spans="18:20" x14ac:dyDescent="0.3">
      <c r="R6527" s="255"/>
      <c r="S6527" s="255"/>
      <c r="T6527" s="255"/>
    </row>
    <row r="6528" spans="18:20" x14ac:dyDescent="0.3">
      <c r="R6528" s="255"/>
      <c r="S6528" s="255"/>
      <c r="T6528" s="255"/>
    </row>
    <row r="6529" spans="18:20" x14ac:dyDescent="0.3">
      <c r="R6529" s="255"/>
      <c r="S6529" s="255"/>
      <c r="T6529" s="255"/>
    </row>
    <row r="6530" spans="18:20" x14ac:dyDescent="0.3">
      <c r="R6530" s="255"/>
      <c r="S6530" s="255"/>
      <c r="T6530" s="255"/>
    </row>
    <row r="6531" spans="18:20" x14ac:dyDescent="0.3">
      <c r="R6531" s="255"/>
      <c r="S6531" s="255"/>
      <c r="T6531" s="255"/>
    </row>
    <row r="6532" spans="18:20" x14ac:dyDescent="0.3">
      <c r="R6532" s="255"/>
      <c r="S6532" s="255"/>
      <c r="T6532" s="255"/>
    </row>
    <row r="6533" spans="18:20" x14ac:dyDescent="0.3">
      <c r="R6533" s="255"/>
      <c r="S6533" s="255"/>
      <c r="T6533" s="255"/>
    </row>
    <row r="6534" spans="18:20" x14ac:dyDescent="0.3">
      <c r="R6534" s="255"/>
      <c r="S6534" s="255"/>
      <c r="T6534" s="255"/>
    </row>
    <row r="6535" spans="18:20" x14ac:dyDescent="0.3">
      <c r="R6535" s="255"/>
      <c r="S6535" s="255"/>
      <c r="T6535" s="255"/>
    </row>
    <row r="6536" spans="18:20" x14ac:dyDescent="0.3">
      <c r="R6536" s="255"/>
      <c r="S6536" s="255"/>
      <c r="T6536" s="255"/>
    </row>
    <row r="6537" spans="18:20" x14ac:dyDescent="0.3">
      <c r="R6537" s="255"/>
      <c r="S6537" s="255"/>
      <c r="T6537" s="255"/>
    </row>
    <row r="6538" spans="18:20" x14ac:dyDescent="0.3">
      <c r="R6538" s="255"/>
      <c r="S6538" s="255"/>
      <c r="T6538" s="255"/>
    </row>
    <row r="6539" spans="18:20" x14ac:dyDescent="0.3">
      <c r="R6539" s="255"/>
      <c r="S6539" s="255"/>
      <c r="T6539" s="255"/>
    </row>
    <row r="6540" spans="18:20" x14ac:dyDescent="0.3">
      <c r="R6540" s="255"/>
      <c r="S6540" s="255"/>
      <c r="T6540" s="255"/>
    </row>
    <row r="6541" spans="18:20" x14ac:dyDescent="0.3">
      <c r="R6541" s="255"/>
      <c r="S6541" s="255"/>
      <c r="T6541" s="255"/>
    </row>
    <row r="6542" spans="18:20" x14ac:dyDescent="0.3">
      <c r="R6542" s="255"/>
      <c r="S6542" s="255"/>
      <c r="T6542" s="255"/>
    </row>
    <row r="6543" spans="18:20" x14ac:dyDescent="0.3">
      <c r="R6543" s="255"/>
      <c r="S6543" s="255"/>
      <c r="T6543" s="255"/>
    </row>
    <row r="6544" spans="18:20" x14ac:dyDescent="0.3">
      <c r="R6544" s="255"/>
      <c r="S6544" s="255"/>
      <c r="T6544" s="255"/>
    </row>
    <row r="6545" spans="18:20" x14ac:dyDescent="0.3">
      <c r="R6545" s="255"/>
      <c r="S6545" s="255"/>
      <c r="T6545" s="255"/>
    </row>
    <row r="6546" spans="18:20" x14ac:dyDescent="0.3">
      <c r="R6546" s="255"/>
      <c r="S6546" s="255"/>
      <c r="T6546" s="255"/>
    </row>
    <row r="6547" spans="18:20" x14ac:dyDescent="0.3">
      <c r="R6547" s="255"/>
      <c r="S6547" s="255"/>
      <c r="T6547" s="255"/>
    </row>
    <row r="6548" spans="18:20" x14ac:dyDescent="0.3">
      <c r="R6548" s="255"/>
      <c r="S6548" s="255"/>
      <c r="T6548" s="255"/>
    </row>
    <row r="6549" spans="18:20" x14ac:dyDescent="0.3">
      <c r="R6549" s="255"/>
      <c r="S6549" s="255"/>
      <c r="T6549" s="255"/>
    </row>
    <row r="6550" spans="18:20" x14ac:dyDescent="0.3">
      <c r="R6550" s="255"/>
      <c r="S6550" s="255"/>
      <c r="T6550" s="255"/>
    </row>
    <row r="6551" spans="18:20" x14ac:dyDescent="0.3">
      <c r="R6551" s="255"/>
      <c r="S6551" s="255"/>
      <c r="T6551" s="255"/>
    </row>
    <row r="6552" spans="18:20" x14ac:dyDescent="0.3">
      <c r="R6552" s="255"/>
      <c r="S6552" s="255"/>
      <c r="T6552" s="255"/>
    </row>
    <row r="6553" spans="18:20" x14ac:dyDescent="0.3">
      <c r="R6553" s="255"/>
      <c r="S6553" s="255"/>
      <c r="T6553" s="255"/>
    </row>
    <row r="6554" spans="18:20" x14ac:dyDescent="0.3">
      <c r="R6554" s="255"/>
      <c r="S6554" s="255"/>
      <c r="T6554" s="255"/>
    </row>
    <row r="6555" spans="18:20" x14ac:dyDescent="0.3">
      <c r="R6555" s="255"/>
      <c r="S6555" s="255"/>
      <c r="T6555" s="255"/>
    </row>
    <row r="6556" spans="18:20" x14ac:dyDescent="0.3">
      <c r="R6556" s="255"/>
      <c r="S6556" s="255"/>
      <c r="T6556" s="255"/>
    </row>
    <row r="6557" spans="18:20" x14ac:dyDescent="0.3">
      <c r="R6557" s="255"/>
      <c r="S6557" s="255"/>
      <c r="T6557" s="255"/>
    </row>
    <row r="6558" spans="18:20" x14ac:dyDescent="0.3">
      <c r="R6558" s="255"/>
      <c r="S6558" s="255"/>
      <c r="T6558" s="255"/>
    </row>
    <row r="6559" spans="18:20" x14ac:dyDescent="0.3">
      <c r="R6559" s="255"/>
      <c r="S6559" s="255"/>
      <c r="T6559" s="255"/>
    </row>
    <row r="6560" spans="18:20" x14ac:dyDescent="0.3">
      <c r="R6560" s="255"/>
      <c r="S6560" s="255"/>
      <c r="T6560" s="255"/>
    </row>
    <row r="6561" spans="18:20" x14ac:dyDescent="0.3">
      <c r="R6561" s="255"/>
      <c r="S6561" s="255"/>
      <c r="T6561" s="255"/>
    </row>
    <row r="6562" spans="18:20" x14ac:dyDescent="0.3">
      <c r="R6562" s="255"/>
      <c r="S6562" s="255"/>
      <c r="T6562" s="255"/>
    </row>
    <row r="6563" spans="18:20" x14ac:dyDescent="0.3">
      <c r="R6563" s="255"/>
      <c r="S6563" s="255"/>
      <c r="T6563" s="255"/>
    </row>
    <row r="6564" spans="18:20" x14ac:dyDescent="0.3">
      <c r="R6564" s="255"/>
      <c r="S6564" s="255"/>
      <c r="T6564" s="255"/>
    </row>
    <row r="6565" spans="18:20" x14ac:dyDescent="0.3">
      <c r="R6565" s="255"/>
      <c r="S6565" s="255"/>
      <c r="T6565" s="255"/>
    </row>
    <row r="6566" spans="18:20" x14ac:dyDescent="0.3">
      <c r="R6566" s="255"/>
      <c r="S6566" s="255"/>
      <c r="T6566" s="255"/>
    </row>
    <row r="6567" spans="18:20" x14ac:dyDescent="0.3">
      <c r="R6567" s="255"/>
      <c r="S6567" s="255"/>
      <c r="T6567" s="255"/>
    </row>
    <row r="6568" spans="18:20" x14ac:dyDescent="0.3">
      <c r="R6568" s="255"/>
      <c r="S6568" s="255"/>
      <c r="T6568" s="255"/>
    </row>
    <row r="6569" spans="18:20" x14ac:dyDescent="0.3">
      <c r="R6569" s="255"/>
      <c r="S6569" s="255"/>
      <c r="T6569" s="255"/>
    </row>
    <row r="6570" spans="18:20" x14ac:dyDescent="0.3">
      <c r="R6570" s="255"/>
      <c r="S6570" s="255"/>
      <c r="T6570" s="255"/>
    </row>
    <row r="6571" spans="18:20" x14ac:dyDescent="0.3">
      <c r="R6571" s="255"/>
      <c r="S6571" s="255"/>
      <c r="T6571" s="255"/>
    </row>
    <row r="6572" spans="18:20" x14ac:dyDescent="0.3">
      <c r="R6572" s="255"/>
      <c r="S6572" s="255"/>
      <c r="T6572" s="255"/>
    </row>
    <row r="6573" spans="18:20" x14ac:dyDescent="0.3">
      <c r="R6573" s="255"/>
      <c r="S6573" s="255"/>
      <c r="T6573" s="255"/>
    </row>
    <row r="6574" spans="18:20" x14ac:dyDescent="0.3">
      <c r="R6574" s="255"/>
      <c r="S6574" s="255"/>
      <c r="T6574" s="255"/>
    </row>
    <row r="6575" spans="18:20" x14ac:dyDescent="0.3">
      <c r="R6575" s="255"/>
      <c r="S6575" s="255"/>
      <c r="T6575" s="255"/>
    </row>
    <row r="6576" spans="18:20" x14ac:dyDescent="0.3">
      <c r="R6576" s="255"/>
      <c r="S6576" s="255"/>
      <c r="T6576" s="255"/>
    </row>
    <row r="6577" spans="18:20" x14ac:dyDescent="0.3">
      <c r="R6577" s="255"/>
      <c r="S6577" s="255"/>
      <c r="T6577" s="255"/>
    </row>
    <row r="6578" spans="18:20" x14ac:dyDescent="0.3">
      <c r="R6578" s="255"/>
      <c r="S6578" s="255"/>
      <c r="T6578" s="255"/>
    </row>
    <row r="6579" spans="18:20" x14ac:dyDescent="0.3">
      <c r="R6579" s="255"/>
      <c r="S6579" s="255"/>
      <c r="T6579" s="255"/>
    </row>
    <row r="6580" spans="18:20" x14ac:dyDescent="0.3">
      <c r="R6580" s="255"/>
      <c r="S6580" s="255"/>
      <c r="T6580" s="255"/>
    </row>
    <row r="6581" spans="18:20" x14ac:dyDescent="0.3">
      <c r="R6581" s="255"/>
      <c r="S6581" s="255"/>
      <c r="T6581" s="255"/>
    </row>
    <row r="6582" spans="18:20" x14ac:dyDescent="0.3">
      <c r="R6582" s="255"/>
      <c r="S6582" s="255"/>
      <c r="T6582" s="255"/>
    </row>
    <row r="6583" spans="18:20" x14ac:dyDescent="0.3">
      <c r="R6583" s="255"/>
      <c r="S6583" s="255"/>
      <c r="T6583" s="255"/>
    </row>
    <row r="6584" spans="18:20" x14ac:dyDescent="0.3">
      <c r="R6584" s="255"/>
      <c r="S6584" s="255"/>
      <c r="T6584" s="255"/>
    </row>
    <row r="6585" spans="18:20" x14ac:dyDescent="0.3">
      <c r="R6585" s="255"/>
      <c r="S6585" s="255"/>
      <c r="T6585" s="255"/>
    </row>
    <row r="6586" spans="18:20" x14ac:dyDescent="0.3">
      <c r="R6586" s="255"/>
      <c r="S6586" s="255"/>
      <c r="T6586" s="255"/>
    </row>
    <row r="6587" spans="18:20" x14ac:dyDescent="0.3">
      <c r="R6587" s="255"/>
      <c r="S6587" s="255"/>
      <c r="T6587" s="255"/>
    </row>
    <row r="6588" spans="18:20" x14ac:dyDescent="0.3">
      <c r="R6588" s="255"/>
      <c r="S6588" s="255"/>
      <c r="T6588" s="255"/>
    </row>
    <row r="6589" spans="18:20" x14ac:dyDescent="0.3">
      <c r="R6589" s="255"/>
      <c r="S6589" s="255"/>
      <c r="T6589" s="255"/>
    </row>
    <row r="6590" spans="18:20" x14ac:dyDescent="0.3">
      <c r="R6590" s="255"/>
      <c r="S6590" s="255"/>
      <c r="T6590" s="255"/>
    </row>
    <row r="6591" spans="18:20" x14ac:dyDescent="0.3">
      <c r="R6591" s="255"/>
      <c r="S6591" s="255"/>
      <c r="T6591" s="255"/>
    </row>
    <row r="6592" spans="18:20" x14ac:dyDescent="0.3">
      <c r="R6592" s="255"/>
      <c r="S6592" s="255"/>
      <c r="T6592" s="255"/>
    </row>
    <row r="6593" spans="18:20" x14ac:dyDescent="0.3">
      <c r="R6593" s="255"/>
      <c r="S6593" s="255"/>
      <c r="T6593" s="255"/>
    </row>
    <row r="6594" spans="18:20" x14ac:dyDescent="0.3">
      <c r="R6594" s="255"/>
      <c r="S6594" s="255"/>
      <c r="T6594" s="255"/>
    </row>
    <row r="6595" spans="18:20" x14ac:dyDescent="0.3">
      <c r="R6595" s="255"/>
      <c r="S6595" s="255"/>
      <c r="T6595" s="255"/>
    </row>
    <row r="6596" spans="18:20" x14ac:dyDescent="0.3">
      <c r="R6596" s="255"/>
      <c r="S6596" s="255"/>
      <c r="T6596" s="255"/>
    </row>
    <row r="6597" spans="18:20" x14ac:dyDescent="0.3">
      <c r="R6597" s="255"/>
      <c r="S6597" s="255"/>
      <c r="T6597" s="255"/>
    </row>
    <row r="6598" spans="18:20" x14ac:dyDescent="0.3">
      <c r="R6598" s="255"/>
      <c r="S6598" s="255"/>
      <c r="T6598" s="255"/>
    </row>
    <row r="6599" spans="18:20" x14ac:dyDescent="0.3">
      <c r="R6599" s="255"/>
      <c r="S6599" s="255"/>
      <c r="T6599" s="255"/>
    </row>
    <row r="6600" spans="18:20" x14ac:dyDescent="0.3">
      <c r="R6600" s="255"/>
      <c r="S6600" s="255"/>
      <c r="T6600" s="255"/>
    </row>
    <row r="6601" spans="18:20" x14ac:dyDescent="0.3">
      <c r="R6601" s="255"/>
      <c r="S6601" s="255"/>
      <c r="T6601" s="255"/>
    </row>
    <row r="6602" spans="18:20" x14ac:dyDescent="0.3">
      <c r="R6602" s="255"/>
      <c r="S6602" s="255"/>
      <c r="T6602" s="255"/>
    </row>
    <row r="6603" spans="18:20" x14ac:dyDescent="0.3">
      <c r="R6603" s="255"/>
      <c r="S6603" s="255"/>
      <c r="T6603" s="255"/>
    </row>
    <row r="6604" spans="18:20" x14ac:dyDescent="0.3">
      <c r="R6604" s="255"/>
      <c r="S6604" s="255"/>
      <c r="T6604" s="255"/>
    </row>
    <row r="6605" spans="18:20" x14ac:dyDescent="0.3">
      <c r="R6605" s="255"/>
      <c r="S6605" s="255"/>
      <c r="T6605" s="255"/>
    </row>
    <row r="6606" spans="18:20" x14ac:dyDescent="0.3">
      <c r="R6606" s="255"/>
      <c r="S6606" s="255"/>
      <c r="T6606" s="255"/>
    </row>
    <row r="6607" spans="18:20" x14ac:dyDescent="0.3">
      <c r="R6607" s="255"/>
      <c r="S6607" s="255"/>
      <c r="T6607" s="255"/>
    </row>
    <row r="6608" spans="18:20" x14ac:dyDescent="0.3">
      <c r="R6608" s="255"/>
      <c r="S6608" s="255"/>
      <c r="T6608" s="255"/>
    </row>
    <row r="6609" spans="18:20" x14ac:dyDescent="0.3">
      <c r="R6609" s="255"/>
      <c r="S6609" s="255"/>
      <c r="T6609" s="255"/>
    </row>
    <row r="6610" spans="18:20" x14ac:dyDescent="0.3">
      <c r="R6610" s="255"/>
      <c r="S6610" s="255"/>
      <c r="T6610" s="255"/>
    </row>
    <row r="6611" spans="18:20" x14ac:dyDescent="0.3">
      <c r="R6611" s="255"/>
      <c r="S6611" s="255"/>
      <c r="T6611" s="255"/>
    </row>
    <row r="6612" spans="18:20" x14ac:dyDescent="0.3">
      <c r="R6612" s="255"/>
      <c r="S6612" s="255"/>
      <c r="T6612" s="255"/>
    </row>
    <row r="6613" spans="18:20" x14ac:dyDescent="0.3">
      <c r="R6613" s="255"/>
      <c r="S6613" s="255"/>
      <c r="T6613" s="255"/>
    </row>
    <row r="6614" spans="18:20" x14ac:dyDescent="0.3">
      <c r="R6614" s="255"/>
      <c r="S6614" s="255"/>
      <c r="T6614" s="255"/>
    </row>
    <row r="6615" spans="18:20" x14ac:dyDescent="0.3">
      <c r="R6615" s="255"/>
      <c r="S6615" s="255"/>
      <c r="T6615" s="255"/>
    </row>
    <row r="6616" spans="18:20" x14ac:dyDescent="0.3">
      <c r="R6616" s="255"/>
      <c r="S6616" s="255"/>
      <c r="T6616" s="255"/>
    </row>
    <row r="6617" spans="18:20" x14ac:dyDescent="0.3">
      <c r="R6617" s="255"/>
      <c r="S6617" s="255"/>
      <c r="T6617" s="255"/>
    </row>
    <row r="6618" spans="18:20" x14ac:dyDescent="0.3">
      <c r="R6618" s="255"/>
      <c r="S6618" s="255"/>
      <c r="T6618" s="255"/>
    </row>
    <row r="6619" spans="18:20" x14ac:dyDescent="0.3">
      <c r="R6619" s="255"/>
      <c r="S6619" s="255"/>
      <c r="T6619" s="255"/>
    </row>
    <row r="6620" spans="18:20" x14ac:dyDescent="0.3">
      <c r="R6620" s="255"/>
      <c r="S6620" s="255"/>
      <c r="T6620" s="255"/>
    </row>
    <row r="6621" spans="18:20" x14ac:dyDescent="0.3">
      <c r="R6621" s="255"/>
      <c r="S6621" s="255"/>
      <c r="T6621" s="255"/>
    </row>
    <row r="6622" spans="18:20" x14ac:dyDescent="0.3">
      <c r="R6622" s="255"/>
      <c r="S6622" s="255"/>
      <c r="T6622" s="255"/>
    </row>
    <row r="6623" spans="18:20" x14ac:dyDescent="0.3">
      <c r="R6623" s="255"/>
      <c r="S6623" s="255"/>
      <c r="T6623" s="255"/>
    </row>
    <row r="6624" spans="18:20" x14ac:dyDescent="0.3">
      <c r="R6624" s="255"/>
      <c r="S6624" s="255"/>
      <c r="T6624" s="255"/>
    </row>
    <row r="6625" spans="18:20" x14ac:dyDescent="0.3">
      <c r="R6625" s="255"/>
      <c r="S6625" s="255"/>
      <c r="T6625" s="255"/>
    </row>
    <row r="6626" spans="18:20" x14ac:dyDescent="0.3">
      <c r="R6626" s="255"/>
      <c r="S6626" s="255"/>
      <c r="T6626" s="255"/>
    </row>
    <row r="6627" spans="18:20" x14ac:dyDescent="0.3">
      <c r="R6627" s="255"/>
      <c r="S6627" s="255"/>
      <c r="T6627" s="255"/>
    </row>
    <row r="6628" spans="18:20" x14ac:dyDescent="0.3">
      <c r="R6628" s="255"/>
      <c r="S6628" s="255"/>
      <c r="T6628" s="255"/>
    </row>
    <row r="6629" spans="18:20" x14ac:dyDescent="0.3">
      <c r="R6629" s="255"/>
      <c r="S6629" s="255"/>
      <c r="T6629" s="255"/>
    </row>
    <row r="6630" spans="18:20" x14ac:dyDescent="0.3">
      <c r="R6630" s="255"/>
      <c r="S6630" s="255"/>
      <c r="T6630" s="255"/>
    </row>
    <row r="6631" spans="18:20" x14ac:dyDescent="0.3">
      <c r="R6631" s="255"/>
      <c r="S6631" s="255"/>
      <c r="T6631" s="255"/>
    </row>
    <row r="6632" spans="18:20" x14ac:dyDescent="0.3">
      <c r="R6632" s="255"/>
      <c r="S6632" s="255"/>
      <c r="T6632" s="255"/>
    </row>
    <row r="6633" spans="18:20" x14ac:dyDescent="0.3">
      <c r="R6633" s="255"/>
      <c r="S6633" s="255"/>
      <c r="T6633" s="255"/>
    </row>
    <row r="6634" spans="18:20" x14ac:dyDescent="0.3">
      <c r="R6634" s="255"/>
      <c r="S6634" s="255"/>
      <c r="T6634" s="255"/>
    </row>
    <row r="6635" spans="18:20" x14ac:dyDescent="0.3">
      <c r="R6635" s="255"/>
      <c r="S6635" s="255"/>
      <c r="T6635" s="255"/>
    </row>
    <row r="6636" spans="18:20" x14ac:dyDescent="0.3">
      <c r="R6636" s="255"/>
      <c r="S6636" s="255"/>
      <c r="T6636" s="255"/>
    </row>
    <row r="6637" spans="18:20" x14ac:dyDescent="0.3">
      <c r="R6637" s="255"/>
      <c r="S6637" s="255"/>
      <c r="T6637" s="255"/>
    </row>
    <row r="6638" spans="18:20" x14ac:dyDescent="0.3">
      <c r="R6638" s="255"/>
      <c r="S6638" s="255"/>
      <c r="T6638" s="255"/>
    </row>
    <row r="6639" spans="18:20" x14ac:dyDescent="0.3">
      <c r="R6639" s="255"/>
      <c r="S6639" s="255"/>
      <c r="T6639" s="255"/>
    </row>
    <row r="6640" spans="18:20" x14ac:dyDescent="0.3">
      <c r="R6640" s="255"/>
      <c r="S6640" s="255"/>
      <c r="T6640" s="255"/>
    </row>
    <row r="6641" spans="18:20" x14ac:dyDescent="0.3">
      <c r="R6641" s="255"/>
      <c r="S6641" s="255"/>
      <c r="T6641" s="255"/>
    </row>
    <row r="6642" spans="18:20" x14ac:dyDescent="0.3">
      <c r="R6642" s="255"/>
      <c r="S6642" s="255"/>
      <c r="T6642" s="255"/>
    </row>
    <row r="6643" spans="18:20" x14ac:dyDescent="0.3">
      <c r="R6643" s="255"/>
      <c r="S6643" s="255"/>
      <c r="T6643" s="255"/>
    </row>
    <row r="6644" spans="18:20" x14ac:dyDescent="0.3">
      <c r="R6644" s="255"/>
      <c r="S6644" s="255"/>
      <c r="T6644" s="255"/>
    </row>
    <row r="6645" spans="18:20" x14ac:dyDescent="0.3">
      <c r="R6645" s="255"/>
      <c r="S6645" s="255"/>
      <c r="T6645" s="255"/>
    </row>
    <row r="6646" spans="18:20" x14ac:dyDescent="0.3">
      <c r="R6646" s="255"/>
      <c r="S6646" s="255"/>
      <c r="T6646" s="255"/>
    </row>
    <row r="6647" spans="18:20" x14ac:dyDescent="0.3">
      <c r="R6647" s="255"/>
      <c r="S6647" s="255"/>
      <c r="T6647" s="255"/>
    </row>
    <row r="6648" spans="18:20" x14ac:dyDescent="0.3">
      <c r="R6648" s="255"/>
      <c r="S6648" s="255"/>
      <c r="T6648" s="255"/>
    </row>
    <row r="6649" spans="18:20" x14ac:dyDescent="0.3">
      <c r="R6649" s="255"/>
      <c r="S6649" s="255"/>
      <c r="T6649" s="255"/>
    </row>
    <row r="6650" spans="18:20" x14ac:dyDescent="0.3">
      <c r="R6650" s="255"/>
      <c r="S6650" s="255"/>
      <c r="T6650" s="255"/>
    </row>
    <row r="6651" spans="18:20" x14ac:dyDescent="0.3">
      <c r="R6651" s="255"/>
      <c r="S6651" s="255"/>
      <c r="T6651" s="255"/>
    </row>
    <row r="6652" spans="18:20" x14ac:dyDescent="0.3">
      <c r="R6652" s="255"/>
      <c r="S6652" s="255"/>
      <c r="T6652" s="255"/>
    </row>
    <row r="6653" spans="18:20" x14ac:dyDescent="0.3">
      <c r="R6653" s="255"/>
      <c r="S6653" s="255"/>
      <c r="T6653" s="255"/>
    </row>
    <row r="6654" spans="18:20" x14ac:dyDescent="0.3">
      <c r="R6654" s="255"/>
      <c r="S6654" s="255"/>
      <c r="T6654" s="255"/>
    </row>
    <row r="6655" spans="18:20" x14ac:dyDescent="0.3">
      <c r="R6655" s="255"/>
      <c r="S6655" s="255"/>
      <c r="T6655" s="255"/>
    </row>
    <row r="6656" spans="18:20" x14ac:dyDescent="0.3">
      <c r="R6656" s="255"/>
      <c r="S6656" s="255"/>
      <c r="T6656" s="255"/>
    </row>
    <row r="6657" spans="18:20" x14ac:dyDescent="0.3">
      <c r="R6657" s="255"/>
      <c r="S6657" s="255"/>
      <c r="T6657" s="255"/>
    </row>
    <row r="6658" spans="18:20" x14ac:dyDescent="0.3">
      <c r="R6658" s="255"/>
      <c r="S6658" s="255"/>
      <c r="T6658" s="255"/>
    </row>
    <row r="6659" spans="18:20" x14ac:dyDescent="0.3">
      <c r="R6659" s="255"/>
      <c r="S6659" s="255"/>
      <c r="T6659" s="255"/>
    </row>
    <row r="6660" spans="18:20" x14ac:dyDescent="0.3">
      <c r="R6660" s="255"/>
      <c r="S6660" s="255"/>
      <c r="T6660" s="255"/>
    </row>
    <row r="6661" spans="18:20" x14ac:dyDescent="0.3">
      <c r="R6661" s="255"/>
      <c r="S6661" s="255"/>
      <c r="T6661" s="255"/>
    </row>
    <row r="6662" spans="18:20" x14ac:dyDescent="0.3">
      <c r="R6662" s="255"/>
      <c r="S6662" s="255"/>
      <c r="T6662" s="255"/>
    </row>
    <row r="6663" spans="18:20" x14ac:dyDescent="0.3">
      <c r="R6663" s="255"/>
      <c r="S6663" s="255"/>
      <c r="T6663" s="255"/>
    </row>
    <row r="6664" spans="18:20" x14ac:dyDescent="0.3">
      <c r="R6664" s="255"/>
      <c r="S6664" s="255"/>
      <c r="T6664" s="255"/>
    </row>
    <row r="6665" spans="18:20" x14ac:dyDescent="0.3">
      <c r="R6665" s="255"/>
      <c r="S6665" s="255"/>
      <c r="T6665" s="255"/>
    </row>
    <row r="6666" spans="18:20" x14ac:dyDescent="0.3">
      <c r="R6666" s="255"/>
      <c r="S6666" s="255"/>
      <c r="T6666" s="255"/>
    </row>
    <row r="6667" spans="18:20" x14ac:dyDescent="0.3">
      <c r="R6667" s="255"/>
      <c r="S6667" s="255"/>
      <c r="T6667" s="255"/>
    </row>
    <row r="6668" spans="18:20" x14ac:dyDescent="0.3">
      <c r="R6668" s="255"/>
      <c r="S6668" s="255"/>
      <c r="T6668" s="255"/>
    </row>
    <row r="6669" spans="18:20" x14ac:dyDescent="0.3">
      <c r="R6669" s="255"/>
      <c r="S6669" s="255"/>
      <c r="T6669" s="255"/>
    </row>
    <row r="6670" spans="18:20" x14ac:dyDescent="0.3">
      <c r="R6670" s="255"/>
      <c r="S6670" s="255"/>
      <c r="T6670" s="255"/>
    </row>
    <row r="6671" spans="18:20" x14ac:dyDescent="0.3">
      <c r="R6671" s="255"/>
      <c r="S6671" s="255"/>
      <c r="T6671" s="255"/>
    </row>
    <row r="6672" spans="18:20" x14ac:dyDescent="0.3">
      <c r="R6672" s="255"/>
      <c r="S6672" s="255"/>
      <c r="T6672" s="255"/>
    </row>
    <row r="6673" spans="18:20" x14ac:dyDescent="0.3">
      <c r="R6673" s="255"/>
      <c r="S6673" s="255"/>
      <c r="T6673" s="255"/>
    </row>
    <row r="6674" spans="18:20" x14ac:dyDescent="0.3">
      <c r="R6674" s="255"/>
      <c r="S6674" s="255"/>
      <c r="T6674" s="255"/>
    </row>
    <row r="6675" spans="18:20" x14ac:dyDescent="0.3">
      <c r="R6675" s="255"/>
      <c r="S6675" s="255"/>
      <c r="T6675" s="255"/>
    </row>
    <row r="6676" spans="18:20" x14ac:dyDescent="0.3">
      <c r="R6676" s="255"/>
      <c r="S6676" s="255"/>
      <c r="T6676" s="255"/>
    </row>
    <row r="6677" spans="18:20" x14ac:dyDescent="0.3">
      <c r="R6677" s="255"/>
      <c r="S6677" s="255"/>
      <c r="T6677" s="255"/>
    </row>
    <row r="6678" spans="18:20" x14ac:dyDescent="0.3">
      <c r="R6678" s="255"/>
      <c r="S6678" s="255"/>
      <c r="T6678" s="255"/>
    </row>
    <row r="6679" spans="18:20" x14ac:dyDescent="0.3">
      <c r="R6679" s="255"/>
      <c r="S6679" s="255"/>
      <c r="T6679" s="255"/>
    </row>
    <row r="6680" spans="18:20" x14ac:dyDescent="0.3">
      <c r="R6680" s="255"/>
      <c r="S6680" s="255"/>
      <c r="T6680" s="255"/>
    </row>
    <row r="6681" spans="18:20" x14ac:dyDescent="0.3">
      <c r="R6681" s="255"/>
      <c r="S6681" s="255"/>
      <c r="T6681" s="255"/>
    </row>
    <row r="6682" spans="18:20" x14ac:dyDescent="0.3">
      <c r="R6682" s="255"/>
      <c r="S6682" s="255"/>
      <c r="T6682" s="255"/>
    </row>
    <row r="6683" spans="18:20" x14ac:dyDescent="0.3">
      <c r="R6683" s="255"/>
      <c r="S6683" s="255"/>
      <c r="T6683" s="255"/>
    </row>
    <row r="6684" spans="18:20" x14ac:dyDescent="0.3">
      <c r="R6684" s="255"/>
      <c r="S6684" s="255"/>
      <c r="T6684" s="255"/>
    </row>
    <row r="6685" spans="18:20" x14ac:dyDescent="0.3">
      <c r="R6685" s="255"/>
      <c r="S6685" s="255"/>
      <c r="T6685" s="255"/>
    </row>
    <row r="6686" spans="18:20" x14ac:dyDescent="0.3">
      <c r="R6686" s="255"/>
      <c r="S6686" s="255"/>
      <c r="T6686" s="255"/>
    </row>
    <row r="6687" spans="18:20" x14ac:dyDescent="0.3">
      <c r="R6687" s="255"/>
      <c r="S6687" s="255"/>
      <c r="T6687" s="255"/>
    </row>
    <row r="6688" spans="18:20" x14ac:dyDescent="0.3">
      <c r="R6688" s="255"/>
      <c r="S6688" s="255"/>
      <c r="T6688" s="255"/>
    </row>
    <row r="6689" spans="18:20" x14ac:dyDescent="0.3">
      <c r="R6689" s="255"/>
      <c r="S6689" s="255"/>
      <c r="T6689" s="255"/>
    </row>
    <row r="6690" spans="18:20" x14ac:dyDescent="0.3">
      <c r="R6690" s="255"/>
      <c r="S6690" s="255"/>
      <c r="T6690" s="255"/>
    </row>
    <row r="6691" spans="18:20" x14ac:dyDescent="0.3">
      <c r="R6691" s="255"/>
      <c r="S6691" s="255"/>
      <c r="T6691" s="255"/>
    </row>
    <row r="6692" spans="18:20" x14ac:dyDescent="0.3">
      <c r="R6692" s="255"/>
      <c r="S6692" s="255"/>
      <c r="T6692" s="255"/>
    </row>
    <row r="6693" spans="18:20" x14ac:dyDescent="0.3">
      <c r="R6693" s="255"/>
      <c r="S6693" s="255"/>
      <c r="T6693" s="255"/>
    </row>
    <row r="6694" spans="18:20" x14ac:dyDescent="0.3">
      <c r="R6694" s="255"/>
      <c r="S6694" s="255"/>
      <c r="T6694" s="255"/>
    </row>
    <row r="6695" spans="18:20" x14ac:dyDescent="0.3">
      <c r="R6695" s="255"/>
      <c r="S6695" s="255"/>
      <c r="T6695" s="255"/>
    </row>
    <row r="6696" spans="18:20" x14ac:dyDescent="0.3">
      <c r="R6696" s="255"/>
      <c r="S6696" s="255"/>
      <c r="T6696" s="255"/>
    </row>
    <row r="6697" spans="18:20" x14ac:dyDescent="0.3">
      <c r="R6697" s="255"/>
      <c r="S6697" s="255"/>
      <c r="T6697" s="255"/>
    </row>
    <row r="6698" spans="18:20" x14ac:dyDescent="0.3">
      <c r="R6698" s="255"/>
      <c r="S6698" s="255"/>
      <c r="T6698" s="255"/>
    </row>
    <row r="6699" spans="18:20" x14ac:dyDescent="0.3">
      <c r="R6699" s="255"/>
      <c r="S6699" s="255"/>
      <c r="T6699" s="255"/>
    </row>
    <row r="6700" spans="18:20" x14ac:dyDescent="0.3">
      <c r="R6700" s="255"/>
      <c r="S6700" s="255"/>
      <c r="T6700" s="255"/>
    </row>
    <row r="6701" spans="18:20" x14ac:dyDescent="0.3">
      <c r="R6701" s="255"/>
      <c r="S6701" s="255"/>
      <c r="T6701" s="255"/>
    </row>
    <row r="6702" spans="18:20" x14ac:dyDescent="0.3">
      <c r="R6702" s="255"/>
      <c r="S6702" s="255"/>
      <c r="T6702" s="255"/>
    </row>
    <row r="6703" spans="18:20" x14ac:dyDescent="0.3">
      <c r="R6703" s="255"/>
      <c r="S6703" s="255"/>
      <c r="T6703" s="255"/>
    </row>
    <row r="6704" spans="18:20" x14ac:dyDescent="0.3">
      <c r="R6704" s="255"/>
      <c r="S6704" s="255"/>
      <c r="T6704" s="255"/>
    </row>
    <row r="6705" spans="18:20" x14ac:dyDescent="0.3">
      <c r="R6705" s="255"/>
      <c r="S6705" s="255"/>
      <c r="T6705" s="255"/>
    </row>
    <row r="6706" spans="18:20" x14ac:dyDescent="0.3">
      <c r="R6706" s="255"/>
      <c r="S6706" s="255"/>
      <c r="T6706" s="255"/>
    </row>
    <row r="6707" spans="18:20" x14ac:dyDescent="0.3">
      <c r="R6707" s="255"/>
      <c r="S6707" s="255"/>
      <c r="T6707" s="255"/>
    </row>
    <row r="6708" spans="18:20" x14ac:dyDescent="0.3">
      <c r="R6708" s="255"/>
      <c r="S6708" s="255"/>
      <c r="T6708" s="255"/>
    </row>
    <row r="6709" spans="18:20" x14ac:dyDescent="0.3">
      <c r="R6709" s="255"/>
      <c r="S6709" s="255"/>
      <c r="T6709" s="255"/>
    </row>
    <row r="6710" spans="18:20" x14ac:dyDescent="0.3">
      <c r="R6710" s="255"/>
      <c r="S6710" s="255"/>
      <c r="T6710" s="255"/>
    </row>
    <row r="6711" spans="18:20" x14ac:dyDescent="0.3">
      <c r="R6711" s="255"/>
      <c r="S6711" s="255"/>
      <c r="T6711" s="255"/>
    </row>
    <row r="6712" spans="18:20" x14ac:dyDescent="0.3">
      <c r="R6712" s="255"/>
      <c r="S6712" s="255"/>
      <c r="T6712" s="255"/>
    </row>
    <row r="6713" spans="18:20" x14ac:dyDescent="0.3">
      <c r="R6713" s="255"/>
      <c r="S6713" s="255"/>
      <c r="T6713" s="255"/>
    </row>
    <row r="6714" spans="18:20" x14ac:dyDescent="0.3">
      <c r="R6714" s="255"/>
      <c r="S6714" s="255"/>
      <c r="T6714" s="255"/>
    </row>
    <row r="6715" spans="18:20" x14ac:dyDescent="0.3">
      <c r="R6715" s="255"/>
      <c r="S6715" s="255"/>
      <c r="T6715" s="255"/>
    </row>
    <row r="6716" spans="18:20" x14ac:dyDescent="0.3">
      <c r="R6716" s="255"/>
      <c r="S6716" s="255"/>
      <c r="T6716" s="255"/>
    </row>
    <row r="6717" spans="18:20" x14ac:dyDescent="0.3">
      <c r="R6717" s="255"/>
      <c r="S6717" s="255"/>
      <c r="T6717" s="255"/>
    </row>
    <row r="6718" spans="18:20" x14ac:dyDescent="0.3">
      <c r="R6718" s="255"/>
      <c r="S6718" s="255"/>
      <c r="T6718" s="255"/>
    </row>
    <row r="6719" spans="18:20" x14ac:dyDescent="0.3">
      <c r="R6719" s="255"/>
      <c r="S6719" s="255"/>
      <c r="T6719" s="255"/>
    </row>
    <row r="6720" spans="18:20" x14ac:dyDescent="0.3">
      <c r="R6720" s="255"/>
      <c r="S6720" s="255"/>
      <c r="T6720" s="255"/>
    </row>
    <row r="6721" spans="18:20" x14ac:dyDescent="0.3">
      <c r="R6721" s="255"/>
      <c r="S6721" s="255"/>
      <c r="T6721" s="255"/>
    </row>
    <row r="6722" spans="18:20" x14ac:dyDescent="0.3">
      <c r="R6722" s="255"/>
      <c r="S6722" s="255"/>
      <c r="T6722" s="255"/>
    </row>
    <row r="6723" spans="18:20" x14ac:dyDescent="0.3">
      <c r="R6723" s="255"/>
      <c r="S6723" s="255"/>
      <c r="T6723" s="255"/>
    </row>
    <row r="6724" spans="18:20" x14ac:dyDescent="0.3">
      <c r="R6724" s="255"/>
      <c r="S6724" s="255"/>
      <c r="T6724" s="255"/>
    </row>
    <row r="6725" spans="18:20" x14ac:dyDescent="0.3">
      <c r="R6725" s="255"/>
      <c r="S6725" s="255"/>
      <c r="T6725" s="255"/>
    </row>
    <row r="6726" spans="18:20" x14ac:dyDescent="0.3">
      <c r="R6726" s="255"/>
      <c r="S6726" s="255"/>
      <c r="T6726" s="255"/>
    </row>
    <row r="6727" spans="18:20" x14ac:dyDescent="0.3">
      <c r="R6727" s="255"/>
      <c r="S6727" s="255"/>
      <c r="T6727" s="255"/>
    </row>
    <row r="6728" spans="18:20" x14ac:dyDescent="0.3">
      <c r="R6728" s="255"/>
      <c r="S6728" s="255"/>
      <c r="T6728" s="255"/>
    </row>
    <row r="6729" spans="18:20" x14ac:dyDescent="0.3">
      <c r="R6729" s="255"/>
      <c r="S6729" s="255"/>
      <c r="T6729" s="255"/>
    </row>
    <row r="6730" spans="18:20" x14ac:dyDescent="0.3">
      <c r="R6730" s="255"/>
      <c r="S6730" s="255"/>
      <c r="T6730" s="255"/>
    </row>
    <row r="6731" spans="18:20" x14ac:dyDescent="0.3">
      <c r="R6731" s="255"/>
      <c r="S6731" s="255"/>
      <c r="T6731" s="255"/>
    </row>
    <row r="6732" spans="18:20" x14ac:dyDescent="0.3">
      <c r="R6732" s="255"/>
      <c r="S6732" s="255"/>
      <c r="T6732" s="255"/>
    </row>
    <row r="6733" spans="18:20" x14ac:dyDescent="0.3">
      <c r="R6733" s="255"/>
      <c r="S6733" s="255"/>
      <c r="T6733" s="255"/>
    </row>
    <row r="6734" spans="18:20" x14ac:dyDescent="0.3">
      <c r="R6734" s="255"/>
      <c r="S6734" s="255"/>
      <c r="T6734" s="255"/>
    </row>
    <row r="6735" spans="18:20" x14ac:dyDescent="0.3">
      <c r="R6735" s="255"/>
      <c r="S6735" s="255"/>
      <c r="T6735" s="255"/>
    </row>
    <row r="6736" spans="18:20" x14ac:dyDescent="0.3">
      <c r="R6736" s="255"/>
      <c r="S6736" s="255"/>
      <c r="T6736" s="255"/>
    </row>
    <row r="6737" spans="18:20" x14ac:dyDescent="0.3">
      <c r="R6737" s="255"/>
      <c r="S6737" s="255"/>
      <c r="T6737" s="255"/>
    </row>
    <row r="6738" spans="18:20" x14ac:dyDescent="0.3">
      <c r="R6738" s="255"/>
      <c r="S6738" s="255"/>
      <c r="T6738" s="255"/>
    </row>
    <row r="6739" spans="18:20" x14ac:dyDescent="0.3">
      <c r="R6739" s="255"/>
      <c r="S6739" s="255"/>
      <c r="T6739" s="255"/>
    </row>
    <row r="6740" spans="18:20" x14ac:dyDescent="0.3">
      <c r="R6740" s="255"/>
      <c r="S6740" s="255"/>
      <c r="T6740" s="255"/>
    </row>
    <row r="6741" spans="18:20" x14ac:dyDescent="0.3">
      <c r="R6741" s="255"/>
      <c r="S6741" s="255"/>
      <c r="T6741" s="255"/>
    </row>
    <row r="6742" spans="18:20" x14ac:dyDescent="0.3">
      <c r="R6742" s="255"/>
      <c r="S6742" s="255"/>
      <c r="T6742" s="255"/>
    </row>
    <row r="6743" spans="18:20" x14ac:dyDescent="0.3">
      <c r="R6743" s="255"/>
      <c r="S6743" s="255"/>
      <c r="T6743" s="255"/>
    </row>
    <row r="6744" spans="18:20" x14ac:dyDescent="0.3">
      <c r="R6744" s="255"/>
      <c r="S6744" s="255"/>
      <c r="T6744" s="255"/>
    </row>
    <row r="6745" spans="18:20" x14ac:dyDescent="0.3">
      <c r="R6745" s="255"/>
      <c r="S6745" s="255"/>
      <c r="T6745" s="255"/>
    </row>
    <row r="6746" spans="18:20" x14ac:dyDescent="0.3">
      <c r="R6746" s="255"/>
      <c r="S6746" s="255"/>
      <c r="T6746" s="255"/>
    </row>
    <row r="6747" spans="18:20" x14ac:dyDescent="0.3">
      <c r="R6747" s="255"/>
      <c r="S6747" s="255"/>
      <c r="T6747" s="255"/>
    </row>
    <row r="6748" spans="18:20" x14ac:dyDescent="0.3">
      <c r="R6748" s="255"/>
      <c r="S6748" s="255"/>
      <c r="T6748" s="255"/>
    </row>
    <row r="6749" spans="18:20" x14ac:dyDescent="0.3">
      <c r="R6749" s="255"/>
      <c r="S6749" s="255"/>
      <c r="T6749" s="255"/>
    </row>
    <row r="6750" spans="18:20" x14ac:dyDescent="0.3">
      <c r="R6750" s="255"/>
      <c r="S6750" s="255"/>
      <c r="T6750" s="255"/>
    </row>
    <row r="6751" spans="18:20" x14ac:dyDescent="0.3">
      <c r="R6751" s="255"/>
      <c r="S6751" s="255"/>
      <c r="T6751" s="255"/>
    </row>
    <row r="6752" spans="18:20" x14ac:dyDescent="0.3">
      <c r="R6752" s="255"/>
      <c r="S6752" s="255"/>
      <c r="T6752" s="255"/>
    </row>
    <row r="6753" spans="18:20" x14ac:dyDescent="0.3">
      <c r="R6753" s="255"/>
      <c r="S6753" s="255"/>
      <c r="T6753" s="255"/>
    </row>
    <row r="6754" spans="18:20" x14ac:dyDescent="0.3">
      <c r="R6754" s="255"/>
      <c r="S6754" s="255"/>
      <c r="T6754" s="255"/>
    </row>
    <row r="6755" spans="18:20" x14ac:dyDescent="0.3">
      <c r="R6755" s="255"/>
      <c r="S6755" s="255"/>
      <c r="T6755" s="255"/>
    </row>
    <row r="6756" spans="18:20" x14ac:dyDescent="0.3">
      <c r="R6756" s="255"/>
      <c r="S6756" s="255"/>
      <c r="T6756" s="255"/>
    </row>
    <row r="6757" spans="18:20" x14ac:dyDescent="0.3">
      <c r="R6757" s="255"/>
      <c r="S6757" s="255"/>
      <c r="T6757" s="255"/>
    </row>
    <row r="6758" spans="18:20" x14ac:dyDescent="0.3">
      <c r="R6758" s="255"/>
      <c r="S6758" s="255"/>
      <c r="T6758" s="255"/>
    </row>
    <row r="6759" spans="18:20" x14ac:dyDescent="0.3">
      <c r="R6759" s="255"/>
      <c r="S6759" s="255"/>
      <c r="T6759" s="255"/>
    </row>
    <row r="6760" spans="18:20" x14ac:dyDescent="0.3">
      <c r="R6760" s="255"/>
      <c r="S6760" s="255"/>
      <c r="T6760" s="255"/>
    </row>
    <row r="6761" spans="18:20" x14ac:dyDescent="0.3">
      <c r="R6761" s="255"/>
      <c r="S6761" s="255"/>
      <c r="T6761" s="255"/>
    </row>
    <row r="6762" spans="18:20" x14ac:dyDescent="0.3">
      <c r="R6762" s="255"/>
      <c r="S6762" s="255"/>
      <c r="T6762" s="255"/>
    </row>
    <row r="6763" spans="18:20" x14ac:dyDescent="0.3">
      <c r="R6763" s="255"/>
      <c r="S6763" s="255"/>
      <c r="T6763" s="255"/>
    </row>
    <row r="6764" spans="18:20" x14ac:dyDescent="0.3">
      <c r="R6764" s="255"/>
      <c r="S6764" s="255"/>
      <c r="T6764" s="255"/>
    </row>
    <row r="6765" spans="18:20" x14ac:dyDescent="0.3">
      <c r="R6765" s="255"/>
      <c r="S6765" s="255"/>
      <c r="T6765" s="255"/>
    </row>
    <row r="6766" spans="18:20" x14ac:dyDescent="0.3">
      <c r="R6766" s="255"/>
      <c r="S6766" s="255"/>
      <c r="T6766" s="255"/>
    </row>
    <row r="6767" spans="18:20" x14ac:dyDescent="0.3">
      <c r="R6767" s="255"/>
      <c r="S6767" s="255"/>
      <c r="T6767" s="255"/>
    </row>
    <row r="6768" spans="18:20" x14ac:dyDescent="0.3">
      <c r="R6768" s="255"/>
      <c r="S6768" s="255"/>
      <c r="T6768" s="255"/>
    </row>
    <row r="6769" spans="18:20" x14ac:dyDescent="0.3">
      <c r="R6769" s="255"/>
      <c r="S6769" s="255"/>
      <c r="T6769" s="255"/>
    </row>
    <row r="6770" spans="18:20" x14ac:dyDescent="0.3">
      <c r="R6770" s="255"/>
      <c r="S6770" s="255"/>
      <c r="T6770" s="255"/>
    </row>
    <row r="6771" spans="18:20" x14ac:dyDescent="0.3">
      <c r="R6771" s="255"/>
      <c r="S6771" s="255"/>
      <c r="T6771" s="255"/>
    </row>
    <row r="6772" spans="18:20" x14ac:dyDescent="0.3">
      <c r="R6772" s="255"/>
      <c r="S6772" s="255"/>
      <c r="T6772" s="255"/>
    </row>
    <row r="6773" spans="18:20" x14ac:dyDescent="0.3">
      <c r="R6773" s="255"/>
      <c r="S6773" s="255"/>
      <c r="T6773" s="255"/>
    </row>
    <row r="6774" spans="18:20" x14ac:dyDescent="0.3">
      <c r="R6774" s="255"/>
      <c r="S6774" s="255"/>
      <c r="T6774" s="255"/>
    </row>
    <row r="6775" spans="18:20" x14ac:dyDescent="0.3">
      <c r="R6775" s="255"/>
      <c r="S6775" s="255"/>
      <c r="T6775" s="255"/>
    </row>
    <row r="6776" spans="18:20" x14ac:dyDescent="0.3">
      <c r="R6776" s="255"/>
      <c r="S6776" s="255"/>
      <c r="T6776" s="255"/>
    </row>
    <row r="6777" spans="18:20" x14ac:dyDescent="0.3">
      <c r="R6777" s="255"/>
      <c r="S6777" s="255"/>
      <c r="T6777" s="255"/>
    </row>
    <row r="6778" spans="18:20" x14ac:dyDescent="0.3">
      <c r="R6778" s="255"/>
      <c r="S6778" s="255"/>
      <c r="T6778" s="255"/>
    </row>
    <row r="6779" spans="18:20" x14ac:dyDescent="0.3">
      <c r="R6779" s="255"/>
      <c r="S6779" s="255"/>
      <c r="T6779" s="255"/>
    </row>
    <row r="6780" spans="18:20" x14ac:dyDescent="0.3">
      <c r="R6780" s="255"/>
      <c r="S6780" s="255"/>
      <c r="T6780" s="255"/>
    </row>
    <row r="6781" spans="18:20" x14ac:dyDescent="0.3">
      <c r="R6781" s="255"/>
      <c r="S6781" s="255"/>
      <c r="T6781" s="255"/>
    </row>
    <row r="6782" spans="18:20" x14ac:dyDescent="0.3">
      <c r="R6782" s="255"/>
      <c r="S6782" s="255"/>
      <c r="T6782" s="255"/>
    </row>
    <row r="6783" spans="18:20" x14ac:dyDescent="0.3">
      <c r="R6783" s="255"/>
      <c r="S6783" s="255"/>
      <c r="T6783" s="255"/>
    </row>
    <row r="6784" spans="18:20" x14ac:dyDescent="0.3">
      <c r="R6784" s="255"/>
      <c r="S6784" s="255"/>
      <c r="T6784" s="255"/>
    </row>
    <row r="6785" spans="18:20" x14ac:dyDescent="0.3">
      <c r="R6785" s="255"/>
      <c r="S6785" s="255"/>
      <c r="T6785" s="255"/>
    </row>
    <row r="6786" spans="18:20" x14ac:dyDescent="0.3">
      <c r="R6786" s="255"/>
      <c r="S6786" s="255"/>
      <c r="T6786" s="255"/>
    </row>
    <row r="6787" spans="18:20" x14ac:dyDescent="0.3">
      <c r="R6787" s="255"/>
      <c r="S6787" s="255"/>
      <c r="T6787" s="255"/>
    </row>
    <row r="6788" spans="18:20" x14ac:dyDescent="0.3">
      <c r="R6788" s="255"/>
      <c r="S6788" s="255"/>
      <c r="T6788" s="255"/>
    </row>
    <row r="6789" spans="18:20" x14ac:dyDescent="0.3">
      <c r="R6789" s="255"/>
      <c r="S6789" s="255"/>
      <c r="T6789" s="255"/>
    </row>
    <row r="6790" spans="18:20" x14ac:dyDescent="0.3">
      <c r="R6790" s="255"/>
      <c r="S6790" s="255"/>
      <c r="T6790" s="255"/>
    </row>
    <row r="6791" spans="18:20" x14ac:dyDescent="0.3">
      <c r="R6791" s="255"/>
      <c r="S6791" s="255"/>
      <c r="T6791" s="255"/>
    </row>
    <row r="6792" spans="18:20" x14ac:dyDescent="0.3">
      <c r="R6792" s="255"/>
      <c r="S6792" s="255"/>
      <c r="T6792" s="255"/>
    </row>
    <row r="6793" spans="18:20" x14ac:dyDescent="0.3">
      <c r="R6793" s="255"/>
      <c r="S6793" s="255"/>
      <c r="T6793" s="255"/>
    </row>
    <row r="6794" spans="18:20" x14ac:dyDescent="0.3">
      <c r="R6794" s="255"/>
      <c r="S6794" s="255"/>
      <c r="T6794" s="255"/>
    </row>
    <row r="6795" spans="18:20" x14ac:dyDescent="0.3">
      <c r="R6795" s="255"/>
      <c r="S6795" s="255"/>
      <c r="T6795" s="255"/>
    </row>
    <row r="6796" spans="18:20" x14ac:dyDescent="0.3">
      <c r="R6796" s="255"/>
      <c r="S6796" s="255"/>
      <c r="T6796" s="255"/>
    </row>
    <row r="6797" spans="18:20" x14ac:dyDescent="0.3">
      <c r="R6797" s="255"/>
      <c r="S6797" s="255"/>
      <c r="T6797" s="255"/>
    </row>
    <row r="6798" spans="18:20" x14ac:dyDescent="0.3">
      <c r="R6798" s="255"/>
      <c r="S6798" s="255"/>
      <c r="T6798" s="255"/>
    </row>
    <row r="6799" spans="18:20" x14ac:dyDescent="0.3">
      <c r="R6799" s="255"/>
      <c r="S6799" s="255"/>
      <c r="T6799" s="255"/>
    </row>
    <row r="6800" spans="18:20" x14ac:dyDescent="0.3">
      <c r="R6800" s="255"/>
      <c r="S6800" s="255"/>
      <c r="T6800" s="255"/>
    </row>
    <row r="6801" spans="18:20" x14ac:dyDescent="0.3">
      <c r="R6801" s="255"/>
      <c r="S6801" s="255"/>
      <c r="T6801" s="255"/>
    </row>
    <row r="6802" spans="18:20" x14ac:dyDescent="0.3">
      <c r="R6802" s="255"/>
      <c r="S6802" s="255"/>
      <c r="T6802" s="255"/>
    </row>
    <row r="6803" spans="18:20" x14ac:dyDescent="0.3">
      <c r="R6803" s="255"/>
      <c r="S6803" s="255"/>
      <c r="T6803" s="255"/>
    </row>
    <row r="6804" spans="18:20" x14ac:dyDescent="0.3">
      <c r="R6804" s="255"/>
      <c r="S6804" s="255"/>
      <c r="T6804" s="255"/>
    </row>
    <row r="6805" spans="18:20" x14ac:dyDescent="0.3">
      <c r="R6805" s="255"/>
      <c r="S6805" s="255"/>
      <c r="T6805" s="255"/>
    </row>
    <row r="6806" spans="18:20" x14ac:dyDescent="0.3">
      <c r="R6806" s="255"/>
      <c r="S6806" s="255"/>
      <c r="T6806" s="255"/>
    </row>
    <row r="6807" spans="18:20" x14ac:dyDescent="0.3">
      <c r="R6807" s="255"/>
      <c r="S6807" s="255"/>
      <c r="T6807" s="255"/>
    </row>
    <row r="6808" spans="18:20" x14ac:dyDescent="0.3">
      <c r="R6808" s="255"/>
      <c r="S6808" s="255"/>
      <c r="T6808" s="255"/>
    </row>
    <row r="6809" spans="18:20" x14ac:dyDescent="0.3">
      <c r="R6809" s="255"/>
      <c r="S6809" s="255"/>
      <c r="T6809" s="255"/>
    </row>
    <row r="6810" spans="18:20" x14ac:dyDescent="0.3">
      <c r="R6810" s="255"/>
      <c r="S6810" s="255"/>
      <c r="T6810" s="255"/>
    </row>
    <row r="6811" spans="18:20" x14ac:dyDescent="0.3">
      <c r="R6811" s="255"/>
      <c r="S6811" s="255"/>
      <c r="T6811" s="255"/>
    </row>
    <row r="6812" spans="18:20" x14ac:dyDescent="0.3">
      <c r="R6812" s="255"/>
      <c r="S6812" s="255"/>
      <c r="T6812" s="255"/>
    </row>
    <row r="6813" spans="18:20" x14ac:dyDescent="0.3">
      <c r="R6813" s="255"/>
      <c r="S6813" s="255"/>
      <c r="T6813" s="255"/>
    </row>
    <row r="6814" spans="18:20" x14ac:dyDescent="0.3">
      <c r="R6814" s="255"/>
      <c r="S6814" s="255"/>
      <c r="T6814" s="255"/>
    </row>
    <row r="6815" spans="18:20" x14ac:dyDescent="0.3">
      <c r="R6815" s="255"/>
      <c r="S6815" s="255"/>
      <c r="T6815" s="255"/>
    </row>
    <row r="6816" spans="18:20" x14ac:dyDescent="0.3">
      <c r="R6816" s="255"/>
      <c r="S6816" s="255"/>
      <c r="T6816" s="255"/>
    </row>
    <row r="6817" spans="18:20" x14ac:dyDescent="0.3">
      <c r="R6817" s="255"/>
      <c r="S6817" s="255"/>
      <c r="T6817" s="255"/>
    </row>
    <row r="6818" spans="18:20" x14ac:dyDescent="0.3">
      <c r="R6818" s="255"/>
      <c r="S6818" s="255"/>
      <c r="T6818" s="255"/>
    </row>
    <row r="6819" spans="18:20" x14ac:dyDescent="0.3">
      <c r="R6819" s="255"/>
      <c r="S6819" s="255"/>
      <c r="T6819" s="255"/>
    </row>
    <row r="6820" spans="18:20" x14ac:dyDescent="0.3">
      <c r="R6820" s="255"/>
      <c r="S6820" s="255"/>
      <c r="T6820" s="255"/>
    </row>
    <row r="6821" spans="18:20" x14ac:dyDescent="0.3">
      <c r="R6821" s="255"/>
      <c r="S6821" s="255"/>
      <c r="T6821" s="255"/>
    </row>
    <row r="6822" spans="18:20" x14ac:dyDescent="0.3">
      <c r="R6822" s="255"/>
      <c r="S6822" s="255"/>
      <c r="T6822" s="255"/>
    </row>
    <row r="6823" spans="18:20" x14ac:dyDescent="0.3">
      <c r="R6823" s="255"/>
      <c r="S6823" s="255"/>
      <c r="T6823" s="255"/>
    </row>
    <row r="6824" spans="18:20" x14ac:dyDescent="0.3">
      <c r="R6824" s="255"/>
      <c r="S6824" s="255"/>
      <c r="T6824" s="255"/>
    </row>
    <row r="6825" spans="18:20" x14ac:dyDescent="0.3">
      <c r="R6825" s="255"/>
      <c r="S6825" s="255"/>
      <c r="T6825" s="255"/>
    </row>
    <row r="6826" spans="18:20" x14ac:dyDescent="0.3">
      <c r="R6826" s="255"/>
      <c r="S6826" s="255"/>
      <c r="T6826" s="255"/>
    </row>
    <row r="6827" spans="18:20" x14ac:dyDescent="0.3">
      <c r="R6827" s="255"/>
      <c r="S6827" s="255"/>
      <c r="T6827" s="255"/>
    </row>
    <row r="6828" spans="18:20" x14ac:dyDescent="0.3">
      <c r="R6828" s="255"/>
      <c r="S6828" s="255"/>
      <c r="T6828" s="255"/>
    </row>
    <row r="6829" spans="18:20" x14ac:dyDescent="0.3">
      <c r="R6829" s="255"/>
      <c r="S6829" s="255"/>
      <c r="T6829" s="255"/>
    </row>
    <row r="6830" spans="18:20" x14ac:dyDescent="0.3">
      <c r="R6830" s="255"/>
      <c r="S6830" s="255"/>
      <c r="T6830" s="255"/>
    </row>
    <row r="6831" spans="18:20" x14ac:dyDescent="0.3">
      <c r="R6831" s="255"/>
      <c r="S6831" s="255"/>
      <c r="T6831" s="255"/>
    </row>
    <row r="6832" spans="18:20" x14ac:dyDescent="0.3">
      <c r="R6832" s="255"/>
      <c r="S6832" s="255"/>
      <c r="T6832" s="255"/>
    </row>
    <row r="6833" spans="18:20" x14ac:dyDescent="0.3">
      <c r="R6833" s="255"/>
      <c r="S6833" s="255"/>
      <c r="T6833" s="255"/>
    </row>
    <row r="6834" spans="18:20" x14ac:dyDescent="0.3">
      <c r="R6834" s="255"/>
      <c r="S6834" s="255"/>
      <c r="T6834" s="255"/>
    </row>
    <row r="6835" spans="18:20" x14ac:dyDescent="0.3">
      <c r="R6835" s="255"/>
      <c r="S6835" s="255"/>
      <c r="T6835" s="255"/>
    </row>
    <row r="6836" spans="18:20" x14ac:dyDescent="0.3">
      <c r="R6836" s="255"/>
      <c r="S6836" s="255"/>
      <c r="T6836" s="255"/>
    </row>
    <row r="6837" spans="18:20" x14ac:dyDescent="0.3">
      <c r="R6837" s="255"/>
      <c r="S6837" s="255"/>
      <c r="T6837" s="255"/>
    </row>
    <row r="6838" spans="18:20" x14ac:dyDescent="0.3">
      <c r="R6838" s="255"/>
      <c r="S6838" s="255"/>
      <c r="T6838" s="255"/>
    </row>
    <row r="6839" spans="18:20" x14ac:dyDescent="0.3">
      <c r="R6839" s="255"/>
      <c r="S6839" s="255"/>
      <c r="T6839" s="255"/>
    </row>
    <row r="6840" spans="18:20" x14ac:dyDescent="0.3">
      <c r="R6840" s="255"/>
      <c r="S6840" s="255"/>
      <c r="T6840" s="255"/>
    </row>
    <row r="6841" spans="18:20" x14ac:dyDescent="0.3">
      <c r="R6841" s="255"/>
      <c r="S6841" s="255"/>
      <c r="T6841" s="255"/>
    </row>
    <row r="6842" spans="18:20" x14ac:dyDescent="0.3">
      <c r="R6842" s="255"/>
      <c r="S6842" s="255"/>
      <c r="T6842" s="255"/>
    </row>
    <row r="6843" spans="18:20" x14ac:dyDescent="0.3">
      <c r="R6843" s="255"/>
      <c r="S6843" s="255"/>
      <c r="T6843" s="255"/>
    </row>
    <row r="6844" spans="18:20" x14ac:dyDescent="0.3">
      <c r="R6844" s="255"/>
      <c r="S6844" s="255"/>
      <c r="T6844" s="255"/>
    </row>
    <row r="6845" spans="18:20" x14ac:dyDescent="0.3">
      <c r="R6845" s="255"/>
      <c r="S6845" s="255"/>
      <c r="T6845" s="255"/>
    </row>
    <row r="6846" spans="18:20" x14ac:dyDescent="0.3">
      <c r="R6846" s="255"/>
      <c r="S6846" s="255"/>
      <c r="T6846" s="255"/>
    </row>
    <row r="6847" spans="18:20" x14ac:dyDescent="0.3">
      <c r="R6847" s="255"/>
      <c r="S6847" s="255"/>
      <c r="T6847" s="255"/>
    </row>
    <row r="6848" spans="18:20" x14ac:dyDescent="0.3">
      <c r="R6848" s="255"/>
      <c r="S6848" s="255"/>
      <c r="T6848" s="255"/>
    </row>
    <row r="6849" spans="18:20" x14ac:dyDescent="0.3">
      <c r="R6849" s="255"/>
      <c r="S6849" s="255"/>
      <c r="T6849" s="255"/>
    </row>
    <row r="6850" spans="18:20" x14ac:dyDescent="0.3">
      <c r="R6850" s="255"/>
      <c r="S6850" s="255"/>
      <c r="T6850" s="255"/>
    </row>
    <row r="6851" spans="18:20" x14ac:dyDescent="0.3">
      <c r="R6851" s="255"/>
      <c r="S6851" s="255"/>
      <c r="T6851" s="255"/>
    </row>
    <row r="6852" spans="18:20" x14ac:dyDescent="0.3">
      <c r="R6852" s="255"/>
      <c r="S6852" s="255"/>
      <c r="T6852" s="255"/>
    </row>
    <row r="6853" spans="18:20" x14ac:dyDescent="0.3">
      <c r="R6853" s="255"/>
      <c r="S6853" s="255"/>
      <c r="T6853" s="255"/>
    </row>
    <row r="6854" spans="18:20" x14ac:dyDescent="0.3">
      <c r="R6854" s="255"/>
      <c r="S6854" s="255"/>
      <c r="T6854" s="255"/>
    </row>
    <row r="6855" spans="18:20" x14ac:dyDescent="0.3">
      <c r="R6855" s="255"/>
      <c r="S6855" s="255"/>
      <c r="T6855" s="255"/>
    </row>
    <row r="6856" spans="18:20" x14ac:dyDescent="0.3">
      <c r="R6856" s="255"/>
      <c r="S6856" s="255"/>
      <c r="T6856" s="255"/>
    </row>
    <row r="6857" spans="18:20" x14ac:dyDescent="0.3">
      <c r="R6857" s="255"/>
      <c r="S6857" s="255"/>
      <c r="T6857" s="255"/>
    </row>
    <row r="6858" spans="18:20" x14ac:dyDescent="0.3">
      <c r="R6858" s="255"/>
      <c r="S6858" s="255"/>
      <c r="T6858" s="255"/>
    </row>
    <row r="6859" spans="18:20" x14ac:dyDescent="0.3">
      <c r="R6859" s="255"/>
      <c r="S6859" s="255"/>
      <c r="T6859" s="255"/>
    </row>
    <row r="6860" spans="18:20" x14ac:dyDescent="0.3">
      <c r="R6860" s="255"/>
      <c r="S6860" s="255"/>
      <c r="T6860" s="255"/>
    </row>
    <row r="6861" spans="18:20" x14ac:dyDescent="0.3">
      <c r="R6861" s="255"/>
      <c r="S6861" s="255"/>
      <c r="T6861" s="255"/>
    </row>
    <row r="6862" spans="18:20" x14ac:dyDescent="0.3">
      <c r="R6862" s="255"/>
      <c r="S6862" s="255"/>
      <c r="T6862" s="255"/>
    </row>
    <row r="6863" spans="18:20" x14ac:dyDescent="0.3">
      <c r="R6863" s="255"/>
      <c r="S6863" s="255"/>
      <c r="T6863" s="255"/>
    </row>
    <row r="6864" spans="18:20" x14ac:dyDescent="0.3">
      <c r="R6864" s="255"/>
      <c r="S6864" s="255"/>
      <c r="T6864" s="255"/>
    </row>
    <row r="6865" spans="18:20" x14ac:dyDescent="0.3">
      <c r="R6865" s="255"/>
      <c r="S6865" s="255"/>
      <c r="T6865" s="255"/>
    </row>
    <row r="6866" spans="18:20" x14ac:dyDescent="0.3">
      <c r="R6866" s="255"/>
      <c r="S6866" s="255"/>
      <c r="T6866" s="255"/>
    </row>
    <row r="6867" spans="18:20" x14ac:dyDescent="0.3">
      <c r="R6867" s="255"/>
      <c r="S6867" s="255"/>
      <c r="T6867" s="255"/>
    </row>
    <row r="6868" spans="18:20" x14ac:dyDescent="0.3">
      <c r="R6868" s="255"/>
      <c r="S6868" s="255"/>
      <c r="T6868" s="255"/>
    </row>
    <row r="6869" spans="18:20" x14ac:dyDescent="0.3">
      <c r="R6869" s="255"/>
      <c r="S6869" s="255"/>
      <c r="T6869" s="255"/>
    </row>
    <row r="6870" spans="18:20" x14ac:dyDescent="0.3">
      <c r="R6870" s="255"/>
      <c r="S6870" s="255"/>
      <c r="T6870" s="255"/>
    </row>
    <row r="6871" spans="18:20" x14ac:dyDescent="0.3">
      <c r="R6871" s="255"/>
      <c r="S6871" s="255"/>
      <c r="T6871" s="255"/>
    </row>
    <row r="6872" spans="18:20" x14ac:dyDescent="0.3">
      <c r="R6872" s="255"/>
      <c r="S6872" s="255"/>
      <c r="T6872" s="255"/>
    </row>
    <row r="6873" spans="18:20" x14ac:dyDescent="0.3">
      <c r="R6873" s="255"/>
      <c r="S6873" s="255"/>
      <c r="T6873" s="255"/>
    </row>
    <row r="6874" spans="18:20" x14ac:dyDescent="0.3">
      <c r="R6874" s="255"/>
      <c r="S6874" s="255"/>
      <c r="T6874" s="255"/>
    </row>
    <row r="6875" spans="18:20" x14ac:dyDescent="0.3">
      <c r="R6875" s="255"/>
      <c r="S6875" s="255"/>
      <c r="T6875" s="255"/>
    </row>
    <row r="6876" spans="18:20" x14ac:dyDescent="0.3">
      <c r="R6876" s="255"/>
      <c r="S6876" s="255"/>
      <c r="T6876" s="255"/>
    </row>
    <row r="6877" spans="18:20" x14ac:dyDescent="0.3">
      <c r="R6877" s="255"/>
      <c r="S6877" s="255"/>
      <c r="T6877" s="255"/>
    </row>
    <row r="6878" spans="18:20" x14ac:dyDescent="0.3">
      <c r="R6878" s="255"/>
      <c r="S6878" s="255"/>
      <c r="T6878" s="255"/>
    </row>
    <row r="6879" spans="18:20" x14ac:dyDescent="0.3">
      <c r="R6879" s="255"/>
      <c r="S6879" s="255"/>
      <c r="T6879" s="255"/>
    </row>
    <row r="6880" spans="18:20" x14ac:dyDescent="0.3">
      <c r="R6880" s="255"/>
      <c r="S6880" s="255"/>
      <c r="T6880" s="255"/>
    </row>
    <row r="6881" spans="18:20" x14ac:dyDescent="0.3">
      <c r="R6881" s="255"/>
      <c r="S6881" s="255"/>
      <c r="T6881" s="255"/>
    </row>
    <row r="6882" spans="18:20" x14ac:dyDescent="0.3">
      <c r="R6882" s="255"/>
      <c r="S6882" s="255"/>
      <c r="T6882" s="255"/>
    </row>
    <row r="6883" spans="18:20" x14ac:dyDescent="0.3">
      <c r="R6883" s="255"/>
      <c r="S6883" s="255"/>
      <c r="T6883" s="255"/>
    </row>
    <row r="6884" spans="18:20" x14ac:dyDescent="0.3">
      <c r="R6884" s="255"/>
      <c r="S6884" s="255"/>
      <c r="T6884" s="255"/>
    </row>
    <row r="6885" spans="18:20" x14ac:dyDescent="0.3">
      <c r="R6885" s="255"/>
      <c r="S6885" s="255"/>
      <c r="T6885" s="255"/>
    </row>
    <row r="6886" spans="18:20" x14ac:dyDescent="0.3">
      <c r="R6886" s="255"/>
      <c r="S6886" s="255"/>
      <c r="T6886" s="255"/>
    </row>
    <row r="6887" spans="18:20" x14ac:dyDescent="0.3">
      <c r="R6887" s="255"/>
      <c r="S6887" s="255"/>
      <c r="T6887" s="255"/>
    </row>
    <row r="6888" spans="18:20" x14ac:dyDescent="0.3">
      <c r="R6888" s="255"/>
      <c r="S6888" s="255"/>
      <c r="T6888" s="255"/>
    </row>
    <row r="6889" spans="18:20" x14ac:dyDescent="0.3">
      <c r="R6889" s="255"/>
      <c r="S6889" s="255"/>
      <c r="T6889" s="255"/>
    </row>
    <row r="6890" spans="18:20" x14ac:dyDescent="0.3">
      <c r="R6890" s="255"/>
      <c r="S6890" s="255"/>
      <c r="T6890" s="255"/>
    </row>
    <row r="6891" spans="18:20" x14ac:dyDescent="0.3">
      <c r="R6891" s="255"/>
      <c r="S6891" s="255"/>
      <c r="T6891" s="255"/>
    </row>
    <row r="6892" spans="18:20" x14ac:dyDescent="0.3">
      <c r="R6892" s="255"/>
      <c r="S6892" s="255"/>
      <c r="T6892" s="255"/>
    </row>
    <row r="6893" spans="18:20" x14ac:dyDescent="0.3">
      <c r="R6893" s="255"/>
      <c r="S6893" s="255"/>
      <c r="T6893" s="255"/>
    </row>
    <row r="6894" spans="18:20" x14ac:dyDescent="0.3">
      <c r="R6894" s="255"/>
      <c r="S6894" s="255"/>
      <c r="T6894" s="255"/>
    </row>
    <row r="6895" spans="18:20" x14ac:dyDescent="0.3">
      <c r="R6895" s="255"/>
      <c r="S6895" s="255"/>
      <c r="T6895" s="255"/>
    </row>
    <row r="6896" spans="18:20" x14ac:dyDescent="0.3">
      <c r="R6896" s="255"/>
      <c r="S6896" s="255"/>
      <c r="T6896" s="255"/>
    </row>
    <row r="6897" spans="18:20" x14ac:dyDescent="0.3">
      <c r="R6897" s="255"/>
      <c r="S6897" s="255"/>
      <c r="T6897" s="255"/>
    </row>
    <row r="6898" spans="18:20" x14ac:dyDescent="0.3">
      <c r="R6898" s="255"/>
      <c r="S6898" s="255"/>
      <c r="T6898" s="255"/>
    </row>
    <row r="6899" spans="18:20" x14ac:dyDescent="0.3">
      <c r="R6899" s="255"/>
      <c r="S6899" s="255"/>
      <c r="T6899" s="255"/>
    </row>
    <row r="6900" spans="18:20" x14ac:dyDescent="0.3">
      <c r="R6900" s="255"/>
      <c r="S6900" s="255"/>
      <c r="T6900" s="255"/>
    </row>
    <row r="6901" spans="18:20" x14ac:dyDescent="0.3">
      <c r="R6901" s="255"/>
      <c r="S6901" s="255"/>
      <c r="T6901" s="255"/>
    </row>
    <row r="6902" spans="18:20" x14ac:dyDescent="0.3">
      <c r="R6902" s="255"/>
      <c r="S6902" s="255"/>
      <c r="T6902" s="255"/>
    </row>
    <row r="6903" spans="18:20" x14ac:dyDescent="0.3">
      <c r="R6903" s="255"/>
      <c r="S6903" s="255"/>
      <c r="T6903" s="255"/>
    </row>
    <row r="6904" spans="18:20" x14ac:dyDescent="0.3">
      <c r="R6904" s="255"/>
      <c r="S6904" s="255"/>
      <c r="T6904" s="255"/>
    </row>
    <row r="6905" spans="18:20" x14ac:dyDescent="0.3">
      <c r="R6905" s="255"/>
      <c r="S6905" s="255"/>
      <c r="T6905" s="255"/>
    </row>
    <row r="6906" spans="18:20" x14ac:dyDescent="0.3">
      <c r="R6906" s="255"/>
      <c r="S6906" s="255"/>
      <c r="T6906" s="255"/>
    </row>
    <row r="6907" spans="18:20" x14ac:dyDescent="0.3">
      <c r="R6907" s="255"/>
      <c r="S6907" s="255"/>
      <c r="T6907" s="255"/>
    </row>
    <row r="6908" spans="18:20" x14ac:dyDescent="0.3">
      <c r="R6908" s="255"/>
      <c r="S6908" s="255"/>
      <c r="T6908" s="255"/>
    </row>
    <row r="6909" spans="18:20" x14ac:dyDescent="0.3">
      <c r="R6909" s="255"/>
      <c r="S6909" s="255"/>
      <c r="T6909" s="255"/>
    </row>
    <row r="6910" spans="18:20" x14ac:dyDescent="0.3">
      <c r="R6910" s="255"/>
      <c r="S6910" s="255"/>
      <c r="T6910" s="255"/>
    </row>
    <row r="6911" spans="18:20" x14ac:dyDescent="0.3">
      <c r="R6911" s="255"/>
      <c r="S6911" s="255"/>
      <c r="T6911" s="255"/>
    </row>
    <row r="6912" spans="18:20" x14ac:dyDescent="0.3">
      <c r="R6912" s="255"/>
      <c r="S6912" s="255"/>
      <c r="T6912" s="255"/>
    </row>
    <row r="6913" spans="18:20" x14ac:dyDescent="0.3">
      <c r="R6913" s="255"/>
      <c r="S6913" s="255"/>
      <c r="T6913" s="255"/>
    </row>
    <row r="6914" spans="18:20" x14ac:dyDescent="0.3">
      <c r="R6914" s="255"/>
      <c r="S6914" s="255"/>
      <c r="T6914" s="255"/>
    </row>
    <row r="6915" spans="18:20" x14ac:dyDescent="0.3">
      <c r="R6915" s="255"/>
      <c r="S6915" s="255"/>
      <c r="T6915" s="255"/>
    </row>
    <row r="6916" spans="18:20" x14ac:dyDescent="0.3">
      <c r="R6916" s="255"/>
      <c r="S6916" s="255"/>
      <c r="T6916" s="255"/>
    </row>
    <row r="6917" spans="18:20" x14ac:dyDescent="0.3">
      <c r="R6917" s="255"/>
      <c r="S6917" s="255"/>
      <c r="T6917" s="255"/>
    </row>
    <row r="6918" spans="18:20" x14ac:dyDescent="0.3">
      <c r="R6918" s="255"/>
      <c r="S6918" s="255"/>
      <c r="T6918" s="255"/>
    </row>
    <row r="6919" spans="18:20" x14ac:dyDescent="0.3">
      <c r="R6919" s="255"/>
      <c r="S6919" s="255"/>
      <c r="T6919" s="255"/>
    </row>
    <row r="6920" spans="18:20" x14ac:dyDescent="0.3">
      <c r="R6920" s="255"/>
      <c r="S6920" s="255"/>
      <c r="T6920" s="255"/>
    </row>
    <row r="6921" spans="18:20" x14ac:dyDescent="0.3">
      <c r="R6921" s="255"/>
      <c r="S6921" s="255"/>
      <c r="T6921" s="255"/>
    </row>
    <row r="6922" spans="18:20" x14ac:dyDescent="0.3">
      <c r="R6922" s="255"/>
      <c r="S6922" s="255"/>
      <c r="T6922" s="255"/>
    </row>
    <row r="6923" spans="18:20" x14ac:dyDescent="0.3">
      <c r="R6923" s="255"/>
      <c r="S6923" s="255"/>
      <c r="T6923" s="255"/>
    </row>
    <row r="6924" spans="18:20" x14ac:dyDescent="0.3">
      <c r="R6924" s="255"/>
      <c r="S6924" s="255"/>
      <c r="T6924" s="255"/>
    </row>
    <row r="6925" spans="18:20" x14ac:dyDescent="0.3">
      <c r="R6925" s="255"/>
      <c r="S6925" s="255"/>
      <c r="T6925" s="255"/>
    </row>
    <row r="6926" spans="18:20" x14ac:dyDescent="0.3">
      <c r="R6926" s="255"/>
      <c r="S6926" s="255"/>
      <c r="T6926" s="255"/>
    </row>
    <row r="6927" spans="18:20" x14ac:dyDescent="0.3">
      <c r="R6927" s="255"/>
      <c r="S6927" s="255"/>
      <c r="T6927" s="255"/>
    </row>
    <row r="6928" spans="18:20" x14ac:dyDescent="0.3">
      <c r="R6928" s="255"/>
      <c r="S6928" s="255"/>
      <c r="T6928" s="255"/>
    </row>
    <row r="6929" spans="18:20" x14ac:dyDescent="0.3">
      <c r="R6929" s="255"/>
      <c r="S6929" s="255"/>
      <c r="T6929" s="255"/>
    </row>
    <row r="6930" spans="18:20" x14ac:dyDescent="0.3">
      <c r="R6930" s="255"/>
      <c r="S6930" s="255"/>
      <c r="T6930" s="255"/>
    </row>
    <row r="6931" spans="18:20" x14ac:dyDescent="0.3">
      <c r="R6931" s="255"/>
      <c r="S6931" s="255"/>
      <c r="T6931" s="255"/>
    </row>
    <row r="6932" spans="18:20" x14ac:dyDescent="0.3">
      <c r="R6932" s="255"/>
      <c r="S6932" s="255"/>
      <c r="T6932" s="255"/>
    </row>
    <row r="6933" spans="18:20" x14ac:dyDescent="0.3">
      <c r="R6933" s="255"/>
      <c r="S6933" s="255"/>
      <c r="T6933" s="255"/>
    </row>
    <row r="6934" spans="18:20" x14ac:dyDescent="0.3">
      <c r="R6934" s="255"/>
      <c r="S6934" s="255"/>
      <c r="T6934" s="255"/>
    </row>
    <row r="6935" spans="18:20" x14ac:dyDescent="0.3">
      <c r="R6935" s="255"/>
      <c r="S6935" s="255"/>
      <c r="T6935" s="255"/>
    </row>
    <row r="6936" spans="18:20" x14ac:dyDescent="0.3">
      <c r="R6936" s="255"/>
      <c r="S6936" s="255"/>
      <c r="T6936" s="255"/>
    </row>
    <row r="6937" spans="18:20" x14ac:dyDescent="0.3">
      <c r="R6937" s="255"/>
      <c r="S6937" s="255"/>
      <c r="T6937" s="255"/>
    </row>
    <row r="6938" spans="18:20" x14ac:dyDescent="0.3">
      <c r="R6938" s="255"/>
      <c r="S6938" s="255"/>
      <c r="T6938" s="255"/>
    </row>
    <row r="6939" spans="18:20" x14ac:dyDescent="0.3">
      <c r="R6939" s="255"/>
      <c r="S6939" s="255"/>
      <c r="T6939" s="255"/>
    </row>
    <row r="6940" spans="18:20" x14ac:dyDescent="0.3">
      <c r="R6940" s="255"/>
      <c r="S6940" s="255"/>
      <c r="T6940" s="255"/>
    </row>
    <row r="6941" spans="18:20" x14ac:dyDescent="0.3">
      <c r="R6941" s="255"/>
      <c r="S6941" s="255"/>
      <c r="T6941" s="255"/>
    </row>
    <row r="6942" spans="18:20" x14ac:dyDescent="0.3">
      <c r="R6942" s="255"/>
      <c r="S6942" s="255"/>
      <c r="T6942" s="255"/>
    </row>
    <row r="6943" spans="18:20" x14ac:dyDescent="0.3">
      <c r="R6943" s="255"/>
      <c r="S6943" s="255"/>
      <c r="T6943" s="255"/>
    </row>
    <row r="6944" spans="18:20" x14ac:dyDescent="0.3">
      <c r="R6944" s="255"/>
      <c r="S6944" s="255"/>
      <c r="T6944" s="255"/>
    </row>
    <row r="6945" spans="18:20" x14ac:dyDescent="0.3">
      <c r="R6945" s="255"/>
      <c r="S6945" s="255"/>
      <c r="T6945" s="255"/>
    </row>
    <row r="6946" spans="18:20" x14ac:dyDescent="0.3">
      <c r="R6946" s="255"/>
      <c r="S6946" s="255"/>
      <c r="T6946" s="255"/>
    </row>
    <row r="6947" spans="18:20" x14ac:dyDescent="0.3">
      <c r="R6947" s="255"/>
      <c r="S6947" s="255"/>
      <c r="T6947" s="255"/>
    </row>
    <row r="6948" spans="18:20" x14ac:dyDescent="0.3">
      <c r="R6948" s="255"/>
      <c r="S6948" s="255"/>
      <c r="T6948" s="255"/>
    </row>
    <row r="6949" spans="18:20" x14ac:dyDescent="0.3">
      <c r="R6949" s="255"/>
      <c r="S6949" s="255"/>
      <c r="T6949" s="255"/>
    </row>
    <row r="6950" spans="18:20" x14ac:dyDescent="0.3">
      <c r="R6950" s="255"/>
      <c r="S6950" s="255"/>
      <c r="T6950" s="255"/>
    </row>
    <row r="6951" spans="18:20" x14ac:dyDescent="0.3">
      <c r="R6951" s="255"/>
      <c r="S6951" s="255"/>
      <c r="T6951" s="255"/>
    </row>
    <row r="6952" spans="18:20" x14ac:dyDescent="0.3">
      <c r="R6952" s="255"/>
      <c r="S6952" s="255"/>
      <c r="T6952" s="255"/>
    </row>
    <row r="6953" spans="18:20" x14ac:dyDescent="0.3">
      <c r="R6953" s="255"/>
      <c r="S6953" s="255"/>
      <c r="T6953" s="255"/>
    </row>
    <row r="6954" spans="18:20" x14ac:dyDescent="0.3">
      <c r="R6954" s="255"/>
      <c r="S6954" s="255"/>
      <c r="T6954" s="255"/>
    </row>
    <row r="6955" spans="18:20" x14ac:dyDescent="0.3">
      <c r="R6955" s="255"/>
      <c r="S6955" s="255"/>
      <c r="T6955" s="255"/>
    </row>
    <row r="6956" spans="18:20" x14ac:dyDescent="0.3">
      <c r="R6956" s="255"/>
      <c r="S6956" s="255"/>
      <c r="T6956" s="255"/>
    </row>
    <row r="6957" spans="18:20" x14ac:dyDescent="0.3">
      <c r="R6957" s="255"/>
      <c r="S6957" s="255"/>
      <c r="T6957" s="255"/>
    </row>
    <row r="6958" spans="18:20" x14ac:dyDescent="0.3">
      <c r="R6958" s="255"/>
      <c r="S6958" s="255"/>
      <c r="T6958" s="255"/>
    </row>
    <row r="6959" spans="18:20" x14ac:dyDescent="0.3">
      <c r="R6959" s="255"/>
      <c r="S6959" s="255"/>
      <c r="T6959" s="255"/>
    </row>
    <row r="6960" spans="18:20" x14ac:dyDescent="0.3">
      <c r="R6960" s="255"/>
      <c r="S6960" s="255"/>
      <c r="T6960" s="255"/>
    </row>
    <row r="6961" spans="18:20" x14ac:dyDescent="0.3">
      <c r="R6961" s="255"/>
      <c r="S6961" s="255"/>
      <c r="T6961" s="255"/>
    </row>
    <row r="6962" spans="18:20" x14ac:dyDescent="0.3">
      <c r="R6962" s="255"/>
      <c r="S6962" s="255"/>
      <c r="T6962" s="255"/>
    </row>
    <row r="6963" spans="18:20" x14ac:dyDescent="0.3">
      <c r="R6963" s="255"/>
      <c r="S6963" s="255"/>
      <c r="T6963" s="255"/>
    </row>
    <row r="6964" spans="18:20" x14ac:dyDescent="0.3">
      <c r="R6964" s="255"/>
      <c r="S6964" s="255"/>
      <c r="T6964" s="255"/>
    </row>
    <row r="6965" spans="18:20" x14ac:dyDescent="0.3">
      <c r="R6965" s="255"/>
      <c r="S6965" s="255"/>
      <c r="T6965" s="255"/>
    </row>
    <row r="6966" spans="18:20" x14ac:dyDescent="0.3">
      <c r="R6966" s="255"/>
      <c r="S6966" s="255"/>
      <c r="T6966" s="255"/>
    </row>
    <row r="6967" spans="18:20" x14ac:dyDescent="0.3">
      <c r="R6967" s="255"/>
      <c r="S6967" s="255"/>
      <c r="T6967" s="255"/>
    </row>
    <row r="6968" spans="18:20" x14ac:dyDescent="0.3">
      <c r="R6968" s="255"/>
      <c r="S6968" s="255"/>
      <c r="T6968" s="255"/>
    </row>
    <row r="6969" spans="18:20" x14ac:dyDescent="0.3">
      <c r="R6969" s="255"/>
      <c r="S6969" s="255"/>
      <c r="T6969" s="255"/>
    </row>
    <row r="6970" spans="18:20" x14ac:dyDescent="0.3">
      <c r="R6970" s="255"/>
      <c r="S6970" s="255"/>
      <c r="T6970" s="255"/>
    </row>
    <row r="6971" spans="18:20" x14ac:dyDescent="0.3">
      <c r="R6971" s="255"/>
      <c r="S6971" s="255"/>
      <c r="T6971" s="255"/>
    </row>
    <row r="6972" spans="18:20" x14ac:dyDescent="0.3">
      <c r="R6972" s="255"/>
      <c r="S6972" s="255"/>
      <c r="T6972" s="255"/>
    </row>
    <row r="6973" spans="18:20" x14ac:dyDescent="0.3">
      <c r="R6973" s="255"/>
      <c r="S6973" s="255"/>
      <c r="T6973" s="255"/>
    </row>
    <row r="6974" spans="18:20" x14ac:dyDescent="0.3">
      <c r="R6974" s="255"/>
      <c r="S6974" s="255"/>
      <c r="T6974" s="255"/>
    </row>
    <row r="6975" spans="18:20" x14ac:dyDescent="0.3">
      <c r="R6975" s="255"/>
      <c r="S6975" s="255"/>
      <c r="T6975" s="255"/>
    </row>
    <row r="6976" spans="18:20" x14ac:dyDescent="0.3">
      <c r="R6976" s="255"/>
      <c r="S6976" s="255"/>
      <c r="T6976" s="255"/>
    </row>
    <row r="6977" spans="18:20" x14ac:dyDescent="0.3">
      <c r="R6977" s="255"/>
      <c r="S6977" s="255"/>
      <c r="T6977" s="255"/>
    </row>
    <row r="6978" spans="18:20" x14ac:dyDescent="0.3">
      <c r="R6978" s="255"/>
      <c r="S6978" s="255"/>
      <c r="T6978" s="255"/>
    </row>
    <row r="6979" spans="18:20" x14ac:dyDescent="0.3">
      <c r="R6979" s="255"/>
      <c r="S6979" s="255"/>
      <c r="T6979" s="255"/>
    </row>
    <row r="6980" spans="18:20" x14ac:dyDescent="0.3">
      <c r="R6980" s="255"/>
      <c r="S6980" s="255"/>
      <c r="T6980" s="255"/>
    </row>
    <row r="6981" spans="18:20" x14ac:dyDescent="0.3">
      <c r="R6981" s="255"/>
      <c r="S6981" s="255"/>
      <c r="T6981" s="255"/>
    </row>
    <row r="6982" spans="18:20" x14ac:dyDescent="0.3">
      <c r="R6982" s="255"/>
      <c r="S6982" s="255"/>
      <c r="T6982" s="255"/>
    </row>
    <row r="6983" spans="18:20" x14ac:dyDescent="0.3">
      <c r="R6983" s="255"/>
      <c r="S6983" s="255"/>
      <c r="T6983" s="255"/>
    </row>
    <row r="6984" spans="18:20" x14ac:dyDescent="0.3">
      <c r="R6984" s="255"/>
      <c r="S6984" s="255"/>
      <c r="T6984" s="255"/>
    </row>
    <row r="6985" spans="18:20" x14ac:dyDescent="0.3">
      <c r="R6985" s="255"/>
      <c r="S6985" s="255"/>
      <c r="T6985" s="255"/>
    </row>
    <row r="6986" spans="18:20" x14ac:dyDescent="0.3">
      <c r="R6986" s="255"/>
      <c r="S6986" s="255"/>
      <c r="T6986" s="255"/>
    </row>
    <row r="6987" spans="18:20" x14ac:dyDescent="0.3">
      <c r="R6987" s="255"/>
      <c r="S6987" s="255"/>
      <c r="T6987" s="255"/>
    </row>
    <row r="6988" spans="18:20" x14ac:dyDescent="0.3">
      <c r="R6988" s="255"/>
      <c r="S6988" s="255"/>
      <c r="T6988" s="255"/>
    </row>
    <row r="6989" spans="18:20" x14ac:dyDescent="0.3">
      <c r="R6989" s="255"/>
      <c r="S6989" s="255"/>
      <c r="T6989" s="255"/>
    </row>
    <row r="6990" spans="18:20" x14ac:dyDescent="0.3">
      <c r="R6990" s="255"/>
      <c r="S6990" s="255"/>
      <c r="T6990" s="255"/>
    </row>
    <row r="6991" spans="18:20" x14ac:dyDescent="0.3">
      <c r="R6991" s="255"/>
      <c r="S6991" s="255"/>
      <c r="T6991" s="255"/>
    </row>
    <row r="6992" spans="18:20" x14ac:dyDescent="0.3">
      <c r="R6992" s="255"/>
      <c r="S6992" s="255"/>
      <c r="T6992" s="255"/>
    </row>
    <row r="6993" spans="18:20" x14ac:dyDescent="0.3">
      <c r="R6993" s="255"/>
      <c r="S6993" s="255"/>
      <c r="T6993" s="255"/>
    </row>
    <row r="6994" spans="18:20" x14ac:dyDescent="0.3">
      <c r="R6994" s="255"/>
      <c r="S6994" s="255"/>
      <c r="T6994" s="255"/>
    </row>
    <row r="6995" spans="18:20" x14ac:dyDescent="0.3">
      <c r="R6995" s="255"/>
      <c r="S6995" s="255"/>
      <c r="T6995" s="255"/>
    </row>
    <row r="6996" spans="18:20" x14ac:dyDescent="0.3">
      <c r="R6996" s="255"/>
      <c r="S6996" s="255"/>
      <c r="T6996" s="255"/>
    </row>
    <row r="6997" spans="18:20" x14ac:dyDescent="0.3">
      <c r="R6997" s="255"/>
      <c r="S6997" s="255"/>
      <c r="T6997" s="255"/>
    </row>
    <row r="6998" spans="18:20" x14ac:dyDescent="0.3">
      <c r="R6998" s="255"/>
      <c r="S6998" s="255"/>
      <c r="T6998" s="255"/>
    </row>
    <row r="6999" spans="18:20" x14ac:dyDescent="0.3">
      <c r="R6999" s="255"/>
      <c r="S6999" s="255"/>
      <c r="T6999" s="255"/>
    </row>
    <row r="7000" spans="18:20" x14ac:dyDescent="0.3">
      <c r="R7000" s="255"/>
      <c r="S7000" s="255"/>
      <c r="T7000" s="255"/>
    </row>
    <row r="7001" spans="18:20" x14ac:dyDescent="0.3">
      <c r="R7001" s="255"/>
      <c r="S7001" s="255"/>
      <c r="T7001" s="255"/>
    </row>
    <row r="7002" spans="18:20" x14ac:dyDescent="0.3">
      <c r="R7002" s="255"/>
      <c r="S7002" s="255"/>
      <c r="T7002" s="255"/>
    </row>
    <row r="7003" spans="18:20" x14ac:dyDescent="0.3">
      <c r="R7003" s="255"/>
      <c r="S7003" s="255"/>
      <c r="T7003" s="255"/>
    </row>
    <row r="7004" spans="18:20" x14ac:dyDescent="0.3">
      <c r="R7004" s="255"/>
      <c r="S7004" s="255"/>
      <c r="T7004" s="255"/>
    </row>
    <row r="7005" spans="18:20" x14ac:dyDescent="0.3">
      <c r="R7005" s="255"/>
      <c r="S7005" s="255"/>
      <c r="T7005" s="255"/>
    </row>
    <row r="7006" spans="18:20" x14ac:dyDescent="0.3">
      <c r="R7006" s="255"/>
      <c r="S7006" s="255"/>
      <c r="T7006" s="255"/>
    </row>
    <row r="7007" spans="18:20" x14ac:dyDescent="0.3">
      <c r="R7007" s="255"/>
      <c r="S7007" s="255"/>
      <c r="T7007" s="255"/>
    </row>
    <row r="7008" spans="18:20" x14ac:dyDescent="0.3">
      <c r="R7008" s="255"/>
      <c r="S7008" s="255"/>
      <c r="T7008" s="255"/>
    </row>
    <row r="7009" spans="18:20" x14ac:dyDescent="0.3">
      <c r="R7009" s="255"/>
      <c r="S7009" s="255"/>
      <c r="T7009" s="255"/>
    </row>
    <row r="7010" spans="18:20" x14ac:dyDescent="0.3">
      <c r="R7010" s="255"/>
      <c r="S7010" s="255"/>
      <c r="T7010" s="255"/>
    </row>
    <row r="7011" spans="18:20" x14ac:dyDescent="0.3">
      <c r="R7011" s="255"/>
      <c r="S7011" s="255"/>
      <c r="T7011" s="255"/>
    </row>
    <row r="7012" spans="18:20" x14ac:dyDescent="0.3">
      <c r="R7012" s="255"/>
      <c r="S7012" s="255"/>
      <c r="T7012" s="255"/>
    </row>
    <row r="7013" spans="18:20" x14ac:dyDescent="0.3">
      <c r="R7013" s="255"/>
      <c r="S7013" s="255"/>
      <c r="T7013" s="255"/>
    </row>
    <row r="7014" spans="18:20" x14ac:dyDescent="0.3">
      <c r="R7014" s="255"/>
      <c r="S7014" s="255"/>
      <c r="T7014" s="255"/>
    </row>
    <row r="7015" spans="18:20" x14ac:dyDescent="0.3">
      <c r="R7015" s="255"/>
      <c r="S7015" s="255"/>
      <c r="T7015" s="255"/>
    </row>
    <row r="7016" spans="18:20" x14ac:dyDescent="0.3">
      <c r="R7016" s="255"/>
      <c r="S7016" s="255"/>
      <c r="T7016" s="255"/>
    </row>
    <row r="7017" spans="18:20" x14ac:dyDescent="0.3">
      <c r="R7017" s="255"/>
      <c r="S7017" s="255"/>
      <c r="T7017" s="255"/>
    </row>
    <row r="7018" spans="18:20" x14ac:dyDescent="0.3">
      <c r="R7018" s="255"/>
      <c r="S7018" s="255"/>
      <c r="T7018" s="255"/>
    </row>
    <row r="7019" spans="18:20" x14ac:dyDescent="0.3">
      <c r="R7019" s="255"/>
      <c r="S7019" s="255"/>
      <c r="T7019" s="255"/>
    </row>
    <row r="7020" spans="18:20" x14ac:dyDescent="0.3">
      <c r="R7020" s="255"/>
      <c r="S7020" s="255"/>
      <c r="T7020" s="255"/>
    </row>
    <row r="7021" spans="18:20" x14ac:dyDescent="0.3">
      <c r="R7021" s="255"/>
      <c r="S7021" s="255"/>
      <c r="T7021" s="255"/>
    </row>
    <row r="7022" spans="18:20" x14ac:dyDescent="0.3">
      <c r="R7022" s="255"/>
      <c r="S7022" s="255"/>
      <c r="T7022" s="255"/>
    </row>
    <row r="7023" spans="18:20" x14ac:dyDescent="0.3">
      <c r="R7023" s="255"/>
      <c r="S7023" s="255"/>
      <c r="T7023" s="255"/>
    </row>
    <row r="7024" spans="18:20" x14ac:dyDescent="0.3">
      <c r="R7024" s="255"/>
      <c r="S7024" s="255"/>
      <c r="T7024" s="255"/>
    </row>
    <row r="7025" spans="18:20" x14ac:dyDescent="0.3">
      <c r="R7025" s="255"/>
      <c r="S7025" s="255"/>
      <c r="T7025" s="255"/>
    </row>
    <row r="7026" spans="18:20" x14ac:dyDescent="0.3">
      <c r="R7026" s="255"/>
      <c r="S7026" s="255"/>
      <c r="T7026" s="255"/>
    </row>
    <row r="7027" spans="18:20" x14ac:dyDescent="0.3">
      <c r="R7027" s="255"/>
      <c r="S7027" s="255"/>
      <c r="T7027" s="255"/>
    </row>
    <row r="7028" spans="18:20" x14ac:dyDescent="0.3">
      <c r="R7028" s="255"/>
      <c r="S7028" s="255"/>
      <c r="T7028" s="255"/>
    </row>
    <row r="7029" spans="18:20" x14ac:dyDescent="0.3">
      <c r="R7029" s="255"/>
      <c r="S7029" s="255"/>
      <c r="T7029" s="255"/>
    </row>
    <row r="7030" spans="18:20" x14ac:dyDescent="0.3">
      <c r="R7030" s="255"/>
      <c r="S7030" s="255"/>
      <c r="T7030" s="255"/>
    </row>
    <row r="7031" spans="18:20" x14ac:dyDescent="0.3">
      <c r="R7031" s="255"/>
      <c r="S7031" s="255"/>
      <c r="T7031" s="255"/>
    </row>
    <row r="7032" spans="18:20" x14ac:dyDescent="0.3">
      <c r="R7032" s="255"/>
      <c r="S7032" s="255"/>
      <c r="T7032" s="255"/>
    </row>
    <row r="7033" spans="18:20" x14ac:dyDescent="0.3">
      <c r="R7033" s="255"/>
      <c r="S7033" s="255"/>
      <c r="T7033" s="255"/>
    </row>
    <row r="7034" spans="18:20" x14ac:dyDescent="0.3">
      <c r="R7034" s="255"/>
      <c r="S7034" s="255"/>
      <c r="T7034" s="255"/>
    </row>
    <row r="7035" spans="18:20" x14ac:dyDescent="0.3">
      <c r="R7035" s="255"/>
      <c r="S7035" s="255"/>
      <c r="T7035" s="255"/>
    </row>
    <row r="7036" spans="18:20" x14ac:dyDescent="0.3">
      <c r="R7036" s="255"/>
      <c r="S7036" s="255"/>
      <c r="T7036" s="255"/>
    </row>
    <row r="7037" spans="18:20" x14ac:dyDescent="0.3">
      <c r="R7037" s="255"/>
      <c r="S7037" s="255"/>
      <c r="T7037" s="255"/>
    </row>
    <row r="7038" spans="18:20" x14ac:dyDescent="0.3">
      <c r="R7038" s="255"/>
      <c r="S7038" s="255"/>
      <c r="T7038" s="255"/>
    </row>
    <row r="7039" spans="18:20" x14ac:dyDescent="0.3">
      <c r="R7039" s="255"/>
      <c r="S7039" s="255"/>
      <c r="T7039" s="255"/>
    </row>
    <row r="7040" spans="18:20" x14ac:dyDescent="0.3">
      <c r="R7040" s="255"/>
      <c r="S7040" s="255"/>
      <c r="T7040" s="255"/>
    </row>
    <row r="7041" spans="18:20" x14ac:dyDescent="0.3">
      <c r="R7041" s="255"/>
      <c r="S7041" s="255"/>
      <c r="T7041" s="255"/>
    </row>
    <row r="7042" spans="18:20" x14ac:dyDescent="0.3">
      <c r="R7042" s="255"/>
      <c r="S7042" s="255"/>
      <c r="T7042" s="255"/>
    </row>
    <row r="7043" spans="18:20" x14ac:dyDescent="0.3">
      <c r="R7043" s="255"/>
      <c r="S7043" s="255"/>
      <c r="T7043" s="255"/>
    </row>
    <row r="7044" spans="18:20" x14ac:dyDescent="0.3">
      <c r="R7044" s="255"/>
      <c r="S7044" s="255"/>
      <c r="T7044" s="255"/>
    </row>
    <row r="7045" spans="18:20" x14ac:dyDescent="0.3">
      <c r="R7045" s="255"/>
      <c r="S7045" s="255"/>
      <c r="T7045" s="255"/>
    </row>
    <row r="7046" spans="18:20" x14ac:dyDescent="0.3">
      <c r="R7046" s="255"/>
      <c r="S7046" s="255"/>
      <c r="T7046" s="255"/>
    </row>
    <row r="7047" spans="18:20" x14ac:dyDescent="0.3">
      <c r="R7047" s="255"/>
      <c r="S7047" s="255"/>
      <c r="T7047" s="255"/>
    </row>
    <row r="7048" spans="18:20" x14ac:dyDescent="0.3">
      <c r="R7048" s="255"/>
      <c r="S7048" s="255"/>
      <c r="T7048" s="255"/>
    </row>
    <row r="7049" spans="18:20" x14ac:dyDescent="0.3">
      <c r="R7049" s="255"/>
      <c r="S7049" s="255"/>
      <c r="T7049" s="255"/>
    </row>
    <row r="7050" spans="18:20" x14ac:dyDescent="0.3">
      <c r="R7050" s="255"/>
      <c r="S7050" s="255"/>
      <c r="T7050" s="255"/>
    </row>
    <row r="7051" spans="18:20" x14ac:dyDescent="0.3">
      <c r="R7051" s="255"/>
      <c r="S7051" s="255"/>
      <c r="T7051" s="255"/>
    </row>
    <row r="7052" spans="18:20" x14ac:dyDescent="0.3">
      <c r="R7052" s="255"/>
      <c r="S7052" s="255"/>
      <c r="T7052" s="255"/>
    </row>
    <row r="7053" spans="18:20" x14ac:dyDescent="0.3">
      <c r="R7053" s="255"/>
      <c r="S7053" s="255"/>
      <c r="T7053" s="255"/>
    </row>
    <row r="7054" spans="18:20" x14ac:dyDescent="0.3">
      <c r="R7054" s="255"/>
      <c r="S7054" s="255"/>
      <c r="T7054" s="255"/>
    </row>
    <row r="7055" spans="18:20" x14ac:dyDescent="0.3">
      <c r="R7055" s="255"/>
      <c r="S7055" s="255"/>
      <c r="T7055" s="255"/>
    </row>
    <row r="7056" spans="18:20" x14ac:dyDescent="0.3">
      <c r="R7056" s="255"/>
      <c r="S7056" s="255"/>
      <c r="T7056" s="255"/>
    </row>
    <row r="7057" spans="18:20" x14ac:dyDescent="0.3">
      <c r="R7057" s="255"/>
      <c r="S7057" s="255"/>
      <c r="T7057" s="255"/>
    </row>
    <row r="7058" spans="18:20" x14ac:dyDescent="0.3">
      <c r="R7058" s="255"/>
      <c r="S7058" s="255"/>
      <c r="T7058" s="255"/>
    </row>
    <row r="7059" spans="18:20" x14ac:dyDescent="0.3">
      <c r="R7059" s="255"/>
      <c r="S7059" s="255"/>
      <c r="T7059" s="255"/>
    </row>
    <row r="7060" spans="18:20" x14ac:dyDescent="0.3">
      <c r="R7060" s="255"/>
      <c r="S7060" s="255"/>
      <c r="T7060" s="255"/>
    </row>
    <row r="7061" spans="18:20" x14ac:dyDescent="0.3">
      <c r="R7061" s="255"/>
      <c r="S7061" s="255"/>
      <c r="T7061" s="255"/>
    </row>
    <row r="7062" spans="18:20" x14ac:dyDescent="0.3">
      <c r="R7062" s="255"/>
      <c r="S7062" s="255"/>
      <c r="T7062" s="255"/>
    </row>
    <row r="7063" spans="18:20" x14ac:dyDescent="0.3">
      <c r="R7063" s="255"/>
      <c r="S7063" s="255"/>
      <c r="T7063" s="255"/>
    </row>
    <row r="7064" spans="18:20" x14ac:dyDescent="0.3">
      <c r="R7064" s="255"/>
      <c r="S7064" s="255"/>
      <c r="T7064" s="255"/>
    </row>
    <row r="7065" spans="18:20" x14ac:dyDescent="0.3">
      <c r="R7065" s="255"/>
      <c r="S7065" s="255"/>
      <c r="T7065" s="255"/>
    </row>
    <row r="7066" spans="18:20" x14ac:dyDescent="0.3">
      <c r="R7066" s="255"/>
      <c r="S7066" s="255"/>
      <c r="T7066" s="255"/>
    </row>
    <row r="7067" spans="18:20" x14ac:dyDescent="0.3">
      <c r="R7067" s="255"/>
      <c r="S7067" s="255"/>
      <c r="T7067" s="255"/>
    </row>
    <row r="7068" spans="18:20" x14ac:dyDescent="0.3">
      <c r="R7068" s="255"/>
      <c r="S7068" s="255"/>
      <c r="T7068" s="255"/>
    </row>
    <row r="7069" spans="18:20" x14ac:dyDescent="0.3">
      <c r="R7069" s="255"/>
      <c r="S7069" s="255"/>
      <c r="T7069" s="255"/>
    </row>
    <row r="7070" spans="18:20" x14ac:dyDescent="0.3">
      <c r="R7070" s="255"/>
      <c r="S7070" s="255"/>
      <c r="T7070" s="255"/>
    </row>
    <row r="7071" spans="18:20" x14ac:dyDescent="0.3">
      <c r="R7071" s="255"/>
      <c r="S7071" s="255"/>
      <c r="T7071" s="255"/>
    </row>
    <row r="7072" spans="18:20" x14ac:dyDescent="0.3">
      <c r="R7072" s="255"/>
      <c r="S7072" s="255"/>
      <c r="T7072" s="255"/>
    </row>
    <row r="7073" spans="18:20" x14ac:dyDescent="0.3">
      <c r="R7073" s="255"/>
      <c r="S7073" s="255"/>
      <c r="T7073" s="255"/>
    </row>
    <row r="7074" spans="18:20" x14ac:dyDescent="0.3">
      <c r="R7074" s="255"/>
      <c r="S7074" s="255"/>
      <c r="T7074" s="255"/>
    </row>
    <row r="7075" spans="18:20" x14ac:dyDescent="0.3">
      <c r="R7075" s="255"/>
      <c r="S7075" s="255"/>
      <c r="T7075" s="255"/>
    </row>
    <row r="7076" spans="18:20" x14ac:dyDescent="0.3">
      <c r="R7076" s="255"/>
      <c r="S7076" s="255"/>
      <c r="T7076" s="255"/>
    </row>
    <row r="7077" spans="18:20" x14ac:dyDescent="0.3">
      <c r="R7077" s="255"/>
      <c r="S7077" s="255"/>
      <c r="T7077" s="255"/>
    </row>
    <row r="7078" spans="18:20" x14ac:dyDescent="0.3">
      <c r="R7078" s="255"/>
      <c r="S7078" s="255"/>
      <c r="T7078" s="255"/>
    </row>
    <row r="7079" spans="18:20" x14ac:dyDescent="0.3">
      <c r="R7079" s="255"/>
      <c r="S7079" s="255"/>
      <c r="T7079" s="255"/>
    </row>
    <row r="7080" spans="18:20" x14ac:dyDescent="0.3">
      <c r="R7080" s="255"/>
      <c r="S7080" s="255"/>
      <c r="T7080" s="255"/>
    </row>
    <row r="7081" spans="18:20" x14ac:dyDescent="0.3">
      <c r="R7081" s="255"/>
      <c r="S7081" s="255"/>
      <c r="T7081" s="255"/>
    </row>
    <row r="7082" spans="18:20" x14ac:dyDescent="0.3">
      <c r="R7082" s="255"/>
      <c r="S7082" s="255"/>
      <c r="T7082" s="255"/>
    </row>
    <row r="7083" spans="18:20" x14ac:dyDescent="0.3">
      <c r="R7083" s="255"/>
      <c r="S7083" s="255"/>
      <c r="T7083" s="255"/>
    </row>
    <row r="7084" spans="18:20" x14ac:dyDescent="0.3">
      <c r="R7084" s="255"/>
      <c r="S7084" s="255"/>
      <c r="T7084" s="255"/>
    </row>
    <row r="7085" spans="18:20" x14ac:dyDescent="0.3">
      <c r="R7085" s="255"/>
      <c r="S7085" s="255"/>
      <c r="T7085" s="255"/>
    </row>
    <row r="7086" spans="18:20" x14ac:dyDescent="0.3">
      <c r="R7086" s="255"/>
      <c r="S7086" s="255"/>
      <c r="T7086" s="255"/>
    </row>
    <row r="7087" spans="18:20" x14ac:dyDescent="0.3">
      <c r="R7087" s="255"/>
      <c r="S7087" s="255"/>
      <c r="T7087" s="255"/>
    </row>
    <row r="7088" spans="18:20" x14ac:dyDescent="0.3">
      <c r="R7088" s="255"/>
      <c r="S7088" s="255"/>
      <c r="T7088" s="255"/>
    </row>
    <row r="7089" spans="18:20" x14ac:dyDescent="0.3">
      <c r="R7089" s="255"/>
      <c r="S7089" s="255"/>
      <c r="T7089" s="255"/>
    </row>
    <row r="7090" spans="18:20" x14ac:dyDescent="0.3">
      <c r="R7090" s="255"/>
      <c r="S7090" s="255"/>
      <c r="T7090" s="255"/>
    </row>
    <row r="7091" spans="18:20" x14ac:dyDescent="0.3">
      <c r="R7091" s="255"/>
      <c r="S7091" s="255"/>
      <c r="T7091" s="255"/>
    </row>
    <row r="7092" spans="18:20" x14ac:dyDescent="0.3">
      <c r="R7092" s="255"/>
      <c r="S7092" s="255"/>
      <c r="T7092" s="255"/>
    </row>
    <row r="7093" spans="18:20" x14ac:dyDescent="0.3">
      <c r="R7093" s="255"/>
      <c r="S7093" s="255"/>
      <c r="T7093" s="255"/>
    </row>
    <row r="7094" spans="18:20" x14ac:dyDescent="0.3">
      <c r="R7094" s="255"/>
      <c r="S7094" s="255"/>
      <c r="T7094" s="255"/>
    </row>
    <row r="7095" spans="18:20" x14ac:dyDescent="0.3">
      <c r="R7095" s="255"/>
      <c r="S7095" s="255"/>
      <c r="T7095" s="255"/>
    </row>
    <row r="7096" spans="18:20" x14ac:dyDescent="0.3">
      <c r="R7096" s="255"/>
      <c r="S7096" s="255"/>
      <c r="T7096" s="255"/>
    </row>
    <row r="7097" spans="18:20" x14ac:dyDescent="0.3">
      <c r="R7097" s="255"/>
      <c r="S7097" s="255"/>
      <c r="T7097" s="255"/>
    </row>
    <row r="7098" spans="18:20" x14ac:dyDescent="0.3">
      <c r="R7098" s="255"/>
      <c r="S7098" s="255"/>
      <c r="T7098" s="255"/>
    </row>
    <row r="7099" spans="18:20" x14ac:dyDescent="0.3">
      <c r="R7099" s="255"/>
      <c r="S7099" s="255"/>
      <c r="T7099" s="255"/>
    </row>
    <row r="7100" spans="18:20" x14ac:dyDescent="0.3">
      <c r="R7100" s="255"/>
      <c r="S7100" s="255"/>
      <c r="T7100" s="255"/>
    </row>
    <row r="7101" spans="18:20" x14ac:dyDescent="0.3">
      <c r="R7101" s="255"/>
      <c r="S7101" s="255"/>
      <c r="T7101" s="255"/>
    </row>
    <row r="7102" spans="18:20" x14ac:dyDescent="0.3">
      <c r="R7102" s="255"/>
      <c r="S7102" s="255"/>
      <c r="T7102" s="255"/>
    </row>
    <row r="7103" spans="18:20" x14ac:dyDescent="0.3">
      <c r="R7103" s="255"/>
      <c r="S7103" s="255"/>
      <c r="T7103" s="255"/>
    </row>
    <row r="7104" spans="18:20" x14ac:dyDescent="0.3">
      <c r="R7104" s="255"/>
      <c r="S7104" s="255"/>
      <c r="T7104" s="255"/>
    </row>
    <row r="7105" spans="18:20" x14ac:dyDescent="0.3">
      <c r="R7105" s="255"/>
      <c r="S7105" s="255"/>
      <c r="T7105" s="255"/>
    </row>
    <row r="7106" spans="18:20" x14ac:dyDescent="0.3">
      <c r="R7106" s="255"/>
      <c r="S7106" s="255"/>
      <c r="T7106" s="255"/>
    </row>
    <row r="7107" spans="18:20" x14ac:dyDescent="0.3">
      <c r="R7107" s="255"/>
      <c r="S7107" s="255"/>
      <c r="T7107" s="255"/>
    </row>
    <row r="7108" spans="18:20" x14ac:dyDescent="0.3">
      <c r="R7108" s="255"/>
      <c r="S7108" s="255"/>
      <c r="T7108" s="255"/>
    </row>
    <row r="7109" spans="18:20" x14ac:dyDescent="0.3">
      <c r="R7109" s="255"/>
      <c r="S7109" s="255"/>
      <c r="T7109" s="255"/>
    </row>
    <row r="7110" spans="18:20" x14ac:dyDescent="0.3">
      <c r="R7110" s="255"/>
      <c r="S7110" s="255"/>
      <c r="T7110" s="255"/>
    </row>
    <row r="7111" spans="18:20" x14ac:dyDescent="0.3">
      <c r="R7111" s="255"/>
      <c r="S7111" s="255"/>
      <c r="T7111" s="255"/>
    </row>
    <row r="7112" spans="18:20" x14ac:dyDescent="0.3">
      <c r="R7112" s="255"/>
      <c r="S7112" s="255"/>
      <c r="T7112" s="255"/>
    </row>
    <row r="7113" spans="18:20" x14ac:dyDescent="0.3">
      <c r="R7113" s="255"/>
      <c r="S7113" s="255"/>
      <c r="T7113" s="255"/>
    </row>
    <row r="7114" spans="18:20" x14ac:dyDescent="0.3">
      <c r="R7114" s="255"/>
      <c r="S7114" s="255"/>
      <c r="T7114" s="255"/>
    </row>
    <row r="7115" spans="18:20" x14ac:dyDescent="0.3">
      <c r="R7115" s="255"/>
      <c r="S7115" s="255"/>
      <c r="T7115" s="255"/>
    </row>
    <row r="7116" spans="18:20" x14ac:dyDescent="0.3">
      <c r="R7116" s="255"/>
      <c r="S7116" s="255"/>
      <c r="T7116" s="255"/>
    </row>
    <row r="7117" spans="18:20" x14ac:dyDescent="0.3">
      <c r="R7117" s="255"/>
      <c r="S7117" s="255"/>
      <c r="T7117" s="255"/>
    </row>
    <row r="7118" spans="18:20" x14ac:dyDescent="0.3">
      <c r="R7118" s="255"/>
      <c r="S7118" s="255"/>
      <c r="T7118" s="255"/>
    </row>
    <row r="7119" spans="18:20" x14ac:dyDescent="0.3">
      <c r="R7119" s="255"/>
      <c r="S7119" s="255"/>
      <c r="T7119" s="255"/>
    </row>
    <row r="7120" spans="18:20" x14ac:dyDescent="0.3">
      <c r="R7120" s="255"/>
      <c r="S7120" s="255"/>
      <c r="T7120" s="255"/>
    </row>
    <row r="7121" spans="18:20" x14ac:dyDescent="0.3">
      <c r="R7121" s="255"/>
      <c r="S7121" s="255"/>
      <c r="T7121" s="255"/>
    </row>
    <row r="7122" spans="18:20" x14ac:dyDescent="0.3">
      <c r="R7122" s="255"/>
      <c r="S7122" s="255"/>
      <c r="T7122" s="255"/>
    </row>
    <row r="7123" spans="18:20" x14ac:dyDescent="0.3">
      <c r="R7123" s="255"/>
      <c r="S7123" s="255"/>
      <c r="T7123" s="255"/>
    </row>
    <row r="7124" spans="18:20" x14ac:dyDescent="0.3">
      <c r="R7124" s="255"/>
      <c r="S7124" s="255"/>
      <c r="T7124" s="255"/>
    </row>
    <row r="7125" spans="18:20" x14ac:dyDescent="0.3">
      <c r="R7125" s="255"/>
      <c r="S7125" s="255"/>
      <c r="T7125" s="255"/>
    </row>
    <row r="7126" spans="18:20" x14ac:dyDescent="0.3">
      <c r="R7126" s="255"/>
      <c r="S7126" s="255"/>
      <c r="T7126" s="255"/>
    </row>
    <row r="7127" spans="18:20" x14ac:dyDescent="0.3">
      <c r="R7127" s="255"/>
      <c r="S7127" s="255"/>
      <c r="T7127" s="255"/>
    </row>
    <row r="7128" spans="18:20" x14ac:dyDescent="0.3">
      <c r="R7128" s="255"/>
      <c r="S7128" s="255"/>
      <c r="T7128" s="255"/>
    </row>
    <row r="7129" spans="18:20" x14ac:dyDescent="0.3">
      <c r="R7129" s="255"/>
      <c r="S7129" s="255"/>
      <c r="T7129" s="255"/>
    </row>
    <row r="7130" spans="18:20" x14ac:dyDescent="0.3">
      <c r="R7130" s="255"/>
      <c r="S7130" s="255"/>
      <c r="T7130" s="255"/>
    </row>
    <row r="7131" spans="18:20" x14ac:dyDescent="0.3">
      <c r="R7131" s="255"/>
      <c r="S7131" s="255"/>
      <c r="T7131" s="255"/>
    </row>
    <row r="7132" spans="18:20" x14ac:dyDescent="0.3">
      <c r="R7132" s="255"/>
      <c r="S7132" s="255"/>
      <c r="T7132" s="255"/>
    </row>
    <row r="7133" spans="18:20" x14ac:dyDescent="0.3">
      <c r="R7133" s="255"/>
      <c r="S7133" s="255"/>
      <c r="T7133" s="255"/>
    </row>
    <row r="7134" spans="18:20" x14ac:dyDescent="0.3">
      <c r="R7134" s="255"/>
      <c r="S7134" s="255"/>
      <c r="T7134" s="255"/>
    </row>
    <row r="7135" spans="18:20" x14ac:dyDescent="0.3">
      <c r="R7135" s="255"/>
      <c r="S7135" s="255"/>
      <c r="T7135" s="255"/>
    </row>
    <row r="7136" spans="18:20" x14ac:dyDescent="0.3">
      <c r="R7136" s="255"/>
      <c r="S7136" s="255"/>
      <c r="T7136" s="255"/>
    </row>
    <row r="7137" spans="18:20" x14ac:dyDescent="0.3">
      <c r="R7137" s="255"/>
      <c r="S7137" s="255"/>
      <c r="T7137" s="255"/>
    </row>
    <row r="7138" spans="18:20" x14ac:dyDescent="0.3">
      <c r="R7138" s="255"/>
      <c r="S7138" s="255"/>
      <c r="T7138" s="255"/>
    </row>
    <row r="7139" spans="18:20" x14ac:dyDescent="0.3">
      <c r="R7139" s="255"/>
      <c r="S7139" s="255"/>
      <c r="T7139" s="255"/>
    </row>
    <row r="7140" spans="18:20" x14ac:dyDescent="0.3">
      <c r="R7140" s="255"/>
      <c r="S7140" s="255"/>
      <c r="T7140" s="255"/>
    </row>
    <row r="7141" spans="18:20" x14ac:dyDescent="0.3">
      <c r="R7141" s="255"/>
      <c r="S7141" s="255"/>
      <c r="T7141" s="255"/>
    </row>
    <row r="7142" spans="18:20" x14ac:dyDescent="0.3">
      <c r="R7142" s="255"/>
      <c r="S7142" s="255"/>
      <c r="T7142" s="255"/>
    </row>
    <row r="7143" spans="18:20" x14ac:dyDescent="0.3">
      <c r="R7143" s="255"/>
      <c r="S7143" s="255"/>
      <c r="T7143" s="255"/>
    </row>
    <row r="7144" spans="18:20" x14ac:dyDescent="0.3">
      <c r="R7144" s="255"/>
      <c r="S7144" s="255"/>
      <c r="T7144" s="255"/>
    </row>
    <row r="7145" spans="18:20" x14ac:dyDescent="0.3">
      <c r="R7145" s="255"/>
      <c r="S7145" s="255"/>
      <c r="T7145" s="255"/>
    </row>
    <row r="7146" spans="18:20" x14ac:dyDescent="0.3">
      <c r="R7146" s="255"/>
      <c r="S7146" s="255"/>
      <c r="T7146" s="255"/>
    </row>
    <row r="7147" spans="18:20" x14ac:dyDescent="0.3">
      <c r="R7147" s="255"/>
      <c r="S7147" s="255"/>
      <c r="T7147" s="255"/>
    </row>
    <row r="7148" spans="18:20" x14ac:dyDescent="0.3">
      <c r="R7148" s="255"/>
      <c r="S7148" s="255"/>
      <c r="T7148" s="255"/>
    </row>
    <row r="7149" spans="18:20" x14ac:dyDescent="0.3">
      <c r="R7149" s="255"/>
      <c r="S7149" s="255"/>
      <c r="T7149" s="255"/>
    </row>
    <row r="7150" spans="18:20" x14ac:dyDescent="0.3">
      <c r="R7150" s="255"/>
      <c r="S7150" s="255"/>
      <c r="T7150" s="255"/>
    </row>
    <row r="7151" spans="18:20" x14ac:dyDescent="0.3">
      <c r="R7151" s="255"/>
      <c r="S7151" s="255"/>
      <c r="T7151" s="255"/>
    </row>
    <row r="7152" spans="18:20" x14ac:dyDescent="0.3">
      <c r="R7152" s="255"/>
      <c r="S7152" s="255"/>
      <c r="T7152" s="255"/>
    </row>
    <row r="7153" spans="18:20" x14ac:dyDescent="0.3">
      <c r="R7153" s="255"/>
      <c r="S7153" s="255"/>
      <c r="T7153" s="255"/>
    </row>
    <row r="7154" spans="18:20" x14ac:dyDescent="0.3">
      <c r="R7154" s="255"/>
      <c r="S7154" s="255"/>
      <c r="T7154" s="255"/>
    </row>
    <row r="7155" spans="18:20" x14ac:dyDescent="0.3">
      <c r="R7155" s="255"/>
      <c r="S7155" s="255"/>
      <c r="T7155" s="255"/>
    </row>
    <row r="7156" spans="18:20" x14ac:dyDescent="0.3">
      <c r="R7156" s="255"/>
      <c r="S7156" s="255"/>
      <c r="T7156" s="255"/>
    </row>
    <row r="7157" spans="18:20" x14ac:dyDescent="0.3">
      <c r="R7157" s="255"/>
      <c r="S7157" s="255"/>
      <c r="T7157" s="255"/>
    </row>
    <row r="7158" spans="18:20" x14ac:dyDescent="0.3">
      <c r="R7158" s="255"/>
      <c r="S7158" s="255"/>
      <c r="T7158" s="255"/>
    </row>
    <row r="7159" spans="18:20" x14ac:dyDescent="0.3">
      <c r="R7159" s="255"/>
      <c r="S7159" s="255"/>
      <c r="T7159" s="255"/>
    </row>
    <row r="7160" spans="18:20" x14ac:dyDescent="0.3">
      <c r="R7160" s="255"/>
      <c r="S7160" s="255"/>
      <c r="T7160" s="255"/>
    </row>
    <row r="7161" spans="18:20" x14ac:dyDescent="0.3">
      <c r="R7161" s="255"/>
      <c r="S7161" s="255"/>
      <c r="T7161" s="255"/>
    </row>
    <row r="7162" spans="18:20" x14ac:dyDescent="0.3">
      <c r="R7162" s="255"/>
      <c r="S7162" s="255"/>
      <c r="T7162" s="255"/>
    </row>
    <row r="7163" spans="18:20" x14ac:dyDescent="0.3">
      <c r="R7163" s="255"/>
      <c r="S7163" s="255"/>
      <c r="T7163" s="255"/>
    </row>
    <row r="7164" spans="18:20" x14ac:dyDescent="0.3">
      <c r="R7164" s="255"/>
      <c r="S7164" s="255"/>
      <c r="T7164" s="255"/>
    </row>
    <row r="7165" spans="18:20" x14ac:dyDescent="0.3">
      <c r="R7165" s="255"/>
      <c r="S7165" s="255"/>
      <c r="T7165" s="255"/>
    </row>
    <row r="7166" spans="18:20" x14ac:dyDescent="0.3">
      <c r="R7166" s="255"/>
      <c r="S7166" s="255"/>
      <c r="T7166" s="255"/>
    </row>
    <row r="7167" spans="18:20" x14ac:dyDescent="0.3">
      <c r="R7167" s="255"/>
      <c r="S7167" s="255"/>
      <c r="T7167" s="255"/>
    </row>
    <row r="7168" spans="18:20" x14ac:dyDescent="0.3">
      <c r="R7168" s="255"/>
      <c r="S7168" s="255"/>
      <c r="T7168" s="255"/>
    </row>
    <row r="7169" spans="18:20" x14ac:dyDescent="0.3">
      <c r="R7169" s="255"/>
      <c r="S7169" s="255"/>
      <c r="T7169" s="255"/>
    </row>
    <row r="7170" spans="18:20" x14ac:dyDescent="0.3">
      <c r="R7170" s="255"/>
      <c r="S7170" s="255"/>
      <c r="T7170" s="255"/>
    </row>
    <row r="7171" spans="18:20" x14ac:dyDescent="0.3">
      <c r="R7171" s="255"/>
      <c r="S7171" s="255"/>
      <c r="T7171" s="255"/>
    </row>
    <row r="7172" spans="18:20" x14ac:dyDescent="0.3">
      <c r="R7172" s="255"/>
      <c r="S7172" s="255"/>
      <c r="T7172" s="255"/>
    </row>
    <row r="7173" spans="18:20" x14ac:dyDescent="0.3">
      <c r="R7173" s="255"/>
      <c r="S7173" s="255"/>
      <c r="T7173" s="255"/>
    </row>
    <row r="7174" spans="18:20" x14ac:dyDescent="0.3">
      <c r="R7174" s="255"/>
      <c r="S7174" s="255"/>
      <c r="T7174" s="255"/>
    </row>
    <row r="7175" spans="18:20" x14ac:dyDescent="0.3">
      <c r="R7175" s="255"/>
      <c r="S7175" s="255"/>
      <c r="T7175" s="255"/>
    </row>
    <row r="7176" spans="18:20" x14ac:dyDescent="0.3">
      <c r="R7176" s="255"/>
      <c r="S7176" s="255"/>
      <c r="T7176" s="255"/>
    </row>
    <row r="7177" spans="18:20" x14ac:dyDescent="0.3">
      <c r="R7177" s="255"/>
      <c r="S7177" s="255"/>
      <c r="T7177" s="255"/>
    </row>
    <row r="7178" spans="18:20" x14ac:dyDescent="0.3">
      <c r="R7178" s="255"/>
      <c r="S7178" s="255"/>
      <c r="T7178" s="255"/>
    </row>
    <row r="7179" spans="18:20" x14ac:dyDescent="0.3">
      <c r="R7179" s="255"/>
      <c r="S7179" s="255"/>
      <c r="T7179" s="255"/>
    </row>
    <row r="7180" spans="18:20" x14ac:dyDescent="0.3">
      <c r="R7180" s="255"/>
      <c r="S7180" s="255"/>
      <c r="T7180" s="255"/>
    </row>
    <row r="7181" spans="18:20" x14ac:dyDescent="0.3">
      <c r="R7181" s="255"/>
      <c r="S7181" s="255"/>
      <c r="T7181" s="255"/>
    </row>
    <row r="7182" spans="18:20" x14ac:dyDescent="0.3">
      <c r="R7182" s="255"/>
      <c r="S7182" s="255"/>
      <c r="T7182" s="255"/>
    </row>
    <row r="7183" spans="18:20" x14ac:dyDescent="0.3">
      <c r="R7183" s="255"/>
      <c r="S7183" s="255"/>
      <c r="T7183" s="255"/>
    </row>
    <row r="7184" spans="18:20" x14ac:dyDescent="0.3">
      <c r="R7184" s="255"/>
      <c r="S7184" s="255"/>
      <c r="T7184" s="255"/>
    </row>
    <row r="7185" spans="18:20" x14ac:dyDescent="0.3">
      <c r="R7185" s="255"/>
      <c r="S7185" s="255"/>
      <c r="T7185" s="255"/>
    </row>
    <row r="7186" spans="18:20" x14ac:dyDescent="0.3">
      <c r="R7186" s="255"/>
      <c r="S7186" s="255"/>
      <c r="T7186" s="255"/>
    </row>
    <row r="7187" spans="18:20" x14ac:dyDescent="0.3">
      <c r="R7187" s="255"/>
      <c r="S7187" s="255"/>
      <c r="T7187" s="255"/>
    </row>
    <row r="7188" spans="18:20" x14ac:dyDescent="0.3">
      <c r="R7188" s="255"/>
      <c r="S7188" s="255"/>
      <c r="T7188" s="255"/>
    </row>
    <row r="7189" spans="18:20" x14ac:dyDescent="0.3">
      <c r="R7189" s="255"/>
      <c r="S7189" s="255"/>
      <c r="T7189" s="255"/>
    </row>
    <row r="7190" spans="18:20" x14ac:dyDescent="0.3">
      <c r="R7190" s="255"/>
      <c r="S7190" s="255"/>
      <c r="T7190" s="255"/>
    </row>
    <row r="7191" spans="18:20" x14ac:dyDescent="0.3">
      <c r="R7191" s="255"/>
      <c r="S7191" s="255"/>
      <c r="T7191" s="255"/>
    </row>
    <row r="7192" spans="18:20" x14ac:dyDescent="0.3">
      <c r="R7192" s="255"/>
      <c r="S7192" s="255"/>
      <c r="T7192" s="255"/>
    </row>
    <row r="7193" spans="18:20" x14ac:dyDescent="0.3">
      <c r="R7193" s="255"/>
      <c r="S7193" s="255"/>
      <c r="T7193" s="255"/>
    </row>
    <row r="7194" spans="18:20" x14ac:dyDescent="0.3">
      <c r="R7194" s="255"/>
      <c r="S7194" s="255"/>
      <c r="T7194" s="255"/>
    </row>
    <row r="7195" spans="18:20" x14ac:dyDescent="0.3">
      <c r="R7195" s="255"/>
      <c r="S7195" s="255"/>
      <c r="T7195" s="255"/>
    </row>
    <row r="7196" spans="18:20" x14ac:dyDescent="0.3">
      <c r="R7196" s="255"/>
      <c r="S7196" s="255"/>
      <c r="T7196" s="255"/>
    </row>
    <row r="7197" spans="18:20" x14ac:dyDescent="0.3">
      <c r="R7197" s="255"/>
      <c r="S7197" s="255"/>
      <c r="T7197" s="255"/>
    </row>
    <row r="7198" spans="18:20" x14ac:dyDescent="0.3">
      <c r="R7198" s="255"/>
      <c r="S7198" s="255"/>
      <c r="T7198" s="255"/>
    </row>
    <row r="7199" spans="18:20" x14ac:dyDescent="0.3">
      <c r="R7199" s="255"/>
      <c r="S7199" s="255"/>
      <c r="T7199" s="255"/>
    </row>
    <row r="7200" spans="18:20" x14ac:dyDescent="0.3">
      <c r="R7200" s="255"/>
      <c r="S7200" s="255"/>
      <c r="T7200" s="255"/>
    </row>
    <row r="7201" spans="18:20" x14ac:dyDescent="0.3">
      <c r="R7201" s="255"/>
      <c r="S7201" s="255"/>
      <c r="T7201" s="255"/>
    </row>
    <row r="7202" spans="18:20" x14ac:dyDescent="0.3">
      <c r="R7202" s="255"/>
      <c r="S7202" s="255"/>
      <c r="T7202" s="255"/>
    </row>
    <row r="7203" spans="18:20" x14ac:dyDescent="0.3">
      <c r="R7203" s="255"/>
      <c r="S7203" s="255"/>
      <c r="T7203" s="255"/>
    </row>
    <row r="7204" spans="18:20" x14ac:dyDescent="0.3">
      <c r="R7204" s="255"/>
      <c r="S7204" s="255"/>
      <c r="T7204" s="255"/>
    </row>
    <row r="7205" spans="18:20" x14ac:dyDescent="0.3">
      <c r="R7205" s="255"/>
      <c r="S7205" s="255"/>
      <c r="T7205" s="255"/>
    </row>
    <row r="7206" spans="18:20" x14ac:dyDescent="0.3">
      <c r="R7206" s="255"/>
      <c r="S7206" s="255"/>
      <c r="T7206" s="255"/>
    </row>
    <row r="7207" spans="18:20" x14ac:dyDescent="0.3">
      <c r="R7207" s="255"/>
      <c r="S7207" s="255"/>
      <c r="T7207" s="255"/>
    </row>
    <row r="7208" spans="18:20" x14ac:dyDescent="0.3">
      <c r="R7208" s="255"/>
      <c r="S7208" s="255"/>
      <c r="T7208" s="255"/>
    </row>
    <row r="7209" spans="18:20" x14ac:dyDescent="0.3">
      <c r="R7209" s="255"/>
      <c r="S7209" s="255"/>
      <c r="T7209" s="255"/>
    </row>
    <row r="7210" spans="18:20" x14ac:dyDescent="0.3">
      <c r="R7210" s="255"/>
      <c r="S7210" s="255"/>
      <c r="T7210" s="255"/>
    </row>
    <row r="7211" spans="18:20" x14ac:dyDescent="0.3">
      <c r="R7211" s="255"/>
      <c r="S7211" s="255"/>
      <c r="T7211" s="255"/>
    </row>
    <row r="7212" spans="18:20" x14ac:dyDescent="0.3">
      <c r="R7212" s="255"/>
      <c r="S7212" s="255"/>
      <c r="T7212" s="255"/>
    </row>
    <row r="7213" spans="18:20" x14ac:dyDescent="0.3">
      <c r="R7213" s="255"/>
      <c r="S7213" s="255"/>
      <c r="T7213" s="255"/>
    </row>
    <row r="7214" spans="18:20" x14ac:dyDescent="0.3">
      <c r="R7214" s="255"/>
      <c r="S7214" s="255"/>
      <c r="T7214" s="255"/>
    </row>
    <row r="7215" spans="18:20" x14ac:dyDescent="0.3">
      <c r="R7215" s="255"/>
      <c r="S7215" s="255"/>
      <c r="T7215" s="255"/>
    </row>
    <row r="7216" spans="18:20" x14ac:dyDescent="0.3">
      <c r="R7216" s="255"/>
      <c r="S7216" s="255"/>
      <c r="T7216" s="255"/>
    </row>
    <row r="7217" spans="18:20" x14ac:dyDescent="0.3">
      <c r="R7217" s="255"/>
      <c r="S7217" s="255"/>
      <c r="T7217" s="255"/>
    </row>
    <row r="7218" spans="18:20" x14ac:dyDescent="0.3">
      <c r="R7218" s="255"/>
      <c r="S7218" s="255"/>
      <c r="T7218" s="255"/>
    </row>
    <row r="7219" spans="18:20" x14ac:dyDescent="0.3">
      <c r="R7219" s="255"/>
      <c r="S7219" s="255"/>
      <c r="T7219" s="255"/>
    </row>
    <row r="7220" spans="18:20" x14ac:dyDescent="0.3">
      <c r="R7220" s="255"/>
      <c r="S7220" s="255"/>
      <c r="T7220" s="255"/>
    </row>
    <row r="7221" spans="18:20" x14ac:dyDescent="0.3">
      <c r="R7221" s="255"/>
      <c r="S7221" s="255"/>
      <c r="T7221" s="255"/>
    </row>
    <row r="7222" spans="18:20" x14ac:dyDescent="0.3">
      <c r="R7222" s="255"/>
      <c r="S7222" s="255"/>
      <c r="T7222" s="255"/>
    </row>
    <row r="7223" spans="18:20" x14ac:dyDescent="0.3">
      <c r="R7223" s="255"/>
      <c r="S7223" s="255"/>
      <c r="T7223" s="255"/>
    </row>
    <row r="7224" spans="18:20" x14ac:dyDescent="0.3">
      <c r="R7224" s="255"/>
      <c r="S7224" s="255"/>
      <c r="T7224" s="255"/>
    </row>
    <row r="7225" spans="18:20" x14ac:dyDescent="0.3">
      <c r="R7225" s="255"/>
      <c r="S7225" s="255"/>
      <c r="T7225" s="255"/>
    </row>
    <row r="7226" spans="18:20" x14ac:dyDescent="0.3">
      <c r="R7226" s="255"/>
      <c r="S7226" s="255"/>
      <c r="T7226" s="255"/>
    </row>
    <row r="7227" spans="18:20" x14ac:dyDescent="0.3">
      <c r="R7227" s="255"/>
      <c r="S7227" s="255"/>
      <c r="T7227" s="255"/>
    </row>
    <row r="7228" spans="18:20" x14ac:dyDescent="0.3">
      <c r="R7228" s="255"/>
      <c r="S7228" s="255"/>
      <c r="T7228" s="255"/>
    </row>
    <row r="7229" spans="18:20" x14ac:dyDescent="0.3">
      <c r="R7229" s="255"/>
      <c r="S7229" s="255"/>
      <c r="T7229" s="255"/>
    </row>
    <row r="7230" spans="18:20" x14ac:dyDescent="0.3">
      <c r="R7230" s="255"/>
      <c r="S7230" s="255"/>
      <c r="T7230" s="255"/>
    </row>
    <row r="7231" spans="18:20" x14ac:dyDescent="0.3">
      <c r="R7231" s="255"/>
      <c r="S7231" s="255"/>
      <c r="T7231" s="255"/>
    </row>
    <row r="7232" spans="18:20" x14ac:dyDescent="0.3">
      <c r="R7232" s="255"/>
      <c r="S7232" s="255"/>
      <c r="T7232" s="255"/>
    </row>
    <row r="7233" spans="18:20" x14ac:dyDescent="0.3">
      <c r="R7233" s="255"/>
      <c r="S7233" s="255"/>
      <c r="T7233" s="255"/>
    </row>
    <row r="7234" spans="18:20" x14ac:dyDescent="0.3">
      <c r="R7234" s="255"/>
      <c r="S7234" s="255"/>
      <c r="T7234" s="255"/>
    </row>
    <row r="7235" spans="18:20" x14ac:dyDescent="0.3">
      <c r="R7235" s="255"/>
      <c r="S7235" s="255"/>
      <c r="T7235" s="255"/>
    </row>
    <row r="7236" spans="18:20" x14ac:dyDescent="0.3">
      <c r="R7236" s="255"/>
      <c r="S7236" s="255"/>
      <c r="T7236" s="255"/>
    </row>
    <row r="7237" spans="18:20" x14ac:dyDescent="0.3">
      <c r="R7237" s="255"/>
      <c r="S7237" s="255"/>
      <c r="T7237" s="255"/>
    </row>
    <row r="7238" spans="18:20" x14ac:dyDescent="0.3">
      <c r="R7238" s="255"/>
      <c r="S7238" s="255"/>
      <c r="T7238" s="255"/>
    </row>
    <row r="7239" spans="18:20" x14ac:dyDescent="0.3">
      <c r="R7239" s="255"/>
      <c r="S7239" s="255"/>
      <c r="T7239" s="255"/>
    </row>
    <row r="7240" spans="18:20" x14ac:dyDescent="0.3">
      <c r="R7240" s="255"/>
      <c r="S7240" s="255"/>
      <c r="T7240" s="255"/>
    </row>
    <row r="7241" spans="18:20" x14ac:dyDescent="0.3">
      <c r="R7241" s="255"/>
      <c r="S7241" s="255"/>
      <c r="T7241" s="255"/>
    </row>
    <row r="7242" spans="18:20" x14ac:dyDescent="0.3">
      <c r="R7242" s="255"/>
      <c r="S7242" s="255"/>
      <c r="T7242" s="255"/>
    </row>
    <row r="7243" spans="18:20" x14ac:dyDescent="0.3">
      <c r="R7243" s="255"/>
      <c r="S7243" s="255"/>
      <c r="T7243" s="255"/>
    </row>
    <row r="7244" spans="18:20" x14ac:dyDescent="0.3">
      <c r="R7244" s="255"/>
      <c r="S7244" s="255"/>
      <c r="T7244" s="255"/>
    </row>
    <row r="7245" spans="18:20" x14ac:dyDescent="0.3">
      <c r="R7245" s="255"/>
      <c r="S7245" s="255"/>
      <c r="T7245" s="255"/>
    </row>
    <row r="7246" spans="18:20" x14ac:dyDescent="0.3">
      <c r="R7246" s="255"/>
      <c r="S7246" s="255"/>
      <c r="T7246" s="255"/>
    </row>
    <row r="7247" spans="18:20" x14ac:dyDescent="0.3">
      <c r="R7247" s="255"/>
      <c r="S7247" s="255"/>
      <c r="T7247" s="255"/>
    </row>
    <row r="7248" spans="18:20" x14ac:dyDescent="0.3">
      <c r="R7248" s="255"/>
      <c r="S7248" s="255"/>
      <c r="T7248" s="255"/>
    </row>
    <row r="7249" spans="18:20" x14ac:dyDescent="0.3">
      <c r="R7249" s="255"/>
      <c r="S7249" s="255"/>
      <c r="T7249" s="255"/>
    </row>
    <row r="7250" spans="18:20" x14ac:dyDescent="0.3">
      <c r="R7250" s="255"/>
      <c r="S7250" s="255"/>
      <c r="T7250" s="255"/>
    </row>
    <row r="7251" spans="18:20" x14ac:dyDescent="0.3">
      <c r="R7251" s="255"/>
      <c r="S7251" s="255"/>
      <c r="T7251" s="255"/>
    </row>
    <row r="7252" spans="18:20" x14ac:dyDescent="0.3">
      <c r="R7252" s="255"/>
      <c r="S7252" s="255"/>
      <c r="T7252" s="255"/>
    </row>
    <row r="7253" spans="18:20" x14ac:dyDescent="0.3">
      <c r="R7253" s="255"/>
      <c r="S7253" s="255"/>
      <c r="T7253" s="255"/>
    </row>
    <row r="7254" spans="18:20" x14ac:dyDescent="0.3">
      <c r="R7254" s="255"/>
      <c r="S7254" s="255"/>
      <c r="T7254" s="255"/>
    </row>
    <row r="7255" spans="18:20" x14ac:dyDescent="0.3">
      <c r="R7255" s="255"/>
      <c r="S7255" s="255"/>
      <c r="T7255" s="255"/>
    </row>
    <row r="7256" spans="18:20" x14ac:dyDescent="0.3">
      <c r="R7256" s="255"/>
      <c r="S7256" s="255"/>
      <c r="T7256" s="255"/>
    </row>
    <row r="7257" spans="18:20" x14ac:dyDescent="0.3">
      <c r="R7257" s="255"/>
      <c r="S7257" s="255"/>
      <c r="T7257" s="255"/>
    </row>
    <row r="7258" spans="18:20" x14ac:dyDescent="0.3">
      <c r="R7258" s="255"/>
      <c r="S7258" s="255"/>
      <c r="T7258" s="255"/>
    </row>
    <row r="7259" spans="18:20" x14ac:dyDescent="0.3">
      <c r="R7259" s="255"/>
      <c r="S7259" s="255"/>
      <c r="T7259" s="255"/>
    </row>
    <row r="7260" spans="18:20" x14ac:dyDescent="0.3">
      <c r="R7260" s="255"/>
      <c r="S7260" s="255"/>
      <c r="T7260" s="255"/>
    </row>
    <row r="7261" spans="18:20" x14ac:dyDescent="0.3">
      <c r="R7261" s="255"/>
      <c r="S7261" s="255"/>
      <c r="T7261" s="255"/>
    </row>
    <row r="7262" spans="18:20" x14ac:dyDescent="0.3">
      <c r="R7262" s="255"/>
      <c r="S7262" s="255"/>
      <c r="T7262" s="255"/>
    </row>
    <row r="7263" spans="18:20" x14ac:dyDescent="0.3">
      <c r="R7263" s="255"/>
      <c r="S7263" s="255"/>
      <c r="T7263" s="255"/>
    </row>
    <row r="7264" spans="18:20" x14ac:dyDescent="0.3">
      <c r="R7264" s="255"/>
      <c r="S7264" s="255"/>
      <c r="T7264" s="255"/>
    </row>
    <row r="7265" spans="18:20" x14ac:dyDescent="0.3">
      <c r="R7265" s="255"/>
      <c r="S7265" s="255"/>
      <c r="T7265" s="255"/>
    </row>
    <row r="7266" spans="18:20" x14ac:dyDescent="0.3">
      <c r="R7266" s="255"/>
      <c r="S7266" s="255"/>
      <c r="T7266" s="255"/>
    </row>
    <row r="7267" spans="18:20" x14ac:dyDescent="0.3">
      <c r="R7267" s="255"/>
      <c r="S7267" s="255"/>
      <c r="T7267" s="255"/>
    </row>
    <row r="7268" spans="18:20" x14ac:dyDescent="0.3">
      <c r="R7268" s="255"/>
      <c r="S7268" s="255"/>
      <c r="T7268" s="255"/>
    </row>
    <row r="7269" spans="18:20" x14ac:dyDescent="0.3">
      <c r="R7269" s="255"/>
      <c r="S7269" s="255"/>
      <c r="T7269" s="255"/>
    </row>
    <row r="7270" spans="18:20" x14ac:dyDescent="0.3">
      <c r="R7270" s="255"/>
      <c r="S7270" s="255"/>
      <c r="T7270" s="255"/>
    </row>
    <row r="7271" spans="18:20" x14ac:dyDescent="0.3">
      <c r="R7271" s="255"/>
      <c r="S7271" s="255"/>
      <c r="T7271" s="255"/>
    </row>
    <row r="7272" spans="18:20" x14ac:dyDescent="0.3">
      <c r="R7272" s="255"/>
      <c r="S7272" s="255"/>
      <c r="T7272" s="255"/>
    </row>
    <row r="7273" spans="18:20" x14ac:dyDescent="0.3">
      <c r="R7273" s="255"/>
      <c r="S7273" s="255"/>
      <c r="T7273" s="255"/>
    </row>
    <row r="7274" spans="18:20" x14ac:dyDescent="0.3">
      <c r="R7274" s="255"/>
      <c r="S7274" s="255"/>
      <c r="T7274" s="255"/>
    </row>
    <row r="7275" spans="18:20" x14ac:dyDescent="0.3">
      <c r="R7275" s="255"/>
      <c r="S7275" s="255"/>
      <c r="T7275" s="255"/>
    </row>
    <row r="7276" spans="18:20" x14ac:dyDescent="0.3">
      <c r="R7276" s="255"/>
      <c r="S7276" s="255"/>
      <c r="T7276" s="255"/>
    </row>
    <row r="7277" spans="18:20" x14ac:dyDescent="0.3">
      <c r="R7277" s="255"/>
      <c r="S7277" s="255"/>
      <c r="T7277" s="255"/>
    </row>
    <row r="7278" spans="18:20" x14ac:dyDescent="0.3">
      <c r="R7278" s="255"/>
      <c r="S7278" s="255"/>
      <c r="T7278" s="255"/>
    </row>
    <row r="7279" spans="18:20" x14ac:dyDescent="0.3">
      <c r="R7279" s="255"/>
      <c r="S7279" s="255"/>
      <c r="T7279" s="255"/>
    </row>
    <row r="7280" spans="18:20" x14ac:dyDescent="0.3">
      <c r="R7280" s="255"/>
      <c r="S7280" s="255"/>
      <c r="T7280" s="255"/>
    </row>
    <row r="7281" spans="18:20" x14ac:dyDescent="0.3">
      <c r="R7281" s="255"/>
      <c r="S7281" s="255"/>
      <c r="T7281" s="255"/>
    </row>
    <row r="7282" spans="18:20" x14ac:dyDescent="0.3">
      <c r="R7282" s="255"/>
      <c r="S7282" s="255"/>
      <c r="T7282" s="255"/>
    </row>
    <row r="7283" spans="18:20" x14ac:dyDescent="0.3">
      <c r="R7283" s="255"/>
      <c r="S7283" s="255"/>
      <c r="T7283" s="255"/>
    </row>
    <row r="7284" spans="18:20" x14ac:dyDescent="0.3">
      <c r="R7284" s="255"/>
      <c r="S7284" s="255"/>
      <c r="T7284" s="255"/>
    </row>
    <row r="7285" spans="18:20" x14ac:dyDescent="0.3">
      <c r="R7285" s="255"/>
      <c r="S7285" s="255"/>
      <c r="T7285" s="255"/>
    </row>
    <row r="7286" spans="18:20" x14ac:dyDescent="0.3">
      <c r="R7286" s="255"/>
      <c r="S7286" s="255"/>
      <c r="T7286" s="255"/>
    </row>
    <row r="7287" spans="18:20" x14ac:dyDescent="0.3">
      <c r="R7287" s="255"/>
      <c r="S7287" s="255"/>
      <c r="T7287" s="255"/>
    </row>
    <row r="7288" spans="18:20" x14ac:dyDescent="0.3">
      <c r="R7288" s="255"/>
      <c r="S7288" s="255"/>
      <c r="T7288" s="255"/>
    </row>
    <row r="7289" spans="18:20" x14ac:dyDescent="0.3">
      <c r="R7289" s="255"/>
      <c r="S7289" s="255"/>
      <c r="T7289" s="255"/>
    </row>
    <row r="7290" spans="18:20" x14ac:dyDescent="0.3">
      <c r="R7290" s="255"/>
      <c r="S7290" s="255"/>
      <c r="T7290" s="255"/>
    </row>
    <row r="7291" spans="18:20" x14ac:dyDescent="0.3">
      <c r="R7291" s="255"/>
      <c r="S7291" s="255"/>
      <c r="T7291" s="255"/>
    </row>
    <row r="7292" spans="18:20" x14ac:dyDescent="0.3">
      <c r="R7292" s="255"/>
      <c r="S7292" s="255"/>
      <c r="T7292" s="255"/>
    </row>
    <row r="7293" spans="18:20" x14ac:dyDescent="0.3">
      <c r="R7293" s="255"/>
      <c r="S7293" s="255"/>
      <c r="T7293" s="255"/>
    </row>
    <row r="7294" spans="18:20" x14ac:dyDescent="0.3">
      <c r="R7294" s="255"/>
      <c r="S7294" s="255"/>
      <c r="T7294" s="255"/>
    </row>
    <row r="7295" spans="18:20" x14ac:dyDescent="0.3">
      <c r="R7295" s="255"/>
      <c r="S7295" s="255"/>
      <c r="T7295" s="255"/>
    </row>
    <row r="7296" spans="18:20" x14ac:dyDescent="0.3">
      <c r="R7296" s="255"/>
      <c r="S7296" s="255"/>
      <c r="T7296" s="255"/>
    </row>
    <row r="7297" spans="18:20" x14ac:dyDescent="0.3">
      <c r="R7297" s="255"/>
      <c r="S7297" s="255"/>
      <c r="T7297" s="255"/>
    </row>
    <row r="7298" spans="18:20" x14ac:dyDescent="0.3">
      <c r="R7298" s="255"/>
      <c r="S7298" s="255"/>
      <c r="T7298" s="255"/>
    </row>
    <row r="7299" spans="18:20" x14ac:dyDescent="0.3">
      <c r="R7299" s="255"/>
      <c r="S7299" s="255"/>
      <c r="T7299" s="255"/>
    </row>
    <row r="7300" spans="18:20" x14ac:dyDescent="0.3">
      <c r="R7300" s="255"/>
      <c r="S7300" s="255"/>
      <c r="T7300" s="255"/>
    </row>
    <row r="7301" spans="18:20" x14ac:dyDescent="0.3">
      <c r="R7301" s="255"/>
      <c r="S7301" s="255"/>
      <c r="T7301" s="255"/>
    </row>
    <row r="7302" spans="18:20" x14ac:dyDescent="0.3">
      <c r="R7302" s="255"/>
      <c r="S7302" s="255"/>
      <c r="T7302" s="255"/>
    </row>
    <row r="7303" spans="18:20" x14ac:dyDescent="0.3">
      <c r="R7303" s="255"/>
      <c r="S7303" s="255"/>
      <c r="T7303" s="255"/>
    </row>
    <row r="7304" spans="18:20" x14ac:dyDescent="0.3">
      <c r="R7304" s="255"/>
      <c r="S7304" s="255"/>
      <c r="T7304" s="255"/>
    </row>
    <row r="7305" spans="18:20" x14ac:dyDescent="0.3">
      <c r="R7305" s="255"/>
      <c r="S7305" s="255"/>
      <c r="T7305" s="255"/>
    </row>
    <row r="7306" spans="18:20" x14ac:dyDescent="0.3">
      <c r="R7306" s="255"/>
      <c r="S7306" s="255"/>
      <c r="T7306" s="255"/>
    </row>
    <row r="7307" spans="18:20" x14ac:dyDescent="0.3">
      <c r="R7307" s="255"/>
      <c r="S7307" s="255"/>
      <c r="T7307" s="255"/>
    </row>
    <row r="7308" spans="18:20" x14ac:dyDescent="0.3">
      <c r="R7308" s="255"/>
      <c r="S7308" s="255"/>
      <c r="T7308" s="255"/>
    </row>
    <row r="7309" spans="18:20" x14ac:dyDescent="0.3">
      <c r="R7309" s="255"/>
      <c r="S7309" s="255"/>
      <c r="T7309" s="255"/>
    </row>
    <row r="7310" spans="18:20" x14ac:dyDescent="0.3">
      <c r="R7310" s="255"/>
      <c r="S7310" s="255"/>
      <c r="T7310" s="255"/>
    </row>
    <row r="7311" spans="18:20" x14ac:dyDescent="0.3">
      <c r="R7311" s="255"/>
      <c r="S7311" s="255"/>
      <c r="T7311" s="255"/>
    </row>
    <row r="7312" spans="18:20" x14ac:dyDescent="0.3">
      <c r="R7312" s="255"/>
      <c r="S7312" s="255"/>
      <c r="T7312" s="255"/>
    </row>
    <row r="7313" spans="18:20" x14ac:dyDescent="0.3">
      <c r="R7313" s="255"/>
      <c r="S7313" s="255"/>
      <c r="T7313" s="255"/>
    </row>
    <row r="7314" spans="18:20" x14ac:dyDescent="0.3">
      <c r="R7314" s="255"/>
      <c r="S7314" s="255"/>
      <c r="T7314" s="255"/>
    </row>
    <row r="7315" spans="18:20" x14ac:dyDescent="0.3">
      <c r="R7315" s="255"/>
      <c r="S7315" s="255"/>
      <c r="T7315" s="255"/>
    </row>
    <row r="7316" spans="18:20" x14ac:dyDescent="0.3">
      <c r="R7316" s="255"/>
      <c r="S7316" s="255"/>
      <c r="T7316" s="255"/>
    </row>
    <row r="7317" spans="18:20" x14ac:dyDescent="0.3">
      <c r="R7317" s="255"/>
      <c r="S7317" s="255"/>
      <c r="T7317" s="255"/>
    </row>
    <row r="7318" spans="18:20" x14ac:dyDescent="0.3">
      <c r="R7318" s="255"/>
      <c r="S7318" s="255"/>
      <c r="T7318" s="255"/>
    </row>
    <row r="7319" spans="18:20" x14ac:dyDescent="0.3">
      <c r="R7319" s="255"/>
      <c r="S7319" s="255"/>
      <c r="T7319" s="255"/>
    </row>
    <row r="7320" spans="18:20" x14ac:dyDescent="0.3">
      <c r="R7320" s="255"/>
      <c r="S7320" s="255"/>
      <c r="T7320" s="255"/>
    </row>
    <row r="7321" spans="18:20" x14ac:dyDescent="0.3">
      <c r="R7321" s="255"/>
      <c r="S7321" s="255"/>
      <c r="T7321" s="255"/>
    </row>
    <row r="7322" spans="18:20" x14ac:dyDescent="0.3">
      <c r="R7322" s="255"/>
      <c r="S7322" s="255"/>
      <c r="T7322" s="255"/>
    </row>
    <row r="7323" spans="18:20" x14ac:dyDescent="0.3">
      <c r="R7323" s="255"/>
      <c r="S7323" s="255"/>
      <c r="T7323" s="255"/>
    </row>
    <row r="7324" spans="18:20" x14ac:dyDescent="0.3">
      <c r="R7324" s="255"/>
      <c r="S7324" s="255"/>
      <c r="T7324" s="255"/>
    </row>
    <row r="7325" spans="18:20" x14ac:dyDescent="0.3">
      <c r="R7325" s="255"/>
      <c r="S7325" s="255"/>
      <c r="T7325" s="255"/>
    </row>
    <row r="7326" spans="18:20" x14ac:dyDescent="0.3">
      <c r="R7326" s="255"/>
      <c r="S7326" s="255"/>
      <c r="T7326" s="255"/>
    </row>
    <row r="7327" spans="18:20" x14ac:dyDescent="0.3">
      <c r="R7327" s="255"/>
      <c r="S7327" s="255"/>
      <c r="T7327" s="255"/>
    </row>
    <row r="7328" spans="18:20" x14ac:dyDescent="0.3">
      <c r="R7328" s="255"/>
      <c r="S7328" s="255"/>
      <c r="T7328" s="255"/>
    </row>
    <row r="7329" spans="18:20" x14ac:dyDescent="0.3">
      <c r="R7329" s="255"/>
      <c r="S7329" s="255"/>
      <c r="T7329" s="255"/>
    </row>
    <row r="7330" spans="18:20" x14ac:dyDescent="0.3">
      <c r="R7330" s="255"/>
      <c r="S7330" s="255"/>
      <c r="T7330" s="255"/>
    </row>
    <row r="7331" spans="18:20" x14ac:dyDescent="0.3">
      <c r="R7331" s="255"/>
      <c r="S7331" s="255"/>
      <c r="T7331" s="255"/>
    </row>
    <row r="7332" spans="18:20" x14ac:dyDescent="0.3">
      <c r="R7332" s="255"/>
      <c r="S7332" s="255"/>
      <c r="T7332" s="255"/>
    </row>
    <row r="7333" spans="18:20" x14ac:dyDescent="0.3">
      <c r="R7333" s="255"/>
      <c r="S7333" s="255"/>
      <c r="T7333" s="255"/>
    </row>
    <row r="7334" spans="18:20" x14ac:dyDescent="0.3">
      <c r="R7334" s="255"/>
      <c r="S7334" s="255"/>
      <c r="T7334" s="255"/>
    </row>
    <row r="7335" spans="18:20" x14ac:dyDescent="0.3">
      <c r="R7335" s="255"/>
      <c r="S7335" s="255"/>
      <c r="T7335" s="255"/>
    </row>
    <row r="7336" spans="18:20" x14ac:dyDescent="0.3">
      <c r="R7336" s="255"/>
      <c r="S7336" s="255"/>
      <c r="T7336" s="255"/>
    </row>
    <row r="7337" spans="18:20" x14ac:dyDescent="0.3">
      <c r="R7337" s="255"/>
      <c r="S7337" s="255"/>
      <c r="T7337" s="255"/>
    </row>
    <row r="7338" spans="18:20" x14ac:dyDescent="0.3">
      <c r="R7338" s="255"/>
      <c r="S7338" s="255"/>
      <c r="T7338" s="255"/>
    </row>
    <row r="7339" spans="18:20" x14ac:dyDescent="0.3">
      <c r="R7339" s="255"/>
      <c r="S7339" s="255"/>
      <c r="T7339" s="255"/>
    </row>
    <row r="7340" spans="18:20" x14ac:dyDescent="0.3">
      <c r="R7340" s="255"/>
      <c r="S7340" s="255"/>
      <c r="T7340" s="255"/>
    </row>
    <row r="7341" spans="18:20" x14ac:dyDescent="0.3">
      <c r="R7341" s="255"/>
      <c r="S7341" s="255"/>
      <c r="T7341" s="255"/>
    </row>
    <row r="7342" spans="18:20" x14ac:dyDescent="0.3">
      <c r="R7342" s="255"/>
      <c r="S7342" s="255"/>
      <c r="T7342" s="255"/>
    </row>
    <row r="7343" spans="18:20" x14ac:dyDescent="0.3">
      <c r="R7343" s="255"/>
      <c r="S7343" s="255"/>
      <c r="T7343" s="255"/>
    </row>
    <row r="7344" spans="18:20" x14ac:dyDescent="0.3">
      <c r="R7344" s="255"/>
      <c r="S7344" s="255"/>
      <c r="T7344" s="255"/>
    </row>
    <row r="7345" spans="18:20" x14ac:dyDescent="0.3">
      <c r="R7345" s="255"/>
      <c r="S7345" s="255"/>
      <c r="T7345" s="255"/>
    </row>
    <row r="7346" spans="18:20" x14ac:dyDescent="0.3">
      <c r="R7346" s="255"/>
      <c r="S7346" s="255"/>
      <c r="T7346" s="255"/>
    </row>
    <row r="7347" spans="18:20" x14ac:dyDescent="0.3">
      <c r="R7347" s="255"/>
      <c r="S7347" s="255"/>
      <c r="T7347" s="255"/>
    </row>
    <row r="7348" spans="18:20" x14ac:dyDescent="0.3">
      <c r="R7348" s="255"/>
      <c r="S7348" s="255"/>
      <c r="T7348" s="255"/>
    </row>
    <row r="7349" spans="18:20" x14ac:dyDescent="0.3">
      <c r="R7349" s="255"/>
      <c r="S7349" s="255"/>
      <c r="T7349" s="255"/>
    </row>
    <row r="7350" spans="18:20" x14ac:dyDescent="0.3">
      <c r="R7350" s="255"/>
      <c r="S7350" s="255"/>
      <c r="T7350" s="255"/>
    </row>
    <row r="7351" spans="18:20" x14ac:dyDescent="0.3">
      <c r="R7351" s="255"/>
      <c r="S7351" s="255"/>
      <c r="T7351" s="255"/>
    </row>
    <row r="7352" spans="18:20" x14ac:dyDescent="0.3">
      <c r="R7352" s="255"/>
      <c r="S7352" s="255"/>
      <c r="T7352" s="255"/>
    </row>
    <row r="7353" spans="18:20" x14ac:dyDescent="0.3">
      <c r="R7353" s="255"/>
      <c r="S7353" s="255"/>
      <c r="T7353" s="255"/>
    </row>
    <row r="7354" spans="18:20" x14ac:dyDescent="0.3">
      <c r="R7354" s="255"/>
      <c r="S7354" s="255"/>
      <c r="T7354" s="255"/>
    </row>
    <row r="7355" spans="18:20" x14ac:dyDescent="0.3">
      <c r="R7355" s="255"/>
      <c r="S7355" s="255"/>
      <c r="T7355" s="255"/>
    </row>
    <row r="7356" spans="18:20" x14ac:dyDescent="0.3">
      <c r="R7356" s="255"/>
      <c r="S7356" s="255"/>
      <c r="T7356" s="255"/>
    </row>
    <row r="7357" spans="18:20" x14ac:dyDescent="0.3">
      <c r="R7357" s="255"/>
      <c r="S7357" s="255"/>
      <c r="T7357" s="255"/>
    </row>
    <row r="7358" spans="18:20" x14ac:dyDescent="0.3">
      <c r="R7358" s="255"/>
      <c r="S7358" s="255"/>
      <c r="T7358" s="255"/>
    </row>
    <row r="7359" spans="18:20" x14ac:dyDescent="0.3">
      <c r="R7359" s="255"/>
      <c r="S7359" s="255"/>
      <c r="T7359" s="255"/>
    </row>
    <row r="7360" spans="18:20" x14ac:dyDescent="0.3">
      <c r="R7360" s="255"/>
      <c r="S7360" s="255"/>
      <c r="T7360" s="255"/>
    </row>
    <row r="7361" spans="18:20" x14ac:dyDescent="0.3">
      <c r="R7361" s="255"/>
      <c r="S7361" s="255"/>
      <c r="T7361" s="255"/>
    </row>
    <row r="7362" spans="18:20" x14ac:dyDescent="0.3">
      <c r="R7362" s="255"/>
      <c r="S7362" s="255"/>
      <c r="T7362" s="255"/>
    </row>
    <row r="7363" spans="18:20" x14ac:dyDescent="0.3">
      <c r="R7363" s="255"/>
      <c r="S7363" s="255"/>
      <c r="T7363" s="255"/>
    </row>
    <row r="7364" spans="18:20" x14ac:dyDescent="0.3">
      <c r="R7364" s="255"/>
      <c r="S7364" s="255"/>
      <c r="T7364" s="255"/>
    </row>
    <row r="7365" spans="18:20" x14ac:dyDescent="0.3">
      <c r="R7365" s="255"/>
      <c r="S7365" s="255"/>
      <c r="T7365" s="255"/>
    </row>
    <row r="7366" spans="18:20" x14ac:dyDescent="0.3">
      <c r="R7366" s="255"/>
      <c r="S7366" s="255"/>
      <c r="T7366" s="255"/>
    </row>
    <row r="7367" spans="18:20" x14ac:dyDescent="0.3">
      <c r="R7367" s="255"/>
      <c r="S7367" s="255"/>
      <c r="T7367" s="255"/>
    </row>
    <row r="7368" spans="18:20" x14ac:dyDescent="0.3">
      <c r="R7368" s="255"/>
      <c r="S7368" s="255"/>
      <c r="T7368" s="255"/>
    </row>
    <row r="7369" spans="18:20" x14ac:dyDescent="0.3">
      <c r="R7369" s="255"/>
      <c r="S7369" s="255"/>
      <c r="T7369" s="255"/>
    </row>
    <row r="7370" spans="18:20" x14ac:dyDescent="0.3">
      <c r="R7370" s="255"/>
      <c r="S7370" s="255"/>
      <c r="T7370" s="255"/>
    </row>
    <row r="7371" spans="18:20" x14ac:dyDescent="0.3">
      <c r="R7371" s="255"/>
      <c r="S7371" s="255"/>
      <c r="T7371" s="255"/>
    </row>
    <row r="7372" spans="18:20" x14ac:dyDescent="0.3">
      <c r="R7372" s="255"/>
      <c r="S7372" s="255"/>
      <c r="T7372" s="255"/>
    </row>
    <row r="7373" spans="18:20" x14ac:dyDescent="0.3">
      <c r="R7373" s="255"/>
      <c r="S7373" s="255"/>
      <c r="T7373" s="255"/>
    </row>
    <row r="7374" spans="18:20" x14ac:dyDescent="0.3">
      <c r="R7374" s="255"/>
      <c r="S7374" s="255"/>
      <c r="T7374" s="255"/>
    </row>
    <row r="7375" spans="18:20" x14ac:dyDescent="0.3">
      <c r="R7375" s="255"/>
      <c r="S7375" s="255"/>
      <c r="T7375" s="255"/>
    </row>
    <row r="7376" spans="18:20" x14ac:dyDescent="0.3">
      <c r="R7376" s="255"/>
      <c r="S7376" s="255"/>
      <c r="T7376" s="255"/>
    </row>
    <row r="7377" spans="18:20" x14ac:dyDescent="0.3">
      <c r="R7377" s="255"/>
      <c r="S7377" s="255"/>
      <c r="T7377" s="255"/>
    </row>
    <row r="7378" spans="18:20" x14ac:dyDescent="0.3">
      <c r="R7378" s="255"/>
      <c r="S7378" s="255"/>
      <c r="T7378" s="255"/>
    </row>
    <row r="7379" spans="18:20" x14ac:dyDescent="0.3">
      <c r="R7379" s="255"/>
      <c r="S7379" s="255"/>
      <c r="T7379" s="255"/>
    </row>
    <row r="7380" spans="18:20" x14ac:dyDescent="0.3">
      <c r="R7380" s="255"/>
      <c r="S7380" s="255"/>
      <c r="T7380" s="255"/>
    </row>
    <row r="7381" spans="18:20" x14ac:dyDescent="0.3">
      <c r="R7381" s="255"/>
      <c r="S7381" s="255"/>
      <c r="T7381" s="255"/>
    </row>
    <row r="7382" spans="18:20" x14ac:dyDescent="0.3">
      <c r="R7382" s="255"/>
      <c r="S7382" s="255"/>
      <c r="T7382" s="255"/>
    </row>
    <row r="7383" spans="18:20" x14ac:dyDescent="0.3">
      <c r="R7383" s="255"/>
      <c r="S7383" s="255"/>
      <c r="T7383" s="255"/>
    </row>
    <row r="7384" spans="18:20" x14ac:dyDescent="0.3">
      <c r="R7384" s="255"/>
      <c r="S7384" s="255"/>
      <c r="T7384" s="255"/>
    </row>
    <row r="7385" spans="18:20" x14ac:dyDescent="0.3">
      <c r="R7385" s="255"/>
      <c r="S7385" s="255"/>
      <c r="T7385" s="255"/>
    </row>
    <row r="7386" spans="18:20" x14ac:dyDescent="0.3">
      <c r="R7386" s="255"/>
      <c r="S7386" s="255"/>
      <c r="T7386" s="255"/>
    </row>
    <row r="7387" spans="18:20" x14ac:dyDescent="0.3">
      <c r="R7387" s="255"/>
      <c r="S7387" s="255"/>
      <c r="T7387" s="255"/>
    </row>
    <row r="7388" spans="18:20" x14ac:dyDescent="0.3">
      <c r="R7388" s="255"/>
      <c r="S7388" s="255"/>
      <c r="T7388" s="255"/>
    </row>
    <row r="7389" spans="18:20" x14ac:dyDescent="0.3">
      <c r="R7389" s="255"/>
      <c r="S7389" s="255"/>
      <c r="T7389" s="255"/>
    </row>
    <row r="7390" spans="18:20" x14ac:dyDescent="0.3">
      <c r="R7390" s="255"/>
      <c r="S7390" s="255"/>
      <c r="T7390" s="255"/>
    </row>
    <row r="7391" spans="18:20" x14ac:dyDescent="0.3">
      <c r="R7391" s="255"/>
      <c r="S7391" s="255"/>
      <c r="T7391" s="255"/>
    </row>
    <row r="7392" spans="18:20" x14ac:dyDescent="0.3">
      <c r="R7392" s="255"/>
      <c r="S7392" s="255"/>
      <c r="T7392" s="255"/>
    </row>
    <row r="7393" spans="18:20" x14ac:dyDescent="0.3">
      <c r="R7393" s="255"/>
      <c r="S7393" s="255"/>
      <c r="T7393" s="255"/>
    </row>
    <row r="7394" spans="18:20" x14ac:dyDescent="0.3">
      <c r="R7394" s="255"/>
      <c r="S7394" s="255"/>
      <c r="T7394" s="255"/>
    </row>
    <row r="7395" spans="18:20" x14ac:dyDescent="0.3">
      <c r="R7395" s="255"/>
      <c r="S7395" s="255"/>
      <c r="T7395" s="255"/>
    </row>
    <row r="7396" spans="18:20" x14ac:dyDescent="0.3">
      <c r="R7396" s="255"/>
      <c r="S7396" s="255"/>
      <c r="T7396" s="255"/>
    </row>
    <row r="7397" spans="18:20" x14ac:dyDescent="0.3">
      <c r="R7397" s="255"/>
      <c r="S7397" s="255"/>
      <c r="T7397" s="255"/>
    </row>
    <row r="7398" spans="18:20" x14ac:dyDescent="0.3">
      <c r="R7398" s="255"/>
      <c r="S7398" s="255"/>
      <c r="T7398" s="255"/>
    </row>
    <row r="7399" spans="18:20" x14ac:dyDescent="0.3">
      <c r="R7399" s="255"/>
      <c r="S7399" s="255"/>
      <c r="T7399" s="255"/>
    </row>
    <row r="7400" spans="18:20" x14ac:dyDescent="0.3">
      <c r="R7400" s="255"/>
      <c r="S7400" s="255"/>
      <c r="T7400" s="255"/>
    </row>
    <row r="7401" spans="18:20" x14ac:dyDescent="0.3">
      <c r="R7401" s="255"/>
      <c r="S7401" s="255"/>
      <c r="T7401" s="255"/>
    </row>
    <row r="7402" spans="18:20" x14ac:dyDescent="0.3">
      <c r="R7402" s="255"/>
      <c r="S7402" s="255"/>
      <c r="T7402" s="255"/>
    </row>
    <row r="7403" spans="18:20" x14ac:dyDescent="0.3">
      <c r="R7403" s="255"/>
      <c r="S7403" s="255"/>
      <c r="T7403" s="255"/>
    </row>
    <row r="7404" spans="18:20" x14ac:dyDescent="0.3">
      <c r="R7404" s="255"/>
      <c r="S7404" s="255"/>
      <c r="T7404" s="255"/>
    </row>
    <row r="7405" spans="18:20" x14ac:dyDescent="0.3">
      <c r="R7405" s="255"/>
      <c r="S7405" s="255"/>
      <c r="T7405" s="255"/>
    </row>
    <row r="7406" spans="18:20" x14ac:dyDescent="0.3">
      <c r="R7406" s="255"/>
      <c r="S7406" s="255"/>
      <c r="T7406" s="255"/>
    </row>
    <row r="7407" spans="18:20" x14ac:dyDescent="0.3">
      <c r="R7407" s="255"/>
      <c r="S7407" s="255"/>
      <c r="T7407" s="255"/>
    </row>
    <row r="7408" spans="18:20" x14ac:dyDescent="0.3">
      <c r="R7408" s="255"/>
      <c r="S7408" s="255"/>
      <c r="T7408" s="255"/>
    </row>
    <row r="7409" spans="18:20" x14ac:dyDescent="0.3">
      <c r="R7409" s="255"/>
      <c r="S7409" s="255"/>
      <c r="T7409" s="255"/>
    </row>
    <row r="7410" spans="18:20" x14ac:dyDescent="0.3">
      <c r="R7410" s="255"/>
      <c r="S7410" s="255"/>
      <c r="T7410" s="255"/>
    </row>
    <row r="7411" spans="18:20" x14ac:dyDescent="0.3">
      <c r="R7411" s="255"/>
      <c r="S7411" s="255"/>
      <c r="T7411" s="255"/>
    </row>
    <row r="7412" spans="18:20" x14ac:dyDescent="0.3">
      <c r="R7412" s="255"/>
      <c r="S7412" s="255"/>
      <c r="T7412" s="255"/>
    </row>
    <row r="7413" spans="18:20" x14ac:dyDescent="0.3">
      <c r="R7413" s="255"/>
      <c r="S7413" s="255"/>
      <c r="T7413" s="255"/>
    </row>
    <row r="7414" spans="18:20" x14ac:dyDescent="0.3">
      <c r="R7414" s="255"/>
      <c r="S7414" s="255"/>
      <c r="T7414" s="255"/>
    </row>
    <row r="7415" spans="18:20" x14ac:dyDescent="0.3">
      <c r="R7415" s="255"/>
      <c r="S7415" s="255"/>
      <c r="T7415" s="255"/>
    </row>
    <row r="7416" spans="18:20" x14ac:dyDescent="0.3">
      <c r="R7416" s="255"/>
      <c r="S7416" s="255"/>
      <c r="T7416" s="255"/>
    </row>
    <row r="7417" spans="18:20" x14ac:dyDescent="0.3">
      <c r="R7417" s="255"/>
      <c r="S7417" s="255"/>
      <c r="T7417" s="255"/>
    </row>
    <row r="7418" spans="18:20" x14ac:dyDescent="0.3">
      <c r="R7418" s="255"/>
      <c r="S7418" s="255"/>
      <c r="T7418" s="255"/>
    </row>
    <row r="7419" spans="18:20" x14ac:dyDescent="0.3">
      <c r="R7419" s="255"/>
      <c r="S7419" s="255"/>
      <c r="T7419" s="255"/>
    </row>
    <row r="7420" spans="18:20" x14ac:dyDescent="0.3">
      <c r="R7420" s="255"/>
      <c r="S7420" s="255"/>
      <c r="T7420" s="255"/>
    </row>
    <row r="7421" spans="18:20" x14ac:dyDescent="0.3">
      <c r="R7421" s="255"/>
      <c r="S7421" s="255"/>
      <c r="T7421" s="255"/>
    </row>
    <row r="7422" spans="18:20" x14ac:dyDescent="0.3">
      <c r="R7422" s="255"/>
      <c r="S7422" s="255"/>
      <c r="T7422" s="255"/>
    </row>
    <row r="7423" spans="18:20" x14ac:dyDescent="0.3">
      <c r="R7423" s="255"/>
      <c r="S7423" s="255"/>
      <c r="T7423" s="255"/>
    </row>
    <row r="7424" spans="18:20" x14ac:dyDescent="0.3">
      <c r="R7424" s="255"/>
      <c r="S7424" s="255"/>
      <c r="T7424" s="255"/>
    </row>
    <row r="7425" spans="18:20" x14ac:dyDescent="0.3">
      <c r="R7425" s="255"/>
      <c r="S7425" s="255"/>
      <c r="T7425" s="255"/>
    </row>
    <row r="7426" spans="18:20" x14ac:dyDescent="0.3">
      <c r="R7426" s="255"/>
      <c r="S7426" s="255"/>
      <c r="T7426" s="255"/>
    </row>
    <row r="7427" spans="18:20" x14ac:dyDescent="0.3">
      <c r="R7427" s="255"/>
      <c r="S7427" s="255"/>
      <c r="T7427" s="255"/>
    </row>
    <row r="7428" spans="18:20" x14ac:dyDescent="0.3">
      <c r="R7428" s="255"/>
      <c r="S7428" s="255"/>
      <c r="T7428" s="255"/>
    </row>
    <row r="7429" spans="18:20" x14ac:dyDescent="0.3">
      <c r="R7429" s="255"/>
      <c r="S7429" s="255"/>
      <c r="T7429" s="255"/>
    </row>
    <row r="7430" spans="18:20" x14ac:dyDescent="0.3">
      <c r="R7430" s="255"/>
      <c r="S7430" s="255"/>
      <c r="T7430" s="255"/>
    </row>
    <row r="7431" spans="18:20" x14ac:dyDescent="0.3">
      <c r="R7431" s="255"/>
      <c r="S7431" s="255"/>
      <c r="T7431" s="255"/>
    </row>
    <row r="7432" spans="18:20" x14ac:dyDescent="0.3">
      <c r="R7432" s="255"/>
      <c r="S7432" s="255"/>
      <c r="T7432" s="255"/>
    </row>
    <row r="7433" spans="18:20" x14ac:dyDescent="0.3">
      <c r="R7433" s="255"/>
      <c r="S7433" s="255"/>
      <c r="T7433" s="255"/>
    </row>
    <row r="7434" spans="18:20" x14ac:dyDescent="0.3">
      <c r="R7434" s="255"/>
      <c r="S7434" s="255"/>
      <c r="T7434" s="255"/>
    </row>
    <row r="7435" spans="18:20" x14ac:dyDescent="0.3">
      <c r="R7435" s="255"/>
      <c r="S7435" s="255"/>
      <c r="T7435" s="255"/>
    </row>
    <row r="7436" spans="18:20" x14ac:dyDescent="0.3">
      <c r="R7436" s="255"/>
      <c r="S7436" s="255"/>
      <c r="T7436" s="255"/>
    </row>
    <row r="7437" spans="18:20" x14ac:dyDescent="0.3">
      <c r="R7437" s="255"/>
      <c r="S7437" s="255"/>
      <c r="T7437" s="255"/>
    </row>
    <row r="7438" spans="18:20" x14ac:dyDescent="0.3">
      <c r="R7438" s="255"/>
      <c r="S7438" s="255"/>
      <c r="T7438" s="255"/>
    </row>
    <row r="7439" spans="18:20" x14ac:dyDescent="0.3">
      <c r="R7439" s="255"/>
      <c r="S7439" s="255"/>
      <c r="T7439" s="255"/>
    </row>
    <row r="7440" spans="18:20" x14ac:dyDescent="0.3">
      <c r="R7440" s="255"/>
      <c r="S7440" s="255"/>
      <c r="T7440" s="255"/>
    </row>
    <row r="7441" spans="18:20" x14ac:dyDescent="0.3">
      <c r="R7441" s="255"/>
      <c r="S7441" s="255"/>
      <c r="T7441" s="255"/>
    </row>
    <row r="7442" spans="18:20" x14ac:dyDescent="0.3">
      <c r="R7442" s="255"/>
      <c r="S7442" s="255"/>
      <c r="T7442" s="255"/>
    </row>
    <row r="7443" spans="18:20" x14ac:dyDescent="0.3">
      <c r="R7443" s="255"/>
      <c r="S7443" s="255"/>
      <c r="T7443" s="255"/>
    </row>
    <row r="7444" spans="18:20" x14ac:dyDescent="0.3">
      <c r="R7444" s="255"/>
      <c r="S7444" s="255"/>
      <c r="T7444" s="255"/>
    </row>
    <row r="7445" spans="18:20" x14ac:dyDescent="0.3">
      <c r="R7445" s="255"/>
      <c r="S7445" s="255"/>
      <c r="T7445" s="255"/>
    </row>
    <row r="7446" spans="18:20" x14ac:dyDescent="0.3">
      <c r="R7446" s="255"/>
      <c r="S7446" s="255"/>
      <c r="T7446" s="255"/>
    </row>
    <row r="7447" spans="18:20" x14ac:dyDescent="0.3">
      <c r="R7447" s="255"/>
      <c r="S7447" s="255"/>
      <c r="T7447" s="255"/>
    </row>
    <row r="7448" spans="18:20" x14ac:dyDescent="0.3">
      <c r="R7448" s="255"/>
      <c r="S7448" s="255"/>
      <c r="T7448" s="255"/>
    </row>
    <row r="7449" spans="18:20" x14ac:dyDescent="0.3">
      <c r="R7449" s="255"/>
      <c r="S7449" s="255"/>
      <c r="T7449" s="255"/>
    </row>
    <row r="7450" spans="18:20" x14ac:dyDescent="0.3">
      <c r="R7450" s="255"/>
      <c r="S7450" s="255"/>
      <c r="T7450" s="255"/>
    </row>
    <row r="7451" spans="18:20" x14ac:dyDescent="0.3">
      <c r="R7451" s="255"/>
      <c r="S7451" s="255"/>
      <c r="T7451" s="255"/>
    </row>
    <row r="7452" spans="18:20" x14ac:dyDescent="0.3">
      <c r="R7452" s="255"/>
      <c r="S7452" s="255"/>
      <c r="T7452" s="255"/>
    </row>
    <row r="7453" spans="18:20" x14ac:dyDescent="0.3">
      <c r="R7453" s="255"/>
      <c r="S7453" s="255"/>
      <c r="T7453" s="255"/>
    </row>
    <row r="7454" spans="18:20" x14ac:dyDescent="0.3">
      <c r="R7454" s="255"/>
      <c r="S7454" s="255"/>
      <c r="T7454" s="255"/>
    </row>
    <row r="7455" spans="18:20" x14ac:dyDescent="0.3">
      <c r="R7455" s="255"/>
      <c r="S7455" s="255"/>
      <c r="T7455" s="255"/>
    </row>
    <row r="7456" spans="18:20" x14ac:dyDescent="0.3">
      <c r="R7456" s="255"/>
      <c r="S7456" s="255"/>
      <c r="T7456" s="255"/>
    </row>
    <row r="7457" spans="18:20" x14ac:dyDescent="0.3">
      <c r="R7457" s="255"/>
      <c r="S7457" s="255"/>
      <c r="T7457" s="255"/>
    </row>
    <row r="7458" spans="18:20" x14ac:dyDescent="0.3">
      <c r="R7458" s="255"/>
      <c r="S7458" s="255"/>
      <c r="T7458" s="255"/>
    </row>
    <row r="7459" spans="18:20" x14ac:dyDescent="0.3">
      <c r="R7459" s="255"/>
      <c r="S7459" s="255"/>
      <c r="T7459" s="255"/>
    </row>
    <row r="7460" spans="18:20" x14ac:dyDescent="0.3">
      <c r="R7460" s="255"/>
      <c r="S7460" s="255"/>
      <c r="T7460" s="255"/>
    </row>
    <row r="7461" spans="18:20" x14ac:dyDescent="0.3">
      <c r="R7461" s="255"/>
      <c r="S7461" s="255"/>
      <c r="T7461" s="255"/>
    </row>
    <row r="7462" spans="18:20" x14ac:dyDescent="0.3">
      <c r="R7462" s="255"/>
      <c r="S7462" s="255"/>
      <c r="T7462" s="255"/>
    </row>
    <row r="7463" spans="18:20" x14ac:dyDescent="0.3">
      <c r="R7463" s="255"/>
      <c r="S7463" s="255"/>
      <c r="T7463" s="255"/>
    </row>
    <row r="7464" spans="18:20" x14ac:dyDescent="0.3">
      <c r="R7464" s="255"/>
      <c r="S7464" s="255"/>
      <c r="T7464" s="255"/>
    </row>
    <row r="7465" spans="18:20" x14ac:dyDescent="0.3">
      <c r="R7465" s="255"/>
      <c r="S7465" s="255"/>
      <c r="T7465" s="255"/>
    </row>
    <row r="7466" spans="18:20" x14ac:dyDescent="0.3">
      <c r="R7466" s="255"/>
      <c r="S7466" s="255"/>
      <c r="T7466" s="255"/>
    </row>
    <row r="7467" spans="18:20" x14ac:dyDescent="0.3">
      <c r="R7467" s="255"/>
      <c r="S7467" s="255"/>
      <c r="T7467" s="255"/>
    </row>
    <row r="7468" spans="18:20" x14ac:dyDescent="0.3">
      <c r="R7468" s="255"/>
      <c r="S7468" s="255"/>
      <c r="T7468" s="255"/>
    </row>
    <row r="7469" spans="18:20" x14ac:dyDescent="0.3">
      <c r="R7469" s="255"/>
      <c r="S7469" s="255"/>
      <c r="T7469" s="255"/>
    </row>
    <row r="7470" spans="18:20" x14ac:dyDescent="0.3">
      <c r="R7470" s="255"/>
      <c r="S7470" s="255"/>
      <c r="T7470" s="255"/>
    </row>
    <row r="7471" spans="18:20" x14ac:dyDescent="0.3">
      <c r="R7471" s="255"/>
      <c r="S7471" s="255"/>
      <c r="T7471" s="255"/>
    </row>
    <row r="7472" spans="18:20" x14ac:dyDescent="0.3">
      <c r="R7472" s="255"/>
      <c r="S7472" s="255"/>
      <c r="T7472" s="255"/>
    </row>
    <row r="7473" spans="18:20" x14ac:dyDescent="0.3">
      <c r="R7473" s="255"/>
      <c r="S7473" s="255"/>
      <c r="T7473" s="255"/>
    </row>
    <row r="7474" spans="18:20" x14ac:dyDescent="0.3">
      <c r="R7474" s="255"/>
      <c r="S7474" s="255"/>
      <c r="T7474" s="255"/>
    </row>
    <row r="7475" spans="18:20" x14ac:dyDescent="0.3">
      <c r="R7475" s="255"/>
      <c r="S7475" s="255"/>
      <c r="T7475" s="255"/>
    </row>
    <row r="7476" spans="18:20" x14ac:dyDescent="0.3">
      <c r="R7476" s="255"/>
      <c r="S7476" s="255"/>
      <c r="T7476" s="255"/>
    </row>
    <row r="7477" spans="18:20" x14ac:dyDescent="0.3">
      <c r="R7477" s="255"/>
      <c r="S7477" s="255"/>
      <c r="T7477" s="255"/>
    </row>
    <row r="7478" spans="18:20" x14ac:dyDescent="0.3">
      <c r="R7478" s="255"/>
      <c r="S7478" s="255"/>
      <c r="T7478" s="255"/>
    </row>
    <row r="7479" spans="18:20" x14ac:dyDescent="0.3">
      <c r="R7479" s="255"/>
      <c r="S7479" s="255"/>
      <c r="T7479" s="255"/>
    </row>
    <row r="7480" spans="18:20" x14ac:dyDescent="0.3">
      <c r="R7480" s="255"/>
      <c r="S7480" s="255"/>
      <c r="T7480" s="255"/>
    </row>
    <row r="7481" spans="18:20" x14ac:dyDescent="0.3">
      <c r="R7481" s="255"/>
      <c r="S7481" s="255"/>
      <c r="T7481" s="255"/>
    </row>
    <row r="7482" spans="18:20" x14ac:dyDescent="0.3">
      <c r="R7482" s="255"/>
      <c r="S7482" s="255"/>
      <c r="T7482" s="255"/>
    </row>
    <row r="7483" spans="18:20" x14ac:dyDescent="0.3">
      <c r="R7483" s="255"/>
      <c r="S7483" s="255"/>
      <c r="T7483" s="255"/>
    </row>
    <row r="7484" spans="18:20" x14ac:dyDescent="0.3">
      <c r="R7484" s="255"/>
      <c r="S7484" s="255"/>
      <c r="T7484" s="255"/>
    </row>
    <row r="7485" spans="18:20" x14ac:dyDescent="0.3">
      <c r="R7485" s="255"/>
      <c r="S7485" s="255"/>
      <c r="T7485" s="255"/>
    </row>
    <row r="7486" spans="18:20" x14ac:dyDescent="0.3">
      <c r="R7486" s="255"/>
      <c r="S7486" s="255"/>
      <c r="T7486" s="255"/>
    </row>
    <row r="7487" spans="18:20" x14ac:dyDescent="0.3">
      <c r="R7487" s="255"/>
      <c r="S7487" s="255"/>
      <c r="T7487" s="255"/>
    </row>
    <row r="7488" spans="18:20" x14ac:dyDescent="0.3">
      <c r="R7488" s="255"/>
      <c r="S7488" s="255"/>
      <c r="T7488" s="255"/>
    </row>
    <row r="7489" spans="18:20" x14ac:dyDescent="0.3">
      <c r="R7489" s="255"/>
      <c r="S7489" s="255"/>
      <c r="T7489" s="255"/>
    </row>
    <row r="7490" spans="18:20" x14ac:dyDescent="0.3">
      <c r="R7490" s="255"/>
      <c r="S7490" s="255"/>
      <c r="T7490" s="255"/>
    </row>
    <row r="7491" spans="18:20" x14ac:dyDescent="0.3">
      <c r="R7491" s="255"/>
      <c r="S7491" s="255"/>
      <c r="T7491" s="255"/>
    </row>
    <row r="7492" spans="18:20" x14ac:dyDescent="0.3">
      <c r="R7492" s="255"/>
      <c r="S7492" s="255"/>
      <c r="T7492" s="255"/>
    </row>
    <row r="7493" spans="18:20" x14ac:dyDescent="0.3">
      <c r="R7493" s="255"/>
      <c r="S7493" s="255"/>
      <c r="T7493" s="255"/>
    </row>
    <row r="7494" spans="18:20" x14ac:dyDescent="0.3">
      <c r="R7494" s="255"/>
      <c r="S7494" s="255"/>
      <c r="T7494" s="255"/>
    </row>
    <row r="7495" spans="18:20" x14ac:dyDescent="0.3">
      <c r="R7495" s="255"/>
      <c r="S7495" s="255"/>
      <c r="T7495" s="255"/>
    </row>
    <row r="7496" spans="18:20" x14ac:dyDescent="0.3">
      <c r="R7496" s="255"/>
      <c r="S7496" s="255"/>
      <c r="T7496" s="255"/>
    </row>
    <row r="7497" spans="18:20" x14ac:dyDescent="0.3">
      <c r="R7497" s="255"/>
      <c r="S7497" s="255"/>
      <c r="T7497" s="255"/>
    </row>
    <row r="7498" spans="18:20" x14ac:dyDescent="0.3">
      <c r="R7498" s="255"/>
      <c r="S7498" s="255"/>
      <c r="T7498" s="255"/>
    </row>
    <row r="7499" spans="18:20" x14ac:dyDescent="0.3">
      <c r="R7499" s="255"/>
      <c r="S7499" s="255"/>
      <c r="T7499" s="255"/>
    </row>
    <row r="7500" spans="18:20" x14ac:dyDescent="0.3">
      <c r="R7500" s="255"/>
      <c r="S7500" s="255"/>
      <c r="T7500" s="255"/>
    </row>
    <row r="7501" spans="18:20" x14ac:dyDescent="0.3">
      <c r="R7501" s="255"/>
      <c r="S7501" s="255"/>
      <c r="T7501" s="255"/>
    </row>
    <row r="7502" spans="18:20" x14ac:dyDescent="0.3">
      <c r="R7502" s="255"/>
      <c r="S7502" s="255"/>
      <c r="T7502" s="255"/>
    </row>
    <row r="7503" spans="18:20" x14ac:dyDescent="0.3">
      <c r="R7503" s="255"/>
      <c r="S7503" s="255"/>
      <c r="T7503" s="255"/>
    </row>
    <row r="7504" spans="18:20" x14ac:dyDescent="0.3">
      <c r="R7504" s="255"/>
      <c r="S7504" s="255"/>
      <c r="T7504" s="255"/>
    </row>
    <row r="7505" spans="18:20" x14ac:dyDescent="0.3">
      <c r="R7505" s="255"/>
      <c r="S7505" s="255"/>
      <c r="T7505" s="255"/>
    </row>
    <row r="7506" spans="18:20" x14ac:dyDescent="0.3">
      <c r="R7506" s="255"/>
      <c r="S7506" s="255"/>
      <c r="T7506" s="255"/>
    </row>
    <row r="7507" spans="18:20" x14ac:dyDescent="0.3">
      <c r="R7507" s="255"/>
      <c r="S7507" s="255"/>
      <c r="T7507" s="255"/>
    </row>
    <row r="7508" spans="18:20" x14ac:dyDescent="0.3">
      <c r="R7508" s="255"/>
      <c r="S7508" s="255"/>
      <c r="T7508" s="255"/>
    </row>
    <row r="7509" spans="18:20" x14ac:dyDescent="0.3">
      <c r="R7509" s="255"/>
      <c r="S7509" s="255"/>
      <c r="T7509" s="255"/>
    </row>
    <row r="7510" spans="18:20" x14ac:dyDescent="0.3">
      <c r="R7510" s="255"/>
      <c r="S7510" s="255"/>
      <c r="T7510" s="255"/>
    </row>
    <row r="7511" spans="18:20" x14ac:dyDescent="0.3">
      <c r="R7511" s="255"/>
      <c r="S7511" s="255"/>
      <c r="T7511" s="255"/>
    </row>
    <row r="7512" spans="18:20" x14ac:dyDescent="0.3">
      <c r="R7512" s="255"/>
      <c r="S7512" s="255"/>
      <c r="T7512" s="255"/>
    </row>
    <row r="7513" spans="18:20" x14ac:dyDescent="0.3">
      <c r="R7513" s="255"/>
      <c r="S7513" s="255"/>
      <c r="T7513" s="255"/>
    </row>
    <row r="7514" spans="18:20" x14ac:dyDescent="0.3">
      <c r="R7514" s="255"/>
      <c r="S7514" s="255"/>
      <c r="T7514" s="255"/>
    </row>
    <row r="7515" spans="18:20" x14ac:dyDescent="0.3">
      <c r="R7515" s="255"/>
      <c r="S7515" s="255"/>
      <c r="T7515" s="255"/>
    </row>
    <row r="7516" spans="18:20" x14ac:dyDescent="0.3">
      <c r="R7516" s="255"/>
      <c r="S7516" s="255"/>
      <c r="T7516" s="255"/>
    </row>
    <row r="7517" spans="18:20" x14ac:dyDescent="0.3">
      <c r="R7517" s="255"/>
      <c r="S7517" s="255"/>
      <c r="T7517" s="255"/>
    </row>
    <row r="7518" spans="18:20" x14ac:dyDescent="0.3">
      <c r="R7518" s="255"/>
      <c r="S7518" s="255"/>
      <c r="T7518" s="255"/>
    </row>
    <row r="7519" spans="18:20" x14ac:dyDescent="0.3">
      <c r="R7519" s="255"/>
      <c r="S7519" s="255"/>
      <c r="T7519" s="255"/>
    </row>
    <row r="7520" spans="18:20" x14ac:dyDescent="0.3">
      <c r="R7520" s="255"/>
      <c r="S7520" s="255"/>
      <c r="T7520" s="255"/>
    </row>
    <row r="7521" spans="18:20" x14ac:dyDescent="0.3">
      <c r="R7521" s="255"/>
      <c r="S7521" s="255"/>
      <c r="T7521" s="255"/>
    </row>
    <row r="7522" spans="18:20" x14ac:dyDescent="0.3">
      <c r="R7522" s="255"/>
      <c r="S7522" s="255"/>
      <c r="T7522" s="255"/>
    </row>
    <row r="7523" spans="18:20" x14ac:dyDescent="0.3">
      <c r="R7523" s="255"/>
      <c r="S7523" s="255"/>
      <c r="T7523" s="255"/>
    </row>
    <row r="7524" spans="18:20" x14ac:dyDescent="0.3">
      <c r="R7524" s="255"/>
      <c r="S7524" s="255"/>
      <c r="T7524" s="255"/>
    </row>
    <row r="7525" spans="18:20" x14ac:dyDescent="0.3">
      <c r="R7525" s="255"/>
      <c r="S7525" s="255"/>
      <c r="T7525" s="255"/>
    </row>
    <row r="7526" spans="18:20" x14ac:dyDescent="0.3">
      <c r="R7526" s="255"/>
      <c r="S7526" s="255"/>
      <c r="T7526" s="255"/>
    </row>
    <row r="7527" spans="18:20" x14ac:dyDescent="0.3">
      <c r="R7527" s="255"/>
      <c r="S7527" s="255"/>
      <c r="T7527" s="255"/>
    </row>
    <row r="7528" spans="18:20" x14ac:dyDescent="0.3">
      <c r="R7528" s="255"/>
      <c r="S7528" s="255"/>
      <c r="T7528" s="255"/>
    </row>
    <row r="7529" spans="18:20" x14ac:dyDescent="0.3">
      <c r="R7529" s="255"/>
      <c r="S7529" s="255"/>
      <c r="T7529" s="255"/>
    </row>
    <row r="7530" spans="18:20" x14ac:dyDescent="0.3">
      <c r="R7530" s="255"/>
      <c r="S7530" s="255"/>
      <c r="T7530" s="255"/>
    </row>
    <row r="7531" spans="18:20" x14ac:dyDescent="0.3">
      <c r="R7531" s="255"/>
      <c r="S7531" s="255"/>
      <c r="T7531" s="255"/>
    </row>
    <row r="7532" spans="18:20" x14ac:dyDescent="0.3">
      <c r="R7532" s="255"/>
      <c r="S7532" s="255"/>
      <c r="T7532" s="255"/>
    </row>
    <row r="7533" spans="18:20" x14ac:dyDescent="0.3">
      <c r="R7533" s="255"/>
      <c r="S7533" s="255"/>
      <c r="T7533" s="255"/>
    </row>
    <row r="7534" spans="18:20" x14ac:dyDescent="0.3">
      <c r="R7534" s="255"/>
      <c r="S7534" s="255"/>
      <c r="T7534" s="255"/>
    </row>
    <row r="7535" spans="18:20" x14ac:dyDescent="0.3">
      <c r="R7535" s="255"/>
      <c r="S7535" s="255"/>
      <c r="T7535" s="255"/>
    </row>
    <row r="7536" spans="18:20" x14ac:dyDescent="0.3">
      <c r="R7536" s="255"/>
      <c r="S7536" s="255"/>
      <c r="T7536" s="255"/>
    </row>
    <row r="7537" spans="18:20" x14ac:dyDescent="0.3">
      <c r="R7537" s="255"/>
      <c r="S7537" s="255"/>
      <c r="T7537" s="255"/>
    </row>
    <row r="7538" spans="18:20" x14ac:dyDescent="0.3">
      <c r="R7538" s="255"/>
      <c r="S7538" s="255"/>
      <c r="T7538" s="255"/>
    </row>
    <row r="7539" spans="18:20" x14ac:dyDescent="0.3">
      <c r="R7539" s="255"/>
      <c r="S7539" s="255"/>
      <c r="T7539" s="255"/>
    </row>
    <row r="7540" spans="18:20" x14ac:dyDescent="0.3">
      <c r="R7540" s="255"/>
      <c r="S7540" s="255"/>
      <c r="T7540" s="255"/>
    </row>
    <row r="7541" spans="18:20" x14ac:dyDescent="0.3">
      <c r="R7541" s="255"/>
      <c r="S7541" s="255"/>
      <c r="T7541" s="255"/>
    </row>
    <row r="7542" spans="18:20" x14ac:dyDescent="0.3">
      <c r="R7542" s="255"/>
      <c r="S7542" s="255"/>
      <c r="T7542" s="255"/>
    </row>
    <row r="7543" spans="18:20" x14ac:dyDescent="0.3">
      <c r="R7543" s="255"/>
      <c r="S7543" s="255"/>
      <c r="T7543" s="255"/>
    </row>
    <row r="7544" spans="18:20" x14ac:dyDescent="0.3">
      <c r="R7544" s="255"/>
      <c r="S7544" s="255"/>
      <c r="T7544" s="255"/>
    </row>
    <row r="7545" spans="18:20" x14ac:dyDescent="0.3">
      <c r="R7545" s="255"/>
      <c r="S7545" s="255"/>
      <c r="T7545" s="255"/>
    </row>
    <row r="7546" spans="18:20" x14ac:dyDescent="0.3">
      <c r="R7546" s="255"/>
      <c r="S7546" s="255"/>
      <c r="T7546" s="255"/>
    </row>
    <row r="7547" spans="18:20" x14ac:dyDescent="0.3">
      <c r="R7547" s="255"/>
      <c r="S7547" s="255"/>
      <c r="T7547" s="255"/>
    </row>
    <row r="7548" spans="18:20" x14ac:dyDescent="0.3">
      <c r="R7548" s="255"/>
      <c r="S7548" s="255"/>
      <c r="T7548" s="255"/>
    </row>
    <row r="7549" spans="18:20" x14ac:dyDescent="0.3">
      <c r="R7549" s="255"/>
      <c r="S7549" s="255"/>
      <c r="T7549" s="255"/>
    </row>
    <row r="7550" spans="18:20" x14ac:dyDescent="0.3">
      <c r="R7550" s="255"/>
      <c r="S7550" s="255"/>
      <c r="T7550" s="255"/>
    </row>
    <row r="7551" spans="18:20" x14ac:dyDescent="0.3">
      <c r="R7551" s="255"/>
      <c r="S7551" s="255"/>
      <c r="T7551" s="255"/>
    </row>
    <row r="7552" spans="18:20" x14ac:dyDescent="0.3">
      <c r="R7552" s="255"/>
      <c r="S7552" s="255"/>
      <c r="T7552" s="255"/>
    </row>
    <row r="7553" spans="18:20" x14ac:dyDescent="0.3">
      <c r="R7553" s="255"/>
      <c r="S7553" s="255"/>
      <c r="T7553" s="255"/>
    </row>
    <row r="7554" spans="18:20" x14ac:dyDescent="0.3">
      <c r="R7554" s="255"/>
      <c r="S7554" s="255"/>
      <c r="T7554" s="255"/>
    </row>
    <row r="7555" spans="18:20" x14ac:dyDescent="0.3">
      <c r="R7555" s="255"/>
      <c r="S7555" s="255"/>
      <c r="T7555" s="255"/>
    </row>
    <row r="7556" spans="18:20" x14ac:dyDescent="0.3">
      <c r="R7556" s="255"/>
      <c r="S7556" s="255"/>
      <c r="T7556" s="255"/>
    </row>
    <row r="7557" spans="18:20" x14ac:dyDescent="0.3">
      <c r="R7557" s="255"/>
      <c r="S7557" s="255"/>
      <c r="T7557" s="255"/>
    </row>
    <row r="7558" spans="18:20" x14ac:dyDescent="0.3">
      <c r="R7558" s="255"/>
      <c r="S7558" s="255"/>
      <c r="T7558" s="255"/>
    </row>
    <row r="7559" spans="18:20" x14ac:dyDescent="0.3">
      <c r="R7559" s="255"/>
      <c r="S7559" s="255"/>
      <c r="T7559" s="255"/>
    </row>
    <row r="7560" spans="18:20" x14ac:dyDescent="0.3">
      <c r="R7560" s="255"/>
      <c r="S7560" s="255"/>
      <c r="T7560" s="255"/>
    </row>
    <row r="7561" spans="18:20" x14ac:dyDescent="0.3">
      <c r="R7561" s="255"/>
      <c r="S7561" s="255"/>
      <c r="T7561" s="255"/>
    </row>
    <row r="7562" spans="18:20" x14ac:dyDescent="0.3">
      <c r="R7562" s="255"/>
      <c r="S7562" s="255"/>
      <c r="T7562" s="255"/>
    </row>
    <row r="7563" spans="18:20" x14ac:dyDescent="0.3">
      <c r="R7563" s="255"/>
      <c r="S7563" s="255"/>
      <c r="T7563" s="255"/>
    </row>
    <row r="7564" spans="18:20" x14ac:dyDescent="0.3">
      <c r="R7564" s="255"/>
      <c r="S7564" s="255"/>
      <c r="T7564" s="255"/>
    </row>
    <row r="7565" spans="18:20" x14ac:dyDescent="0.3">
      <c r="R7565" s="255"/>
      <c r="S7565" s="255"/>
      <c r="T7565" s="255"/>
    </row>
    <row r="7566" spans="18:20" x14ac:dyDescent="0.3">
      <c r="R7566" s="255"/>
      <c r="S7566" s="255"/>
      <c r="T7566" s="255"/>
    </row>
    <row r="7567" spans="18:20" x14ac:dyDescent="0.3">
      <c r="R7567" s="255"/>
      <c r="S7567" s="255"/>
      <c r="T7567" s="255"/>
    </row>
    <row r="7568" spans="18:20" x14ac:dyDescent="0.3">
      <c r="R7568" s="255"/>
      <c r="S7568" s="255"/>
      <c r="T7568" s="255"/>
    </row>
    <row r="7569" spans="18:20" x14ac:dyDescent="0.3">
      <c r="R7569" s="255"/>
      <c r="S7569" s="255"/>
      <c r="T7569" s="255"/>
    </row>
    <row r="7570" spans="18:20" x14ac:dyDescent="0.3">
      <c r="R7570" s="255"/>
      <c r="S7570" s="255"/>
      <c r="T7570" s="255"/>
    </row>
    <row r="7571" spans="18:20" x14ac:dyDescent="0.3">
      <c r="R7571" s="255"/>
      <c r="S7571" s="255"/>
      <c r="T7571" s="255"/>
    </row>
    <row r="7572" spans="18:20" x14ac:dyDescent="0.3">
      <c r="R7572" s="255"/>
      <c r="S7572" s="255"/>
      <c r="T7572" s="255"/>
    </row>
    <row r="7573" spans="18:20" x14ac:dyDescent="0.3">
      <c r="R7573" s="255"/>
      <c r="S7573" s="255"/>
      <c r="T7573" s="255"/>
    </row>
    <row r="7574" spans="18:20" x14ac:dyDescent="0.3">
      <c r="R7574" s="255"/>
      <c r="S7574" s="255"/>
      <c r="T7574" s="255"/>
    </row>
    <row r="7575" spans="18:20" x14ac:dyDescent="0.3">
      <c r="R7575" s="255"/>
      <c r="S7575" s="255"/>
      <c r="T7575" s="255"/>
    </row>
    <row r="7576" spans="18:20" x14ac:dyDescent="0.3">
      <c r="R7576" s="255"/>
      <c r="S7576" s="255"/>
      <c r="T7576" s="255"/>
    </row>
    <row r="7577" spans="18:20" x14ac:dyDescent="0.3">
      <c r="R7577" s="255"/>
      <c r="S7577" s="255"/>
      <c r="T7577" s="255"/>
    </row>
    <row r="7578" spans="18:20" x14ac:dyDescent="0.3">
      <c r="R7578" s="255"/>
      <c r="S7578" s="255"/>
      <c r="T7578" s="255"/>
    </row>
    <row r="7579" spans="18:20" x14ac:dyDescent="0.3">
      <c r="R7579" s="255"/>
      <c r="S7579" s="255"/>
      <c r="T7579" s="255"/>
    </row>
    <row r="7580" spans="18:20" x14ac:dyDescent="0.3">
      <c r="R7580" s="255"/>
      <c r="S7580" s="255"/>
      <c r="T7580" s="255"/>
    </row>
    <row r="7581" spans="18:20" x14ac:dyDescent="0.3">
      <c r="R7581" s="255"/>
      <c r="S7581" s="255"/>
      <c r="T7581" s="255"/>
    </row>
    <row r="7582" spans="18:20" x14ac:dyDescent="0.3">
      <c r="R7582" s="255"/>
      <c r="S7582" s="255"/>
      <c r="T7582" s="255"/>
    </row>
    <row r="7583" spans="18:20" x14ac:dyDescent="0.3">
      <c r="R7583" s="255"/>
      <c r="S7583" s="255"/>
      <c r="T7583" s="255"/>
    </row>
    <row r="7584" spans="18:20" x14ac:dyDescent="0.3">
      <c r="R7584" s="255"/>
      <c r="S7584" s="255"/>
      <c r="T7584" s="255"/>
    </row>
    <row r="7585" spans="18:20" x14ac:dyDescent="0.3">
      <c r="R7585" s="255"/>
      <c r="S7585" s="255"/>
      <c r="T7585" s="255"/>
    </row>
    <row r="7586" spans="18:20" x14ac:dyDescent="0.3">
      <c r="R7586" s="255"/>
      <c r="S7586" s="255"/>
      <c r="T7586" s="255"/>
    </row>
    <row r="7587" spans="18:20" x14ac:dyDescent="0.3">
      <c r="R7587" s="255"/>
      <c r="S7587" s="255"/>
      <c r="T7587" s="255"/>
    </row>
    <row r="7588" spans="18:20" x14ac:dyDescent="0.3">
      <c r="R7588" s="255"/>
      <c r="S7588" s="255"/>
      <c r="T7588" s="255"/>
    </row>
    <row r="7589" spans="18:20" x14ac:dyDescent="0.3">
      <c r="R7589" s="255"/>
      <c r="S7589" s="255"/>
      <c r="T7589" s="255"/>
    </row>
    <row r="7590" spans="18:20" x14ac:dyDescent="0.3">
      <c r="R7590" s="255"/>
      <c r="S7590" s="255"/>
      <c r="T7590" s="255"/>
    </row>
    <row r="7591" spans="18:20" x14ac:dyDescent="0.3">
      <c r="R7591" s="255"/>
      <c r="S7591" s="255"/>
      <c r="T7591" s="255"/>
    </row>
    <row r="7592" spans="18:20" x14ac:dyDescent="0.3">
      <c r="R7592" s="255"/>
      <c r="S7592" s="255"/>
      <c r="T7592" s="255"/>
    </row>
    <row r="7593" spans="18:20" x14ac:dyDescent="0.3">
      <c r="R7593" s="255"/>
      <c r="S7593" s="255"/>
      <c r="T7593" s="255"/>
    </row>
    <row r="7594" spans="18:20" x14ac:dyDescent="0.3">
      <c r="R7594" s="255"/>
      <c r="S7594" s="255"/>
      <c r="T7594" s="255"/>
    </row>
    <row r="7595" spans="18:20" x14ac:dyDescent="0.3">
      <c r="R7595" s="255"/>
      <c r="S7595" s="255"/>
      <c r="T7595" s="255"/>
    </row>
    <row r="7596" spans="18:20" x14ac:dyDescent="0.3">
      <c r="R7596" s="255"/>
      <c r="S7596" s="255"/>
      <c r="T7596" s="255"/>
    </row>
    <row r="7597" spans="18:20" x14ac:dyDescent="0.3">
      <c r="R7597" s="255"/>
      <c r="S7597" s="255"/>
      <c r="T7597" s="255"/>
    </row>
    <row r="7598" spans="18:20" x14ac:dyDescent="0.3">
      <c r="R7598" s="255"/>
      <c r="S7598" s="255"/>
      <c r="T7598" s="255"/>
    </row>
    <row r="7599" spans="18:20" x14ac:dyDescent="0.3">
      <c r="R7599" s="255"/>
      <c r="S7599" s="255"/>
      <c r="T7599" s="255"/>
    </row>
    <row r="7600" spans="18:20" x14ac:dyDescent="0.3">
      <c r="R7600" s="255"/>
      <c r="S7600" s="255"/>
      <c r="T7600" s="255"/>
    </row>
    <row r="7601" spans="18:20" x14ac:dyDescent="0.3">
      <c r="R7601" s="255"/>
      <c r="S7601" s="255"/>
      <c r="T7601" s="255"/>
    </row>
    <row r="7602" spans="18:20" x14ac:dyDescent="0.3">
      <c r="R7602" s="255"/>
      <c r="S7602" s="255"/>
      <c r="T7602" s="255"/>
    </row>
    <row r="7603" spans="18:20" x14ac:dyDescent="0.3">
      <c r="R7603" s="255"/>
      <c r="S7603" s="255"/>
      <c r="T7603" s="255"/>
    </row>
    <row r="7604" spans="18:20" x14ac:dyDescent="0.3">
      <c r="R7604" s="255"/>
      <c r="S7604" s="255"/>
      <c r="T7604" s="255"/>
    </row>
    <row r="7605" spans="18:20" x14ac:dyDescent="0.3">
      <c r="R7605" s="255"/>
      <c r="S7605" s="255"/>
      <c r="T7605" s="255"/>
    </row>
    <row r="7606" spans="18:20" x14ac:dyDescent="0.3">
      <c r="R7606" s="255"/>
      <c r="S7606" s="255"/>
      <c r="T7606" s="255"/>
    </row>
    <row r="7607" spans="18:20" x14ac:dyDescent="0.3">
      <c r="R7607" s="255"/>
      <c r="S7607" s="255"/>
      <c r="T7607" s="255"/>
    </row>
    <row r="7608" spans="18:20" x14ac:dyDescent="0.3">
      <c r="R7608" s="255"/>
      <c r="S7608" s="255"/>
      <c r="T7608" s="255"/>
    </row>
    <row r="7609" spans="18:20" x14ac:dyDescent="0.3">
      <c r="R7609" s="255"/>
      <c r="S7609" s="255"/>
      <c r="T7609" s="255"/>
    </row>
    <row r="7610" spans="18:20" x14ac:dyDescent="0.3">
      <c r="R7610" s="255"/>
      <c r="S7610" s="255"/>
      <c r="T7610" s="255"/>
    </row>
    <row r="7611" spans="18:20" x14ac:dyDescent="0.3">
      <c r="R7611" s="255"/>
      <c r="S7611" s="255"/>
      <c r="T7611" s="255"/>
    </row>
    <row r="7612" spans="18:20" x14ac:dyDescent="0.3">
      <c r="R7612" s="255"/>
      <c r="S7612" s="255"/>
      <c r="T7612" s="255"/>
    </row>
    <row r="7613" spans="18:20" x14ac:dyDescent="0.3">
      <c r="R7613" s="255"/>
      <c r="S7613" s="255"/>
      <c r="T7613" s="255"/>
    </row>
    <row r="7614" spans="18:20" x14ac:dyDescent="0.3">
      <c r="R7614" s="255"/>
      <c r="S7614" s="255"/>
      <c r="T7614" s="255"/>
    </row>
    <row r="7615" spans="18:20" x14ac:dyDescent="0.3">
      <c r="R7615" s="255"/>
      <c r="S7615" s="255"/>
      <c r="T7615" s="255"/>
    </row>
    <row r="7616" spans="18:20" x14ac:dyDescent="0.3">
      <c r="R7616" s="255"/>
      <c r="S7616" s="255"/>
      <c r="T7616" s="255"/>
    </row>
    <row r="7617" spans="18:20" x14ac:dyDescent="0.3">
      <c r="R7617" s="255"/>
      <c r="S7617" s="255"/>
      <c r="T7617" s="255"/>
    </row>
    <row r="7618" spans="18:20" x14ac:dyDescent="0.3">
      <c r="R7618" s="255"/>
      <c r="S7618" s="255"/>
      <c r="T7618" s="255"/>
    </row>
    <row r="7619" spans="18:20" x14ac:dyDescent="0.3">
      <c r="R7619" s="255"/>
      <c r="S7619" s="255"/>
      <c r="T7619" s="255"/>
    </row>
    <row r="7620" spans="18:20" x14ac:dyDescent="0.3">
      <c r="R7620" s="255"/>
      <c r="S7620" s="255"/>
      <c r="T7620" s="255"/>
    </row>
    <row r="7621" spans="18:20" x14ac:dyDescent="0.3">
      <c r="R7621" s="255"/>
      <c r="S7621" s="255"/>
      <c r="T7621" s="255"/>
    </row>
    <row r="7622" spans="18:20" x14ac:dyDescent="0.3">
      <c r="R7622" s="255"/>
      <c r="S7622" s="255"/>
      <c r="T7622" s="255"/>
    </row>
    <row r="7623" spans="18:20" x14ac:dyDescent="0.3">
      <c r="R7623" s="255"/>
      <c r="S7623" s="255"/>
      <c r="T7623" s="255"/>
    </row>
    <row r="7624" spans="18:20" x14ac:dyDescent="0.3">
      <c r="R7624" s="255"/>
      <c r="S7624" s="255"/>
      <c r="T7624" s="255"/>
    </row>
    <row r="7625" spans="18:20" x14ac:dyDescent="0.3">
      <c r="R7625" s="255"/>
      <c r="S7625" s="255"/>
      <c r="T7625" s="255"/>
    </row>
    <row r="7626" spans="18:20" x14ac:dyDescent="0.3">
      <c r="R7626" s="255"/>
      <c r="S7626" s="255"/>
      <c r="T7626" s="255"/>
    </row>
    <row r="7627" spans="18:20" x14ac:dyDescent="0.3">
      <c r="R7627" s="255"/>
      <c r="S7627" s="255"/>
      <c r="T7627" s="255"/>
    </row>
    <row r="7628" spans="18:20" x14ac:dyDescent="0.3">
      <c r="R7628" s="255"/>
      <c r="S7628" s="255"/>
      <c r="T7628" s="255"/>
    </row>
    <row r="7629" spans="18:20" x14ac:dyDescent="0.3">
      <c r="R7629" s="255"/>
      <c r="S7629" s="255"/>
      <c r="T7629" s="255"/>
    </row>
    <row r="7630" spans="18:20" x14ac:dyDescent="0.3">
      <c r="R7630" s="255"/>
      <c r="S7630" s="255"/>
      <c r="T7630" s="255"/>
    </row>
    <row r="7631" spans="18:20" x14ac:dyDescent="0.3">
      <c r="R7631" s="255"/>
      <c r="S7631" s="255"/>
      <c r="T7631" s="255"/>
    </row>
    <row r="7632" spans="18:20" x14ac:dyDescent="0.3">
      <c r="R7632" s="255"/>
      <c r="S7632" s="255"/>
      <c r="T7632" s="255"/>
    </row>
    <row r="7633" spans="18:20" x14ac:dyDescent="0.3">
      <c r="R7633" s="255"/>
      <c r="S7633" s="255"/>
      <c r="T7633" s="255"/>
    </row>
    <row r="7634" spans="18:20" x14ac:dyDescent="0.3">
      <c r="R7634" s="255"/>
      <c r="S7634" s="255"/>
      <c r="T7634" s="255"/>
    </row>
    <row r="7635" spans="18:20" x14ac:dyDescent="0.3">
      <c r="R7635" s="255"/>
      <c r="S7635" s="255"/>
      <c r="T7635" s="255"/>
    </row>
    <row r="7636" spans="18:20" x14ac:dyDescent="0.3">
      <c r="R7636" s="255"/>
      <c r="S7636" s="255"/>
      <c r="T7636" s="255"/>
    </row>
    <row r="7637" spans="18:20" x14ac:dyDescent="0.3">
      <c r="R7637" s="255"/>
      <c r="S7637" s="255"/>
      <c r="T7637" s="255"/>
    </row>
    <row r="7638" spans="18:20" x14ac:dyDescent="0.3">
      <c r="R7638" s="255"/>
      <c r="S7638" s="255"/>
      <c r="T7638" s="255"/>
    </row>
    <row r="7639" spans="18:20" x14ac:dyDescent="0.3">
      <c r="R7639" s="255"/>
      <c r="S7639" s="255"/>
      <c r="T7639" s="255"/>
    </row>
    <row r="7640" spans="18:20" x14ac:dyDescent="0.3">
      <c r="R7640" s="255"/>
      <c r="S7640" s="255"/>
      <c r="T7640" s="255"/>
    </row>
    <row r="7641" spans="18:20" x14ac:dyDescent="0.3">
      <c r="R7641" s="255"/>
      <c r="S7641" s="255"/>
      <c r="T7641" s="255"/>
    </row>
    <row r="7642" spans="18:20" x14ac:dyDescent="0.3">
      <c r="R7642" s="255"/>
      <c r="S7642" s="255"/>
      <c r="T7642" s="255"/>
    </row>
    <row r="7643" spans="18:20" x14ac:dyDescent="0.3">
      <c r="R7643" s="255"/>
      <c r="S7643" s="255"/>
      <c r="T7643" s="255"/>
    </row>
    <row r="7644" spans="18:20" x14ac:dyDescent="0.3">
      <c r="R7644" s="255"/>
      <c r="S7644" s="255"/>
      <c r="T7644" s="255"/>
    </row>
    <row r="7645" spans="18:20" x14ac:dyDescent="0.3">
      <c r="R7645" s="255"/>
      <c r="S7645" s="255"/>
      <c r="T7645" s="255"/>
    </row>
    <row r="7646" spans="18:20" x14ac:dyDescent="0.3">
      <c r="R7646" s="255"/>
      <c r="S7646" s="255"/>
      <c r="T7646" s="255"/>
    </row>
    <row r="7647" spans="18:20" x14ac:dyDescent="0.3">
      <c r="R7647" s="255"/>
      <c r="S7647" s="255"/>
      <c r="T7647" s="255"/>
    </row>
    <row r="7648" spans="18:20" x14ac:dyDescent="0.3">
      <c r="R7648" s="255"/>
      <c r="S7648" s="255"/>
      <c r="T7648" s="255"/>
    </row>
    <row r="7649" spans="18:20" x14ac:dyDescent="0.3">
      <c r="R7649" s="255"/>
      <c r="S7649" s="255"/>
      <c r="T7649" s="255"/>
    </row>
    <row r="7650" spans="18:20" x14ac:dyDescent="0.3">
      <c r="R7650" s="255"/>
      <c r="S7650" s="255"/>
      <c r="T7650" s="255"/>
    </row>
    <row r="7651" spans="18:20" x14ac:dyDescent="0.3">
      <c r="R7651" s="255"/>
      <c r="S7651" s="255"/>
      <c r="T7651" s="255"/>
    </row>
    <row r="7652" spans="18:20" x14ac:dyDescent="0.3">
      <c r="R7652" s="255"/>
      <c r="S7652" s="255"/>
      <c r="T7652" s="255"/>
    </row>
    <row r="7653" spans="18:20" x14ac:dyDescent="0.3">
      <c r="R7653" s="255"/>
      <c r="S7653" s="255"/>
      <c r="T7653" s="255"/>
    </row>
    <row r="7654" spans="18:20" x14ac:dyDescent="0.3">
      <c r="R7654" s="255"/>
      <c r="S7654" s="255"/>
      <c r="T7654" s="255"/>
    </row>
    <row r="7655" spans="18:20" x14ac:dyDescent="0.3">
      <c r="R7655" s="255"/>
      <c r="S7655" s="255"/>
      <c r="T7655" s="255"/>
    </row>
    <row r="7656" spans="18:20" x14ac:dyDescent="0.3">
      <c r="R7656" s="255"/>
      <c r="S7656" s="255"/>
      <c r="T7656" s="255"/>
    </row>
    <row r="7657" spans="18:20" x14ac:dyDescent="0.3">
      <c r="R7657" s="255"/>
      <c r="S7657" s="255"/>
      <c r="T7657" s="255"/>
    </row>
    <row r="7658" spans="18:20" x14ac:dyDescent="0.3">
      <c r="R7658" s="255"/>
      <c r="S7658" s="255"/>
      <c r="T7658" s="255"/>
    </row>
    <row r="7659" spans="18:20" x14ac:dyDescent="0.3">
      <c r="R7659" s="255"/>
      <c r="S7659" s="255"/>
      <c r="T7659" s="255"/>
    </row>
    <row r="7660" spans="18:20" x14ac:dyDescent="0.3">
      <c r="R7660" s="255"/>
      <c r="S7660" s="255"/>
      <c r="T7660" s="255"/>
    </row>
    <row r="7661" spans="18:20" x14ac:dyDescent="0.3">
      <c r="R7661" s="255"/>
      <c r="S7661" s="255"/>
      <c r="T7661" s="255"/>
    </row>
    <row r="7662" spans="18:20" x14ac:dyDescent="0.3">
      <c r="R7662" s="255"/>
      <c r="S7662" s="255"/>
      <c r="T7662" s="255"/>
    </row>
    <row r="7663" spans="18:20" x14ac:dyDescent="0.3">
      <c r="R7663" s="255"/>
      <c r="S7663" s="255"/>
      <c r="T7663" s="255"/>
    </row>
    <row r="7664" spans="18:20" x14ac:dyDescent="0.3">
      <c r="R7664" s="255"/>
      <c r="S7664" s="255"/>
      <c r="T7664" s="255"/>
    </row>
    <row r="7665" spans="18:20" x14ac:dyDescent="0.3">
      <c r="R7665" s="255"/>
      <c r="S7665" s="255"/>
      <c r="T7665" s="255"/>
    </row>
    <row r="7666" spans="18:20" x14ac:dyDescent="0.3">
      <c r="R7666" s="255"/>
      <c r="S7666" s="255"/>
      <c r="T7666" s="255"/>
    </row>
    <row r="7667" spans="18:20" x14ac:dyDescent="0.3">
      <c r="R7667" s="255"/>
      <c r="S7667" s="255"/>
      <c r="T7667" s="255"/>
    </row>
    <row r="7668" spans="18:20" x14ac:dyDescent="0.3">
      <c r="R7668" s="255"/>
      <c r="S7668" s="255"/>
      <c r="T7668" s="255"/>
    </row>
    <row r="7669" spans="18:20" x14ac:dyDescent="0.3">
      <c r="R7669" s="255"/>
      <c r="S7669" s="255"/>
      <c r="T7669" s="255"/>
    </row>
    <row r="7670" spans="18:20" x14ac:dyDescent="0.3">
      <c r="R7670" s="255"/>
      <c r="S7670" s="255"/>
      <c r="T7670" s="255"/>
    </row>
    <row r="7671" spans="18:20" x14ac:dyDescent="0.3">
      <c r="R7671" s="255"/>
      <c r="S7671" s="255"/>
      <c r="T7671" s="255"/>
    </row>
    <row r="7672" spans="18:20" x14ac:dyDescent="0.3">
      <c r="R7672" s="255"/>
      <c r="S7672" s="255"/>
      <c r="T7672" s="255"/>
    </row>
    <row r="7673" spans="18:20" x14ac:dyDescent="0.3">
      <c r="R7673" s="255"/>
      <c r="S7673" s="255"/>
      <c r="T7673" s="255"/>
    </row>
    <row r="7674" spans="18:20" x14ac:dyDescent="0.3">
      <c r="R7674" s="255"/>
      <c r="S7674" s="255"/>
      <c r="T7674" s="255"/>
    </row>
    <row r="7675" spans="18:20" x14ac:dyDescent="0.3">
      <c r="R7675" s="255"/>
      <c r="S7675" s="255"/>
      <c r="T7675" s="255"/>
    </row>
    <row r="7676" spans="18:20" x14ac:dyDescent="0.3">
      <c r="R7676" s="255"/>
      <c r="S7676" s="255"/>
      <c r="T7676" s="255"/>
    </row>
    <row r="7677" spans="18:20" x14ac:dyDescent="0.3">
      <c r="R7677" s="255"/>
      <c r="S7677" s="255"/>
      <c r="T7677" s="255"/>
    </row>
    <row r="7678" spans="18:20" x14ac:dyDescent="0.3">
      <c r="R7678" s="255"/>
      <c r="S7678" s="255"/>
      <c r="T7678" s="255"/>
    </row>
    <row r="7679" spans="18:20" x14ac:dyDescent="0.3">
      <c r="R7679" s="255"/>
      <c r="S7679" s="255"/>
      <c r="T7679" s="255"/>
    </row>
    <row r="7680" spans="18:20" x14ac:dyDescent="0.3">
      <c r="R7680" s="255"/>
      <c r="S7680" s="255"/>
      <c r="T7680" s="255"/>
    </row>
    <row r="7681" spans="18:20" x14ac:dyDescent="0.3">
      <c r="R7681" s="255"/>
      <c r="S7681" s="255"/>
      <c r="T7681" s="255"/>
    </row>
    <row r="7682" spans="18:20" x14ac:dyDescent="0.3">
      <c r="R7682" s="255"/>
      <c r="S7682" s="255"/>
      <c r="T7682" s="255"/>
    </row>
    <row r="7683" spans="18:20" x14ac:dyDescent="0.3">
      <c r="R7683" s="255"/>
      <c r="S7683" s="255"/>
      <c r="T7683" s="255"/>
    </row>
    <row r="7684" spans="18:20" x14ac:dyDescent="0.3">
      <c r="R7684" s="255"/>
      <c r="S7684" s="255"/>
      <c r="T7684" s="255"/>
    </row>
    <row r="7685" spans="18:20" x14ac:dyDescent="0.3">
      <c r="R7685" s="255"/>
      <c r="S7685" s="255"/>
      <c r="T7685" s="255"/>
    </row>
    <row r="7686" spans="18:20" x14ac:dyDescent="0.3">
      <c r="R7686" s="255"/>
      <c r="S7686" s="255"/>
      <c r="T7686" s="255"/>
    </row>
    <row r="7687" spans="18:20" x14ac:dyDescent="0.3">
      <c r="R7687" s="255"/>
      <c r="S7687" s="255"/>
      <c r="T7687" s="255"/>
    </row>
    <row r="7688" spans="18:20" x14ac:dyDescent="0.3">
      <c r="R7688" s="255"/>
      <c r="S7688" s="255"/>
      <c r="T7688" s="255"/>
    </row>
    <row r="7689" spans="18:20" x14ac:dyDescent="0.3">
      <c r="R7689" s="255"/>
      <c r="S7689" s="255"/>
      <c r="T7689" s="255"/>
    </row>
    <row r="7690" spans="18:20" x14ac:dyDescent="0.3">
      <c r="R7690" s="255"/>
      <c r="S7690" s="255"/>
      <c r="T7690" s="255"/>
    </row>
    <row r="7691" spans="18:20" x14ac:dyDescent="0.3">
      <c r="R7691" s="255"/>
      <c r="S7691" s="255"/>
      <c r="T7691" s="255"/>
    </row>
    <row r="7692" spans="18:20" x14ac:dyDescent="0.3">
      <c r="R7692" s="255"/>
      <c r="S7692" s="255"/>
      <c r="T7692" s="255"/>
    </row>
    <row r="7693" spans="18:20" x14ac:dyDescent="0.3">
      <c r="R7693" s="255"/>
      <c r="S7693" s="255"/>
      <c r="T7693" s="255"/>
    </row>
    <row r="7694" spans="18:20" x14ac:dyDescent="0.3">
      <c r="R7694" s="255"/>
      <c r="S7694" s="255"/>
      <c r="T7694" s="255"/>
    </row>
    <row r="7695" spans="18:20" x14ac:dyDescent="0.3">
      <c r="R7695" s="255"/>
      <c r="S7695" s="255"/>
      <c r="T7695" s="255"/>
    </row>
    <row r="7696" spans="18:20" x14ac:dyDescent="0.3">
      <c r="R7696" s="255"/>
      <c r="S7696" s="255"/>
      <c r="T7696" s="255"/>
    </row>
    <row r="7697" spans="18:20" x14ac:dyDescent="0.3">
      <c r="R7697" s="255"/>
      <c r="S7697" s="255"/>
      <c r="T7697" s="255"/>
    </row>
    <row r="7698" spans="18:20" x14ac:dyDescent="0.3">
      <c r="R7698" s="255"/>
      <c r="S7698" s="255"/>
      <c r="T7698" s="255"/>
    </row>
    <row r="7699" spans="18:20" x14ac:dyDescent="0.3">
      <c r="R7699" s="255"/>
      <c r="S7699" s="255"/>
      <c r="T7699" s="255"/>
    </row>
    <row r="7700" spans="18:20" x14ac:dyDescent="0.3">
      <c r="R7700" s="255"/>
      <c r="S7700" s="255"/>
      <c r="T7700" s="255"/>
    </row>
    <row r="7701" spans="18:20" x14ac:dyDescent="0.3">
      <c r="R7701" s="255"/>
      <c r="S7701" s="255"/>
      <c r="T7701" s="255"/>
    </row>
    <row r="7702" spans="18:20" x14ac:dyDescent="0.3">
      <c r="R7702" s="255"/>
      <c r="S7702" s="255"/>
      <c r="T7702" s="255"/>
    </row>
    <row r="7703" spans="18:20" x14ac:dyDescent="0.3">
      <c r="R7703" s="255"/>
      <c r="S7703" s="255"/>
      <c r="T7703" s="255"/>
    </row>
    <row r="7704" spans="18:20" x14ac:dyDescent="0.3">
      <c r="R7704" s="255"/>
      <c r="S7704" s="255"/>
      <c r="T7704" s="255"/>
    </row>
    <row r="7705" spans="18:20" x14ac:dyDescent="0.3">
      <c r="R7705" s="255"/>
      <c r="S7705" s="255"/>
      <c r="T7705" s="255"/>
    </row>
    <row r="7706" spans="18:20" x14ac:dyDescent="0.3">
      <c r="R7706" s="255"/>
      <c r="S7706" s="255"/>
      <c r="T7706" s="255"/>
    </row>
    <row r="7707" spans="18:20" x14ac:dyDescent="0.3">
      <c r="R7707" s="255"/>
      <c r="S7707" s="255"/>
      <c r="T7707" s="255"/>
    </row>
    <row r="7708" spans="18:20" x14ac:dyDescent="0.3">
      <c r="R7708" s="255"/>
      <c r="S7708" s="255"/>
      <c r="T7708" s="255"/>
    </row>
    <row r="7709" spans="18:20" x14ac:dyDescent="0.3">
      <c r="R7709" s="255"/>
      <c r="S7709" s="255"/>
      <c r="T7709" s="255"/>
    </row>
    <row r="7710" spans="18:20" x14ac:dyDescent="0.3">
      <c r="R7710" s="255"/>
      <c r="S7710" s="255"/>
      <c r="T7710" s="255"/>
    </row>
    <row r="7711" spans="18:20" x14ac:dyDescent="0.3">
      <c r="R7711" s="255"/>
      <c r="S7711" s="255"/>
      <c r="T7711" s="255"/>
    </row>
    <row r="7712" spans="18:20" x14ac:dyDescent="0.3">
      <c r="R7712" s="255"/>
      <c r="S7712" s="255"/>
      <c r="T7712" s="255"/>
    </row>
    <row r="7713" spans="18:20" x14ac:dyDescent="0.3">
      <c r="R7713" s="255"/>
      <c r="S7713" s="255"/>
      <c r="T7713" s="255"/>
    </row>
    <row r="7714" spans="18:20" x14ac:dyDescent="0.3">
      <c r="R7714" s="255"/>
      <c r="S7714" s="255"/>
      <c r="T7714" s="255"/>
    </row>
    <row r="7715" spans="18:20" x14ac:dyDescent="0.3">
      <c r="R7715" s="255"/>
      <c r="S7715" s="255"/>
      <c r="T7715" s="255"/>
    </row>
    <row r="7716" spans="18:20" x14ac:dyDescent="0.3">
      <c r="R7716" s="255"/>
      <c r="S7716" s="255"/>
      <c r="T7716" s="255"/>
    </row>
    <row r="7717" spans="18:20" x14ac:dyDescent="0.3">
      <c r="R7717" s="255"/>
      <c r="S7717" s="255"/>
      <c r="T7717" s="255"/>
    </row>
    <row r="7718" spans="18:20" x14ac:dyDescent="0.3">
      <c r="R7718" s="255"/>
      <c r="S7718" s="255"/>
      <c r="T7718" s="255"/>
    </row>
    <row r="7719" spans="18:20" x14ac:dyDescent="0.3">
      <c r="R7719" s="255"/>
      <c r="S7719" s="255"/>
      <c r="T7719" s="255"/>
    </row>
    <row r="7720" spans="18:20" x14ac:dyDescent="0.3">
      <c r="R7720" s="255"/>
      <c r="S7720" s="255"/>
      <c r="T7720" s="255"/>
    </row>
    <row r="7721" spans="18:20" x14ac:dyDescent="0.3">
      <c r="R7721" s="255"/>
      <c r="S7721" s="255"/>
      <c r="T7721" s="255"/>
    </row>
    <row r="7722" spans="18:20" x14ac:dyDescent="0.3">
      <c r="R7722" s="255"/>
      <c r="S7722" s="255"/>
      <c r="T7722" s="255"/>
    </row>
    <row r="7723" spans="18:20" x14ac:dyDescent="0.3">
      <c r="R7723" s="255"/>
      <c r="S7723" s="255"/>
      <c r="T7723" s="255"/>
    </row>
    <row r="7724" spans="18:20" x14ac:dyDescent="0.3">
      <c r="R7724" s="255"/>
      <c r="S7724" s="255"/>
      <c r="T7724" s="255"/>
    </row>
    <row r="7725" spans="18:20" x14ac:dyDescent="0.3">
      <c r="R7725" s="255"/>
      <c r="S7725" s="255"/>
      <c r="T7725" s="255"/>
    </row>
    <row r="7726" spans="18:20" x14ac:dyDescent="0.3">
      <c r="R7726" s="255"/>
      <c r="S7726" s="255"/>
      <c r="T7726" s="255"/>
    </row>
    <row r="7727" spans="18:20" x14ac:dyDescent="0.3">
      <c r="R7727" s="255"/>
      <c r="S7727" s="255"/>
      <c r="T7727" s="255"/>
    </row>
    <row r="7728" spans="18:20" x14ac:dyDescent="0.3">
      <c r="R7728" s="255"/>
      <c r="S7728" s="255"/>
      <c r="T7728" s="255"/>
    </row>
    <row r="7729" spans="18:20" x14ac:dyDescent="0.3">
      <c r="R7729" s="255"/>
      <c r="S7729" s="255"/>
      <c r="T7729" s="255"/>
    </row>
    <row r="7730" spans="18:20" x14ac:dyDescent="0.3">
      <c r="R7730" s="255"/>
      <c r="S7730" s="255"/>
      <c r="T7730" s="255"/>
    </row>
    <row r="7731" spans="18:20" x14ac:dyDescent="0.3">
      <c r="R7731" s="255"/>
      <c r="S7731" s="255"/>
      <c r="T7731" s="255"/>
    </row>
    <row r="7732" spans="18:20" x14ac:dyDescent="0.3">
      <c r="R7732" s="255"/>
      <c r="S7732" s="255"/>
      <c r="T7732" s="255"/>
    </row>
    <row r="7733" spans="18:20" x14ac:dyDescent="0.3">
      <c r="R7733" s="255"/>
      <c r="S7733" s="255"/>
      <c r="T7733" s="255"/>
    </row>
    <row r="7734" spans="18:20" x14ac:dyDescent="0.3">
      <c r="R7734" s="255"/>
      <c r="S7734" s="255"/>
      <c r="T7734" s="255"/>
    </row>
    <row r="7735" spans="18:20" x14ac:dyDescent="0.3">
      <c r="R7735" s="255"/>
      <c r="S7735" s="255"/>
      <c r="T7735" s="255"/>
    </row>
    <row r="7736" spans="18:20" x14ac:dyDescent="0.3">
      <c r="R7736" s="255"/>
      <c r="S7736" s="255"/>
      <c r="T7736" s="255"/>
    </row>
    <row r="7737" spans="18:20" x14ac:dyDescent="0.3">
      <c r="R7737" s="255"/>
      <c r="S7737" s="255"/>
      <c r="T7737" s="255"/>
    </row>
    <row r="7738" spans="18:20" x14ac:dyDescent="0.3">
      <c r="R7738" s="255"/>
      <c r="S7738" s="255"/>
      <c r="T7738" s="255"/>
    </row>
    <row r="7739" spans="18:20" x14ac:dyDescent="0.3">
      <c r="R7739" s="255"/>
      <c r="S7739" s="255"/>
      <c r="T7739" s="255"/>
    </row>
    <row r="7740" spans="18:20" x14ac:dyDescent="0.3">
      <c r="R7740" s="255"/>
      <c r="S7740" s="255"/>
      <c r="T7740" s="255"/>
    </row>
    <row r="7741" spans="18:20" x14ac:dyDescent="0.3">
      <c r="R7741" s="255"/>
      <c r="S7741" s="255"/>
      <c r="T7741" s="255"/>
    </row>
    <row r="7742" spans="18:20" x14ac:dyDescent="0.3">
      <c r="R7742" s="255"/>
      <c r="S7742" s="255"/>
      <c r="T7742" s="255"/>
    </row>
    <row r="7743" spans="18:20" x14ac:dyDescent="0.3">
      <c r="R7743" s="255"/>
      <c r="S7743" s="255"/>
      <c r="T7743" s="255"/>
    </row>
    <row r="7744" spans="18:20" x14ac:dyDescent="0.3">
      <c r="R7744" s="255"/>
      <c r="S7744" s="255"/>
      <c r="T7744" s="255"/>
    </row>
    <row r="7745" spans="18:20" x14ac:dyDescent="0.3">
      <c r="R7745" s="255"/>
      <c r="S7745" s="255"/>
      <c r="T7745" s="255"/>
    </row>
    <row r="7746" spans="18:20" x14ac:dyDescent="0.3">
      <c r="R7746" s="255"/>
      <c r="S7746" s="255"/>
      <c r="T7746" s="255"/>
    </row>
    <row r="7747" spans="18:20" x14ac:dyDescent="0.3">
      <c r="R7747" s="255"/>
      <c r="S7747" s="255"/>
      <c r="T7747" s="255"/>
    </row>
    <row r="7748" spans="18:20" x14ac:dyDescent="0.3">
      <c r="R7748" s="255"/>
      <c r="S7748" s="255"/>
      <c r="T7748" s="255"/>
    </row>
    <row r="7749" spans="18:20" x14ac:dyDescent="0.3">
      <c r="R7749" s="255"/>
      <c r="S7749" s="255"/>
      <c r="T7749" s="255"/>
    </row>
    <row r="7750" spans="18:20" x14ac:dyDescent="0.3">
      <c r="R7750" s="255"/>
      <c r="S7750" s="255"/>
      <c r="T7750" s="255"/>
    </row>
    <row r="7751" spans="18:20" x14ac:dyDescent="0.3">
      <c r="R7751" s="255"/>
      <c r="S7751" s="255"/>
      <c r="T7751" s="255"/>
    </row>
    <row r="7752" spans="18:20" x14ac:dyDescent="0.3">
      <c r="R7752" s="255"/>
      <c r="S7752" s="255"/>
      <c r="T7752" s="255"/>
    </row>
    <row r="7753" spans="18:20" x14ac:dyDescent="0.3">
      <c r="R7753" s="255"/>
      <c r="S7753" s="255"/>
      <c r="T7753" s="255"/>
    </row>
    <row r="7754" spans="18:20" x14ac:dyDescent="0.3">
      <c r="R7754" s="255"/>
      <c r="S7754" s="255"/>
      <c r="T7754" s="255"/>
    </row>
    <row r="7755" spans="18:20" x14ac:dyDescent="0.3">
      <c r="R7755" s="255"/>
      <c r="S7755" s="255"/>
      <c r="T7755" s="255"/>
    </row>
    <row r="7756" spans="18:20" x14ac:dyDescent="0.3">
      <c r="R7756" s="255"/>
      <c r="S7756" s="255"/>
      <c r="T7756" s="255"/>
    </row>
    <row r="7757" spans="18:20" x14ac:dyDescent="0.3">
      <c r="R7757" s="255"/>
      <c r="S7757" s="255"/>
      <c r="T7757" s="255"/>
    </row>
    <row r="7758" spans="18:20" x14ac:dyDescent="0.3">
      <c r="R7758" s="255"/>
      <c r="S7758" s="255"/>
      <c r="T7758" s="255"/>
    </row>
    <row r="7759" spans="18:20" x14ac:dyDescent="0.3">
      <c r="R7759" s="255"/>
      <c r="S7759" s="255"/>
      <c r="T7759" s="255"/>
    </row>
    <row r="7760" spans="18:20" x14ac:dyDescent="0.3">
      <c r="R7760" s="255"/>
      <c r="S7760" s="255"/>
      <c r="T7760" s="255"/>
    </row>
    <row r="7761" spans="18:20" x14ac:dyDescent="0.3">
      <c r="R7761" s="255"/>
      <c r="S7761" s="255"/>
      <c r="T7761" s="255"/>
    </row>
    <row r="7762" spans="18:20" x14ac:dyDescent="0.3">
      <c r="R7762" s="255"/>
      <c r="S7762" s="255"/>
      <c r="T7762" s="255"/>
    </row>
    <row r="7763" spans="18:20" x14ac:dyDescent="0.3">
      <c r="R7763" s="255"/>
      <c r="S7763" s="255"/>
      <c r="T7763" s="255"/>
    </row>
    <row r="7764" spans="18:20" x14ac:dyDescent="0.3">
      <c r="R7764" s="255"/>
      <c r="S7764" s="255"/>
      <c r="T7764" s="255"/>
    </row>
    <row r="7765" spans="18:20" x14ac:dyDescent="0.3">
      <c r="R7765" s="255"/>
      <c r="S7765" s="255"/>
      <c r="T7765" s="255"/>
    </row>
    <row r="7766" spans="18:20" x14ac:dyDescent="0.3">
      <c r="R7766" s="255"/>
      <c r="S7766" s="255"/>
      <c r="T7766" s="255"/>
    </row>
    <row r="7767" spans="18:20" x14ac:dyDescent="0.3">
      <c r="R7767" s="255"/>
      <c r="S7767" s="255"/>
      <c r="T7767" s="255"/>
    </row>
    <row r="7768" spans="18:20" x14ac:dyDescent="0.3">
      <c r="R7768" s="255"/>
      <c r="S7768" s="255"/>
      <c r="T7768" s="255"/>
    </row>
    <row r="7769" spans="18:20" x14ac:dyDescent="0.3">
      <c r="R7769" s="255"/>
      <c r="S7769" s="255"/>
      <c r="T7769" s="255"/>
    </row>
    <row r="7770" spans="18:20" x14ac:dyDescent="0.3">
      <c r="R7770" s="255"/>
      <c r="S7770" s="255"/>
      <c r="T7770" s="255"/>
    </row>
    <row r="7771" spans="18:20" x14ac:dyDescent="0.3">
      <c r="R7771" s="255"/>
      <c r="S7771" s="255"/>
      <c r="T7771" s="255"/>
    </row>
    <row r="7772" spans="18:20" x14ac:dyDescent="0.3">
      <c r="R7772" s="255"/>
      <c r="S7772" s="255"/>
      <c r="T7772" s="255"/>
    </row>
    <row r="7773" spans="18:20" x14ac:dyDescent="0.3">
      <c r="R7773" s="255"/>
      <c r="S7773" s="255"/>
      <c r="T7773" s="255"/>
    </row>
    <row r="7774" spans="18:20" x14ac:dyDescent="0.3">
      <c r="R7774" s="255"/>
      <c r="S7774" s="255"/>
      <c r="T7774" s="255"/>
    </row>
    <row r="7775" spans="18:20" x14ac:dyDescent="0.3">
      <c r="R7775" s="255"/>
      <c r="S7775" s="255"/>
      <c r="T7775" s="255"/>
    </row>
    <row r="7776" spans="18:20" x14ac:dyDescent="0.3">
      <c r="R7776" s="255"/>
      <c r="S7776" s="255"/>
      <c r="T7776" s="255"/>
    </row>
    <row r="7777" spans="18:20" x14ac:dyDescent="0.3">
      <c r="R7777" s="255"/>
      <c r="S7777" s="255"/>
      <c r="T7777" s="255"/>
    </row>
    <row r="7778" spans="18:20" x14ac:dyDescent="0.3">
      <c r="R7778" s="255"/>
      <c r="S7778" s="255"/>
      <c r="T7778" s="255"/>
    </row>
    <row r="7779" spans="18:20" x14ac:dyDescent="0.3">
      <c r="R7779" s="255"/>
      <c r="S7779" s="255"/>
      <c r="T7779" s="255"/>
    </row>
    <row r="7780" spans="18:20" x14ac:dyDescent="0.3">
      <c r="R7780" s="255"/>
      <c r="S7780" s="255"/>
      <c r="T7780" s="255"/>
    </row>
    <row r="7781" spans="18:20" x14ac:dyDescent="0.3">
      <c r="R7781" s="255"/>
      <c r="S7781" s="255"/>
      <c r="T7781" s="255"/>
    </row>
    <row r="7782" spans="18:20" x14ac:dyDescent="0.3">
      <c r="R7782" s="255"/>
      <c r="S7782" s="255"/>
      <c r="T7782" s="255"/>
    </row>
    <row r="7783" spans="18:20" x14ac:dyDescent="0.3">
      <c r="R7783" s="255"/>
      <c r="S7783" s="255"/>
      <c r="T7783" s="255"/>
    </row>
    <row r="7784" spans="18:20" x14ac:dyDescent="0.3">
      <c r="R7784" s="255"/>
      <c r="S7784" s="255"/>
      <c r="T7784" s="255"/>
    </row>
    <row r="7785" spans="18:20" x14ac:dyDescent="0.3">
      <c r="R7785" s="255"/>
      <c r="S7785" s="255"/>
      <c r="T7785" s="255"/>
    </row>
    <row r="7786" spans="18:20" x14ac:dyDescent="0.3">
      <c r="R7786" s="255"/>
      <c r="S7786" s="255"/>
      <c r="T7786" s="255"/>
    </row>
    <row r="7787" spans="18:20" x14ac:dyDescent="0.3">
      <c r="R7787" s="255"/>
      <c r="S7787" s="255"/>
      <c r="T7787" s="255"/>
    </row>
    <row r="7788" spans="18:20" x14ac:dyDescent="0.3">
      <c r="R7788" s="255"/>
      <c r="S7788" s="255"/>
      <c r="T7788" s="255"/>
    </row>
    <row r="7789" spans="18:20" x14ac:dyDescent="0.3">
      <c r="R7789" s="255"/>
      <c r="S7789" s="255"/>
      <c r="T7789" s="255"/>
    </row>
    <row r="7790" spans="18:20" x14ac:dyDescent="0.3">
      <c r="R7790" s="255"/>
      <c r="S7790" s="255"/>
      <c r="T7790" s="255"/>
    </row>
    <row r="7791" spans="18:20" x14ac:dyDescent="0.3">
      <c r="R7791" s="255"/>
      <c r="S7791" s="255"/>
      <c r="T7791" s="255"/>
    </row>
    <row r="7792" spans="18:20" x14ac:dyDescent="0.3">
      <c r="R7792" s="255"/>
      <c r="S7792" s="255"/>
      <c r="T7792" s="255"/>
    </row>
    <row r="7793" spans="18:20" x14ac:dyDescent="0.3">
      <c r="R7793" s="255"/>
      <c r="S7793" s="255"/>
      <c r="T7793" s="255"/>
    </row>
    <row r="7794" spans="18:20" x14ac:dyDescent="0.3">
      <c r="R7794" s="255"/>
      <c r="S7794" s="255"/>
      <c r="T7794" s="255"/>
    </row>
    <row r="7795" spans="18:20" x14ac:dyDescent="0.3">
      <c r="R7795" s="255"/>
      <c r="S7795" s="255"/>
      <c r="T7795" s="255"/>
    </row>
    <row r="7796" spans="18:20" x14ac:dyDescent="0.3">
      <c r="R7796" s="255"/>
      <c r="S7796" s="255"/>
      <c r="T7796" s="255"/>
    </row>
    <row r="7797" spans="18:20" x14ac:dyDescent="0.3">
      <c r="R7797" s="255"/>
      <c r="S7797" s="255"/>
      <c r="T7797" s="255"/>
    </row>
    <row r="7798" spans="18:20" x14ac:dyDescent="0.3">
      <c r="R7798" s="255"/>
      <c r="S7798" s="255"/>
      <c r="T7798" s="255"/>
    </row>
    <row r="7799" spans="18:20" x14ac:dyDescent="0.3">
      <c r="R7799" s="255"/>
      <c r="S7799" s="255"/>
      <c r="T7799" s="255"/>
    </row>
    <row r="7800" spans="18:20" x14ac:dyDescent="0.3">
      <c r="R7800" s="255"/>
      <c r="S7800" s="255"/>
      <c r="T7800" s="255"/>
    </row>
    <row r="7801" spans="18:20" x14ac:dyDescent="0.3">
      <c r="R7801" s="255"/>
      <c r="S7801" s="255"/>
      <c r="T7801" s="255"/>
    </row>
    <row r="7802" spans="18:20" x14ac:dyDescent="0.3">
      <c r="R7802" s="255"/>
      <c r="S7802" s="255"/>
      <c r="T7802" s="255"/>
    </row>
    <row r="7803" spans="18:20" x14ac:dyDescent="0.3">
      <c r="R7803" s="255"/>
      <c r="S7803" s="255"/>
      <c r="T7803" s="255"/>
    </row>
    <row r="7804" spans="18:20" x14ac:dyDescent="0.3">
      <c r="R7804" s="255"/>
      <c r="S7804" s="255"/>
      <c r="T7804" s="255"/>
    </row>
    <row r="7805" spans="18:20" x14ac:dyDescent="0.3">
      <c r="R7805" s="255"/>
      <c r="S7805" s="255"/>
      <c r="T7805" s="255"/>
    </row>
    <row r="7806" spans="18:20" x14ac:dyDescent="0.3">
      <c r="R7806" s="255"/>
      <c r="S7806" s="255"/>
      <c r="T7806" s="255"/>
    </row>
    <row r="7807" spans="18:20" x14ac:dyDescent="0.3">
      <c r="R7807" s="255"/>
      <c r="S7807" s="255"/>
      <c r="T7807" s="255"/>
    </row>
    <row r="7808" spans="18:20" x14ac:dyDescent="0.3">
      <c r="R7808" s="255"/>
      <c r="S7808" s="255"/>
      <c r="T7808" s="255"/>
    </row>
    <row r="7809" spans="18:20" x14ac:dyDescent="0.3">
      <c r="R7809" s="255"/>
      <c r="S7809" s="255"/>
      <c r="T7809" s="255"/>
    </row>
    <row r="7810" spans="18:20" x14ac:dyDescent="0.3">
      <c r="R7810" s="255"/>
      <c r="S7810" s="255"/>
      <c r="T7810" s="255"/>
    </row>
    <row r="7811" spans="18:20" x14ac:dyDescent="0.3">
      <c r="R7811" s="255"/>
      <c r="S7811" s="255"/>
      <c r="T7811" s="255"/>
    </row>
    <row r="7812" spans="18:20" x14ac:dyDescent="0.3">
      <c r="R7812" s="255"/>
      <c r="S7812" s="255"/>
      <c r="T7812" s="255"/>
    </row>
    <row r="7813" spans="18:20" x14ac:dyDescent="0.3">
      <c r="R7813" s="255"/>
      <c r="S7813" s="255"/>
      <c r="T7813" s="255"/>
    </row>
    <row r="7814" spans="18:20" x14ac:dyDescent="0.3">
      <c r="R7814" s="255"/>
      <c r="S7814" s="255"/>
      <c r="T7814" s="255"/>
    </row>
    <row r="7815" spans="18:20" x14ac:dyDescent="0.3">
      <c r="R7815" s="255"/>
      <c r="S7815" s="255"/>
      <c r="T7815" s="255"/>
    </row>
    <row r="7816" spans="18:20" x14ac:dyDescent="0.3">
      <c r="R7816" s="255"/>
      <c r="S7816" s="255"/>
      <c r="T7816" s="255"/>
    </row>
    <row r="7817" spans="18:20" x14ac:dyDescent="0.3">
      <c r="R7817" s="255"/>
      <c r="S7817" s="255"/>
      <c r="T7817" s="255"/>
    </row>
    <row r="7818" spans="18:20" x14ac:dyDescent="0.3">
      <c r="R7818" s="255"/>
      <c r="S7818" s="255"/>
      <c r="T7818" s="255"/>
    </row>
    <row r="7819" spans="18:20" x14ac:dyDescent="0.3">
      <c r="R7819" s="255"/>
      <c r="S7819" s="255"/>
      <c r="T7819" s="255"/>
    </row>
    <row r="7820" spans="18:20" x14ac:dyDescent="0.3">
      <c r="R7820" s="255"/>
      <c r="S7820" s="255"/>
      <c r="T7820" s="255"/>
    </row>
    <row r="7821" spans="18:20" x14ac:dyDescent="0.3">
      <c r="R7821" s="255"/>
      <c r="S7821" s="255"/>
      <c r="T7821" s="255"/>
    </row>
    <row r="7822" spans="18:20" x14ac:dyDescent="0.3">
      <c r="R7822" s="255"/>
      <c r="S7822" s="255"/>
      <c r="T7822" s="255"/>
    </row>
    <row r="7823" spans="18:20" x14ac:dyDescent="0.3">
      <c r="R7823" s="255"/>
      <c r="S7823" s="255"/>
      <c r="T7823" s="255"/>
    </row>
    <row r="7824" spans="18:20" x14ac:dyDescent="0.3">
      <c r="R7824" s="255"/>
      <c r="S7824" s="255"/>
      <c r="T7824" s="255"/>
    </row>
    <row r="7825" spans="18:20" x14ac:dyDescent="0.3">
      <c r="R7825" s="255"/>
      <c r="S7825" s="255"/>
      <c r="T7825" s="255"/>
    </row>
    <row r="7826" spans="18:20" x14ac:dyDescent="0.3">
      <c r="R7826" s="255"/>
      <c r="S7826" s="255"/>
      <c r="T7826" s="255"/>
    </row>
    <row r="7827" spans="18:20" x14ac:dyDescent="0.3">
      <c r="R7827" s="255"/>
      <c r="S7827" s="255"/>
      <c r="T7827" s="255"/>
    </row>
    <row r="7828" spans="18:20" x14ac:dyDescent="0.3">
      <c r="R7828" s="255"/>
      <c r="S7828" s="255"/>
      <c r="T7828" s="255"/>
    </row>
    <row r="7829" spans="18:20" x14ac:dyDescent="0.3">
      <c r="R7829" s="255"/>
      <c r="S7829" s="255"/>
      <c r="T7829" s="255"/>
    </row>
    <row r="7830" spans="18:20" x14ac:dyDescent="0.3">
      <c r="R7830" s="255"/>
      <c r="S7830" s="255"/>
      <c r="T7830" s="255"/>
    </row>
    <row r="7831" spans="18:20" x14ac:dyDescent="0.3">
      <c r="R7831" s="255"/>
      <c r="S7831" s="255"/>
      <c r="T7831" s="255"/>
    </row>
    <row r="7832" spans="18:20" x14ac:dyDescent="0.3">
      <c r="R7832" s="255"/>
      <c r="S7832" s="255"/>
      <c r="T7832" s="255"/>
    </row>
    <row r="7833" spans="18:20" x14ac:dyDescent="0.3">
      <c r="R7833" s="255"/>
      <c r="S7833" s="255"/>
      <c r="T7833" s="255"/>
    </row>
    <row r="7834" spans="18:20" x14ac:dyDescent="0.3">
      <c r="R7834" s="255"/>
      <c r="S7834" s="255"/>
      <c r="T7834" s="255"/>
    </row>
    <row r="7835" spans="18:20" x14ac:dyDescent="0.3">
      <c r="R7835" s="255"/>
      <c r="S7835" s="255"/>
      <c r="T7835" s="255"/>
    </row>
    <row r="7836" spans="18:20" x14ac:dyDescent="0.3">
      <c r="R7836" s="255"/>
      <c r="S7836" s="255"/>
      <c r="T7836" s="255"/>
    </row>
    <row r="7837" spans="18:20" x14ac:dyDescent="0.3">
      <c r="R7837" s="255"/>
      <c r="S7837" s="255"/>
      <c r="T7837" s="255"/>
    </row>
    <row r="7838" spans="18:20" x14ac:dyDescent="0.3">
      <c r="R7838" s="255"/>
      <c r="S7838" s="255"/>
      <c r="T7838" s="255"/>
    </row>
    <row r="7839" spans="18:20" x14ac:dyDescent="0.3">
      <c r="R7839" s="255"/>
      <c r="S7839" s="255"/>
      <c r="T7839" s="255"/>
    </row>
    <row r="7840" spans="18:20" x14ac:dyDescent="0.3">
      <c r="R7840" s="255"/>
      <c r="S7840" s="255"/>
      <c r="T7840" s="255"/>
    </row>
    <row r="7841" spans="18:20" x14ac:dyDescent="0.3">
      <c r="R7841" s="255"/>
      <c r="S7841" s="255"/>
      <c r="T7841" s="255"/>
    </row>
    <row r="7842" spans="18:20" x14ac:dyDescent="0.3">
      <c r="R7842" s="255"/>
      <c r="S7842" s="255"/>
      <c r="T7842" s="255"/>
    </row>
    <row r="7843" spans="18:20" x14ac:dyDescent="0.3">
      <c r="R7843" s="255"/>
      <c r="S7843" s="255"/>
      <c r="T7843" s="255"/>
    </row>
    <row r="7844" spans="18:20" x14ac:dyDescent="0.3">
      <c r="R7844" s="255"/>
      <c r="S7844" s="255"/>
      <c r="T7844" s="255"/>
    </row>
    <row r="7845" spans="18:20" x14ac:dyDescent="0.3">
      <c r="R7845" s="255"/>
      <c r="S7845" s="255"/>
      <c r="T7845" s="255"/>
    </row>
    <row r="7846" spans="18:20" x14ac:dyDescent="0.3">
      <c r="R7846" s="255"/>
      <c r="S7846" s="255"/>
      <c r="T7846" s="255"/>
    </row>
    <row r="7847" spans="18:20" x14ac:dyDescent="0.3">
      <c r="R7847" s="255"/>
      <c r="S7847" s="255"/>
      <c r="T7847" s="255"/>
    </row>
    <row r="7848" spans="18:20" x14ac:dyDescent="0.3">
      <c r="R7848" s="255"/>
      <c r="S7848" s="255"/>
      <c r="T7848" s="255"/>
    </row>
    <row r="7849" spans="18:20" x14ac:dyDescent="0.3">
      <c r="R7849" s="255"/>
      <c r="S7849" s="255"/>
      <c r="T7849" s="255"/>
    </row>
    <row r="7850" spans="18:20" x14ac:dyDescent="0.3">
      <c r="R7850" s="255"/>
      <c r="S7850" s="255"/>
      <c r="T7850" s="255"/>
    </row>
    <row r="7851" spans="18:20" x14ac:dyDescent="0.3">
      <c r="R7851" s="255"/>
      <c r="S7851" s="255"/>
      <c r="T7851" s="255"/>
    </row>
    <row r="7852" spans="18:20" x14ac:dyDescent="0.3">
      <c r="R7852" s="255"/>
      <c r="S7852" s="255"/>
      <c r="T7852" s="255"/>
    </row>
    <row r="7853" spans="18:20" x14ac:dyDescent="0.3">
      <c r="R7853" s="255"/>
      <c r="S7853" s="255"/>
      <c r="T7853" s="255"/>
    </row>
    <row r="7854" spans="18:20" x14ac:dyDescent="0.3">
      <c r="R7854" s="255"/>
      <c r="S7854" s="255"/>
      <c r="T7854" s="255"/>
    </row>
    <row r="7855" spans="18:20" x14ac:dyDescent="0.3">
      <c r="R7855" s="255"/>
      <c r="S7855" s="255"/>
      <c r="T7855" s="255"/>
    </row>
    <row r="7856" spans="18:20" x14ac:dyDescent="0.3">
      <c r="R7856" s="255"/>
      <c r="S7856" s="255"/>
      <c r="T7856" s="255"/>
    </row>
    <row r="7857" spans="18:20" x14ac:dyDescent="0.3">
      <c r="R7857" s="255"/>
      <c r="S7857" s="255"/>
      <c r="T7857" s="255"/>
    </row>
    <row r="7858" spans="18:20" x14ac:dyDescent="0.3">
      <c r="R7858" s="255"/>
      <c r="S7858" s="255"/>
      <c r="T7858" s="255"/>
    </row>
    <row r="7859" spans="18:20" x14ac:dyDescent="0.3">
      <c r="R7859" s="255"/>
      <c r="S7859" s="255"/>
      <c r="T7859" s="255"/>
    </row>
    <row r="7860" spans="18:20" x14ac:dyDescent="0.3">
      <c r="R7860" s="255"/>
      <c r="S7860" s="255"/>
      <c r="T7860" s="255"/>
    </row>
    <row r="7861" spans="18:20" x14ac:dyDescent="0.3">
      <c r="R7861" s="255"/>
      <c r="S7861" s="255"/>
      <c r="T7861" s="255"/>
    </row>
    <row r="7862" spans="18:20" x14ac:dyDescent="0.3">
      <c r="R7862" s="255"/>
      <c r="S7862" s="255"/>
      <c r="T7862" s="255"/>
    </row>
    <row r="7863" spans="18:20" x14ac:dyDescent="0.3">
      <c r="R7863" s="255"/>
      <c r="S7863" s="255"/>
      <c r="T7863" s="255"/>
    </row>
    <row r="7864" spans="18:20" x14ac:dyDescent="0.3">
      <c r="R7864" s="255"/>
      <c r="S7864" s="255"/>
      <c r="T7864" s="255"/>
    </row>
    <row r="7865" spans="18:20" x14ac:dyDescent="0.3">
      <c r="R7865" s="255"/>
      <c r="S7865" s="255"/>
      <c r="T7865" s="255"/>
    </row>
    <row r="7866" spans="18:20" x14ac:dyDescent="0.3">
      <c r="R7866" s="255"/>
      <c r="S7866" s="255"/>
      <c r="T7866" s="255"/>
    </row>
    <row r="7867" spans="18:20" x14ac:dyDescent="0.3">
      <c r="R7867" s="255"/>
      <c r="S7867" s="255"/>
      <c r="T7867" s="255"/>
    </row>
    <row r="7868" spans="18:20" x14ac:dyDescent="0.3">
      <c r="R7868" s="255"/>
      <c r="S7868" s="255"/>
      <c r="T7868" s="255"/>
    </row>
    <row r="7869" spans="18:20" x14ac:dyDescent="0.3">
      <c r="R7869" s="255"/>
      <c r="S7869" s="255"/>
      <c r="T7869" s="255"/>
    </row>
    <row r="7870" spans="18:20" x14ac:dyDescent="0.3">
      <c r="R7870" s="255"/>
      <c r="S7870" s="255"/>
      <c r="T7870" s="255"/>
    </row>
    <row r="7871" spans="18:20" x14ac:dyDescent="0.3">
      <c r="R7871" s="255"/>
      <c r="S7871" s="255"/>
      <c r="T7871" s="255"/>
    </row>
    <row r="7872" spans="18:20" x14ac:dyDescent="0.3">
      <c r="R7872" s="255"/>
      <c r="S7872" s="255"/>
      <c r="T7872" s="255"/>
    </row>
    <row r="7873" spans="18:20" x14ac:dyDescent="0.3">
      <c r="R7873" s="255"/>
      <c r="S7873" s="255"/>
      <c r="T7873" s="255"/>
    </row>
    <row r="7874" spans="18:20" x14ac:dyDescent="0.3">
      <c r="R7874" s="255"/>
      <c r="S7874" s="255"/>
      <c r="T7874" s="255"/>
    </row>
    <row r="7875" spans="18:20" x14ac:dyDescent="0.3">
      <c r="R7875" s="255"/>
      <c r="S7875" s="255"/>
      <c r="T7875" s="255"/>
    </row>
    <row r="7876" spans="18:20" x14ac:dyDescent="0.3">
      <c r="R7876" s="255"/>
      <c r="S7876" s="255"/>
      <c r="T7876" s="255"/>
    </row>
    <row r="7877" spans="18:20" x14ac:dyDescent="0.3">
      <c r="R7877" s="255"/>
      <c r="S7877" s="255"/>
      <c r="T7877" s="255"/>
    </row>
    <row r="7878" spans="18:20" x14ac:dyDescent="0.3">
      <c r="R7878" s="255"/>
      <c r="S7878" s="255"/>
      <c r="T7878" s="255"/>
    </row>
    <row r="7879" spans="18:20" x14ac:dyDescent="0.3">
      <c r="R7879" s="255"/>
      <c r="S7879" s="255"/>
      <c r="T7879" s="255"/>
    </row>
    <row r="7880" spans="18:20" x14ac:dyDescent="0.3">
      <c r="R7880" s="255"/>
      <c r="S7880" s="255"/>
      <c r="T7880" s="255"/>
    </row>
    <row r="7881" spans="18:20" x14ac:dyDescent="0.3">
      <c r="R7881" s="255"/>
      <c r="S7881" s="255"/>
      <c r="T7881" s="255"/>
    </row>
    <row r="7882" spans="18:20" x14ac:dyDescent="0.3">
      <c r="R7882" s="255"/>
      <c r="S7882" s="255"/>
      <c r="T7882" s="255"/>
    </row>
    <row r="7883" spans="18:20" x14ac:dyDescent="0.3">
      <c r="R7883" s="255"/>
      <c r="S7883" s="255"/>
      <c r="T7883" s="255"/>
    </row>
    <row r="7884" spans="18:20" x14ac:dyDescent="0.3">
      <c r="R7884" s="255"/>
      <c r="S7884" s="255"/>
      <c r="T7884" s="255"/>
    </row>
    <row r="7885" spans="18:20" x14ac:dyDescent="0.3">
      <c r="R7885" s="255"/>
      <c r="S7885" s="255"/>
      <c r="T7885" s="255"/>
    </row>
    <row r="7886" spans="18:20" x14ac:dyDescent="0.3">
      <c r="R7886" s="255"/>
      <c r="S7886" s="255"/>
      <c r="T7886" s="255"/>
    </row>
    <row r="7887" spans="18:20" x14ac:dyDescent="0.3">
      <c r="R7887" s="255"/>
      <c r="S7887" s="255"/>
      <c r="T7887" s="255"/>
    </row>
    <row r="7888" spans="18:20" x14ac:dyDescent="0.3">
      <c r="R7888" s="255"/>
      <c r="S7888" s="255"/>
      <c r="T7888" s="255"/>
    </row>
    <row r="7889" spans="18:20" x14ac:dyDescent="0.3">
      <c r="R7889" s="255"/>
      <c r="S7889" s="255"/>
      <c r="T7889" s="255"/>
    </row>
    <row r="7890" spans="18:20" x14ac:dyDescent="0.3">
      <c r="R7890" s="255"/>
      <c r="S7890" s="255"/>
      <c r="T7890" s="255"/>
    </row>
    <row r="7891" spans="18:20" x14ac:dyDescent="0.3">
      <c r="R7891" s="255"/>
      <c r="S7891" s="255"/>
      <c r="T7891" s="255"/>
    </row>
    <row r="7892" spans="18:20" x14ac:dyDescent="0.3">
      <c r="R7892" s="255"/>
      <c r="S7892" s="255"/>
      <c r="T7892" s="255"/>
    </row>
    <row r="7893" spans="18:20" x14ac:dyDescent="0.3">
      <c r="R7893" s="255"/>
      <c r="S7893" s="255"/>
      <c r="T7893" s="255"/>
    </row>
    <row r="7894" spans="18:20" x14ac:dyDescent="0.3">
      <c r="R7894" s="255"/>
      <c r="S7894" s="255"/>
      <c r="T7894" s="255"/>
    </row>
    <row r="7895" spans="18:20" x14ac:dyDescent="0.3">
      <c r="R7895" s="255"/>
      <c r="S7895" s="255"/>
      <c r="T7895" s="255"/>
    </row>
    <row r="7896" spans="18:20" x14ac:dyDescent="0.3">
      <c r="R7896" s="255"/>
      <c r="S7896" s="255"/>
      <c r="T7896" s="255"/>
    </row>
    <row r="7897" spans="18:20" x14ac:dyDescent="0.3">
      <c r="R7897" s="255"/>
      <c r="S7897" s="255"/>
      <c r="T7897" s="255"/>
    </row>
    <row r="7898" spans="18:20" x14ac:dyDescent="0.3">
      <c r="R7898" s="255"/>
      <c r="S7898" s="255"/>
      <c r="T7898" s="255"/>
    </row>
    <row r="7899" spans="18:20" x14ac:dyDescent="0.3">
      <c r="R7899" s="255"/>
      <c r="S7899" s="255"/>
      <c r="T7899" s="255"/>
    </row>
    <row r="7900" spans="18:20" x14ac:dyDescent="0.3">
      <c r="R7900" s="255"/>
      <c r="S7900" s="255"/>
      <c r="T7900" s="255"/>
    </row>
    <row r="7901" spans="18:20" x14ac:dyDescent="0.3">
      <c r="R7901" s="255"/>
      <c r="S7901" s="255"/>
      <c r="T7901" s="255"/>
    </row>
    <row r="7902" spans="18:20" x14ac:dyDescent="0.3">
      <c r="R7902" s="255"/>
      <c r="S7902" s="255"/>
      <c r="T7902" s="255"/>
    </row>
    <row r="7903" spans="18:20" x14ac:dyDescent="0.3">
      <c r="R7903" s="255"/>
      <c r="S7903" s="255"/>
      <c r="T7903" s="255"/>
    </row>
    <row r="7904" spans="18:20" x14ac:dyDescent="0.3">
      <c r="R7904" s="255"/>
      <c r="S7904" s="255"/>
      <c r="T7904" s="255"/>
    </row>
    <row r="7905" spans="18:20" x14ac:dyDescent="0.3">
      <c r="R7905" s="255"/>
      <c r="S7905" s="255"/>
      <c r="T7905" s="255"/>
    </row>
    <row r="7906" spans="18:20" x14ac:dyDescent="0.3">
      <c r="R7906" s="255"/>
      <c r="S7906" s="255"/>
      <c r="T7906" s="255"/>
    </row>
    <row r="7907" spans="18:20" x14ac:dyDescent="0.3">
      <c r="R7907" s="255"/>
      <c r="S7907" s="255"/>
      <c r="T7907" s="255"/>
    </row>
    <row r="7908" spans="18:20" x14ac:dyDescent="0.3">
      <c r="R7908" s="255"/>
      <c r="S7908" s="255"/>
      <c r="T7908" s="255"/>
    </row>
    <row r="7909" spans="18:20" x14ac:dyDescent="0.3">
      <c r="R7909" s="255"/>
      <c r="S7909" s="255"/>
      <c r="T7909" s="255"/>
    </row>
    <row r="7910" spans="18:20" x14ac:dyDescent="0.3">
      <c r="R7910" s="255"/>
      <c r="S7910" s="255"/>
      <c r="T7910" s="255"/>
    </row>
    <row r="7911" spans="18:20" x14ac:dyDescent="0.3">
      <c r="R7911" s="255"/>
      <c r="S7911" s="255"/>
      <c r="T7911" s="255"/>
    </row>
    <row r="7912" spans="18:20" x14ac:dyDescent="0.3">
      <c r="R7912" s="255"/>
      <c r="S7912" s="255"/>
      <c r="T7912" s="255"/>
    </row>
    <row r="7913" spans="18:20" x14ac:dyDescent="0.3">
      <c r="R7913" s="255"/>
      <c r="S7913" s="255"/>
      <c r="T7913" s="255"/>
    </row>
    <row r="7914" spans="18:20" x14ac:dyDescent="0.3">
      <c r="R7914" s="255"/>
      <c r="S7914" s="255"/>
      <c r="T7914" s="255"/>
    </row>
    <row r="7915" spans="18:20" x14ac:dyDescent="0.3">
      <c r="R7915" s="255"/>
      <c r="S7915" s="255"/>
      <c r="T7915" s="255"/>
    </row>
    <row r="7916" spans="18:20" x14ac:dyDescent="0.3">
      <c r="R7916" s="255"/>
      <c r="S7916" s="255"/>
      <c r="T7916" s="255"/>
    </row>
    <row r="7917" spans="18:20" x14ac:dyDescent="0.3">
      <c r="R7917" s="255"/>
      <c r="S7917" s="255"/>
      <c r="T7917" s="255"/>
    </row>
    <row r="7918" spans="18:20" x14ac:dyDescent="0.3">
      <c r="R7918" s="255"/>
      <c r="S7918" s="255"/>
      <c r="T7918" s="255"/>
    </row>
    <row r="7919" spans="18:20" x14ac:dyDescent="0.3">
      <c r="R7919" s="255"/>
      <c r="S7919" s="255"/>
      <c r="T7919" s="255"/>
    </row>
    <row r="7920" spans="18:20" x14ac:dyDescent="0.3">
      <c r="R7920" s="255"/>
      <c r="S7920" s="255"/>
      <c r="T7920" s="255"/>
    </row>
    <row r="7921" spans="18:20" x14ac:dyDescent="0.3">
      <c r="R7921" s="255"/>
      <c r="S7921" s="255"/>
      <c r="T7921" s="255"/>
    </row>
    <row r="7922" spans="18:20" x14ac:dyDescent="0.3">
      <c r="R7922" s="255"/>
      <c r="S7922" s="255"/>
      <c r="T7922" s="255"/>
    </row>
    <row r="7923" spans="18:20" x14ac:dyDescent="0.3">
      <c r="R7923" s="255"/>
      <c r="S7923" s="255"/>
      <c r="T7923" s="255"/>
    </row>
    <row r="7924" spans="18:20" x14ac:dyDescent="0.3">
      <c r="R7924" s="255"/>
      <c r="S7924" s="255"/>
      <c r="T7924" s="255"/>
    </row>
    <row r="7925" spans="18:20" x14ac:dyDescent="0.3">
      <c r="R7925" s="255"/>
      <c r="S7925" s="255"/>
      <c r="T7925" s="255"/>
    </row>
    <row r="7926" spans="18:20" x14ac:dyDescent="0.3">
      <c r="R7926" s="255"/>
      <c r="S7926" s="255"/>
      <c r="T7926" s="255"/>
    </row>
    <row r="7927" spans="18:20" x14ac:dyDescent="0.3">
      <c r="R7927" s="255"/>
      <c r="S7927" s="255"/>
      <c r="T7927" s="255"/>
    </row>
    <row r="7928" spans="18:20" x14ac:dyDescent="0.3">
      <c r="R7928" s="255"/>
      <c r="S7928" s="255"/>
      <c r="T7928" s="255"/>
    </row>
    <row r="7929" spans="18:20" x14ac:dyDescent="0.3">
      <c r="R7929" s="255"/>
      <c r="S7929" s="255"/>
      <c r="T7929" s="255"/>
    </row>
    <row r="7930" spans="18:20" x14ac:dyDescent="0.3">
      <c r="R7930" s="255"/>
      <c r="S7930" s="255"/>
      <c r="T7930" s="255"/>
    </row>
    <row r="7931" spans="18:20" x14ac:dyDescent="0.3">
      <c r="R7931" s="255"/>
      <c r="S7931" s="255"/>
      <c r="T7931" s="255"/>
    </row>
    <row r="7932" spans="18:20" x14ac:dyDescent="0.3">
      <c r="R7932" s="255"/>
      <c r="S7932" s="255"/>
      <c r="T7932" s="255"/>
    </row>
    <row r="7933" spans="18:20" x14ac:dyDescent="0.3">
      <c r="R7933" s="255"/>
      <c r="S7933" s="255"/>
      <c r="T7933" s="255"/>
    </row>
    <row r="7934" spans="18:20" x14ac:dyDescent="0.3">
      <c r="R7934" s="255"/>
      <c r="S7934" s="255"/>
      <c r="T7934" s="255"/>
    </row>
    <row r="7935" spans="18:20" x14ac:dyDescent="0.3">
      <c r="R7935" s="255"/>
      <c r="S7935" s="255"/>
      <c r="T7935" s="255"/>
    </row>
    <row r="7936" spans="18:20" x14ac:dyDescent="0.3">
      <c r="R7936" s="255"/>
      <c r="S7936" s="255"/>
      <c r="T7936" s="255"/>
    </row>
    <row r="7937" spans="18:20" x14ac:dyDescent="0.3">
      <c r="R7937" s="255"/>
      <c r="S7937" s="255"/>
      <c r="T7937" s="255"/>
    </row>
    <row r="7938" spans="18:20" x14ac:dyDescent="0.3">
      <c r="R7938" s="255"/>
      <c r="S7938" s="255"/>
      <c r="T7938" s="255"/>
    </row>
    <row r="7939" spans="18:20" x14ac:dyDescent="0.3">
      <c r="R7939" s="255"/>
      <c r="S7939" s="255"/>
      <c r="T7939" s="255"/>
    </row>
    <row r="7940" spans="18:20" x14ac:dyDescent="0.3">
      <c r="R7940" s="255"/>
      <c r="S7940" s="255"/>
      <c r="T7940" s="255"/>
    </row>
    <row r="7941" spans="18:20" x14ac:dyDescent="0.3">
      <c r="R7941" s="255"/>
      <c r="S7941" s="255"/>
      <c r="T7941" s="255"/>
    </row>
    <row r="7942" spans="18:20" x14ac:dyDescent="0.3">
      <c r="R7942" s="255"/>
      <c r="S7942" s="255"/>
      <c r="T7942" s="255"/>
    </row>
    <row r="7943" spans="18:20" x14ac:dyDescent="0.3">
      <c r="R7943" s="255"/>
      <c r="S7943" s="255"/>
      <c r="T7943" s="255"/>
    </row>
    <row r="7944" spans="18:20" x14ac:dyDescent="0.3">
      <c r="R7944" s="255"/>
      <c r="S7944" s="255"/>
      <c r="T7944" s="255"/>
    </row>
    <row r="7945" spans="18:20" x14ac:dyDescent="0.3">
      <c r="R7945" s="255"/>
      <c r="S7945" s="255"/>
      <c r="T7945" s="255"/>
    </row>
    <row r="7946" spans="18:20" x14ac:dyDescent="0.3">
      <c r="R7946" s="255"/>
      <c r="S7946" s="255"/>
      <c r="T7946" s="255"/>
    </row>
    <row r="7947" spans="18:20" x14ac:dyDescent="0.3">
      <c r="R7947" s="255"/>
      <c r="S7947" s="255"/>
      <c r="T7947" s="255"/>
    </row>
    <row r="7948" spans="18:20" x14ac:dyDescent="0.3">
      <c r="R7948" s="255"/>
      <c r="S7948" s="255"/>
      <c r="T7948" s="255"/>
    </row>
    <row r="7949" spans="18:20" x14ac:dyDescent="0.3">
      <c r="R7949" s="255"/>
      <c r="S7949" s="255"/>
      <c r="T7949" s="255"/>
    </row>
    <row r="7950" spans="18:20" x14ac:dyDescent="0.3">
      <c r="R7950" s="255"/>
      <c r="S7950" s="255"/>
      <c r="T7950" s="255"/>
    </row>
    <row r="7951" spans="18:20" x14ac:dyDescent="0.3">
      <c r="R7951" s="255"/>
      <c r="S7951" s="255"/>
      <c r="T7951" s="255"/>
    </row>
    <row r="7952" spans="18:20" x14ac:dyDescent="0.3">
      <c r="R7952" s="255"/>
      <c r="S7952" s="255"/>
      <c r="T7952" s="255"/>
    </row>
    <row r="7953" spans="18:20" x14ac:dyDescent="0.3">
      <c r="R7953" s="255"/>
      <c r="S7953" s="255"/>
      <c r="T7953" s="255"/>
    </row>
    <row r="7954" spans="18:20" x14ac:dyDescent="0.3">
      <c r="R7954" s="255"/>
      <c r="S7954" s="255"/>
      <c r="T7954" s="255"/>
    </row>
    <row r="7955" spans="18:20" x14ac:dyDescent="0.3">
      <c r="R7955" s="255"/>
      <c r="S7955" s="255"/>
      <c r="T7955" s="255"/>
    </row>
    <row r="7956" spans="18:20" x14ac:dyDescent="0.3">
      <c r="R7956" s="255"/>
      <c r="S7956" s="255"/>
      <c r="T7956" s="255"/>
    </row>
    <row r="7957" spans="18:20" x14ac:dyDescent="0.3">
      <c r="R7957" s="255"/>
      <c r="S7957" s="255"/>
      <c r="T7957" s="255"/>
    </row>
    <row r="7958" spans="18:20" x14ac:dyDescent="0.3">
      <c r="R7958" s="255"/>
      <c r="S7958" s="255"/>
      <c r="T7958" s="255"/>
    </row>
    <row r="7959" spans="18:20" x14ac:dyDescent="0.3">
      <c r="R7959" s="255"/>
      <c r="S7959" s="255"/>
      <c r="T7959" s="255"/>
    </row>
    <row r="7960" spans="18:20" x14ac:dyDescent="0.3">
      <c r="R7960" s="255"/>
      <c r="S7960" s="255"/>
      <c r="T7960" s="255"/>
    </row>
    <row r="7961" spans="18:20" x14ac:dyDescent="0.3">
      <c r="R7961" s="255"/>
      <c r="S7961" s="255"/>
      <c r="T7961" s="255"/>
    </row>
    <row r="7962" spans="18:20" x14ac:dyDescent="0.3">
      <c r="R7962" s="255"/>
      <c r="S7962" s="255"/>
      <c r="T7962" s="255"/>
    </row>
    <row r="7963" spans="18:20" x14ac:dyDescent="0.3">
      <c r="R7963" s="255"/>
      <c r="S7963" s="255"/>
      <c r="T7963" s="255"/>
    </row>
    <row r="7964" spans="18:20" x14ac:dyDescent="0.3">
      <c r="R7964" s="255"/>
      <c r="S7964" s="255"/>
      <c r="T7964" s="255"/>
    </row>
    <row r="7965" spans="18:20" x14ac:dyDescent="0.3">
      <c r="R7965" s="255"/>
      <c r="S7965" s="255"/>
      <c r="T7965" s="255"/>
    </row>
    <row r="7966" spans="18:20" x14ac:dyDescent="0.3">
      <c r="R7966" s="255"/>
      <c r="S7966" s="255"/>
      <c r="T7966" s="255"/>
    </row>
    <row r="7967" spans="18:20" x14ac:dyDescent="0.3">
      <c r="R7967" s="255"/>
      <c r="S7967" s="255"/>
      <c r="T7967" s="255"/>
    </row>
    <row r="7968" spans="18:20" x14ac:dyDescent="0.3">
      <c r="R7968" s="255"/>
      <c r="S7968" s="255"/>
      <c r="T7968" s="255"/>
    </row>
    <row r="7969" spans="18:20" x14ac:dyDescent="0.3">
      <c r="R7969" s="255"/>
      <c r="S7969" s="255"/>
      <c r="T7969" s="255"/>
    </row>
    <row r="7970" spans="18:20" x14ac:dyDescent="0.3">
      <c r="R7970" s="255"/>
      <c r="S7970" s="255"/>
      <c r="T7970" s="255"/>
    </row>
    <row r="7971" spans="18:20" x14ac:dyDescent="0.3">
      <c r="R7971" s="255"/>
      <c r="S7971" s="255"/>
      <c r="T7971" s="255"/>
    </row>
    <row r="7972" spans="18:20" x14ac:dyDescent="0.3">
      <c r="R7972" s="255"/>
      <c r="S7972" s="255"/>
      <c r="T7972" s="255"/>
    </row>
    <row r="7973" spans="18:20" x14ac:dyDescent="0.3">
      <c r="R7973" s="255"/>
      <c r="S7973" s="255"/>
      <c r="T7973" s="255"/>
    </row>
    <row r="7974" spans="18:20" x14ac:dyDescent="0.3">
      <c r="R7974" s="255"/>
      <c r="S7974" s="255"/>
      <c r="T7974" s="255"/>
    </row>
    <row r="7975" spans="18:20" x14ac:dyDescent="0.3">
      <c r="R7975" s="255"/>
      <c r="S7975" s="255"/>
      <c r="T7975" s="255"/>
    </row>
    <row r="7976" spans="18:20" x14ac:dyDescent="0.3">
      <c r="R7976" s="255"/>
      <c r="S7976" s="255"/>
      <c r="T7976" s="255"/>
    </row>
    <row r="7977" spans="18:20" x14ac:dyDescent="0.3">
      <c r="R7977" s="255"/>
      <c r="S7977" s="255"/>
      <c r="T7977" s="255"/>
    </row>
    <row r="7978" spans="18:20" x14ac:dyDescent="0.3">
      <c r="R7978" s="255"/>
      <c r="S7978" s="255"/>
      <c r="T7978" s="255"/>
    </row>
    <row r="7979" spans="18:20" x14ac:dyDescent="0.3">
      <c r="R7979" s="255"/>
      <c r="S7979" s="255"/>
      <c r="T7979" s="255"/>
    </row>
    <row r="7980" spans="18:20" x14ac:dyDescent="0.3">
      <c r="R7980" s="255"/>
      <c r="S7980" s="255"/>
      <c r="T7980" s="255"/>
    </row>
    <row r="7981" spans="18:20" x14ac:dyDescent="0.3">
      <c r="R7981" s="255"/>
      <c r="S7981" s="255"/>
      <c r="T7981" s="255"/>
    </row>
    <row r="7982" spans="18:20" x14ac:dyDescent="0.3">
      <c r="R7982" s="255"/>
      <c r="S7982" s="255"/>
      <c r="T7982" s="255"/>
    </row>
    <row r="7983" spans="18:20" x14ac:dyDescent="0.3">
      <c r="R7983" s="255"/>
      <c r="S7983" s="255"/>
      <c r="T7983" s="255"/>
    </row>
    <row r="7984" spans="18:20" x14ac:dyDescent="0.3">
      <c r="R7984" s="255"/>
      <c r="S7984" s="255"/>
      <c r="T7984" s="255"/>
    </row>
    <row r="7985" spans="18:20" x14ac:dyDescent="0.3">
      <c r="R7985" s="255"/>
      <c r="S7985" s="255"/>
      <c r="T7985" s="255"/>
    </row>
    <row r="7986" spans="18:20" x14ac:dyDescent="0.3">
      <c r="R7986" s="255"/>
      <c r="S7986" s="255"/>
      <c r="T7986" s="255"/>
    </row>
    <row r="7987" spans="18:20" x14ac:dyDescent="0.3">
      <c r="R7987" s="255"/>
      <c r="S7987" s="255"/>
      <c r="T7987" s="255"/>
    </row>
    <row r="7988" spans="18:20" x14ac:dyDescent="0.3">
      <c r="R7988" s="255"/>
      <c r="S7988" s="255"/>
      <c r="T7988" s="255"/>
    </row>
    <row r="7989" spans="18:20" x14ac:dyDescent="0.3">
      <c r="R7989" s="255"/>
      <c r="S7989" s="255"/>
      <c r="T7989" s="255"/>
    </row>
    <row r="7990" spans="18:20" x14ac:dyDescent="0.3">
      <c r="R7990" s="255"/>
      <c r="S7990" s="255"/>
      <c r="T7990" s="255"/>
    </row>
    <row r="7991" spans="18:20" x14ac:dyDescent="0.3">
      <c r="R7991" s="255"/>
      <c r="S7991" s="255"/>
      <c r="T7991" s="255"/>
    </row>
    <row r="7992" spans="18:20" x14ac:dyDescent="0.3">
      <c r="R7992" s="255"/>
      <c r="S7992" s="255"/>
      <c r="T7992" s="255"/>
    </row>
    <row r="7993" spans="18:20" x14ac:dyDescent="0.3">
      <c r="R7993" s="255"/>
      <c r="S7993" s="255"/>
      <c r="T7993" s="255"/>
    </row>
    <row r="7994" spans="18:20" x14ac:dyDescent="0.3">
      <c r="R7994" s="255"/>
      <c r="S7994" s="255"/>
      <c r="T7994" s="255"/>
    </row>
    <row r="7995" spans="18:20" x14ac:dyDescent="0.3">
      <c r="R7995" s="255"/>
      <c r="S7995" s="255"/>
      <c r="T7995" s="255"/>
    </row>
    <row r="7996" spans="18:20" x14ac:dyDescent="0.3">
      <c r="R7996" s="255"/>
      <c r="S7996" s="255"/>
      <c r="T7996" s="255"/>
    </row>
    <row r="7997" spans="18:20" x14ac:dyDescent="0.3">
      <c r="R7997" s="255"/>
      <c r="S7997" s="255"/>
      <c r="T7997" s="255"/>
    </row>
    <row r="7998" spans="18:20" x14ac:dyDescent="0.3">
      <c r="R7998" s="255"/>
      <c r="S7998" s="255"/>
      <c r="T7998" s="255"/>
    </row>
    <row r="7999" spans="18:20" x14ac:dyDescent="0.3">
      <c r="R7999" s="255"/>
      <c r="S7999" s="255"/>
      <c r="T7999" s="255"/>
    </row>
    <row r="8000" spans="18:20" x14ac:dyDescent="0.3">
      <c r="R8000" s="255"/>
      <c r="S8000" s="255"/>
      <c r="T8000" s="255"/>
    </row>
    <row r="8001" spans="18:20" x14ac:dyDescent="0.3">
      <c r="R8001" s="255"/>
      <c r="S8001" s="255"/>
      <c r="T8001" s="255"/>
    </row>
    <row r="8002" spans="18:20" x14ac:dyDescent="0.3">
      <c r="R8002" s="255"/>
      <c r="S8002" s="255"/>
      <c r="T8002" s="255"/>
    </row>
    <row r="8003" spans="18:20" x14ac:dyDescent="0.3">
      <c r="R8003" s="255"/>
      <c r="S8003" s="255"/>
      <c r="T8003" s="255"/>
    </row>
    <row r="8004" spans="18:20" x14ac:dyDescent="0.3">
      <c r="R8004" s="255"/>
      <c r="S8004" s="255"/>
      <c r="T8004" s="255"/>
    </row>
    <row r="8005" spans="18:20" x14ac:dyDescent="0.3">
      <c r="R8005" s="255"/>
      <c r="S8005" s="255"/>
      <c r="T8005" s="255"/>
    </row>
    <row r="8006" spans="18:20" x14ac:dyDescent="0.3">
      <c r="R8006" s="255"/>
      <c r="S8006" s="255"/>
      <c r="T8006" s="255"/>
    </row>
    <row r="8007" spans="18:20" x14ac:dyDescent="0.3">
      <c r="R8007" s="255"/>
      <c r="S8007" s="255"/>
      <c r="T8007" s="255"/>
    </row>
    <row r="8008" spans="18:20" x14ac:dyDescent="0.3">
      <c r="R8008" s="255"/>
      <c r="S8008" s="255"/>
      <c r="T8008" s="255"/>
    </row>
    <row r="8009" spans="18:20" x14ac:dyDescent="0.3">
      <c r="R8009" s="255"/>
      <c r="S8009" s="255"/>
      <c r="T8009" s="255"/>
    </row>
    <row r="8010" spans="18:20" x14ac:dyDescent="0.3">
      <c r="R8010" s="255"/>
      <c r="S8010" s="255"/>
      <c r="T8010" s="255"/>
    </row>
    <row r="8011" spans="18:20" x14ac:dyDescent="0.3">
      <c r="R8011" s="255"/>
      <c r="S8011" s="255"/>
      <c r="T8011" s="255"/>
    </row>
    <row r="8012" spans="18:20" x14ac:dyDescent="0.3">
      <c r="R8012" s="255"/>
      <c r="S8012" s="255"/>
      <c r="T8012" s="255"/>
    </row>
    <row r="8013" spans="18:20" x14ac:dyDescent="0.3">
      <c r="R8013" s="255"/>
      <c r="S8013" s="255"/>
      <c r="T8013" s="255"/>
    </row>
    <row r="8014" spans="18:20" x14ac:dyDescent="0.3">
      <c r="R8014" s="255"/>
      <c r="S8014" s="255"/>
      <c r="T8014" s="255"/>
    </row>
    <row r="8015" spans="18:20" x14ac:dyDescent="0.3">
      <c r="R8015" s="255"/>
      <c r="S8015" s="255"/>
      <c r="T8015" s="255"/>
    </row>
    <row r="8016" spans="18:20" x14ac:dyDescent="0.3">
      <c r="R8016" s="255"/>
      <c r="S8016" s="255"/>
      <c r="T8016" s="255"/>
    </row>
    <row r="8017" spans="18:20" x14ac:dyDescent="0.3">
      <c r="R8017" s="255"/>
      <c r="S8017" s="255"/>
      <c r="T8017" s="255"/>
    </row>
    <row r="8018" spans="18:20" x14ac:dyDescent="0.3">
      <c r="R8018" s="255"/>
      <c r="S8018" s="255"/>
      <c r="T8018" s="255"/>
    </row>
    <row r="8019" spans="18:20" x14ac:dyDescent="0.3">
      <c r="R8019" s="255"/>
      <c r="S8019" s="255"/>
      <c r="T8019" s="255"/>
    </row>
    <row r="8020" spans="18:20" x14ac:dyDescent="0.3">
      <c r="R8020" s="255"/>
      <c r="S8020" s="255"/>
      <c r="T8020" s="255"/>
    </row>
    <row r="8021" spans="18:20" x14ac:dyDescent="0.3">
      <c r="R8021" s="255"/>
      <c r="S8021" s="255"/>
      <c r="T8021" s="255"/>
    </row>
    <row r="8022" spans="18:20" x14ac:dyDescent="0.3">
      <c r="R8022" s="255"/>
      <c r="S8022" s="255"/>
      <c r="T8022" s="255"/>
    </row>
    <row r="8023" spans="18:20" x14ac:dyDescent="0.3">
      <c r="R8023" s="255"/>
      <c r="S8023" s="255"/>
      <c r="T8023" s="255"/>
    </row>
    <row r="8024" spans="18:20" x14ac:dyDescent="0.3">
      <c r="R8024" s="255"/>
      <c r="S8024" s="255"/>
      <c r="T8024" s="255"/>
    </row>
    <row r="8025" spans="18:20" x14ac:dyDescent="0.3">
      <c r="R8025" s="255"/>
      <c r="S8025" s="255"/>
      <c r="T8025" s="255"/>
    </row>
    <row r="8026" spans="18:20" x14ac:dyDescent="0.3">
      <c r="R8026" s="255"/>
      <c r="S8026" s="255"/>
      <c r="T8026" s="255"/>
    </row>
    <row r="8027" spans="18:20" x14ac:dyDescent="0.3">
      <c r="R8027" s="255"/>
      <c r="S8027" s="255"/>
      <c r="T8027" s="255"/>
    </row>
    <row r="8028" spans="18:20" x14ac:dyDescent="0.3">
      <c r="R8028" s="255"/>
      <c r="S8028" s="255"/>
      <c r="T8028" s="255"/>
    </row>
    <row r="8029" spans="18:20" x14ac:dyDescent="0.3">
      <c r="R8029" s="255"/>
      <c r="S8029" s="255"/>
      <c r="T8029" s="255"/>
    </row>
    <row r="8030" spans="18:20" x14ac:dyDescent="0.3">
      <c r="R8030" s="255"/>
      <c r="S8030" s="255"/>
      <c r="T8030" s="255"/>
    </row>
    <row r="8031" spans="18:20" x14ac:dyDescent="0.3">
      <c r="R8031" s="255"/>
      <c r="S8031" s="255"/>
      <c r="T8031" s="255"/>
    </row>
    <row r="8032" spans="18:20" x14ac:dyDescent="0.3">
      <c r="R8032" s="255"/>
      <c r="S8032" s="255"/>
      <c r="T8032" s="255"/>
    </row>
    <row r="8033" spans="18:20" x14ac:dyDescent="0.3">
      <c r="R8033" s="255"/>
      <c r="S8033" s="255"/>
      <c r="T8033" s="255"/>
    </row>
    <row r="8034" spans="18:20" x14ac:dyDescent="0.3">
      <c r="R8034" s="255"/>
      <c r="S8034" s="255"/>
      <c r="T8034" s="255"/>
    </row>
    <row r="8035" spans="18:20" x14ac:dyDescent="0.3">
      <c r="R8035" s="255"/>
      <c r="S8035" s="255"/>
      <c r="T8035" s="255"/>
    </row>
    <row r="8036" spans="18:20" x14ac:dyDescent="0.3">
      <c r="R8036" s="255"/>
      <c r="S8036" s="255"/>
      <c r="T8036" s="255"/>
    </row>
    <row r="8037" spans="18:20" x14ac:dyDescent="0.3">
      <c r="R8037" s="255"/>
      <c r="S8037" s="255"/>
      <c r="T8037" s="255"/>
    </row>
    <row r="8038" spans="18:20" x14ac:dyDescent="0.3">
      <c r="R8038" s="255"/>
      <c r="S8038" s="255"/>
      <c r="T8038" s="255"/>
    </row>
    <row r="8039" spans="18:20" x14ac:dyDescent="0.3">
      <c r="R8039" s="255"/>
      <c r="S8039" s="255"/>
      <c r="T8039" s="255"/>
    </row>
    <row r="8040" spans="18:20" x14ac:dyDescent="0.3">
      <c r="R8040" s="255"/>
      <c r="S8040" s="255"/>
      <c r="T8040" s="255"/>
    </row>
    <row r="8041" spans="18:20" x14ac:dyDescent="0.3">
      <c r="R8041" s="255"/>
      <c r="S8041" s="255"/>
      <c r="T8041" s="255"/>
    </row>
    <row r="8042" spans="18:20" x14ac:dyDescent="0.3">
      <c r="R8042" s="255"/>
      <c r="S8042" s="255"/>
      <c r="T8042" s="255"/>
    </row>
    <row r="8043" spans="18:20" x14ac:dyDescent="0.3">
      <c r="R8043" s="255"/>
      <c r="S8043" s="255"/>
      <c r="T8043" s="255"/>
    </row>
    <row r="8044" spans="18:20" x14ac:dyDescent="0.3">
      <c r="R8044" s="255"/>
      <c r="S8044" s="255"/>
      <c r="T8044" s="255"/>
    </row>
    <row r="8045" spans="18:20" x14ac:dyDescent="0.3">
      <c r="R8045" s="255"/>
      <c r="S8045" s="255"/>
      <c r="T8045" s="255"/>
    </row>
    <row r="8046" spans="18:20" x14ac:dyDescent="0.3">
      <c r="R8046" s="255"/>
      <c r="S8046" s="255"/>
      <c r="T8046" s="255"/>
    </row>
    <row r="8047" spans="18:20" x14ac:dyDescent="0.3">
      <c r="R8047" s="255"/>
      <c r="S8047" s="255"/>
      <c r="T8047" s="255"/>
    </row>
    <row r="8048" spans="18:20" x14ac:dyDescent="0.3">
      <c r="R8048" s="255"/>
      <c r="S8048" s="255"/>
      <c r="T8048" s="255"/>
    </row>
    <row r="8049" spans="18:20" x14ac:dyDescent="0.3">
      <c r="R8049" s="255"/>
      <c r="S8049" s="255"/>
      <c r="T8049" s="255"/>
    </row>
    <row r="8050" spans="18:20" x14ac:dyDescent="0.3">
      <c r="R8050" s="255"/>
      <c r="S8050" s="255"/>
      <c r="T8050" s="255"/>
    </row>
    <row r="8051" spans="18:20" x14ac:dyDescent="0.3">
      <c r="R8051" s="255"/>
      <c r="S8051" s="255"/>
      <c r="T8051" s="255"/>
    </row>
    <row r="8052" spans="18:20" x14ac:dyDescent="0.3">
      <c r="R8052" s="255"/>
      <c r="S8052" s="255"/>
      <c r="T8052" s="255"/>
    </row>
    <row r="8053" spans="18:20" x14ac:dyDescent="0.3">
      <c r="R8053" s="255"/>
      <c r="S8053" s="255"/>
      <c r="T8053" s="255"/>
    </row>
    <row r="8054" spans="18:20" x14ac:dyDescent="0.3">
      <c r="R8054" s="255"/>
      <c r="S8054" s="255"/>
      <c r="T8054" s="255"/>
    </row>
    <row r="8055" spans="18:20" x14ac:dyDescent="0.3">
      <c r="R8055" s="255"/>
      <c r="S8055" s="255"/>
      <c r="T8055" s="255"/>
    </row>
    <row r="8056" spans="18:20" x14ac:dyDescent="0.3">
      <c r="R8056" s="255"/>
      <c r="S8056" s="255"/>
      <c r="T8056" s="255"/>
    </row>
    <row r="8057" spans="18:20" x14ac:dyDescent="0.3">
      <c r="R8057" s="255"/>
      <c r="S8057" s="255"/>
      <c r="T8057" s="255"/>
    </row>
    <row r="8058" spans="18:20" x14ac:dyDescent="0.3">
      <c r="R8058" s="255"/>
      <c r="S8058" s="255"/>
      <c r="T8058" s="255"/>
    </row>
    <row r="8059" spans="18:20" x14ac:dyDescent="0.3">
      <c r="R8059" s="255"/>
      <c r="S8059" s="255"/>
      <c r="T8059" s="255"/>
    </row>
    <row r="8060" spans="18:20" x14ac:dyDescent="0.3">
      <c r="R8060" s="255"/>
      <c r="S8060" s="255"/>
      <c r="T8060" s="255"/>
    </row>
    <row r="8061" spans="18:20" x14ac:dyDescent="0.3">
      <c r="R8061" s="255"/>
      <c r="S8061" s="255"/>
      <c r="T8061" s="255"/>
    </row>
    <row r="8062" spans="18:20" x14ac:dyDescent="0.3">
      <c r="R8062" s="255"/>
      <c r="S8062" s="255"/>
      <c r="T8062" s="255"/>
    </row>
    <row r="8063" spans="18:20" x14ac:dyDescent="0.3">
      <c r="R8063" s="255"/>
      <c r="S8063" s="255"/>
      <c r="T8063" s="255"/>
    </row>
    <row r="8064" spans="18:20" x14ac:dyDescent="0.3">
      <c r="R8064" s="255"/>
      <c r="S8064" s="255"/>
      <c r="T8064" s="255"/>
    </row>
    <row r="8065" spans="18:20" x14ac:dyDescent="0.3">
      <c r="R8065" s="255"/>
      <c r="S8065" s="255"/>
      <c r="T8065" s="255"/>
    </row>
    <row r="8066" spans="18:20" x14ac:dyDescent="0.3">
      <c r="R8066" s="255"/>
      <c r="S8066" s="255"/>
      <c r="T8066" s="255"/>
    </row>
    <row r="8067" spans="18:20" x14ac:dyDescent="0.3">
      <c r="R8067" s="255"/>
      <c r="S8067" s="255"/>
      <c r="T8067" s="255"/>
    </row>
    <row r="8068" spans="18:20" x14ac:dyDescent="0.3">
      <c r="R8068" s="255"/>
      <c r="S8068" s="255"/>
      <c r="T8068" s="255"/>
    </row>
    <row r="8069" spans="18:20" x14ac:dyDescent="0.3">
      <c r="R8069" s="255"/>
      <c r="S8069" s="255"/>
      <c r="T8069" s="255"/>
    </row>
    <row r="8070" spans="18:20" x14ac:dyDescent="0.3">
      <c r="R8070" s="255"/>
      <c r="S8070" s="255"/>
      <c r="T8070" s="255"/>
    </row>
    <row r="8071" spans="18:20" x14ac:dyDescent="0.3">
      <c r="R8071" s="255"/>
      <c r="S8071" s="255"/>
      <c r="T8071" s="255"/>
    </row>
    <row r="8072" spans="18:20" x14ac:dyDescent="0.3">
      <c r="R8072" s="255"/>
      <c r="S8072" s="255"/>
      <c r="T8072" s="255"/>
    </row>
    <row r="8073" spans="18:20" x14ac:dyDescent="0.3">
      <c r="R8073" s="255"/>
      <c r="S8073" s="255"/>
      <c r="T8073" s="255"/>
    </row>
    <row r="8074" spans="18:20" x14ac:dyDescent="0.3">
      <c r="R8074" s="255"/>
      <c r="S8074" s="255"/>
      <c r="T8074" s="255"/>
    </row>
    <row r="8075" spans="18:20" x14ac:dyDescent="0.3">
      <c r="R8075" s="255"/>
      <c r="S8075" s="255"/>
      <c r="T8075" s="255"/>
    </row>
    <row r="8076" spans="18:20" x14ac:dyDescent="0.3">
      <c r="R8076" s="255"/>
      <c r="S8076" s="255"/>
      <c r="T8076" s="255"/>
    </row>
    <row r="8077" spans="18:20" x14ac:dyDescent="0.3">
      <c r="R8077" s="255"/>
      <c r="S8077" s="255"/>
      <c r="T8077" s="255"/>
    </row>
    <row r="8078" spans="18:20" x14ac:dyDescent="0.3">
      <c r="R8078" s="255"/>
      <c r="S8078" s="255"/>
      <c r="T8078" s="255"/>
    </row>
    <row r="8079" spans="18:20" x14ac:dyDescent="0.3">
      <c r="R8079" s="255"/>
      <c r="S8079" s="255"/>
      <c r="T8079" s="255"/>
    </row>
    <row r="8080" spans="18:20" x14ac:dyDescent="0.3">
      <c r="R8080" s="255"/>
      <c r="S8080" s="255"/>
      <c r="T8080" s="255"/>
    </row>
    <row r="8081" spans="18:20" x14ac:dyDescent="0.3">
      <c r="R8081" s="255"/>
      <c r="S8081" s="255"/>
      <c r="T8081" s="255"/>
    </row>
    <row r="8082" spans="18:20" x14ac:dyDescent="0.3">
      <c r="R8082" s="255"/>
      <c r="S8082" s="255"/>
      <c r="T8082" s="255"/>
    </row>
    <row r="8083" spans="18:20" x14ac:dyDescent="0.3">
      <c r="R8083" s="255"/>
      <c r="S8083" s="255"/>
      <c r="T8083" s="255"/>
    </row>
    <row r="8084" spans="18:20" x14ac:dyDescent="0.3">
      <c r="R8084" s="255"/>
      <c r="S8084" s="255"/>
      <c r="T8084" s="255"/>
    </row>
    <row r="8085" spans="18:20" x14ac:dyDescent="0.3">
      <c r="R8085" s="255"/>
      <c r="S8085" s="255"/>
      <c r="T8085" s="255"/>
    </row>
    <row r="8086" spans="18:20" x14ac:dyDescent="0.3">
      <c r="R8086" s="255"/>
      <c r="S8086" s="255"/>
      <c r="T8086" s="255"/>
    </row>
    <row r="8087" spans="18:20" x14ac:dyDescent="0.3">
      <c r="R8087" s="255"/>
      <c r="S8087" s="255"/>
      <c r="T8087" s="255"/>
    </row>
    <row r="8088" spans="18:20" x14ac:dyDescent="0.3">
      <c r="R8088" s="255"/>
      <c r="S8088" s="255"/>
      <c r="T8088" s="255"/>
    </row>
    <row r="8089" spans="18:20" x14ac:dyDescent="0.3">
      <c r="R8089" s="255"/>
      <c r="S8089" s="255"/>
      <c r="T8089" s="255"/>
    </row>
    <row r="8090" spans="18:20" x14ac:dyDescent="0.3">
      <c r="R8090" s="255"/>
      <c r="S8090" s="255"/>
      <c r="T8090" s="255"/>
    </row>
    <row r="8091" spans="18:20" x14ac:dyDescent="0.3">
      <c r="R8091" s="255"/>
      <c r="S8091" s="255"/>
      <c r="T8091" s="255"/>
    </row>
    <row r="8092" spans="18:20" x14ac:dyDescent="0.3">
      <c r="R8092" s="255"/>
      <c r="S8092" s="255"/>
      <c r="T8092" s="255"/>
    </row>
    <row r="8093" spans="18:20" x14ac:dyDescent="0.3">
      <c r="R8093" s="255"/>
      <c r="S8093" s="255"/>
      <c r="T8093" s="255"/>
    </row>
    <row r="8094" spans="18:20" x14ac:dyDescent="0.3">
      <c r="R8094" s="255"/>
      <c r="S8094" s="255"/>
      <c r="T8094" s="255"/>
    </row>
    <row r="8095" spans="18:20" x14ac:dyDescent="0.3">
      <c r="R8095" s="255"/>
      <c r="S8095" s="255"/>
      <c r="T8095" s="255"/>
    </row>
    <row r="8096" spans="18:20" x14ac:dyDescent="0.3">
      <c r="R8096" s="255"/>
      <c r="S8096" s="255"/>
      <c r="T8096" s="255"/>
    </row>
    <row r="8097" spans="18:20" x14ac:dyDescent="0.3">
      <c r="R8097" s="255"/>
      <c r="S8097" s="255"/>
      <c r="T8097" s="255"/>
    </row>
    <row r="8098" spans="18:20" x14ac:dyDescent="0.3">
      <c r="R8098" s="255"/>
      <c r="S8098" s="255"/>
      <c r="T8098" s="255"/>
    </row>
    <row r="8099" spans="18:20" x14ac:dyDescent="0.3">
      <c r="R8099" s="255"/>
      <c r="S8099" s="255"/>
      <c r="T8099" s="255"/>
    </row>
    <row r="8100" spans="18:20" x14ac:dyDescent="0.3">
      <c r="R8100" s="255"/>
      <c r="S8100" s="255"/>
      <c r="T8100" s="255"/>
    </row>
    <row r="8101" spans="18:20" x14ac:dyDescent="0.3">
      <c r="R8101" s="255"/>
      <c r="S8101" s="255"/>
      <c r="T8101" s="255"/>
    </row>
    <row r="8102" spans="18:20" x14ac:dyDescent="0.3">
      <c r="R8102" s="255"/>
      <c r="S8102" s="255"/>
      <c r="T8102" s="255"/>
    </row>
    <row r="8103" spans="18:20" x14ac:dyDescent="0.3">
      <c r="R8103" s="255"/>
      <c r="S8103" s="255"/>
      <c r="T8103" s="255"/>
    </row>
    <row r="8104" spans="18:20" x14ac:dyDescent="0.3">
      <c r="R8104" s="255"/>
      <c r="S8104" s="255"/>
      <c r="T8104" s="255"/>
    </row>
    <row r="8105" spans="18:20" x14ac:dyDescent="0.3">
      <c r="R8105" s="255"/>
      <c r="S8105" s="255"/>
      <c r="T8105" s="255"/>
    </row>
    <row r="8106" spans="18:20" x14ac:dyDescent="0.3">
      <c r="R8106" s="255"/>
      <c r="S8106" s="255"/>
      <c r="T8106" s="255"/>
    </row>
    <row r="8107" spans="18:20" x14ac:dyDescent="0.3">
      <c r="R8107" s="255"/>
      <c r="S8107" s="255"/>
      <c r="T8107" s="255"/>
    </row>
    <row r="8108" spans="18:20" x14ac:dyDescent="0.3">
      <c r="R8108" s="255"/>
      <c r="S8108" s="255"/>
      <c r="T8108" s="255"/>
    </row>
    <row r="8109" spans="18:20" x14ac:dyDescent="0.3">
      <c r="R8109" s="255"/>
      <c r="S8109" s="255"/>
      <c r="T8109" s="255"/>
    </row>
    <row r="8110" spans="18:20" x14ac:dyDescent="0.3">
      <c r="R8110" s="255"/>
      <c r="S8110" s="255"/>
      <c r="T8110" s="255"/>
    </row>
    <row r="8111" spans="18:20" x14ac:dyDescent="0.3">
      <c r="R8111" s="255"/>
      <c r="S8111" s="255"/>
      <c r="T8111" s="255"/>
    </row>
    <row r="8112" spans="18:20" x14ac:dyDescent="0.3">
      <c r="R8112" s="255"/>
      <c r="S8112" s="255"/>
      <c r="T8112" s="255"/>
    </row>
    <row r="8113" spans="18:20" x14ac:dyDescent="0.3">
      <c r="R8113" s="255"/>
      <c r="S8113" s="255"/>
      <c r="T8113" s="255"/>
    </row>
    <row r="8114" spans="18:20" x14ac:dyDescent="0.3">
      <c r="R8114" s="255"/>
      <c r="S8114" s="255"/>
      <c r="T8114" s="255"/>
    </row>
    <row r="8115" spans="18:20" x14ac:dyDescent="0.3">
      <c r="R8115" s="255"/>
      <c r="S8115" s="255"/>
      <c r="T8115" s="255"/>
    </row>
    <row r="8116" spans="18:20" x14ac:dyDescent="0.3">
      <c r="R8116" s="255"/>
      <c r="S8116" s="255"/>
      <c r="T8116" s="255"/>
    </row>
    <row r="8117" spans="18:20" x14ac:dyDescent="0.3">
      <c r="R8117" s="255"/>
      <c r="S8117" s="255"/>
      <c r="T8117" s="255"/>
    </row>
    <row r="8118" spans="18:20" x14ac:dyDescent="0.3">
      <c r="R8118" s="255"/>
      <c r="S8118" s="255"/>
      <c r="T8118" s="255"/>
    </row>
    <row r="8119" spans="18:20" x14ac:dyDescent="0.3">
      <c r="R8119" s="255"/>
      <c r="S8119" s="255"/>
      <c r="T8119" s="255"/>
    </row>
    <row r="8120" spans="18:20" x14ac:dyDescent="0.3">
      <c r="R8120" s="255"/>
      <c r="S8120" s="255"/>
      <c r="T8120" s="255"/>
    </row>
    <row r="8121" spans="18:20" x14ac:dyDescent="0.3">
      <c r="R8121" s="255"/>
      <c r="S8121" s="255"/>
      <c r="T8121" s="255"/>
    </row>
    <row r="8122" spans="18:20" x14ac:dyDescent="0.3">
      <c r="R8122" s="255"/>
      <c r="S8122" s="255"/>
      <c r="T8122" s="255"/>
    </row>
    <row r="8123" spans="18:20" x14ac:dyDescent="0.3">
      <c r="R8123" s="255"/>
      <c r="S8123" s="255"/>
      <c r="T8123" s="255"/>
    </row>
    <row r="8124" spans="18:20" x14ac:dyDescent="0.3">
      <c r="R8124" s="255"/>
      <c r="S8124" s="255"/>
      <c r="T8124" s="255"/>
    </row>
    <row r="8125" spans="18:20" x14ac:dyDescent="0.3">
      <c r="R8125" s="255"/>
      <c r="S8125" s="255"/>
      <c r="T8125" s="255"/>
    </row>
    <row r="8126" spans="18:20" x14ac:dyDescent="0.3">
      <c r="R8126" s="255"/>
      <c r="S8126" s="255"/>
      <c r="T8126" s="255"/>
    </row>
    <row r="8127" spans="18:20" x14ac:dyDescent="0.3">
      <c r="R8127" s="255"/>
      <c r="S8127" s="255"/>
      <c r="T8127" s="255"/>
    </row>
    <row r="8128" spans="18:20" x14ac:dyDescent="0.3">
      <c r="R8128" s="255"/>
      <c r="S8128" s="255"/>
      <c r="T8128" s="255"/>
    </row>
    <row r="8129" spans="18:20" x14ac:dyDescent="0.3">
      <c r="R8129" s="255"/>
      <c r="S8129" s="255"/>
      <c r="T8129" s="255"/>
    </row>
    <row r="8130" spans="18:20" x14ac:dyDescent="0.3">
      <c r="R8130" s="255"/>
      <c r="S8130" s="255"/>
      <c r="T8130" s="255"/>
    </row>
    <row r="8131" spans="18:20" x14ac:dyDescent="0.3">
      <c r="R8131" s="255"/>
      <c r="S8131" s="255"/>
      <c r="T8131" s="255"/>
    </row>
    <row r="8132" spans="18:20" x14ac:dyDescent="0.3">
      <c r="R8132" s="255"/>
      <c r="S8132" s="255"/>
      <c r="T8132" s="255"/>
    </row>
    <row r="8133" spans="18:20" x14ac:dyDescent="0.3">
      <c r="R8133" s="255"/>
      <c r="S8133" s="255"/>
      <c r="T8133" s="255"/>
    </row>
    <row r="8134" spans="18:20" x14ac:dyDescent="0.3">
      <c r="R8134" s="255"/>
      <c r="S8134" s="255"/>
      <c r="T8134" s="255"/>
    </row>
    <row r="8135" spans="18:20" x14ac:dyDescent="0.3">
      <c r="R8135" s="255"/>
      <c r="S8135" s="255"/>
      <c r="T8135" s="255"/>
    </row>
    <row r="8136" spans="18:20" x14ac:dyDescent="0.3">
      <c r="R8136" s="255"/>
      <c r="S8136" s="255"/>
      <c r="T8136" s="255"/>
    </row>
    <row r="8137" spans="18:20" x14ac:dyDescent="0.3">
      <c r="R8137" s="255"/>
      <c r="S8137" s="255"/>
      <c r="T8137" s="255"/>
    </row>
    <row r="8138" spans="18:20" x14ac:dyDescent="0.3">
      <c r="R8138" s="255"/>
      <c r="S8138" s="255"/>
      <c r="T8138" s="255"/>
    </row>
    <row r="8139" spans="18:20" x14ac:dyDescent="0.3">
      <c r="R8139" s="255"/>
      <c r="S8139" s="255"/>
      <c r="T8139" s="255"/>
    </row>
    <row r="8140" spans="18:20" x14ac:dyDescent="0.3">
      <c r="R8140" s="255"/>
      <c r="S8140" s="255"/>
      <c r="T8140" s="255"/>
    </row>
    <row r="8141" spans="18:20" x14ac:dyDescent="0.3">
      <c r="R8141" s="255"/>
      <c r="S8141" s="255"/>
      <c r="T8141" s="255"/>
    </row>
    <row r="8142" spans="18:20" x14ac:dyDescent="0.3">
      <c r="R8142" s="255"/>
      <c r="S8142" s="255"/>
      <c r="T8142" s="255"/>
    </row>
    <row r="8143" spans="18:20" x14ac:dyDescent="0.3">
      <c r="R8143" s="255"/>
      <c r="S8143" s="255"/>
      <c r="T8143" s="255"/>
    </row>
    <row r="8144" spans="18:20" x14ac:dyDescent="0.3">
      <c r="R8144" s="255"/>
      <c r="S8144" s="255"/>
      <c r="T8144" s="255"/>
    </row>
    <row r="8145" spans="18:20" x14ac:dyDescent="0.3">
      <c r="R8145" s="255"/>
      <c r="S8145" s="255"/>
      <c r="T8145" s="255"/>
    </row>
    <row r="8146" spans="18:20" x14ac:dyDescent="0.3">
      <c r="R8146" s="255"/>
      <c r="S8146" s="255"/>
      <c r="T8146" s="255"/>
    </row>
    <row r="8147" spans="18:20" x14ac:dyDescent="0.3">
      <c r="R8147" s="255"/>
      <c r="S8147" s="255"/>
      <c r="T8147" s="255"/>
    </row>
    <row r="8148" spans="18:20" x14ac:dyDescent="0.3">
      <c r="R8148" s="255"/>
      <c r="S8148" s="255"/>
      <c r="T8148" s="255"/>
    </row>
    <row r="8149" spans="18:20" x14ac:dyDescent="0.3">
      <c r="R8149" s="255"/>
      <c r="S8149" s="255"/>
      <c r="T8149" s="255"/>
    </row>
    <row r="8150" spans="18:20" x14ac:dyDescent="0.3">
      <c r="R8150" s="255"/>
      <c r="S8150" s="255"/>
      <c r="T8150" s="255"/>
    </row>
    <row r="8151" spans="18:20" x14ac:dyDescent="0.3">
      <c r="R8151" s="255"/>
      <c r="S8151" s="255"/>
      <c r="T8151" s="255"/>
    </row>
    <row r="8152" spans="18:20" x14ac:dyDescent="0.3">
      <c r="R8152" s="255"/>
      <c r="S8152" s="255"/>
      <c r="T8152" s="255"/>
    </row>
    <row r="8153" spans="18:20" x14ac:dyDescent="0.3">
      <c r="R8153" s="255"/>
      <c r="S8153" s="255"/>
      <c r="T8153" s="255"/>
    </row>
    <row r="8154" spans="18:20" x14ac:dyDescent="0.3">
      <c r="R8154" s="255"/>
      <c r="S8154" s="255"/>
      <c r="T8154" s="255"/>
    </row>
    <row r="8155" spans="18:20" x14ac:dyDescent="0.3">
      <c r="R8155" s="255"/>
      <c r="S8155" s="255"/>
      <c r="T8155" s="255"/>
    </row>
    <row r="8156" spans="18:20" x14ac:dyDescent="0.3">
      <c r="R8156" s="255"/>
      <c r="S8156" s="255"/>
      <c r="T8156" s="255"/>
    </row>
    <row r="8157" spans="18:20" x14ac:dyDescent="0.3">
      <c r="R8157" s="255"/>
      <c r="S8157" s="255"/>
      <c r="T8157" s="255"/>
    </row>
    <row r="8158" spans="18:20" x14ac:dyDescent="0.3">
      <c r="R8158" s="255"/>
      <c r="S8158" s="255"/>
      <c r="T8158" s="255"/>
    </row>
    <row r="8159" spans="18:20" x14ac:dyDescent="0.3">
      <c r="R8159" s="255"/>
      <c r="S8159" s="255"/>
      <c r="T8159" s="255"/>
    </row>
    <row r="8160" spans="18:20" x14ac:dyDescent="0.3">
      <c r="R8160" s="255"/>
      <c r="S8160" s="255"/>
      <c r="T8160" s="255"/>
    </row>
    <row r="8161" spans="18:20" x14ac:dyDescent="0.3">
      <c r="R8161" s="255"/>
      <c r="S8161" s="255"/>
      <c r="T8161" s="255"/>
    </row>
    <row r="8162" spans="18:20" x14ac:dyDescent="0.3">
      <c r="R8162" s="255"/>
      <c r="S8162" s="255"/>
      <c r="T8162" s="255"/>
    </row>
    <row r="8163" spans="18:20" x14ac:dyDescent="0.3">
      <c r="R8163" s="255"/>
      <c r="S8163" s="255"/>
      <c r="T8163" s="255"/>
    </row>
    <row r="8164" spans="18:20" x14ac:dyDescent="0.3">
      <c r="R8164" s="255"/>
      <c r="S8164" s="255"/>
      <c r="T8164" s="255"/>
    </row>
    <row r="8165" spans="18:20" x14ac:dyDescent="0.3">
      <c r="R8165" s="255"/>
      <c r="S8165" s="255"/>
      <c r="T8165" s="255"/>
    </row>
    <row r="8166" spans="18:20" x14ac:dyDescent="0.3">
      <c r="R8166" s="255"/>
      <c r="S8166" s="255"/>
      <c r="T8166" s="255"/>
    </row>
    <row r="8167" spans="18:20" x14ac:dyDescent="0.3">
      <c r="R8167" s="255"/>
      <c r="S8167" s="255"/>
      <c r="T8167" s="255"/>
    </row>
    <row r="8168" spans="18:20" x14ac:dyDescent="0.3">
      <c r="R8168" s="255"/>
      <c r="S8168" s="255"/>
      <c r="T8168" s="255"/>
    </row>
    <row r="8169" spans="18:20" x14ac:dyDescent="0.3">
      <c r="R8169" s="255"/>
      <c r="S8169" s="255"/>
      <c r="T8169" s="255"/>
    </row>
    <row r="8170" spans="18:20" x14ac:dyDescent="0.3">
      <c r="R8170" s="255"/>
      <c r="S8170" s="255"/>
      <c r="T8170" s="255"/>
    </row>
    <row r="8171" spans="18:20" x14ac:dyDescent="0.3">
      <c r="R8171" s="255"/>
      <c r="S8171" s="255"/>
      <c r="T8171" s="255"/>
    </row>
    <row r="8172" spans="18:20" x14ac:dyDescent="0.3">
      <c r="R8172" s="255"/>
      <c r="S8172" s="255"/>
      <c r="T8172" s="255"/>
    </row>
    <row r="8173" spans="18:20" x14ac:dyDescent="0.3">
      <c r="R8173" s="255"/>
      <c r="S8173" s="255"/>
      <c r="T8173" s="255"/>
    </row>
    <row r="8174" spans="18:20" x14ac:dyDescent="0.3">
      <c r="R8174" s="255"/>
      <c r="S8174" s="255"/>
      <c r="T8174" s="255"/>
    </row>
    <row r="8175" spans="18:20" x14ac:dyDescent="0.3">
      <c r="R8175" s="255"/>
      <c r="S8175" s="255"/>
      <c r="T8175" s="255"/>
    </row>
    <row r="8176" spans="18:20" x14ac:dyDescent="0.3">
      <c r="R8176" s="255"/>
      <c r="S8176" s="255"/>
      <c r="T8176" s="255"/>
    </row>
    <row r="8177" spans="18:20" x14ac:dyDescent="0.3">
      <c r="R8177" s="255"/>
      <c r="S8177" s="255"/>
      <c r="T8177" s="255"/>
    </row>
    <row r="8178" spans="18:20" x14ac:dyDescent="0.3">
      <c r="R8178" s="255"/>
      <c r="S8178" s="255"/>
      <c r="T8178" s="255"/>
    </row>
    <row r="8179" spans="18:20" x14ac:dyDescent="0.3">
      <c r="R8179" s="255"/>
      <c r="S8179" s="255"/>
      <c r="T8179" s="255"/>
    </row>
    <row r="8180" spans="18:20" x14ac:dyDescent="0.3">
      <c r="R8180" s="255"/>
      <c r="S8180" s="255"/>
      <c r="T8180" s="255"/>
    </row>
    <row r="8181" spans="18:20" x14ac:dyDescent="0.3">
      <c r="R8181" s="255"/>
      <c r="S8181" s="255"/>
      <c r="T8181" s="255"/>
    </row>
    <row r="8182" spans="18:20" x14ac:dyDescent="0.3">
      <c r="R8182" s="255"/>
      <c r="S8182" s="255"/>
      <c r="T8182" s="255"/>
    </row>
    <row r="8183" spans="18:20" x14ac:dyDescent="0.3">
      <c r="R8183" s="255"/>
      <c r="S8183" s="255"/>
      <c r="T8183" s="255"/>
    </row>
    <row r="8184" spans="18:20" x14ac:dyDescent="0.3">
      <c r="R8184" s="255"/>
      <c r="S8184" s="255"/>
      <c r="T8184" s="255"/>
    </row>
    <row r="8185" spans="18:20" x14ac:dyDescent="0.3">
      <c r="R8185" s="255"/>
      <c r="S8185" s="255"/>
      <c r="T8185" s="255"/>
    </row>
    <row r="8186" spans="18:20" x14ac:dyDescent="0.3">
      <c r="R8186" s="255"/>
      <c r="S8186" s="255"/>
      <c r="T8186" s="255"/>
    </row>
    <row r="8187" spans="18:20" x14ac:dyDescent="0.3">
      <c r="R8187" s="255"/>
      <c r="S8187" s="255"/>
      <c r="T8187" s="255"/>
    </row>
    <row r="8188" spans="18:20" x14ac:dyDescent="0.3">
      <c r="R8188" s="255"/>
      <c r="S8188" s="255"/>
      <c r="T8188" s="255"/>
    </row>
    <row r="8189" spans="18:20" x14ac:dyDescent="0.3">
      <c r="R8189" s="255"/>
      <c r="S8189" s="255"/>
      <c r="T8189" s="255"/>
    </row>
    <row r="8190" spans="18:20" x14ac:dyDescent="0.3">
      <c r="R8190" s="255"/>
      <c r="S8190" s="255"/>
      <c r="T8190" s="255"/>
    </row>
    <row r="8191" spans="18:20" x14ac:dyDescent="0.3">
      <c r="R8191" s="255"/>
      <c r="S8191" s="255"/>
      <c r="T8191" s="255"/>
    </row>
    <row r="8192" spans="18:20" x14ac:dyDescent="0.3">
      <c r="R8192" s="255"/>
      <c r="S8192" s="255"/>
      <c r="T8192" s="255"/>
    </row>
    <row r="8193" spans="18:20" x14ac:dyDescent="0.3">
      <c r="R8193" s="255"/>
      <c r="S8193" s="255"/>
      <c r="T8193" s="255"/>
    </row>
    <row r="8194" spans="18:20" x14ac:dyDescent="0.3">
      <c r="R8194" s="255"/>
      <c r="S8194" s="255"/>
      <c r="T8194" s="255"/>
    </row>
    <row r="8195" spans="18:20" x14ac:dyDescent="0.3">
      <c r="R8195" s="255"/>
      <c r="S8195" s="255"/>
      <c r="T8195" s="255"/>
    </row>
    <row r="8196" spans="18:20" x14ac:dyDescent="0.3">
      <c r="R8196" s="255"/>
      <c r="S8196" s="255"/>
      <c r="T8196" s="255"/>
    </row>
    <row r="8197" spans="18:20" x14ac:dyDescent="0.3">
      <c r="R8197" s="255"/>
      <c r="S8197" s="255"/>
      <c r="T8197" s="255"/>
    </row>
    <row r="8198" spans="18:20" x14ac:dyDescent="0.3">
      <c r="R8198" s="255"/>
      <c r="S8198" s="255"/>
      <c r="T8198" s="255"/>
    </row>
    <row r="8199" spans="18:20" x14ac:dyDescent="0.3">
      <c r="R8199" s="255"/>
      <c r="S8199" s="255"/>
      <c r="T8199" s="255"/>
    </row>
    <row r="8200" spans="18:20" x14ac:dyDescent="0.3">
      <c r="R8200" s="255"/>
      <c r="S8200" s="255"/>
      <c r="T8200" s="255"/>
    </row>
    <row r="8201" spans="18:20" x14ac:dyDescent="0.3">
      <c r="R8201" s="255"/>
      <c r="S8201" s="255"/>
      <c r="T8201" s="255"/>
    </row>
    <row r="8202" spans="18:20" x14ac:dyDescent="0.3">
      <c r="R8202" s="255"/>
      <c r="S8202" s="255"/>
      <c r="T8202" s="255"/>
    </row>
    <row r="8203" spans="18:20" x14ac:dyDescent="0.3">
      <c r="R8203" s="255"/>
      <c r="S8203" s="255"/>
      <c r="T8203" s="255"/>
    </row>
    <row r="8204" spans="18:20" x14ac:dyDescent="0.3">
      <c r="R8204" s="255"/>
      <c r="S8204" s="255"/>
      <c r="T8204" s="255"/>
    </row>
    <row r="8205" spans="18:20" x14ac:dyDescent="0.3">
      <c r="R8205" s="255"/>
      <c r="S8205" s="255"/>
      <c r="T8205" s="255"/>
    </row>
    <row r="8206" spans="18:20" x14ac:dyDescent="0.3">
      <c r="R8206" s="255"/>
      <c r="S8206" s="255"/>
      <c r="T8206" s="255"/>
    </row>
    <row r="8207" spans="18:20" x14ac:dyDescent="0.3">
      <c r="R8207" s="255"/>
      <c r="S8207" s="255"/>
      <c r="T8207" s="255"/>
    </row>
    <row r="8208" spans="18:20" x14ac:dyDescent="0.3">
      <c r="R8208" s="255"/>
      <c r="S8208" s="255"/>
      <c r="T8208" s="255"/>
    </row>
    <row r="8209" spans="18:20" x14ac:dyDescent="0.3">
      <c r="R8209" s="255"/>
      <c r="S8209" s="255"/>
      <c r="T8209" s="255"/>
    </row>
    <row r="8210" spans="18:20" x14ac:dyDescent="0.3">
      <c r="R8210" s="255"/>
      <c r="S8210" s="255"/>
      <c r="T8210" s="255"/>
    </row>
    <row r="8211" spans="18:20" x14ac:dyDescent="0.3">
      <c r="R8211" s="255"/>
      <c r="S8211" s="255"/>
      <c r="T8211" s="255"/>
    </row>
    <row r="8212" spans="18:20" x14ac:dyDescent="0.3">
      <c r="R8212" s="255"/>
      <c r="S8212" s="255"/>
      <c r="T8212" s="255"/>
    </row>
    <row r="8213" spans="18:20" x14ac:dyDescent="0.3">
      <c r="R8213" s="255"/>
      <c r="S8213" s="255"/>
      <c r="T8213" s="255"/>
    </row>
    <row r="8214" spans="18:20" x14ac:dyDescent="0.3">
      <c r="R8214" s="255"/>
      <c r="S8214" s="255"/>
      <c r="T8214" s="255"/>
    </row>
    <row r="8215" spans="18:20" x14ac:dyDescent="0.3">
      <c r="R8215" s="255"/>
      <c r="S8215" s="255"/>
      <c r="T8215" s="255"/>
    </row>
    <row r="8216" spans="18:20" x14ac:dyDescent="0.3">
      <c r="R8216" s="255"/>
      <c r="S8216" s="255"/>
      <c r="T8216" s="255"/>
    </row>
    <row r="8217" spans="18:20" x14ac:dyDescent="0.3">
      <c r="R8217" s="255"/>
      <c r="S8217" s="255"/>
      <c r="T8217" s="255"/>
    </row>
    <row r="8218" spans="18:20" x14ac:dyDescent="0.3">
      <c r="R8218" s="255"/>
      <c r="S8218" s="255"/>
      <c r="T8218" s="255"/>
    </row>
    <row r="8219" spans="18:20" x14ac:dyDescent="0.3">
      <c r="R8219" s="255"/>
      <c r="S8219" s="255"/>
      <c r="T8219" s="255"/>
    </row>
    <row r="8220" spans="18:20" x14ac:dyDescent="0.3">
      <c r="R8220" s="255"/>
      <c r="S8220" s="255"/>
      <c r="T8220" s="255"/>
    </row>
    <row r="8221" spans="18:20" x14ac:dyDescent="0.3">
      <c r="R8221" s="255"/>
      <c r="S8221" s="255"/>
      <c r="T8221" s="255"/>
    </row>
    <row r="8222" spans="18:20" x14ac:dyDescent="0.3">
      <c r="R8222" s="255"/>
      <c r="S8222" s="255"/>
      <c r="T8222" s="255"/>
    </row>
    <row r="8223" spans="18:20" x14ac:dyDescent="0.3">
      <c r="R8223" s="255"/>
      <c r="S8223" s="255"/>
      <c r="T8223" s="255"/>
    </row>
    <row r="8224" spans="18:20" x14ac:dyDescent="0.3">
      <c r="R8224" s="255"/>
      <c r="S8224" s="255"/>
      <c r="T8224" s="255"/>
    </row>
    <row r="8225" spans="18:20" x14ac:dyDescent="0.3">
      <c r="R8225" s="255"/>
      <c r="S8225" s="255"/>
      <c r="T8225" s="255"/>
    </row>
    <row r="8226" spans="18:20" x14ac:dyDescent="0.3">
      <c r="R8226" s="255"/>
      <c r="S8226" s="255"/>
      <c r="T8226" s="255"/>
    </row>
    <row r="8227" spans="18:20" x14ac:dyDescent="0.3">
      <c r="R8227" s="255"/>
      <c r="S8227" s="255"/>
      <c r="T8227" s="255"/>
    </row>
    <row r="8228" spans="18:20" x14ac:dyDescent="0.3">
      <c r="R8228" s="255"/>
      <c r="S8228" s="255"/>
      <c r="T8228" s="255"/>
    </row>
    <row r="8229" spans="18:20" x14ac:dyDescent="0.3">
      <c r="R8229" s="255"/>
      <c r="S8229" s="255"/>
      <c r="T8229" s="255"/>
    </row>
    <row r="8230" spans="18:20" x14ac:dyDescent="0.3">
      <c r="R8230" s="255"/>
      <c r="S8230" s="255"/>
      <c r="T8230" s="255"/>
    </row>
    <row r="8231" spans="18:20" x14ac:dyDescent="0.3">
      <c r="R8231" s="255"/>
      <c r="S8231" s="255"/>
      <c r="T8231" s="255"/>
    </row>
    <row r="8232" spans="18:20" x14ac:dyDescent="0.3">
      <c r="R8232" s="255"/>
      <c r="S8232" s="255"/>
      <c r="T8232" s="255"/>
    </row>
    <row r="8233" spans="18:20" x14ac:dyDescent="0.3">
      <c r="R8233" s="255"/>
      <c r="S8233" s="255"/>
      <c r="T8233" s="255"/>
    </row>
    <row r="8234" spans="18:20" x14ac:dyDescent="0.3">
      <c r="R8234" s="255"/>
      <c r="S8234" s="255"/>
      <c r="T8234" s="255"/>
    </row>
    <row r="8235" spans="18:20" x14ac:dyDescent="0.3">
      <c r="R8235" s="255"/>
      <c r="S8235" s="255"/>
      <c r="T8235" s="255"/>
    </row>
    <row r="8236" spans="18:20" x14ac:dyDescent="0.3">
      <c r="R8236" s="255"/>
      <c r="S8236" s="255"/>
      <c r="T8236" s="255"/>
    </row>
    <row r="8237" spans="18:20" x14ac:dyDescent="0.3">
      <c r="R8237" s="255"/>
      <c r="S8237" s="255"/>
      <c r="T8237" s="255"/>
    </row>
    <row r="8238" spans="18:20" x14ac:dyDescent="0.3">
      <c r="R8238" s="255"/>
      <c r="S8238" s="255"/>
      <c r="T8238" s="255"/>
    </row>
    <row r="8239" spans="18:20" x14ac:dyDescent="0.3">
      <c r="R8239" s="255"/>
      <c r="S8239" s="255"/>
      <c r="T8239" s="255"/>
    </row>
    <row r="8240" spans="18:20" x14ac:dyDescent="0.3">
      <c r="R8240" s="255"/>
      <c r="S8240" s="255"/>
      <c r="T8240" s="255"/>
    </row>
    <row r="8241" spans="18:20" x14ac:dyDescent="0.3">
      <c r="R8241" s="255"/>
      <c r="S8241" s="255"/>
      <c r="T8241" s="255"/>
    </row>
    <row r="8242" spans="18:20" x14ac:dyDescent="0.3">
      <c r="R8242" s="255"/>
      <c r="S8242" s="255"/>
      <c r="T8242" s="255"/>
    </row>
    <row r="8243" spans="18:20" x14ac:dyDescent="0.3">
      <c r="R8243" s="255"/>
      <c r="S8243" s="255"/>
      <c r="T8243" s="255"/>
    </row>
    <row r="8244" spans="18:20" x14ac:dyDescent="0.3">
      <c r="R8244" s="255"/>
      <c r="S8244" s="255"/>
      <c r="T8244" s="255"/>
    </row>
    <row r="8245" spans="18:20" x14ac:dyDescent="0.3">
      <c r="R8245" s="255"/>
      <c r="S8245" s="255"/>
      <c r="T8245" s="255"/>
    </row>
    <row r="8246" spans="18:20" x14ac:dyDescent="0.3">
      <c r="R8246" s="255"/>
      <c r="S8246" s="255"/>
      <c r="T8246" s="255"/>
    </row>
    <row r="8247" spans="18:20" x14ac:dyDescent="0.3">
      <c r="R8247" s="255"/>
      <c r="S8247" s="255"/>
      <c r="T8247" s="255"/>
    </row>
    <row r="8248" spans="18:20" x14ac:dyDescent="0.3">
      <c r="R8248" s="255"/>
      <c r="S8248" s="255"/>
      <c r="T8248" s="255"/>
    </row>
    <row r="8249" spans="18:20" x14ac:dyDescent="0.3">
      <c r="R8249" s="255"/>
      <c r="S8249" s="255"/>
      <c r="T8249" s="255"/>
    </row>
    <row r="8250" spans="18:20" x14ac:dyDescent="0.3">
      <c r="R8250" s="255"/>
      <c r="S8250" s="255"/>
      <c r="T8250" s="255"/>
    </row>
    <row r="8251" spans="18:20" x14ac:dyDescent="0.3">
      <c r="R8251" s="255"/>
      <c r="S8251" s="255"/>
      <c r="T8251" s="255"/>
    </row>
    <row r="8252" spans="18:20" x14ac:dyDescent="0.3">
      <c r="R8252" s="255"/>
      <c r="S8252" s="255"/>
      <c r="T8252" s="255"/>
    </row>
    <row r="8253" spans="18:20" x14ac:dyDescent="0.3">
      <c r="R8253" s="255"/>
      <c r="S8253" s="255"/>
      <c r="T8253" s="255"/>
    </row>
    <row r="8254" spans="18:20" x14ac:dyDescent="0.3">
      <c r="R8254" s="255"/>
      <c r="S8254" s="255"/>
      <c r="T8254" s="255"/>
    </row>
    <row r="8255" spans="18:20" x14ac:dyDescent="0.3">
      <c r="R8255" s="255"/>
      <c r="S8255" s="255"/>
      <c r="T8255" s="255"/>
    </row>
    <row r="8256" spans="18:20" x14ac:dyDescent="0.3">
      <c r="R8256" s="255"/>
      <c r="S8256" s="255"/>
      <c r="T8256" s="255"/>
    </row>
    <row r="8257" spans="18:20" x14ac:dyDescent="0.3">
      <c r="R8257" s="255"/>
      <c r="S8257" s="255"/>
      <c r="T8257" s="255"/>
    </row>
    <row r="8258" spans="18:20" x14ac:dyDescent="0.3">
      <c r="R8258" s="255"/>
      <c r="S8258" s="255"/>
      <c r="T8258" s="255"/>
    </row>
    <row r="8259" spans="18:20" x14ac:dyDescent="0.3">
      <c r="R8259" s="255"/>
      <c r="S8259" s="255"/>
      <c r="T8259" s="255"/>
    </row>
    <row r="8260" spans="18:20" x14ac:dyDescent="0.3">
      <c r="R8260" s="255"/>
      <c r="S8260" s="255"/>
      <c r="T8260" s="255"/>
    </row>
    <row r="8261" spans="18:20" x14ac:dyDescent="0.3">
      <c r="R8261" s="255"/>
      <c r="S8261" s="255"/>
      <c r="T8261" s="255"/>
    </row>
    <row r="8262" spans="18:20" x14ac:dyDescent="0.3">
      <c r="R8262" s="255"/>
      <c r="S8262" s="255"/>
      <c r="T8262" s="255"/>
    </row>
    <row r="8263" spans="18:20" x14ac:dyDescent="0.3">
      <c r="R8263" s="255"/>
      <c r="S8263" s="255"/>
      <c r="T8263" s="255"/>
    </row>
    <row r="8264" spans="18:20" x14ac:dyDescent="0.3">
      <c r="R8264" s="255"/>
      <c r="S8264" s="255"/>
      <c r="T8264" s="255"/>
    </row>
    <row r="8265" spans="18:20" x14ac:dyDescent="0.3">
      <c r="R8265" s="255"/>
      <c r="S8265" s="255"/>
      <c r="T8265" s="255"/>
    </row>
    <row r="8266" spans="18:20" x14ac:dyDescent="0.3">
      <c r="R8266" s="255"/>
      <c r="S8266" s="255"/>
      <c r="T8266" s="255"/>
    </row>
    <row r="8267" spans="18:20" x14ac:dyDescent="0.3">
      <c r="R8267" s="255"/>
      <c r="S8267" s="255"/>
      <c r="T8267" s="255"/>
    </row>
    <row r="8268" spans="18:20" x14ac:dyDescent="0.3">
      <c r="R8268" s="255"/>
      <c r="S8268" s="255"/>
      <c r="T8268" s="255"/>
    </row>
    <row r="8269" spans="18:20" x14ac:dyDescent="0.3">
      <c r="R8269" s="255"/>
      <c r="S8269" s="255"/>
      <c r="T8269" s="255"/>
    </row>
    <row r="8270" spans="18:20" x14ac:dyDescent="0.3">
      <c r="R8270" s="255"/>
      <c r="S8270" s="255"/>
      <c r="T8270" s="255"/>
    </row>
    <row r="8271" spans="18:20" x14ac:dyDescent="0.3">
      <c r="R8271" s="255"/>
      <c r="S8271" s="255"/>
      <c r="T8271" s="255"/>
    </row>
    <row r="8272" spans="18:20" x14ac:dyDescent="0.3">
      <c r="R8272" s="255"/>
      <c r="S8272" s="255"/>
      <c r="T8272" s="255"/>
    </row>
    <row r="8273" spans="18:20" x14ac:dyDescent="0.3">
      <c r="R8273" s="255"/>
      <c r="S8273" s="255"/>
      <c r="T8273" s="255"/>
    </row>
    <row r="8274" spans="18:20" x14ac:dyDescent="0.3">
      <c r="R8274" s="255"/>
      <c r="S8274" s="255"/>
      <c r="T8274" s="255"/>
    </row>
    <row r="8275" spans="18:20" x14ac:dyDescent="0.3">
      <c r="R8275" s="255"/>
      <c r="S8275" s="255"/>
      <c r="T8275" s="255"/>
    </row>
    <row r="8276" spans="18:20" x14ac:dyDescent="0.3">
      <c r="R8276" s="255"/>
      <c r="S8276" s="255"/>
      <c r="T8276" s="255"/>
    </row>
    <row r="8277" spans="18:20" x14ac:dyDescent="0.3">
      <c r="R8277" s="255"/>
      <c r="S8277" s="255"/>
      <c r="T8277" s="255"/>
    </row>
    <row r="8278" spans="18:20" x14ac:dyDescent="0.3">
      <c r="R8278" s="255"/>
      <c r="S8278" s="255"/>
      <c r="T8278" s="255"/>
    </row>
    <row r="8279" spans="18:20" x14ac:dyDescent="0.3">
      <c r="R8279" s="255"/>
      <c r="S8279" s="255"/>
      <c r="T8279" s="255"/>
    </row>
    <row r="8280" spans="18:20" x14ac:dyDescent="0.3">
      <c r="R8280" s="255"/>
      <c r="S8280" s="255"/>
      <c r="T8280" s="255"/>
    </row>
    <row r="8281" spans="18:20" x14ac:dyDescent="0.3">
      <c r="R8281" s="255"/>
      <c r="S8281" s="255"/>
      <c r="T8281" s="255"/>
    </row>
    <row r="8282" spans="18:20" x14ac:dyDescent="0.3">
      <c r="R8282" s="255"/>
      <c r="S8282" s="255"/>
      <c r="T8282" s="255"/>
    </row>
    <row r="8283" spans="18:20" x14ac:dyDescent="0.3">
      <c r="R8283" s="255"/>
      <c r="S8283" s="255"/>
      <c r="T8283" s="255"/>
    </row>
    <row r="8284" spans="18:20" x14ac:dyDescent="0.3">
      <c r="R8284" s="255"/>
      <c r="S8284" s="255"/>
      <c r="T8284" s="255"/>
    </row>
    <row r="8285" spans="18:20" x14ac:dyDescent="0.3">
      <c r="R8285" s="255"/>
      <c r="S8285" s="255"/>
      <c r="T8285" s="255"/>
    </row>
    <row r="8286" spans="18:20" x14ac:dyDescent="0.3">
      <c r="R8286" s="255"/>
      <c r="S8286" s="255"/>
      <c r="T8286" s="255"/>
    </row>
    <row r="8287" spans="18:20" x14ac:dyDescent="0.3">
      <c r="R8287" s="255"/>
      <c r="S8287" s="255"/>
      <c r="T8287" s="255"/>
    </row>
    <row r="8288" spans="18:20" x14ac:dyDescent="0.3">
      <c r="R8288" s="255"/>
      <c r="S8288" s="255"/>
      <c r="T8288" s="255"/>
    </row>
    <row r="8289" spans="18:20" x14ac:dyDescent="0.3">
      <c r="R8289" s="255"/>
      <c r="S8289" s="255"/>
      <c r="T8289" s="255"/>
    </row>
    <row r="8290" spans="18:20" x14ac:dyDescent="0.3">
      <c r="R8290" s="255"/>
      <c r="S8290" s="255"/>
      <c r="T8290" s="255"/>
    </row>
    <row r="8291" spans="18:20" x14ac:dyDescent="0.3">
      <c r="R8291" s="255"/>
      <c r="S8291" s="255"/>
      <c r="T8291" s="255"/>
    </row>
    <row r="8292" spans="18:20" x14ac:dyDescent="0.3">
      <c r="R8292" s="255"/>
      <c r="S8292" s="255"/>
      <c r="T8292" s="255"/>
    </row>
    <row r="8293" spans="18:20" x14ac:dyDescent="0.3">
      <c r="R8293" s="255"/>
      <c r="S8293" s="255"/>
      <c r="T8293" s="255"/>
    </row>
    <row r="8294" spans="18:20" x14ac:dyDescent="0.3">
      <c r="R8294" s="255"/>
      <c r="S8294" s="255"/>
      <c r="T8294" s="255"/>
    </row>
    <row r="8295" spans="18:20" x14ac:dyDescent="0.3">
      <c r="R8295" s="255"/>
      <c r="S8295" s="255"/>
      <c r="T8295" s="255"/>
    </row>
    <row r="8296" spans="18:20" x14ac:dyDescent="0.3">
      <c r="R8296" s="255"/>
      <c r="S8296" s="255"/>
      <c r="T8296" s="255"/>
    </row>
    <row r="8297" spans="18:20" x14ac:dyDescent="0.3">
      <c r="R8297" s="255"/>
      <c r="S8297" s="255"/>
      <c r="T8297" s="255"/>
    </row>
    <row r="8298" spans="18:20" x14ac:dyDescent="0.3">
      <c r="R8298" s="255"/>
      <c r="S8298" s="255"/>
      <c r="T8298" s="255"/>
    </row>
    <row r="8299" spans="18:20" x14ac:dyDescent="0.3">
      <c r="R8299" s="255"/>
      <c r="S8299" s="255"/>
      <c r="T8299" s="255"/>
    </row>
    <row r="8300" spans="18:20" x14ac:dyDescent="0.3">
      <c r="R8300" s="255"/>
      <c r="S8300" s="255"/>
      <c r="T8300" s="255"/>
    </row>
    <row r="8301" spans="18:20" x14ac:dyDescent="0.3">
      <c r="R8301" s="255"/>
      <c r="S8301" s="255"/>
      <c r="T8301" s="255"/>
    </row>
    <row r="8302" spans="18:20" x14ac:dyDescent="0.3">
      <c r="R8302" s="255"/>
      <c r="S8302" s="255"/>
      <c r="T8302" s="255"/>
    </row>
    <row r="8303" spans="18:20" x14ac:dyDescent="0.3">
      <c r="R8303" s="255"/>
      <c r="S8303" s="255"/>
      <c r="T8303" s="255"/>
    </row>
    <row r="8304" spans="18:20" x14ac:dyDescent="0.3">
      <c r="R8304" s="255"/>
      <c r="S8304" s="255"/>
      <c r="T8304" s="255"/>
    </row>
    <row r="8305" spans="18:20" x14ac:dyDescent="0.3">
      <c r="R8305" s="255"/>
      <c r="S8305" s="255"/>
      <c r="T8305" s="255"/>
    </row>
    <row r="8306" spans="18:20" x14ac:dyDescent="0.3">
      <c r="R8306" s="255"/>
      <c r="S8306" s="255"/>
      <c r="T8306" s="255"/>
    </row>
    <row r="8307" spans="18:20" x14ac:dyDescent="0.3">
      <c r="R8307" s="255"/>
      <c r="S8307" s="255"/>
      <c r="T8307" s="255"/>
    </row>
    <row r="8308" spans="18:20" x14ac:dyDescent="0.3">
      <c r="R8308" s="255"/>
      <c r="S8308" s="255"/>
      <c r="T8308" s="255"/>
    </row>
    <row r="8309" spans="18:20" x14ac:dyDescent="0.3">
      <c r="R8309" s="255"/>
      <c r="S8309" s="255"/>
      <c r="T8309" s="255"/>
    </row>
    <row r="8310" spans="18:20" x14ac:dyDescent="0.3">
      <c r="R8310" s="255"/>
      <c r="S8310" s="255"/>
      <c r="T8310" s="255"/>
    </row>
    <row r="8311" spans="18:20" x14ac:dyDescent="0.3">
      <c r="R8311" s="255"/>
      <c r="S8311" s="255"/>
      <c r="T8311" s="255"/>
    </row>
    <row r="8312" spans="18:20" x14ac:dyDescent="0.3">
      <c r="R8312" s="255"/>
      <c r="S8312" s="255"/>
      <c r="T8312" s="255"/>
    </row>
    <row r="8313" spans="18:20" x14ac:dyDescent="0.3">
      <c r="R8313" s="255"/>
      <c r="S8313" s="255"/>
      <c r="T8313" s="255"/>
    </row>
    <row r="8314" spans="18:20" x14ac:dyDescent="0.3">
      <c r="R8314" s="255"/>
      <c r="S8314" s="255"/>
      <c r="T8314" s="255"/>
    </row>
    <row r="8315" spans="18:20" x14ac:dyDescent="0.3">
      <c r="R8315" s="255"/>
      <c r="S8315" s="255"/>
      <c r="T8315" s="255"/>
    </row>
    <row r="8316" spans="18:20" x14ac:dyDescent="0.3">
      <c r="R8316" s="255"/>
      <c r="S8316" s="255"/>
      <c r="T8316" s="255"/>
    </row>
    <row r="8317" spans="18:20" x14ac:dyDescent="0.3">
      <c r="R8317" s="255"/>
      <c r="S8317" s="255"/>
      <c r="T8317" s="255"/>
    </row>
    <row r="8318" spans="18:20" x14ac:dyDescent="0.3">
      <c r="R8318" s="255"/>
      <c r="S8318" s="255"/>
      <c r="T8318" s="255"/>
    </row>
    <row r="8319" spans="18:20" x14ac:dyDescent="0.3">
      <c r="R8319" s="255"/>
      <c r="S8319" s="255"/>
      <c r="T8319" s="255"/>
    </row>
    <row r="8320" spans="18:20" x14ac:dyDescent="0.3">
      <c r="R8320" s="255"/>
      <c r="S8320" s="255"/>
      <c r="T8320" s="255"/>
    </row>
    <row r="8321" spans="18:20" x14ac:dyDescent="0.3">
      <c r="R8321" s="255"/>
      <c r="S8321" s="255"/>
      <c r="T8321" s="255"/>
    </row>
    <row r="8322" spans="18:20" x14ac:dyDescent="0.3">
      <c r="R8322" s="255"/>
      <c r="S8322" s="255"/>
      <c r="T8322" s="255"/>
    </row>
    <row r="8323" spans="18:20" x14ac:dyDescent="0.3">
      <c r="R8323" s="255"/>
      <c r="S8323" s="255"/>
      <c r="T8323" s="255"/>
    </row>
    <row r="8324" spans="18:20" x14ac:dyDescent="0.3">
      <c r="R8324" s="255"/>
      <c r="S8324" s="255"/>
      <c r="T8324" s="255"/>
    </row>
    <row r="8325" spans="18:20" x14ac:dyDescent="0.3">
      <c r="R8325" s="255"/>
      <c r="S8325" s="255"/>
      <c r="T8325" s="255"/>
    </row>
    <row r="8326" spans="18:20" x14ac:dyDescent="0.3">
      <c r="R8326" s="255"/>
      <c r="S8326" s="255"/>
      <c r="T8326" s="255"/>
    </row>
    <row r="8327" spans="18:20" x14ac:dyDescent="0.3">
      <c r="R8327" s="255"/>
      <c r="S8327" s="255"/>
      <c r="T8327" s="255"/>
    </row>
    <row r="8328" spans="18:20" x14ac:dyDescent="0.3">
      <c r="R8328" s="255"/>
      <c r="S8328" s="255"/>
      <c r="T8328" s="255"/>
    </row>
    <row r="8329" spans="18:20" x14ac:dyDescent="0.3">
      <c r="R8329" s="255"/>
      <c r="S8329" s="255"/>
      <c r="T8329" s="255"/>
    </row>
    <row r="8330" spans="18:20" x14ac:dyDescent="0.3">
      <c r="R8330" s="255"/>
      <c r="S8330" s="255"/>
      <c r="T8330" s="255"/>
    </row>
    <row r="8331" spans="18:20" x14ac:dyDescent="0.3">
      <c r="R8331" s="255"/>
      <c r="S8331" s="255"/>
      <c r="T8331" s="255"/>
    </row>
    <row r="8332" spans="18:20" x14ac:dyDescent="0.3">
      <c r="R8332" s="255"/>
      <c r="S8332" s="255"/>
      <c r="T8332" s="255"/>
    </row>
    <row r="8333" spans="18:20" x14ac:dyDescent="0.3">
      <c r="R8333" s="255"/>
      <c r="S8333" s="255"/>
      <c r="T8333" s="255"/>
    </row>
    <row r="8334" spans="18:20" x14ac:dyDescent="0.3">
      <c r="R8334" s="255"/>
      <c r="S8334" s="255"/>
      <c r="T8334" s="255"/>
    </row>
    <row r="8335" spans="18:20" x14ac:dyDescent="0.3">
      <c r="R8335" s="255"/>
      <c r="S8335" s="255"/>
      <c r="T8335" s="255"/>
    </row>
    <row r="8336" spans="18:20" x14ac:dyDescent="0.3">
      <c r="R8336" s="255"/>
      <c r="S8336" s="255"/>
      <c r="T8336" s="255"/>
    </row>
    <row r="8337" spans="18:20" x14ac:dyDescent="0.3">
      <c r="R8337" s="255"/>
      <c r="S8337" s="255"/>
      <c r="T8337" s="255"/>
    </row>
    <row r="8338" spans="18:20" x14ac:dyDescent="0.3">
      <c r="R8338" s="255"/>
      <c r="S8338" s="255"/>
      <c r="T8338" s="255"/>
    </row>
    <row r="8339" spans="18:20" x14ac:dyDescent="0.3">
      <c r="R8339" s="255"/>
      <c r="S8339" s="255"/>
      <c r="T8339" s="255"/>
    </row>
    <row r="8340" spans="18:20" x14ac:dyDescent="0.3">
      <c r="R8340" s="255"/>
      <c r="S8340" s="255"/>
      <c r="T8340" s="255"/>
    </row>
    <row r="8341" spans="18:20" x14ac:dyDescent="0.3">
      <c r="R8341" s="255"/>
      <c r="S8341" s="255"/>
      <c r="T8341" s="255"/>
    </row>
    <row r="8342" spans="18:20" x14ac:dyDescent="0.3">
      <c r="R8342" s="255"/>
      <c r="S8342" s="255"/>
      <c r="T8342" s="255"/>
    </row>
    <row r="8343" spans="18:20" x14ac:dyDescent="0.3">
      <c r="R8343" s="255"/>
      <c r="S8343" s="255"/>
      <c r="T8343" s="255"/>
    </row>
    <row r="8344" spans="18:20" x14ac:dyDescent="0.3">
      <c r="R8344" s="255"/>
      <c r="S8344" s="255"/>
      <c r="T8344" s="255"/>
    </row>
    <row r="8345" spans="18:20" x14ac:dyDescent="0.3">
      <c r="R8345" s="255"/>
      <c r="S8345" s="255"/>
      <c r="T8345" s="255"/>
    </row>
    <row r="8346" spans="18:20" x14ac:dyDescent="0.3">
      <c r="R8346" s="255"/>
      <c r="S8346" s="255"/>
      <c r="T8346" s="255"/>
    </row>
    <row r="8347" spans="18:20" x14ac:dyDescent="0.3">
      <c r="R8347" s="255"/>
      <c r="S8347" s="255"/>
      <c r="T8347" s="255"/>
    </row>
    <row r="8348" spans="18:20" x14ac:dyDescent="0.3">
      <c r="R8348" s="255"/>
      <c r="S8348" s="255"/>
      <c r="T8348" s="255"/>
    </row>
    <row r="8349" spans="18:20" x14ac:dyDescent="0.3">
      <c r="R8349" s="255"/>
      <c r="S8349" s="255"/>
      <c r="T8349" s="255"/>
    </row>
    <row r="8350" spans="18:20" x14ac:dyDescent="0.3">
      <c r="R8350" s="255"/>
      <c r="S8350" s="255"/>
      <c r="T8350" s="255"/>
    </row>
    <row r="8351" spans="18:20" x14ac:dyDescent="0.3">
      <c r="R8351" s="255"/>
      <c r="S8351" s="255"/>
      <c r="T8351" s="255"/>
    </row>
    <row r="8352" spans="18:20" x14ac:dyDescent="0.3">
      <c r="R8352" s="255"/>
      <c r="S8352" s="255"/>
      <c r="T8352" s="255"/>
    </row>
    <row r="8353" spans="18:20" x14ac:dyDescent="0.3">
      <c r="R8353" s="255"/>
      <c r="S8353" s="255"/>
      <c r="T8353" s="255"/>
    </row>
    <row r="8354" spans="18:20" x14ac:dyDescent="0.3">
      <c r="R8354" s="255"/>
      <c r="S8354" s="255"/>
      <c r="T8354" s="255"/>
    </row>
    <row r="8355" spans="18:20" x14ac:dyDescent="0.3">
      <c r="R8355" s="255"/>
      <c r="S8355" s="255"/>
      <c r="T8355" s="255"/>
    </row>
    <row r="8356" spans="18:20" x14ac:dyDescent="0.3">
      <c r="R8356" s="255"/>
      <c r="S8356" s="255"/>
      <c r="T8356" s="255"/>
    </row>
    <row r="8357" spans="18:20" x14ac:dyDescent="0.3">
      <c r="R8357" s="255"/>
      <c r="S8357" s="255"/>
      <c r="T8357" s="255"/>
    </row>
    <row r="8358" spans="18:20" x14ac:dyDescent="0.3">
      <c r="R8358" s="255"/>
      <c r="S8358" s="255"/>
      <c r="T8358" s="255"/>
    </row>
    <row r="8359" spans="18:20" x14ac:dyDescent="0.3">
      <c r="R8359" s="255"/>
      <c r="S8359" s="255"/>
      <c r="T8359" s="255"/>
    </row>
    <row r="8360" spans="18:20" x14ac:dyDescent="0.3">
      <c r="R8360" s="255"/>
      <c r="S8360" s="255"/>
      <c r="T8360" s="255"/>
    </row>
    <row r="8361" spans="18:20" x14ac:dyDescent="0.3">
      <c r="R8361" s="255"/>
      <c r="S8361" s="255"/>
      <c r="T8361" s="255"/>
    </row>
    <row r="8362" spans="18:20" x14ac:dyDescent="0.3">
      <c r="R8362" s="255"/>
      <c r="S8362" s="255"/>
      <c r="T8362" s="255"/>
    </row>
    <row r="8363" spans="18:20" x14ac:dyDescent="0.3">
      <c r="R8363" s="255"/>
      <c r="S8363" s="255"/>
      <c r="T8363" s="255"/>
    </row>
    <row r="8364" spans="18:20" x14ac:dyDescent="0.3">
      <c r="R8364" s="255"/>
      <c r="S8364" s="255"/>
      <c r="T8364" s="255"/>
    </row>
    <row r="8365" spans="18:20" x14ac:dyDescent="0.3">
      <c r="R8365" s="255"/>
      <c r="S8365" s="255"/>
      <c r="T8365" s="255"/>
    </row>
    <row r="8366" spans="18:20" x14ac:dyDescent="0.3">
      <c r="R8366" s="255"/>
      <c r="S8366" s="255"/>
      <c r="T8366" s="255"/>
    </row>
    <row r="8367" spans="18:20" x14ac:dyDescent="0.3">
      <c r="R8367" s="255"/>
      <c r="S8367" s="255"/>
      <c r="T8367" s="255"/>
    </row>
    <row r="8368" spans="18:20" x14ac:dyDescent="0.3">
      <c r="R8368" s="255"/>
      <c r="S8368" s="255"/>
      <c r="T8368" s="255"/>
    </row>
    <row r="8369" spans="18:20" x14ac:dyDescent="0.3">
      <c r="R8369" s="255"/>
      <c r="S8369" s="255"/>
      <c r="T8369" s="255"/>
    </row>
    <row r="8370" spans="18:20" x14ac:dyDescent="0.3">
      <c r="R8370" s="255"/>
      <c r="S8370" s="255"/>
      <c r="T8370" s="255"/>
    </row>
    <row r="8371" spans="18:20" x14ac:dyDescent="0.3">
      <c r="R8371" s="255"/>
      <c r="S8371" s="255"/>
      <c r="T8371" s="255"/>
    </row>
    <row r="8372" spans="18:20" x14ac:dyDescent="0.3">
      <c r="R8372" s="255"/>
      <c r="S8372" s="255"/>
      <c r="T8372" s="255"/>
    </row>
    <row r="8373" spans="18:20" x14ac:dyDescent="0.3">
      <c r="R8373" s="255"/>
      <c r="S8373" s="255"/>
      <c r="T8373" s="255"/>
    </row>
    <row r="8374" spans="18:20" x14ac:dyDescent="0.3">
      <c r="R8374" s="255"/>
      <c r="S8374" s="255"/>
      <c r="T8374" s="255"/>
    </row>
    <row r="8375" spans="18:20" x14ac:dyDescent="0.3">
      <c r="R8375" s="255"/>
      <c r="S8375" s="255"/>
      <c r="T8375" s="255"/>
    </row>
    <row r="8376" spans="18:20" x14ac:dyDescent="0.3">
      <c r="R8376" s="255"/>
      <c r="S8376" s="255"/>
      <c r="T8376" s="255"/>
    </row>
    <row r="8377" spans="18:20" x14ac:dyDescent="0.3">
      <c r="R8377" s="255"/>
      <c r="S8377" s="255"/>
      <c r="T8377" s="255"/>
    </row>
    <row r="8378" spans="18:20" x14ac:dyDescent="0.3">
      <c r="R8378" s="255"/>
      <c r="S8378" s="255"/>
      <c r="T8378" s="255"/>
    </row>
    <row r="8379" spans="18:20" x14ac:dyDescent="0.3">
      <c r="R8379" s="255"/>
      <c r="S8379" s="255"/>
      <c r="T8379" s="255"/>
    </row>
    <row r="8380" spans="18:20" x14ac:dyDescent="0.3">
      <c r="R8380" s="255"/>
      <c r="S8380" s="255"/>
      <c r="T8380" s="255"/>
    </row>
    <row r="8381" spans="18:20" x14ac:dyDescent="0.3">
      <c r="R8381" s="255"/>
      <c r="S8381" s="255"/>
      <c r="T8381" s="255"/>
    </row>
    <row r="8382" spans="18:20" x14ac:dyDescent="0.3">
      <c r="R8382" s="255"/>
      <c r="S8382" s="255"/>
      <c r="T8382" s="255"/>
    </row>
    <row r="8383" spans="18:20" x14ac:dyDescent="0.3">
      <c r="R8383" s="255"/>
      <c r="S8383" s="255"/>
      <c r="T8383" s="255"/>
    </row>
    <row r="8384" spans="18:20" x14ac:dyDescent="0.3">
      <c r="R8384" s="255"/>
      <c r="S8384" s="255"/>
      <c r="T8384" s="255"/>
    </row>
    <row r="8385" spans="18:20" x14ac:dyDescent="0.3">
      <c r="R8385" s="255"/>
      <c r="S8385" s="255"/>
      <c r="T8385" s="255"/>
    </row>
    <row r="8386" spans="18:20" x14ac:dyDescent="0.3">
      <c r="R8386" s="255"/>
      <c r="S8386" s="255"/>
      <c r="T8386" s="255"/>
    </row>
    <row r="8387" spans="18:20" x14ac:dyDescent="0.3">
      <c r="R8387" s="255"/>
      <c r="S8387" s="255"/>
      <c r="T8387" s="255"/>
    </row>
    <row r="8388" spans="18:20" x14ac:dyDescent="0.3">
      <c r="R8388" s="255"/>
      <c r="S8388" s="255"/>
      <c r="T8388" s="255"/>
    </row>
    <row r="8389" spans="18:20" x14ac:dyDescent="0.3">
      <c r="R8389" s="255"/>
      <c r="S8389" s="255"/>
      <c r="T8389" s="255"/>
    </row>
    <row r="8390" spans="18:20" x14ac:dyDescent="0.3">
      <c r="R8390" s="255"/>
      <c r="S8390" s="255"/>
      <c r="T8390" s="255"/>
    </row>
    <row r="8391" spans="18:20" x14ac:dyDescent="0.3">
      <c r="R8391" s="255"/>
      <c r="S8391" s="255"/>
      <c r="T8391" s="255"/>
    </row>
    <row r="8392" spans="18:20" x14ac:dyDescent="0.3">
      <c r="R8392" s="255"/>
      <c r="S8392" s="255"/>
      <c r="T8392" s="255"/>
    </row>
    <row r="8393" spans="18:20" x14ac:dyDescent="0.3">
      <c r="R8393" s="255"/>
      <c r="S8393" s="255"/>
      <c r="T8393" s="255"/>
    </row>
    <row r="8394" spans="18:20" x14ac:dyDescent="0.3">
      <c r="R8394" s="255"/>
      <c r="S8394" s="255"/>
      <c r="T8394" s="255"/>
    </row>
    <row r="8395" spans="18:20" x14ac:dyDescent="0.3">
      <c r="R8395" s="255"/>
      <c r="S8395" s="255"/>
      <c r="T8395" s="255"/>
    </row>
    <row r="8396" spans="18:20" x14ac:dyDescent="0.3">
      <c r="R8396" s="255"/>
      <c r="S8396" s="255"/>
      <c r="T8396" s="255"/>
    </row>
    <row r="8397" spans="18:20" x14ac:dyDescent="0.3">
      <c r="R8397" s="255"/>
      <c r="S8397" s="255"/>
      <c r="T8397" s="255"/>
    </row>
    <row r="8398" spans="18:20" x14ac:dyDescent="0.3">
      <c r="R8398" s="255"/>
      <c r="S8398" s="255"/>
      <c r="T8398" s="255"/>
    </row>
    <row r="8399" spans="18:20" x14ac:dyDescent="0.3">
      <c r="R8399" s="255"/>
      <c r="S8399" s="255"/>
      <c r="T8399" s="255"/>
    </row>
    <row r="8400" spans="18:20" x14ac:dyDescent="0.3">
      <c r="R8400" s="255"/>
      <c r="S8400" s="255"/>
      <c r="T8400" s="255"/>
    </row>
    <row r="8401" spans="18:20" x14ac:dyDescent="0.3">
      <c r="R8401" s="255"/>
      <c r="S8401" s="255"/>
      <c r="T8401" s="255"/>
    </row>
    <row r="8402" spans="18:20" x14ac:dyDescent="0.3">
      <c r="R8402" s="255"/>
      <c r="S8402" s="255"/>
      <c r="T8402" s="255"/>
    </row>
    <row r="8403" spans="18:20" x14ac:dyDescent="0.3">
      <c r="R8403" s="255"/>
      <c r="S8403" s="255"/>
      <c r="T8403" s="255"/>
    </row>
    <row r="8404" spans="18:20" x14ac:dyDescent="0.3">
      <c r="R8404" s="255"/>
      <c r="S8404" s="255"/>
      <c r="T8404" s="255"/>
    </row>
    <row r="8405" spans="18:20" x14ac:dyDescent="0.3">
      <c r="R8405" s="255"/>
      <c r="S8405" s="255"/>
      <c r="T8405" s="255"/>
    </row>
    <row r="8406" spans="18:20" x14ac:dyDescent="0.3">
      <c r="R8406" s="255"/>
      <c r="S8406" s="255"/>
      <c r="T8406" s="255"/>
    </row>
    <row r="8407" spans="18:20" x14ac:dyDescent="0.3">
      <c r="R8407" s="255"/>
      <c r="S8407" s="255"/>
      <c r="T8407" s="255"/>
    </row>
    <row r="8408" spans="18:20" x14ac:dyDescent="0.3">
      <c r="R8408" s="255"/>
      <c r="S8408" s="255"/>
      <c r="T8408" s="255"/>
    </row>
    <row r="8409" spans="18:20" x14ac:dyDescent="0.3">
      <c r="R8409" s="255"/>
      <c r="S8409" s="255"/>
      <c r="T8409" s="255"/>
    </row>
    <row r="8410" spans="18:20" x14ac:dyDescent="0.3">
      <c r="R8410" s="255"/>
      <c r="S8410" s="255"/>
      <c r="T8410" s="255"/>
    </row>
    <row r="8411" spans="18:20" x14ac:dyDescent="0.3">
      <c r="R8411" s="255"/>
      <c r="S8411" s="255"/>
      <c r="T8411" s="255"/>
    </row>
    <row r="8412" spans="18:20" x14ac:dyDescent="0.3">
      <c r="R8412" s="255"/>
      <c r="S8412" s="255"/>
      <c r="T8412" s="255"/>
    </row>
    <row r="8413" spans="18:20" x14ac:dyDescent="0.3">
      <c r="R8413" s="255"/>
      <c r="S8413" s="255"/>
      <c r="T8413" s="255"/>
    </row>
    <row r="8414" spans="18:20" x14ac:dyDescent="0.3">
      <c r="R8414" s="255"/>
      <c r="S8414" s="255"/>
      <c r="T8414" s="255"/>
    </row>
    <row r="8415" spans="18:20" x14ac:dyDescent="0.3">
      <c r="R8415" s="255"/>
      <c r="S8415" s="255"/>
      <c r="T8415" s="255"/>
    </row>
    <row r="8416" spans="18:20" x14ac:dyDescent="0.3">
      <c r="R8416" s="255"/>
      <c r="S8416" s="255"/>
      <c r="T8416" s="255"/>
    </row>
    <row r="8417" spans="18:20" x14ac:dyDescent="0.3">
      <c r="R8417" s="255"/>
      <c r="S8417" s="255"/>
      <c r="T8417" s="255"/>
    </row>
    <row r="8418" spans="18:20" x14ac:dyDescent="0.3">
      <c r="R8418" s="255"/>
      <c r="S8418" s="255"/>
      <c r="T8418" s="255"/>
    </row>
    <row r="8419" spans="18:20" x14ac:dyDescent="0.3">
      <c r="R8419" s="255"/>
      <c r="S8419" s="255"/>
      <c r="T8419" s="255"/>
    </row>
    <row r="8420" spans="18:20" x14ac:dyDescent="0.3">
      <c r="R8420" s="255"/>
      <c r="S8420" s="255"/>
      <c r="T8420" s="255"/>
    </row>
    <row r="8421" spans="18:20" x14ac:dyDescent="0.3">
      <c r="R8421" s="255"/>
      <c r="S8421" s="255"/>
      <c r="T8421" s="255"/>
    </row>
    <row r="8422" spans="18:20" x14ac:dyDescent="0.3">
      <c r="R8422" s="255"/>
      <c r="S8422" s="255"/>
      <c r="T8422" s="255"/>
    </row>
    <row r="8423" spans="18:20" x14ac:dyDescent="0.3">
      <c r="R8423" s="255"/>
      <c r="S8423" s="255"/>
      <c r="T8423" s="255"/>
    </row>
    <row r="8424" spans="18:20" x14ac:dyDescent="0.3">
      <c r="R8424" s="255"/>
      <c r="S8424" s="255"/>
      <c r="T8424" s="255"/>
    </row>
    <row r="8425" spans="18:20" x14ac:dyDescent="0.3">
      <c r="R8425" s="255"/>
      <c r="S8425" s="255"/>
      <c r="T8425" s="255"/>
    </row>
    <row r="8426" spans="18:20" x14ac:dyDescent="0.3">
      <c r="R8426" s="255"/>
      <c r="S8426" s="255"/>
      <c r="T8426" s="255"/>
    </row>
    <row r="8427" spans="18:20" x14ac:dyDescent="0.3">
      <c r="R8427" s="255"/>
      <c r="S8427" s="255"/>
      <c r="T8427" s="255"/>
    </row>
    <row r="8428" spans="18:20" x14ac:dyDescent="0.3">
      <c r="R8428" s="255"/>
      <c r="S8428" s="255"/>
      <c r="T8428" s="255"/>
    </row>
    <row r="8429" spans="18:20" x14ac:dyDescent="0.3">
      <c r="R8429" s="255"/>
      <c r="S8429" s="255"/>
      <c r="T8429" s="255"/>
    </row>
    <row r="8430" spans="18:20" x14ac:dyDescent="0.3">
      <c r="R8430" s="255"/>
      <c r="S8430" s="255"/>
      <c r="T8430" s="255"/>
    </row>
    <row r="8431" spans="18:20" x14ac:dyDescent="0.3">
      <c r="R8431" s="255"/>
      <c r="S8431" s="255"/>
      <c r="T8431" s="255"/>
    </row>
    <row r="8432" spans="18:20" x14ac:dyDescent="0.3">
      <c r="R8432" s="255"/>
      <c r="S8432" s="255"/>
      <c r="T8432" s="255"/>
    </row>
    <row r="8433" spans="18:20" x14ac:dyDescent="0.3">
      <c r="R8433" s="255"/>
      <c r="S8433" s="255"/>
      <c r="T8433" s="255"/>
    </row>
    <row r="8434" spans="18:20" x14ac:dyDescent="0.3">
      <c r="R8434" s="255"/>
      <c r="S8434" s="255"/>
      <c r="T8434" s="255"/>
    </row>
    <row r="8435" spans="18:20" x14ac:dyDescent="0.3">
      <c r="R8435" s="255"/>
      <c r="S8435" s="255"/>
      <c r="T8435" s="255"/>
    </row>
    <row r="8436" spans="18:20" x14ac:dyDescent="0.3">
      <c r="R8436" s="255"/>
      <c r="S8436" s="255"/>
      <c r="T8436" s="255"/>
    </row>
    <row r="8437" spans="18:20" x14ac:dyDescent="0.3">
      <c r="R8437" s="255"/>
      <c r="S8437" s="255"/>
      <c r="T8437" s="255"/>
    </row>
    <row r="8438" spans="18:20" x14ac:dyDescent="0.3">
      <c r="R8438" s="255"/>
      <c r="S8438" s="255"/>
      <c r="T8438" s="255"/>
    </row>
    <row r="8439" spans="18:20" x14ac:dyDescent="0.3">
      <c r="R8439" s="255"/>
      <c r="S8439" s="255"/>
      <c r="T8439" s="255"/>
    </row>
    <row r="8440" spans="18:20" x14ac:dyDescent="0.3">
      <c r="R8440" s="255"/>
      <c r="S8440" s="255"/>
      <c r="T8440" s="255"/>
    </row>
    <row r="8441" spans="18:20" x14ac:dyDescent="0.3">
      <c r="R8441" s="255"/>
      <c r="S8441" s="255"/>
      <c r="T8441" s="255"/>
    </row>
    <row r="8442" spans="18:20" x14ac:dyDescent="0.3">
      <c r="R8442" s="255"/>
      <c r="S8442" s="255"/>
      <c r="T8442" s="255"/>
    </row>
    <row r="8443" spans="18:20" x14ac:dyDescent="0.3">
      <c r="R8443" s="255"/>
      <c r="S8443" s="255"/>
      <c r="T8443" s="255"/>
    </row>
    <row r="8444" spans="18:20" x14ac:dyDescent="0.3">
      <c r="R8444" s="255"/>
      <c r="S8444" s="255"/>
      <c r="T8444" s="255"/>
    </row>
    <row r="8445" spans="18:20" x14ac:dyDescent="0.3">
      <c r="R8445" s="255"/>
      <c r="S8445" s="255"/>
      <c r="T8445" s="255"/>
    </row>
    <row r="8446" spans="18:20" x14ac:dyDescent="0.3">
      <c r="R8446" s="255"/>
      <c r="S8446" s="255"/>
      <c r="T8446" s="255"/>
    </row>
    <row r="8447" spans="18:20" x14ac:dyDescent="0.3">
      <c r="R8447" s="255"/>
      <c r="S8447" s="255"/>
      <c r="T8447" s="255"/>
    </row>
    <row r="8448" spans="18:20" x14ac:dyDescent="0.3">
      <c r="R8448" s="255"/>
      <c r="S8448" s="255"/>
      <c r="T8448" s="255"/>
    </row>
    <row r="8449" spans="18:20" x14ac:dyDescent="0.3">
      <c r="R8449" s="255"/>
      <c r="S8449" s="255"/>
      <c r="T8449" s="255"/>
    </row>
    <row r="8450" spans="18:20" x14ac:dyDescent="0.3">
      <c r="R8450" s="255"/>
      <c r="S8450" s="255"/>
      <c r="T8450" s="255"/>
    </row>
    <row r="8451" spans="18:20" x14ac:dyDescent="0.3">
      <c r="R8451" s="255"/>
      <c r="S8451" s="255"/>
      <c r="T8451" s="255"/>
    </row>
    <row r="8452" spans="18:20" x14ac:dyDescent="0.3">
      <c r="R8452" s="255"/>
      <c r="S8452" s="255"/>
      <c r="T8452" s="255"/>
    </row>
    <row r="8453" spans="18:20" x14ac:dyDescent="0.3">
      <c r="R8453" s="255"/>
      <c r="S8453" s="255"/>
      <c r="T8453" s="255"/>
    </row>
    <row r="8454" spans="18:20" x14ac:dyDescent="0.3">
      <c r="R8454" s="255"/>
      <c r="S8454" s="255"/>
      <c r="T8454" s="255"/>
    </row>
    <row r="8455" spans="18:20" x14ac:dyDescent="0.3">
      <c r="R8455" s="255"/>
      <c r="S8455" s="255"/>
      <c r="T8455" s="255"/>
    </row>
    <row r="8456" spans="18:20" x14ac:dyDescent="0.3">
      <c r="R8456" s="255"/>
      <c r="S8456" s="255"/>
      <c r="T8456" s="255"/>
    </row>
    <row r="8457" spans="18:20" x14ac:dyDescent="0.3">
      <c r="R8457" s="255"/>
      <c r="S8457" s="255"/>
      <c r="T8457" s="255"/>
    </row>
    <row r="8458" spans="18:20" x14ac:dyDescent="0.3">
      <c r="R8458" s="255"/>
      <c r="S8458" s="255"/>
      <c r="T8458" s="255"/>
    </row>
    <row r="8459" spans="18:20" x14ac:dyDescent="0.3">
      <c r="R8459" s="255"/>
      <c r="S8459" s="255"/>
      <c r="T8459" s="255"/>
    </row>
    <row r="8460" spans="18:20" x14ac:dyDescent="0.3">
      <c r="R8460" s="255"/>
      <c r="S8460" s="255"/>
      <c r="T8460" s="255"/>
    </row>
    <row r="8461" spans="18:20" x14ac:dyDescent="0.3">
      <c r="R8461" s="255"/>
      <c r="S8461" s="255"/>
      <c r="T8461" s="255"/>
    </row>
    <row r="8462" spans="18:20" x14ac:dyDescent="0.3">
      <c r="R8462" s="255"/>
      <c r="S8462" s="255"/>
      <c r="T8462" s="255"/>
    </row>
    <row r="8463" spans="18:20" x14ac:dyDescent="0.3">
      <c r="R8463" s="255"/>
      <c r="S8463" s="255"/>
      <c r="T8463" s="255"/>
    </row>
    <row r="8464" spans="18:20" x14ac:dyDescent="0.3">
      <c r="R8464" s="255"/>
      <c r="S8464" s="255"/>
      <c r="T8464" s="255"/>
    </row>
    <row r="8465" spans="18:20" x14ac:dyDescent="0.3">
      <c r="R8465" s="255"/>
      <c r="S8465" s="255"/>
      <c r="T8465" s="255"/>
    </row>
    <row r="8466" spans="18:20" x14ac:dyDescent="0.3">
      <c r="R8466" s="255"/>
      <c r="S8466" s="255"/>
      <c r="T8466" s="255"/>
    </row>
    <row r="8467" spans="18:20" x14ac:dyDescent="0.3">
      <c r="R8467" s="255"/>
      <c r="S8467" s="255"/>
      <c r="T8467" s="255"/>
    </row>
    <row r="8468" spans="18:20" x14ac:dyDescent="0.3">
      <c r="R8468" s="255"/>
      <c r="S8468" s="255"/>
      <c r="T8468" s="255"/>
    </row>
    <row r="8469" spans="18:20" x14ac:dyDescent="0.3">
      <c r="R8469" s="255"/>
      <c r="S8469" s="255"/>
      <c r="T8469" s="255"/>
    </row>
    <row r="8470" spans="18:20" x14ac:dyDescent="0.3">
      <c r="R8470" s="255"/>
      <c r="S8470" s="255"/>
      <c r="T8470" s="255"/>
    </row>
    <row r="8471" spans="18:20" x14ac:dyDescent="0.3">
      <c r="R8471" s="255"/>
      <c r="S8471" s="255"/>
      <c r="T8471" s="255"/>
    </row>
    <row r="8472" spans="18:20" x14ac:dyDescent="0.3">
      <c r="R8472" s="255"/>
      <c r="S8472" s="255"/>
      <c r="T8472" s="255"/>
    </row>
    <row r="8473" spans="18:20" x14ac:dyDescent="0.3">
      <c r="R8473" s="255"/>
      <c r="S8473" s="255"/>
      <c r="T8473" s="255"/>
    </row>
    <row r="8474" spans="18:20" x14ac:dyDescent="0.3">
      <c r="R8474" s="255"/>
      <c r="S8474" s="255"/>
      <c r="T8474" s="255"/>
    </row>
    <row r="8475" spans="18:20" x14ac:dyDescent="0.3">
      <c r="R8475" s="255"/>
      <c r="S8475" s="255"/>
      <c r="T8475" s="255"/>
    </row>
    <row r="8476" spans="18:20" x14ac:dyDescent="0.3">
      <c r="R8476" s="255"/>
      <c r="S8476" s="255"/>
      <c r="T8476" s="255"/>
    </row>
    <row r="8477" spans="18:20" x14ac:dyDescent="0.3">
      <c r="R8477" s="255"/>
      <c r="S8477" s="255"/>
      <c r="T8477" s="255"/>
    </row>
    <row r="8478" spans="18:20" x14ac:dyDescent="0.3">
      <c r="R8478" s="255"/>
      <c r="S8478" s="255"/>
      <c r="T8478" s="255"/>
    </row>
    <row r="8479" spans="18:20" x14ac:dyDescent="0.3">
      <c r="R8479" s="255"/>
      <c r="S8479" s="255"/>
      <c r="T8479" s="255"/>
    </row>
    <row r="8480" spans="18:20" x14ac:dyDescent="0.3">
      <c r="R8480" s="255"/>
      <c r="S8480" s="255"/>
      <c r="T8480" s="255"/>
    </row>
    <row r="8481" spans="18:20" x14ac:dyDescent="0.3">
      <c r="R8481" s="255"/>
      <c r="S8481" s="255"/>
      <c r="T8481" s="255"/>
    </row>
    <row r="8482" spans="18:20" x14ac:dyDescent="0.3">
      <c r="R8482" s="255"/>
      <c r="S8482" s="255"/>
      <c r="T8482" s="255"/>
    </row>
    <row r="8483" spans="18:20" x14ac:dyDescent="0.3">
      <c r="R8483" s="255"/>
      <c r="S8483" s="255"/>
      <c r="T8483" s="255"/>
    </row>
    <row r="8484" spans="18:20" x14ac:dyDescent="0.3">
      <c r="R8484" s="255"/>
      <c r="S8484" s="255"/>
      <c r="T8484" s="255"/>
    </row>
    <row r="8485" spans="18:20" x14ac:dyDescent="0.3">
      <c r="R8485" s="255"/>
      <c r="S8485" s="255"/>
      <c r="T8485" s="255"/>
    </row>
    <row r="8486" spans="18:20" x14ac:dyDescent="0.3">
      <c r="R8486" s="255"/>
      <c r="S8486" s="255"/>
      <c r="T8486" s="255"/>
    </row>
    <row r="8487" spans="18:20" x14ac:dyDescent="0.3">
      <c r="R8487" s="255"/>
      <c r="S8487" s="255"/>
      <c r="T8487" s="255"/>
    </row>
    <row r="8488" spans="18:20" x14ac:dyDescent="0.3">
      <c r="R8488" s="255"/>
      <c r="S8488" s="255"/>
      <c r="T8488" s="255"/>
    </row>
    <row r="8489" spans="18:20" x14ac:dyDescent="0.3">
      <c r="R8489" s="255"/>
      <c r="S8489" s="255"/>
      <c r="T8489" s="255"/>
    </row>
    <row r="8490" spans="18:20" x14ac:dyDescent="0.3">
      <c r="R8490" s="255"/>
      <c r="S8490" s="255"/>
      <c r="T8490" s="255"/>
    </row>
    <row r="8491" spans="18:20" x14ac:dyDescent="0.3">
      <c r="R8491" s="255"/>
      <c r="S8491" s="255"/>
      <c r="T8491" s="255"/>
    </row>
    <row r="8492" spans="18:20" x14ac:dyDescent="0.3">
      <c r="R8492" s="255"/>
      <c r="S8492" s="255"/>
      <c r="T8492" s="255"/>
    </row>
    <row r="8493" spans="18:20" x14ac:dyDescent="0.3">
      <c r="R8493" s="255"/>
      <c r="S8493" s="255"/>
      <c r="T8493" s="255"/>
    </row>
    <row r="8494" spans="18:20" x14ac:dyDescent="0.3">
      <c r="R8494" s="255"/>
      <c r="S8494" s="255"/>
      <c r="T8494" s="255"/>
    </row>
    <row r="8495" spans="18:20" x14ac:dyDescent="0.3">
      <c r="R8495" s="255"/>
      <c r="S8495" s="255"/>
      <c r="T8495" s="255"/>
    </row>
    <row r="8496" spans="18:20" x14ac:dyDescent="0.3">
      <c r="R8496" s="255"/>
      <c r="S8496" s="255"/>
      <c r="T8496" s="255"/>
    </row>
    <row r="8497" spans="18:20" x14ac:dyDescent="0.3">
      <c r="R8497" s="255"/>
      <c r="S8497" s="255"/>
      <c r="T8497" s="255"/>
    </row>
    <row r="8498" spans="18:20" x14ac:dyDescent="0.3">
      <c r="R8498" s="255"/>
      <c r="S8498" s="255"/>
      <c r="T8498" s="255"/>
    </row>
    <row r="8499" spans="18:20" x14ac:dyDescent="0.3">
      <c r="R8499" s="255"/>
      <c r="S8499" s="255"/>
      <c r="T8499" s="255"/>
    </row>
    <row r="8500" spans="18:20" x14ac:dyDescent="0.3">
      <c r="R8500" s="255"/>
      <c r="S8500" s="255"/>
      <c r="T8500" s="255"/>
    </row>
    <row r="8501" spans="18:20" x14ac:dyDescent="0.3">
      <c r="R8501" s="255"/>
      <c r="S8501" s="255"/>
      <c r="T8501" s="255"/>
    </row>
    <row r="8502" spans="18:20" x14ac:dyDescent="0.3">
      <c r="R8502" s="255"/>
      <c r="S8502" s="255"/>
      <c r="T8502" s="255"/>
    </row>
    <row r="8503" spans="18:20" x14ac:dyDescent="0.3">
      <c r="R8503" s="255"/>
      <c r="S8503" s="255"/>
      <c r="T8503" s="255"/>
    </row>
    <row r="8504" spans="18:20" x14ac:dyDescent="0.3">
      <c r="R8504" s="255"/>
      <c r="S8504" s="255"/>
      <c r="T8504" s="255"/>
    </row>
    <row r="8505" spans="18:20" x14ac:dyDescent="0.3">
      <c r="R8505" s="255"/>
      <c r="S8505" s="255"/>
      <c r="T8505" s="255"/>
    </row>
    <row r="8506" spans="18:20" x14ac:dyDescent="0.3">
      <c r="R8506" s="255"/>
      <c r="S8506" s="255"/>
      <c r="T8506" s="255"/>
    </row>
    <row r="8507" spans="18:20" x14ac:dyDescent="0.3">
      <c r="R8507" s="255"/>
      <c r="S8507" s="255"/>
      <c r="T8507" s="255"/>
    </row>
    <row r="8508" spans="18:20" x14ac:dyDescent="0.3">
      <c r="R8508" s="255"/>
      <c r="S8508" s="255"/>
      <c r="T8508" s="255"/>
    </row>
    <row r="8509" spans="18:20" x14ac:dyDescent="0.3">
      <c r="R8509" s="255"/>
      <c r="S8509" s="255"/>
      <c r="T8509" s="255"/>
    </row>
    <row r="8510" spans="18:20" x14ac:dyDescent="0.3">
      <c r="R8510" s="255"/>
      <c r="S8510" s="255"/>
      <c r="T8510" s="255"/>
    </row>
    <row r="8511" spans="18:20" x14ac:dyDescent="0.3">
      <c r="R8511" s="255"/>
      <c r="S8511" s="255"/>
      <c r="T8511" s="255"/>
    </row>
    <row r="8512" spans="18:20" x14ac:dyDescent="0.3">
      <c r="R8512" s="255"/>
      <c r="S8512" s="255"/>
      <c r="T8512" s="255"/>
    </row>
    <row r="8513" spans="18:20" x14ac:dyDescent="0.3">
      <c r="R8513" s="255"/>
      <c r="S8513" s="255"/>
      <c r="T8513" s="255"/>
    </row>
    <row r="8514" spans="18:20" x14ac:dyDescent="0.3">
      <c r="R8514" s="255"/>
      <c r="S8514" s="255"/>
      <c r="T8514" s="255"/>
    </row>
    <row r="8515" spans="18:20" x14ac:dyDescent="0.3">
      <c r="R8515" s="255"/>
      <c r="S8515" s="255"/>
      <c r="T8515" s="255"/>
    </row>
    <row r="8516" spans="18:20" x14ac:dyDescent="0.3">
      <c r="R8516" s="255"/>
      <c r="S8516" s="255"/>
      <c r="T8516" s="255"/>
    </row>
    <row r="8517" spans="18:20" x14ac:dyDescent="0.3">
      <c r="R8517" s="255"/>
      <c r="S8517" s="255"/>
      <c r="T8517" s="255"/>
    </row>
    <row r="8518" spans="18:20" x14ac:dyDescent="0.3">
      <c r="R8518" s="255"/>
      <c r="S8518" s="255"/>
      <c r="T8518" s="255"/>
    </row>
    <row r="8519" spans="18:20" x14ac:dyDescent="0.3">
      <c r="R8519" s="255"/>
      <c r="S8519" s="255"/>
      <c r="T8519" s="255"/>
    </row>
    <row r="8520" spans="18:20" x14ac:dyDescent="0.3">
      <c r="R8520" s="255"/>
      <c r="S8520" s="255"/>
      <c r="T8520" s="255"/>
    </row>
    <row r="8521" spans="18:20" x14ac:dyDescent="0.3">
      <c r="R8521" s="255"/>
      <c r="S8521" s="255"/>
      <c r="T8521" s="255"/>
    </row>
    <row r="8522" spans="18:20" x14ac:dyDescent="0.3">
      <c r="R8522" s="255"/>
      <c r="S8522" s="255"/>
      <c r="T8522" s="255"/>
    </row>
    <row r="8523" spans="18:20" x14ac:dyDescent="0.3">
      <c r="R8523" s="255"/>
      <c r="S8523" s="255"/>
      <c r="T8523" s="255"/>
    </row>
    <row r="8524" spans="18:20" x14ac:dyDescent="0.3">
      <c r="R8524" s="255"/>
      <c r="S8524" s="255"/>
      <c r="T8524" s="255"/>
    </row>
    <row r="8525" spans="18:20" x14ac:dyDescent="0.3">
      <c r="R8525" s="255"/>
      <c r="S8525" s="255"/>
      <c r="T8525" s="255"/>
    </row>
    <row r="8526" spans="18:20" x14ac:dyDescent="0.3">
      <c r="R8526" s="255"/>
      <c r="S8526" s="255"/>
      <c r="T8526" s="255"/>
    </row>
    <row r="8527" spans="18:20" x14ac:dyDescent="0.3">
      <c r="R8527" s="255"/>
      <c r="S8527" s="255"/>
      <c r="T8527" s="255"/>
    </row>
    <row r="8528" spans="18:20" x14ac:dyDescent="0.3">
      <c r="R8528" s="255"/>
      <c r="S8528" s="255"/>
      <c r="T8528" s="255"/>
    </row>
    <row r="8529" spans="18:20" x14ac:dyDescent="0.3">
      <c r="R8529" s="255"/>
      <c r="S8529" s="255"/>
      <c r="T8529" s="255"/>
    </row>
    <row r="8530" spans="18:20" x14ac:dyDescent="0.3">
      <c r="R8530" s="255"/>
      <c r="S8530" s="255"/>
      <c r="T8530" s="255"/>
    </row>
    <row r="8531" spans="18:20" x14ac:dyDescent="0.3">
      <c r="R8531" s="255"/>
      <c r="S8531" s="255"/>
      <c r="T8531" s="255"/>
    </row>
    <row r="8532" spans="18:20" x14ac:dyDescent="0.3">
      <c r="R8532" s="255"/>
      <c r="S8532" s="255"/>
      <c r="T8532" s="255"/>
    </row>
    <row r="8533" spans="18:20" x14ac:dyDescent="0.3">
      <c r="R8533" s="255"/>
      <c r="S8533" s="255"/>
      <c r="T8533" s="255"/>
    </row>
    <row r="8534" spans="18:20" x14ac:dyDescent="0.3">
      <c r="R8534" s="255"/>
      <c r="S8534" s="255"/>
      <c r="T8534" s="255"/>
    </row>
    <row r="8535" spans="18:20" x14ac:dyDescent="0.3">
      <c r="R8535" s="255"/>
      <c r="S8535" s="255"/>
      <c r="T8535" s="255"/>
    </row>
    <row r="8536" spans="18:20" x14ac:dyDescent="0.3">
      <c r="R8536" s="255"/>
      <c r="S8536" s="255"/>
      <c r="T8536" s="255"/>
    </row>
    <row r="8537" spans="18:20" x14ac:dyDescent="0.3">
      <c r="R8537" s="255"/>
      <c r="S8537" s="255"/>
      <c r="T8537" s="255"/>
    </row>
    <row r="8538" spans="18:20" x14ac:dyDescent="0.3">
      <c r="R8538" s="255"/>
      <c r="S8538" s="255"/>
      <c r="T8538" s="255"/>
    </row>
    <row r="8539" spans="18:20" x14ac:dyDescent="0.3">
      <c r="R8539" s="255"/>
      <c r="S8539" s="255"/>
      <c r="T8539" s="255"/>
    </row>
    <row r="8540" spans="18:20" x14ac:dyDescent="0.3">
      <c r="R8540" s="255"/>
      <c r="S8540" s="255"/>
      <c r="T8540" s="255"/>
    </row>
    <row r="8541" spans="18:20" x14ac:dyDescent="0.3">
      <c r="R8541" s="255"/>
      <c r="S8541" s="255"/>
      <c r="T8541" s="255"/>
    </row>
    <row r="8542" spans="18:20" x14ac:dyDescent="0.3">
      <c r="R8542" s="255"/>
      <c r="S8542" s="255"/>
      <c r="T8542" s="255"/>
    </row>
    <row r="8543" spans="18:20" x14ac:dyDescent="0.3">
      <c r="R8543" s="255"/>
      <c r="S8543" s="255"/>
      <c r="T8543" s="255"/>
    </row>
    <row r="8544" spans="18:20" x14ac:dyDescent="0.3">
      <c r="R8544" s="255"/>
      <c r="S8544" s="255"/>
      <c r="T8544" s="255"/>
    </row>
    <row r="8545" spans="18:20" x14ac:dyDescent="0.3">
      <c r="R8545" s="255"/>
      <c r="S8545" s="255"/>
      <c r="T8545" s="255"/>
    </row>
    <row r="8546" spans="18:20" x14ac:dyDescent="0.3">
      <c r="R8546" s="255"/>
      <c r="S8546" s="255"/>
      <c r="T8546" s="255"/>
    </row>
    <row r="8547" spans="18:20" x14ac:dyDescent="0.3">
      <c r="R8547" s="255"/>
      <c r="S8547" s="255"/>
      <c r="T8547" s="255"/>
    </row>
    <row r="8548" spans="18:20" x14ac:dyDescent="0.3">
      <c r="R8548" s="255"/>
      <c r="S8548" s="255"/>
      <c r="T8548" s="255"/>
    </row>
    <row r="8549" spans="18:20" x14ac:dyDescent="0.3">
      <c r="R8549" s="255"/>
      <c r="S8549" s="255"/>
      <c r="T8549" s="255"/>
    </row>
    <row r="8550" spans="18:20" x14ac:dyDescent="0.3">
      <c r="R8550" s="255"/>
      <c r="S8550" s="255"/>
      <c r="T8550" s="255"/>
    </row>
    <row r="8551" spans="18:20" x14ac:dyDescent="0.3">
      <c r="R8551" s="255"/>
      <c r="S8551" s="255"/>
      <c r="T8551" s="255"/>
    </row>
    <row r="8552" spans="18:20" x14ac:dyDescent="0.3">
      <c r="R8552" s="255"/>
      <c r="S8552" s="255"/>
      <c r="T8552" s="255"/>
    </row>
    <row r="8553" spans="18:20" x14ac:dyDescent="0.3">
      <c r="R8553" s="255"/>
      <c r="S8553" s="255"/>
      <c r="T8553" s="255"/>
    </row>
    <row r="8554" spans="18:20" x14ac:dyDescent="0.3">
      <c r="R8554" s="255"/>
      <c r="S8554" s="255"/>
      <c r="T8554" s="255"/>
    </row>
    <row r="8555" spans="18:20" x14ac:dyDescent="0.3">
      <c r="R8555" s="255"/>
      <c r="S8555" s="255"/>
      <c r="T8555" s="255"/>
    </row>
    <row r="8556" spans="18:20" x14ac:dyDescent="0.3">
      <c r="R8556" s="255"/>
      <c r="S8556" s="255"/>
      <c r="T8556" s="255"/>
    </row>
    <row r="8557" spans="18:20" x14ac:dyDescent="0.3">
      <c r="R8557" s="255"/>
      <c r="S8557" s="255"/>
      <c r="T8557" s="255"/>
    </row>
    <row r="8558" spans="18:20" x14ac:dyDescent="0.3">
      <c r="R8558" s="255"/>
      <c r="S8558" s="255"/>
      <c r="T8558" s="255"/>
    </row>
    <row r="8559" spans="18:20" x14ac:dyDescent="0.3">
      <c r="R8559" s="255"/>
      <c r="S8559" s="255"/>
      <c r="T8559" s="255"/>
    </row>
    <row r="8560" spans="18:20" x14ac:dyDescent="0.3">
      <c r="R8560" s="255"/>
      <c r="S8560" s="255"/>
      <c r="T8560" s="255"/>
    </row>
    <row r="8561" spans="18:20" x14ac:dyDescent="0.3">
      <c r="R8561" s="255"/>
      <c r="S8561" s="255"/>
      <c r="T8561" s="255"/>
    </row>
    <row r="8562" spans="18:20" x14ac:dyDescent="0.3">
      <c r="R8562" s="255"/>
      <c r="S8562" s="255"/>
      <c r="T8562" s="255"/>
    </row>
    <row r="8563" spans="18:20" x14ac:dyDescent="0.3">
      <c r="R8563" s="255"/>
      <c r="S8563" s="255"/>
      <c r="T8563" s="255"/>
    </row>
    <row r="8564" spans="18:20" x14ac:dyDescent="0.3">
      <c r="R8564" s="255"/>
      <c r="S8564" s="255"/>
      <c r="T8564" s="255"/>
    </row>
    <row r="8565" spans="18:20" x14ac:dyDescent="0.3">
      <c r="R8565" s="255"/>
      <c r="S8565" s="255"/>
      <c r="T8565" s="255"/>
    </row>
    <row r="8566" spans="18:20" x14ac:dyDescent="0.3">
      <c r="R8566" s="255"/>
      <c r="S8566" s="255"/>
      <c r="T8566" s="255"/>
    </row>
    <row r="8567" spans="18:20" x14ac:dyDescent="0.3">
      <c r="R8567" s="255"/>
      <c r="S8567" s="255"/>
      <c r="T8567" s="255"/>
    </row>
    <row r="8568" spans="18:20" x14ac:dyDescent="0.3">
      <c r="R8568" s="255"/>
      <c r="S8568" s="255"/>
      <c r="T8568" s="255"/>
    </row>
    <row r="8569" spans="18:20" x14ac:dyDescent="0.3">
      <c r="R8569" s="255"/>
      <c r="S8569" s="255"/>
      <c r="T8569" s="255"/>
    </row>
    <row r="8570" spans="18:20" x14ac:dyDescent="0.3">
      <c r="R8570" s="255"/>
      <c r="S8570" s="255"/>
      <c r="T8570" s="255"/>
    </row>
    <row r="8571" spans="18:20" x14ac:dyDescent="0.3">
      <c r="R8571" s="255"/>
      <c r="S8571" s="255"/>
      <c r="T8571" s="255"/>
    </row>
    <row r="8572" spans="18:20" x14ac:dyDescent="0.3">
      <c r="R8572" s="255"/>
      <c r="S8572" s="255"/>
      <c r="T8572" s="255"/>
    </row>
    <row r="8573" spans="18:20" x14ac:dyDescent="0.3">
      <c r="R8573" s="255"/>
      <c r="S8573" s="255"/>
      <c r="T8573" s="255"/>
    </row>
    <row r="8574" spans="18:20" x14ac:dyDescent="0.3">
      <c r="R8574" s="255"/>
      <c r="S8574" s="255"/>
      <c r="T8574" s="255"/>
    </row>
    <row r="8575" spans="18:20" x14ac:dyDescent="0.3">
      <c r="R8575" s="255"/>
      <c r="S8575" s="255"/>
      <c r="T8575" s="255"/>
    </row>
    <row r="8576" spans="18:20" x14ac:dyDescent="0.3">
      <c r="R8576" s="255"/>
      <c r="S8576" s="255"/>
      <c r="T8576" s="255"/>
    </row>
    <row r="8577" spans="18:20" x14ac:dyDescent="0.3">
      <c r="R8577" s="255"/>
      <c r="S8577" s="255"/>
      <c r="T8577" s="255"/>
    </row>
    <row r="8578" spans="18:20" x14ac:dyDescent="0.3">
      <c r="R8578" s="255"/>
      <c r="S8578" s="255"/>
      <c r="T8578" s="255"/>
    </row>
    <row r="8579" spans="18:20" x14ac:dyDescent="0.3">
      <c r="R8579" s="255"/>
      <c r="S8579" s="255"/>
      <c r="T8579" s="255"/>
    </row>
    <row r="8580" spans="18:20" x14ac:dyDescent="0.3">
      <c r="R8580" s="255"/>
      <c r="S8580" s="255"/>
      <c r="T8580" s="255"/>
    </row>
    <row r="8581" spans="18:20" x14ac:dyDescent="0.3">
      <c r="R8581" s="255"/>
      <c r="S8581" s="255"/>
      <c r="T8581" s="255"/>
    </row>
    <row r="8582" spans="18:20" x14ac:dyDescent="0.3">
      <c r="R8582" s="255"/>
      <c r="S8582" s="255"/>
      <c r="T8582" s="255"/>
    </row>
    <row r="8583" spans="18:20" x14ac:dyDescent="0.3">
      <c r="R8583" s="255"/>
      <c r="S8583" s="255"/>
      <c r="T8583" s="255"/>
    </row>
    <row r="8584" spans="18:20" x14ac:dyDescent="0.3">
      <c r="R8584" s="255"/>
      <c r="S8584" s="255"/>
      <c r="T8584" s="255"/>
    </row>
    <row r="8585" spans="18:20" x14ac:dyDescent="0.3">
      <c r="R8585" s="255"/>
      <c r="S8585" s="255"/>
      <c r="T8585" s="255"/>
    </row>
    <row r="8586" spans="18:20" x14ac:dyDescent="0.3">
      <c r="R8586" s="255"/>
      <c r="S8586" s="255"/>
      <c r="T8586" s="255"/>
    </row>
    <row r="8587" spans="18:20" x14ac:dyDescent="0.3">
      <c r="R8587" s="255"/>
      <c r="S8587" s="255"/>
      <c r="T8587" s="255"/>
    </row>
    <row r="8588" spans="18:20" x14ac:dyDescent="0.3">
      <c r="R8588" s="255"/>
      <c r="S8588" s="255"/>
      <c r="T8588" s="255"/>
    </row>
    <row r="8589" spans="18:20" x14ac:dyDescent="0.3">
      <c r="R8589" s="255"/>
      <c r="S8589" s="255"/>
      <c r="T8589" s="255"/>
    </row>
    <row r="8590" spans="18:20" x14ac:dyDescent="0.3">
      <c r="R8590" s="255"/>
      <c r="S8590" s="255"/>
      <c r="T8590" s="255"/>
    </row>
    <row r="8591" spans="18:20" x14ac:dyDescent="0.3">
      <c r="R8591" s="255"/>
      <c r="S8591" s="255"/>
      <c r="T8591" s="255"/>
    </row>
    <row r="8592" spans="18:20" x14ac:dyDescent="0.3">
      <c r="R8592" s="255"/>
      <c r="S8592" s="255"/>
      <c r="T8592" s="255"/>
    </row>
    <row r="8593" spans="18:20" x14ac:dyDescent="0.3">
      <c r="R8593" s="255"/>
      <c r="S8593" s="255"/>
      <c r="T8593" s="255"/>
    </row>
    <row r="8594" spans="18:20" x14ac:dyDescent="0.3">
      <c r="R8594" s="255"/>
      <c r="S8594" s="255"/>
      <c r="T8594" s="255"/>
    </row>
    <row r="8595" spans="18:20" x14ac:dyDescent="0.3">
      <c r="R8595" s="255"/>
      <c r="S8595" s="255"/>
      <c r="T8595" s="255"/>
    </row>
    <row r="8596" spans="18:20" x14ac:dyDescent="0.3">
      <c r="R8596" s="255"/>
      <c r="S8596" s="255"/>
      <c r="T8596" s="255"/>
    </row>
    <row r="8597" spans="18:20" x14ac:dyDescent="0.3">
      <c r="R8597" s="255"/>
      <c r="S8597" s="255"/>
      <c r="T8597" s="255"/>
    </row>
    <row r="8598" spans="18:20" x14ac:dyDescent="0.3">
      <c r="R8598" s="255"/>
      <c r="S8598" s="255"/>
      <c r="T8598" s="255"/>
    </row>
    <row r="8599" spans="18:20" x14ac:dyDescent="0.3">
      <c r="R8599" s="255"/>
      <c r="S8599" s="255"/>
      <c r="T8599" s="255"/>
    </row>
    <row r="8600" spans="18:20" x14ac:dyDescent="0.3">
      <c r="R8600" s="255"/>
      <c r="S8600" s="255"/>
      <c r="T8600" s="255"/>
    </row>
    <row r="8601" spans="18:20" x14ac:dyDescent="0.3">
      <c r="R8601" s="255"/>
      <c r="S8601" s="255"/>
      <c r="T8601" s="255"/>
    </row>
    <row r="8602" spans="18:20" x14ac:dyDescent="0.3">
      <c r="R8602" s="255"/>
      <c r="S8602" s="255"/>
      <c r="T8602" s="255"/>
    </row>
    <row r="8603" spans="18:20" x14ac:dyDescent="0.3">
      <c r="R8603" s="255"/>
      <c r="S8603" s="255"/>
      <c r="T8603" s="255"/>
    </row>
    <row r="8604" spans="18:20" x14ac:dyDescent="0.3">
      <c r="R8604" s="255"/>
      <c r="S8604" s="255"/>
      <c r="T8604" s="255"/>
    </row>
    <row r="8605" spans="18:20" x14ac:dyDescent="0.3">
      <c r="R8605" s="255"/>
      <c r="S8605" s="255"/>
      <c r="T8605" s="255"/>
    </row>
    <row r="8606" spans="18:20" x14ac:dyDescent="0.3">
      <c r="R8606" s="255"/>
      <c r="S8606" s="255"/>
      <c r="T8606" s="255"/>
    </row>
    <row r="8607" spans="18:20" x14ac:dyDescent="0.3">
      <c r="R8607" s="255"/>
      <c r="S8607" s="255"/>
      <c r="T8607" s="255"/>
    </row>
    <row r="8608" spans="18:20" x14ac:dyDescent="0.3">
      <c r="R8608" s="255"/>
      <c r="S8608" s="255"/>
      <c r="T8608" s="255"/>
    </row>
    <row r="8609" spans="18:20" x14ac:dyDescent="0.3">
      <c r="R8609" s="255"/>
      <c r="S8609" s="255"/>
      <c r="T8609" s="255"/>
    </row>
    <row r="8610" spans="18:20" x14ac:dyDescent="0.3">
      <c r="R8610" s="255"/>
      <c r="S8610" s="255"/>
      <c r="T8610" s="255"/>
    </row>
    <row r="8611" spans="18:20" x14ac:dyDescent="0.3">
      <c r="R8611" s="255"/>
      <c r="S8611" s="255"/>
      <c r="T8611" s="255"/>
    </row>
    <row r="8612" spans="18:20" x14ac:dyDescent="0.3">
      <c r="R8612" s="255"/>
      <c r="S8612" s="255"/>
      <c r="T8612" s="255"/>
    </row>
    <row r="8613" spans="18:20" x14ac:dyDescent="0.3">
      <c r="R8613" s="255"/>
      <c r="S8613" s="255"/>
      <c r="T8613" s="255"/>
    </row>
    <row r="8614" spans="18:20" x14ac:dyDescent="0.3">
      <c r="R8614" s="255"/>
      <c r="S8614" s="255"/>
      <c r="T8614" s="255"/>
    </row>
    <row r="8615" spans="18:20" x14ac:dyDescent="0.3">
      <c r="R8615" s="255"/>
      <c r="S8615" s="255"/>
      <c r="T8615" s="255"/>
    </row>
    <row r="8616" spans="18:20" x14ac:dyDescent="0.3">
      <c r="R8616" s="255"/>
      <c r="S8616" s="255"/>
      <c r="T8616" s="255"/>
    </row>
    <row r="8617" spans="18:20" x14ac:dyDescent="0.3">
      <c r="R8617" s="255"/>
      <c r="S8617" s="255"/>
      <c r="T8617" s="255"/>
    </row>
    <row r="8618" spans="18:20" x14ac:dyDescent="0.3">
      <c r="R8618" s="255"/>
      <c r="S8618" s="255"/>
      <c r="T8618" s="255"/>
    </row>
    <row r="8619" spans="18:20" x14ac:dyDescent="0.3">
      <c r="R8619" s="255"/>
      <c r="S8619" s="255"/>
      <c r="T8619" s="255"/>
    </row>
    <row r="8620" spans="18:20" x14ac:dyDescent="0.3">
      <c r="R8620" s="255"/>
      <c r="S8620" s="255"/>
      <c r="T8620" s="255"/>
    </row>
    <row r="8621" spans="18:20" x14ac:dyDescent="0.3">
      <c r="R8621" s="255"/>
      <c r="S8621" s="255"/>
      <c r="T8621" s="255"/>
    </row>
    <row r="8622" spans="18:20" x14ac:dyDescent="0.3">
      <c r="R8622" s="255"/>
      <c r="S8622" s="255"/>
      <c r="T8622" s="255"/>
    </row>
    <row r="8623" spans="18:20" x14ac:dyDescent="0.3">
      <c r="R8623" s="255"/>
      <c r="S8623" s="255"/>
      <c r="T8623" s="255"/>
    </row>
    <row r="8624" spans="18:20" x14ac:dyDescent="0.3">
      <c r="R8624" s="255"/>
      <c r="S8624" s="255"/>
      <c r="T8624" s="255"/>
    </row>
    <row r="8625" spans="18:20" x14ac:dyDescent="0.3">
      <c r="R8625" s="255"/>
      <c r="S8625" s="255"/>
      <c r="T8625" s="255"/>
    </row>
    <row r="8626" spans="18:20" x14ac:dyDescent="0.3">
      <c r="R8626" s="255"/>
      <c r="S8626" s="255"/>
      <c r="T8626" s="255"/>
    </row>
    <row r="8627" spans="18:20" x14ac:dyDescent="0.3">
      <c r="R8627" s="255"/>
      <c r="S8627" s="255"/>
      <c r="T8627" s="255"/>
    </row>
    <row r="8628" spans="18:20" x14ac:dyDescent="0.3">
      <c r="R8628" s="255"/>
      <c r="S8628" s="255"/>
      <c r="T8628" s="255"/>
    </row>
    <row r="8629" spans="18:20" x14ac:dyDescent="0.3">
      <c r="R8629" s="255"/>
      <c r="S8629" s="255"/>
      <c r="T8629" s="255"/>
    </row>
    <row r="8630" spans="18:20" x14ac:dyDescent="0.3">
      <c r="R8630" s="255"/>
      <c r="S8630" s="255"/>
      <c r="T8630" s="255"/>
    </row>
    <row r="8631" spans="18:20" x14ac:dyDescent="0.3">
      <c r="R8631" s="255"/>
      <c r="S8631" s="255"/>
      <c r="T8631" s="255"/>
    </row>
    <row r="8632" spans="18:20" x14ac:dyDescent="0.3">
      <c r="R8632" s="255"/>
      <c r="S8632" s="255"/>
      <c r="T8632" s="255"/>
    </row>
    <row r="8633" spans="18:20" x14ac:dyDescent="0.3">
      <c r="R8633" s="255"/>
      <c r="S8633" s="255"/>
      <c r="T8633" s="255"/>
    </row>
    <row r="8634" spans="18:20" x14ac:dyDescent="0.3">
      <c r="R8634" s="255"/>
      <c r="S8634" s="255"/>
      <c r="T8634" s="255"/>
    </row>
    <row r="8635" spans="18:20" x14ac:dyDescent="0.3">
      <c r="R8635" s="255"/>
      <c r="S8635" s="255"/>
      <c r="T8635" s="255"/>
    </row>
    <row r="8636" spans="18:20" x14ac:dyDescent="0.3">
      <c r="R8636" s="255"/>
      <c r="S8636" s="255"/>
      <c r="T8636" s="255"/>
    </row>
    <row r="8637" spans="18:20" x14ac:dyDescent="0.3">
      <c r="R8637" s="255"/>
      <c r="S8637" s="255"/>
      <c r="T8637" s="255"/>
    </row>
    <row r="8638" spans="18:20" x14ac:dyDescent="0.3">
      <c r="R8638" s="255"/>
      <c r="S8638" s="255"/>
      <c r="T8638" s="255"/>
    </row>
    <row r="8639" spans="18:20" x14ac:dyDescent="0.3">
      <c r="R8639" s="255"/>
      <c r="S8639" s="255"/>
      <c r="T8639" s="255"/>
    </row>
    <row r="8640" spans="18:20" x14ac:dyDescent="0.3">
      <c r="R8640" s="255"/>
      <c r="S8640" s="255"/>
      <c r="T8640" s="255"/>
    </row>
    <row r="8641" spans="18:20" x14ac:dyDescent="0.3">
      <c r="R8641" s="255"/>
      <c r="S8641" s="255"/>
      <c r="T8641" s="255"/>
    </row>
    <row r="8642" spans="18:20" x14ac:dyDescent="0.3">
      <c r="R8642" s="255"/>
      <c r="S8642" s="255"/>
      <c r="T8642" s="255"/>
    </row>
    <row r="8643" spans="18:20" x14ac:dyDescent="0.3">
      <c r="R8643" s="255"/>
      <c r="S8643" s="255"/>
      <c r="T8643" s="255"/>
    </row>
    <row r="8644" spans="18:20" x14ac:dyDescent="0.3">
      <c r="R8644" s="255"/>
      <c r="S8644" s="255"/>
      <c r="T8644" s="255"/>
    </row>
    <row r="8645" spans="18:20" x14ac:dyDescent="0.3">
      <c r="R8645" s="255"/>
      <c r="S8645" s="255"/>
      <c r="T8645" s="255"/>
    </row>
    <row r="8646" spans="18:20" x14ac:dyDescent="0.3">
      <c r="R8646" s="255"/>
      <c r="S8646" s="255"/>
      <c r="T8646" s="255"/>
    </row>
    <row r="8647" spans="18:20" x14ac:dyDescent="0.3">
      <c r="R8647" s="255"/>
      <c r="S8647" s="255"/>
      <c r="T8647" s="255"/>
    </row>
    <row r="8648" spans="18:20" x14ac:dyDescent="0.3">
      <c r="R8648" s="255"/>
      <c r="S8648" s="255"/>
      <c r="T8648" s="255"/>
    </row>
    <row r="8649" spans="18:20" x14ac:dyDescent="0.3">
      <c r="R8649" s="255"/>
      <c r="S8649" s="255"/>
      <c r="T8649" s="255"/>
    </row>
    <row r="8650" spans="18:20" x14ac:dyDescent="0.3">
      <c r="R8650" s="255"/>
      <c r="S8650" s="255"/>
      <c r="T8650" s="255"/>
    </row>
    <row r="8651" spans="18:20" x14ac:dyDescent="0.3">
      <c r="R8651" s="255"/>
      <c r="S8651" s="255"/>
      <c r="T8651" s="255"/>
    </row>
    <row r="8652" spans="18:20" x14ac:dyDescent="0.3">
      <c r="R8652" s="255"/>
      <c r="S8652" s="255"/>
      <c r="T8652" s="255"/>
    </row>
    <row r="8653" spans="18:20" x14ac:dyDescent="0.3">
      <c r="R8653" s="255"/>
      <c r="S8653" s="255"/>
      <c r="T8653" s="255"/>
    </row>
    <row r="8654" spans="18:20" x14ac:dyDescent="0.3">
      <c r="R8654" s="255"/>
      <c r="S8654" s="255"/>
      <c r="T8654" s="255"/>
    </row>
    <row r="8655" spans="18:20" x14ac:dyDescent="0.3">
      <c r="R8655" s="255"/>
      <c r="S8655" s="255"/>
      <c r="T8655" s="255"/>
    </row>
    <row r="8656" spans="18:20" x14ac:dyDescent="0.3">
      <c r="R8656" s="255"/>
      <c r="S8656" s="255"/>
      <c r="T8656" s="255"/>
    </row>
    <row r="8657" spans="18:20" x14ac:dyDescent="0.3">
      <c r="R8657" s="255"/>
      <c r="S8657" s="255"/>
      <c r="T8657" s="255"/>
    </row>
    <row r="8658" spans="18:20" x14ac:dyDescent="0.3">
      <c r="R8658" s="255"/>
      <c r="S8658" s="255"/>
      <c r="T8658" s="255"/>
    </row>
    <row r="8659" spans="18:20" x14ac:dyDescent="0.3">
      <c r="R8659" s="255"/>
      <c r="S8659" s="255"/>
      <c r="T8659" s="255"/>
    </row>
    <row r="8660" spans="18:20" x14ac:dyDescent="0.3">
      <c r="R8660" s="255"/>
      <c r="S8660" s="255"/>
      <c r="T8660" s="255"/>
    </row>
    <row r="8661" spans="18:20" x14ac:dyDescent="0.3">
      <c r="R8661" s="255"/>
      <c r="S8661" s="255"/>
      <c r="T8661" s="255"/>
    </row>
    <row r="8662" spans="18:20" x14ac:dyDescent="0.3">
      <c r="R8662" s="255"/>
      <c r="S8662" s="255"/>
      <c r="T8662" s="255"/>
    </row>
    <row r="8663" spans="18:20" x14ac:dyDescent="0.3">
      <c r="R8663" s="255"/>
      <c r="S8663" s="255"/>
      <c r="T8663" s="255"/>
    </row>
    <row r="8664" spans="18:20" x14ac:dyDescent="0.3">
      <c r="R8664" s="255"/>
      <c r="S8664" s="255"/>
      <c r="T8664" s="255"/>
    </row>
    <row r="8665" spans="18:20" x14ac:dyDescent="0.3">
      <c r="R8665" s="255"/>
      <c r="S8665" s="255"/>
      <c r="T8665" s="255"/>
    </row>
    <row r="8666" spans="18:20" x14ac:dyDescent="0.3">
      <c r="R8666" s="255"/>
      <c r="S8666" s="255"/>
      <c r="T8666" s="255"/>
    </row>
    <row r="8667" spans="18:20" x14ac:dyDescent="0.3">
      <c r="R8667" s="255"/>
      <c r="S8667" s="255"/>
      <c r="T8667" s="255"/>
    </row>
    <row r="8668" spans="18:20" x14ac:dyDescent="0.3">
      <c r="R8668" s="255"/>
      <c r="S8668" s="255"/>
      <c r="T8668" s="255"/>
    </row>
    <row r="8669" spans="18:20" x14ac:dyDescent="0.3">
      <c r="R8669" s="255"/>
      <c r="S8669" s="255"/>
      <c r="T8669" s="255"/>
    </row>
    <row r="8670" spans="18:20" x14ac:dyDescent="0.3">
      <c r="R8670" s="255"/>
      <c r="S8670" s="255"/>
      <c r="T8670" s="255"/>
    </row>
    <row r="8671" spans="18:20" x14ac:dyDescent="0.3">
      <c r="R8671" s="255"/>
      <c r="S8671" s="255"/>
      <c r="T8671" s="255"/>
    </row>
    <row r="8672" spans="18:20" x14ac:dyDescent="0.3">
      <c r="R8672" s="255"/>
      <c r="S8672" s="255"/>
      <c r="T8672" s="255"/>
    </row>
    <row r="8673" spans="18:20" x14ac:dyDescent="0.3">
      <c r="R8673" s="255"/>
      <c r="S8673" s="255"/>
      <c r="T8673" s="255"/>
    </row>
    <row r="8674" spans="18:20" x14ac:dyDescent="0.3">
      <c r="R8674" s="255"/>
      <c r="S8674" s="255"/>
      <c r="T8674" s="255"/>
    </row>
    <row r="8675" spans="18:20" x14ac:dyDescent="0.3">
      <c r="R8675" s="255"/>
      <c r="S8675" s="255"/>
      <c r="T8675" s="255"/>
    </row>
    <row r="8676" spans="18:20" x14ac:dyDescent="0.3">
      <c r="R8676" s="255"/>
      <c r="S8676" s="255"/>
      <c r="T8676" s="255"/>
    </row>
    <row r="8677" spans="18:20" x14ac:dyDescent="0.3">
      <c r="R8677" s="255"/>
      <c r="S8677" s="255"/>
      <c r="T8677" s="255"/>
    </row>
    <row r="8678" spans="18:20" x14ac:dyDescent="0.3">
      <c r="R8678" s="255"/>
      <c r="S8678" s="255"/>
      <c r="T8678" s="255"/>
    </row>
    <row r="8679" spans="18:20" x14ac:dyDescent="0.3">
      <c r="R8679" s="255"/>
      <c r="S8679" s="255"/>
      <c r="T8679" s="255"/>
    </row>
    <row r="8680" spans="18:20" x14ac:dyDescent="0.3">
      <c r="R8680" s="255"/>
      <c r="S8680" s="255"/>
      <c r="T8680" s="255"/>
    </row>
    <row r="8681" spans="18:20" x14ac:dyDescent="0.3">
      <c r="R8681" s="255"/>
      <c r="S8681" s="255"/>
      <c r="T8681" s="255"/>
    </row>
    <row r="8682" spans="18:20" x14ac:dyDescent="0.3">
      <c r="R8682" s="255"/>
      <c r="S8682" s="255"/>
      <c r="T8682" s="255"/>
    </row>
    <row r="8683" spans="18:20" x14ac:dyDescent="0.3">
      <c r="R8683" s="255"/>
      <c r="S8683" s="255"/>
      <c r="T8683" s="255"/>
    </row>
    <row r="8684" spans="18:20" x14ac:dyDescent="0.3">
      <c r="R8684" s="255"/>
      <c r="S8684" s="255"/>
      <c r="T8684" s="255"/>
    </row>
    <row r="8685" spans="18:20" x14ac:dyDescent="0.3">
      <c r="R8685" s="255"/>
      <c r="S8685" s="255"/>
      <c r="T8685" s="255"/>
    </row>
    <row r="8686" spans="18:20" x14ac:dyDescent="0.3">
      <c r="R8686" s="255"/>
      <c r="S8686" s="255"/>
      <c r="T8686" s="255"/>
    </row>
    <row r="8687" spans="18:20" x14ac:dyDescent="0.3">
      <c r="R8687" s="255"/>
      <c r="S8687" s="255"/>
      <c r="T8687" s="255"/>
    </row>
    <row r="8688" spans="18:20" x14ac:dyDescent="0.3">
      <c r="R8688" s="255"/>
      <c r="S8688" s="255"/>
      <c r="T8688" s="255"/>
    </row>
    <row r="8689" spans="18:20" x14ac:dyDescent="0.3">
      <c r="R8689" s="255"/>
      <c r="S8689" s="255"/>
      <c r="T8689" s="255"/>
    </row>
    <row r="8690" spans="18:20" x14ac:dyDescent="0.3">
      <c r="R8690" s="255"/>
      <c r="S8690" s="255"/>
      <c r="T8690" s="255"/>
    </row>
    <row r="8691" spans="18:20" x14ac:dyDescent="0.3">
      <c r="R8691" s="255"/>
      <c r="S8691" s="255"/>
      <c r="T8691" s="255"/>
    </row>
    <row r="8692" spans="18:20" x14ac:dyDescent="0.3">
      <c r="R8692" s="255"/>
      <c r="S8692" s="255"/>
      <c r="T8692" s="255"/>
    </row>
    <row r="8693" spans="18:20" x14ac:dyDescent="0.3">
      <c r="R8693" s="255"/>
      <c r="S8693" s="255"/>
      <c r="T8693" s="255"/>
    </row>
    <row r="8694" spans="18:20" x14ac:dyDescent="0.3">
      <c r="R8694" s="255"/>
      <c r="S8694" s="255"/>
      <c r="T8694" s="255"/>
    </row>
    <row r="8695" spans="18:20" x14ac:dyDescent="0.3">
      <c r="R8695" s="255"/>
      <c r="S8695" s="255"/>
      <c r="T8695" s="255"/>
    </row>
    <row r="8696" spans="18:20" x14ac:dyDescent="0.3">
      <c r="R8696" s="255"/>
      <c r="S8696" s="255"/>
      <c r="T8696" s="255"/>
    </row>
    <row r="8697" spans="18:20" x14ac:dyDescent="0.3">
      <c r="R8697" s="255"/>
      <c r="S8697" s="255"/>
      <c r="T8697" s="255"/>
    </row>
    <row r="8698" spans="18:20" x14ac:dyDescent="0.3">
      <c r="R8698" s="255"/>
      <c r="S8698" s="255"/>
      <c r="T8698" s="255"/>
    </row>
    <row r="8699" spans="18:20" x14ac:dyDescent="0.3">
      <c r="R8699" s="255"/>
      <c r="S8699" s="255"/>
      <c r="T8699" s="255"/>
    </row>
    <row r="8700" spans="18:20" x14ac:dyDescent="0.3">
      <c r="R8700" s="255"/>
      <c r="S8700" s="255"/>
      <c r="T8700" s="255"/>
    </row>
    <row r="8701" spans="18:20" x14ac:dyDescent="0.3">
      <c r="R8701" s="255"/>
      <c r="S8701" s="255"/>
      <c r="T8701" s="255"/>
    </row>
    <row r="8702" spans="18:20" x14ac:dyDescent="0.3">
      <c r="R8702" s="255"/>
      <c r="S8702" s="255"/>
      <c r="T8702" s="255"/>
    </row>
    <row r="8703" spans="18:20" x14ac:dyDescent="0.3">
      <c r="R8703" s="255"/>
      <c r="S8703" s="255"/>
      <c r="T8703" s="255"/>
    </row>
    <row r="8704" spans="18:20" x14ac:dyDescent="0.3">
      <c r="R8704" s="255"/>
      <c r="S8704" s="255"/>
      <c r="T8704" s="255"/>
    </row>
    <row r="8705" spans="18:20" x14ac:dyDescent="0.3">
      <c r="R8705" s="255"/>
      <c r="S8705" s="255"/>
      <c r="T8705" s="255"/>
    </row>
    <row r="8706" spans="18:20" x14ac:dyDescent="0.3">
      <c r="R8706" s="255"/>
      <c r="S8706" s="255"/>
      <c r="T8706" s="255"/>
    </row>
    <row r="8707" spans="18:20" x14ac:dyDescent="0.3">
      <c r="R8707" s="255"/>
      <c r="S8707" s="255"/>
      <c r="T8707" s="255"/>
    </row>
    <row r="8708" spans="18:20" x14ac:dyDescent="0.3">
      <c r="R8708" s="255"/>
      <c r="S8708" s="255"/>
      <c r="T8708" s="255"/>
    </row>
    <row r="8709" spans="18:20" x14ac:dyDescent="0.3">
      <c r="R8709" s="255"/>
      <c r="S8709" s="255"/>
      <c r="T8709" s="255"/>
    </row>
    <row r="8710" spans="18:20" x14ac:dyDescent="0.3">
      <c r="R8710" s="255"/>
      <c r="S8710" s="255"/>
      <c r="T8710" s="255"/>
    </row>
    <row r="8711" spans="18:20" x14ac:dyDescent="0.3">
      <c r="R8711" s="255"/>
      <c r="S8711" s="255"/>
      <c r="T8711" s="255"/>
    </row>
    <row r="8712" spans="18:20" x14ac:dyDescent="0.3">
      <c r="R8712" s="255"/>
      <c r="S8712" s="255"/>
      <c r="T8712" s="255"/>
    </row>
    <row r="8713" spans="18:20" x14ac:dyDescent="0.3">
      <c r="R8713" s="255"/>
      <c r="S8713" s="255"/>
      <c r="T8713" s="255"/>
    </row>
    <row r="8714" spans="18:20" x14ac:dyDescent="0.3">
      <c r="R8714" s="255"/>
      <c r="S8714" s="255"/>
      <c r="T8714" s="255"/>
    </row>
    <row r="8715" spans="18:20" x14ac:dyDescent="0.3">
      <c r="R8715" s="255"/>
      <c r="S8715" s="255"/>
      <c r="T8715" s="255"/>
    </row>
    <row r="8716" spans="18:20" x14ac:dyDescent="0.3">
      <c r="R8716" s="255"/>
      <c r="S8716" s="255"/>
      <c r="T8716" s="255"/>
    </row>
    <row r="8717" spans="18:20" x14ac:dyDescent="0.3">
      <c r="R8717" s="255"/>
      <c r="S8717" s="255"/>
      <c r="T8717" s="255"/>
    </row>
    <row r="8718" spans="18:20" x14ac:dyDescent="0.3">
      <c r="R8718" s="255"/>
      <c r="S8718" s="255"/>
      <c r="T8718" s="255"/>
    </row>
    <row r="8719" spans="18:20" x14ac:dyDescent="0.3">
      <c r="R8719" s="255"/>
      <c r="S8719" s="255"/>
      <c r="T8719" s="255"/>
    </row>
    <row r="8720" spans="18:20" x14ac:dyDescent="0.3">
      <c r="R8720" s="255"/>
      <c r="S8720" s="255"/>
      <c r="T8720" s="255"/>
    </row>
    <row r="8721" spans="18:20" x14ac:dyDescent="0.3">
      <c r="R8721" s="255"/>
      <c r="S8721" s="255"/>
      <c r="T8721" s="255"/>
    </row>
    <row r="8722" spans="18:20" x14ac:dyDescent="0.3">
      <c r="R8722" s="255"/>
      <c r="S8722" s="255"/>
      <c r="T8722" s="255"/>
    </row>
    <row r="8723" spans="18:20" x14ac:dyDescent="0.3">
      <c r="R8723" s="255"/>
      <c r="S8723" s="255"/>
      <c r="T8723" s="255"/>
    </row>
    <row r="8724" spans="18:20" x14ac:dyDescent="0.3">
      <c r="R8724" s="255"/>
      <c r="S8724" s="255"/>
      <c r="T8724" s="255"/>
    </row>
    <row r="8725" spans="18:20" x14ac:dyDescent="0.3">
      <c r="R8725" s="255"/>
      <c r="S8725" s="255"/>
      <c r="T8725" s="255"/>
    </row>
    <row r="8726" spans="18:20" x14ac:dyDescent="0.3">
      <c r="R8726" s="255"/>
      <c r="S8726" s="255"/>
      <c r="T8726" s="255"/>
    </row>
    <row r="8727" spans="18:20" x14ac:dyDescent="0.3">
      <c r="R8727" s="255"/>
      <c r="S8727" s="255"/>
      <c r="T8727" s="255"/>
    </row>
    <row r="8728" spans="18:20" x14ac:dyDescent="0.3">
      <c r="R8728" s="255"/>
      <c r="S8728" s="255"/>
      <c r="T8728" s="255"/>
    </row>
    <row r="8729" spans="18:20" x14ac:dyDescent="0.3">
      <c r="R8729" s="255"/>
      <c r="S8729" s="255"/>
      <c r="T8729" s="255"/>
    </row>
    <row r="8730" spans="18:20" x14ac:dyDescent="0.3">
      <c r="R8730" s="255"/>
      <c r="S8730" s="255"/>
      <c r="T8730" s="255"/>
    </row>
    <row r="8731" spans="18:20" x14ac:dyDescent="0.3">
      <c r="R8731" s="255"/>
      <c r="S8731" s="255"/>
      <c r="T8731" s="255"/>
    </row>
    <row r="8732" spans="18:20" x14ac:dyDescent="0.3">
      <c r="R8732" s="255"/>
      <c r="S8732" s="255"/>
      <c r="T8732" s="255"/>
    </row>
    <row r="8733" spans="18:20" x14ac:dyDescent="0.3">
      <c r="R8733" s="255"/>
      <c r="S8733" s="255"/>
      <c r="T8733" s="255"/>
    </row>
    <row r="8734" spans="18:20" x14ac:dyDescent="0.3">
      <c r="R8734" s="255"/>
      <c r="S8734" s="255"/>
      <c r="T8734" s="255"/>
    </row>
    <row r="8735" spans="18:20" x14ac:dyDescent="0.3">
      <c r="R8735" s="255"/>
      <c r="S8735" s="255"/>
      <c r="T8735" s="255"/>
    </row>
    <row r="8736" spans="18:20" x14ac:dyDescent="0.3">
      <c r="R8736" s="255"/>
      <c r="S8736" s="255"/>
      <c r="T8736" s="255"/>
    </row>
    <row r="8737" spans="18:20" x14ac:dyDescent="0.3">
      <c r="R8737" s="255"/>
      <c r="S8737" s="255"/>
      <c r="T8737" s="255"/>
    </row>
    <row r="8738" spans="18:20" x14ac:dyDescent="0.3">
      <c r="R8738" s="255"/>
      <c r="S8738" s="255"/>
      <c r="T8738" s="255"/>
    </row>
    <row r="8739" spans="18:20" x14ac:dyDescent="0.3">
      <c r="R8739" s="255"/>
      <c r="S8739" s="255"/>
      <c r="T8739" s="255"/>
    </row>
    <row r="8740" spans="18:20" x14ac:dyDescent="0.3">
      <c r="R8740" s="255"/>
      <c r="S8740" s="255"/>
      <c r="T8740" s="255"/>
    </row>
    <row r="8741" spans="18:20" x14ac:dyDescent="0.3">
      <c r="R8741" s="255"/>
      <c r="S8741" s="255"/>
      <c r="T8741" s="255"/>
    </row>
    <row r="8742" spans="18:20" x14ac:dyDescent="0.3">
      <c r="R8742" s="255"/>
      <c r="S8742" s="255"/>
      <c r="T8742" s="255"/>
    </row>
    <row r="8743" spans="18:20" x14ac:dyDescent="0.3">
      <c r="R8743" s="255"/>
      <c r="S8743" s="255"/>
      <c r="T8743" s="255"/>
    </row>
    <row r="8744" spans="18:20" x14ac:dyDescent="0.3">
      <c r="R8744" s="255"/>
      <c r="S8744" s="255"/>
      <c r="T8744" s="255"/>
    </row>
    <row r="8745" spans="18:20" x14ac:dyDescent="0.3">
      <c r="R8745" s="255"/>
      <c r="S8745" s="255"/>
      <c r="T8745" s="255"/>
    </row>
    <row r="8746" spans="18:20" x14ac:dyDescent="0.3">
      <c r="R8746" s="255"/>
      <c r="S8746" s="255"/>
      <c r="T8746" s="255"/>
    </row>
    <row r="8747" spans="18:20" x14ac:dyDescent="0.3">
      <c r="R8747" s="255"/>
      <c r="S8747" s="255"/>
      <c r="T8747" s="255"/>
    </row>
    <row r="8748" spans="18:20" x14ac:dyDescent="0.3">
      <c r="R8748" s="255"/>
      <c r="S8748" s="255"/>
      <c r="T8748" s="255"/>
    </row>
    <row r="8749" spans="18:20" x14ac:dyDescent="0.3">
      <c r="R8749" s="255"/>
      <c r="S8749" s="255"/>
      <c r="T8749" s="255"/>
    </row>
    <row r="8750" spans="18:20" x14ac:dyDescent="0.3">
      <c r="R8750" s="255"/>
      <c r="S8750" s="255"/>
      <c r="T8750" s="255"/>
    </row>
    <row r="8751" spans="18:20" x14ac:dyDescent="0.3">
      <c r="R8751" s="255"/>
      <c r="S8751" s="255"/>
      <c r="T8751" s="255"/>
    </row>
    <row r="8752" spans="18:20" x14ac:dyDescent="0.3">
      <c r="R8752" s="255"/>
      <c r="S8752" s="255"/>
      <c r="T8752" s="255"/>
    </row>
    <row r="8753" spans="18:20" x14ac:dyDescent="0.3">
      <c r="R8753" s="255"/>
      <c r="S8753" s="255"/>
      <c r="T8753" s="255"/>
    </row>
    <row r="8754" spans="18:20" x14ac:dyDescent="0.3">
      <c r="R8754" s="255"/>
      <c r="S8754" s="255"/>
      <c r="T8754" s="255"/>
    </row>
    <row r="8755" spans="18:20" x14ac:dyDescent="0.3">
      <c r="R8755" s="255"/>
      <c r="S8755" s="255"/>
      <c r="T8755" s="255"/>
    </row>
    <row r="8756" spans="18:20" x14ac:dyDescent="0.3">
      <c r="R8756" s="255"/>
      <c r="S8756" s="255"/>
      <c r="T8756" s="255"/>
    </row>
    <row r="8757" spans="18:20" x14ac:dyDescent="0.3">
      <c r="R8757" s="255"/>
      <c r="S8757" s="255"/>
      <c r="T8757" s="255"/>
    </row>
    <row r="8758" spans="18:20" x14ac:dyDescent="0.3">
      <c r="R8758" s="255"/>
      <c r="S8758" s="255"/>
      <c r="T8758" s="255"/>
    </row>
    <row r="8759" spans="18:20" x14ac:dyDescent="0.3">
      <c r="R8759" s="255"/>
      <c r="S8759" s="255"/>
      <c r="T8759" s="255"/>
    </row>
    <row r="8760" spans="18:20" x14ac:dyDescent="0.3">
      <c r="R8760" s="255"/>
      <c r="S8760" s="255"/>
      <c r="T8760" s="255"/>
    </row>
    <row r="8761" spans="18:20" x14ac:dyDescent="0.3">
      <c r="R8761" s="255"/>
      <c r="S8761" s="255"/>
      <c r="T8761" s="255"/>
    </row>
    <row r="8762" spans="18:20" x14ac:dyDescent="0.3">
      <c r="R8762" s="255"/>
      <c r="S8762" s="255"/>
      <c r="T8762" s="255"/>
    </row>
    <row r="8763" spans="18:20" x14ac:dyDescent="0.3">
      <c r="R8763" s="255"/>
      <c r="S8763" s="255"/>
      <c r="T8763" s="255"/>
    </row>
    <row r="8764" spans="18:20" x14ac:dyDescent="0.3">
      <c r="R8764" s="255"/>
      <c r="S8764" s="255"/>
      <c r="T8764" s="255"/>
    </row>
    <row r="8765" spans="18:20" x14ac:dyDescent="0.3">
      <c r="R8765" s="255"/>
      <c r="S8765" s="255"/>
      <c r="T8765" s="255"/>
    </row>
    <row r="8766" spans="18:20" x14ac:dyDescent="0.3">
      <c r="R8766" s="255"/>
      <c r="S8766" s="255"/>
      <c r="T8766" s="255"/>
    </row>
    <row r="8767" spans="18:20" x14ac:dyDescent="0.3">
      <c r="R8767" s="255"/>
      <c r="S8767" s="255"/>
      <c r="T8767" s="255"/>
    </row>
    <row r="8768" spans="18:20" x14ac:dyDescent="0.3">
      <c r="R8768" s="255"/>
      <c r="S8768" s="255"/>
      <c r="T8768" s="255"/>
    </row>
    <row r="8769" spans="18:20" x14ac:dyDescent="0.3">
      <c r="R8769" s="255"/>
      <c r="S8769" s="255"/>
      <c r="T8769" s="255"/>
    </row>
    <row r="8770" spans="18:20" x14ac:dyDescent="0.3">
      <c r="R8770" s="255"/>
      <c r="S8770" s="255"/>
      <c r="T8770" s="255"/>
    </row>
    <row r="8771" spans="18:20" x14ac:dyDescent="0.3">
      <c r="R8771" s="255"/>
      <c r="S8771" s="255"/>
      <c r="T8771" s="255"/>
    </row>
    <row r="8772" spans="18:20" x14ac:dyDescent="0.3">
      <c r="R8772" s="255"/>
      <c r="S8772" s="255"/>
      <c r="T8772" s="255"/>
    </row>
    <row r="8773" spans="18:20" x14ac:dyDescent="0.3">
      <c r="R8773" s="255"/>
      <c r="S8773" s="255"/>
      <c r="T8773" s="255"/>
    </row>
    <row r="8774" spans="18:20" x14ac:dyDescent="0.3">
      <c r="R8774" s="255"/>
      <c r="S8774" s="255"/>
      <c r="T8774" s="255"/>
    </row>
    <row r="8775" spans="18:20" x14ac:dyDescent="0.3">
      <c r="R8775" s="255"/>
      <c r="S8775" s="255"/>
      <c r="T8775" s="255"/>
    </row>
    <row r="8776" spans="18:20" x14ac:dyDescent="0.3">
      <c r="R8776" s="255"/>
      <c r="S8776" s="255"/>
      <c r="T8776" s="255"/>
    </row>
    <row r="8777" spans="18:20" x14ac:dyDescent="0.3">
      <c r="R8777" s="255"/>
      <c r="S8777" s="255"/>
      <c r="T8777" s="255"/>
    </row>
    <row r="8778" spans="18:20" x14ac:dyDescent="0.3">
      <c r="R8778" s="255"/>
      <c r="S8778" s="255"/>
      <c r="T8778" s="255"/>
    </row>
    <row r="8779" spans="18:20" x14ac:dyDescent="0.3">
      <c r="R8779" s="255"/>
      <c r="S8779" s="255"/>
      <c r="T8779" s="255"/>
    </row>
    <row r="8780" spans="18:20" x14ac:dyDescent="0.3">
      <c r="R8780" s="255"/>
      <c r="S8780" s="255"/>
      <c r="T8780" s="255"/>
    </row>
    <row r="8781" spans="18:20" x14ac:dyDescent="0.3">
      <c r="R8781" s="255"/>
      <c r="S8781" s="255"/>
      <c r="T8781" s="255"/>
    </row>
    <row r="8782" spans="18:20" x14ac:dyDescent="0.3">
      <c r="R8782" s="255"/>
      <c r="S8782" s="255"/>
      <c r="T8782" s="255"/>
    </row>
    <row r="8783" spans="18:20" x14ac:dyDescent="0.3">
      <c r="R8783" s="255"/>
      <c r="S8783" s="255"/>
      <c r="T8783" s="255"/>
    </row>
    <row r="8784" spans="18:20" x14ac:dyDescent="0.3">
      <c r="R8784" s="255"/>
      <c r="S8784" s="255"/>
      <c r="T8784" s="255"/>
    </row>
    <row r="8785" spans="18:20" x14ac:dyDescent="0.3">
      <c r="R8785" s="255"/>
      <c r="S8785" s="255"/>
      <c r="T8785" s="255"/>
    </row>
    <row r="8786" spans="18:20" x14ac:dyDescent="0.3">
      <c r="R8786" s="255"/>
      <c r="S8786" s="255"/>
      <c r="T8786" s="255"/>
    </row>
    <row r="8787" spans="18:20" x14ac:dyDescent="0.3">
      <c r="R8787" s="255"/>
      <c r="S8787" s="255"/>
      <c r="T8787" s="255"/>
    </row>
    <row r="8788" spans="18:20" x14ac:dyDescent="0.3">
      <c r="R8788" s="255"/>
      <c r="S8788" s="255"/>
      <c r="T8788" s="255"/>
    </row>
    <row r="8789" spans="18:20" x14ac:dyDescent="0.3">
      <c r="R8789" s="255"/>
      <c r="S8789" s="255"/>
      <c r="T8789" s="255"/>
    </row>
    <row r="8790" spans="18:20" x14ac:dyDescent="0.3">
      <c r="R8790" s="255"/>
      <c r="S8790" s="255"/>
      <c r="T8790" s="255"/>
    </row>
    <row r="8791" spans="18:20" x14ac:dyDescent="0.3">
      <c r="R8791" s="255"/>
      <c r="S8791" s="255"/>
      <c r="T8791" s="255"/>
    </row>
    <row r="8792" spans="18:20" x14ac:dyDescent="0.3">
      <c r="R8792" s="255"/>
      <c r="S8792" s="255"/>
      <c r="T8792" s="255"/>
    </row>
    <row r="8793" spans="18:20" x14ac:dyDescent="0.3">
      <c r="R8793" s="255"/>
      <c r="S8793" s="255"/>
      <c r="T8793" s="255"/>
    </row>
    <row r="8794" spans="18:20" x14ac:dyDescent="0.3">
      <c r="R8794" s="255"/>
      <c r="S8794" s="255"/>
      <c r="T8794" s="255"/>
    </row>
    <row r="8795" spans="18:20" x14ac:dyDescent="0.3">
      <c r="R8795" s="255"/>
      <c r="S8795" s="255"/>
      <c r="T8795" s="255"/>
    </row>
    <row r="8796" spans="18:20" x14ac:dyDescent="0.3">
      <c r="R8796" s="255"/>
      <c r="S8796" s="255"/>
      <c r="T8796" s="255"/>
    </row>
    <row r="8797" spans="18:20" x14ac:dyDescent="0.3">
      <c r="R8797" s="255"/>
      <c r="S8797" s="255"/>
      <c r="T8797" s="255"/>
    </row>
    <row r="8798" spans="18:20" x14ac:dyDescent="0.3">
      <c r="R8798" s="255"/>
      <c r="S8798" s="255"/>
      <c r="T8798" s="255"/>
    </row>
    <row r="8799" spans="18:20" x14ac:dyDescent="0.3">
      <c r="R8799" s="255"/>
      <c r="S8799" s="255"/>
      <c r="T8799" s="255"/>
    </row>
    <row r="8800" spans="18:20" x14ac:dyDescent="0.3">
      <c r="R8800" s="255"/>
      <c r="S8800" s="255"/>
      <c r="T8800" s="255"/>
    </row>
    <row r="8801" spans="18:20" x14ac:dyDescent="0.3">
      <c r="R8801" s="255"/>
      <c r="S8801" s="255"/>
      <c r="T8801" s="255"/>
    </row>
    <row r="8802" spans="18:20" x14ac:dyDescent="0.3">
      <c r="R8802" s="255"/>
      <c r="S8802" s="255"/>
      <c r="T8802" s="255"/>
    </row>
    <row r="8803" spans="18:20" x14ac:dyDescent="0.3">
      <c r="R8803" s="255"/>
      <c r="S8803" s="255"/>
      <c r="T8803" s="255"/>
    </row>
    <row r="8804" spans="18:20" x14ac:dyDescent="0.3">
      <c r="R8804" s="255"/>
      <c r="S8804" s="255"/>
      <c r="T8804" s="255"/>
    </row>
    <row r="8805" spans="18:20" x14ac:dyDescent="0.3">
      <c r="R8805" s="255"/>
      <c r="S8805" s="255"/>
      <c r="T8805" s="255"/>
    </row>
    <row r="8806" spans="18:20" x14ac:dyDescent="0.3">
      <c r="R8806" s="255"/>
      <c r="S8806" s="255"/>
      <c r="T8806" s="255"/>
    </row>
    <row r="8807" spans="18:20" x14ac:dyDescent="0.3">
      <c r="R8807" s="255"/>
      <c r="S8807" s="255"/>
      <c r="T8807" s="255"/>
    </row>
    <row r="8808" spans="18:20" x14ac:dyDescent="0.3">
      <c r="R8808" s="255"/>
      <c r="S8808" s="255"/>
      <c r="T8808" s="255"/>
    </row>
    <row r="8809" spans="18:20" x14ac:dyDescent="0.3">
      <c r="R8809" s="255"/>
      <c r="S8809" s="255"/>
      <c r="T8809" s="255"/>
    </row>
    <row r="8810" spans="18:20" x14ac:dyDescent="0.3">
      <c r="R8810" s="255"/>
      <c r="S8810" s="255"/>
      <c r="T8810" s="255"/>
    </row>
    <row r="8811" spans="18:20" x14ac:dyDescent="0.3">
      <c r="R8811" s="255"/>
      <c r="S8811" s="255"/>
      <c r="T8811" s="255"/>
    </row>
    <row r="8812" spans="18:20" x14ac:dyDescent="0.3">
      <c r="R8812" s="255"/>
      <c r="S8812" s="255"/>
      <c r="T8812" s="255"/>
    </row>
    <row r="8813" spans="18:20" x14ac:dyDescent="0.3">
      <c r="R8813" s="255"/>
      <c r="S8813" s="255"/>
      <c r="T8813" s="255"/>
    </row>
    <row r="8814" spans="18:20" x14ac:dyDescent="0.3">
      <c r="R8814" s="255"/>
      <c r="S8814" s="255"/>
      <c r="T8814" s="255"/>
    </row>
    <row r="8815" spans="18:20" x14ac:dyDescent="0.3">
      <c r="R8815" s="255"/>
      <c r="S8815" s="255"/>
      <c r="T8815" s="255"/>
    </row>
    <row r="8816" spans="18:20" x14ac:dyDescent="0.3">
      <c r="R8816" s="255"/>
      <c r="S8816" s="255"/>
      <c r="T8816" s="255"/>
    </row>
    <row r="8817" spans="18:20" x14ac:dyDescent="0.3">
      <c r="R8817" s="255"/>
      <c r="S8817" s="255"/>
      <c r="T8817" s="255"/>
    </row>
    <row r="8818" spans="18:20" x14ac:dyDescent="0.3">
      <c r="R8818" s="255"/>
      <c r="S8818" s="255"/>
      <c r="T8818" s="255"/>
    </row>
    <row r="8819" spans="18:20" x14ac:dyDescent="0.3">
      <c r="R8819" s="255"/>
      <c r="S8819" s="255"/>
      <c r="T8819" s="255"/>
    </row>
    <row r="8820" spans="18:20" x14ac:dyDescent="0.3">
      <c r="R8820" s="255"/>
      <c r="S8820" s="255"/>
      <c r="T8820" s="255"/>
    </row>
    <row r="8821" spans="18:20" x14ac:dyDescent="0.3">
      <c r="R8821" s="255"/>
      <c r="S8821" s="255"/>
      <c r="T8821" s="255"/>
    </row>
    <row r="8822" spans="18:20" x14ac:dyDescent="0.3">
      <c r="R8822" s="255"/>
      <c r="S8822" s="255"/>
      <c r="T8822" s="255"/>
    </row>
    <row r="8823" spans="18:20" x14ac:dyDescent="0.3">
      <c r="R8823" s="255"/>
      <c r="S8823" s="255"/>
      <c r="T8823" s="255"/>
    </row>
    <row r="8824" spans="18:20" x14ac:dyDescent="0.3">
      <c r="R8824" s="255"/>
      <c r="S8824" s="255"/>
      <c r="T8824" s="255"/>
    </row>
    <row r="8825" spans="18:20" x14ac:dyDescent="0.3">
      <c r="R8825" s="255"/>
      <c r="S8825" s="255"/>
      <c r="T8825" s="255"/>
    </row>
    <row r="8826" spans="18:20" x14ac:dyDescent="0.3">
      <c r="R8826" s="255"/>
      <c r="S8826" s="255"/>
      <c r="T8826" s="255"/>
    </row>
    <row r="8827" spans="18:20" x14ac:dyDescent="0.3">
      <c r="R8827" s="255"/>
      <c r="S8827" s="255"/>
      <c r="T8827" s="255"/>
    </row>
    <row r="8828" spans="18:20" x14ac:dyDescent="0.3">
      <c r="R8828" s="255"/>
      <c r="S8828" s="255"/>
      <c r="T8828" s="255"/>
    </row>
    <row r="8829" spans="18:20" x14ac:dyDescent="0.3">
      <c r="R8829" s="255"/>
      <c r="S8829" s="255"/>
      <c r="T8829" s="255"/>
    </row>
    <row r="8830" spans="18:20" x14ac:dyDescent="0.3">
      <c r="R8830" s="255"/>
      <c r="S8830" s="255"/>
      <c r="T8830" s="255"/>
    </row>
    <row r="8831" spans="18:20" x14ac:dyDescent="0.3">
      <c r="R8831" s="255"/>
      <c r="S8831" s="255"/>
      <c r="T8831" s="255"/>
    </row>
    <row r="8832" spans="18:20" x14ac:dyDescent="0.3">
      <c r="R8832" s="255"/>
      <c r="S8832" s="255"/>
      <c r="T8832" s="255"/>
    </row>
    <row r="8833" spans="18:20" x14ac:dyDescent="0.3">
      <c r="R8833" s="255"/>
      <c r="S8833" s="255"/>
      <c r="T8833" s="255"/>
    </row>
    <row r="8834" spans="18:20" x14ac:dyDescent="0.3">
      <c r="R8834" s="255"/>
      <c r="S8834" s="255"/>
      <c r="T8834" s="255"/>
    </row>
    <row r="8835" spans="18:20" x14ac:dyDescent="0.3">
      <c r="R8835" s="255"/>
      <c r="S8835" s="255"/>
      <c r="T8835" s="255"/>
    </row>
    <row r="8836" spans="18:20" x14ac:dyDescent="0.3">
      <c r="R8836" s="255"/>
      <c r="S8836" s="255"/>
      <c r="T8836" s="255"/>
    </row>
    <row r="8837" spans="18:20" x14ac:dyDescent="0.3">
      <c r="R8837" s="255"/>
      <c r="S8837" s="255"/>
      <c r="T8837" s="255"/>
    </row>
    <row r="8838" spans="18:20" x14ac:dyDescent="0.3">
      <c r="R8838" s="255"/>
      <c r="S8838" s="255"/>
      <c r="T8838" s="255"/>
    </row>
    <row r="8839" spans="18:20" x14ac:dyDescent="0.3">
      <c r="R8839" s="255"/>
      <c r="S8839" s="255"/>
      <c r="T8839" s="255"/>
    </row>
    <row r="8840" spans="18:20" x14ac:dyDescent="0.3">
      <c r="R8840" s="255"/>
      <c r="S8840" s="255"/>
      <c r="T8840" s="255"/>
    </row>
    <row r="8841" spans="18:20" x14ac:dyDescent="0.3">
      <c r="R8841" s="255"/>
      <c r="S8841" s="255"/>
      <c r="T8841" s="255"/>
    </row>
    <row r="8842" spans="18:20" x14ac:dyDescent="0.3">
      <c r="R8842" s="255"/>
      <c r="S8842" s="255"/>
      <c r="T8842" s="255"/>
    </row>
    <row r="8843" spans="18:20" x14ac:dyDescent="0.3">
      <c r="R8843" s="255"/>
      <c r="S8843" s="255"/>
      <c r="T8843" s="255"/>
    </row>
    <row r="8844" spans="18:20" x14ac:dyDescent="0.3">
      <c r="R8844" s="255"/>
      <c r="S8844" s="255"/>
      <c r="T8844" s="255"/>
    </row>
    <row r="8845" spans="18:20" x14ac:dyDescent="0.3">
      <c r="R8845" s="255"/>
      <c r="S8845" s="255"/>
      <c r="T8845" s="255"/>
    </row>
    <row r="8846" spans="18:20" x14ac:dyDescent="0.3">
      <c r="R8846" s="255"/>
      <c r="S8846" s="255"/>
      <c r="T8846" s="255"/>
    </row>
    <row r="8847" spans="18:20" x14ac:dyDescent="0.3">
      <c r="R8847" s="255"/>
      <c r="S8847" s="255"/>
      <c r="T8847" s="255"/>
    </row>
    <row r="8848" spans="18:20" x14ac:dyDescent="0.3">
      <c r="R8848" s="255"/>
      <c r="S8848" s="255"/>
      <c r="T8848" s="255"/>
    </row>
    <row r="8849" spans="18:20" x14ac:dyDescent="0.3">
      <c r="R8849" s="255"/>
      <c r="S8849" s="255"/>
      <c r="T8849" s="255"/>
    </row>
    <row r="8850" spans="18:20" x14ac:dyDescent="0.3">
      <c r="R8850" s="255"/>
      <c r="S8850" s="255"/>
      <c r="T8850" s="255"/>
    </row>
    <row r="8851" spans="18:20" x14ac:dyDescent="0.3">
      <c r="R8851" s="255"/>
      <c r="S8851" s="255"/>
      <c r="T8851" s="255"/>
    </row>
    <row r="8852" spans="18:20" x14ac:dyDescent="0.3">
      <c r="R8852" s="255"/>
      <c r="S8852" s="255"/>
      <c r="T8852" s="255"/>
    </row>
    <row r="8853" spans="18:20" x14ac:dyDescent="0.3">
      <c r="R8853" s="255"/>
      <c r="S8853" s="255"/>
      <c r="T8853" s="255"/>
    </row>
    <row r="8854" spans="18:20" x14ac:dyDescent="0.3">
      <c r="R8854" s="255"/>
      <c r="S8854" s="255"/>
      <c r="T8854" s="255"/>
    </row>
    <row r="8855" spans="18:20" x14ac:dyDescent="0.3">
      <c r="R8855" s="255"/>
      <c r="S8855" s="255"/>
      <c r="T8855" s="255"/>
    </row>
    <row r="8856" spans="18:20" x14ac:dyDescent="0.3">
      <c r="R8856" s="255"/>
      <c r="S8856" s="255"/>
      <c r="T8856" s="255"/>
    </row>
    <row r="8857" spans="18:20" x14ac:dyDescent="0.3">
      <c r="R8857" s="255"/>
      <c r="S8857" s="255"/>
      <c r="T8857" s="255"/>
    </row>
    <row r="8858" spans="18:20" x14ac:dyDescent="0.3">
      <c r="R8858" s="255"/>
      <c r="S8858" s="255"/>
      <c r="T8858" s="255"/>
    </row>
    <row r="8859" spans="18:20" x14ac:dyDescent="0.3">
      <c r="R8859" s="255"/>
      <c r="S8859" s="255"/>
      <c r="T8859" s="255"/>
    </row>
    <row r="8860" spans="18:20" x14ac:dyDescent="0.3">
      <c r="R8860" s="255"/>
      <c r="S8860" s="255"/>
      <c r="T8860" s="255"/>
    </row>
    <row r="8861" spans="18:20" x14ac:dyDescent="0.3">
      <c r="R8861" s="255"/>
      <c r="S8861" s="255"/>
      <c r="T8861" s="255"/>
    </row>
    <row r="8862" spans="18:20" x14ac:dyDescent="0.3">
      <c r="R8862" s="255"/>
      <c r="S8862" s="255"/>
      <c r="T8862" s="255"/>
    </row>
    <row r="8863" spans="18:20" x14ac:dyDescent="0.3">
      <c r="R8863" s="255"/>
      <c r="S8863" s="255"/>
      <c r="T8863" s="255"/>
    </row>
    <row r="8864" spans="18:20" x14ac:dyDescent="0.3">
      <c r="R8864" s="255"/>
      <c r="S8864" s="255"/>
      <c r="T8864" s="255"/>
    </row>
    <row r="8865" spans="18:20" x14ac:dyDescent="0.3">
      <c r="R8865" s="255"/>
      <c r="S8865" s="255"/>
      <c r="T8865" s="255"/>
    </row>
    <row r="8866" spans="18:20" x14ac:dyDescent="0.3">
      <c r="R8866" s="255"/>
      <c r="S8866" s="255"/>
      <c r="T8866" s="255"/>
    </row>
    <row r="8867" spans="18:20" x14ac:dyDescent="0.3">
      <c r="R8867" s="255"/>
      <c r="S8867" s="255"/>
      <c r="T8867" s="255"/>
    </row>
    <row r="8868" spans="18:20" x14ac:dyDescent="0.3">
      <c r="R8868" s="255"/>
      <c r="S8868" s="255"/>
      <c r="T8868" s="255"/>
    </row>
    <row r="8869" spans="18:20" x14ac:dyDescent="0.3">
      <c r="R8869" s="255"/>
      <c r="S8869" s="255"/>
      <c r="T8869" s="255"/>
    </row>
    <row r="8870" spans="18:20" x14ac:dyDescent="0.3">
      <c r="R8870" s="255"/>
      <c r="S8870" s="255"/>
      <c r="T8870" s="255"/>
    </row>
    <row r="8871" spans="18:20" x14ac:dyDescent="0.3">
      <c r="R8871" s="255"/>
      <c r="S8871" s="255"/>
      <c r="T8871" s="255"/>
    </row>
    <row r="8872" spans="18:20" x14ac:dyDescent="0.3">
      <c r="R8872" s="255"/>
      <c r="S8872" s="255"/>
      <c r="T8872" s="255"/>
    </row>
    <row r="8873" spans="18:20" x14ac:dyDescent="0.3">
      <c r="R8873" s="255"/>
      <c r="S8873" s="255"/>
      <c r="T8873" s="255"/>
    </row>
    <row r="8874" spans="18:20" x14ac:dyDescent="0.3">
      <c r="R8874" s="255"/>
      <c r="S8874" s="255"/>
      <c r="T8874" s="255"/>
    </row>
    <row r="8875" spans="18:20" x14ac:dyDescent="0.3">
      <c r="R8875" s="255"/>
      <c r="S8875" s="255"/>
      <c r="T8875" s="255"/>
    </row>
    <row r="8876" spans="18:20" x14ac:dyDescent="0.3">
      <c r="R8876" s="255"/>
      <c r="S8876" s="255"/>
      <c r="T8876" s="255"/>
    </row>
    <row r="8877" spans="18:20" x14ac:dyDescent="0.3">
      <c r="R8877" s="255"/>
      <c r="S8877" s="255"/>
      <c r="T8877" s="255"/>
    </row>
    <row r="8878" spans="18:20" x14ac:dyDescent="0.3">
      <c r="R8878" s="255"/>
      <c r="S8878" s="255"/>
      <c r="T8878" s="255"/>
    </row>
    <row r="8879" spans="18:20" x14ac:dyDescent="0.3">
      <c r="R8879" s="255"/>
      <c r="S8879" s="255"/>
      <c r="T8879" s="255"/>
    </row>
    <row r="8880" spans="18:20" x14ac:dyDescent="0.3">
      <c r="R8880" s="255"/>
      <c r="S8880" s="255"/>
      <c r="T8880" s="255"/>
    </row>
    <row r="8881" spans="18:20" x14ac:dyDescent="0.3">
      <c r="R8881" s="255"/>
      <c r="S8881" s="255"/>
      <c r="T8881" s="255"/>
    </row>
    <row r="8882" spans="18:20" x14ac:dyDescent="0.3">
      <c r="R8882" s="255"/>
      <c r="S8882" s="255"/>
      <c r="T8882" s="255"/>
    </row>
    <row r="8883" spans="18:20" x14ac:dyDescent="0.3">
      <c r="R8883" s="255"/>
      <c r="S8883" s="255"/>
      <c r="T8883" s="255"/>
    </row>
    <row r="8884" spans="18:20" x14ac:dyDescent="0.3">
      <c r="R8884" s="255"/>
      <c r="S8884" s="255"/>
      <c r="T8884" s="255"/>
    </row>
    <row r="8885" spans="18:20" x14ac:dyDescent="0.3">
      <c r="R8885" s="255"/>
      <c r="S8885" s="255"/>
      <c r="T8885" s="255"/>
    </row>
    <row r="8886" spans="18:20" x14ac:dyDescent="0.3">
      <c r="R8886" s="255"/>
      <c r="S8886" s="255"/>
      <c r="T8886" s="255"/>
    </row>
    <row r="8887" spans="18:20" x14ac:dyDescent="0.3">
      <c r="R8887" s="255"/>
      <c r="S8887" s="255"/>
      <c r="T8887" s="255"/>
    </row>
    <row r="8888" spans="18:20" x14ac:dyDescent="0.3">
      <c r="R8888" s="255"/>
      <c r="S8888" s="255"/>
      <c r="T8888" s="255"/>
    </row>
    <row r="8889" spans="18:20" x14ac:dyDescent="0.3">
      <c r="R8889" s="255"/>
      <c r="S8889" s="255"/>
      <c r="T8889" s="255"/>
    </row>
    <row r="8890" spans="18:20" x14ac:dyDescent="0.3">
      <c r="R8890" s="255"/>
      <c r="S8890" s="255"/>
      <c r="T8890" s="255"/>
    </row>
    <row r="8891" spans="18:20" x14ac:dyDescent="0.3">
      <c r="R8891" s="255"/>
      <c r="S8891" s="255"/>
      <c r="T8891" s="255"/>
    </row>
    <row r="8892" spans="18:20" x14ac:dyDescent="0.3">
      <c r="R8892" s="255"/>
      <c r="S8892" s="255"/>
      <c r="T8892" s="255"/>
    </row>
    <row r="8893" spans="18:20" x14ac:dyDescent="0.3">
      <c r="R8893" s="255"/>
      <c r="S8893" s="255"/>
      <c r="T8893" s="255"/>
    </row>
    <row r="8894" spans="18:20" x14ac:dyDescent="0.3">
      <c r="R8894" s="255"/>
      <c r="S8894" s="255"/>
      <c r="T8894" s="255"/>
    </row>
    <row r="8895" spans="18:20" x14ac:dyDescent="0.3">
      <c r="R8895" s="255"/>
      <c r="S8895" s="255"/>
      <c r="T8895" s="255"/>
    </row>
    <row r="8896" spans="18:20" x14ac:dyDescent="0.3">
      <c r="R8896" s="255"/>
      <c r="S8896" s="255"/>
      <c r="T8896" s="255"/>
    </row>
    <row r="8897" spans="18:20" x14ac:dyDescent="0.3">
      <c r="R8897" s="255"/>
      <c r="S8897" s="255"/>
      <c r="T8897" s="255"/>
    </row>
    <row r="8898" spans="18:20" x14ac:dyDescent="0.3">
      <c r="R8898" s="255"/>
      <c r="S8898" s="255"/>
      <c r="T8898" s="255"/>
    </row>
    <row r="8899" spans="18:20" x14ac:dyDescent="0.3">
      <c r="R8899" s="255"/>
      <c r="S8899" s="255"/>
      <c r="T8899" s="255"/>
    </row>
    <row r="8900" spans="18:20" x14ac:dyDescent="0.3">
      <c r="R8900" s="255"/>
      <c r="S8900" s="255"/>
      <c r="T8900" s="255"/>
    </row>
    <row r="8901" spans="18:20" x14ac:dyDescent="0.3">
      <c r="R8901" s="255"/>
      <c r="S8901" s="255"/>
      <c r="T8901" s="255"/>
    </row>
    <row r="8902" spans="18:20" x14ac:dyDescent="0.3">
      <c r="R8902" s="255"/>
      <c r="S8902" s="255"/>
      <c r="T8902" s="255"/>
    </row>
    <row r="8903" spans="18:20" x14ac:dyDescent="0.3">
      <c r="R8903" s="255"/>
      <c r="S8903" s="255"/>
      <c r="T8903" s="255"/>
    </row>
    <row r="8904" spans="18:20" x14ac:dyDescent="0.3">
      <c r="R8904" s="255"/>
      <c r="S8904" s="255"/>
      <c r="T8904" s="255"/>
    </row>
    <row r="8905" spans="18:20" x14ac:dyDescent="0.3">
      <c r="R8905" s="255"/>
      <c r="S8905" s="255"/>
      <c r="T8905" s="255"/>
    </row>
    <row r="8906" spans="18:20" x14ac:dyDescent="0.3">
      <c r="R8906" s="255"/>
      <c r="S8906" s="255"/>
      <c r="T8906" s="255"/>
    </row>
    <row r="8907" spans="18:20" x14ac:dyDescent="0.3">
      <c r="R8907" s="255"/>
      <c r="S8907" s="255"/>
      <c r="T8907" s="255"/>
    </row>
    <row r="8908" spans="18:20" x14ac:dyDescent="0.3">
      <c r="R8908" s="255"/>
      <c r="S8908" s="255"/>
      <c r="T8908" s="255"/>
    </row>
    <row r="8909" spans="18:20" x14ac:dyDescent="0.3">
      <c r="R8909" s="255"/>
      <c r="S8909" s="255"/>
      <c r="T8909" s="255"/>
    </row>
    <row r="8910" spans="18:20" x14ac:dyDescent="0.3">
      <c r="R8910" s="255"/>
      <c r="S8910" s="255"/>
      <c r="T8910" s="255"/>
    </row>
    <row r="8911" spans="18:20" x14ac:dyDescent="0.3">
      <c r="R8911" s="255"/>
      <c r="S8911" s="255"/>
      <c r="T8911" s="255"/>
    </row>
    <row r="8912" spans="18:20" x14ac:dyDescent="0.3">
      <c r="R8912" s="255"/>
      <c r="S8912" s="255"/>
      <c r="T8912" s="255"/>
    </row>
    <row r="8913" spans="18:20" x14ac:dyDescent="0.3">
      <c r="R8913" s="255"/>
      <c r="S8913" s="255"/>
      <c r="T8913" s="255"/>
    </row>
    <row r="8914" spans="18:20" x14ac:dyDescent="0.3">
      <c r="R8914" s="255"/>
      <c r="S8914" s="255"/>
      <c r="T8914" s="255"/>
    </row>
    <row r="8915" spans="18:20" x14ac:dyDescent="0.3">
      <c r="R8915" s="255"/>
      <c r="S8915" s="255"/>
      <c r="T8915" s="255"/>
    </row>
    <row r="8916" spans="18:20" x14ac:dyDescent="0.3">
      <c r="R8916" s="255"/>
      <c r="S8916" s="255"/>
      <c r="T8916" s="255"/>
    </row>
    <row r="8917" spans="18:20" x14ac:dyDescent="0.3">
      <c r="R8917" s="255"/>
      <c r="S8917" s="255"/>
      <c r="T8917" s="255"/>
    </row>
    <row r="8918" spans="18:20" x14ac:dyDescent="0.3">
      <c r="R8918" s="255"/>
      <c r="S8918" s="255"/>
      <c r="T8918" s="255"/>
    </row>
    <row r="8919" spans="18:20" x14ac:dyDescent="0.3">
      <c r="R8919" s="255"/>
      <c r="S8919" s="255"/>
      <c r="T8919" s="255"/>
    </row>
    <row r="8920" spans="18:20" x14ac:dyDescent="0.3">
      <c r="R8920" s="255"/>
      <c r="S8920" s="255"/>
      <c r="T8920" s="255"/>
    </row>
    <row r="8921" spans="18:20" x14ac:dyDescent="0.3">
      <c r="R8921" s="255"/>
      <c r="S8921" s="255"/>
      <c r="T8921" s="255"/>
    </row>
    <row r="8922" spans="18:20" x14ac:dyDescent="0.3">
      <c r="R8922" s="255"/>
      <c r="S8922" s="255"/>
      <c r="T8922" s="255"/>
    </row>
    <row r="8923" spans="18:20" x14ac:dyDescent="0.3">
      <c r="R8923" s="255"/>
      <c r="S8923" s="255"/>
      <c r="T8923" s="255"/>
    </row>
    <row r="8924" spans="18:20" x14ac:dyDescent="0.3">
      <c r="R8924" s="255"/>
      <c r="S8924" s="255"/>
      <c r="T8924" s="255"/>
    </row>
    <row r="8925" spans="18:20" x14ac:dyDescent="0.3">
      <c r="R8925" s="255"/>
      <c r="S8925" s="255"/>
      <c r="T8925" s="255"/>
    </row>
    <row r="8926" spans="18:20" x14ac:dyDescent="0.3">
      <c r="R8926" s="255"/>
      <c r="S8926" s="255"/>
      <c r="T8926" s="255"/>
    </row>
    <row r="8927" spans="18:20" x14ac:dyDescent="0.3">
      <c r="R8927" s="255"/>
      <c r="S8927" s="255"/>
      <c r="T8927" s="255"/>
    </row>
    <row r="8928" spans="18:20" x14ac:dyDescent="0.3">
      <c r="R8928" s="255"/>
      <c r="S8928" s="255"/>
      <c r="T8928" s="255"/>
    </row>
    <row r="8929" spans="18:20" x14ac:dyDescent="0.3">
      <c r="R8929" s="255"/>
      <c r="S8929" s="255"/>
      <c r="T8929" s="255"/>
    </row>
    <row r="8930" spans="18:20" x14ac:dyDescent="0.3">
      <c r="R8930" s="255"/>
      <c r="S8930" s="255"/>
      <c r="T8930" s="255"/>
    </row>
    <row r="8931" spans="18:20" x14ac:dyDescent="0.3">
      <c r="R8931" s="255"/>
      <c r="S8931" s="255"/>
      <c r="T8931" s="255"/>
    </row>
    <row r="8932" spans="18:20" x14ac:dyDescent="0.3">
      <c r="R8932" s="255"/>
      <c r="S8932" s="255"/>
      <c r="T8932" s="255"/>
    </row>
    <row r="8933" spans="18:20" x14ac:dyDescent="0.3">
      <c r="R8933" s="255"/>
      <c r="S8933" s="255"/>
      <c r="T8933" s="255"/>
    </row>
    <row r="8934" spans="18:20" x14ac:dyDescent="0.3">
      <c r="R8934" s="255"/>
      <c r="S8934" s="255"/>
      <c r="T8934" s="255"/>
    </row>
    <row r="8935" spans="18:20" x14ac:dyDescent="0.3">
      <c r="R8935" s="255"/>
      <c r="S8935" s="255"/>
      <c r="T8935" s="255"/>
    </row>
    <row r="8936" spans="18:20" x14ac:dyDescent="0.3">
      <c r="R8936" s="255"/>
      <c r="S8936" s="255"/>
      <c r="T8936" s="255"/>
    </row>
    <row r="8937" spans="18:20" x14ac:dyDescent="0.3">
      <c r="R8937" s="255"/>
      <c r="S8937" s="255"/>
      <c r="T8937" s="255"/>
    </row>
    <row r="8938" spans="18:20" x14ac:dyDescent="0.3">
      <c r="R8938" s="255"/>
      <c r="S8938" s="255"/>
      <c r="T8938" s="255"/>
    </row>
    <row r="8939" spans="18:20" x14ac:dyDescent="0.3">
      <c r="R8939" s="255"/>
      <c r="S8939" s="255"/>
      <c r="T8939" s="255"/>
    </row>
    <row r="8940" spans="18:20" x14ac:dyDescent="0.3">
      <c r="R8940" s="255"/>
      <c r="S8940" s="255"/>
      <c r="T8940" s="255"/>
    </row>
    <row r="8941" spans="18:20" x14ac:dyDescent="0.3">
      <c r="R8941" s="255"/>
      <c r="S8941" s="255"/>
      <c r="T8941" s="255"/>
    </row>
    <row r="8942" spans="18:20" x14ac:dyDescent="0.3">
      <c r="R8942" s="255"/>
      <c r="S8942" s="255"/>
      <c r="T8942" s="255"/>
    </row>
    <row r="8943" spans="18:20" x14ac:dyDescent="0.3">
      <c r="R8943" s="255"/>
      <c r="S8943" s="255"/>
      <c r="T8943" s="255"/>
    </row>
    <row r="8944" spans="18:20" x14ac:dyDescent="0.3">
      <c r="R8944" s="255"/>
      <c r="S8944" s="255"/>
      <c r="T8944" s="255"/>
    </row>
    <row r="8945" spans="18:20" x14ac:dyDescent="0.3">
      <c r="R8945" s="255"/>
      <c r="S8945" s="255"/>
      <c r="T8945" s="255"/>
    </row>
    <row r="8946" spans="18:20" x14ac:dyDescent="0.3">
      <c r="R8946" s="255"/>
      <c r="S8946" s="255"/>
      <c r="T8946" s="255"/>
    </row>
    <row r="8947" spans="18:20" x14ac:dyDescent="0.3">
      <c r="R8947" s="255"/>
      <c r="S8947" s="255"/>
      <c r="T8947" s="255"/>
    </row>
    <row r="8948" spans="18:20" x14ac:dyDescent="0.3">
      <c r="R8948" s="255"/>
      <c r="S8948" s="255"/>
      <c r="T8948" s="255"/>
    </row>
    <row r="8949" spans="18:20" x14ac:dyDescent="0.3">
      <c r="R8949" s="255"/>
      <c r="S8949" s="255"/>
      <c r="T8949" s="255"/>
    </row>
    <row r="8950" spans="18:20" x14ac:dyDescent="0.3">
      <c r="R8950" s="255"/>
      <c r="S8950" s="255"/>
      <c r="T8950" s="255"/>
    </row>
    <row r="8951" spans="18:20" x14ac:dyDescent="0.3">
      <c r="R8951" s="255"/>
      <c r="S8951" s="255"/>
      <c r="T8951" s="255"/>
    </row>
    <row r="8952" spans="18:20" x14ac:dyDescent="0.3">
      <c r="R8952" s="255"/>
      <c r="S8952" s="255"/>
      <c r="T8952" s="255"/>
    </row>
    <row r="8953" spans="18:20" x14ac:dyDescent="0.3">
      <c r="R8953" s="255"/>
      <c r="S8953" s="255"/>
      <c r="T8953" s="255"/>
    </row>
    <row r="8954" spans="18:20" x14ac:dyDescent="0.3">
      <c r="R8954" s="255"/>
      <c r="S8954" s="255"/>
      <c r="T8954" s="255"/>
    </row>
    <row r="8955" spans="18:20" x14ac:dyDescent="0.3">
      <c r="R8955" s="255"/>
      <c r="S8955" s="255"/>
      <c r="T8955" s="255"/>
    </row>
    <row r="8956" spans="18:20" x14ac:dyDescent="0.3">
      <c r="R8956" s="255"/>
      <c r="S8956" s="255"/>
      <c r="T8956" s="255"/>
    </row>
    <row r="8957" spans="18:20" x14ac:dyDescent="0.3">
      <c r="R8957" s="255"/>
      <c r="S8957" s="255"/>
      <c r="T8957" s="255"/>
    </row>
    <row r="8958" spans="18:20" x14ac:dyDescent="0.3">
      <c r="R8958" s="255"/>
      <c r="S8958" s="255"/>
      <c r="T8958" s="255"/>
    </row>
    <row r="8959" spans="18:20" x14ac:dyDescent="0.3">
      <c r="R8959" s="255"/>
      <c r="S8959" s="255"/>
      <c r="T8959" s="255"/>
    </row>
    <row r="8960" spans="18:20" x14ac:dyDescent="0.3">
      <c r="R8960" s="255"/>
      <c r="S8960" s="255"/>
      <c r="T8960" s="255"/>
    </row>
    <row r="8961" spans="18:20" x14ac:dyDescent="0.3">
      <c r="R8961" s="255"/>
      <c r="S8961" s="255"/>
      <c r="T8961" s="255"/>
    </row>
    <row r="8962" spans="18:20" x14ac:dyDescent="0.3">
      <c r="R8962" s="255"/>
      <c r="S8962" s="255"/>
      <c r="T8962" s="255"/>
    </row>
    <row r="8963" spans="18:20" x14ac:dyDescent="0.3">
      <c r="R8963" s="255"/>
      <c r="S8963" s="255"/>
      <c r="T8963" s="255"/>
    </row>
    <row r="8964" spans="18:20" x14ac:dyDescent="0.3">
      <c r="R8964" s="255"/>
      <c r="S8964" s="255"/>
      <c r="T8964" s="255"/>
    </row>
    <row r="8965" spans="18:20" x14ac:dyDescent="0.3">
      <c r="R8965" s="255"/>
      <c r="S8965" s="255"/>
      <c r="T8965" s="255"/>
    </row>
    <row r="8966" spans="18:20" x14ac:dyDescent="0.3">
      <c r="R8966" s="255"/>
      <c r="S8966" s="255"/>
      <c r="T8966" s="255"/>
    </row>
    <row r="8967" spans="18:20" x14ac:dyDescent="0.3">
      <c r="R8967" s="255"/>
      <c r="S8967" s="255"/>
      <c r="T8967" s="255"/>
    </row>
    <row r="8968" spans="18:20" x14ac:dyDescent="0.3">
      <c r="R8968" s="255"/>
      <c r="S8968" s="255"/>
      <c r="T8968" s="255"/>
    </row>
    <row r="8969" spans="18:20" x14ac:dyDescent="0.3">
      <c r="R8969" s="255"/>
      <c r="S8969" s="255"/>
      <c r="T8969" s="255"/>
    </row>
    <row r="8970" spans="18:20" x14ac:dyDescent="0.3">
      <c r="R8970" s="255"/>
      <c r="S8970" s="255"/>
      <c r="T8970" s="255"/>
    </row>
    <row r="8971" spans="18:20" x14ac:dyDescent="0.3">
      <c r="R8971" s="255"/>
      <c r="S8971" s="255"/>
      <c r="T8971" s="255"/>
    </row>
    <row r="8972" spans="18:20" x14ac:dyDescent="0.3">
      <c r="R8972" s="255"/>
      <c r="S8972" s="255"/>
      <c r="T8972" s="255"/>
    </row>
    <row r="8973" spans="18:20" x14ac:dyDescent="0.3">
      <c r="R8973" s="255"/>
      <c r="S8973" s="255"/>
      <c r="T8973" s="255"/>
    </row>
    <row r="8974" spans="18:20" x14ac:dyDescent="0.3">
      <c r="R8974" s="255"/>
      <c r="S8974" s="255"/>
      <c r="T8974" s="255"/>
    </row>
    <row r="8975" spans="18:20" x14ac:dyDescent="0.3">
      <c r="R8975" s="255"/>
      <c r="S8975" s="255"/>
      <c r="T8975" s="255"/>
    </row>
    <row r="8976" spans="18:20" x14ac:dyDescent="0.3">
      <c r="R8976" s="255"/>
      <c r="S8976" s="255"/>
      <c r="T8976" s="255"/>
    </row>
    <row r="8977" spans="18:20" x14ac:dyDescent="0.3">
      <c r="R8977" s="255"/>
      <c r="S8977" s="255"/>
      <c r="T8977" s="255"/>
    </row>
    <row r="8978" spans="18:20" x14ac:dyDescent="0.3">
      <c r="R8978" s="255"/>
      <c r="S8978" s="255"/>
      <c r="T8978" s="255"/>
    </row>
    <row r="8979" spans="18:20" x14ac:dyDescent="0.3">
      <c r="R8979" s="255"/>
      <c r="S8979" s="255"/>
      <c r="T8979" s="255"/>
    </row>
    <row r="8980" spans="18:20" x14ac:dyDescent="0.3">
      <c r="R8980" s="255"/>
      <c r="S8980" s="255"/>
      <c r="T8980" s="255"/>
    </row>
    <row r="8981" spans="18:20" x14ac:dyDescent="0.3">
      <c r="R8981" s="255"/>
      <c r="S8981" s="255"/>
      <c r="T8981" s="255"/>
    </row>
    <row r="8982" spans="18:20" x14ac:dyDescent="0.3">
      <c r="R8982" s="255"/>
      <c r="S8982" s="255"/>
      <c r="T8982" s="255"/>
    </row>
    <row r="8983" spans="18:20" x14ac:dyDescent="0.3">
      <c r="R8983" s="255"/>
      <c r="S8983" s="255"/>
      <c r="T8983" s="255"/>
    </row>
    <row r="8984" spans="18:20" x14ac:dyDescent="0.3">
      <c r="R8984" s="255"/>
      <c r="S8984" s="255"/>
      <c r="T8984" s="255"/>
    </row>
    <row r="8985" spans="18:20" x14ac:dyDescent="0.3">
      <c r="R8985" s="255"/>
      <c r="S8985" s="255"/>
      <c r="T8985" s="255"/>
    </row>
    <row r="8986" spans="18:20" x14ac:dyDescent="0.3">
      <c r="R8986" s="255"/>
      <c r="S8986" s="255"/>
      <c r="T8986" s="255"/>
    </row>
    <row r="8987" spans="18:20" x14ac:dyDescent="0.3">
      <c r="R8987" s="255"/>
      <c r="S8987" s="255"/>
      <c r="T8987" s="255"/>
    </row>
    <row r="8988" spans="18:20" x14ac:dyDescent="0.3">
      <c r="R8988" s="255"/>
      <c r="S8988" s="255"/>
      <c r="T8988" s="255"/>
    </row>
    <row r="8989" spans="18:20" x14ac:dyDescent="0.3">
      <c r="R8989" s="255"/>
      <c r="S8989" s="255"/>
      <c r="T8989" s="255"/>
    </row>
    <row r="8990" spans="18:20" x14ac:dyDescent="0.3">
      <c r="R8990" s="255"/>
      <c r="S8990" s="255"/>
      <c r="T8990" s="255"/>
    </row>
    <row r="8991" spans="18:20" x14ac:dyDescent="0.3">
      <c r="R8991" s="255"/>
      <c r="S8991" s="255"/>
      <c r="T8991" s="255"/>
    </row>
    <row r="8992" spans="18:20" x14ac:dyDescent="0.3">
      <c r="R8992" s="255"/>
      <c r="S8992" s="255"/>
      <c r="T8992" s="255"/>
    </row>
    <row r="8993" spans="18:20" x14ac:dyDescent="0.3">
      <c r="R8993" s="255"/>
      <c r="S8993" s="255"/>
      <c r="T8993" s="255"/>
    </row>
    <row r="8994" spans="18:20" x14ac:dyDescent="0.3">
      <c r="R8994" s="255"/>
      <c r="S8994" s="255"/>
      <c r="T8994" s="255"/>
    </row>
    <row r="8995" spans="18:20" x14ac:dyDescent="0.3">
      <c r="R8995" s="255"/>
      <c r="S8995" s="255"/>
      <c r="T8995" s="255"/>
    </row>
    <row r="8996" spans="18:20" x14ac:dyDescent="0.3">
      <c r="R8996" s="255"/>
      <c r="S8996" s="255"/>
      <c r="T8996" s="255"/>
    </row>
    <row r="8997" spans="18:20" x14ac:dyDescent="0.3">
      <c r="R8997" s="255"/>
      <c r="S8997" s="255"/>
      <c r="T8997" s="255"/>
    </row>
    <row r="8998" spans="18:20" x14ac:dyDescent="0.3">
      <c r="R8998" s="255"/>
      <c r="S8998" s="255"/>
      <c r="T8998" s="255"/>
    </row>
    <row r="8999" spans="18:20" x14ac:dyDescent="0.3">
      <c r="R8999" s="255"/>
      <c r="S8999" s="255"/>
      <c r="T8999" s="255"/>
    </row>
    <row r="9000" spans="18:20" x14ac:dyDescent="0.3">
      <c r="R9000" s="255"/>
      <c r="S9000" s="255"/>
      <c r="T9000" s="255"/>
    </row>
    <row r="9001" spans="18:20" x14ac:dyDescent="0.3">
      <c r="R9001" s="255"/>
      <c r="S9001" s="255"/>
      <c r="T9001" s="255"/>
    </row>
    <row r="9002" spans="18:20" x14ac:dyDescent="0.3">
      <c r="R9002" s="255"/>
      <c r="S9002" s="255"/>
      <c r="T9002" s="255"/>
    </row>
    <row r="9003" spans="18:20" x14ac:dyDescent="0.3">
      <c r="R9003" s="255"/>
      <c r="S9003" s="255"/>
      <c r="T9003" s="255"/>
    </row>
    <row r="9004" spans="18:20" x14ac:dyDescent="0.3">
      <c r="R9004" s="255"/>
      <c r="S9004" s="255"/>
      <c r="T9004" s="255"/>
    </row>
    <row r="9005" spans="18:20" x14ac:dyDescent="0.3">
      <c r="R9005" s="255"/>
      <c r="S9005" s="255"/>
      <c r="T9005" s="255"/>
    </row>
    <row r="9006" spans="18:20" x14ac:dyDescent="0.3">
      <c r="R9006" s="255"/>
      <c r="S9006" s="255"/>
      <c r="T9006" s="255"/>
    </row>
    <row r="9007" spans="18:20" x14ac:dyDescent="0.3">
      <c r="R9007" s="255"/>
      <c r="S9007" s="255"/>
      <c r="T9007" s="255"/>
    </row>
    <row r="9008" spans="18:20" x14ac:dyDescent="0.3">
      <c r="R9008" s="255"/>
      <c r="S9008" s="255"/>
      <c r="T9008" s="255"/>
    </row>
    <row r="9009" spans="18:20" x14ac:dyDescent="0.3">
      <c r="R9009" s="255"/>
      <c r="S9009" s="255"/>
      <c r="T9009" s="255"/>
    </row>
    <row r="9010" spans="18:20" x14ac:dyDescent="0.3">
      <c r="R9010" s="255"/>
      <c r="S9010" s="255"/>
      <c r="T9010" s="255"/>
    </row>
    <row r="9011" spans="18:20" x14ac:dyDescent="0.3">
      <c r="R9011" s="255"/>
      <c r="S9011" s="255"/>
      <c r="T9011" s="255"/>
    </row>
    <row r="9012" spans="18:20" x14ac:dyDescent="0.3">
      <c r="R9012" s="255"/>
      <c r="S9012" s="255"/>
      <c r="T9012" s="255"/>
    </row>
    <row r="9013" spans="18:20" x14ac:dyDescent="0.3">
      <c r="R9013" s="255"/>
      <c r="S9013" s="255"/>
      <c r="T9013" s="255"/>
    </row>
    <row r="9014" spans="18:20" x14ac:dyDescent="0.3">
      <c r="R9014" s="255"/>
      <c r="S9014" s="255"/>
      <c r="T9014" s="255"/>
    </row>
    <row r="9015" spans="18:20" x14ac:dyDescent="0.3">
      <c r="R9015" s="255"/>
      <c r="S9015" s="255"/>
      <c r="T9015" s="255"/>
    </row>
    <row r="9016" spans="18:20" x14ac:dyDescent="0.3">
      <c r="R9016" s="255"/>
      <c r="S9016" s="255"/>
      <c r="T9016" s="255"/>
    </row>
    <row r="9017" spans="18:20" x14ac:dyDescent="0.3">
      <c r="R9017" s="255"/>
      <c r="S9017" s="255"/>
      <c r="T9017" s="255"/>
    </row>
    <row r="9018" spans="18:20" x14ac:dyDescent="0.3">
      <c r="R9018" s="255"/>
      <c r="S9018" s="255"/>
      <c r="T9018" s="255"/>
    </row>
    <row r="9019" spans="18:20" x14ac:dyDescent="0.3">
      <c r="R9019" s="255"/>
      <c r="S9019" s="255"/>
      <c r="T9019" s="255"/>
    </row>
    <row r="9020" spans="18:20" x14ac:dyDescent="0.3">
      <c r="R9020" s="255"/>
      <c r="S9020" s="255"/>
      <c r="T9020" s="255"/>
    </row>
    <row r="9021" spans="18:20" x14ac:dyDescent="0.3">
      <c r="R9021" s="255"/>
      <c r="S9021" s="255"/>
      <c r="T9021" s="255"/>
    </row>
    <row r="9022" spans="18:20" x14ac:dyDescent="0.3">
      <c r="R9022" s="255"/>
      <c r="S9022" s="255"/>
      <c r="T9022" s="255"/>
    </row>
    <row r="9023" spans="18:20" x14ac:dyDescent="0.3">
      <c r="R9023" s="255"/>
      <c r="S9023" s="255"/>
      <c r="T9023" s="255"/>
    </row>
    <row r="9024" spans="18:20" x14ac:dyDescent="0.3">
      <c r="R9024" s="255"/>
      <c r="S9024" s="255"/>
      <c r="T9024" s="255"/>
    </row>
    <row r="9025" spans="18:20" x14ac:dyDescent="0.3">
      <c r="R9025" s="255"/>
      <c r="S9025" s="255"/>
      <c r="T9025" s="255"/>
    </row>
    <row r="9026" spans="18:20" x14ac:dyDescent="0.3">
      <c r="R9026" s="255"/>
      <c r="S9026" s="255"/>
      <c r="T9026" s="255"/>
    </row>
    <row r="9027" spans="18:20" x14ac:dyDescent="0.3">
      <c r="R9027" s="255"/>
      <c r="S9027" s="255"/>
      <c r="T9027" s="255"/>
    </row>
    <row r="9028" spans="18:20" x14ac:dyDescent="0.3">
      <c r="R9028" s="255"/>
      <c r="S9028" s="255"/>
      <c r="T9028" s="255"/>
    </row>
    <row r="9029" spans="18:20" x14ac:dyDescent="0.3">
      <c r="R9029" s="255"/>
      <c r="S9029" s="255"/>
      <c r="T9029" s="255"/>
    </row>
    <row r="9030" spans="18:20" x14ac:dyDescent="0.3">
      <c r="R9030" s="255"/>
      <c r="S9030" s="255"/>
      <c r="T9030" s="255"/>
    </row>
    <row r="9031" spans="18:20" x14ac:dyDescent="0.3">
      <c r="R9031" s="255"/>
      <c r="S9031" s="255"/>
      <c r="T9031" s="255"/>
    </row>
    <row r="9032" spans="18:20" x14ac:dyDescent="0.3">
      <c r="R9032" s="255"/>
      <c r="S9032" s="255"/>
      <c r="T9032" s="255"/>
    </row>
    <row r="9033" spans="18:20" x14ac:dyDescent="0.3">
      <c r="R9033" s="255"/>
      <c r="S9033" s="255"/>
      <c r="T9033" s="255"/>
    </row>
    <row r="9034" spans="18:20" x14ac:dyDescent="0.3">
      <c r="R9034" s="255"/>
      <c r="S9034" s="255"/>
      <c r="T9034" s="255"/>
    </row>
    <row r="9035" spans="18:20" x14ac:dyDescent="0.3">
      <c r="R9035" s="255"/>
      <c r="S9035" s="255"/>
      <c r="T9035" s="255"/>
    </row>
    <row r="9036" spans="18:20" x14ac:dyDescent="0.3">
      <c r="R9036" s="255"/>
      <c r="S9036" s="255"/>
      <c r="T9036" s="255"/>
    </row>
    <row r="9037" spans="18:20" x14ac:dyDescent="0.3">
      <c r="R9037" s="255"/>
      <c r="S9037" s="255"/>
      <c r="T9037" s="255"/>
    </row>
    <row r="9038" spans="18:20" x14ac:dyDescent="0.3">
      <c r="R9038" s="255"/>
      <c r="S9038" s="255"/>
      <c r="T9038" s="255"/>
    </row>
    <row r="9039" spans="18:20" x14ac:dyDescent="0.3">
      <c r="R9039" s="255"/>
      <c r="S9039" s="255"/>
      <c r="T9039" s="255"/>
    </row>
    <row r="9040" spans="18:20" x14ac:dyDescent="0.3">
      <c r="R9040" s="255"/>
      <c r="S9040" s="255"/>
      <c r="T9040" s="255"/>
    </row>
    <row r="9041" spans="18:20" x14ac:dyDescent="0.3">
      <c r="R9041" s="255"/>
      <c r="S9041" s="255"/>
      <c r="T9041" s="255"/>
    </row>
    <row r="9042" spans="18:20" x14ac:dyDescent="0.3">
      <c r="R9042" s="255"/>
      <c r="S9042" s="255"/>
      <c r="T9042" s="255"/>
    </row>
    <row r="9043" spans="18:20" x14ac:dyDescent="0.3">
      <c r="R9043" s="255"/>
      <c r="S9043" s="255"/>
      <c r="T9043" s="255"/>
    </row>
    <row r="9044" spans="18:20" x14ac:dyDescent="0.3">
      <c r="R9044" s="255"/>
      <c r="S9044" s="255"/>
      <c r="T9044" s="255"/>
    </row>
    <row r="9045" spans="18:20" x14ac:dyDescent="0.3">
      <c r="R9045" s="255"/>
      <c r="S9045" s="255"/>
      <c r="T9045" s="255"/>
    </row>
    <row r="9046" spans="18:20" x14ac:dyDescent="0.3">
      <c r="R9046" s="255"/>
      <c r="S9046" s="255"/>
      <c r="T9046" s="255"/>
    </row>
    <row r="9047" spans="18:20" x14ac:dyDescent="0.3">
      <c r="R9047" s="255"/>
      <c r="S9047" s="255"/>
      <c r="T9047" s="255"/>
    </row>
    <row r="9048" spans="18:20" x14ac:dyDescent="0.3">
      <c r="R9048" s="255"/>
      <c r="S9048" s="255"/>
      <c r="T9048" s="255"/>
    </row>
    <row r="9049" spans="18:20" x14ac:dyDescent="0.3">
      <c r="R9049" s="255"/>
      <c r="S9049" s="255"/>
      <c r="T9049" s="255"/>
    </row>
    <row r="9050" spans="18:20" x14ac:dyDescent="0.3">
      <c r="R9050" s="255"/>
      <c r="S9050" s="255"/>
      <c r="T9050" s="255"/>
    </row>
    <row r="9051" spans="18:20" x14ac:dyDescent="0.3">
      <c r="R9051" s="255"/>
      <c r="S9051" s="255"/>
      <c r="T9051" s="255"/>
    </row>
    <row r="9052" spans="18:20" x14ac:dyDescent="0.3">
      <c r="R9052" s="255"/>
      <c r="S9052" s="255"/>
      <c r="T9052" s="255"/>
    </row>
    <row r="9053" spans="18:20" x14ac:dyDescent="0.3">
      <c r="R9053" s="255"/>
      <c r="S9053" s="255"/>
      <c r="T9053" s="255"/>
    </row>
    <row r="9054" spans="18:20" x14ac:dyDescent="0.3">
      <c r="R9054" s="255"/>
      <c r="S9054" s="255"/>
      <c r="T9054" s="255"/>
    </row>
    <row r="9055" spans="18:20" x14ac:dyDescent="0.3">
      <c r="R9055" s="255"/>
      <c r="S9055" s="255"/>
      <c r="T9055" s="255"/>
    </row>
    <row r="9056" spans="18:20" x14ac:dyDescent="0.3">
      <c r="R9056" s="255"/>
      <c r="S9056" s="255"/>
      <c r="T9056" s="255"/>
    </row>
    <row r="9057" spans="18:20" x14ac:dyDescent="0.3">
      <c r="R9057" s="255"/>
      <c r="S9057" s="255"/>
      <c r="T9057" s="255"/>
    </row>
    <row r="9058" spans="18:20" x14ac:dyDescent="0.3">
      <c r="R9058" s="255"/>
      <c r="S9058" s="255"/>
      <c r="T9058" s="255"/>
    </row>
    <row r="9059" spans="18:20" x14ac:dyDescent="0.3">
      <c r="R9059" s="255"/>
      <c r="S9059" s="255"/>
      <c r="T9059" s="255"/>
    </row>
    <row r="9060" spans="18:20" x14ac:dyDescent="0.3">
      <c r="R9060" s="255"/>
      <c r="S9060" s="255"/>
      <c r="T9060" s="255"/>
    </row>
    <row r="9061" spans="18:20" x14ac:dyDescent="0.3">
      <c r="R9061" s="255"/>
      <c r="S9061" s="255"/>
      <c r="T9061" s="255"/>
    </row>
    <row r="9062" spans="18:20" x14ac:dyDescent="0.3">
      <c r="R9062" s="255"/>
      <c r="S9062" s="255"/>
      <c r="T9062" s="255"/>
    </row>
    <row r="9063" spans="18:20" x14ac:dyDescent="0.3">
      <c r="R9063" s="255"/>
      <c r="S9063" s="255"/>
      <c r="T9063" s="255"/>
    </row>
    <row r="9064" spans="18:20" x14ac:dyDescent="0.3">
      <c r="R9064" s="255"/>
      <c r="S9064" s="255"/>
      <c r="T9064" s="255"/>
    </row>
    <row r="9065" spans="18:20" x14ac:dyDescent="0.3">
      <c r="R9065" s="255"/>
      <c r="S9065" s="255"/>
      <c r="T9065" s="255"/>
    </row>
    <row r="9066" spans="18:20" x14ac:dyDescent="0.3">
      <c r="R9066" s="255"/>
      <c r="S9066" s="255"/>
      <c r="T9066" s="255"/>
    </row>
    <row r="9067" spans="18:20" x14ac:dyDescent="0.3">
      <c r="R9067" s="255"/>
      <c r="S9067" s="255"/>
      <c r="T9067" s="255"/>
    </row>
    <row r="9068" spans="18:20" x14ac:dyDescent="0.3">
      <c r="R9068" s="255"/>
      <c r="S9068" s="255"/>
      <c r="T9068" s="255"/>
    </row>
    <row r="9069" spans="18:20" x14ac:dyDescent="0.3">
      <c r="R9069" s="255"/>
      <c r="S9069" s="255"/>
      <c r="T9069" s="255"/>
    </row>
    <row r="9070" spans="18:20" x14ac:dyDescent="0.3">
      <c r="R9070" s="255"/>
      <c r="S9070" s="255"/>
      <c r="T9070" s="255"/>
    </row>
    <row r="9071" spans="18:20" x14ac:dyDescent="0.3">
      <c r="R9071" s="255"/>
      <c r="S9071" s="255"/>
      <c r="T9071" s="255"/>
    </row>
    <row r="9072" spans="18:20" x14ac:dyDescent="0.3">
      <c r="R9072" s="255"/>
      <c r="S9072" s="255"/>
      <c r="T9072" s="255"/>
    </row>
    <row r="9073" spans="18:20" x14ac:dyDescent="0.3">
      <c r="R9073" s="255"/>
      <c r="S9073" s="255"/>
      <c r="T9073" s="255"/>
    </row>
    <row r="9074" spans="18:20" x14ac:dyDescent="0.3">
      <c r="R9074" s="255"/>
      <c r="S9074" s="255"/>
      <c r="T9074" s="255"/>
    </row>
    <row r="9075" spans="18:20" x14ac:dyDescent="0.3">
      <c r="R9075" s="255"/>
      <c r="S9075" s="255"/>
      <c r="T9075" s="255"/>
    </row>
    <row r="9076" spans="18:20" x14ac:dyDescent="0.3">
      <c r="R9076" s="255"/>
      <c r="S9076" s="255"/>
      <c r="T9076" s="255"/>
    </row>
    <row r="9077" spans="18:20" x14ac:dyDescent="0.3">
      <c r="R9077" s="255"/>
      <c r="S9077" s="255"/>
      <c r="T9077" s="255"/>
    </row>
    <row r="9078" spans="18:20" x14ac:dyDescent="0.3">
      <c r="R9078" s="255"/>
      <c r="S9078" s="255"/>
      <c r="T9078" s="255"/>
    </row>
    <row r="9079" spans="18:20" x14ac:dyDescent="0.3">
      <c r="R9079" s="255"/>
      <c r="S9079" s="255"/>
      <c r="T9079" s="255"/>
    </row>
    <row r="9080" spans="18:20" x14ac:dyDescent="0.3">
      <c r="R9080" s="255"/>
      <c r="S9080" s="255"/>
      <c r="T9080" s="255"/>
    </row>
    <row r="9081" spans="18:20" x14ac:dyDescent="0.3">
      <c r="R9081" s="255"/>
      <c r="S9081" s="255"/>
      <c r="T9081" s="255"/>
    </row>
    <row r="9082" spans="18:20" x14ac:dyDescent="0.3">
      <c r="R9082" s="255"/>
      <c r="S9082" s="255"/>
      <c r="T9082" s="255"/>
    </row>
    <row r="9083" spans="18:20" x14ac:dyDescent="0.3">
      <c r="R9083" s="255"/>
      <c r="S9083" s="255"/>
      <c r="T9083" s="255"/>
    </row>
    <row r="9084" spans="18:20" x14ac:dyDescent="0.3">
      <c r="R9084" s="255"/>
      <c r="S9084" s="255"/>
      <c r="T9084" s="255"/>
    </row>
    <row r="9085" spans="18:20" x14ac:dyDescent="0.3">
      <c r="R9085" s="255"/>
      <c r="S9085" s="255"/>
      <c r="T9085" s="255"/>
    </row>
    <row r="9086" spans="18:20" x14ac:dyDescent="0.3">
      <c r="R9086" s="255"/>
      <c r="S9086" s="255"/>
      <c r="T9086" s="255"/>
    </row>
    <row r="9087" spans="18:20" x14ac:dyDescent="0.3">
      <c r="R9087" s="255"/>
      <c r="S9087" s="255"/>
      <c r="T9087" s="255"/>
    </row>
    <row r="9088" spans="18:20" x14ac:dyDescent="0.3">
      <c r="R9088" s="255"/>
      <c r="S9088" s="255"/>
      <c r="T9088" s="255"/>
    </row>
    <row r="9089" spans="18:20" x14ac:dyDescent="0.3">
      <c r="R9089" s="255"/>
      <c r="S9089" s="255"/>
      <c r="T9089" s="255"/>
    </row>
    <row r="9090" spans="18:20" x14ac:dyDescent="0.3">
      <c r="R9090" s="255"/>
      <c r="S9090" s="255"/>
      <c r="T9090" s="255"/>
    </row>
    <row r="9091" spans="18:20" x14ac:dyDescent="0.3">
      <c r="R9091" s="255"/>
      <c r="S9091" s="255"/>
      <c r="T9091" s="255"/>
    </row>
    <row r="9092" spans="18:20" x14ac:dyDescent="0.3">
      <c r="R9092" s="255"/>
      <c r="S9092" s="255"/>
      <c r="T9092" s="255"/>
    </row>
    <row r="9093" spans="18:20" x14ac:dyDescent="0.3">
      <c r="R9093" s="255"/>
      <c r="S9093" s="255"/>
      <c r="T9093" s="255"/>
    </row>
    <row r="9094" spans="18:20" x14ac:dyDescent="0.3">
      <c r="R9094" s="255"/>
      <c r="S9094" s="255"/>
      <c r="T9094" s="255"/>
    </row>
    <row r="9095" spans="18:20" x14ac:dyDescent="0.3">
      <c r="R9095" s="255"/>
      <c r="S9095" s="255"/>
      <c r="T9095" s="255"/>
    </row>
    <row r="9096" spans="18:20" x14ac:dyDescent="0.3">
      <c r="R9096" s="255"/>
      <c r="S9096" s="255"/>
      <c r="T9096" s="255"/>
    </row>
    <row r="9097" spans="18:20" x14ac:dyDescent="0.3">
      <c r="R9097" s="255"/>
      <c r="S9097" s="255"/>
      <c r="T9097" s="255"/>
    </row>
    <row r="9098" spans="18:20" x14ac:dyDescent="0.3">
      <c r="R9098" s="255"/>
      <c r="S9098" s="255"/>
      <c r="T9098" s="255"/>
    </row>
    <row r="9099" spans="18:20" x14ac:dyDescent="0.3">
      <c r="R9099" s="255"/>
      <c r="S9099" s="255"/>
      <c r="T9099" s="255"/>
    </row>
    <row r="9100" spans="18:20" x14ac:dyDescent="0.3">
      <c r="R9100" s="255"/>
      <c r="S9100" s="255"/>
      <c r="T9100" s="255"/>
    </row>
    <row r="9101" spans="18:20" x14ac:dyDescent="0.3">
      <c r="R9101" s="255"/>
      <c r="S9101" s="255"/>
      <c r="T9101" s="255"/>
    </row>
    <row r="9102" spans="18:20" x14ac:dyDescent="0.3">
      <c r="R9102" s="255"/>
      <c r="S9102" s="255"/>
      <c r="T9102" s="255"/>
    </row>
    <row r="9103" spans="18:20" x14ac:dyDescent="0.3">
      <c r="R9103" s="255"/>
      <c r="S9103" s="255"/>
      <c r="T9103" s="255"/>
    </row>
    <row r="9104" spans="18:20" x14ac:dyDescent="0.3">
      <c r="R9104" s="255"/>
      <c r="S9104" s="255"/>
      <c r="T9104" s="255"/>
    </row>
    <row r="9105" spans="18:20" x14ac:dyDescent="0.3">
      <c r="R9105" s="255"/>
      <c r="S9105" s="255"/>
      <c r="T9105" s="255"/>
    </row>
    <row r="9106" spans="18:20" x14ac:dyDescent="0.3">
      <c r="R9106" s="255"/>
      <c r="S9106" s="255"/>
      <c r="T9106" s="255"/>
    </row>
    <row r="9107" spans="18:20" x14ac:dyDescent="0.3">
      <c r="R9107" s="255"/>
      <c r="S9107" s="255"/>
      <c r="T9107" s="255"/>
    </row>
    <row r="9108" spans="18:20" x14ac:dyDescent="0.3">
      <c r="R9108" s="255"/>
      <c r="S9108" s="255"/>
      <c r="T9108" s="255"/>
    </row>
    <row r="9109" spans="18:20" x14ac:dyDescent="0.3">
      <c r="R9109" s="255"/>
      <c r="S9109" s="255"/>
      <c r="T9109" s="255"/>
    </row>
    <row r="9110" spans="18:20" x14ac:dyDescent="0.3">
      <c r="R9110" s="255"/>
      <c r="S9110" s="255"/>
      <c r="T9110" s="255"/>
    </row>
    <row r="9111" spans="18:20" x14ac:dyDescent="0.3">
      <c r="R9111" s="255"/>
      <c r="S9111" s="255"/>
      <c r="T9111" s="255"/>
    </row>
    <row r="9112" spans="18:20" x14ac:dyDescent="0.3">
      <c r="R9112" s="255"/>
      <c r="S9112" s="255"/>
      <c r="T9112" s="255"/>
    </row>
    <row r="9113" spans="18:20" x14ac:dyDescent="0.3">
      <c r="R9113" s="255"/>
      <c r="S9113" s="255"/>
      <c r="T9113" s="255"/>
    </row>
    <row r="9114" spans="18:20" x14ac:dyDescent="0.3">
      <c r="R9114" s="255"/>
      <c r="S9114" s="255"/>
      <c r="T9114" s="255"/>
    </row>
    <row r="9115" spans="18:20" x14ac:dyDescent="0.3">
      <c r="R9115" s="255"/>
      <c r="S9115" s="255"/>
      <c r="T9115" s="255"/>
    </row>
    <row r="9116" spans="18:20" x14ac:dyDescent="0.3">
      <c r="R9116" s="255"/>
      <c r="S9116" s="255"/>
      <c r="T9116" s="255"/>
    </row>
    <row r="9117" spans="18:20" x14ac:dyDescent="0.3">
      <c r="R9117" s="255"/>
      <c r="S9117" s="255"/>
      <c r="T9117" s="255"/>
    </row>
    <row r="9118" spans="18:20" x14ac:dyDescent="0.3">
      <c r="R9118" s="255"/>
      <c r="S9118" s="255"/>
      <c r="T9118" s="255"/>
    </row>
    <row r="9119" spans="18:20" x14ac:dyDescent="0.3">
      <c r="R9119" s="255"/>
      <c r="S9119" s="255"/>
      <c r="T9119" s="255"/>
    </row>
    <row r="9120" spans="18:20" x14ac:dyDescent="0.3">
      <c r="R9120" s="255"/>
      <c r="S9120" s="255"/>
      <c r="T9120" s="255"/>
    </row>
    <row r="9121" spans="18:20" x14ac:dyDescent="0.3">
      <c r="R9121" s="255"/>
      <c r="S9121" s="255"/>
      <c r="T9121" s="255"/>
    </row>
    <row r="9122" spans="18:20" x14ac:dyDescent="0.3">
      <c r="R9122" s="255"/>
      <c r="S9122" s="255"/>
      <c r="T9122" s="255"/>
    </row>
    <row r="9123" spans="18:20" x14ac:dyDescent="0.3">
      <c r="R9123" s="255"/>
      <c r="S9123" s="255"/>
      <c r="T9123" s="255"/>
    </row>
    <row r="9124" spans="18:20" x14ac:dyDescent="0.3">
      <c r="R9124" s="255"/>
      <c r="S9124" s="255"/>
      <c r="T9124" s="255"/>
    </row>
    <row r="9125" spans="18:20" x14ac:dyDescent="0.3">
      <c r="R9125" s="255"/>
      <c r="S9125" s="255"/>
      <c r="T9125" s="255"/>
    </row>
    <row r="9126" spans="18:20" x14ac:dyDescent="0.3">
      <c r="R9126" s="255"/>
      <c r="S9126" s="255"/>
      <c r="T9126" s="255"/>
    </row>
    <row r="9127" spans="18:20" x14ac:dyDescent="0.3">
      <c r="R9127" s="255"/>
      <c r="S9127" s="255"/>
      <c r="T9127" s="255"/>
    </row>
    <row r="9128" spans="18:20" x14ac:dyDescent="0.3">
      <c r="R9128" s="255"/>
      <c r="S9128" s="255"/>
      <c r="T9128" s="255"/>
    </row>
    <row r="9129" spans="18:20" x14ac:dyDescent="0.3">
      <c r="R9129" s="255"/>
      <c r="S9129" s="255"/>
      <c r="T9129" s="255"/>
    </row>
    <row r="9130" spans="18:20" x14ac:dyDescent="0.3">
      <c r="R9130" s="255"/>
      <c r="S9130" s="255"/>
      <c r="T9130" s="255"/>
    </row>
    <row r="9131" spans="18:20" x14ac:dyDescent="0.3">
      <c r="R9131" s="255"/>
      <c r="S9131" s="255"/>
      <c r="T9131" s="255"/>
    </row>
    <row r="9132" spans="18:20" x14ac:dyDescent="0.3">
      <c r="R9132" s="255"/>
      <c r="S9132" s="255"/>
      <c r="T9132" s="255"/>
    </row>
    <row r="9133" spans="18:20" x14ac:dyDescent="0.3">
      <c r="R9133" s="255"/>
      <c r="S9133" s="255"/>
      <c r="T9133" s="255"/>
    </row>
    <row r="9134" spans="18:20" x14ac:dyDescent="0.3">
      <c r="R9134" s="255"/>
      <c r="S9134" s="255"/>
      <c r="T9134" s="255"/>
    </row>
    <row r="9135" spans="18:20" x14ac:dyDescent="0.3">
      <c r="R9135" s="255"/>
      <c r="S9135" s="255"/>
      <c r="T9135" s="255"/>
    </row>
    <row r="9136" spans="18:20" x14ac:dyDescent="0.3">
      <c r="R9136" s="255"/>
      <c r="S9136" s="255"/>
      <c r="T9136" s="255"/>
    </row>
    <row r="9137" spans="18:20" x14ac:dyDescent="0.3">
      <c r="R9137" s="255"/>
      <c r="S9137" s="255"/>
      <c r="T9137" s="255"/>
    </row>
    <row r="9138" spans="18:20" x14ac:dyDescent="0.3">
      <c r="R9138" s="255"/>
      <c r="S9138" s="255"/>
      <c r="T9138" s="255"/>
    </row>
    <row r="9139" spans="18:20" x14ac:dyDescent="0.3">
      <c r="R9139" s="255"/>
      <c r="S9139" s="255"/>
      <c r="T9139" s="255"/>
    </row>
    <row r="9140" spans="18:20" x14ac:dyDescent="0.3">
      <c r="R9140" s="255"/>
      <c r="S9140" s="255"/>
      <c r="T9140" s="255"/>
    </row>
    <row r="9141" spans="18:20" x14ac:dyDescent="0.3">
      <c r="R9141" s="255"/>
      <c r="S9141" s="255"/>
      <c r="T9141" s="255"/>
    </row>
    <row r="9142" spans="18:20" x14ac:dyDescent="0.3">
      <c r="R9142" s="255"/>
      <c r="S9142" s="255"/>
      <c r="T9142" s="255"/>
    </row>
    <row r="9143" spans="18:20" x14ac:dyDescent="0.3">
      <c r="R9143" s="255"/>
      <c r="S9143" s="255"/>
      <c r="T9143" s="255"/>
    </row>
    <row r="9144" spans="18:20" x14ac:dyDescent="0.3">
      <c r="R9144" s="255"/>
      <c r="S9144" s="255"/>
      <c r="T9144" s="255"/>
    </row>
    <row r="9145" spans="18:20" x14ac:dyDescent="0.3">
      <c r="R9145" s="255"/>
      <c r="S9145" s="255"/>
      <c r="T9145" s="255"/>
    </row>
    <row r="9146" spans="18:20" x14ac:dyDescent="0.3">
      <c r="R9146" s="255"/>
      <c r="S9146" s="255"/>
      <c r="T9146" s="255"/>
    </row>
    <row r="9147" spans="18:20" x14ac:dyDescent="0.3">
      <c r="R9147" s="255"/>
      <c r="S9147" s="255"/>
      <c r="T9147" s="255"/>
    </row>
    <row r="9148" spans="18:20" x14ac:dyDescent="0.3">
      <c r="R9148" s="255"/>
      <c r="S9148" s="255"/>
      <c r="T9148" s="255"/>
    </row>
    <row r="9149" spans="18:20" x14ac:dyDescent="0.3">
      <c r="R9149" s="255"/>
      <c r="S9149" s="255"/>
      <c r="T9149" s="255"/>
    </row>
    <row r="9150" spans="18:20" x14ac:dyDescent="0.3">
      <c r="R9150" s="255"/>
      <c r="S9150" s="255"/>
      <c r="T9150" s="255"/>
    </row>
    <row r="9151" spans="18:20" x14ac:dyDescent="0.3">
      <c r="R9151" s="255"/>
      <c r="S9151" s="255"/>
      <c r="T9151" s="255"/>
    </row>
    <row r="9152" spans="18:20" x14ac:dyDescent="0.3">
      <c r="R9152" s="255"/>
      <c r="S9152" s="255"/>
      <c r="T9152" s="255"/>
    </row>
    <row r="9153" spans="18:20" x14ac:dyDescent="0.3">
      <c r="R9153" s="255"/>
      <c r="S9153" s="255"/>
      <c r="T9153" s="255"/>
    </row>
    <row r="9154" spans="18:20" x14ac:dyDescent="0.3">
      <c r="R9154" s="255"/>
      <c r="S9154" s="255"/>
      <c r="T9154" s="255"/>
    </row>
    <row r="9155" spans="18:20" x14ac:dyDescent="0.3">
      <c r="R9155" s="255"/>
      <c r="S9155" s="255"/>
      <c r="T9155" s="255"/>
    </row>
    <row r="9156" spans="18:20" x14ac:dyDescent="0.3">
      <c r="R9156" s="255"/>
      <c r="S9156" s="255"/>
      <c r="T9156" s="255"/>
    </row>
    <row r="9157" spans="18:20" x14ac:dyDescent="0.3">
      <c r="R9157" s="255"/>
      <c r="S9157" s="255"/>
      <c r="T9157" s="255"/>
    </row>
    <row r="9158" spans="18:20" x14ac:dyDescent="0.3">
      <c r="R9158" s="255"/>
      <c r="S9158" s="255"/>
      <c r="T9158" s="255"/>
    </row>
    <row r="9159" spans="18:20" x14ac:dyDescent="0.3">
      <c r="R9159" s="255"/>
      <c r="S9159" s="255"/>
      <c r="T9159" s="255"/>
    </row>
    <row r="9160" spans="18:20" x14ac:dyDescent="0.3">
      <c r="R9160" s="255"/>
      <c r="S9160" s="255"/>
      <c r="T9160" s="255"/>
    </row>
    <row r="9161" spans="18:20" x14ac:dyDescent="0.3">
      <c r="R9161" s="255"/>
      <c r="S9161" s="255"/>
      <c r="T9161" s="255"/>
    </row>
    <row r="9162" spans="18:20" x14ac:dyDescent="0.3">
      <c r="R9162" s="255"/>
      <c r="S9162" s="255"/>
      <c r="T9162" s="255"/>
    </row>
    <row r="9163" spans="18:20" x14ac:dyDescent="0.3">
      <c r="R9163" s="255"/>
      <c r="S9163" s="255"/>
      <c r="T9163" s="255"/>
    </row>
    <row r="9164" spans="18:20" x14ac:dyDescent="0.3">
      <c r="R9164" s="255"/>
      <c r="S9164" s="255"/>
      <c r="T9164" s="255"/>
    </row>
    <row r="9165" spans="18:20" x14ac:dyDescent="0.3">
      <c r="R9165" s="255"/>
      <c r="S9165" s="255"/>
      <c r="T9165" s="255"/>
    </row>
    <row r="9166" spans="18:20" x14ac:dyDescent="0.3">
      <c r="R9166" s="255"/>
      <c r="S9166" s="255"/>
      <c r="T9166" s="255"/>
    </row>
    <row r="9167" spans="18:20" x14ac:dyDescent="0.3">
      <c r="R9167" s="255"/>
      <c r="S9167" s="255"/>
      <c r="T9167" s="255"/>
    </row>
    <row r="9168" spans="18:20" x14ac:dyDescent="0.3">
      <c r="R9168" s="255"/>
      <c r="S9168" s="255"/>
      <c r="T9168" s="255"/>
    </row>
    <row r="9169" spans="18:20" x14ac:dyDescent="0.3">
      <c r="R9169" s="255"/>
      <c r="S9169" s="255"/>
      <c r="T9169" s="255"/>
    </row>
    <row r="9170" spans="18:20" x14ac:dyDescent="0.3">
      <c r="R9170" s="255"/>
      <c r="S9170" s="255"/>
      <c r="T9170" s="255"/>
    </row>
    <row r="9171" spans="18:20" x14ac:dyDescent="0.3">
      <c r="R9171" s="255"/>
      <c r="S9171" s="255"/>
      <c r="T9171" s="255"/>
    </row>
    <row r="9172" spans="18:20" x14ac:dyDescent="0.3">
      <c r="R9172" s="255"/>
      <c r="S9172" s="255"/>
      <c r="T9172" s="255"/>
    </row>
    <row r="9173" spans="18:20" x14ac:dyDescent="0.3">
      <c r="R9173" s="255"/>
      <c r="S9173" s="255"/>
      <c r="T9173" s="255"/>
    </row>
    <row r="9174" spans="18:20" x14ac:dyDescent="0.3">
      <c r="R9174" s="255"/>
      <c r="S9174" s="255"/>
      <c r="T9174" s="255"/>
    </row>
    <row r="9175" spans="18:20" x14ac:dyDescent="0.3">
      <c r="R9175" s="255"/>
      <c r="S9175" s="255"/>
      <c r="T9175" s="255"/>
    </row>
    <row r="9176" spans="18:20" x14ac:dyDescent="0.3">
      <c r="R9176" s="255"/>
      <c r="S9176" s="255"/>
      <c r="T9176" s="255"/>
    </row>
    <row r="9177" spans="18:20" x14ac:dyDescent="0.3">
      <c r="R9177" s="255"/>
      <c r="S9177" s="255"/>
      <c r="T9177" s="255"/>
    </row>
    <row r="9178" spans="18:20" x14ac:dyDescent="0.3">
      <c r="R9178" s="255"/>
      <c r="S9178" s="255"/>
      <c r="T9178" s="255"/>
    </row>
    <row r="9179" spans="18:20" x14ac:dyDescent="0.3">
      <c r="R9179" s="255"/>
      <c r="S9179" s="255"/>
      <c r="T9179" s="255"/>
    </row>
    <row r="9180" spans="18:20" x14ac:dyDescent="0.3">
      <c r="R9180" s="255"/>
      <c r="S9180" s="255"/>
      <c r="T9180" s="255"/>
    </row>
    <row r="9181" spans="18:20" x14ac:dyDescent="0.3">
      <c r="R9181" s="255"/>
      <c r="S9181" s="255"/>
      <c r="T9181" s="255"/>
    </row>
    <row r="9182" spans="18:20" x14ac:dyDescent="0.3">
      <c r="R9182" s="255"/>
      <c r="S9182" s="255"/>
      <c r="T9182" s="255"/>
    </row>
    <row r="9183" spans="18:20" x14ac:dyDescent="0.3">
      <c r="R9183" s="255"/>
      <c r="S9183" s="255"/>
      <c r="T9183" s="255"/>
    </row>
    <row r="9184" spans="18:20" x14ac:dyDescent="0.3">
      <c r="R9184" s="255"/>
      <c r="S9184" s="255"/>
      <c r="T9184" s="255"/>
    </row>
    <row r="9185" spans="18:20" x14ac:dyDescent="0.3">
      <c r="R9185" s="255"/>
      <c r="S9185" s="255"/>
      <c r="T9185" s="255"/>
    </row>
    <row r="9186" spans="18:20" x14ac:dyDescent="0.3">
      <c r="R9186" s="255"/>
      <c r="S9186" s="255"/>
      <c r="T9186" s="255"/>
    </row>
    <row r="9187" spans="18:20" x14ac:dyDescent="0.3">
      <c r="R9187" s="255"/>
      <c r="S9187" s="255"/>
      <c r="T9187" s="255"/>
    </row>
    <row r="9188" spans="18:20" x14ac:dyDescent="0.3">
      <c r="R9188" s="255"/>
      <c r="S9188" s="255"/>
      <c r="T9188" s="255"/>
    </row>
    <row r="9189" spans="18:20" x14ac:dyDescent="0.3">
      <c r="R9189" s="255"/>
      <c r="S9189" s="255"/>
      <c r="T9189" s="255"/>
    </row>
    <row r="9190" spans="18:20" x14ac:dyDescent="0.3">
      <c r="R9190" s="255"/>
      <c r="S9190" s="255"/>
      <c r="T9190" s="255"/>
    </row>
    <row r="9191" spans="18:20" x14ac:dyDescent="0.3">
      <c r="R9191" s="255"/>
      <c r="S9191" s="255"/>
      <c r="T9191" s="255"/>
    </row>
    <row r="9192" spans="18:20" x14ac:dyDescent="0.3">
      <c r="R9192" s="255"/>
      <c r="S9192" s="255"/>
      <c r="T9192" s="255"/>
    </row>
    <row r="9193" spans="18:20" x14ac:dyDescent="0.3">
      <c r="R9193" s="255"/>
      <c r="S9193" s="255"/>
      <c r="T9193" s="255"/>
    </row>
    <row r="9194" spans="18:20" x14ac:dyDescent="0.3">
      <c r="R9194" s="255"/>
      <c r="S9194" s="255"/>
      <c r="T9194" s="255"/>
    </row>
    <row r="9195" spans="18:20" x14ac:dyDescent="0.3">
      <c r="R9195" s="255"/>
      <c r="S9195" s="255"/>
      <c r="T9195" s="255"/>
    </row>
    <row r="9196" spans="18:20" x14ac:dyDescent="0.3">
      <c r="R9196" s="255"/>
      <c r="S9196" s="255"/>
      <c r="T9196" s="255"/>
    </row>
    <row r="9197" spans="18:20" x14ac:dyDescent="0.3">
      <c r="R9197" s="255"/>
      <c r="S9197" s="255"/>
      <c r="T9197" s="255"/>
    </row>
    <row r="9198" spans="18:20" x14ac:dyDescent="0.3">
      <c r="R9198" s="255"/>
      <c r="S9198" s="255"/>
      <c r="T9198" s="255"/>
    </row>
    <row r="9199" spans="18:20" x14ac:dyDescent="0.3">
      <c r="R9199" s="255"/>
      <c r="S9199" s="255"/>
      <c r="T9199" s="255"/>
    </row>
    <row r="9200" spans="18:20" x14ac:dyDescent="0.3">
      <c r="R9200" s="255"/>
      <c r="S9200" s="255"/>
      <c r="T9200" s="255"/>
    </row>
    <row r="9201" spans="18:20" x14ac:dyDescent="0.3">
      <c r="R9201" s="255"/>
      <c r="S9201" s="255"/>
      <c r="T9201" s="255"/>
    </row>
    <row r="9202" spans="18:20" x14ac:dyDescent="0.3">
      <c r="R9202" s="255"/>
      <c r="S9202" s="255"/>
      <c r="T9202" s="255"/>
    </row>
    <row r="9203" spans="18:20" x14ac:dyDescent="0.3">
      <c r="R9203" s="255"/>
      <c r="S9203" s="255"/>
      <c r="T9203" s="255"/>
    </row>
    <row r="9204" spans="18:20" x14ac:dyDescent="0.3">
      <c r="R9204" s="255"/>
      <c r="S9204" s="255"/>
      <c r="T9204" s="255"/>
    </row>
    <row r="9205" spans="18:20" x14ac:dyDescent="0.3">
      <c r="R9205" s="255"/>
      <c r="S9205" s="255"/>
      <c r="T9205" s="255"/>
    </row>
    <row r="9206" spans="18:20" x14ac:dyDescent="0.3">
      <c r="R9206" s="255"/>
      <c r="S9206" s="255"/>
      <c r="T9206" s="255"/>
    </row>
    <row r="9207" spans="18:20" x14ac:dyDescent="0.3">
      <c r="R9207" s="255"/>
      <c r="S9207" s="255"/>
      <c r="T9207" s="255"/>
    </row>
    <row r="9208" spans="18:20" x14ac:dyDescent="0.3">
      <c r="R9208" s="255"/>
      <c r="S9208" s="255"/>
      <c r="T9208" s="255"/>
    </row>
    <row r="9209" spans="18:20" x14ac:dyDescent="0.3">
      <c r="R9209" s="255"/>
      <c r="S9209" s="255"/>
      <c r="T9209" s="255"/>
    </row>
    <row r="9210" spans="18:20" x14ac:dyDescent="0.3">
      <c r="R9210" s="255"/>
      <c r="S9210" s="255"/>
      <c r="T9210" s="255"/>
    </row>
    <row r="9211" spans="18:20" x14ac:dyDescent="0.3">
      <c r="R9211" s="255"/>
      <c r="S9211" s="255"/>
      <c r="T9211" s="255"/>
    </row>
    <row r="9212" spans="18:20" x14ac:dyDescent="0.3">
      <c r="R9212" s="255"/>
      <c r="S9212" s="255"/>
      <c r="T9212" s="255"/>
    </row>
    <row r="9213" spans="18:20" x14ac:dyDescent="0.3">
      <c r="R9213" s="255"/>
      <c r="S9213" s="255"/>
      <c r="T9213" s="255"/>
    </row>
    <row r="9214" spans="18:20" x14ac:dyDescent="0.3">
      <c r="R9214" s="255"/>
      <c r="S9214" s="255"/>
      <c r="T9214" s="255"/>
    </row>
    <row r="9215" spans="18:20" x14ac:dyDescent="0.3">
      <c r="R9215" s="255"/>
      <c r="S9215" s="255"/>
      <c r="T9215" s="255"/>
    </row>
    <row r="9216" spans="18:20" x14ac:dyDescent="0.3">
      <c r="R9216" s="255"/>
      <c r="S9216" s="255"/>
      <c r="T9216" s="255"/>
    </row>
    <row r="9217" spans="18:20" x14ac:dyDescent="0.3">
      <c r="R9217" s="255"/>
      <c r="S9217" s="255"/>
      <c r="T9217" s="255"/>
    </row>
    <row r="9218" spans="18:20" x14ac:dyDescent="0.3">
      <c r="R9218" s="255"/>
      <c r="S9218" s="255"/>
      <c r="T9218" s="255"/>
    </row>
    <row r="9219" spans="18:20" x14ac:dyDescent="0.3">
      <c r="R9219" s="255"/>
      <c r="S9219" s="255"/>
      <c r="T9219" s="255"/>
    </row>
    <row r="9220" spans="18:20" x14ac:dyDescent="0.3">
      <c r="R9220" s="255"/>
      <c r="S9220" s="255"/>
      <c r="T9220" s="255"/>
    </row>
    <row r="9221" spans="18:20" x14ac:dyDescent="0.3">
      <c r="R9221" s="255"/>
      <c r="S9221" s="255"/>
      <c r="T9221" s="255"/>
    </row>
    <row r="9222" spans="18:20" x14ac:dyDescent="0.3">
      <c r="R9222" s="255"/>
      <c r="S9222" s="255"/>
      <c r="T9222" s="255"/>
    </row>
    <row r="9223" spans="18:20" x14ac:dyDescent="0.3">
      <c r="R9223" s="255"/>
      <c r="S9223" s="255"/>
      <c r="T9223" s="255"/>
    </row>
    <row r="9224" spans="18:20" x14ac:dyDescent="0.3">
      <c r="R9224" s="255"/>
      <c r="S9224" s="255"/>
      <c r="T9224" s="255"/>
    </row>
    <row r="9225" spans="18:20" x14ac:dyDescent="0.3">
      <c r="R9225" s="255"/>
      <c r="S9225" s="255"/>
      <c r="T9225" s="255"/>
    </row>
    <row r="9226" spans="18:20" x14ac:dyDescent="0.3">
      <c r="R9226" s="255"/>
      <c r="S9226" s="255"/>
      <c r="T9226" s="255"/>
    </row>
    <row r="9227" spans="18:20" x14ac:dyDescent="0.3">
      <c r="R9227" s="255"/>
      <c r="S9227" s="255"/>
      <c r="T9227" s="255"/>
    </row>
    <row r="9228" spans="18:20" x14ac:dyDescent="0.3">
      <c r="R9228" s="255"/>
      <c r="S9228" s="255"/>
      <c r="T9228" s="255"/>
    </row>
    <row r="9229" spans="18:20" x14ac:dyDescent="0.3">
      <c r="R9229" s="255"/>
      <c r="S9229" s="255"/>
      <c r="T9229" s="255"/>
    </row>
    <row r="9230" spans="18:20" x14ac:dyDescent="0.3">
      <c r="R9230" s="255"/>
      <c r="S9230" s="255"/>
      <c r="T9230" s="255"/>
    </row>
    <row r="9231" spans="18:20" x14ac:dyDescent="0.3">
      <c r="R9231" s="255"/>
      <c r="S9231" s="255"/>
      <c r="T9231" s="255"/>
    </row>
    <row r="9232" spans="18:20" x14ac:dyDescent="0.3">
      <c r="R9232" s="255"/>
      <c r="S9232" s="255"/>
      <c r="T9232" s="255"/>
    </row>
    <row r="9233" spans="18:20" x14ac:dyDescent="0.3">
      <c r="R9233" s="255"/>
      <c r="S9233" s="255"/>
      <c r="T9233" s="255"/>
    </row>
    <row r="9234" spans="18:20" x14ac:dyDescent="0.3">
      <c r="R9234" s="255"/>
      <c r="S9234" s="255"/>
      <c r="T9234" s="255"/>
    </row>
    <row r="9235" spans="18:20" x14ac:dyDescent="0.3">
      <c r="R9235" s="255"/>
      <c r="S9235" s="255"/>
      <c r="T9235" s="255"/>
    </row>
    <row r="9236" spans="18:20" x14ac:dyDescent="0.3">
      <c r="R9236" s="255"/>
      <c r="S9236" s="255"/>
      <c r="T9236" s="255"/>
    </row>
    <row r="9237" spans="18:20" x14ac:dyDescent="0.3">
      <c r="R9237" s="255"/>
      <c r="S9237" s="255"/>
      <c r="T9237" s="255"/>
    </row>
    <row r="9238" spans="18:20" x14ac:dyDescent="0.3">
      <c r="R9238" s="255"/>
      <c r="S9238" s="255"/>
      <c r="T9238" s="255"/>
    </row>
    <row r="9239" spans="18:20" x14ac:dyDescent="0.3">
      <c r="R9239" s="255"/>
      <c r="S9239" s="255"/>
      <c r="T9239" s="255"/>
    </row>
    <row r="9240" spans="18:20" x14ac:dyDescent="0.3">
      <c r="R9240" s="255"/>
      <c r="S9240" s="255"/>
      <c r="T9240" s="255"/>
    </row>
    <row r="9241" spans="18:20" x14ac:dyDescent="0.3">
      <c r="R9241" s="255"/>
      <c r="S9241" s="255"/>
      <c r="T9241" s="255"/>
    </row>
    <row r="9242" spans="18:20" x14ac:dyDescent="0.3">
      <c r="R9242" s="255"/>
      <c r="S9242" s="255"/>
      <c r="T9242" s="255"/>
    </row>
    <row r="9243" spans="18:20" x14ac:dyDescent="0.3">
      <c r="R9243" s="255"/>
      <c r="S9243" s="255"/>
      <c r="T9243" s="255"/>
    </row>
    <row r="9244" spans="18:20" x14ac:dyDescent="0.3">
      <c r="R9244" s="255"/>
      <c r="S9244" s="255"/>
      <c r="T9244" s="255"/>
    </row>
    <row r="9245" spans="18:20" x14ac:dyDescent="0.3">
      <c r="R9245" s="255"/>
      <c r="S9245" s="255"/>
      <c r="T9245" s="255"/>
    </row>
    <row r="9246" spans="18:20" x14ac:dyDescent="0.3">
      <c r="R9246" s="255"/>
      <c r="S9246" s="255"/>
      <c r="T9246" s="255"/>
    </row>
    <row r="9247" spans="18:20" x14ac:dyDescent="0.3">
      <c r="R9247" s="255"/>
      <c r="S9247" s="255"/>
      <c r="T9247" s="255"/>
    </row>
    <row r="9248" spans="18:20" x14ac:dyDescent="0.3">
      <c r="R9248" s="255"/>
      <c r="S9248" s="255"/>
      <c r="T9248" s="255"/>
    </row>
    <row r="9249" spans="18:20" x14ac:dyDescent="0.3">
      <c r="R9249" s="255"/>
      <c r="S9249" s="255"/>
      <c r="T9249" s="255"/>
    </row>
    <row r="9250" spans="18:20" x14ac:dyDescent="0.3">
      <c r="R9250" s="255"/>
      <c r="S9250" s="255"/>
      <c r="T9250" s="255"/>
    </row>
    <row r="9251" spans="18:20" x14ac:dyDescent="0.3">
      <c r="R9251" s="255"/>
      <c r="S9251" s="255"/>
      <c r="T9251" s="255"/>
    </row>
    <row r="9252" spans="18:20" x14ac:dyDescent="0.3">
      <c r="R9252" s="255"/>
      <c r="S9252" s="255"/>
      <c r="T9252" s="255"/>
    </row>
    <row r="9253" spans="18:20" x14ac:dyDescent="0.3">
      <c r="R9253" s="255"/>
      <c r="S9253" s="255"/>
      <c r="T9253" s="255"/>
    </row>
    <row r="9254" spans="18:20" x14ac:dyDescent="0.3">
      <c r="R9254" s="255"/>
      <c r="S9254" s="255"/>
      <c r="T9254" s="255"/>
    </row>
    <row r="9255" spans="18:20" x14ac:dyDescent="0.3">
      <c r="R9255" s="255"/>
      <c r="S9255" s="255"/>
      <c r="T9255" s="255"/>
    </row>
    <row r="9256" spans="18:20" x14ac:dyDescent="0.3">
      <c r="R9256" s="255"/>
      <c r="S9256" s="255"/>
      <c r="T9256" s="255"/>
    </row>
    <row r="9257" spans="18:20" x14ac:dyDescent="0.3">
      <c r="R9257" s="255"/>
      <c r="S9257" s="255"/>
      <c r="T9257" s="255"/>
    </row>
    <row r="9258" spans="18:20" x14ac:dyDescent="0.3">
      <c r="R9258" s="255"/>
      <c r="S9258" s="255"/>
      <c r="T9258" s="255"/>
    </row>
    <row r="9259" spans="18:20" x14ac:dyDescent="0.3">
      <c r="R9259" s="255"/>
      <c r="S9259" s="255"/>
      <c r="T9259" s="255"/>
    </row>
    <row r="9260" spans="18:20" x14ac:dyDescent="0.3">
      <c r="R9260" s="255"/>
      <c r="S9260" s="255"/>
      <c r="T9260" s="255"/>
    </row>
    <row r="9261" spans="18:20" x14ac:dyDescent="0.3">
      <c r="R9261" s="255"/>
      <c r="S9261" s="255"/>
      <c r="T9261" s="255"/>
    </row>
    <row r="9262" spans="18:20" x14ac:dyDescent="0.3">
      <c r="R9262" s="255"/>
      <c r="S9262" s="255"/>
      <c r="T9262" s="255"/>
    </row>
    <row r="9263" spans="18:20" x14ac:dyDescent="0.3">
      <c r="R9263" s="255"/>
      <c r="S9263" s="255"/>
      <c r="T9263" s="255"/>
    </row>
    <row r="9264" spans="18:20" x14ac:dyDescent="0.3">
      <c r="R9264" s="255"/>
      <c r="S9264" s="255"/>
      <c r="T9264" s="255"/>
    </row>
    <row r="9265" spans="18:20" x14ac:dyDescent="0.3">
      <c r="R9265" s="255"/>
      <c r="S9265" s="255"/>
      <c r="T9265" s="255"/>
    </row>
    <row r="9266" spans="18:20" x14ac:dyDescent="0.3">
      <c r="R9266" s="255"/>
      <c r="S9266" s="255"/>
      <c r="T9266" s="255"/>
    </row>
    <row r="9267" spans="18:20" x14ac:dyDescent="0.3">
      <c r="R9267" s="255"/>
      <c r="S9267" s="255"/>
      <c r="T9267" s="255"/>
    </row>
    <row r="9268" spans="18:20" x14ac:dyDescent="0.3">
      <c r="R9268" s="255"/>
      <c r="S9268" s="255"/>
      <c r="T9268" s="255"/>
    </row>
    <row r="9269" spans="18:20" x14ac:dyDescent="0.3">
      <c r="R9269" s="255"/>
      <c r="S9269" s="255"/>
      <c r="T9269" s="255"/>
    </row>
    <row r="9270" spans="18:20" x14ac:dyDescent="0.3">
      <c r="R9270" s="255"/>
      <c r="S9270" s="255"/>
      <c r="T9270" s="255"/>
    </row>
    <row r="9271" spans="18:20" x14ac:dyDescent="0.3">
      <c r="R9271" s="255"/>
      <c r="S9271" s="255"/>
      <c r="T9271" s="255"/>
    </row>
    <row r="9272" spans="18:20" x14ac:dyDescent="0.3">
      <c r="R9272" s="255"/>
      <c r="S9272" s="255"/>
      <c r="T9272" s="255"/>
    </row>
    <row r="9273" spans="18:20" x14ac:dyDescent="0.3">
      <c r="R9273" s="255"/>
      <c r="S9273" s="255"/>
      <c r="T9273" s="255"/>
    </row>
    <row r="9274" spans="18:20" x14ac:dyDescent="0.3">
      <c r="R9274" s="255"/>
      <c r="S9274" s="255"/>
      <c r="T9274" s="255"/>
    </row>
    <row r="9275" spans="18:20" x14ac:dyDescent="0.3">
      <c r="R9275" s="255"/>
      <c r="S9275" s="255"/>
      <c r="T9275" s="255"/>
    </row>
    <row r="9276" spans="18:20" x14ac:dyDescent="0.3">
      <c r="R9276" s="255"/>
      <c r="S9276" s="255"/>
      <c r="T9276" s="255"/>
    </row>
    <row r="9277" spans="18:20" x14ac:dyDescent="0.3">
      <c r="R9277" s="255"/>
      <c r="S9277" s="255"/>
      <c r="T9277" s="255"/>
    </row>
    <row r="9278" spans="18:20" x14ac:dyDescent="0.3">
      <c r="R9278" s="255"/>
      <c r="S9278" s="255"/>
      <c r="T9278" s="255"/>
    </row>
    <row r="9279" spans="18:20" x14ac:dyDescent="0.3">
      <c r="R9279" s="255"/>
      <c r="S9279" s="255"/>
      <c r="T9279" s="255"/>
    </row>
    <row r="9280" spans="18:20" x14ac:dyDescent="0.3">
      <c r="R9280" s="255"/>
      <c r="S9280" s="255"/>
      <c r="T9280" s="255"/>
    </row>
    <row r="9281" spans="18:20" x14ac:dyDescent="0.3">
      <c r="R9281" s="255"/>
      <c r="S9281" s="255"/>
      <c r="T9281" s="255"/>
    </row>
    <row r="9282" spans="18:20" x14ac:dyDescent="0.3">
      <c r="R9282" s="255"/>
      <c r="S9282" s="255"/>
      <c r="T9282" s="255"/>
    </row>
    <row r="9283" spans="18:20" x14ac:dyDescent="0.3">
      <c r="R9283" s="255"/>
      <c r="S9283" s="255"/>
      <c r="T9283" s="255"/>
    </row>
    <row r="9284" spans="18:20" x14ac:dyDescent="0.3">
      <c r="R9284" s="255"/>
      <c r="S9284" s="255"/>
      <c r="T9284" s="255"/>
    </row>
    <row r="9285" spans="18:20" x14ac:dyDescent="0.3">
      <c r="R9285" s="255"/>
      <c r="S9285" s="255"/>
      <c r="T9285" s="255"/>
    </row>
    <row r="9286" spans="18:20" x14ac:dyDescent="0.3">
      <c r="R9286" s="255"/>
      <c r="S9286" s="255"/>
      <c r="T9286" s="255"/>
    </row>
    <row r="9287" spans="18:20" x14ac:dyDescent="0.3">
      <c r="R9287" s="255"/>
      <c r="S9287" s="255"/>
      <c r="T9287" s="255"/>
    </row>
    <row r="9288" spans="18:20" x14ac:dyDescent="0.3">
      <c r="R9288" s="255"/>
      <c r="S9288" s="255"/>
      <c r="T9288" s="255"/>
    </row>
    <row r="9289" spans="18:20" x14ac:dyDescent="0.3">
      <c r="R9289" s="255"/>
      <c r="S9289" s="255"/>
      <c r="T9289" s="255"/>
    </row>
    <row r="9290" spans="18:20" x14ac:dyDescent="0.3">
      <c r="R9290" s="255"/>
      <c r="S9290" s="255"/>
      <c r="T9290" s="255"/>
    </row>
    <row r="9291" spans="18:20" x14ac:dyDescent="0.3">
      <c r="R9291" s="255"/>
      <c r="S9291" s="255"/>
      <c r="T9291" s="255"/>
    </row>
    <row r="9292" spans="18:20" x14ac:dyDescent="0.3">
      <c r="R9292" s="255"/>
      <c r="S9292" s="255"/>
      <c r="T9292" s="255"/>
    </row>
    <row r="9293" spans="18:20" x14ac:dyDescent="0.3">
      <c r="R9293" s="255"/>
      <c r="S9293" s="255"/>
      <c r="T9293" s="255"/>
    </row>
    <row r="9294" spans="18:20" x14ac:dyDescent="0.3">
      <c r="R9294" s="255"/>
      <c r="S9294" s="255"/>
      <c r="T9294" s="255"/>
    </row>
    <row r="9295" spans="18:20" x14ac:dyDescent="0.3">
      <c r="R9295" s="255"/>
      <c r="S9295" s="255"/>
      <c r="T9295" s="255"/>
    </row>
    <row r="9296" spans="18:20" x14ac:dyDescent="0.3">
      <c r="R9296" s="255"/>
      <c r="S9296" s="255"/>
      <c r="T9296" s="255"/>
    </row>
    <row r="9297" spans="18:20" x14ac:dyDescent="0.3">
      <c r="R9297" s="255"/>
      <c r="S9297" s="255"/>
      <c r="T9297" s="255"/>
    </row>
    <row r="9298" spans="18:20" x14ac:dyDescent="0.3">
      <c r="R9298" s="255"/>
      <c r="S9298" s="255"/>
      <c r="T9298" s="255"/>
    </row>
    <row r="9299" spans="18:20" x14ac:dyDescent="0.3">
      <c r="R9299" s="255"/>
      <c r="S9299" s="255"/>
      <c r="T9299" s="255"/>
    </row>
    <row r="9300" spans="18:20" x14ac:dyDescent="0.3">
      <c r="R9300" s="255"/>
      <c r="S9300" s="255"/>
      <c r="T9300" s="255"/>
    </row>
    <row r="9301" spans="18:20" x14ac:dyDescent="0.3">
      <c r="R9301" s="255"/>
      <c r="S9301" s="255"/>
      <c r="T9301" s="255"/>
    </row>
    <row r="9302" spans="18:20" x14ac:dyDescent="0.3">
      <c r="R9302" s="255"/>
      <c r="S9302" s="255"/>
      <c r="T9302" s="255"/>
    </row>
    <row r="9303" spans="18:20" x14ac:dyDescent="0.3">
      <c r="R9303" s="255"/>
      <c r="S9303" s="255"/>
      <c r="T9303" s="255"/>
    </row>
    <row r="9304" spans="18:20" x14ac:dyDescent="0.3">
      <c r="R9304" s="255"/>
      <c r="S9304" s="255"/>
      <c r="T9304" s="255"/>
    </row>
    <row r="9305" spans="18:20" x14ac:dyDescent="0.3">
      <c r="R9305" s="255"/>
      <c r="S9305" s="255"/>
      <c r="T9305" s="255"/>
    </row>
    <row r="9306" spans="18:20" x14ac:dyDescent="0.3">
      <c r="R9306" s="255"/>
      <c r="S9306" s="255"/>
      <c r="T9306" s="255"/>
    </row>
    <row r="9307" spans="18:20" x14ac:dyDescent="0.3">
      <c r="R9307" s="255"/>
      <c r="S9307" s="255"/>
      <c r="T9307" s="255"/>
    </row>
    <row r="9308" spans="18:20" x14ac:dyDescent="0.3">
      <c r="R9308" s="255"/>
      <c r="S9308" s="255"/>
      <c r="T9308" s="255"/>
    </row>
    <row r="9309" spans="18:20" x14ac:dyDescent="0.3">
      <c r="R9309" s="255"/>
      <c r="S9309" s="255"/>
      <c r="T9309" s="255"/>
    </row>
    <row r="9310" spans="18:20" x14ac:dyDescent="0.3">
      <c r="R9310" s="255"/>
      <c r="S9310" s="255"/>
      <c r="T9310" s="255"/>
    </row>
    <row r="9311" spans="18:20" x14ac:dyDescent="0.3">
      <c r="R9311" s="255"/>
      <c r="S9311" s="255"/>
      <c r="T9311" s="255"/>
    </row>
    <row r="9312" spans="18:20" x14ac:dyDescent="0.3">
      <c r="R9312" s="255"/>
      <c r="S9312" s="255"/>
      <c r="T9312" s="255"/>
    </row>
    <row r="9313" spans="18:20" x14ac:dyDescent="0.3">
      <c r="R9313" s="255"/>
      <c r="S9313" s="255"/>
      <c r="T9313" s="255"/>
    </row>
    <row r="9314" spans="18:20" x14ac:dyDescent="0.3">
      <c r="R9314" s="255"/>
      <c r="S9314" s="255"/>
      <c r="T9314" s="255"/>
    </row>
    <row r="9315" spans="18:20" x14ac:dyDescent="0.3">
      <c r="R9315" s="255"/>
      <c r="S9315" s="255"/>
      <c r="T9315" s="255"/>
    </row>
    <row r="9316" spans="18:20" x14ac:dyDescent="0.3">
      <c r="R9316" s="255"/>
      <c r="S9316" s="255"/>
      <c r="T9316" s="255"/>
    </row>
    <row r="9317" spans="18:20" x14ac:dyDescent="0.3">
      <c r="R9317" s="255"/>
      <c r="S9317" s="255"/>
      <c r="T9317" s="255"/>
    </row>
    <row r="9318" spans="18:20" x14ac:dyDescent="0.3">
      <c r="R9318" s="255"/>
      <c r="S9318" s="255"/>
      <c r="T9318" s="255"/>
    </row>
    <row r="9319" spans="18:20" x14ac:dyDescent="0.3">
      <c r="R9319" s="255"/>
      <c r="S9319" s="255"/>
      <c r="T9319" s="255"/>
    </row>
    <row r="9320" spans="18:20" x14ac:dyDescent="0.3">
      <c r="R9320" s="255"/>
      <c r="S9320" s="255"/>
      <c r="T9320" s="255"/>
    </row>
    <row r="9321" spans="18:20" x14ac:dyDescent="0.3">
      <c r="R9321" s="255"/>
      <c r="S9321" s="255"/>
      <c r="T9321" s="255"/>
    </row>
    <row r="9322" spans="18:20" x14ac:dyDescent="0.3">
      <c r="R9322" s="255"/>
      <c r="S9322" s="255"/>
      <c r="T9322" s="255"/>
    </row>
    <row r="9323" spans="18:20" x14ac:dyDescent="0.3">
      <c r="R9323" s="255"/>
      <c r="S9323" s="255"/>
      <c r="T9323" s="255"/>
    </row>
    <row r="9324" spans="18:20" x14ac:dyDescent="0.3">
      <c r="R9324" s="255"/>
      <c r="S9324" s="255"/>
      <c r="T9324" s="255"/>
    </row>
    <row r="9325" spans="18:20" x14ac:dyDescent="0.3">
      <c r="R9325" s="255"/>
      <c r="S9325" s="255"/>
      <c r="T9325" s="255"/>
    </row>
    <row r="9326" spans="18:20" x14ac:dyDescent="0.3">
      <c r="R9326" s="255"/>
      <c r="S9326" s="255"/>
      <c r="T9326" s="255"/>
    </row>
    <row r="9327" spans="18:20" x14ac:dyDescent="0.3">
      <c r="R9327" s="255"/>
      <c r="S9327" s="255"/>
      <c r="T9327" s="255"/>
    </row>
    <row r="9328" spans="18:20" x14ac:dyDescent="0.3">
      <c r="R9328" s="255"/>
      <c r="S9328" s="255"/>
      <c r="T9328" s="255"/>
    </row>
    <row r="9329" spans="18:20" x14ac:dyDescent="0.3">
      <c r="R9329" s="255"/>
      <c r="S9329" s="255"/>
      <c r="T9329" s="255"/>
    </row>
    <row r="9330" spans="18:20" x14ac:dyDescent="0.3">
      <c r="R9330" s="255"/>
      <c r="S9330" s="255"/>
      <c r="T9330" s="255"/>
    </row>
    <row r="9331" spans="18:20" x14ac:dyDescent="0.3">
      <c r="R9331" s="255"/>
      <c r="S9331" s="255"/>
      <c r="T9331" s="255"/>
    </row>
    <row r="9332" spans="18:20" x14ac:dyDescent="0.3">
      <c r="R9332" s="255"/>
      <c r="S9332" s="255"/>
      <c r="T9332" s="255"/>
    </row>
    <row r="9333" spans="18:20" x14ac:dyDescent="0.3">
      <c r="R9333" s="255"/>
      <c r="S9333" s="255"/>
      <c r="T9333" s="255"/>
    </row>
    <row r="9334" spans="18:20" x14ac:dyDescent="0.3">
      <c r="R9334" s="255"/>
      <c r="S9334" s="255"/>
      <c r="T9334" s="255"/>
    </row>
    <row r="9335" spans="18:20" x14ac:dyDescent="0.3">
      <c r="R9335" s="255"/>
      <c r="S9335" s="255"/>
      <c r="T9335" s="255"/>
    </row>
    <row r="9336" spans="18:20" x14ac:dyDescent="0.3">
      <c r="R9336" s="255"/>
      <c r="S9336" s="255"/>
      <c r="T9336" s="255"/>
    </row>
    <row r="9337" spans="18:20" x14ac:dyDescent="0.3">
      <c r="R9337" s="255"/>
      <c r="S9337" s="255"/>
      <c r="T9337" s="255"/>
    </row>
    <row r="9338" spans="18:20" x14ac:dyDescent="0.3">
      <c r="R9338" s="255"/>
      <c r="S9338" s="255"/>
      <c r="T9338" s="255"/>
    </row>
    <row r="9339" spans="18:20" x14ac:dyDescent="0.3">
      <c r="R9339" s="255"/>
      <c r="S9339" s="255"/>
      <c r="T9339" s="255"/>
    </row>
    <row r="9340" spans="18:20" x14ac:dyDescent="0.3">
      <c r="R9340" s="255"/>
      <c r="S9340" s="255"/>
      <c r="T9340" s="255"/>
    </row>
    <row r="9341" spans="18:20" x14ac:dyDescent="0.3">
      <c r="R9341" s="255"/>
      <c r="S9341" s="255"/>
      <c r="T9341" s="255"/>
    </row>
    <row r="9342" spans="18:20" x14ac:dyDescent="0.3">
      <c r="R9342" s="255"/>
      <c r="S9342" s="255"/>
      <c r="T9342" s="255"/>
    </row>
    <row r="9343" spans="18:20" x14ac:dyDescent="0.3">
      <c r="R9343" s="255"/>
      <c r="S9343" s="255"/>
      <c r="T9343" s="255"/>
    </row>
    <row r="9344" spans="18:20" x14ac:dyDescent="0.3">
      <c r="R9344" s="255"/>
      <c r="S9344" s="255"/>
      <c r="T9344" s="255"/>
    </row>
    <row r="9345" spans="18:20" x14ac:dyDescent="0.3">
      <c r="R9345" s="255"/>
      <c r="S9345" s="255"/>
      <c r="T9345" s="255"/>
    </row>
    <row r="9346" spans="18:20" x14ac:dyDescent="0.3">
      <c r="R9346" s="255"/>
      <c r="S9346" s="255"/>
      <c r="T9346" s="255"/>
    </row>
    <row r="9347" spans="18:20" x14ac:dyDescent="0.3">
      <c r="R9347" s="255"/>
      <c r="S9347" s="255"/>
      <c r="T9347" s="255"/>
    </row>
    <row r="9348" spans="18:20" x14ac:dyDescent="0.3">
      <c r="R9348" s="255"/>
      <c r="S9348" s="255"/>
      <c r="T9348" s="255"/>
    </row>
    <row r="9349" spans="18:20" x14ac:dyDescent="0.3">
      <c r="R9349" s="255"/>
      <c r="S9349" s="255"/>
      <c r="T9349" s="255"/>
    </row>
    <row r="9350" spans="18:20" x14ac:dyDescent="0.3">
      <c r="R9350" s="255"/>
      <c r="S9350" s="255"/>
      <c r="T9350" s="255"/>
    </row>
    <row r="9351" spans="18:20" x14ac:dyDescent="0.3">
      <c r="R9351" s="255"/>
      <c r="S9351" s="255"/>
      <c r="T9351" s="255"/>
    </row>
    <row r="9352" spans="18:20" x14ac:dyDescent="0.3">
      <c r="R9352" s="255"/>
      <c r="S9352" s="255"/>
      <c r="T9352" s="255"/>
    </row>
    <row r="9353" spans="18:20" x14ac:dyDescent="0.3">
      <c r="R9353" s="255"/>
      <c r="S9353" s="255"/>
      <c r="T9353" s="255"/>
    </row>
    <row r="9354" spans="18:20" x14ac:dyDescent="0.3">
      <c r="R9354" s="255"/>
      <c r="S9354" s="255"/>
      <c r="T9354" s="255"/>
    </row>
    <row r="9355" spans="18:20" x14ac:dyDescent="0.3">
      <c r="R9355" s="255"/>
      <c r="S9355" s="255"/>
      <c r="T9355" s="255"/>
    </row>
    <row r="9356" spans="18:20" x14ac:dyDescent="0.3">
      <c r="R9356" s="255"/>
      <c r="S9356" s="255"/>
      <c r="T9356" s="255"/>
    </row>
    <row r="9357" spans="18:20" x14ac:dyDescent="0.3">
      <c r="R9357" s="255"/>
      <c r="S9357" s="255"/>
      <c r="T9357" s="255"/>
    </row>
    <row r="9358" spans="18:20" x14ac:dyDescent="0.3">
      <c r="R9358" s="255"/>
      <c r="S9358" s="255"/>
      <c r="T9358" s="255"/>
    </row>
    <row r="9359" spans="18:20" x14ac:dyDescent="0.3">
      <c r="R9359" s="255"/>
      <c r="S9359" s="255"/>
      <c r="T9359" s="255"/>
    </row>
    <row r="9360" spans="18:20" x14ac:dyDescent="0.3">
      <c r="R9360" s="255"/>
      <c r="S9360" s="255"/>
      <c r="T9360" s="255"/>
    </row>
    <row r="9361" spans="18:20" x14ac:dyDescent="0.3">
      <c r="R9361" s="255"/>
      <c r="S9361" s="255"/>
      <c r="T9361" s="255"/>
    </row>
    <row r="9362" spans="18:20" x14ac:dyDescent="0.3">
      <c r="R9362" s="255"/>
      <c r="S9362" s="255"/>
      <c r="T9362" s="255"/>
    </row>
    <row r="9363" spans="18:20" x14ac:dyDescent="0.3">
      <c r="R9363" s="255"/>
      <c r="S9363" s="255"/>
      <c r="T9363" s="255"/>
    </row>
    <row r="9364" spans="18:20" x14ac:dyDescent="0.3">
      <c r="R9364" s="255"/>
      <c r="S9364" s="255"/>
      <c r="T9364" s="255"/>
    </row>
    <row r="9365" spans="18:20" x14ac:dyDescent="0.3">
      <c r="R9365" s="255"/>
      <c r="S9365" s="255"/>
      <c r="T9365" s="255"/>
    </row>
    <row r="9366" spans="18:20" x14ac:dyDescent="0.3">
      <c r="R9366" s="255"/>
      <c r="S9366" s="255"/>
      <c r="T9366" s="255"/>
    </row>
    <row r="9367" spans="18:20" x14ac:dyDescent="0.3">
      <c r="R9367" s="255"/>
      <c r="S9367" s="255"/>
      <c r="T9367" s="255"/>
    </row>
    <row r="9368" spans="18:20" x14ac:dyDescent="0.3">
      <c r="R9368" s="255"/>
      <c r="S9368" s="255"/>
      <c r="T9368" s="255"/>
    </row>
    <row r="9369" spans="18:20" x14ac:dyDescent="0.3">
      <c r="R9369" s="255"/>
      <c r="S9369" s="255"/>
      <c r="T9369" s="255"/>
    </row>
    <row r="9370" spans="18:20" x14ac:dyDescent="0.3">
      <c r="R9370" s="255"/>
      <c r="S9370" s="255"/>
      <c r="T9370" s="255"/>
    </row>
    <row r="9371" spans="18:20" x14ac:dyDescent="0.3">
      <c r="R9371" s="255"/>
      <c r="S9371" s="255"/>
      <c r="T9371" s="255"/>
    </row>
    <row r="9372" spans="18:20" x14ac:dyDescent="0.3">
      <c r="R9372" s="255"/>
      <c r="S9372" s="255"/>
      <c r="T9372" s="255"/>
    </row>
    <row r="9373" spans="18:20" x14ac:dyDescent="0.3">
      <c r="R9373" s="255"/>
      <c r="S9373" s="255"/>
      <c r="T9373" s="255"/>
    </row>
    <row r="9374" spans="18:20" x14ac:dyDescent="0.3">
      <c r="R9374" s="255"/>
      <c r="S9374" s="255"/>
      <c r="T9374" s="255"/>
    </row>
    <row r="9375" spans="18:20" x14ac:dyDescent="0.3">
      <c r="R9375" s="255"/>
      <c r="S9375" s="255"/>
      <c r="T9375" s="255"/>
    </row>
    <row r="9376" spans="18:20" x14ac:dyDescent="0.3">
      <c r="R9376" s="255"/>
      <c r="S9376" s="255"/>
      <c r="T9376" s="255"/>
    </row>
    <row r="9377" spans="18:20" x14ac:dyDescent="0.3">
      <c r="R9377" s="255"/>
      <c r="S9377" s="255"/>
      <c r="T9377" s="255"/>
    </row>
    <row r="9378" spans="18:20" x14ac:dyDescent="0.3">
      <c r="R9378" s="255"/>
      <c r="S9378" s="255"/>
      <c r="T9378" s="255"/>
    </row>
    <row r="9379" spans="18:20" x14ac:dyDescent="0.3">
      <c r="R9379" s="255"/>
      <c r="S9379" s="255"/>
      <c r="T9379" s="255"/>
    </row>
    <row r="9380" spans="18:20" x14ac:dyDescent="0.3">
      <c r="R9380" s="255"/>
      <c r="S9380" s="255"/>
      <c r="T9380" s="255"/>
    </row>
    <row r="9381" spans="18:20" x14ac:dyDescent="0.3">
      <c r="R9381" s="255"/>
      <c r="S9381" s="255"/>
      <c r="T9381" s="255"/>
    </row>
    <row r="9382" spans="18:20" x14ac:dyDescent="0.3">
      <c r="R9382" s="255"/>
      <c r="S9382" s="255"/>
      <c r="T9382" s="255"/>
    </row>
    <row r="9383" spans="18:20" x14ac:dyDescent="0.3">
      <c r="R9383" s="255"/>
      <c r="S9383" s="255"/>
      <c r="T9383" s="255"/>
    </row>
    <row r="9384" spans="18:20" x14ac:dyDescent="0.3">
      <c r="R9384" s="255"/>
      <c r="S9384" s="255"/>
      <c r="T9384" s="255"/>
    </row>
    <row r="9385" spans="18:20" x14ac:dyDescent="0.3">
      <c r="R9385" s="255"/>
      <c r="S9385" s="255"/>
      <c r="T9385" s="255"/>
    </row>
    <row r="9386" spans="18:20" x14ac:dyDescent="0.3">
      <c r="R9386" s="255"/>
      <c r="S9386" s="255"/>
      <c r="T9386" s="255"/>
    </row>
    <row r="9387" spans="18:20" x14ac:dyDescent="0.3">
      <c r="R9387" s="255"/>
      <c r="S9387" s="255"/>
      <c r="T9387" s="255"/>
    </row>
    <row r="9388" spans="18:20" x14ac:dyDescent="0.3">
      <c r="R9388" s="255"/>
      <c r="S9388" s="255"/>
      <c r="T9388" s="255"/>
    </row>
    <row r="9389" spans="18:20" x14ac:dyDescent="0.3">
      <c r="R9389" s="255"/>
      <c r="S9389" s="255"/>
      <c r="T9389" s="255"/>
    </row>
    <row r="9390" spans="18:20" x14ac:dyDescent="0.3">
      <c r="R9390" s="255"/>
      <c r="S9390" s="255"/>
      <c r="T9390" s="255"/>
    </row>
    <row r="9391" spans="18:20" x14ac:dyDescent="0.3">
      <c r="R9391" s="255"/>
      <c r="S9391" s="255"/>
      <c r="T9391" s="255"/>
    </row>
    <row r="9392" spans="18:20" x14ac:dyDescent="0.3">
      <c r="R9392" s="255"/>
      <c r="S9392" s="255"/>
      <c r="T9392" s="255"/>
    </row>
    <row r="9393" spans="18:20" x14ac:dyDescent="0.3">
      <c r="R9393" s="255"/>
      <c r="S9393" s="255"/>
      <c r="T9393" s="255"/>
    </row>
    <row r="9394" spans="18:20" x14ac:dyDescent="0.3">
      <c r="R9394" s="255"/>
      <c r="S9394" s="255"/>
      <c r="T9394" s="255"/>
    </row>
    <row r="9395" spans="18:20" x14ac:dyDescent="0.3">
      <c r="R9395" s="255"/>
      <c r="S9395" s="255"/>
      <c r="T9395" s="255"/>
    </row>
    <row r="9396" spans="18:20" x14ac:dyDescent="0.3">
      <c r="R9396" s="255"/>
      <c r="S9396" s="255"/>
      <c r="T9396" s="255"/>
    </row>
    <row r="9397" spans="18:20" x14ac:dyDescent="0.3">
      <c r="R9397" s="255"/>
      <c r="S9397" s="255"/>
      <c r="T9397" s="255"/>
    </row>
    <row r="9398" spans="18:20" x14ac:dyDescent="0.3">
      <c r="R9398" s="255"/>
      <c r="S9398" s="255"/>
      <c r="T9398" s="255"/>
    </row>
    <row r="9399" spans="18:20" x14ac:dyDescent="0.3">
      <c r="R9399" s="255"/>
      <c r="S9399" s="255"/>
      <c r="T9399" s="255"/>
    </row>
    <row r="9400" spans="18:20" x14ac:dyDescent="0.3">
      <c r="R9400" s="255"/>
      <c r="S9400" s="255"/>
      <c r="T9400" s="255"/>
    </row>
    <row r="9401" spans="18:20" x14ac:dyDescent="0.3">
      <c r="R9401" s="255"/>
      <c r="S9401" s="255"/>
      <c r="T9401" s="255"/>
    </row>
    <row r="9402" spans="18:20" x14ac:dyDescent="0.3">
      <c r="R9402" s="255"/>
      <c r="S9402" s="255"/>
      <c r="T9402" s="255"/>
    </row>
    <row r="9403" spans="18:20" x14ac:dyDescent="0.3">
      <c r="R9403" s="255"/>
      <c r="S9403" s="255"/>
      <c r="T9403" s="255"/>
    </row>
    <row r="9404" spans="18:20" x14ac:dyDescent="0.3">
      <c r="R9404" s="255"/>
      <c r="S9404" s="255"/>
      <c r="T9404" s="255"/>
    </row>
    <row r="9405" spans="18:20" x14ac:dyDescent="0.3">
      <c r="R9405" s="255"/>
      <c r="S9405" s="255"/>
      <c r="T9405" s="255"/>
    </row>
    <row r="9406" spans="18:20" x14ac:dyDescent="0.3">
      <c r="R9406" s="255"/>
      <c r="S9406" s="255"/>
      <c r="T9406" s="255"/>
    </row>
    <row r="9407" spans="18:20" x14ac:dyDescent="0.3">
      <c r="R9407" s="255"/>
      <c r="S9407" s="255"/>
      <c r="T9407" s="255"/>
    </row>
    <row r="9408" spans="18:20" x14ac:dyDescent="0.3">
      <c r="R9408" s="255"/>
      <c r="S9408" s="255"/>
      <c r="T9408" s="255"/>
    </row>
    <row r="9409" spans="18:20" x14ac:dyDescent="0.3">
      <c r="R9409" s="255"/>
      <c r="S9409" s="255"/>
      <c r="T9409" s="255"/>
    </row>
    <row r="9410" spans="18:20" x14ac:dyDescent="0.3">
      <c r="R9410" s="255"/>
      <c r="S9410" s="255"/>
      <c r="T9410" s="255"/>
    </row>
    <row r="9411" spans="18:20" x14ac:dyDescent="0.3">
      <c r="R9411" s="255"/>
      <c r="S9411" s="255"/>
      <c r="T9411" s="255"/>
    </row>
    <row r="9412" spans="18:20" x14ac:dyDescent="0.3">
      <c r="R9412" s="255"/>
      <c r="S9412" s="255"/>
      <c r="T9412" s="255"/>
    </row>
    <row r="9413" spans="18:20" x14ac:dyDescent="0.3">
      <c r="R9413" s="255"/>
      <c r="S9413" s="255"/>
      <c r="T9413" s="255"/>
    </row>
    <row r="9414" spans="18:20" x14ac:dyDescent="0.3">
      <c r="R9414" s="255"/>
      <c r="S9414" s="255"/>
      <c r="T9414" s="255"/>
    </row>
    <row r="9415" spans="18:20" x14ac:dyDescent="0.3">
      <c r="R9415" s="255"/>
      <c r="S9415" s="255"/>
      <c r="T9415" s="255"/>
    </row>
    <row r="9416" spans="18:20" x14ac:dyDescent="0.3">
      <c r="R9416" s="255"/>
      <c r="S9416" s="255"/>
      <c r="T9416" s="255"/>
    </row>
    <row r="9417" spans="18:20" x14ac:dyDescent="0.3">
      <c r="R9417" s="255"/>
      <c r="S9417" s="255"/>
      <c r="T9417" s="255"/>
    </row>
    <row r="9418" spans="18:20" x14ac:dyDescent="0.3">
      <c r="R9418" s="255"/>
      <c r="S9418" s="255"/>
      <c r="T9418" s="255"/>
    </row>
    <row r="9419" spans="18:20" x14ac:dyDescent="0.3">
      <c r="R9419" s="255"/>
      <c r="S9419" s="255"/>
      <c r="T9419" s="255"/>
    </row>
    <row r="9420" spans="18:20" x14ac:dyDescent="0.3">
      <c r="R9420" s="255"/>
      <c r="S9420" s="255"/>
      <c r="T9420" s="255"/>
    </row>
    <row r="9421" spans="18:20" x14ac:dyDescent="0.3">
      <c r="R9421" s="255"/>
      <c r="S9421" s="255"/>
      <c r="T9421" s="255"/>
    </row>
    <row r="9422" spans="18:20" x14ac:dyDescent="0.3">
      <c r="R9422" s="255"/>
      <c r="S9422" s="255"/>
      <c r="T9422" s="255"/>
    </row>
    <row r="9423" spans="18:20" x14ac:dyDescent="0.3">
      <c r="R9423" s="255"/>
      <c r="S9423" s="255"/>
      <c r="T9423" s="255"/>
    </row>
    <row r="9424" spans="18:20" x14ac:dyDescent="0.3">
      <c r="R9424" s="255"/>
      <c r="S9424" s="255"/>
      <c r="T9424" s="255"/>
    </row>
    <row r="9425" spans="18:20" x14ac:dyDescent="0.3">
      <c r="R9425" s="255"/>
      <c r="S9425" s="255"/>
      <c r="T9425" s="255"/>
    </row>
    <row r="9426" spans="18:20" x14ac:dyDescent="0.3">
      <c r="R9426" s="255"/>
      <c r="S9426" s="255"/>
      <c r="T9426" s="255"/>
    </row>
    <row r="9427" spans="18:20" x14ac:dyDescent="0.3">
      <c r="R9427" s="255"/>
      <c r="S9427" s="255"/>
      <c r="T9427" s="255"/>
    </row>
    <row r="9428" spans="18:20" x14ac:dyDescent="0.3">
      <c r="R9428" s="255"/>
      <c r="S9428" s="255"/>
      <c r="T9428" s="255"/>
    </row>
    <row r="9429" spans="18:20" x14ac:dyDescent="0.3">
      <c r="R9429" s="255"/>
      <c r="S9429" s="255"/>
      <c r="T9429" s="255"/>
    </row>
    <row r="9430" spans="18:20" x14ac:dyDescent="0.3">
      <c r="R9430" s="255"/>
      <c r="S9430" s="255"/>
      <c r="T9430" s="255"/>
    </row>
    <row r="9431" spans="18:20" x14ac:dyDescent="0.3">
      <c r="R9431" s="255"/>
      <c r="S9431" s="255"/>
      <c r="T9431" s="255"/>
    </row>
    <row r="9432" spans="18:20" x14ac:dyDescent="0.3">
      <c r="R9432" s="255"/>
      <c r="S9432" s="255"/>
      <c r="T9432" s="255"/>
    </row>
    <row r="9433" spans="18:20" x14ac:dyDescent="0.3">
      <c r="R9433" s="255"/>
      <c r="S9433" s="255"/>
      <c r="T9433" s="255"/>
    </row>
    <row r="9434" spans="18:20" x14ac:dyDescent="0.3">
      <c r="R9434" s="255"/>
      <c r="S9434" s="255"/>
      <c r="T9434" s="255"/>
    </row>
    <row r="9435" spans="18:20" x14ac:dyDescent="0.3">
      <c r="R9435" s="255"/>
      <c r="S9435" s="255"/>
      <c r="T9435" s="255"/>
    </row>
    <row r="9436" spans="18:20" x14ac:dyDescent="0.3">
      <c r="R9436" s="255"/>
      <c r="S9436" s="255"/>
      <c r="T9436" s="255"/>
    </row>
    <row r="9437" spans="18:20" x14ac:dyDescent="0.3">
      <c r="R9437" s="255"/>
      <c r="S9437" s="255"/>
      <c r="T9437" s="255"/>
    </row>
    <row r="9438" spans="18:20" x14ac:dyDescent="0.3">
      <c r="R9438" s="255"/>
      <c r="S9438" s="255"/>
      <c r="T9438" s="255"/>
    </row>
    <row r="9439" spans="18:20" x14ac:dyDescent="0.3">
      <c r="R9439" s="255"/>
      <c r="S9439" s="255"/>
      <c r="T9439" s="255"/>
    </row>
    <row r="9440" spans="18:20" x14ac:dyDescent="0.3">
      <c r="R9440" s="255"/>
      <c r="S9440" s="255"/>
      <c r="T9440" s="255"/>
    </row>
    <row r="9441" spans="18:20" x14ac:dyDescent="0.3">
      <c r="R9441" s="255"/>
      <c r="S9441" s="255"/>
      <c r="T9441" s="255"/>
    </row>
    <row r="9442" spans="18:20" x14ac:dyDescent="0.3">
      <c r="R9442" s="255"/>
      <c r="S9442" s="255"/>
      <c r="T9442" s="255"/>
    </row>
    <row r="9443" spans="18:20" x14ac:dyDescent="0.3">
      <c r="R9443" s="255"/>
      <c r="S9443" s="255"/>
      <c r="T9443" s="255"/>
    </row>
    <row r="9444" spans="18:20" x14ac:dyDescent="0.3">
      <c r="R9444" s="255"/>
      <c r="S9444" s="255"/>
      <c r="T9444" s="255"/>
    </row>
    <row r="9445" spans="18:20" x14ac:dyDescent="0.3">
      <c r="R9445" s="255"/>
      <c r="S9445" s="255"/>
      <c r="T9445" s="255"/>
    </row>
    <row r="9446" spans="18:20" x14ac:dyDescent="0.3">
      <c r="R9446" s="255"/>
      <c r="S9446" s="255"/>
      <c r="T9446" s="255"/>
    </row>
    <row r="9447" spans="18:20" x14ac:dyDescent="0.3">
      <c r="R9447" s="255"/>
      <c r="S9447" s="255"/>
      <c r="T9447" s="255"/>
    </row>
    <row r="9448" spans="18:20" x14ac:dyDescent="0.3">
      <c r="R9448" s="255"/>
      <c r="S9448" s="255"/>
      <c r="T9448" s="255"/>
    </row>
    <row r="9449" spans="18:20" x14ac:dyDescent="0.3">
      <c r="R9449" s="255"/>
      <c r="S9449" s="255"/>
      <c r="T9449" s="255"/>
    </row>
    <row r="9450" spans="18:20" x14ac:dyDescent="0.3">
      <c r="R9450" s="255"/>
      <c r="S9450" s="255"/>
      <c r="T9450" s="255"/>
    </row>
    <row r="9451" spans="18:20" x14ac:dyDescent="0.3">
      <c r="R9451" s="255"/>
      <c r="S9451" s="255"/>
      <c r="T9451" s="255"/>
    </row>
    <row r="9452" spans="18:20" x14ac:dyDescent="0.3">
      <c r="R9452" s="255"/>
      <c r="S9452" s="255"/>
      <c r="T9452" s="255"/>
    </row>
    <row r="9453" spans="18:20" x14ac:dyDescent="0.3">
      <c r="R9453" s="255"/>
      <c r="S9453" s="255"/>
      <c r="T9453" s="255"/>
    </row>
    <row r="9454" spans="18:20" x14ac:dyDescent="0.3">
      <c r="R9454" s="255"/>
      <c r="S9454" s="255"/>
      <c r="T9454" s="255"/>
    </row>
    <row r="9455" spans="18:20" x14ac:dyDescent="0.3">
      <c r="R9455" s="255"/>
      <c r="S9455" s="255"/>
      <c r="T9455" s="255"/>
    </row>
    <row r="9456" spans="18:20" x14ac:dyDescent="0.3">
      <c r="R9456" s="255"/>
      <c r="S9456" s="255"/>
      <c r="T9456" s="255"/>
    </row>
    <row r="9457" spans="18:20" x14ac:dyDescent="0.3">
      <c r="R9457" s="255"/>
      <c r="S9457" s="255"/>
      <c r="T9457" s="255"/>
    </row>
    <row r="9458" spans="18:20" x14ac:dyDescent="0.3">
      <c r="R9458" s="255"/>
      <c r="S9458" s="255"/>
      <c r="T9458" s="255"/>
    </row>
    <row r="9459" spans="18:20" x14ac:dyDescent="0.3">
      <c r="R9459" s="255"/>
      <c r="S9459" s="255"/>
      <c r="T9459" s="255"/>
    </row>
    <row r="9460" spans="18:20" x14ac:dyDescent="0.3">
      <c r="R9460" s="255"/>
      <c r="S9460" s="255"/>
      <c r="T9460" s="255"/>
    </row>
    <row r="9461" spans="18:20" x14ac:dyDescent="0.3">
      <c r="R9461" s="255"/>
      <c r="S9461" s="255"/>
      <c r="T9461" s="255"/>
    </row>
    <row r="9462" spans="18:20" x14ac:dyDescent="0.3">
      <c r="R9462" s="255"/>
      <c r="S9462" s="255"/>
      <c r="T9462" s="255"/>
    </row>
    <row r="9463" spans="18:20" x14ac:dyDescent="0.3">
      <c r="R9463" s="255"/>
      <c r="S9463" s="255"/>
      <c r="T9463" s="255"/>
    </row>
    <row r="9464" spans="18:20" x14ac:dyDescent="0.3">
      <c r="R9464" s="255"/>
      <c r="S9464" s="255"/>
      <c r="T9464" s="255"/>
    </row>
    <row r="9465" spans="18:20" x14ac:dyDescent="0.3">
      <c r="R9465" s="255"/>
      <c r="S9465" s="255"/>
      <c r="T9465" s="255"/>
    </row>
    <row r="9466" spans="18:20" x14ac:dyDescent="0.3">
      <c r="R9466" s="255"/>
      <c r="S9466" s="255"/>
      <c r="T9466" s="255"/>
    </row>
    <row r="9467" spans="18:20" x14ac:dyDescent="0.3">
      <c r="R9467" s="255"/>
      <c r="S9467" s="255"/>
      <c r="T9467" s="255"/>
    </row>
    <row r="9468" spans="18:20" x14ac:dyDescent="0.3">
      <c r="R9468" s="255"/>
      <c r="S9468" s="255"/>
      <c r="T9468" s="255"/>
    </row>
    <row r="9469" spans="18:20" x14ac:dyDescent="0.3">
      <c r="R9469" s="255"/>
      <c r="S9469" s="255"/>
      <c r="T9469" s="255"/>
    </row>
    <row r="9470" spans="18:20" x14ac:dyDescent="0.3">
      <c r="R9470" s="255"/>
      <c r="S9470" s="255"/>
      <c r="T9470" s="255"/>
    </row>
    <row r="9471" spans="18:20" x14ac:dyDescent="0.3">
      <c r="R9471" s="255"/>
      <c r="S9471" s="255"/>
      <c r="T9471" s="255"/>
    </row>
    <row r="9472" spans="18:20" x14ac:dyDescent="0.3">
      <c r="R9472" s="255"/>
      <c r="S9472" s="255"/>
      <c r="T9472" s="255"/>
    </row>
    <row r="9473" spans="18:20" x14ac:dyDescent="0.3">
      <c r="R9473" s="255"/>
      <c r="S9473" s="255"/>
      <c r="T9473" s="255"/>
    </row>
    <row r="9474" spans="18:20" x14ac:dyDescent="0.3">
      <c r="R9474" s="255"/>
      <c r="S9474" s="255"/>
      <c r="T9474" s="255"/>
    </row>
    <row r="9475" spans="18:20" x14ac:dyDescent="0.3">
      <c r="R9475" s="255"/>
      <c r="S9475" s="255"/>
      <c r="T9475" s="255"/>
    </row>
    <row r="9476" spans="18:20" x14ac:dyDescent="0.3">
      <c r="R9476" s="255"/>
      <c r="S9476" s="255"/>
      <c r="T9476" s="255"/>
    </row>
    <row r="9477" spans="18:20" x14ac:dyDescent="0.3">
      <c r="R9477" s="255"/>
      <c r="S9477" s="255"/>
      <c r="T9477" s="255"/>
    </row>
    <row r="9478" spans="18:20" x14ac:dyDescent="0.3">
      <c r="R9478" s="255"/>
      <c r="S9478" s="255"/>
      <c r="T9478" s="255"/>
    </row>
    <row r="9479" spans="18:20" x14ac:dyDescent="0.3">
      <c r="R9479" s="255"/>
      <c r="S9479" s="255"/>
      <c r="T9479" s="255"/>
    </row>
    <row r="9480" spans="18:20" x14ac:dyDescent="0.3">
      <c r="R9480" s="255"/>
      <c r="S9480" s="255"/>
      <c r="T9480" s="255"/>
    </row>
    <row r="9481" spans="18:20" x14ac:dyDescent="0.3">
      <c r="R9481" s="255"/>
      <c r="S9481" s="255"/>
      <c r="T9481" s="255"/>
    </row>
    <row r="9482" spans="18:20" x14ac:dyDescent="0.3">
      <c r="R9482" s="255"/>
      <c r="S9482" s="255"/>
      <c r="T9482" s="255"/>
    </row>
    <row r="9483" spans="18:20" x14ac:dyDescent="0.3">
      <c r="R9483" s="255"/>
      <c r="S9483" s="255"/>
      <c r="T9483" s="255"/>
    </row>
    <row r="9484" spans="18:20" x14ac:dyDescent="0.3">
      <c r="R9484" s="255"/>
      <c r="S9484" s="255"/>
      <c r="T9484" s="255"/>
    </row>
    <row r="9485" spans="18:20" x14ac:dyDescent="0.3">
      <c r="R9485" s="255"/>
      <c r="S9485" s="255"/>
      <c r="T9485" s="255"/>
    </row>
    <row r="9486" spans="18:20" x14ac:dyDescent="0.3">
      <c r="R9486" s="255"/>
      <c r="S9486" s="255"/>
      <c r="T9486" s="255"/>
    </row>
    <row r="9487" spans="18:20" x14ac:dyDescent="0.3">
      <c r="R9487" s="255"/>
      <c r="S9487" s="255"/>
      <c r="T9487" s="255"/>
    </row>
    <row r="9488" spans="18:20" x14ac:dyDescent="0.3">
      <c r="R9488" s="255"/>
      <c r="S9488" s="255"/>
      <c r="T9488" s="255"/>
    </row>
    <row r="9489" spans="18:20" x14ac:dyDescent="0.3">
      <c r="R9489" s="255"/>
      <c r="S9489" s="255"/>
      <c r="T9489" s="255"/>
    </row>
    <row r="9490" spans="18:20" x14ac:dyDescent="0.3">
      <c r="R9490" s="255"/>
      <c r="S9490" s="255"/>
      <c r="T9490" s="255"/>
    </row>
    <row r="9491" spans="18:20" x14ac:dyDescent="0.3">
      <c r="R9491" s="255"/>
      <c r="S9491" s="255"/>
      <c r="T9491" s="255"/>
    </row>
    <row r="9492" spans="18:20" x14ac:dyDescent="0.3">
      <c r="R9492" s="255"/>
      <c r="S9492" s="255"/>
      <c r="T9492" s="255"/>
    </row>
    <row r="9493" spans="18:20" x14ac:dyDescent="0.3">
      <c r="R9493" s="255"/>
      <c r="S9493" s="255"/>
      <c r="T9493" s="255"/>
    </row>
    <row r="9494" spans="18:20" x14ac:dyDescent="0.3">
      <c r="R9494" s="255"/>
      <c r="S9494" s="255"/>
      <c r="T9494" s="255"/>
    </row>
    <row r="9495" spans="18:20" x14ac:dyDescent="0.3">
      <c r="R9495" s="255"/>
      <c r="S9495" s="255"/>
      <c r="T9495" s="255"/>
    </row>
    <row r="9496" spans="18:20" x14ac:dyDescent="0.3">
      <c r="R9496" s="255"/>
      <c r="S9496" s="255"/>
      <c r="T9496" s="255"/>
    </row>
    <row r="9497" spans="18:20" x14ac:dyDescent="0.3">
      <c r="R9497" s="255"/>
      <c r="S9497" s="255"/>
      <c r="T9497" s="255"/>
    </row>
    <row r="9498" spans="18:20" x14ac:dyDescent="0.3">
      <c r="R9498" s="255"/>
      <c r="S9498" s="255"/>
      <c r="T9498" s="255"/>
    </row>
    <row r="9499" spans="18:20" x14ac:dyDescent="0.3">
      <c r="R9499" s="255"/>
      <c r="S9499" s="255"/>
      <c r="T9499" s="255"/>
    </row>
    <row r="9500" spans="18:20" x14ac:dyDescent="0.3">
      <c r="R9500" s="255"/>
      <c r="S9500" s="255"/>
      <c r="T9500" s="255"/>
    </row>
    <row r="9501" spans="18:20" x14ac:dyDescent="0.3">
      <c r="R9501" s="255"/>
      <c r="S9501" s="255"/>
      <c r="T9501" s="255"/>
    </row>
    <row r="9502" spans="18:20" x14ac:dyDescent="0.3">
      <c r="R9502" s="255"/>
      <c r="S9502" s="255"/>
      <c r="T9502" s="255"/>
    </row>
    <row r="9503" spans="18:20" x14ac:dyDescent="0.3">
      <c r="R9503" s="255"/>
      <c r="S9503" s="255"/>
      <c r="T9503" s="255"/>
    </row>
    <row r="9504" spans="18:20" x14ac:dyDescent="0.3">
      <c r="R9504" s="255"/>
      <c r="S9504" s="255"/>
      <c r="T9504" s="255"/>
    </row>
    <row r="9505" spans="18:20" x14ac:dyDescent="0.3">
      <c r="R9505" s="255"/>
      <c r="S9505" s="255"/>
      <c r="T9505" s="255"/>
    </row>
    <row r="9506" spans="18:20" x14ac:dyDescent="0.3">
      <c r="R9506" s="255"/>
      <c r="S9506" s="255"/>
      <c r="T9506" s="255"/>
    </row>
    <row r="9507" spans="18:20" x14ac:dyDescent="0.3">
      <c r="R9507" s="255"/>
      <c r="S9507" s="255"/>
      <c r="T9507" s="255"/>
    </row>
    <row r="9508" spans="18:20" x14ac:dyDescent="0.3">
      <c r="R9508" s="255"/>
      <c r="S9508" s="255"/>
      <c r="T9508" s="255"/>
    </row>
    <row r="9509" spans="18:20" x14ac:dyDescent="0.3">
      <c r="R9509" s="255"/>
      <c r="S9509" s="255"/>
      <c r="T9509" s="255"/>
    </row>
    <row r="9510" spans="18:20" x14ac:dyDescent="0.3">
      <c r="R9510" s="255"/>
      <c r="S9510" s="255"/>
      <c r="T9510" s="255"/>
    </row>
    <row r="9511" spans="18:20" x14ac:dyDescent="0.3">
      <c r="R9511" s="255"/>
      <c r="S9511" s="255"/>
      <c r="T9511" s="255"/>
    </row>
    <row r="9512" spans="18:20" x14ac:dyDescent="0.3">
      <c r="R9512" s="255"/>
      <c r="S9512" s="255"/>
      <c r="T9512" s="255"/>
    </row>
    <row r="9513" spans="18:20" x14ac:dyDescent="0.3">
      <c r="R9513" s="255"/>
      <c r="S9513" s="255"/>
      <c r="T9513" s="255"/>
    </row>
    <row r="9514" spans="18:20" x14ac:dyDescent="0.3">
      <c r="R9514" s="255"/>
      <c r="S9514" s="255"/>
      <c r="T9514" s="255"/>
    </row>
    <row r="9515" spans="18:20" x14ac:dyDescent="0.3">
      <c r="R9515" s="255"/>
      <c r="S9515" s="255"/>
      <c r="T9515" s="255"/>
    </row>
    <row r="9516" spans="18:20" x14ac:dyDescent="0.3">
      <c r="R9516" s="255"/>
      <c r="S9516" s="255"/>
      <c r="T9516" s="255"/>
    </row>
    <row r="9517" spans="18:20" x14ac:dyDescent="0.3">
      <c r="R9517" s="255"/>
      <c r="S9517" s="255"/>
      <c r="T9517" s="255"/>
    </row>
    <row r="9518" spans="18:20" x14ac:dyDescent="0.3">
      <c r="R9518" s="255"/>
      <c r="S9518" s="255"/>
      <c r="T9518" s="255"/>
    </row>
    <row r="9519" spans="18:20" x14ac:dyDescent="0.3">
      <c r="R9519" s="255"/>
      <c r="S9519" s="255"/>
      <c r="T9519" s="255"/>
    </row>
    <row r="9520" spans="18:20" x14ac:dyDescent="0.3">
      <c r="R9520" s="255"/>
      <c r="S9520" s="255"/>
      <c r="T9520" s="255"/>
    </row>
    <row r="9521" spans="18:20" x14ac:dyDescent="0.3">
      <c r="R9521" s="255"/>
      <c r="S9521" s="255"/>
      <c r="T9521" s="255"/>
    </row>
    <row r="9522" spans="18:20" x14ac:dyDescent="0.3">
      <c r="R9522" s="255"/>
      <c r="S9522" s="255"/>
      <c r="T9522" s="255"/>
    </row>
    <row r="9523" spans="18:20" x14ac:dyDescent="0.3">
      <c r="R9523" s="255"/>
      <c r="S9523" s="255"/>
      <c r="T9523" s="255"/>
    </row>
    <row r="9524" spans="18:20" x14ac:dyDescent="0.3">
      <c r="R9524" s="255"/>
      <c r="S9524" s="255"/>
      <c r="T9524" s="255"/>
    </row>
    <row r="9525" spans="18:20" x14ac:dyDescent="0.3">
      <c r="R9525" s="255"/>
      <c r="S9525" s="255"/>
      <c r="T9525" s="255"/>
    </row>
    <row r="9526" spans="18:20" x14ac:dyDescent="0.3">
      <c r="R9526" s="255"/>
      <c r="S9526" s="255"/>
      <c r="T9526" s="255"/>
    </row>
    <row r="9527" spans="18:20" x14ac:dyDescent="0.3">
      <c r="R9527" s="255"/>
      <c r="S9527" s="255"/>
      <c r="T9527" s="255"/>
    </row>
    <row r="9528" spans="18:20" x14ac:dyDescent="0.3">
      <c r="R9528" s="255"/>
      <c r="S9528" s="255"/>
      <c r="T9528" s="255"/>
    </row>
    <row r="9529" spans="18:20" x14ac:dyDescent="0.3">
      <c r="R9529" s="255"/>
      <c r="S9529" s="255"/>
      <c r="T9529" s="255"/>
    </row>
    <row r="9530" spans="18:20" x14ac:dyDescent="0.3">
      <c r="R9530" s="255"/>
      <c r="S9530" s="255"/>
      <c r="T9530" s="255"/>
    </row>
    <row r="9531" spans="18:20" x14ac:dyDescent="0.3">
      <c r="R9531" s="255"/>
      <c r="S9531" s="255"/>
      <c r="T9531" s="255"/>
    </row>
    <row r="9532" spans="18:20" x14ac:dyDescent="0.3">
      <c r="R9532" s="255"/>
      <c r="S9532" s="255"/>
      <c r="T9532" s="255"/>
    </row>
    <row r="9533" spans="18:20" x14ac:dyDescent="0.3">
      <c r="R9533" s="255"/>
      <c r="S9533" s="255"/>
      <c r="T9533" s="255"/>
    </row>
    <row r="9534" spans="18:20" x14ac:dyDescent="0.3">
      <c r="R9534" s="255"/>
      <c r="S9534" s="255"/>
      <c r="T9534" s="255"/>
    </row>
    <row r="9535" spans="18:20" x14ac:dyDescent="0.3">
      <c r="R9535" s="255"/>
      <c r="S9535" s="255"/>
      <c r="T9535" s="255"/>
    </row>
    <row r="9536" spans="18:20" x14ac:dyDescent="0.3">
      <c r="R9536" s="255"/>
      <c r="S9536" s="255"/>
      <c r="T9536" s="255"/>
    </row>
    <row r="9537" spans="18:20" x14ac:dyDescent="0.3">
      <c r="R9537" s="255"/>
      <c r="S9537" s="255"/>
      <c r="T9537" s="255"/>
    </row>
    <row r="9538" spans="18:20" x14ac:dyDescent="0.3">
      <c r="R9538" s="255"/>
      <c r="S9538" s="255"/>
      <c r="T9538" s="255"/>
    </row>
    <row r="9539" spans="18:20" x14ac:dyDescent="0.3">
      <c r="R9539" s="255"/>
      <c r="S9539" s="255"/>
      <c r="T9539" s="255"/>
    </row>
    <row r="9540" spans="18:20" x14ac:dyDescent="0.3">
      <c r="R9540" s="255"/>
      <c r="S9540" s="255"/>
      <c r="T9540" s="255"/>
    </row>
    <row r="9541" spans="18:20" x14ac:dyDescent="0.3">
      <c r="R9541" s="255"/>
      <c r="S9541" s="255"/>
      <c r="T9541" s="255"/>
    </row>
    <row r="9542" spans="18:20" x14ac:dyDescent="0.3">
      <c r="R9542" s="255"/>
      <c r="S9542" s="255"/>
      <c r="T9542" s="255"/>
    </row>
    <row r="9543" spans="18:20" x14ac:dyDescent="0.3">
      <c r="R9543" s="255"/>
      <c r="S9543" s="255"/>
      <c r="T9543" s="255"/>
    </row>
    <row r="9544" spans="18:20" x14ac:dyDescent="0.3">
      <c r="R9544" s="255"/>
      <c r="S9544" s="255"/>
      <c r="T9544" s="255"/>
    </row>
    <row r="9545" spans="18:20" x14ac:dyDescent="0.3">
      <c r="R9545" s="255"/>
      <c r="S9545" s="255"/>
      <c r="T9545" s="255"/>
    </row>
    <row r="9546" spans="18:20" x14ac:dyDescent="0.3">
      <c r="R9546" s="255"/>
      <c r="S9546" s="255"/>
      <c r="T9546" s="255"/>
    </row>
    <row r="9547" spans="18:20" x14ac:dyDescent="0.3">
      <c r="R9547" s="255"/>
      <c r="S9547" s="255"/>
      <c r="T9547" s="255"/>
    </row>
    <row r="9548" spans="18:20" x14ac:dyDescent="0.3">
      <c r="R9548" s="255"/>
      <c r="S9548" s="255"/>
      <c r="T9548" s="255"/>
    </row>
    <row r="9549" spans="18:20" x14ac:dyDescent="0.3">
      <c r="R9549" s="255"/>
      <c r="S9549" s="255"/>
      <c r="T9549" s="255"/>
    </row>
    <row r="9550" spans="18:20" x14ac:dyDescent="0.3">
      <c r="R9550" s="255"/>
      <c r="S9550" s="255"/>
      <c r="T9550" s="255"/>
    </row>
    <row r="9551" spans="18:20" x14ac:dyDescent="0.3">
      <c r="R9551" s="255"/>
      <c r="S9551" s="255"/>
      <c r="T9551" s="255"/>
    </row>
    <row r="9552" spans="18:20" x14ac:dyDescent="0.3">
      <c r="R9552" s="255"/>
      <c r="S9552" s="255"/>
      <c r="T9552" s="255"/>
    </row>
    <row r="9553" spans="18:20" x14ac:dyDescent="0.3">
      <c r="R9553" s="255"/>
      <c r="S9553" s="255"/>
      <c r="T9553" s="255"/>
    </row>
    <row r="9554" spans="18:20" x14ac:dyDescent="0.3">
      <c r="R9554" s="255"/>
      <c r="S9554" s="255"/>
      <c r="T9554" s="255"/>
    </row>
    <row r="9555" spans="18:20" x14ac:dyDescent="0.3">
      <c r="R9555" s="255"/>
      <c r="S9555" s="255"/>
      <c r="T9555" s="255"/>
    </row>
    <row r="9556" spans="18:20" x14ac:dyDescent="0.3">
      <c r="R9556" s="255"/>
      <c r="S9556" s="255"/>
      <c r="T9556" s="255"/>
    </row>
    <row r="9557" spans="18:20" x14ac:dyDescent="0.3">
      <c r="R9557" s="255"/>
      <c r="S9557" s="255"/>
      <c r="T9557" s="255"/>
    </row>
    <row r="9558" spans="18:20" x14ac:dyDescent="0.3">
      <c r="R9558" s="255"/>
      <c r="S9558" s="255"/>
      <c r="T9558" s="255"/>
    </row>
    <row r="9559" spans="18:20" x14ac:dyDescent="0.3">
      <c r="R9559" s="255"/>
      <c r="S9559" s="255"/>
      <c r="T9559" s="255"/>
    </row>
    <row r="9560" spans="18:20" x14ac:dyDescent="0.3">
      <c r="R9560" s="255"/>
      <c r="S9560" s="255"/>
      <c r="T9560" s="255"/>
    </row>
    <row r="9561" spans="18:20" x14ac:dyDescent="0.3">
      <c r="R9561" s="255"/>
      <c r="S9561" s="255"/>
      <c r="T9561" s="255"/>
    </row>
    <row r="9562" spans="18:20" x14ac:dyDescent="0.3">
      <c r="R9562" s="255"/>
      <c r="S9562" s="255"/>
      <c r="T9562" s="255"/>
    </row>
    <row r="9563" spans="18:20" x14ac:dyDescent="0.3">
      <c r="R9563" s="255"/>
      <c r="S9563" s="255"/>
      <c r="T9563" s="255"/>
    </row>
    <row r="9564" spans="18:20" x14ac:dyDescent="0.3">
      <c r="R9564" s="255"/>
      <c r="S9564" s="255"/>
      <c r="T9564" s="255"/>
    </row>
    <row r="9565" spans="18:20" x14ac:dyDescent="0.3">
      <c r="R9565" s="255"/>
      <c r="S9565" s="255"/>
      <c r="T9565" s="255"/>
    </row>
    <row r="9566" spans="18:20" x14ac:dyDescent="0.3">
      <c r="R9566" s="255"/>
      <c r="S9566" s="255"/>
      <c r="T9566" s="255"/>
    </row>
    <row r="9567" spans="18:20" x14ac:dyDescent="0.3">
      <c r="R9567" s="255"/>
      <c r="S9567" s="255"/>
      <c r="T9567" s="255"/>
    </row>
    <row r="9568" spans="18:20" x14ac:dyDescent="0.3">
      <c r="R9568" s="255"/>
      <c r="S9568" s="255"/>
      <c r="T9568" s="255"/>
    </row>
    <row r="9569" spans="18:20" x14ac:dyDescent="0.3">
      <c r="R9569" s="255"/>
      <c r="S9569" s="255"/>
      <c r="T9569" s="255"/>
    </row>
    <row r="9570" spans="18:20" x14ac:dyDescent="0.3">
      <c r="R9570" s="255"/>
      <c r="S9570" s="255"/>
      <c r="T9570" s="255"/>
    </row>
    <row r="9571" spans="18:20" x14ac:dyDescent="0.3">
      <c r="R9571" s="255"/>
      <c r="S9571" s="255"/>
      <c r="T9571" s="255"/>
    </row>
    <row r="9572" spans="18:20" x14ac:dyDescent="0.3">
      <c r="R9572" s="255"/>
      <c r="S9572" s="255"/>
      <c r="T9572" s="255"/>
    </row>
    <row r="9573" spans="18:20" x14ac:dyDescent="0.3">
      <c r="R9573" s="255"/>
      <c r="S9573" s="255"/>
      <c r="T9573" s="255"/>
    </row>
    <row r="9574" spans="18:20" x14ac:dyDescent="0.3">
      <c r="R9574" s="255"/>
      <c r="S9574" s="255"/>
      <c r="T9574" s="255"/>
    </row>
    <row r="9575" spans="18:20" x14ac:dyDescent="0.3">
      <c r="R9575" s="255"/>
      <c r="S9575" s="255"/>
      <c r="T9575" s="255"/>
    </row>
    <row r="9576" spans="18:20" x14ac:dyDescent="0.3">
      <c r="R9576" s="255"/>
      <c r="S9576" s="255"/>
      <c r="T9576" s="255"/>
    </row>
    <row r="9577" spans="18:20" x14ac:dyDescent="0.3">
      <c r="R9577" s="255"/>
      <c r="S9577" s="255"/>
      <c r="T9577" s="255"/>
    </row>
    <row r="9578" spans="18:20" x14ac:dyDescent="0.3">
      <c r="R9578" s="255"/>
      <c r="S9578" s="255"/>
      <c r="T9578" s="255"/>
    </row>
    <row r="9579" spans="18:20" x14ac:dyDescent="0.3">
      <c r="R9579" s="255"/>
      <c r="S9579" s="255"/>
      <c r="T9579" s="255"/>
    </row>
    <row r="9580" spans="18:20" x14ac:dyDescent="0.3">
      <c r="R9580" s="255"/>
      <c r="S9580" s="255"/>
      <c r="T9580" s="255"/>
    </row>
    <row r="9581" spans="18:20" x14ac:dyDescent="0.3">
      <c r="R9581" s="255"/>
      <c r="S9581" s="255"/>
      <c r="T9581" s="255"/>
    </row>
    <row r="9582" spans="18:20" x14ac:dyDescent="0.3">
      <c r="R9582" s="255"/>
      <c r="S9582" s="255"/>
      <c r="T9582" s="255"/>
    </row>
    <row r="9583" spans="18:20" x14ac:dyDescent="0.3">
      <c r="R9583" s="255"/>
      <c r="S9583" s="255"/>
      <c r="T9583" s="255"/>
    </row>
    <row r="9584" spans="18:20" x14ac:dyDescent="0.3">
      <c r="R9584" s="255"/>
      <c r="S9584" s="255"/>
      <c r="T9584" s="255"/>
    </row>
    <row r="9585" spans="18:20" x14ac:dyDescent="0.3">
      <c r="R9585" s="255"/>
      <c r="S9585" s="255"/>
      <c r="T9585" s="255"/>
    </row>
    <row r="9586" spans="18:20" x14ac:dyDescent="0.3">
      <c r="R9586" s="255"/>
      <c r="S9586" s="255"/>
      <c r="T9586" s="255"/>
    </row>
    <row r="9587" spans="18:20" x14ac:dyDescent="0.3">
      <c r="R9587" s="255"/>
      <c r="S9587" s="255"/>
      <c r="T9587" s="255"/>
    </row>
    <row r="9588" spans="18:20" x14ac:dyDescent="0.3">
      <c r="R9588" s="255"/>
      <c r="S9588" s="255"/>
      <c r="T9588" s="255"/>
    </row>
    <row r="9589" spans="18:20" x14ac:dyDescent="0.3">
      <c r="R9589" s="255"/>
      <c r="S9589" s="255"/>
      <c r="T9589" s="255"/>
    </row>
    <row r="9590" spans="18:20" x14ac:dyDescent="0.3">
      <c r="R9590" s="255"/>
      <c r="S9590" s="255"/>
      <c r="T9590" s="255"/>
    </row>
    <row r="9591" spans="18:20" x14ac:dyDescent="0.3">
      <c r="R9591" s="255"/>
      <c r="S9591" s="255"/>
      <c r="T9591" s="255"/>
    </row>
    <row r="9592" spans="18:20" x14ac:dyDescent="0.3">
      <c r="R9592" s="255"/>
      <c r="S9592" s="255"/>
      <c r="T9592" s="255"/>
    </row>
    <row r="9593" spans="18:20" x14ac:dyDescent="0.3">
      <c r="R9593" s="255"/>
      <c r="S9593" s="255"/>
      <c r="T9593" s="255"/>
    </row>
    <row r="9594" spans="18:20" x14ac:dyDescent="0.3">
      <c r="R9594" s="255"/>
      <c r="S9594" s="255"/>
      <c r="T9594" s="255"/>
    </row>
    <row r="9595" spans="18:20" x14ac:dyDescent="0.3">
      <c r="R9595" s="255"/>
      <c r="S9595" s="255"/>
      <c r="T9595" s="255"/>
    </row>
    <row r="9596" spans="18:20" x14ac:dyDescent="0.3">
      <c r="R9596" s="255"/>
      <c r="S9596" s="255"/>
      <c r="T9596" s="255"/>
    </row>
    <row r="9597" spans="18:20" x14ac:dyDescent="0.3">
      <c r="R9597" s="255"/>
      <c r="S9597" s="255"/>
      <c r="T9597" s="255"/>
    </row>
    <row r="9598" spans="18:20" x14ac:dyDescent="0.3">
      <c r="R9598" s="255"/>
      <c r="S9598" s="255"/>
      <c r="T9598" s="255"/>
    </row>
    <row r="9599" spans="18:20" x14ac:dyDescent="0.3">
      <c r="R9599" s="255"/>
      <c r="S9599" s="255"/>
      <c r="T9599" s="255"/>
    </row>
    <row r="9600" spans="18:20" x14ac:dyDescent="0.3">
      <c r="R9600" s="255"/>
      <c r="S9600" s="255"/>
      <c r="T9600" s="255"/>
    </row>
    <row r="9601" spans="18:20" x14ac:dyDescent="0.3">
      <c r="R9601" s="255"/>
      <c r="S9601" s="255"/>
      <c r="T9601" s="255"/>
    </row>
    <row r="9602" spans="18:20" x14ac:dyDescent="0.3">
      <c r="R9602" s="255"/>
      <c r="S9602" s="255"/>
      <c r="T9602" s="255"/>
    </row>
    <row r="9603" spans="18:20" x14ac:dyDescent="0.3">
      <c r="R9603" s="255"/>
      <c r="S9603" s="255"/>
      <c r="T9603" s="255"/>
    </row>
    <row r="9604" spans="18:20" x14ac:dyDescent="0.3">
      <c r="R9604" s="255"/>
      <c r="S9604" s="255"/>
      <c r="T9604" s="255"/>
    </row>
    <row r="9605" spans="18:20" x14ac:dyDescent="0.3">
      <c r="R9605" s="255"/>
      <c r="S9605" s="255"/>
      <c r="T9605" s="255"/>
    </row>
    <row r="9606" spans="18:20" x14ac:dyDescent="0.3">
      <c r="R9606" s="255"/>
      <c r="S9606" s="255"/>
      <c r="T9606" s="255"/>
    </row>
    <row r="9607" spans="18:20" x14ac:dyDescent="0.3">
      <c r="R9607" s="255"/>
      <c r="S9607" s="255"/>
      <c r="T9607" s="255"/>
    </row>
    <row r="9608" spans="18:20" x14ac:dyDescent="0.3">
      <c r="R9608" s="255"/>
      <c r="S9608" s="255"/>
      <c r="T9608" s="255"/>
    </row>
    <row r="9609" spans="18:20" x14ac:dyDescent="0.3">
      <c r="R9609" s="255"/>
      <c r="S9609" s="255"/>
      <c r="T9609" s="255"/>
    </row>
    <row r="9610" spans="18:20" x14ac:dyDescent="0.3">
      <c r="R9610" s="255"/>
      <c r="S9610" s="255"/>
      <c r="T9610" s="255"/>
    </row>
    <row r="9611" spans="18:20" x14ac:dyDescent="0.3">
      <c r="R9611" s="255"/>
      <c r="S9611" s="255"/>
      <c r="T9611" s="255"/>
    </row>
    <row r="9612" spans="18:20" x14ac:dyDescent="0.3">
      <c r="R9612" s="255"/>
      <c r="S9612" s="255"/>
      <c r="T9612" s="255"/>
    </row>
    <row r="9613" spans="18:20" x14ac:dyDescent="0.3">
      <c r="R9613" s="255"/>
      <c r="S9613" s="255"/>
      <c r="T9613" s="255"/>
    </row>
    <row r="9614" spans="18:20" x14ac:dyDescent="0.3">
      <c r="R9614" s="255"/>
      <c r="S9614" s="255"/>
      <c r="T9614" s="255"/>
    </row>
    <row r="9615" spans="18:20" x14ac:dyDescent="0.3">
      <c r="R9615" s="255"/>
      <c r="S9615" s="255"/>
      <c r="T9615" s="255"/>
    </row>
    <row r="9616" spans="18:20" x14ac:dyDescent="0.3">
      <c r="R9616" s="255"/>
      <c r="S9616" s="255"/>
      <c r="T9616" s="255"/>
    </row>
    <row r="9617" spans="18:20" x14ac:dyDescent="0.3">
      <c r="R9617" s="255"/>
      <c r="S9617" s="255"/>
      <c r="T9617" s="255"/>
    </row>
    <row r="9618" spans="18:20" x14ac:dyDescent="0.3">
      <c r="R9618" s="255"/>
      <c r="S9618" s="255"/>
      <c r="T9618" s="255"/>
    </row>
    <row r="9619" spans="18:20" x14ac:dyDescent="0.3">
      <c r="R9619" s="255"/>
      <c r="S9619" s="255"/>
      <c r="T9619" s="255"/>
    </row>
    <row r="9620" spans="18:20" x14ac:dyDescent="0.3">
      <c r="R9620" s="255"/>
      <c r="S9620" s="255"/>
      <c r="T9620" s="255"/>
    </row>
    <row r="9621" spans="18:20" x14ac:dyDescent="0.3">
      <c r="R9621" s="255"/>
      <c r="S9621" s="255"/>
      <c r="T9621" s="255"/>
    </row>
    <row r="9622" spans="18:20" x14ac:dyDescent="0.3">
      <c r="R9622" s="255"/>
      <c r="S9622" s="255"/>
      <c r="T9622" s="255"/>
    </row>
    <row r="9623" spans="18:20" x14ac:dyDescent="0.3">
      <c r="R9623" s="255"/>
      <c r="S9623" s="255"/>
      <c r="T9623" s="255"/>
    </row>
    <row r="9624" spans="18:20" x14ac:dyDescent="0.3">
      <c r="R9624" s="255"/>
      <c r="S9624" s="255"/>
      <c r="T9624" s="255"/>
    </row>
    <row r="9625" spans="18:20" x14ac:dyDescent="0.3">
      <c r="R9625" s="255"/>
      <c r="S9625" s="255"/>
      <c r="T9625" s="255"/>
    </row>
    <row r="9626" spans="18:20" x14ac:dyDescent="0.3">
      <c r="R9626" s="255"/>
      <c r="S9626" s="255"/>
      <c r="T9626" s="255"/>
    </row>
    <row r="9627" spans="18:20" x14ac:dyDescent="0.3">
      <c r="R9627" s="255"/>
      <c r="S9627" s="255"/>
      <c r="T9627" s="255"/>
    </row>
    <row r="9628" spans="18:20" x14ac:dyDescent="0.3">
      <c r="R9628" s="255"/>
      <c r="S9628" s="255"/>
      <c r="T9628" s="255"/>
    </row>
    <row r="9629" spans="18:20" x14ac:dyDescent="0.3">
      <c r="R9629" s="255"/>
      <c r="S9629" s="255"/>
      <c r="T9629" s="255"/>
    </row>
    <row r="9630" spans="18:20" x14ac:dyDescent="0.3">
      <c r="R9630" s="255"/>
      <c r="S9630" s="255"/>
      <c r="T9630" s="255"/>
    </row>
    <row r="9631" spans="18:20" x14ac:dyDescent="0.3">
      <c r="R9631" s="255"/>
      <c r="S9631" s="255"/>
      <c r="T9631" s="255"/>
    </row>
    <row r="9632" spans="18:20" x14ac:dyDescent="0.3">
      <c r="R9632" s="255"/>
      <c r="S9632" s="255"/>
      <c r="T9632" s="255"/>
    </row>
    <row r="9633" spans="18:20" x14ac:dyDescent="0.3">
      <c r="R9633" s="255"/>
      <c r="S9633" s="255"/>
      <c r="T9633" s="255"/>
    </row>
    <row r="9634" spans="18:20" x14ac:dyDescent="0.3">
      <c r="R9634" s="255"/>
      <c r="S9634" s="255"/>
      <c r="T9634" s="255"/>
    </row>
    <row r="9635" spans="18:20" x14ac:dyDescent="0.3">
      <c r="R9635" s="255"/>
      <c r="S9635" s="255"/>
      <c r="T9635" s="255"/>
    </row>
    <row r="9636" spans="18:20" x14ac:dyDescent="0.3">
      <c r="R9636" s="255"/>
      <c r="S9636" s="255"/>
      <c r="T9636" s="255"/>
    </row>
    <row r="9637" spans="18:20" x14ac:dyDescent="0.3">
      <c r="R9637" s="255"/>
      <c r="S9637" s="255"/>
      <c r="T9637" s="255"/>
    </row>
    <row r="9638" spans="18:20" x14ac:dyDescent="0.3">
      <c r="R9638" s="255"/>
      <c r="S9638" s="255"/>
      <c r="T9638" s="255"/>
    </row>
    <row r="9639" spans="18:20" x14ac:dyDescent="0.3">
      <c r="R9639" s="255"/>
      <c r="S9639" s="255"/>
      <c r="T9639" s="255"/>
    </row>
    <row r="9640" spans="18:20" x14ac:dyDescent="0.3">
      <c r="R9640" s="255"/>
      <c r="S9640" s="255"/>
      <c r="T9640" s="255"/>
    </row>
    <row r="9641" spans="18:20" x14ac:dyDescent="0.3">
      <c r="R9641" s="255"/>
      <c r="S9641" s="255"/>
      <c r="T9641" s="255"/>
    </row>
    <row r="9642" spans="18:20" x14ac:dyDescent="0.3">
      <c r="R9642" s="255"/>
      <c r="S9642" s="255"/>
      <c r="T9642" s="255"/>
    </row>
    <row r="9643" spans="18:20" x14ac:dyDescent="0.3">
      <c r="R9643" s="255"/>
      <c r="S9643" s="255"/>
      <c r="T9643" s="255"/>
    </row>
    <row r="9644" spans="18:20" x14ac:dyDescent="0.3">
      <c r="R9644" s="255"/>
      <c r="S9644" s="255"/>
      <c r="T9644" s="255"/>
    </row>
    <row r="9645" spans="18:20" x14ac:dyDescent="0.3">
      <c r="R9645" s="255"/>
      <c r="S9645" s="255"/>
      <c r="T9645" s="255"/>
    </row>
    <row r="9646" spans="18:20" x14ac:dyDescent="0.3">
      <c r="R9646" s="255"/>
      <c r="S9646" s="255"/>
      <c r="T9646" s="255"/>
    </row>
    <row r="9647" spans="18:20" x14ac:dyDescent="0.3">
      <c r="R9647" s="255"/>
      <c r="S9647" s="255"/>
      <c r="T9647" s="255"/>
    </row>
    <row r="9648" spans="18:20" x14ac:dyDescent="0.3">
      <c r="R9648" s="255"/>
      <c r="S9648" s="255"/>
      <c r="T9648" s="255"/>
    </row>
    <row r="9649" spans="18:20" x14ac:dyDescent="0.3">
      <c r="R9649" s="255"/>
      <c r="S9649" s="255"/>
      <c r="T9649" s="255"/>
    </row>
    <row r="9650" spans="18:20" x14ac:dyDescent="0.3">
      <c r="R9650" s="255"/>
      <c r="S9650" s="255"/>
      <c r="T9650" s="255"/>
    </row>
    <row r="9651" spans="18:20" x14ac:dyDescent="0.3">
      <c r="R9651" s="255"/>
      <c r="S9651" s="255"/>
      <c r="T9651" s="255"/>
    </row>
    <row r="9652" spans="18:20" x14ac:dyDescent="0.3">
      <c r="R9652" s="255"/>
      <c r="S9652" s="255"/>
      <c r="T9652" s="255"/>
    </row>
    <row r="9653" spans="18:20" x14ac:dyDescent="0.3">
      <c r="R9653" s="255"/>
      <c r="S9653" s="255"/>
      <c r="T9653" s="255"/>
    </row>
    <row r="9654" spans="18:20" x14ac:dyDescent="0.3">
      <c r="R9654" s="255"/>
      <c r="S9654" s="255"/>
      <c r="T9654" s="255"/>
    </row>
    <row r="9655" spans="18:20" x14ac:dyDescent="0.3">
      <c r="R9655" s="255"/>
      <c r="S9655" s="255"/>
      <c r="T9655" s="255"/>
    </row>
    <row r="9656" spans="18:20" x14ac:dyDescent="0.3">
      <c r="R9656" s="255"/>
      <c r="S9656" s="255"/>
      <c r="T9656" s="255"/>
    </row>
    <row r="9657" spans="18:20" x14ac:dyDescent="0.3">
      <c r="R9657" s="255"/>
      <c r="S9657" s="255"/>
      <c r="T9657" s="255"/>
    </row>
    <row r="9658" spans="18:20" x14ac:dyDescent="0.3">
      <c r="R9658" s="255"/>
      <c r="S9658" s="255"/>
      <c r="T9658" s="255"/>
    </row>
    <row r="9659" spans="18:20" x14ac:dyDescent="0.3">
      <c r="R9659" s="255"/>
      <c r="S9659" s="255"/>
      <c r="T9659" s="255"/>
    </row>
    <row r="9660" spans="18:20" x14ac:dyDescent="0.3">
      <c r="R9660" s="255"/>
      <c r="S9660" s="255"/>
      <c r="T9660" s="255"/>
    </row>
    <row r="9661" spans="18:20" x14ac:dyDescent="0.3">
      <c r="R9661" s="255"/>
      <c r="S9661" s="255"/>
      <c r="T9661" s="255"/>
    </row>
    <row r="9662" spans="18:20" x14ac:dyDescent="0.3">
      <c r="R9662" s="255"/>
      <c r="S9662" s="255"/>
      <c r="T9662" s="255"/>
    </row>
    <row r="9663" spans="18:20" x14ac:dyDescent="0.3">
      <c r="R9663" s="255"/>
      <c r="S9663" s="255"/>
      <c r="T9663" s="255"/>
    </row>
    <row r="9664" spans="18:20" x14ac:dyDescent="0.3">
      <c r="R9664" s="255"/>
      <c r="S9664" s="255"/>
      <c r="T9664" s="255"/>
    </row>
    <row r="9665" spans="18:20" x14ac:dyDescent="0.3">
      <c r="R9665" s="255"/>
      <c r="S9665" s="255"/>
      <c r="T9665" s="255"/>
    </row>
    <row r="9666" spans="18:20" x14ac:dyDescent="0.3">
      <c r="R9666" s="255"/>
      <c r="S9666" s="255"/>
      <c r="T9666" s="255"/>
    </row>
    <row r="9667" spans="18:20" x14ac:dyDescent="0.3">
      <c r="R9667" s="255"/>
      <c r="S9667" s="255"/>
      <c r="T9667" s="255"/>
    </row>
    <row r="9668" spans="18:20" x14ac:dyDescent="0.3">
      <c r="R9668" s="255"/>
      <c r="S9668" s="255"/>
      <c r="T9668" s="255"/>
    </row>
    <row r="9669" spans="18:20" x14ac:dyDescent="0.3">
      <c r="R9669" s="255"/>
      <c r="S9669" s="255"/>
      <c r="T9669" s="255"/>
    </row>
    <row r="9670" spans="18:20" x14ac:dyDescent="0.3">
      <c r="R9670" s="255"/>
      <c r="S9670" s="255"/>
      <c r="T9670" s="255"/>
    </row>
    <row r="9671" spans="18:20" x14ac:dyDescent="0.3">
      <c r="R9671" s="255"/>
      <c r="S9671" s="255"/>
      <c r="T9671" s="255"/>
    </row>
    <row r="9672" spans="18:20" x14ac:dyDescent="0.3">
      <c r="R9672" s="255"/>
      <c r="S9672" s="255"/>
      <c r="T9672" s="255"/>
    </row>
    <row r="9673" spans="18:20" x14ac:dyDescent="0.3">
      <c r="R9673" s="255"/>
      <c r="S9673" s="255"/>
      <c r="T9673" s="255"/>
    </row>
    <row r="9674" spans="18:20" x14ac:dyDescent="0.3">
      <c r="R9674" s="255"/>
      <c r="S9674" s="255"/>
      <c r="T9674" s="255"/>
    </row>
    <row r="9675" spans="18:20" x14ac:dyDescent="0.3">
      <c r="R9675" s="255"/>
      <c r="S9675" s="255"/>
      <c r="T9675" s="255"/>
    </row>
    <row r="9676" spans="18:20" x14ac:dyDescent="0.3">
      <c r="R9676" s="255"/>
      <c r="S9676" s="255"/>
      <c r="T9676" s="255"/>
    </row>
    <row r="9677" spans="18:20" x14ac:dyDescent="0.3">
      <c r="R9677" s="255"/>
      <c r="S9677" s="255"/>
      <c r="T9677" s="255"/>
    </row>
    <row r="9678" spans="18:20" x14ac:dyDescent="0.3">
      <c r="R9678" s="255"/>
      <c r="S9678" s="255"/>
      <c r="T9678" s="255"/>
    </row>
    <row r="9679" spans="18:20" x14ac:dyDescent="0.3">
      <c r="R9679" s="255"/>
      <c r="S9679" s="255"/>
      <c r="T9679" s="255"/>
    </row>
    <row r="9680" spans="18:20" x14ac:dyDescent="0.3">
      <c r="R9680" s="255"/>
      <c r="S9680" s="255"/>
      <c r="T9680" s="255"/>
    </row>
    <row r="9681" spans="18:20" x14ac:dyDescent="0.3">
      <c r="R9681" s="255"/>
      <c r="S9681" s="255"/>
      <c r="T9681" s="255"/>
    </row>
    <row r="9682" spans="18:20" x14ac:dyDescent="0.3">
      <c r="R9682" s="255"/>
      <c r="S9682" s="255"/>
      <c r="T9682" s="255"/>
    </row>
    <row r="9683" spans="18:20" x14ac:dyDescent="0.3">
      <c r="R9683" s="255"/>
      <c r="S9683" s="255"/>
      <c r="T9683" s="255"/>
    </row>
    <row r="9684" spans="18:20" x14ac:dyDescent="0.3">
      <c r="R9684" s="255"/>
      <c r="S9684" s="255"/>
      <c r="T9684" s="255"/>
    </row>
    <row r="9685" spans="18:20" x14ac:dyDescent="0.3">
      <c r="R9685" s="255"/>
      <c r="S9685" s="255"/>
      <c r="T9685" s="255"/>
    </row>
    <row r="9686" spans="18:20" x14ac:dyDescent="0.3">
      <c r="R9686" s="255"/>
      <c r="S9686" s="255"/>
      <c r="T9686" s="255"/>
    </row>
    <row r="9687" spans="18:20" x14ac:dyDescent="0.3">
      <c r="R9687" s="255"/>
      <c r="S9687" s="255"/>
      <c r="T9687" s="255"/>
    </row>
    <row r="9688" spans="18:20" x14ac:dyDescent="0.3">
      <c r="R9688" s="255"/>
      <c r="S9688" s="255"/>
      <c r="T9688" s="255"/>
    </row>
    <row r="9689" spans="18:20" x14ac:dyDescent="0.3">
      <c r="R9689" s="255"/>
      <c r="S9689" s="255"/>
      <c r="T9689" s="255"/>
    </row>
    <row r="9690" spans="18:20" x14ac:dyDescent="0.3">
      <c r="R9690" s="255"/>
      <c r="S9690" s="255"/>
      <c r="T9690" s="255"/>
    </row>
    <row r="9691" spans="18:20" x14ac:dyDescent="0.3">
      <c r="R9691" s="255"/>
      <c r="S9691" s="255"/>
      <c r="T9691" s="255"/>
    </row>
    <row r="9692" spans="18:20" x14ac:dyDescent="0.3">
      <c r="R9692" s="255"/>
      <c r="S9692" s="255"/>
      <c r="T9692" s="255"/>
    </row>
    <row r="9693" spans="18:20" x14ac:dyDescent="0.3">
      <c r="R9693" s="255"/>
      <c r="S9693" s="255"/>
      <c r="T9693" s="255"/>
    </row>
    <row r="9694" spans="18:20" x14ac:dyDescent="0.3">
      <c r="R9694" s="255"/>
      <c r="S9694" s="255"/>
      <c r="T9694" s="255"/>
    </row>
    <row r="9695" spans="18:20" x14ac:dyDescent="0.3">
      <c r="R9695" s="255"/>
      <c r="S9695" s="255"/>
      <c r="T9695" s="255"/>
    </row>
    <row r="9696" spans="18:20" x14ac:dyDescent="0.3">
      <c r="R9696" s="255"/>
      <c r="S9696" s="255"/>
      <c r="T9696" s="255"/>
    </row>
    <row r="9697" spans="18:20" x14ac:dyDescent="0.3">
      <c r="R9697" s="255"/>
      <c r="S9697" s="255"/>
      <c r="T9697" s="255"/>
    </row>
    <row r="9698" spans="18:20" x14ac:dyDescent="0.3">
      <c r="R9698" s="255"/>
      <c r="S9698" s="255"/>
      <c r="T9698" s="255"/>
    </row>
    <row r="9699" spans="18:20" x14ac:dyDescent="0.3">
      <c r="R9699" s="255"/>
      <c r="S9699" s="255"/>
      <c r="T9699" s="255"/>
    </row>
    <row r="9700" spans="18:20" x14ac:dyDescent="0.3">
      <c r="R9700" s="255"/>
      <c r="S9700" s="255"/>
      <c r="T9700" s="255"/>
    </row>
    <row r="9701" spans="18:20" x14ac:dyDescent="0.3">
      <c r="R9701" s="255"/>
      <c r="S9701" s="255"/>
      <c r="T9701" s="255"/>
    </row>
    <row r="9702" spans="18:20" x14ac:dyDescent="0.3">
      <c r="R9702" s="255"/>
      <c r="S9702" s="255"/>
      <c r="T9702" s="255"/>
    </row>
    <row r="9703" spans="18:20" x14ac:dyDescent="0.3">
      <c r="R9703" s="255"/>
      <c r="S9703" s="255"/>
      <c r="T9703" s="255"/>
    </row>
    <row r="9704" spans="18:20" x14ac:dyDescent="0.3">
      <c r="R9704" s="255"/>
      <c r="S9704" s="255"/>
      <c r="T9704" s="255"/>
    </row>
    <row r="9705" spans="18:20" x14ac:dyDescent="0.3">
      <c r="R9705" s="255"/>
      <c r="S9705" s="255"/>
      <c r="T9705" s="255"/>
    </row>
    <row r="9706" spans="18:20" x14ac:dyDescent="0.3">
      <c r="R9706" s="255"/>
      <c r="S9706" s="255"/>
      <c r="T9706" s="255"/>
    </row>
    <row r="9707" spans="18:20" x14ac:dyDescent="0.3">
      <c r="R9707" s="255"/>
      <c r="S9707" s="255"/>
      <c r="T9707" s="255"/>
    </row>
    <row r="9708" spans="18:20" x14ac:dyDescent="0.3">
      <c r="R9708" s="255"/>
      <c r="S9708" s="255"/>
      <c r="T9708" s="255"/>
    </row>
    <row r="9709" spans="18:20" x14ac:dyDescent="0.3">
      <c r="R9709" s="255"/>
      <c r="S9709" s="255"/>
      <c r="T9709" s="255"/>
    </row>
    <row r="9710" spans="18:20" x14ac:dyDescent="0.3">
      <c r="R9710" s="255"/>
      <c r="S9710" s="255"/>
      <c r="T9710" s="255"/>
    </row>
    <row r="9711" spans="18:20" x14ac:dyDescent="0.3">
      <c r="R9711" s="255"/>
      <c r="S9711" s="255"/>
      <c r="T9711" s="255"/>
    </row>
    <row r="9712" spans="18:20" x14ac:dyDescent="0.3">
      <c r="R9712" s="255"/>
      <c r="S9712" s="255"/>
      <c r="T9712" s="255"/>
    </row>
    <row r="9713" spans="18:20" x14ac:dyDescent="0.3">
      <c r="R9713" s="255"/>
      <c r="S9713" s="255"/>
      <c r="T9713" s="255"/>
    </row>
    <row r="9714" spans="18:20" x14ac:dyDescent="0.3">
      <c r="R9714" s="255"/>
      <c r="S9714" s="255"/>
      <c r="T9714" s="255"/>
    </row>
    <row r="9715" spans="18:20" x14ac:dyDescent="0.3">
      <c r="R9715" s="255"/>
      <c r="S9715" s="255"/>
      <c r="T9715" s="255"/>
    </row>
    <row r="9716" spans="18:20" x14ac:dyDescent="0.3">
      <c r="R9716" s="255"/>
      <c r="S9716" s="255"/>
      <c r="T9716" s="255"/>
    </row>
    <row r="9717" spans="18:20" x14ac:dyDescent="0.3">
      <c r="R9717" s="255"/>
      <c r="S9717" s="255"/>
      <c r="T9717" s="255"/>
    </row>
    <row r="9718" spans="18:20" x14ac:dyDescent="0.3">
      <c r="R9718" s="255"/>
      <c r="S9718" s="255"/>
      <c r="T9718" s="255"/>
    </row>
    <row r="9719" spans="18:20" x14ac:dyDescent="0.3">
      <c r="R9719" s="255"/>
      <c r="S9719" s="255"/>
      <c r="T9719" s="255"/>
    </row>
    <row r="9720" spans="18:20" x14ac:dyDescent="0.3">
      <c r="R9720" s="255"/>
      <c r="S9720" s="255"/>
      <c r="T9720" s="255"/>
    </row>
    <row r="9721" spans="18:20" x14ac:dyDescent="0.3">
      <c r="R9721" s="255"/>
      <c r="S9721" s="255"/>
      <c r="T9721" s="255"/>
    </row>
    <row r="9722" spans="18:20" x14ac:dyDescent="0.3">
      <c r="R9722" s="255"/>
      <c r="S9722" s="255"/>
      <c r="T9722" s="255"/>
    </row>
    <row r="9723" spans="18:20" x14ac:dyDescent="0.3">
      <c r="R9723" s="255"/>
      <c r="S9723" s="255"/>
      <c r="T9723" s="255"/>
    </row>
    <row r="9724" spans="18:20" x14ac:dyDescent="0.3">
      <c r="R9724" s="255"/>
      <c r="S9724" s="255"/>
      <c r="T9724" s="255"/>
    </row>
    <row r="9725" spans="18:20" x14ac:dyDescent="0.3">
      <c r="R9725" s="255"/>
      <c r="S9725" s="255"/>
      <c r="T9725" s="255"/>
    </row>
    <row r="9726" spans="18:20" x14ac:dyDescent="0.3">
      <c r="R9726" s="255"/>
      <c r="S9726" s="255"/>
      <c r="T9726" s="255"/>
    </row>
    <row r="9727" spans="18:20" x14ac:dyDescent="0.3">
      <c r="R9727" s="255"/>
      <c r="S9727" s="255"/>
      <c r="T9727" s="255"/>
    </row>
    <row r="9728" spans="18:20" x14ac:dyDescent="0.3">
      <c r="R9728" s="255"/>
      <c r="S9728" s="255"/>
      <c r="T9728" s="255"/>
    </row>
    <row r="9729" spans="18:20" x14ac:dyDescent="0.3">
      <c r="R9729" s="255"/>
      <c r="S9729" s="255"/>
      <c r="T9729" s="255"/>
    </row>
    <row r="9730" spans="18:20" x14ac:dyDescent="0.3">
      <c r="R9730" s="255"/>
      <c r="S9730" s="255"/>
      <c r="T9730" s="255"/>
    </row>
    <row r="9731" spans="18:20" x14ac:dyDescent="0.3">
      <c r="R9731" s="255"/>
      <c r="S9731" s="255"/>
      <c r="T9731" s="255"/>
    </row>
    <row r="9732" spans="18:20" x14ac:dyDescent="0.3">
      <c r="R9732" s="255"/>
      <c r="S9732" s="255"/>
      <c r="T9732" s="255"/>
    </row>
    <row r="9733" spans="18:20" x14ac:dyDescent="0.3">
      <c r="R9733" s="255"/>
      <c r="S9733" s="255"/>
      <c r="T9733" s="255"/>
    </row>
    <row r="9734" spans="18:20" x14ac:dyDescent="0.3">
      <c r="R9734" s="255"/>
      <c r="S9734" s="255"/>
      <c r="T9734" s="255"/>
    </row>
    <row r="9735" spans="18:20" x14ac:dyDescent="0.3">
      <c r="R9735" s="255"/>
      <c r="S9735" s="255"/>
      <c r="T9735" s="255"/>
    </row>
    <row r="9736" spans="18:20" x14ac:dyDescent="0.3">
      <c r="R9736" s="255"/>
      <c r="S9736" s="255"/>
      <c r="T9736" s="255"/>
    </row>
    <row r="9737" spans="18:20" x14ac:dyDescent="0.3">
      <c r="R9737" s="255"/>
      <c r="S9737" s="255"/>
      <c r="T9737" s="255"/>
    </row>
    <row r="9738" spans="18:20" x14ac:dyDescent="0.3">
      <c r="R9738" s="255"/>
      <c r="S9738" s="255"/>
      <c r="T9738" s="255"/>
    </row>
    <row r="9739" spans="18:20" x14ac:dyDescent="0.3">
      <c r="R9739" s="255"/>
      <c r="S9739" s="255"/>
      <c r="T9739" s="255"/>
    </row>
    <row r="9740" spans="18:20" x14ac:dyDescent="0.3">
      <c r="R9740" s="255"/>
      <c r="S9740" s="255"/>
      <c r="T9740" s="255"/>
    </row>
    <row r="9741" spans="18:20" x14ac:dyDescent="0.3">
      <c r="R9741" s="255"/>
      <c r="S9741" s="255"/>
      <c r="T9741" s="255"/>
    </row>
    <row r="9742" spans="18:20" x14ac:dyDescent="0.3">
      <c r="R9742" s="255"/>
      <c r="S9742" s="255"/>
      <c r="T9742" s="255"/>
    </row>
    <row r="9743" spans="18:20" x14ac:dyDescent="0.3">
      <c r="R9743" s="255"/>
      <c r="S9743" s="255"/>
      <c r="T9743" s="255"/>
    </row>
    <row r="9744" spans="18:20" x14ac:dyDescent="0.3">
      <c r="R9744" s="255"/>
      <c r="S9744" s="255"/>
      <c r="T9744" s="255"/>
    </row>
    <row r="9745" spans="18:20" x14ac:dyDescent="0.3">
      <c r="R9745" s="255"/>
      <c r="S9745" s="255"/>
      <c r="T9745" s="255"/>
    </row>
    <row r="9746" spans="18:20" x14ac:dyDescent="0.3">
      <c r="R9746" s="255"/>
      <c r="S9746" s="255"/>
      <c r="T9746" s="255"/>
    </row>
    <row r="9747" spans="18:20" x14ac:dyDescent="0.3">
      <c r="R9747" s="255"/>
      <c r="S9747" s="255"/>
      <c r="T9747" s="255"/>
    </row>
    <row r="9748" spans="18:20" x14ac:dyDescent="0.3">
      <c r="R9748" s="255"/>
      <c r="S9748" s="255"/>
      <c r="T9748" s="255"/>
    </row>
    <row r="9749" spans="18:20" x14ac:dyDescent="0.3">
      <c r="R9749" s="255"/>
      <c r="S9749" s="255"/>
      <c r="T9749" s="255"/>
    </row>
    <row r="9750" spans="18:20" x14ac:dyDescent="0.3">
      <c r="R9750" s="255"/>
      <c r="S9750" s="255"/>
      <c r="T9750" s="255"/>
    </row>
    <row r="9751" spans="18:20" x14ac:dyDescent="0.3">
      <c r="R9751" s="255"/>
      <c r="S9751" s="255"/>
      <c r="T9751" s="255"/>
    </row>
    <row r="9752" spans="18:20" x14ac:dyDescent="0.3">
      <c r="R9752" s="255"/>
      <c r="S9752" s="255"/>
      <c r="T9752" s="255"/>
    </row>
    <row r="9753" spans="18:20" x14ac:dyDescent="0.3">
      <c r="R9753" s="255"/>
      <c r="S9753" s="255"/>
      <c r="T9753" s="255"/>
    </row>
    <row r="9754" spans="18:20" x14ac:dyDescent="0.3">
      <c r="R9754" s="255"/>
      <c r="S9754" s="255"/>
      <c r="T9754" s="255"/>
    </row>
    <row r="9755" spans="18:20" x14ac:dyDescent="0.3">
      <c r="R9755" s="255"/>
      <c r="S9755" s="255"/>
      <c r="T9755" s="255"/>
    </row>
    <row r="9756" spans="18:20" x14ac:dyDescent="0.3">
      <c r="R9756" s="255"/>
      <c r="S9756" s="255"/>
      <c r="T9756" s="255"/>
    </row>
    <row r="9757" spans="18:20" x14ac:dyDescent="0.3">
      <c r="R9757" s="255"/>
      <c r="S9757" s="255"/>
      <c r="T9757" s="255"/>
    </row>
    <row r="9758" spans="18:20" x14ac:dyDescent="0.3">
      <c r="R9758" s="255"/>
      <c r="S9758" s="255"/>
      <c r="T9758" s="255"/>
    </row>
    <row r="9759" spans="18:20" x14ac:dyDescent="0.3">
      <c r="R9759" s="255"/>
      <c r="S9759" s="255"/>
      <c r="T9759" s="255"/>
    </row>
    <row r="9760" spans="18:20" x14ac:dyDescent="0.3">
      <c r="R9760" s="255"/>
      <c r="S9760" s="255"/>
      <c r="T9760" s="255"/>
    </row>
    <row r="9761" spans="18:20" x14ac:dyDescent="0.3">
      <c r="R9761" s="255"/>
      <c r="S9761" s="255"/>
      <c r="T9761" s="255"/>
    </row>
    <row r="9762" spans="18:20" x14ac:dyDescent="0.3">
      <c r="R9762" s="255"/>
      <c r="S9762" s="255"/>
      <c r="T9762" s="255"/>
    </row>
    <row r="9763" spans="18:20" x14ac:dyDescent="0.3">
      <c r="R9763" s="255"/>
      <c r="S9763" s="255"/>
      <c r="T9763" s="255"/>
    </row>
    <row r="9764" spans="18:20" x14ac:dyDescent="0.3">
      <c r="R9764" s="255"/>
      <c r="S9764" s="255"/>
      <c r="T9764" s="255"/>
    </row>
    <row r="9765" spans="18:20" x14ac:dyDescent="0.3">
      <c r="R9765" s="255"/>
      <c r="S9765" s="255"/>
      <c r="T9765" s="255"/>
    </row>
    <row r="9766" spans="18:20" x14ac:dyDescent="0.3">
      <c r="R9766" s="255"/>
      <c r="S9766" s="255"/>
      <c r="T9766" s="255"/>
    </row>
    <row r="9767" spans="18:20" x14ac:dyDescent="0.3">
      <c r="R9767" s="255"/>
      <c r="S9767" s="255"/>
      <c r="T9767" s="255"/>
    </row>
    <row r="9768" spans="18:20" x14ac:dyDescent="0.3">
      <c r="R9768" s="255"/>
      <c r="S9768" s="255"/>
      <c r="T9768" s="255"/>
    </row>
    <row r="9769" spans="18:20" x14ac:dyDescent="0.3">
      <c r="R9769" s="255"/>
      <c r="S9769" s="255"/>
      <c r="T9769" s="255"/>
    </row>
    <row r="9770" spans="18:20" x14ac:dyDescent="0.3">
      <c r="R9770" s="255"/>
      <c r="S9770" s="255"/>
      <c r="T9770" s="255"/>
    </row>
    <row r="9771" spans="18:20" x14ac:dyDescent="0.3">
      <c r="R9771" s="255"/>
      <c r="S9771" s="255"/>
      <c r="T9771" s="255"/>
    </row>
    <row r="9772" spans="18:20" x14ac:dyDescent="0.3">
      <c r="R9772" s="255"/>
      <c r="S9772" s="255"/>
      <c r="T9772" s="255"/>
    </row>
    <row r="9773" spans="18:20" x14ac:dyDescent="0.3">
      <c r="R9773" s="255"/>
      <c r="S9773" s="255"/>
      <c r="T9773" s="255"/>
    </row>
    <row r="9774" spans="18:20" x14ac:dyDescent="0.3">
      <c r="R9774" s="255"/>
      <c r="S9774" s="255"/>
      <c r="T9774" s="255"/>
    </row>
    <row r="9775" spans="18:20" x14ac:dyDescent="0.3">
      <c r="R9775" s="255"/>
      <c r="S9775" s="255"/>
      <c r="T9775" s="255"/>
    </row>
    <row r="9776" spans="18:20" x14ac:dyDescent="0.3">
      <c r="R9776" s="255"/>
      <c r="S9776" s="255"/>
      <c r="T9776" s="255"/>
    </row>
    <row r="9777" spans="18:20" x14ac:dyDescent="0.3">
      <c r="R9777" s="255"/>
      <c r="S9777" s="255"/>
      <c r="T9777" s="255"/>
    </row>
    <row r="9778" spans="18:20" x14ac:dyDescent="0.3">
      <c r="R9778" s="255"/>
      <c r="S9778" s="255"/>
      <c r="T9778" s="255"/>
    </row>
    <row r="9779" spans="18:20" x14ac:dyDescent="0.3">
      <c r="R9779" s="255"/>
      <c r="S9779" s="255"/>
      <c r="T9779" s="255"/>
    </row>
    <row r="9780" spans="18:20" x14ac:dyDescent="0.3">
      <c r="R9780" s="255"/>
      <c r="S9780" s="255"/>
      <c r="T9780" s="255"/>
    </row>
    <row r="9781" spans="18:20" x14ac:dyDescent="0.3">
      <c r="R9781" s="255"/>
      <c r="S9781" s="255"/>
      <c r="T9781" s="255"/>
    </row>
    <row r="9782" spans="18:20" x14ac:dyDescent="0.3">
      <c r="R9782" s="255"/>
      <c r="S9782" s="255"/>
      <c r="T9782" s="255"/>
    </row>
    <row r="9783" spans="18:20" x14ac:dyDescent="0.3">
      <c r="R9783" s="255"/>
      <c r="S9783" s="255"/>
      <c r="T9783" s="255"/>
    </row>
    <row r="9784" spans="18:20" x14ac:dyDescent="0.3">
      <c r="R9784" s="255"/>
      <c r="S9784" s="255"/>
      <c r="T9784" s="255"/>
    </row>
    <row r="9785" spans="18:20" x14ac:dyDescent="0.3">
      <c r="R9785" s="255"/>
      <c r="S9785" s="255"/>
      <c r="T9785" s="255"/>
    </row>
    <row r="9786" spans="18:20" x14ac:dyDescent="0.3">
      <c r="R9786" s="255"/>
      <c r="S9786" s="255"/>
      <c r="T9786" s="255"/>
    </row>
    <row r="9787" spans="18:20" x14ac:dyDescent="0.3">
      <c r="R9787" s="255"/>
      <c r="S9787" s="255"/>
      <c r="T9787" s="255"/>
    </row>
    <row r="9788" spans="18:20" x14ac:dyDescent="0.3">
      <c r="R9788" s="255"/>
      <c r="S9788" s="255"/>
      <c r="T9788" s="255"/>
    </row>
    <row r="9789" spans="18:20" x14ac:dyDescent="0.3">
      <c r="R9789" s="255"/>
      <c r="S9789" s="255"/>
      <c r="T9789" s="255"/>
    </row>
    <row r="9790" spans="18:20" x14ac:dyDescent="0.3">
      <c r="R9790" s="255"/>
      <c r="S9790" s="255"/>
      <c r="T9790" s="255"/>
    </row>
    <row r="9791" spans="18:20" x14ac:dyDescent="0.3">
      <c r="R9791" s="255"/>
      <c r="S9791" s="255"/>
      <c r="T9791" s="255"/>
    </row>
    <row r="9792" spans="18:20" x14ac:dyDescent="0.3">
      <c r="R9792" s="255"/>
      <c r="S9792" s="255"/>
      <c r="T9792" s="255"/>
    </row>
    <row r="9793" spans="18:20" x14ac:dyDescent="0.3">
      <c r="R9793" s="255"/>
      <c r="S9793" s="255"/>
      <c r="T9793" s="255"/>
    </row>
    <row r="9794" spans="18:20" x14ac:dyDescent="0.3">
      <c r="R9794" s="255"/>
      <c r="S9794" s="255"/>
      <c r="T9794" s="255"/>
    </row>
    <row r="9795" spans="18:20" x14ac:dyDescent="0.3">
      <c r="R9795" s="255"/>
      <c r="S9795" s="255"/>
      <c r="T9795" s="255"/>
    </row>
    <row r="9796" spans="18:20" x14ac:dyDescent="0.3">
      <c r="R9796" s="255"/>
      <c r="S9796" s="255"/>
      <c r="T9796" s="255"/>
    </row>
    <row r="9797" spans="18:20" x14ac:dyDescent="0.3">
      <c r="R9797" s="255"/>
      <c r="S9797" s="255"/>
      <c r="T9797" s="255"/>
    </row>
    <row r="9798" spans="18:20" x14ac:dyDescent="0.3">
      <c r="R9798" s="255"/>
      <c r="S9798" s="255"/>
      <c r="T9798" s="255"/>
    </row>
    <row r="9799" spans="18:20" x14ac:dyDescent="0.3">
      <c r="R9799" s="255"/>
      <c r="S9799" s="255"/>
      <c r="T9799" s="255"/>
    </row>
    <row r="9800" spans="18:20" x14ac:dyDescent="0.3">
      <c r="R9800" s="255"/>
      <c r="S9800" s="255"/>
      <c r="T9800" s="255"/>
    </row>
    <row r="9801" spans="18:20" x14ac:dyDescent="0.3">
      <c r="R9801" s="255"/>
      <c r="S9801" s="255"/>
      <c r="T9801" s="255"/>
    </row>
    <row r="9802" spans="18:20" x14ac:dyDescent="0.3">
      <c r="R9802" s="255"/>
      <c r="S9802" s="255"/>
      <c r="T9802" s="255"/>
    </row>
    <row r="9803" spans="18:20" x14ac:dyDescent="0.3">
      <c r="R9803" s="255"/>
      <c r="S9803" s="255"/>
      <c r="T9803" s="255"/>
    </row>
    <row r="9804" spans="18:20" x14ac:dyDescent="0.3">
      <c r="R9804" s="255"/>
      <c r="S9804" s="255"/>
      <c r="T9804" s="255"/>
    </row>
    <row r="9805" spans="18:20" x14ac:dyDescent="0.3">
      <c r="R9805" s="255"/>
      <c r="S9805" s="255"/>
      <c r="T9805" s="255"/>
    </row>
    <row r="9806" spans="18:20" x14ac:dyDescent="0.3">
      <c r="R9806" s="255"/>
      <c r="S9806" s="255"/>
      <c r="T9806" s="255"/>
    </row>
    <row r="9807" spans="18:20" x14ac:dyDescent="0.3">
      <c r="R9807" s="255"/>
      <c r="S9807" s="255"/>
      <c r="T9807" s="255"/>
    </row>
    <row r="9808" spans="18:20" x14ac:dyDescent="0.3">
      <c r="R9808" s="255"/>
      <c r="S9808" s="255"/>
      <c r="T9808" s="255"/>
    </row>
    <row r="9809" spans="18:20" x14ac:dyDescent="0.3">
      <c r="R9809" s="255"/>
      <c r="S9809" s="255"/>
      <c r="T9809" s="255"/>
    </row>
    <row r="9810" spans="18:20" x14ac:dyDescent="0.3">
      <c r="R9810" s="255"/>
      <c r="S9810" s="255"/>
      <c r="T9810" s="255"/>
    </row>
    <row r="9811" spans="18:20" x14ac:dyDescent="0.3">
      <c r="R9811" s="255"/>
      <c r="S9811" s="255"/>
      <c r="T9811" s="255"/>
    </row>
    <row r="9812" spans="18:20" x14ac:dyDescent="0.3">
      <c r="R9812" s="255"/>
      <c r="S9812" s="255"/>
      <c r="T9812" s="255"/>
    </row>
    <row r="9813" spans="18:20" x14ac:dyDescent="0.3">
      <c r="R9813" s="255"/>
      <c r="S9813" s="255"/>
      <c r="T9813" s="255"/>
    </row>
    <row r="9814" spans="18:20" x14ac:dyDescent="0.3">
      <c r="R9814" s="255"/>
      <c r="S9814" s="255"/>
      <c r="T9814" s="255"/>
    </row>
    <row r="9815" spans="18:20" x14ac:dyDescent="0.3">
      <c r="R9815" s="255"/>
      <c r="S9815" s="255"/>
      <c r="T9815" s="255"/>
    </row>
    <row r="9816" spans="18:20" x14ac:dyDescent="0.3">
      <c r="R9816" s="255"/>
      <c r="S9816" s="255"/>
      <c r="T9816" s="255"/>
    </row>
    <row r="9817" spans="18:20" x14ac:dyDescent="0.3">
      <c r="R9817" s="255"/>
      <c r="S9817" s="255"/>
      <c r="T9817" s="255"/>
    </row>
    <row r="9818" spans="18:20" x14ac:dyDescent="0.3">
      <c r="R9818" s="255"/>
      <c r="S9818" s="255"/>
      <c r="T9818" s="255"/>
    </row>
    <row r="9819" spans="18:20" x14ac:dyDescent="0.3">
      <c r="R9819" s="255"/>
      <c r="S9819" s="255"/>
      <c r="T9819" s="255"/>
    </row>
    <row r="9820" spans="18:20" x14ac:dyDescent="0.3">
      <c r="R9820" s="255"/>
      <c r="S9820" s="255"/>
      <c r="T9820" s="255"/>
    </row>
    <row r="9821" spans="18:20" x14ac:dyDescent="0.3">
      <c r="R9821" s="255"/>
      <c r="S9821" s="255"/>
      <c r="T9821" s="255"/>
    </row>
    <row r="9822" spans="18:20" x14ac:dyDescent="0.3">
      <c r="R9822" s="255"/>
      <c r="S9822" s="255"/>
      <c r="T9822" s="255"/>
    </row>
    <row r="9823" spans="18:20" x14ac:dyDescent="0.3">
      <c r="R9823" s="255"/>
      <c r="S9823" s="255"/>
      <c r="T9823" s="255"/>
    </row>
    <row r="9824" spans="18:20" x14ac:dyDescent="0.3">
      <c r="R9824" s="255"/>
      <c r="S9824" s="255"/>
      <c r="T9824" s="255"/>
    </row>
    <row r="9825" spans="18:20" x14ac:dyDescent="0.3">
      <c r="R9825" s="255"/>
      <c r="S9825" s="255"/>
      <c r="T9825" s="255"/>
    </row>
    <row r="9826" spans="18:20" x14ac:dyDescent="0.3">
      <c r="R9826" s="255"/>
      <c r="S9826" s="255"/>
      <c r="T9826" s="255"/>
    </row>
    <row r="9827" spans="18:20" x14ac:dyDescent="0.3">
      <c r="R9827" s="255"/>
      <c r="S9827" s="255"/>
      <c r="T9827" s="255"/>
    </row>
    <row r="9828" spans="18:20" x14ac:dyDescent="0.3">
      <c r="R9828" s="255"/>
      <c r="S9828" s="255"/>
      <c r="T9828" s="255"/>
    </row>
    <row r="9829" spans="18:20" x14ac:dyDescent="0.3">
      <c r="R9829" s="255"/>
      <c r="S9829" s="255"/>
      <c r="T9829" s="255"/>
    </row>
    <row r="9830" spans="18:20" x14ac:dyDescent="0.3">
      <c r="R9830" s="255"/>
      <c r="S9830" s="255"/>
      <c r="T9830" s="255"/>
    </row>
    <row r="9831" spans="18:20" x14ac:dyDescent="0.3">
      <c r="R9831" s="255"/>
      <c r="S9831" s="255"/>
      <c r="T9831" s="255"/>
    </row>
    <row r="9832" spans="18:20" x14ac:dyDescent="0.3">
      <c r="R9832" s="255"/>
      <c r="S9832" s="255"/>
      <c r="T9832" s="255"/>
    </row>
    <row r="9833" spans="18:20" x14ac:dyDescent="0.3">
      <c r="R9833" s="255"/>
      <c r="S9833" s="255"/>
      <c r="T9833" s="255"/>
    </row>
    <row r="9834" spans="18:20" x14ac:dyDescent="0.3">
      <c r="R9834" s="255"/>
      <c r="S9834" s="255"/>
      <c r="T9834" s="255"/>
    </row>
    <row r="9835" spans="18:20" x14ac:dyDescent="0.3">
      <c r="R9835" s="255"/>
      <c r="S9835" s="255"/>
      <c r="T9835" s="255"/>
    </row>
    <row r="9836" spans="18:20" x14ac:dyDescent="0.3">
      <c r="R9836" s="255"/>
      <c r="S9836" s="255"/>
      <c r="T9836" s="255"/>
    </row>
    <row r="9837" spans="18:20" x14ac:dyDescent="0.3">
      <c r="R9837" s="255"/>
      <c r="S9837" s="255"/>
      <c r="T9837" s="255"/>
    </row>
    <row r="9838" spans="18:20" x14ac:dyDescent="0.3">
      <c r="R9838" s="255"/>
      <c r="S9838" s="255"/>
      <c r="T9838" s="255"/>
    </row>
    <row r="9839" spans="18:20" x14ac:dyDescent="0.3">
      <c r="R9839" s="255"/>
      <c r="S9839" s="255"/>
      <c r="T9839" s="255"/>
    </row>
    <row r="9840" spans="18:20" x14ac:dyDescent="0.3">
      <c r="R9840" s="255"/>
      <c r="S9840" s="255"/>
      <c r="T9840" s="255"/>
    </row>
    <row r="9841" spans="18:20" x14ac:dyDescent="0.3">
      <c r="R9841" s="255"/>
      <c r="S9841" s="255"/>
      <c r="T9841" s="255"/>
    </row>
    <row r="9842" spans="18:20" x14ac:dyDescent="0.3">
      <c r="R9842" s="255"/>
      <c r="S9842" s="255"/>
      <c r="T9842" s="255"/>
    </row>
    <row r="9843" spans="18:20" x14ac:dyDescent="0.3">
      <c r="R9843" s="255"/>
      <c r="S9843" s="255"/>
      <c r="T9843" s="255"/>
    </row>
    <row r="9844" spans="18:20" x14ac:dyDescent="0.3">
      <c r="R9844" s="255"/>
      <c r="S9844" s="255"/>
      <c r="T9844" s="255"/>
    </row>
    <row r="9845" spans="18:20" x14ac:dyDescent="0.3">
      <c r="R9845" s="255"/>
      <c r="S9845" s="255"/>
      <c r="T9845" s="255"/>
    </row>
    <row r="9846" spans="18:20" x14ac:dyDescent="0.3">
      <c r="R9846" s="255"/>
      <c r="S9846" s="255"/>
      <c r="T9846" s="255"/>
    </row>
    <row r="9847" spans="18:20" x14ac:dyDescent="0.3">
      <c r="R9847" s="255"/>
      <c r="S9847" s="255"/>
      <c r="T9847" s="255"/>
    </row>
    <row r="9848" spans="18:20" x14ac:dyDescent="0.3">
      <c r="R9848" s="255"/>
      <c r="S9848" s="255"/>
      <c r="T9848" s="255"/>
    </row>
    <row r="9849" spans="18:20" x14ac:dyDescent="0.3">
      <c r="R9849" s="255"/>
      <c r="S9849" s="255"/>
      <c r="T9849" s="255"/>
    </row>
    <row r="9850" spans="18:20" x14ac:dyDescent="0.3">
      <c r="R9850" s="255"/>
      <c r="S9850" s="255"/>
      <c r="T9850" s="255"/>
    </row>
    <row r="9851" spans="18:20" x14ac:dyDescent="0.3">
      <c r="R9851" s="255"/>
      <c r="S9851" s="255"/>
      <c r="T9851" s="255"/>
    </row>
    <row r="9852" spans="18:20" x14ac:dyDescent="0.3">
      <c r="R9852" s="255"/>
      <c r="S9852" s="255"/>
      <c r="T9852" s="255"/>
    </row>
    <row r="9853" spans="18:20" x14ac:dyDescent="0.3">
      <c r="R9853" s="255"/>
      <c r="S9853" s="255"/>
      <c r="T9853" s="255"/>
    </row>
    <row r="9854" spans="18:20" x14ac:dyDescent="0.3">
      <c r="R9854" s="255"/>
      <c r="S9854" s="255"/>
      <c r="T9854" s="255"/>
    </row>
    <row r="9855" spans="18:20" x14ac:dyDescent="0.3">
      <c r="R9855" s="255"/>
      <c r="S9855" s="255"/>
      <c r="T9855" s="255"/>
    </row>
    <row r="9856" spans="18:20" x14ac:dyDescent="0.3">
      <c r="R9856" s="255"/>
      <c r="S9856" s="255"/>
      <c r="T9856" s="255"/>
    </row>
    <row r="9857" spans="18:20" x14ac:dyDescent="0.3">
      <c r="R9857" s="255"/>
      <c r="S9857" s="255"/>
      <c r="T9857" s="255"/>
    </row>
    <row r="9858" spans="18:20" x14ac:dyDescent="0.3">
      <c r="R9858" s="255"/>
      <c r="S9858" s="255"/>
      <c r="T9858" s="255"/>
    </row>
    <row r="9859" spans="18:20" x14ac:dyDescent="0.3">
      <c r="R9859" s="255"/>
      <c r="S9859" s="255"/>
      <c r="T9859" s="255"/>
    </row>
    <row r="9860" spans="18:20" x14ac:dyDescent="0.3">
      <c r="R9860" s="255"/>
      <c r="S9860" s="255"/>
      <c r="T9860" s="255"/>
    </row>
    <row r="9861" spans="18:20" x14ac:dyDescent="0.3">
      <c r="R9861" s="255"/>
      <c r="S9861" s="255"/>
      <c r="T9861" s="255"/>
    </row>
    <row r="9862" spans="18:20" x14ac:dyDescent="0.3">
      <c r="R9862" s="255"/>
      <c r="S9862" s="255"/>
      <c r="T9862" s="255"/>
    </row>
    <row r="9863" spans="18:20" x14ac:dyDescent="0.3">
      <c r="R9863" s="255"/>
      <c r="S9863" s="255"/>
      <c r="T9863" s="255"/>
    </row>
    <row r="9864" spans="18:20" x14ac:dyDescent="0.3">
      <c r="R9864" s="255"/>
      <c r="S9864" s="255"/>
      <c r="T9864" s="255"/>
    </row>
    <row r="9865" spans="18:20" x14ac:dyDescent="0.3">
      <c r="R9865" s="255"/>
      <c r="S9865" s="255"/>
      <c r="T9865" s="255"/>
    </row>
    <row r="9866" spans="18:20" x14ac:dyDescent="0.3">
      <c r="R9866" s="255"/>
      <c r="S9866" s="255"/>
      <c r="T9866" s="255"/>
    </row>
    <row r="9867" spans="18:20" x14ac:dyDescent="0.3">
      <c r="R9867" s="255"/>
      <c r="S9867" s="255"/>
      <c r="T9867" s="255"/>
    </row>
    <row r="9868" spans="18:20" x14ac:dyDescent="0.3">
      <c r="R9868" s="255"/>
      <c r="S9868" s="255"/>
      <c r="T9868" s="255"/>
    </row>
    <row r="9869" spans="18:20" x14ac:dyDescent="0.3">
      <c r="R9869" s="255"/>
      <c r="S9869" s="255"/>
      <c r="T9869" s="255"/>
    </row>
    <row r="9870" spans="18:20" x14ac:dyDescent="0.3">
      <c r="R9870" s="255"/>
      <c r="S9870" s="255"/>
      <c r="T9870" s="255"/>
    </row>
    <row r="9871" spans="18:20" x14ac:dyDescent="0.3">
      <c r="R9871" s="255"/>
      <c r="S9871" s="255"/>
      <c r="T9871" s="255"/>
    </row>
    <row r="9872" spans="18:20" x14ac:dyDescent="0.3">
      <c r="R9872" s="255"/>
      <c r="S9872" s="255"/>
      <c r="T9872" s="255"/>
    </row>
    <row r="9873" spans="18:20" x14ac:dyDescent="0.3">
      <c r="R9873" s="255"/>
      <c r="S9873" s="255"/>
      <c r="T9873" s="255"/>
    </row>
    <row r="9874" spans="18:20" x14ac:dyDescent="0.3">
      <c r="R9874" s="255"/>
      <c r="S9874" s="255"/>
      <c r="T9874" s="255"/>
    </row>
    <row r="9875" spans="18:20" x14ac:dyDescent="0.3">
      <c r="R9875" s="255"/>
      <c r="S9875" s="255"/>
      <c r="T9875" s="255"/>
    </row>
    <row r="9876" spans="18:20" x14ac:dyDescent="0.3">
      <c r="R9876" s="255"/>
      <c r="S9876" s="255"/>
      <c r="T9876" s="255"/>
    </row>
    <row r="9877" spans="18:20" x14ac:dyDescent="0.3">
      <c r="R9877" s="255"/>
      <c r="S9877" s="255"/>
      <c r="T9877" s="255"/>
    </row>
    <row r="9878" spans="18:20" x14ac:dyDescent="0.3">
      <c r="R9878" s="255"/>
      <c r="S9878" s="255"/>
      <c r="T9878" s="255"/>
    </row>
    <row r="9879" spans="18:20" x14ac:dyDescent="0.3">
      <c r="R9879" s="255"/>
      <c r="S9879" s="255"/>
      <c r="T9879" s="255"/>
    </row>
    <row r="9880" spans="18:20" x14ac:dyDescent="0.3">
      <c r="R9880" s="255"/>
      <c r="S9880" s="255"/>
      <c r="T9880" s="255"/>
    </row>
    <row r="9881" spans="18:20" x14ac:dyDescent="0.3">
      <c r="R9881" s="255"/>
      <c r="S9881" s="255"/>
      <c r="T9881" s="255"/>
    </row>
    <row r="9882" spans="18:20" x14ac:dyDescent="0.3">
      <c r="R9882" s="255"/>
      <c r="S9882" s="255"/>
      <c r="T9882" s="255"/>
    </row>
    <row r="9883" spans="18:20" x14ac:dyDescent="0.3">
      <c r="R9883" s="255"/>
      <c r="S9883" s="255"/>
      <c r="T9883" s="255"/>
    </row>
    <row r="9884" spans="18:20" x14ac:dyDescent="0.3">
      <c r="R9884" s="255"/>
      <c r="S9884" s="255"/>
      <c r="T9884" s="255"/>
    </row>
    <row r="9885" spans="18:20" x14ac:dyDescent="0.3">
      <c r="R9885" s="255"/>
      <c r="S9885" s="255"/>
      <c r="T9885" s="255"/>
    </row>
    <row r="9886" spans="18:20" x14ac:dyDescent="0.3">
      <c r="R9886" s="255"/>
      <c r="S9886" s="255"/>
      <c r="T9886" s="255"/>
    </row>
    <row r="9887" spans="18:20" x14ac:dyDescent="0.3">
      <c r="R9887" s="255"/>
      <c r="S9887" s="255"/>
      <c r="T9887" s="255"/>
    </row>
    <row r="9888" spans="18:20" x14ac:dyDescent="0.3">
      <c r="R9888" s="255"/>
      <c r="S9888" s="255"/>
      <c r="T9888" s="255"/>
    </row>
    <row r="9889" spans="18:20" x14ac:dyDescent="0.3">
      <c r="R9889" s="255"/>
      <c r="S9889" s="255"/>
      <c r="T9889" s="255"/>
    </row>
    <row r="9890" spans="18:20" x14ac:dyDescent="0.3">
      <c r="R9890" s="255"/>
      <c r="S9890" s="255"/>
      <c r="T9890" s="255"/>
    </row>
    <row r="9891" spans="18:20" x14ac:dyDescent="0.3">
      <c r="R9891" s="255"/>
      <c r="S9891" s="255"/>
      <c r="T9891" s="255"/>
    </row>
    <row r="9892" spans="18:20" x14ac:dyDescent="0.3">
      <c r="R9892" s="255"/>
      <c r="S9892" s="255"/>
      <c r="T9892" s="255"/>
    </row>
    <row r="9893" spans="18:20" x14ac:dyDescent="0.3">
      <c r="R9893" s="255"/>
      <c r="S9893" s="255"/>
      <c r="T9893" s="255"/>
    </row>
    <row r="9894" spans="18:20" x14ac:dyDescent="0.3">
      <c r="R9894" s="255"/>
      <c r="S9894" s="255"/>
      <c r="T9894" s="255"/>
    </row>
    <row r="9895" spans="18:20" x14ac:dyDescent="0.3">
      <c r="R9895" s="255"/>
      <c r="S9895" s="255"/>
      <c r="T9895" s="255"/>
    </row>
    <row r="9896" spans="18:20" x14ac:dyDescent="0.3">
      <c r="R9896" s="255"/>
      <c r="S9896" s="255"/>
      <c r="T9896" s="255"/>
    </row>
    <row r="9897" spans="18:20" x14ac:dyDescent="0.3">
      <c r="R9897" s="255"/>
      <c r="S9897" s="255"/>
      <c r="T9897" s="255"/>
    </row>
    <row r="9898" spans="18:20" x14ac:dyDescent="0.3">
      <c r="R9898" s="255"/>
      <c r="S9898" s="255"/>
      <c r="T9898" s="255"/>
    </row>
    <row r="9899" spans="18:20" x14ac:dyDescent="0.3">
      <c r="R9899" s="255"/>
      <c r="S9899" s="255"/>
      <c r="T9899" s="255"/>
    </row>
    <row r="9900" spans="18:20" x14ac:dyDescent="0.3">
      <c r="R9900" s="255"/>
      <c r="S9900" s="255"/>
      <c r="T9900" s="255"/>
    </row>
    <row r="9901" spans="18:20" x14ac:dyDescent="0.3">
      <c r="R9901" s="255"/>
      <c r="S9901" s="255"/>
      <c r="T9901" s="255"/>
    </row>
    <row r="9902" spans="18:20" x14ac:dyDescent="0.3">
      <c r="R9902" s="255"/>
      <c r="S9902" s="255"/>
      <c r="T9902" s="255"/>
    </row>
    <row r="9903" spans="18:20" x14ac:dyDescent="0.3">
      <c r="R9903" s="255"/>
      <c r="S9903" s="255"/>
      <c r="T9903" s="255"/>
    </row>
    <row r="9904" spans="18:20" x14ac:dyDescent="0.3">
      <c r="R9904" s="255"/>
      <c r="S9904" s="255"/>
      <c r="T9904" s="255"/>
    </row>
    <row r="9905" spans="18:20" x14ac:dyDescent="0.3">
      <c r="R9905" s="255"/>
      <c r="S9905" s="255"/>
      <c r="T9905" s="255"/>
    </row>
    <row r="9906" spans="18:20" x14ac:dyDescent="0.3">
      <c r="R9906" s="255"/>
      <c r="S9906" s="255"/>
      <c r="T9906" s="255"/>
    </row>
    <row r="9907" spans="18:20" x14ac:dyDescent="0.3">
      <c r="R9907" s="255"/>
      <c r="S9907" s="255"/>
      <c r="T9907" s="255"/>
    </row>
    <row r="9908" spans="18:20" x14ac:dyDescent="0.3">
      <c r="R9908" s="255"/>
      <c r="S9908" s="255"/>
      <c r="T9908" s="255"/>
    </row>
    <row r="9909" spans="18:20" x14ac:dyDescent="0.3">
      <c r="R9909" s="255"/>
      <c r="S9909" s="255"/>
      <c r="T9909" s="255"/>
    </row>
    <row r="9910" spans="18:20" x14ac:dyDescent="0.3">
      <c r="R9910" s="255"/>
      <c r="S9910" s="255"/>
      <c r="T9910" s="255"/>
    </row>
    <row r="9911" spans="18:20" x14ac:dyDescent="0.3">
      <c r="R9911" s="255"/>
      <c r="S9911" s="255"/>
      <c r="T9911" s="255"/>
    </row>
    <row r="9912" spans="18:20" x14ac:dyDescent="0.3">
      <c r="R9912" s="255"/>
      <c r="S9912" s="255"/>
      <c r="T9912" s="255"/>
    </row>
    <row r="9913" spans="18:20" x14ac:dyDescent="0.3">
      <c r="R9913" s="255"/>
      <c r="S9913" s="255"/>
      <c r="T9913" s="255"/>
    </row>
    <row r="9914" spans="18:20" x14ac:dyDescent="0.3">
      <c r="R9914" s="255"/>
      <c r="S9914" s="255"/>
      <c r="T9914" s="255"/>
    </row>
    <row r="9915" spans="18:20" x14ac:dyDescent="0.3">
      <c r="R9915" s="255"/>
      <c r="S9915" s="255"/>
      <c r="T9915" s="255"/>
    </row>
    <row r="9916" spans="18:20" x14ac:dyDescent="0.3">
      <c r="R9916" s="255"/>
      <c r="S9916" s="255"/>
      <c r="T9916" s="255"/>
    </row>
    <row r="9917" spans="18:20" x14ac:dyDescent="0.3">
      <c r="R9917" s="255"/>
      <c r="S9917" s="255"/>
      <c r="T9917" s="255"/>
    </row>
    <row r="9918" spans="18:20" x14ac:dyDescent="0.3">
      <c r="R9918" s="255"/>
      <c r="S9918" s="255"/>
      <c r="T9918" s="255"/>
    </row>
    <row r="9919" spans="18:20" x14ac:dyDescent="0.3">
      <c r="R9919" s="255"/>
      <c r="S9919" s="255"/>
      <c r="T9919" s="255"/>
    </row>
    <row r="9920" spans="18:20" x14ac:dyDescent="0.3">
      <c r="R9920" s="255"/>
      <c r="S9920" s="255"/>
      <c r="T9920" s="255"/>
    </row>
    <row r="9921" spans="18:20" x14ac:dyDescent="0.3">
      <c r="R9921" s="255"/>
      <c r="S9921" s="255"/>
      <c r="T9921" s="255"/>
    </row>
    <row r="9922" spans="18:20" x14ac:dyDescent="0.3">
      <c r="R9922" s="255"/>
      <c r="S9922" s="255"/>
      <c r="T9922" s="255"/>
    </row>
    <row r="9923" spans="18:20" x14ac:dyDescent="0.3">
      <c r="R9923" s="255"/>
      <c r="S9923" s="255"/>
      <c r="T9923" s="255"/>
    </row>
    <row r="9924" spans="18:20" x14ac:dyDescent="0.3">
      <c r="R9924" s="255"/>
      <c r="S9924" s="255"/>
      <c r="T9924" s="255"/>
    </row>
    <row r="9925" spans="18:20" x14ac:dyDescent="0.3">
      <c r="R9925" s="255"/>
      <c r="S9925" s="255"/>
      <c r="T9925" s="255"/>
    </row>
    <row r="9926" spans="18:20" x14ac:dyDescent="0.3">
      <c r="R9926" s="255"/>
      <c r="S9926" s="255"/>
      <c r="T9926" s="255"/>
    </row>
    <row r="9927" spans="18:20" x14ac:dyDescent="0.3">
      <c r="R9927" s="255"/>
      <c r="S9927" s="255"/>
      <c r="T9927" s="255"/>
    </row>
    <row r="9928" spans="18:20" x14ac:dyDescent="0.3">
      <c r="R9928" s="255"/>
      <c r="S9928" s="255"/>
      <c r="T9928" s="255"/>
    </row>
    <row r="9929" spans="18:20" x14ac:dyDescent="0.3">
      <c r="R9929" s="255"/>
      <c r="S9929" s="255"/>
      <c r="T9929" s="255"/>
    </row>
    <row r="9930" spans="18:20" x14ac:dyDescent="0.3">
      <c r="R9930" s="255"/>
      <c r="S9930" s="255"/>
      <c r="T9930" s="255"/>
    </row>
    <row r="9931" spans="18:20" x14ac:dyDescent="0.3">
      <c r="R9931" s="255"/>
      <c r="S9931" s="255"/>
      <c r="T9931" s="255"/>
    </row>
    <row r="9932" spans="18:20" x14ac:dyDescent="0.3">
      <c r="R9932" s="255"/>
      <c r="S9932" s="255"/>
      <c r="T9932" s="255"/>
    </row>
    <row r="9933" spans="18:20" x14ac:dyDescent="0.3">
      <c r="R9933" s="255"/>
      <c r="S9933" s="255"/>
      <c r="T9933" s="255"/>
    </row>
    <row r="9934" spans="18:20" x14ac:dyDescent="0.3">
      <c r="R9934" s="255"/>
      <c r="S9934" s="255"/>
      <c r="T9934" s="255"/>
    </row>
    <row r="9935" spans="18:20" x14ac:dyDescent="0.3">
      <c r="R9935" s="255"/>
      <c r="S9935" s="255"/>
      <c r="T9935" s="255"/>
    </row>
    <row r="9936" spans="18:20" x14ac:dyDescent="0.3">
      <c r="R9936" s="255"/>
      <c r="S9936" s="255"/>
      <c r="T9936" s="255"/>
    </row>
    <row r="9937" spans="18:20" x14ac:dyDescent="0.3">
      <c r="R9937" s="255"/>
      <c r="S9937" s="255"/>
      <c r="T9937" s="255"/>
    </row>
    <row r="9938" spans="18:20" x14ac:dyDescent="0.3">
      <c r="R9938" s="255"/>
      <c r="S9938" s="255"/>
      <c r="T9938" s="255"/>
    </row>
    <row r="9939" spans="18:20" x14ac:dyDescent="0.3">
      <c r="R9939" s="255"/>
      <c r="S9939" s="255"/>
      <c r="T9939" s="255"/>
    </row>
    <row r="9940" spans="18:20" x14ac:dyDescent="0.3">
      <c r="R9940" s="255"/>
      <c r="S9940" s="255"/>
      <c r="T9940" s="255"/>
    </row>
    <row r="9941" spans="18:20" x14ac:dyDescent="0.3">
      <c r="R9941" s="255"/>
      <c r="S9941" s="255"/>
      <c r="T9941" s="255"/>
    </row>
    <row r="9942" spans="18:20" x14ac:dyDescent="0.3">
      <c r="R9942" s="255"/>
      <c r="S9942" s="255"/>
      <c r="T9942" s="255"/>
    </row>
    <row r="9943" spans="18:20" x14ac:dyDescent="0.3">
      <c r="R9943" s="255"/>
      <c r="S9943" s="255"/>
      <c r="T9943" s="255"/>
    </row>
    <row r="9944" spans="18:20" x14ac:dyDescent="0.3">
      <c r="R9944" s="255"/>
      <c r="S9944" s="255"/>
      <c r="T9944" s="255"/>
    </row>
    <row r="9945" spans="18:20" x14ac:dyDescent="0.3">
      <c r="R9945" s="255"/>
      <c r="S9945" s="255"/>
      <c r="T9945" s="255"/>
    </row>
    <row r="9946" spans="18:20" x14ac:dyDescent="0.3">
      <c r="R9946" s="255"/>
      <c r="S9946" s="255"/>
      <c r="T9946" s="255"/>
    </row>
    <row r="9947" spans="18:20" x14ac:dyDescent="0.3">
      <c r="R9947" s="255"/>
      <c r="S9947" s="255"/>
      <c r="T9947" s="255"/>
    </row>
    <row r="9948" spans="18:20" x14ac:dyDescent="0.3">
      <c r="R9948" s="255"/>
      <c r="S9948" s="255"/>
      <c r="T9948" s="255"/>
    </row>
    <row r="9949" spans="18:20" x14ac:dyDescent="0.3">
      <c r="R9949" s="255"/>
      <c r="S9949" s="255"/>
      <c r="T9949" s="255"/>
    </row>
    <row r="9950" spans="18:20" x14ac:dyDescent="0.3">
      <c r="R9950" s="255"/>
      <c r="S9950" s="255"/>
      <c r="T9950" s="255"/>
    </row>
    <row r="9951" spans="18:20" x14ac:dyDescent="0.3">
      <c r="R9951" s="255"/>
      <c r="S9951" s="255"/>
      <c r="T9951" s="255"/>
    </row>
    <row r="9952" spans="18:20" x14ac:dyDescent="0.3">
      <c r="R9952" s="255"/>
      <c r="S9952" s="255"/>
      <c r="T9952" s="255"/>
    </row>
    <row r="9953" spans="18:20" x14ac:dyDescent="0.3">
      <c r="R9953" s="255"/>
      <c r="S9953" s="255"/>
      <c r="T9953" s="255"/>
    </row>
    <row r="9954" spans="18:20" x14ac:dyDescent="0.3">
      <c r="R9954" s="255"/>
      <c r="S9954" s="255"/>
      <c r="T9954" s="255"/>
    </row>
    <row r="9955" spans="18:20" x14ac:dyDescent="0.3">
      <c r="R9955" s="255"/>
      <c r="S9955" s="255"/>
      <c r="T9955" s="255"/>
    </row>
    <row r="9956" spans="18:20" x14ac:dyDescent="0.3">
      <c r="R9956" s="255"/>
      <c r="S9956" s="255"/>
      <c r="T9956" s="255"/>
    </row>
    <row r="9957" spans="18:20" x14ac:dyDescent="0.3">
      <c r="R9957" s="255"/>
      <c r="S9957" s="255"/>
      <c r="T9957" s="255"/>
    </row>
    <row r="9958" spans="18:20" x14ac:dyDescent="0.3">
      <c r="R9958" s="255"/>
      <c r="S9958" s="255"/>
      <c r="T9958" s="255"/>
    </row>
    <row r="9959" spans="18:20" x14ac:dyDescent="0.3">
      <c r="R9959" s="255"/>
      <c r="S9959" s="255"/>
      <c r="T9959" s="255"/>
    </row>
    <row r="9960" spans="18:20" x14ac:dyDescent="0.3">
      <c r="R9960" s="255"/>
      <c r="S9960" s="255"/>
      <c r="T9960" s="255"/>
    </row>
    <row r="9961" spans="18:20" x14ac:dyDescent="0.3">
      <c r="R9961" s="255"/>
      <c r="S9961" s="255"/>
      <c r="T9961" s="255"/>
    </row>
    <row r="9962" spans="18:20" x14ac:dyDescent="0.3">
      <c r="R9962" s="255"/>
      <c r="S9962" s="255"/>
      <c r="T9962" s="255"/>
    </row>
    <row r="9963" spans="18:20" x14ac:dyDescent="0.3">
      <c r="R9963" s="255"/>
      <c r="S9963" s="255"/>
      <c r="T9963" s="255"/>
    </row>
    <row r="9964" spans="18:20" x14ac:dyDescent="0.3">
      <c r="R9964" s="255"/>
      <c r="S9964" s="255"/>
      <c r="T9964" s="255"/>
    </row>
    <row r="9965" spans="18:20" x14ac:dyDescent="0.3">
      <c r="R9965" s="255"/>
      <c r="S9965" s="255"/>
      <c r="T9965" s="255"/>
    </row>
    <row r="9966" spans="18:20" x14ac:dyDescent="0.3">
      <c r="R9966" s="255"/>
      <c r="S9966" s="255"/>
      <c r="T9966" s="255"/>
    </row>
    <row r="9967" spans="18:20" x14ac:dyDescent="0.3">
      <c r="R9967" s="255"/>
      <c r="S9967" s="255"/>
      <c r="T9967" s="255"/>
    </row>
    <row r="9968" spans="18:20" x14ac:dyDescent="0.3">
      <c r="R9968" s="255"/>
      <c r="S9968" s="255"/>
      <c r="T9968" s="255"/>
    </row>
    <row r="9969" spans="18:20" x14ac:dyDescent="0.3">
      <c r="R9969" s="255"/>
      <c r="S9969" s="255"/>
      <c r="T9969" s="255"/>
    </row>
    <row r="9970" spans="18:20" x14ac:dyDescent="0.3">
      <c r="R9970" s="255"/>
      <c r="S9970" s="255"/>
      <c r="T9970" s="255"/>
    </row>
    <row r="9971" spans="18:20" x14ac:dyDescent="0.3">
      <c r="R9971" s="255"/>
      <c r="S9971" s="255"/>
      <c r="T9971" s="255"/>
    </row>
    <row r="9972" spans="18:20" x14ac:dyDescent="0.3">
      <c r="R9972" s="255"/>
      <c r="S9972" s="255"/>
      <c r="T9972" s="255"/>
    </row>
    <row r="9973" spans="18:20" x14ac:dyDescent="0.3">
      <c r="R9973" s="255"/>
      <c r="S9973" s="255"/>
      <c r="T9973" s="255"/>
    </row>
    <row r="9974" spans="18:20" x14ac:dyDescent="0.3">
      <c r="R9974" s="255"/>
      <c r="S9974" s="255"/>
      <c r="T9974" s="255"/>
    </row>
    <row r="9975" spans="18:20" x14ac:dyDescent="0.3">
      <c r="R9975" s="255"/>
      <c r="S9975" s="255"/>
      <c r="T9975" s="255"/>
    </row>
    <row r="9976" spans="18:20" x14ac:dyDescent="0.3">
      <c r="R9976" s="255"/>
      <c r="S9976" s="255"/>
      <c r="T9976" s="255"/>
    </row>
    <row r="9977" spans="18:20" x14ac:dyDescent="0.3">
      <c r="R9977" s="255"/>
      <c r="S9977" s="255"/>
      <c r="T9977" s="255"/>
    </row>
    <row r="9978" spans="18:20" x14ac:dyDescent="0.3">
      <c r="R9978" s="255"/>
      <c r="S9978" s="255"/>
      <c r="T9978" s="255"/>
    </row>
    <row r="9979" spans="18:20" x14ac:dyDescent="0.3">
      <c r="R9979" s="255"/>
      <c r="S9979" s="255"/>
      <c r="T9979" s="255"/>
    </row>
    <row r="9980" spans="18:20" x14ac:dyDescent="0.3">
      <c r="R9980" s="255"/>
      <c r="S9980" s="255"/>
      <c r="T9980" s="255"/>
    </row>
    <row r="9981" spans="18:20" x14ac:dyDescent="0.3">
      <c r="R9981" s="255"/>
      <c r="S9981" s="255"/>
      <c r="T9981" s="255"/>
    </row>
    <row r="9982" spans="18:20" x14ac:dyDescent="0.3">
      <c r="R9982" s="255"/>
      <c r="S9982" s="255"/>
      <c r="T9982" s="255"/>
    </row>
    <row r="9983" spans="18:20" x14ac:dyDescent="0.3">
      <c r="R9983" s="255"/>
      <c r="S9983" s="255"/>
      <c r="T9983" s="255"/>
    </row>
    <row r="9984" spans="18:20" x14ac:dyDescent="0.3">
      <c r="R9984" s="255"/>
      <c r="S9984" s="255"/>
      <c r="T9984" s="255"/>
    </row>
    <row r="9985" spans="18:20" x14ac:dyDescent="0.3">
      <c r="R9985" s="255"/>
      <c r="S9985" s="255"/>
      <c r="T9985" s="255"/>
    </row>
    <row r="9986" spans="18:20" x14ac:dyDescent="0.3">
      <c r="R9986" s="255"/>
      <c r="S9986" s="255"/>
      <c r="T9986" s="255"/>
    </row>
    <row r="9987" spans="18:20" x14ac:dyDescent="0.3">
      <c r="R9987" s="255"/>
      <c r="S9987" s="255"/>
      <c r="T9987" s="255"/>
    </row>
    <row r="9988" spans="18:20" x14ac:dyDescent="0.3">
      <c r="R9988" s="255"/>
      <c r="S9988" s="255"/>
      <c r="T9988" s="255"/>
    </row>
    <row r="9989" spans="18:20" x14ac:dyDescent="0.3">
      <c r="R9989" s="255"/>
      <c r="S9989" s="255"/>
      <c r="T9989" s="255"/>
    </row>
    <row r="9990" spans="18:20" x14ac:dyDescent="0.3">
      <c r="R9990" s="255"/>
      <c r="S9990" s="255"/>
      <c r="T9990" s="255"/>
    </row>
    <row r="9991" spans="18:20" x14ac:dyDescent="0.3">
      <c r="R9991" s="255"/>
      <c r="S9991" s="255"/>
      <c r="T9991" s="255"/>
    </row>
    <row r="9992" spans="18:20" x14ac:dyDescent="0.3">
      <c r="R9992" s="255"/>
      <c r="S9992" s="255"/>
      <c r="T9992" s="255"/>
    </row>
    <row r="9993" spans="18:20" x14ac:dyDescent="0.3">
      <c r="R9993" s="255"/>
      <c r="S9993" s="255"/>
      <c r="T9993" s="255"/>
    </row>
    <row r="9994" spans="18:20" x14ac:dyDescent="0.3">
      <c r="R9994" s="255"/>
      <c r="S9994" s="255"/>
      <c r="T9994" s="255"/>
    </row>
    <row r="9995" spans="18:20" x14ac:dyDescent="0.3">
      <c r="R9995" s="255"/>
      <c r="S9995" s="255"/>
      <c r="T9995" s="255"/>
    </row>
    <row r="9996" spans="18:20" x14ac:dyDescent="0.3">
      <c r="R9996" s="255"/>
      <c r="S9996" s="255"/>
      <c r="T9996" s="255"/>
    </row>
    <row r="9997" spans="18:20" x14ac:dyDescent="0.3">
      <c r="R9997" s="255"/>
      <c r="S9997" s="255"/>
      <c r="T9997" s="255"/>
    </row>
    <row r="9998" spans="18:20" x14ac:dyDescent="0.3">
      <c r="R9998" s="255"/>
      <c r="S9998" s="255"/>
      <c r="T9998" s="255"/>
    </row>
    <row r="9999" spans="18:20" x14ac:dyDescent="0.3">
      <c r="R9999" s="255"/>
      <c r="S9999" s="255"/>
      <c r="T9999" s="255"/>
    </row>
    <row r="10000" spans="18:20" x14ac:dyDescent="0.3">
      <c r="R10000" s="255"/>
      <c r="S10000" s="255"/>
      <c r="T10000" s="255"/>
    </row>
    <row r="10001" spans="18:20" x14ac:dyDescent="0.3">
      <c r="R10001" s="255"/>
      <c r="S10001" s="255"/>
      <c r="T10001" s="255"/>
    </row>
    <row r="10002" spans="18:20" x14ac:dyDescent="0.3">
      <c r="R10002" s="255"/>
      <c r="S10002" s="255"/>
      <c r="T10002" s="255"/>
    </row>
    <row r="10003" spans="18:20" x14ac:dyDescent="0.3">
      <c r="R10003" s="255"/>
      <c r="S10003" s="255"/>
      <c r="T10003" s="255"/>
    </row>
    <row r="10004" spans="18:20" x14ac:dyDescent="0.3">
      <c r="R10004" s="255"/>
      <c r="S10004" s="255"/>
      <c r="T10004" s="255"/>
    </row>
    <row r="10005" spans="18:20" x14ac:dyDescent="0.3">
      <c r="R10005" s="255"/>
      <c r="S10005" s="255"/>
      <c r="T10005" s="255"/>
    </row>
    <row r="10006" spans="18:20" x14ac:dyDescent="0.3">
      <c r="R10006" s="255"/>
      <c r="S10006" s="255"/>
      <c r="T10006" s="255"/>
    </row>
    <row r="10007" spans="18:20" x14ac:dyDescent="0.3">
      <c r="R10007" s="255"/>
      <c r="S10007" s="255"/>
      <c r="T10007" s="255"/>
    </row>
    <row r="10008" spans="18:20" x14ac:dyDescent="0.3">
      <c r="R10008" s="255"/>
      <c r="S10008" s="255"/>
      <c r="T10008" s="255"/>
    </row>
    <row r="10009" spans="18:20" x14ac:dyDescent="0.3">
      <c r="R10009" s="255"/>
      <c r="S10009" s="255"/>
      <c r="T10009" s="255"/>
    </row>
    <row r="10010" spans="18:20" x14ac:dyDescent="0.3">
      <c r="R10010" s="255"/>
      <c r="S10010" s="255"/>
      <c r="T10010" s="255"/>
    </row>
    <row r="10011" spans="18:20" x14ac:dyDescent="0.3">
      <c r="R10011" s="255"/>
      <c r="S10011" s="255"/>
      <c r="T10011" s="255"/>
    </row>
    <row r="10012" spans="18:20" x14ac:dyDescent="0.3">
      <c r="R10012" s="255"/>
      <c r="S10012" s="255"/>
      <c r="T10012" s="255"/>
    </row>
    <row r="10013" spans="18:20" x14ac:dyDescent="0.3">
      <c r="R10013" s="255"/>
      <c r="S10013" s="255"/>
      <c r="T10013" s="255"/>
    </row>
    <row r="10014" spans="18:20" x14ac:dyDescent="0.3">
      <c r="R10014" s="255"/>
      <c r="S10014" s="255"/>
      <c r="T10014" s="255"/>
    </row>
    <row r="10015" spans="18:20" x14ac:dyDescent="0.3">
      <c r="R10015" s="255"/>
      <c r="S10015" s="255"/>
      <c r="T10015" s="255"/>
    </row>
    <row r="10016" spans="18:20" x14ac:dyDescent="0.3">
      <c r="R10016" s="255"/>
      <c r="S10016" s="255"/>
      <c r="T10016" s="255"/>
    </row>
    <row r="10017" spans="18:20" x14ac:dyDescent="0.3">
      <c r="R10017" s="255"/>
      <c r="S10017" s="255"/>
      <c r="T10017" s="255"/>
    </row>
    <row r="10018" spans="18:20" x14ac:dyDescent="0.3">
      <c r="R10018" s="255"/>
      <c r="S10018" s="255"/>
      <c r="T10018" s="255"/>
    </row>
    <row r="10019" spans="18:20" x14ac:dyDescent="0.3">
      <c r="R10019" s="255"/>
      <c r="S10019" s="255"/>
      <c r="T10019" s="255"/>
    </row>
    <row r="10020" spans="18:20" x14ac:dyDescent="0.3">
      <c r="R10020" s="255"/>
      <c r="S10020" s="255"/>
      <c r="T10020" s="255"/>
    </row>
    <row r="10021" spans="18:20" x14ac:dyDescent="0.3">
      <c r="R10021" s="255"/>
      <c r="S10021" s="255"/>
      <c r="T10021" s="255"/>
    </row>
    <row r="10022" spans="18:20" x14ac:dyDescent="0.3">
      <c r="R10022" s="255"/>
      <c r="S10022" s="255"/>
      <c r="T10022" s="255"/>
    </row>
    <row r="10023" spans="18:20" x14ac:dyDescent="0.3">
      <c r="R10023" s="255"/>
      <c r="S10023" s="255"/>
      <c r="T10023" s="255"/>
    </row>
    <row r="10024" spans="18:20" x14ac:dyDescent="0.3">
      <c r="R10024" s="255"/>
      <c r="S10024" s="255"/>
      <c r="T10024" s="255"/>
    </row>
    <row r="10025" spans="18:20" x14ac:dyDescent="0.3">
      <c r="R10025" s="255"/>
      <c r="S10025" s="255"/>
      <c r="T10025" s="255"/>
    </row>
    <row r="10026" spans="18:20" x14ac:dyDescent="0.3">
      <c r="R10026" s="255"/>
      <c r="S10026" s="255"/>
      <c r="T10026" s="255"/>
    </row>
    <row r="10027" spans="18:20" x14ac:dyDescent="0.3">
      <c r="R10027" s="255"/>
      <c r="S10027" s="255"/>
      <c r="T10027" s="255"/>
    </row>
    <row r="10028" spans="18:20" x14ac:dyDescent="0.3">
      <c r="R10028" s="255"/>
      <c r="S10028" s="255"/>
      <c r="T10028" s="255"/>
    </row>
    <row r="10029" spans="18:20" x14ac:dyDescent="0.3">
      <c r="R10029" s="255"/>
      <c r="S10029" s="255"/>
      <c r="T10029" s="255"/>
    </row>
    <row r="10030" spans="18:20" x14ac:dyDescent="0.3">
      <c r="R10030" s="255"/>
      <c r="S10030" s="255"/>
      <c r="T10030" s="255"/>
    </row>
    <row r="10031" spans="18:20" x14ac:dyDescent="0.3">
      <c r="R10031" s="255"/>
      <c r="S10031" s="255"/>
      <c r="T10031" s="255"/>
    </row>
    <row r="10032" spans="18:20" x14ac:dyDescent="0.3">
      <c r="R10032" s="255"/>
      <c r="S10032" s="255"/>
      <c r="T10032" s="255"/>
    </row>
    <row r="10033" spans="18:20" x14ac:dyDescent="0.3">
      <c r="R10033" s="255"/>
      <c r="S10033" s="255"/>
      <c r="T10033" s="255"/>
    </row>
    <row r="10034" spans="18:20" x14ac:dyDescent="0.3">
      <c r="R10034" s="255"/>
      <c r="S10034" s="255"/>
      <c r="T10034" s="255"/>
    </row>
    <row r="10035" spans="18:20" x14ac:dyDescent="0.3">
      <c r="R10035" s="255"/>
      <c r="S10035" s="255"/>
      <c r="T10035" s="255"/>
    </row>
    <row r="10036" spans="18:20" x14ac:dyDescent="0.3">
      <c r="R10036" s="255"/>
      <c r="S10036" s="255"/>
      <c r="T10036" s="255"/>
    </row>
    <row r="10037" spans="18:20" x14ac:dyDescent="0.3">
      <c r="R10037" s="255"/>
      <c r="S10037" s="255"/>
      <c r="T10037" s="255"/>
    </row>
    <row r="10038" spans="18:20" x14ac:dyDescent="0.3">
      <c r="R10038" s="255"/>
      <c r="S10038" s="255"/>
      <c r="T10038" s="255"/>
    </row>
    <row r="10039" spans="18:20" x14ac:dyDescent="0.3">
      <c r="R10039" s="255"/>
      <c r="S10039" s="255"/>
      <c r="T10039" s="255"/>
    </row>
    <row r="10040" spans="18:20" x14ac:dyDescent="0.3">
      <c r="R10040" s="255"/>
      <c r="S10040" s="255"/>
      <c r="T10040" s="255"/>
    </row>
    <row r="10041" spans="18:20" x14ac:dyDescent="0.3">
      <c r="R10041" s="255"/>
      <c r="S10041" s="255"/>
      <c r="T10041" s="255"/>
    </row>
    <row r="10042" spans="18:20" x14ac:dyDescent="0.3">
      <c r="R10042" s="255"/>
      <c r="S10042" s="255"/>
      <c r="T10042" s="255"/>
    </row>
    <row r="10043" spans="18:20" x14ac:dyDescent="0.3">
      <c r="R10043" s="255"/>
      <c r="S10043" s="255"/>
      <c r="T10043" s="255"/>
    </row>
    <row r="10044" spans="18:20" x14ac:dyDescent="0.3">
      <c r="R10044" s="255"/>
      <c r="S10044" s="255"/>
      <c r="T10044" s="255"/>
    </row>
    <row r="10045" spans="18:20" x14ac:dyDescent="0.3">
      <c r="R10045" s="255"/>
      <c r="S10045" s="255"/>
      <c r="T10045" s="255"/>
    </row>
    <row r="10046" spans="18:20" x14ac:dyDescent="0.3">
      <c r="R10046" s="255"/>
      <c r="S10046" s="255"/>
      <c r="T10046" s="255"/>
    </row>
    <row r="10047" spans="18:20" x14ac:dyDescent="0.3">
      <c r="R10047" s="255"/>
      <c r="S10047" s="255"/>
      <c r="T10047" s="255"/>
    </row>
    <row r="10048" spans="18:20" x14ac:dyDescent="0.3">
      <c r="R10048" s="255"/>
      <c r="S10048" s="255"/>
      <c r="T10048" s="255"/>
    </row>
    <row r="10049" spans="18:20" x14ac:dyDescent="0.3">
      <c r="R10049" s="255"/>
      <c r="S10049" s="255"/>
      <c r="T10049" s="255"/>
    </row>
    <row r="10050" spans="18:20" x14ac:dyDescent="0.3">
      <c r="R10050" s="255"/>
      <c r="S10050" s="255"/>
      <c r="T10050" s="255"/>
    </row>
    <row r="10051" spans="18:20" x14ac:dyDescent="0.3">
      <c r="R10051" s="255"/>
      <c r="S10051" s="255"/>
      <c r="T10051" s="255"/>
    </row>
    <row r="10052" spans="18:20" x14ac:dyDescent="0.3">
      <c r="R10052" s="255"/>
      <c r="S10052" s="255"/>
      <c r="T10052" s="255"/>
    </row>
    <row r="10053" spans="18:20" x14ac:dyDescent="0.3">
      <c r="R10053" s="255"/>
      <c r="S10053" s="255"/>
      <c r="T10053" s="255"/>
    </row>
    <row r="10054" spans="18:20" x14ac:dyDescent="0.3">
      <c r="R10054" s="255"/>
      <c r="S10054" s="255"/>
      <c r="T10054" s="255"/>
    </row>
    <row r="10055" spans="18:20" x14ac:dyDescent="0.3">
      <c r="R10055" s="255"/>
      <c r="S10055" s="255"/>
      <c r="T10055" s="255"/>
    </row>
    <row r="10056" spans="18:20" x14ac:dyDescent="0.3">
      <c r="R10056" s="255"/>
      <c r="S10056" s="255"/>
      <c r="T10056" s="255"/>
    </row>
    <row r="10057" spans="18:20" x14ac:dyDescent="0.3">
      <c r="R10057" s="255"/>
      <c r="S10057" s="255"/>
      <c r="T10057" s="255"/>
    </row>
    <row r="10058" spans="18:20" x14ac:dyDescent="0.3">
      <c r="R10058" s="255"/>
      <c r="S10058" s="255"/>
      <c r="T10058" s="255"/>
    </row>
    <row r="10059" spans="18:20" x14ac:dyDescent="0.3">
      <c r="R10059" s="255"/>
      <c r="S10059" s="255"/>
      <c r="T10059" s="255"/>
    </row>
    <row r="10060" spans="18:20" x14ac:dyDescent="0.3">
      <c r="R10060" s="255"/>
      <c r="S10060" s="255"/>
      <c r="T10060" s="255"/>
    </row>
    <row r="10061" spans="18:20" x14ac:dyDescent="0.3">
      <c r="R10061" s="255"/>
      <c r="S10061" s="255"/>
      <c r="T10061" s="255"/>
    </row>
    <row r="10062" spans="18:20" x14ac:dyDescent="0.3">
      <c r="R10062" s="255"/>
      <c r="S10062" s="255"/>
      <c r="T10062" s="255"/>
    </row>
    <row r="10063" spans="18:20" x14ac:dyDescent="0.3">
      <c r="R10063" s="255"/>
      <c r="S10063" s="255"/>
      <c r="T10063" s="255"/>
    </row>
    <row r="10064" spans="18:20" x14ac:dyDescent="0.3">
      <c r="R10064" s="255"/>
      <c r="S10064" s="255"/>
      <c r="T10064" s="255"/>
    </row>
    <row r="10065" spans="18:20" x14ac:dyDescent="0.3">
      <c r="R10065" s="255"/>
      <c r="S10065" s="255"/>
      <c r="T10065" s="255"/>
    </row>
    <row r="10066" spans="18:20" x14ac:dyDescent="0.3">
      <c r="R10066" s="255"/>
      <c r="S10066" s="255"/>
      <c r="T10066" s="255"/>
    </row>
    <row r="10067" spans="18:20" x14ac:dyDescent="0.3">
      <c r="R10067" s="255"/>
      <c r="S10067" s="255"/>
      <c r="T10067" s="255"/>
    </row>
    <row r="10068" spans="18:20" x14ac:dyDescent="0.3">
      <c r="R10068" s="255"/>
      <c r="S10068" s="255"/>
      <c r="T10068" s="255"/>
    </row>
    <row r="10069" spans="18:20" x14ac:dyDescent="0.3">
      <c r="R10069" s="255"/>
      <c r="S10069" s="255"/>
      <c r="T10069" s="255"/>
    </row>
    <row r="10070" spans="18:20" x14ac:dyDescent="0.3">
      <c r="R10070" s="255"/>
      <c r="S10070" s="255"/>
      <c r="T10070" s="255"/>
    </row>
    <row r="10071" spans="18:20" x14ac:dyDescent="0.3">
      <c r="R10071" s="255"/>
      <c r="S10071" s="255"/>
      <c r="T10071" s="255"/>
    </row>
    <row r="10072" spans="18:20" x14ac:dyDescent="0.3">
      <c r="R10072" s="255"/>
      <c r="S10072" s="255"/>
      <c r="T10072" s="255"/>
    </row>
    <row r="10073" spans="18:20" x14ac:dyDescent="0.3">
      <c r="R10073" s="255"/>
      <c r="S10073" s="255"/>
      <c r="T10073" s="255"/>
    </row>
    <row r="10074" spans="18:20" x14ac:dyDescent="0.3">
      <c r="R10074" s="255"/>
      <c r="S10074" s="255"/>
      <c r="T10074" s="255"/>
    </row>
    <row r="10075" spans="18:20" x14ac:dyDescent="0.3">
      <c r="R10075" s="255"/>
      <c r="S10075" s="255"/>
      <c r="T10075" s="255"/>
    </row>
    <row r="10076" spans="18:20" x14ac:dyDescent="0.3">
      <c r="R10076" s="255"/>
      <c r="S10076" s="255"/>
      <c r="T10076" s="255"/>
    </row>
    <row r="10077" spans="18:20" x14ac:dyDescent="0.3">
      <c r="R10077" s="255"/>
      <c r="S10077" s="255"/>
      <c r="T10077" s="255"/>
    </row>
    <row r="10078" spans="18:20" x14ac:dyDescent="0.3">
      <c r="R10078" s="255"/>
      <c r="S10078" s="255"/>
      <c r="T10078" s="255"/>
    </row>
    <row r="10079" spans="18:20" x14ac:dyDescent="0.3">
      <c r="R10079" s="255"/>
      <c r="S10079" s="255"/>
      <c r="T10079" s="255"/>
    </row>
    <row r="10080" spans="18:20" x14ac:dyDescent="0.3">
      <c r="R10080" s="255"/>
      <c r="S10080" s="255"/>
      <c r="T10080" s="255"/>
    </row>
    <row r="10081" spans="18:20" x14ac:dyDescent="0.3">
      <c r="R10081" s="255"/>
      <c r="S10081" s="255"/>
      <c r="T10081" s="255"/>
    </row>
    <row r="10082" spans="18:20" x14ac:dyDescent="0.3">
      <c r="R10082" s="255"/>
      <c r="S10082" s="255"/>
      <c r="T10082" s="255"/>
    </row>
    <row r="10083" spans="18:20" x14ac:dyDescent="0.3">
      <c r="R10083" s="255"/>
      <c r="S10083" s="255"/>
      <c r="T10083" s="255"/>
    </row>
    <row r="10084" spans="18:20" x14ac:dyDescent="0.3">
      <c r="R10084" s="255"/>
      <c r="S10084" s="255"/>
      <c r="T10084" s="255"/>
    </row>
    <row r="10085" spans="18:20" x14ac:dyDescent="0.3">
      <c r="R10085" s="255"/>
      <c r="S10085" s="255"/>
      <c r="T10085" s="255"/>
    </row>
    <row r="10086" spans="18:20" x14ac:dyDescent="0.3">
      <c r="R10086" s="255"/>
      <c r="S10086" s="255"/>
      <c r="T10086" s="255"/>
    </row>
    <row r="10087" spans="18:20" x14ac:dyDescent="0.3">
      <c r="R10087" s="255"/>
      <c r="S10087" s="255"/>
      <c r="T10087" s="255"/>
    </row>
    <row r="10088" spans="18:20" x14ac:dyDescent="0.3">
      <c r="R10088" s="255"/>
      <c r="S10088" s="255"/>
      <c r="T10088" s="255"/>
    </row>
    <row r="10089" spans="18:20" x14ac:dyDescent="0.3">
      <c r="R10089" s="255"/>
      <c r="S10089" s="255"/>
      <c r="T10089" s="255"/>
    </row>
    <row r="10090" spans="18:20" x14ac:dyDescent="0.3">
      <c r="R10090" s="255"/>
      <c r="S10090" s="255"/>
      <c r="T10090" s="255"/>
    </row>
    <row r="10091" spans="18:20" x14ac:dyDescent="0.3">
      <c r="R10091" s="255"/>
      <c r="S10091" s="255"/>
      <c r="T10091" s="255"/>
    </row>
    <row r="10092" spans="18:20" x14ac:dyDescent="0.3">
      <c r="R10092" s="255"/>
      <c r="S10092" s="255"/>
      <c r="T10092" s="255"/>
    </row>
    <row r="10093" spans="18:20" x14ac:dyDescent="0.3">
      <c r="R10093" s="255"/>
      <c r="S10093" s="255"/>
      <c r="T10093" s="255"/>
    </row>
    <row r="10094" spans="18:20" x14ac:dyDescent="0.3">
      <c r="R10094" s="255"/>
      <c r="S10094" s="255"/>
      <c r="T10094" s="255"/>
    </row>
    <row r="10095" spans="18:20" x14ac:dyDescent="0.3">
      <c r="R10095" s="255"/>
      <c r="S10095" s="255"/>
      <c r="T10095" s="255"/>
    </row>
    <row r="10096" spans="18:20" x14ac:dyDescent="0.3">
      <c r="R10096" s="255"/>
      <c r="S10096" s="255"/>
      <c r="T10096" s="255"/>
    </row>
    <row r="10097" spans="18:20" x14ac:dyDescent="0.3">
      <c r="R10097" s="255"/>
      <c r="S10097" s="255"/>
      <c r="T10097" s="255"/>
    </row>
    <row r="10098" spans="18:20" x14ac:dyDescent="0.3">
      <c r="R10098" s="255"/>
      <c r="S10098" s="255"/>
      <c r="T10098" s="255"/>
    </row>
    <row r="10099" spans="18:20" x14ac:dyDescent="0.3">
      <c r="R10099" s="255"/>
      <c r="S10099" s="255"/>
      <c r="T10099" s="255"/>
    </row>
    <row r="10100" spans="18:20" x14ac:dyDescent="0.3">
      <c r="R10100" s="255"/>
      <c r="S10100" s="255"/>
      <c r="T10100" s="255"/>
    </row>
    <row r="10101" spans="18:20" x14ac:dyDescent="0.3">
      <c r="R10101" s="255"/>
      <c r="S10101" s="255"/>
      <c r="T10101" s="255"/>
    </row>
    <row r="10102" spans="18:20" x14ac:dyDescent="0.3">
      <c r="R10102" s="255"/>
      <c r="S10102" s="255"/>
      <c r="T10102" s="255"/>
    </row>
    <row r="10103" spans="18:20" x14ac:dyDescent="0.3">
      <c r="R10103" s="255"/>
      <c r="S10103" s="255"/>
      <c r="T10103" s="255"/>
    </row>
    <row r="10104" spans="18:20" x14ac:dyDescent="0.3">
      <c r="R10104" s="255"/>
      <c r="S10104" s="255"/>
      <c r="T10104" s="255"/>
    </row>
    <row r="10105" spans="18:20" x14ac:dyDescent="0.3">
      <c r="R10105" s="255"/>
      <c r="S10105" s="255"/>
      <c r="T10105" s="255"/>
    </row>
    <row r="10106" spans="18:20" x14ac:dyDescent="0.3">
      <c r="R10106" s="255"/>
      <c r="S10106" s="255"/>
      <c r="T10106" s="255"/>
    </row>
    <row r="10107" spans="18:20" x14ac:dyDescent="0.3">
      <c r="R10107" s="255"/>
      <c r="S10107" s="255"/>
      <c r="T10107" s="255"/>
    </row>
    <row r="10108" spans="18:20" x14ac:dyDescent="0.3">
      <c r="R10108" s="255"/>
      <c r="S10108" s="255"/>
      <c r="T10108" s="255"/>
    </row>
    <row r="10109" spans="18:20" x14ac:dyDescent="0.3">
      <c r="R10109" s="255"/>
      <c r="S10109" s="255"/>
      <c r="T10109" s="255"/>
    </row>
    <row r="10110" spans="18:20" x14ac:dyDescent="0.3">
      <c r="R10110" s="255"/>
      <c r="S10110" s="255"/>
      <c r="T10110" s="255"/>
    </row>
    <row r="10111" spans="18:20" x14ac:dyDescent="0.3">
      <c r="R10111" s="255"/>
      <c r="S10111" s="255"/>
      <c r="T10111" s="255"/>
    </row>
    <row r="10112" spans="18:20" x14ac:dyDescent="0.3">
      <c r="R10112" s="255"/>
      <c r="S10112" s="255"/>
      <c r="T10112" s="255"/>
    </row>
    <row r="10113" spans="18:20" x14ac:dyDescent="0.3">
      <c r="R10113" s="255"/>
      <c r="S10113" s="255"/>
      <c r="T10113" s="255"/>
    </row>
    <row r="10114" spans="18:20" x14ac:dyDescent="0.3">
      <c r="R10114" s="255"/>
      <c r="S10114" s="255"/>
      <c r="T10114" s="255"/>
    </row>
    <row r="10115" spans="18:20" x14ac:dyDescent="0.3">
      <c r="R10115" s="255"/>
      <c r="S10115" s="255"/>
      <c r="T10115" s="255"/>
    </row>
    <row r="10116" spans="18:20" x14ac:dyDescent="0.3">
      <c r="R10116" s="255"/>
      <c r="S10116" s="255"/>
      <c r="T10116" s="255"/>
    </row>
    <row r="10117" spans="18:20" x14ac:dyDescent="0.3">
      <c r="R10117" s="255"/>
      <c r="S10117" s="255"/>
      <c r="T10117" s="255"/>
    </row>
    <row r="10118" spans="18:20" x14ac:dyDescent="0.3">
      <c r="R10118" s="255"/>
      <c r="S10118" s="255"/>
      <c r="T10118" s="255"/>
    </row>
    <row r="10119" spans="18:20" x14ac:dyDescent="0.3">
      <c r="R10119" s="255"/>
      <c r="S10119" s="255"/>
      <c r="T10119" s="255"/>
    </row>
    <row r="10120" spans="18:20" x14ac:dyDescent="0.3">
      <c r="R10120" s="255"/>
      <c r="S10120" s="255"/>
      <c r="T10120" s="255"/>
    </row>
    <row r="10121" spans="18:20" x14ac:dyDescent="0.3">
      <c r="R10121" s="255"/>
      <c r="S10121" s="255"/>
      <c r="T10121" s="255"/>
    </row>
    <row r="10122" spans="18:20" x14ac:dyDescent="0.3">
      <c r="R10122" s="255"/>
      <c r="S10122" s="255"/>
      <c r="T10122" s="255"/>
    </row>
    <row r="10123" spans="18:20" x14ac:dyDescent="0.3">
      <c r="R10123" s="255"/>
      <c r="S10123" s="255"/>
      <c r="T10123" s="255"/>
    </row>
    <row r="10124" spans="18:20" x14ac:dyDescent="0.3">
      <c r="R10124" s="255"/>
      <c r="S10124" s="255"/>
      <c r="T10124" s="255"/>
    </row>
    <row r="10125" spans="18:20" x14ac:dyDescent="0.3">
      <c r="R10125" s="255"/>
      <c r="S10125" s="255"/>
      <c r="T10125" s="255"/>
    </row>
    <row r="10126" spans="18:20" x14ac:dyDescent="0.3">
      <c r="R10126" s="255"/>
      <c r="S10126" s="255"/>
      <c r="T10126" s="255"/>
    </row>
    <row r="10127" spans="18:20" x14ac:dyDescent="0.3">
      <c r="R10127" s="255"/>
      <c r="S10127" s="255"/>
      <c r="T10127" s="255"/>
    </row>
    <row r="10128" spans="18:20" x14ac:dyDescent="0.3">
      <c r="R10128" s="255"/>
      <c r="S10128" s="255"/>
      <c r="T10128" s="255"/>
    </row>
    <row r="10129" spans="18:20" x14ac:dyDescent="0.3">
      <c r="R10129" s="255"/>
      <c r="S10129" s="255"/>
      <c r="T10129" s="255"/>
    </row>
    <row r="10130" spans="18:20" x14ac:dyDescent="0.3">
      <c r="R10130" s="255"/>
      <c r="S10130" s="255"/>
      <c r="T10130" s="255"/>
    </row>
    <row r="10131" spans="18:20" x14ac:dyDescent="0.3">
      <c r="R10131" s="255"/>
      <c r="S10131" s="255"/>
      <c r="T10131" s="255"/>
    </row>
    <row r="10132" spans="18:20" x14ac:dyDescent="0.3">
      <c r="R10132" s="255"/>
      <c r="S10132" s="255"/>
      <c r="T10132" s="255"/>
    </row>
    <row r="10133" spans="18:20" x14ac:dyDescent="0.3">
      <c r="R10133" s="255"/>
      <c r="S10133" s="255"/>
      <c r="T10133" s="255"/>
    </row>
    <row r="10134" spans="18:20" x14ac:dyDescent="0.3">
      <c r="R10134" s="255"/>
      <c r="S10134" s="255"/>
      <c r="T10134" s="255"/>
    </row>
    <row r="10135" spans="18:20" x14ac:dyDescent="0.3">
      <c r="R10135" s="255"/>
      <c r="S10135" s="255"/>
      <c r="T10135" s="255"/>
    </row>
    <row r="10136" spans="18:20" x14ac:dyDescent="0.3">
      <c r="R10136" s="255"/>
      <c r="S10136" s="255"/>
      <c r="T10136" s="255"/>
    </row>
    <row r="10137" spans="18:20" x14ac:dyDescent="0.3">
      <c r="R10137" s="255"/>
      <c r="S10137" s="255"/>
      <c r="T10137" s="255"/>
    </row>
    <row r="10138" spans="18:20" x14ac:dyDescent="0.3">
      <c r="R10138" s="255"/>
      <c r="S10138" s="255"/>
      <c r="T10138" s="255"/>
    </row>
    <row r="10139" spans="18:20" x14ac:dyDescent="0.3">
      <c r="R10139" s="255"/>
      <c r="S10139" s="255"/>
      <c r="T10139" s="255"/>
    </row>
    <row r="10140" spans="18:20" x14ac:dyDescent="0.3">
      <c r="R10140" s="255"/>
      <c r="S10140" s="255"/>
      <c r="T10140" s="255"/>
    </row>
    <row r="10141" spans="18:20" x14ac:dyDescent="0.3">
      <c r="R10141" s="255"/>
      <c r="S10141" s="255"/>
      <c r="T10141" s="255"/>
    </row>
    <row r="10142" spans="18:20" x14ac:dyDescent="0.3">
      <c r="R10142" s="255"/>
      <c r="S10142" s="255"/>
      <c r="T10142" s="255"/>
    </row>
    <row r="10143" spans="18:20" x14ac:dyDescent="0.3">
      <c r="R10143" s="255"/>
      <c r="S10143" s="255"/>
      <c r="T10143" s="255"/>
    </row>
    <row r="10144" spans="18:20" x14ac:dyDescent="0.3">
      <c r="R10144" s="255"/>
      <c r="S10144" s="255"/>
      <c r="T10144" s="255"/>
    </row>
    <row r="10145" spans="18:20" x14ac:dyDescent="0.3">
      <c r="R10145" s="255"/>
      <c r="S10145" s="255"/>
      <c r="T10145" s="255"/>
    </row>
    <row r="10146" spans="18:20" x14ac:dyDescent="0.3">
      <c r="R10146" s="255"/>
      <c r="S10146" s="255"/>
      <c r="T10146" s="255"/>
    </row>
    <row r="10147" spans="18:20" x14ac:dyDescent="0.3">
      <c r="R10147" s="255"/>
      <c r="S10147" s="255"/>
      <c r="T10147" s="255"/>
    </row>
    <row r="10148" spans="18:20" x14ac:dyDescent="0.3">
      <c r="R10148" s="255"/>
      <c r="S10148" s="255"/>
      <c r="T10148" s="255"/>
    </row>
    <row r="10149" spans="18:20" x14ac:dyDescent="0.3">
      <c r="R10149" s="255"/>
      <c r="S10149" s="255"/>
      <c r="T10149" s="255"/>
    </row>
    <row r="10150" spans="18:20" x14ac:dyDescent="0.3">
      <c r="R10150" s="255"/>
      <c r="S10150" s="255"/>
      <c r="T10150" s="255"/>
    </row>
    <row r="10151" spans="18:20" x14ac:dyDescent="0.3">
      <c r="R10151" s="255"/>
      <c r="S10151" s="255"/>
      <c r="T10151" s="255"/>
    </row>
    <row r="10152" spans="18:20" x14ac:dyDescent="0.3">
      <c r="R10152" s="255"/>
      <c r="S10152" s="255"/>
      <c r="T10152" s="255"/>
    </row>
    <row r="10153" spans="18:20" x14ac:dyDescent="0.3">
      <c r="R10153" s="255"/>
      <c r="S10153" s="255"/>
      <c r="T10153" s="255"/>
    </row>
    <row r="10154" spans="18:20" x14ac:dyDescent="0.3">
      <c r="R10154" s="255"/>
      <c r="S10154" s="255"/>
      <c r="T10154" s="255"/>
    </row>
    <row r="10155" spans="18:20" x14ac:dyDescent="0.3">
      <c r="R10155" s="255"/>
      <c r="S10155" s="255"/>
      <c r="T10155" s="255"/>
    </row>
    <row r="10156" spans="18:20" x14ac:dyDescent="0.3">
      <c r="R10156" s="255"/>
      <c r="S10156" s="255"/>
      <c r="T10156" s="255"/>
    </row>
    <row r="10157" spans="18:20" x14ac:dyDescent="0.3">
      <c r="R10157" s="255"/>
      <c r="S10157" s="255"/>
      <c r="T10157" s="255"/>
    </row>
    <row r="10158" spans="18:20" x14ac:dyDescent="0.3">
      <c r="R10158" s="255"/>
      <c r="S10158" s="255"/>
      <c r="T10158" s="255"/>
    </row>
    <row r="10159" spans="18:20" x14ac:dyDescent="0.3">
      <c r="R10159" s="255"/>
      <c r="S10159" s="255"/>
      <c r="T10159" s="255"/>
    </row>
    <row r="10160" spans="18:20" x14ac:dyDescent="0.3">
      <c r="R10160" s="255"/>
      <c r="S10160" s="255"/>
      <c r="T10160" s="255"/>
    </row>
    <row r="10161" spans="18:20" x14ac:dyDescent="0.3">
      <c r="R10161" s="255"/>
      <c r="S10161" s="255"/>
      <c r="T10161" s="255"/>
    </row>
    <row r="10162" spans="18:20" x14ac:dyDescent="0.3">
      <c r="R10162" s="255"/>
      <c r="S10162" s="255"/>
      <c r="T10162" s="255"/>
    </row>
    <row r="10163" spans="18:20" x14ac:dyDescent="0.3">
      <c r="R10163" s="255"/>
      <c r="S10163" s="255"/>
      <c r="T10163" s="255"/>
    </row>
    <row r="10164" spans="18:20" x14ac:dyDescent="0.3">
      <c r="R10164" s="255"/>
      <c r="S10164" s="255"/>
      <c r="T10164" s="255"/>
    </row>
    <row r="10165" spans="18:20" x14ac:dyDescent="0.3">
      <c r="R10165" s="255"/>
      <c r="S10165" s="255"/>
      <c r="T10165" s="255"/>
    </row>
    <row r="10166" spans="18:20" x14ac:dyDescent="0.3">
      <c r="R10166" s="255"/>
      <c r="S10166" s="255"/>
      <c r="T10166" s="255"/>
    </row>
    <row r="10167" spans="18:20" x14ac:dyDescent="0.3">
      <c r="R10167" s="255"/>
      <c r="S10167" s="255"/>
      <c r="T10167" s="255"/>
    </row>
    <row r="10168" spans="18:20" x14ac:dyDescent="0.3">
      <c r="R10168" s="255"/>
      <c r="S10168" s="255"/>
      <c r="T10168" s="255"/>
    </row>
    <row r="10169" spans="18:20" x14ac:dyDescent="0.3">
      <c r="R10169" s="255"/>
      <c r="S10169" s="255"/>
      <c r="T10169" s="255"/>
    </row>
    <row r="10170" spans="18:20" x14ac:dyDescent="0.3">
      <c r="R10170" s="255"/>
      <c r="S10170" s="255"/>
      <c r="T10170" s="255"/>
    </row>
    <row r="10171" spans="18:20" x14ac:dyDescent="0.3">
      <c r="R10171" s="255"/>
      <c r="S10171" s="255"/>
      <c r="T10171" s="255"/>
    </row>
    <row r="10172" spans="18:20" x14ac:dyDescent="0.3">
      <c r="R10172" s="255"/>
      <c r="S10172" s="255"/>
      <c r="T10172" s="255"/>
    </row>
    <row r="10173" spans="18:20" x14ac:dyDescent="0.3">
      <c r="R10173" s="255"/>
      <c r="S10173" s="255"/>
      <c r="T10173" s="255"/>
    </row>
    <row r="10174" spans="18:20" x14ac:dyDescent="0.3">
      <c r="R10174" s="255"/>
      <c r="S10174" s="255"/>
      <c r="T10174" s="255"/>
    </row>
    <row r="10175" spans="18:20" x14ac:dyDescent="0.3">
      <c r="R10175" s="255"/>
      <c r="S10175" s="255"/>
      <c r="T10175" s="255"/>
    </row>
    <row r="10176" spans="18:20" x14ac:dyDescent="0.3">
      <c r="R10176" s="255"/>
      <c r="S10176" s="255"/>
      <c r="T10176" s="255"/>
    </row>
    <row r="10177" spans="18:20" x14ac:dyDescent="0.3">
      <c r="R10177" s="255"/>
      <c r="S10177" s="255"/>
      <c r="T10177" s="255"/>
    </row>
    <row r="10178" spans="18:20" x14ac:dyDescent="0.3">
      <c r="R10178" s="255"/>
      <c r="S10178" s="255"/>
      <c r="T10178" s="255"/>
    </row>
    <row r="10179" spans="18:20" x14ac:dyDescent="0.3">
      <c r="R10179" s="255"/>
      <c r="S10179" s="255"/>
      <c r="T10179" s="255"/>
    </row>
    <row r="10180" spans="18:20" x14ac:dyDescent="0.3">
      <c r="R10180" s="255"/>
      <c r="S10180" s="255"/>
      <c r="T10180" s="255"/>
    </row>
    <row r="10181" spans="18:20" x14ac:dyDescent="0.3">
      <c r="R10181" s="255"/>
      <c r="S10181" s="255"/>
      <c r="T10181" s="255"/>
    </row>
    <row r="10182" spans="18:20" x14ac:dyDescent="0.3">
      <c r="R10182" s="255"/>
      <c r="S10182" s="255"/>
      <c r="T10182" s="255"/>
    </row>
    <row r="10183" spans="18:20" x14ac:dyDescent="0.3">
      <c r="R10183" s="255"/>
      <c r="S10183" s="255"/>
      <c r="T10183" s="255"/>
    </row>
    <row r="10184" spans="18:20" x14ac:dyDescent="0.3">
      <c r="R10184" s="255"/>
      <c r="S10184" s="255"/>
      <c r="T10184" s="255"/>
    </row>
    <row r="10185" spans="18:20" x14ac:dyDescent="0.3">
      <c r="R10185" s="255"/>
      <c r="S10185" s="255"/>
      <c r="T10185" s="255"/>
    </row>
    <row r="10186" spans="18:20" x14ac:dyDescent="0.3">
      <c r="R10186" s="255"/>
      <c r="S10186" s="255"/>
      <c r="T10186" s="255"/>
    </row>
    <row r="10187" spans="18:20" x14ac:dyDescent="0.3">
      <c r="R10187" s="255"/>
      <c r="S10187" s="255"/>
      <c r="T10187" s="255"/>
    </row>
    <row r="10188" spans="18:20" x14ac:dyDescent="0.3">
      <c r="R10188" s="255"/>
      <c r="S10188" s="255"/>
      <c r="T10188" s="255"/>
    </row>
    <row r="10189" spans="18:20" x14ac:dyDescent="0.3">
      <c r="R10189" s="255"/>
      <c r="S10189" s="255"/>
      <c r="T10189" s="255"/>
    </row>
    <row r="10190" spans="18:20" x14ac:dyDescent="0.3">
      <c r="R10190" s="255"/>
      <c r="S10190" s="255"/>
      <c r="T10190" s="255"/>
    </row>
    <row r="10191" spans="18:20" x14ac:dyDescent="0.3">
      <c r="R10191" s="255"/>
      <c r="S10191" s="255"/>
      <c r="T10191" s="255"/>
    </row>
    <row r="10192" spans="18:20" x14ac:dyDescent="0.3">
      <c r="R10192" s="255"/>
      <c r="S10192" s="255"/>
      <c r="T10192" s="255"/>
    </row>
    <row r="10193" spans="18:20" x14ac:dyDescent="0.3">
      <c r="R10193" s="255"/>
      <c r="S10193" s="255"/>
      <c r="T10193" s="255"/>
    </row>
    <row r="10194" spans="18:20" x14ac:dyDescent="0.3">
      <c r="R10194" s="255"/>
      <c r="S10194" s="255"/>
      <c r="T10194" s="255"/>
    </row>
    <row r="10195" spans="18:20" x14ac:dyDescent="0.3">
      <c r="R10195" s="255"/>
      <c r="S10195" s="255"/>
      <c r="T10195" s="255"/>
    </row>
    <row r="10196" spans="18:20" x14ac:dyDescent="0.3">
      <c r="R10196" s="255"/>
      <c r="S10196" s="255"/>
      <c r="T10196" s="255"/>
    </row>
    <row r="10197" spans="18:20" x14ac:dyDescent="0.3">
      <c r="R10197" s="255"/>
      <c r="S10197" s="255"/>
      <c r="T10197" s="255"/>
    </row>
    <row r="10198" spans="18:20" x14ac:dyDescent="0.3">
      <c r="R10198" s="255"/>
      <c r="S10198" s="255"/>
      <c r="T10198" s="255"/>
    </row>
    <row r="10199" spans="18:20" x14ac:dyDescent="0.3">
      <c r="R10199" s="255"/>
      <c r="S10199" s="255"/>
      <c r="T10199" s="255"/>
    </row>
    <row r="10200" spans="18:20" x14ac:dyDescent="0.3">
      <c r="R10200" s="255"/>
      <c r="S10200" s="255"/>
      <c r="T10200" s="255"/>
    </row>
    <row r="10201" spans="18:20" x14ac:dyDescent="0.3">
      <c r="R10201" s="255"/>
      <c r="S10201" s="255"/>
      <c r="T10201" s="255"/>
    </row>
    <row r="10202" spans="18:20" x14ac:dyDescent="0.3">
      <c r="R10202" s="255"/>
      <c r="S10202" s="255"/>
      <c r="T10202" s="255"/>
    </row>
    <row r="10203" spans="18:20" x14ac:dyDescent="0.3">
      <c r="R10203" s="255"/>
      <c r="S10203" s="255"/>
      <c r="T10203" s="255"/>
    </row>
    <row r="10204" spans="18:20" x14ac:dyDescent="0.3">
      <c r="R10204" s="255"/>
      <c r="S10204" s="255"/>
      <c r="T10204" s="255"/>
    </row>
    <row r="10205" spans="18:20" x14ac:dyDescent="0.3">
      <c r="R10205" s="255"/>
      <c r="S10205" s="255"/>
      <c r="T10205" s="255"/>
    </row>
    <row r="10206" spans="18:20" x14ac:dyDescent="0.3">
      <c r="R10206" s="255"/>
      <c r="S10206" s="255"/>
      <c r="T10206" s="255"/>
    </row>
    <row r="10207" spans="18:20" x14ac:dyDescent="0.3">
      <c r="R10207" s="255"/>
      <c r="S10207" s="255"/>
      <c r="T10207" s="255"/>
    </row>
    <row r="10208" spans="18:20" x14ac:dyDescent="0.3">
      <c r="R10208" s="255"/>
      <c r="S10208" s="255"/>
      <c r="T10208" s="255"/>
    </row>
    <row r="10209" spans="18:20" x14ac:dyDescent="0.3">
      <c r="R10209" s="255"/>
      <c r="S10209" s="255"/>
      <c r="T10209" s="255"/>
    </row>
    <row r="10210" spans="18:20" x14ac:dyDescent="0.3">
      <c r="R10210" s="255"/>
      <c r="S10210" s="255"/>
      <c r="T10210" s="255"/>
    </row>
    <row r="10211" spans="18:20" x14ac:dyDescent="0.3">
      <c r="R10211" s="255"/>
      <c r="S10211" s="255"/>
      <c r="T10211" s="255"/>
    </row>
    <row r="10212" spans="18:20" x14ac:dyDescent="0.3">
      <c r="R10212" s="255"/>
      <c r="S10212" s="255"/>
      <c r="T10212" s="255"/>
    </row>
    <row r="10213" spans="18:20" x14ac:dyDescent="0.3">
      <c r="R10213" s="255"/>
      <c r="S10213" s="255"/>
      <c r="T10213" s="255"/>
    </row>
    <row r="10214" spans="18:20" x14ac:dyDescent="0.3">
      <c r="R10214" s="255"/>
      <c r="S10214" s="255"/>
      <c r="T10214" s="255"/>
    </row>
    <row r="10215" spans="18:20" x14ac:dyDescent="0.3">
      <c r="R10215" s="255"/>
      <c r="S10215" s="255"/>
      <c r="T10215" s="255"/>
    </row>
    <row r="10216" spans="18:20" x14ac:dyDescent="0.3">
      <c r="R10216" s="255"/>
      <c r="S10216" s="255"/>
      <c r="T10216" s="255"/>
    </row>
    <row r="10217" spans="18:20" x14ac:dyDescent="0.3">
      <c r="R10217" s="255"/>
      <c r="S10217" s="255"/>
      <c r="T10217" s="255"/>
    </row>
    <row r="10218" spans="18:20" x14ac:dyDescent="0.3">
      <c r="R10218" s="255"/>
      <c r="S10218" s="255"/>
      <c r="T10218" s="255"/>
    </row>
    <row r="10219" spans="18:20" x14ac:dyDescent="0.3">
      <c r="R10219" s="255"/>
      <c r="S10219" s="255"/>
      <c r="T10219" s="255"/>
    </row>
    <row r="10220" spans="18:20" x14ac:dyDescent="0.3">
      <c r="R10220" s="255"/>
      <c r="S10220" s="255"/>
      <c r="T10220" s="255"/>
    </row>
    <row r="10221" spans="18:20" x14ac:dyDescent="0.3">
      <c r="R10221" s="255"/>
      <c r="S10221" s="255"/>
      <c r="T10221" s="255"/>
    </row>
    <row r="10222" spans="18:20" x14ac:dyDescent="0.3">
      <c r="R10222" s="255"/>
      <c r="S10222" s="255"/>
      <c r="T10222" s="255"/>
    </row>
    <row r="10223" spans="18:20" x14ac:dyDescent="0.3">
      <c r="R10223" s="255"/>
      <c r="S10223" s="255"/>
      <c r="T10223" s="255"/>
    </row>
    <row r="10224" spans="18:20" x14ac:dyDescent="0.3">
      <c r="R10224" s="255"/>
      <c r="S10224" s="255"/>
      <c r="T10224" s="255"/>
    </row>
    <row r="10225" spans="18:20" x14ac:dyDescent="0.3">
      <c r="R10225" s="255"/>
      <c r="S10225" s="255"/>
      <c r="T10225" s="255"/>
    </row>
    <row r="10226" spans="18:20" x14ac:dyDescent="0.3">
      <c r="R10226" s="255"/>
      <c r="S10226" s="255"/>
      <c r="T10226" s="255"/>
    </row>
    <row r="10227" spans="18:20" x14ac:dyDescent="0.3">
      <c r="R10227" s="255"/>
      <c r="S10227" s="255"/>
      <c r="T10227" s="255"/>
    </row>
    <row r="10228" spans="18:20" x14ac:dyDescent="0.3">
      <c r="R10228" s="255"/>
      <c r="S10228" s="255"/>
      <c r="T10228" s="255"/>
    </row>
    <row r="10229" spans="18:20" x14ac:dyDescent="0.3">
      <c r="R10229" s="255"/>
      <c r="S10229" s="255"/>
      <c r="T10229" s="255"/>
    </row>
    <row r="10230" spans="18:20" x14ac:dyDescent="0.3">
      <c r="R10230" s="255"/>
      <c r="S10230" s="255"/>
      <c r="T10230" s="255"/>
    </row>
    <row r="10231" spans="18:20" x14ac:dyDescent="0.3">
      <c r="R10231" s="255"/>
      <c r="S10231" s="255"/>
      <c r="T10231" s="255"/>
    </row>
    <row r="10232" spans="18:20" x14ac:dyDescent="0.3">
      <c r="R10232" s="255"/>
      <c r="S10232" s="255"/>
      <c r="T10232" s="255"/>
    </row>
    <row r="10233" spans="18:20" x14ac:dyDescent="0.3">
      <c r="R10233" s="255"/>
      <c r="S10233" s="255"/>
      <c r="T10233" s="255"/>
    </row>
    <row r="10234" spans="18:20" x14ac:dyDescent="0.3">
      <c r="R10234" s="255"/>
      <c r="S10234" s="255"/>
      <c r="T10234" s="255"/>
    </row>
    <row r="10235" spans="18:20" x14ac:dyDescent="0.3">
      <c r="R10235" s="255"/>
      <c r="S10235" s="255"/>
      <c r="T10235" s="255"/>
    </row>
    <row r="10236" spans="18:20" x14ac:dyDescent="0.3">
      <c r="R10236" s="255"/>
      <c r="S10236" s="255"/>
      <c r="T10236" s="255"/>
    </row>
    <row r="10237" spans="18:20" x14ac:dyDescent="0.3">
      <c r="R10237" s="255"/>
      <c r="S10237" s="255"/>
      <c r="T10237" s="255"/>
    </row>
    <row r="10238" spans="18:20" x14ac:dyDescent="0.3">
      <c r="R10238" s="255"/>
      <c r="S10238" s="255"/>
      <c r="T10238" s="255"/>
    </row>
    <row r="10239" spans="18:20" x14ac:dyDescent="0.3">
      <c r="R10239" s="255"/>
      <c r="S10239" s="255"/>
      <c r="T10239" s="255"/>
    </row>
    <row r="10240" spans="18:20" x14ac:dyDescent="0.3">
      <c r="R10240" s="255"/>
      <c r="S10240" s="255"/>
      <c r="T10240" s="255"/>
    </row>
    <row r="10241" spans="18:20" x14ac:dyDescent="0.3">
      <c r="R10241" s="255"/>
      <c r="S10241" s="255"/>
      <c r="T10241" s="255"/>
    </row>
    <row r="10242" spans="18:20" x14ac:dyDescent="0.3">
      <c r="R10242" s="255"/>
      <c r="S10242" s="255"/>
      <c r="T10242" s="255"/>
    </row>
    <row r="10243" spans="18:20" x14ac:dyDescent="0.3">
      <c r="R10243" s="255"/>
      <c r="S10243" s="255"/>
      <c r="T10243" s="255"/>
    </row>
    <row r="10244" spans="18:20" x14ac:dyDescent="0.3">
      <c r="R10244" s="255"/>
      <c r="S10244" s="255"/>
      <c r="T10244" s="255"/>
    </row>
    <row r="10245" spans="18:20" x14ac:dyDescent="0.3">
      <c r="R10245" s="255"/>
      <c r="S10245" s="255"/>
      <c r="T10245" s="255"/>
    </row>
    <row r="10246" spans="18:20" x14ac:dyDescent="0.3">
      <c r="R10246" s="255"/>
      <c r="S10246" s="255"/>
      <c r="T10246" s="255"/>
    </row>
    <row r="10247" spans="18:20" x14ac:dyDescent="0.3">
      <c r="R10247" s="255"/>
      <c r="S10247" s="255"/>
      <c r="T10247" s="255"/>
    </row>
    <row r="10248" spans="18:20" x14ac:dyDescent="0.3">
      <c r="R10248" s="255"/>
      <c r="S10248" s="255"/>
      <c r="T10248" s="255"/>
    </row>
    <row r="10249" spans="18:20" x14ac:dyDescent="0.3">
      <c r="R10249" s="255"/>
      <c r="S10249" s="255"/>
      <c r="T10249" s="255"/>
    </row>
    <row r="10250" spans="18:20" x14ac:dyDescent="0.3">
      <c r="R10250" s="255"/>
      <c r="S10250" s="255"/>
      <c r="T10250" s="255"/>
    </row>
    <row r="10251" spans="18:20" x14ac:dyDescent="0.3">
      <c r="R10251" s="255"/>
      <c r="S10251" s="255"/>
      <c r="T10251" s="255"/>
    </row>
    <row r="10252" spans="18:20" x14ac:dyDescent="0.3">
      <c r="R10252" s="255"/>
      <c r="S10252" s="255"/>
      <c r="T10252" s="255"/>
    </row>
    <row r="10253" spans="18:20" x14ac:dyDescent="0.3">
      <c r="R10253" s="255"/>
      <c r="S10253" s="255"/>
      <c r="T10253" s="255"/>
    </row>
    <row r="10254" spans="18:20" x14ac:dyDescent="0.3">
      <c r="R10254" s="255"/>
      <c r="S10254" s="255"/>
      <c r="T10254" s="255"/>
    </row>
    <row r="10255" spans="18:20" x14ac:dyDescent="0.3">
      <c r="R10255" s="255"/>
      <c r="S10255" s="255"/>
      <c r="T10255" s="255"/>
    </row>
    <row r="10256" spans="18:20" x14ac:dyDescent="0.3">
      <c r="R10256" s="255"/>
      <c r="S10256" s="255"/>
      <c r="T10256" s="255"/>
    </row>
    <row r="10257" spans="18:20" x14ac:dyDescent="0.3">
      <c r="R10257" s="255"/>
      <c r="S10257" s="255"/>
      <c r="T10257" s="255"/>
    </row>
    <row r="10258" spans="18:20" x14ac:dyDescent="0.3">
      <c r="R10258" s="255"/>
      <c r="S10258" s="255"/>
      <c r="T10258" s="255"/>
    </row>
    <row r="10259" spans="18:20" x14ac:dyDescent="0.3">
      <c r="R10259" s="255"/>
      <c r="S10259" s="255"/>
      <c r="T10259" s="255"/>
    </row>
    <row r="10260" spans="18:20" x14ac:dyDescent="0.3">
      <c r="R10260" s="255"/>
      <c r="S10260" s="255"/>
      <c r="T10260" s="255"/>
    </row>
    <row r="10261" spans="18:20" x14ac:dyDescent="0.3">
      <c r="R10261" s="255"/>
      <c r="S10261" s="255"/>
      <c r="T10261" s="255"/>
    </row>
    <row r="10262" spans="18:20" x14ac:dyDescent="0.3">
      <c r="R10262" s="255"/>
      <c r="S10262" s="255"/>
      <c r="T10262" s="255"/>
    </row>
    <row r="10263" spans="18:20" x14ac:dyDescent="0.3">
      <c r="R10263" s="255"/>
      <c r="S10263" s="255"/>
      <c r="T10263" s="255"/>
    </row>
    <row r="10264" spans="18:20" x14ac:dyDescent="0.3">
      <c r="R10264" s="255"/>
      <c r="S10264" s="255"/>
      <c r="T10264" s="255"/>
    </row>
    <row r="10265" spans="18:20" x14ac:dyDescent="0.3">
      <c r="R10265" s="255"/>
      <c r="S10265" s="255"/>
      <c r="T10265" s="255"/>
    </row>
    <row r="10266" spans="18:20" x14ac:dyDescent="0.3">
      <c r="R10266" s="255"/>
      <c r="S10266" s="255"/>
      <c r="T10266" s="255"/>
    </row>
    <row r="10267" spans="18:20" x14ac:dyDescent="0.3">
      <c r="R10267" s="255"/>
      <c r="S10267" s="255"/>
      <c r="T10267" s="255"/>
    </row>
    <row r="10268" spans="18:20" x14ac:dyDescent="0.3">
      <c r="R10268" s="255"/>
      <c r="S10268" s="255"/>
      <c r="T10268" s="255"/>
    </row>
    <row r="10269" spans="18:20" x14ac:dyDescent="0.3">
      <c r="R10269" s="255"/>
      <c r="S10269" s="255"/>
      <c r="T10269" s="255"/>
    </row>
    <row r="10270" spans="18:20" x14ac:dyDescent="0.3">
      <c r="R10270" s="255"/>
      <c r="S10270" s="255"/>
      <c r="T10270" s="255"/>
    </row>
    <row r="10271" spans="18:20" x14ac:dyDescent="0.3">
      <c r="R10271" s="255"/>
      <c r="S10271" s="255"/>
      <c r="T10271" s="255"/>
    </row>
    <row r="10272" spans="18:20" x14ac:dyDescent="0.3">
      <c r="R10272" s="255"/>
      <c r="S10272" s="255"/>
      <c r="T10272" s="255"/>
    </row>
    <row r="10273" spans="18:20" x14ac:dyDescent="0.3">
      <c r="R10273" s="255"/>
      <c r="S10273" s="255"/>
      <c r="T10273" s="255"/>
    </row>
    <row r="10274" spans="18:20" x14ac:dyDescent="0.3">
      <c r="R10274" s="255"/>
      <c r="S10274" s="255"/>
      <c r="T10274" s="255"/>
    </row>
    <row r="10275" spans="18:20" x14ac:dyDescent="0.3">
      <c r="R10275" s="255"/>
      <c r="S10275" s="255"/>
      <c r="T10275" s="255"/>
    </row>
    <row r="10276" spans="18:20" x14ac:dyDescent="0.3">
      <c r="R10276" s="255"/>
      <c r="S10276" s="255"/>
      <c r="T10276" s="255"/>
    </row>
    <row r="10277" spans="18:20" x14ac:dyDescent="0.3">
      <c r="R10277" s="255"/>
      <c r="S10277" s="255"/>
      <c r="T10277" s="255"/>
    </row>
    <row r="10278" spans="18:20" x14ac:dyDescent="0.3">
      <c r="R10278" s="255"/>
      <c r="S10278" s="255"/>
      <c r="T10278" s="255"/>
    </row>
    <row r="10279" spans="18:20" x14ac:dyDescent="0.3">
      <c r="R10279" s="255"/>
      <c r="S10279" s="255"/>
      <c r="T10279" s="255"/>
    </row>
    <row r="10280" spans="18:20" x14ac:dyDescent="0.3">
      <c r="R10280" s="255"/>
      <c r="S10280" s="255"/>
      <c r="T10280" s="255"/>
    </row>
    <row r="10281" spans="18:20" x14ac:dyDescent="0.3">
      <c r="R10281" s="255"/>
      <c r="S10281" s="255"/>
      <c r="T10281" s="255"/>
    </row>
    <row r="10282" spans="18:20" x14ac:dyDescent="0.3">
      <c r="R10282" s="255"/>
      <c r="S10282" s="255"/>
      <c r="T10282" s="255"/>
    </row>
    <row r="10283" spans="18:20" x14ac:dyDescent="0.3">
      <c r="R10283" s="255"/>
      <c r="S10283" s="255"/>
      <c r="T10283" s="255"/>
    </row>
    <row r="10284" spans="18:20" x14ac:dyDescent="0.3">
      <c r="R10284" s="255"/>
      <c r="S10284" s="255"/>
      <c r="T10284" s="255"/>
    </row>
    <row r="10285" spans="18:20" x14ac:dyDescent="0.3">
      <c r="R10285" s="255"/>
      <c r="S10285" s="255"/>
      <c r="T10285" s="255"/>
    </row>
    <row r="10286" spans="18:20" x14ac:dyDescent="0.3">
      <c r="R10286" s="255"/>
      <c r="S10286" s="255"/>
      <c r="T10286" s="255"/>
    </row>
    <row r="10287" spans="18:20" x14ac:dyDescent="0.3">
      <c r="R10287" s="255"/>
      <c r="S10287" s="255"/>
      <c r="T10287" s="255"/>
    </row>
    <row r="10288" spans="18:20" x14ac:dyDescent="0.3">
      <c r="R10288" s="255"/>
      <c r="S10288" s="255"/>
      <c r="T10288" s="255"/>
    </row>
    <row r="10289" spans="18:20" x14ac:dyDescent="0.3">
      <c r="R10289" s="255"/>
      <c r="S10289" s="255"/>
      <c r="T10289" s="255"/>
    </row>
    <row r="10290" spans="18:20" x14ac:dyDescent="0.3">
      <c r="R10290" s="255"/>
      <c r="S10290" s="255"/>
      <c r="T10290" s="255"/>
    </row>
    <row r="10291" spans="18:20" x14ac:dyDescent="0.3">
      <c r="R10291" s="255"/>
      <c r="S10291" s="255"/>
      <c r="T10291" s="255"/>
    </row>
    <row r="10292" spans="18:20" x14ac:dyDescent="0.3">
      <c r="R10292" s="255"/>
      <c r="S10292" s="255"/>
      <c r="T10292" s="255"/>
    </row>
    <row r="10293" spans="18:20" x14ac:dyDescent="0.3">
      <c r="R10293" s="255"/>
      <c r="S10293" s="255"/>
      <c r="T10293" s="255"/>
    </row>
    <row r="10294" spans="18:20" x14ac:dyDescent="0.3">
      <c r="R10294" s="255"/>
      <c r="S10294" s="255"/>
      <c r="T10294" s="255"/>
    </row>
    <row r="10295" spans="18:20" x14ac:dyDescent="0.3">
      <c r="R10295" s="255"/>
      <c r="S10295" s="255"/>
      <c r="T10295" s="255"/>
    </row>
    <row r="10296" spans="18:20" x14ac:dyDescent="0.3">
      <c r="R10296" s="255"/>
      <c r="S10296" s="255"/>
      <c r="T10296" s="255"/>
    </row>
    <row r="10297" spans="18:20" x14ac:dyDescent="0.3">
      <c r="R10297" s="255"/>
      <c r="S10297" s="255"/>
      <c r="T10297" s="255"/>
    </row>
    <row r="10298" spans="18:20" x14ac:dyDescent="0.3">
      <c r="R10298" s="255"/>
      <c r="S10298" s="255"/>
      <c r="T10298" s="255"/>
    </row>
    <row r="10299" spans="18:20" x14ac:dyDescent="0.3">
      <c r="R10299" s="255"/>
      <c r="S10299" s="255"/>
      <c r="T10299" s="255"/>
    </row>
    <row r="10300" spans="18:20" x14ac:dyDescent="0.3">
      <c r="R10300" s="255"/>
      <c r="S10300" s="255"/>
      <c r="T10300" s="255"/>
    </row>
    <row r="10301" spans="18:20" x14ac:dyDescent="0.3">
      <c r="R10301" s="255"/>
      <c r="S10301" s="255"/>
      <c r="T10301" s="255"/>
    </row>
    <row r="10302" spans="18:20" x14ac:dyDescent="0.3">
      <c r="R10302" s="255"/>
      <c r="S10302" s="255"/>
      <c r="T10302" s="255"/>
    </row>
    <row r="10303" spans="18:20" x14ac:dyDescent="0.3">
      <c r="R10303" s="255"/>
      <c r="S10303" s="255"/>
      <c r="T10303" s="255"/>
    </row>
    <row r="10304" spans="18:20" x14ac:dyDescent="0.3">
      <c r="R10304" s="255"/>
      <c r="S10304" s="255"/>
      <c r="T10304" s="255"/>
    </row>
    <row r="10305" spans="18:20" x14ac:dyDescent="0.3">
      <c r="R10305" s="255"/>
      <c r="S10305" s="255"/>
      <c r="T10305" s="255"/>
    </row>
    <row r="10306" spans="18:20" x14ac:dyDescent="0.3">
      <c r="R10306" s="255"/>
      <c r="S10306" s="255"/>
      <c r="T10306" s="255"/>
    </row>
    <row r="10307" spans="18:20" x14ac:dyDescent="0.3">
      <c r="R10307" s="255"/>
      <c r="S10307" s="255"/>
      <c r="T10307" s="255"/>
    </row>
    <row r="10308" spans="18:20" x14ac:dyDescent="0.3">
      <c r="R10308" s="255"/>
      <c r="S10308" s="255"/>
      <c r="T10308" s="255"/>
    </row>
    <row r="10309" spans="18:20" x14ac:dyDescent="0.3">
      <c r="R10309" s="255"/>
      <c r="S10309" s="255"/>
      <c r="T10309" s="255"/>
    </row>
    <row r="10310" spans="18:20" x14ac:dyDescent="0.3">
      <c r="R10310" s="255"/>
      <c r="S10310" s="255"/>
      <c r="T10310" s="255"/>
    </row>
    <row r="10311" spans="18:20" x14ac:dyDescent="0.3">
      <c r="R10311" s="255"/>
      <c r="S10311" s="255"/>
      <c r="T10311" s="255"/>
    </row>
    <row r="10312" spans="18:20" x14ac:dyDescent="0.3">
      <c r="R10312" s="255"/>
      <c r="S10312" s="255"/>
      <c r="T10312" s="255"/>
    </row>
    <row r="10313" spans="18:20" x14ac:dyDescent="0.3">
      <c r="R10313" s="255"/>
      <c r="S10313" s="255"/>
      <c r="T10313" s="255"/>
    </row>
    <row r="10314" spans="18:20" x14ac:dyDescent="0.3">
      <c r="R10314" s="255"/>
      <c r="S10314" s="255"/>
      <c r="T10314" s="255"/>
    </row>
    <row r="10315" spans="18:20" x14ac:dyDescent="0.3">
      <c r="R10315" s="255"/>
      <c r="S10315" s="255"/>
      <c r="T10315" s="255"/>
    </row>
    <row r="10316" spans="18:20" x14ac:dyDescent="0.3">
      <c r="R10316" s="255"/>
      <c r="S10316" s="255"/>
      <c r="T10316" s="255"/>
    </row>
    <row r="10317" spans="18:20" x14ac:dyDescent="0.3">
      <c r="R10317" s="255"/>
      <c r="S10317" s="255"/>
      <c r="T10317" s="255"/>
    </row>
    <row r="10318" spans="18:20" x14ac:dyDescent="0.3">
      <c r="R10318" s="255"/>
      <c r="S10318" s="255"/>
      <c r="T10318" s="255"/>
    </row>
    <row r="10319" spans="18:20" x14ac:dyDescent="0.3">
      <c r="R10319" s="255"/>
      <c r="S10319" s="255"/>
      <c r="T10319" s="255"/>
    </row>
    <row r="10320" spans="18:20" x14ac:dyDescent="0.3">
      <c r="R10320" s="255"/>
      <c r="S10320" s="255"/>
      <c r="T10320" s="255"/>
    </row>
    <row r="10321" spans="18:20" x14ac:dyDescent="0.3">
      <c r="R10321" s="255"/>
      <c r="S10321" s="255"/>
      <c r="T10321" s="255"/>
    </row>
    <row r="10322" spans="18:20" x14ac:dyDescent="0.3">
      <c r="R10322" s="255"/>
      <c r="S10322" s="255"/>
      <c r="T10322" s="255"/>
    </row>
    <row r="10323" spans="18:20" x14ac:dyDescent="0.3">
      <c r="R10323" s="255"/>
      <c r="S10323" s="255"/>
      <c r="T10323" s="255"/>
    </row>
    <row r="10324" spans="18:20" x14ac:dyDescent="0.3">
      <c r="R10324" s="255"/>
      <c r="S10324" s="255"/>
      <c r="T10324" s="255"/>
    </row>
    <row r="10325" spans="18:20" x14ac:dyDescent="0.3">
      <c r="R10325" s="255"/>
      <c r="S10325" s="255"/>
      <c r="T10325" s="255"/>
    </row>
    <row r="10326" spans="18:20" x14ac:dyDescent="0.3">
      <c r="R10326" s="255"/>
      <c r="S10326" s="255"/>
      <c r="T10326" s="255"/>
    </row>
    <row r="10327" spans="18:20" x14ac:dyDescent="0.3">
      <c r="R10327" s="255"/>
      <c r="S10327" s="255"/>
      <c r="T10327" s="255"/>
    </row>
    <row r="10328" spans="18:20" x14ac:dyDescent="0.3">
      <c r="R10328" s="255"/>
      <c r="S10328" s="255"/>
      <c r="T10328" s="255"/>
    </row>
    <row r="10329" spans="18:20" x14ac:dyDescent="0.3">
      <c r="R10329" s="255"/>
      <c r="S10329" s="255"/>
      <c r="T10329" s="255"/>
    </row>
    <row r="10330" spans="18:20" x14ac:dyDescent="0.3">
      <c r="R10330" s="255"/>
      <c r="S10330" s="255"/>
      <c r="T10330" s="255"/>
    </row>
    <row r="10331" spans="18:20" x14ac:dyDescent="0.3">
      <c r="R10331" s="255"/>
      <c r="S10331" s="255"/>
      <c r="T10331" s="255"/>
    </row>
    <row r="10332" spans="18:20" x14ac:dyDescent="0.3">
      <c r="R10332" s="255"/>
      <c r="S10332" s="255"/>
      <c r="T10332" s="255"/>
    </row>
    <row r="10333" spans="18:20" x14ac:dyDescent="0.3">
      <c r="R10333" s="255"/>
      <c r="S10333" s="255"/>
      <c r="T10333" s="255"/>
    </row>
    <row r="10334" spans="18:20" x14ac:dyDescent="0.3">
      <c r="R10334" s="255"/>
      <c r="S10334" s="255"/>
      <c r="T10334" s="255"/>
    </row>
    <row r="10335" spans="18:20" x14ac:dyDescent="0.3">
      <c r="R10335" s="255"/>
      <c r="S10335" s="255"/>
      <c r="T10335" s="255"/>
    </row>
    <row r="10336" spans="18:20" x14ac:dyDescent="0.3">
      <c r="R10336" s="255"/>
      <c r="S10336" s="255"/>
      <c r="T10336" s="255"/>
    </row>
    <row r="10337" spans="18:20" x14ac:dyDescent="0.3">
      <c r="R10337" s="255"/>
      <c r="S10337" s="255"/>
      <c r="T10337" s="255"/>
    </row>
    <row r="10338" spans="18:20" x14ac:dyDescent="0.3">
      <c r="R10338" s="255"/>
      <c r="S10338" s="255"/>
      <c r="T10338" s="255"/>
    </row>
    <row r="10339" spans="18:20" x14ac:dyDescent="0.3">
      <c r="R10339" s="255"/>
      <c r="S10339" s="255"/>
      <c r="T10339" s="255"/>
    </row>
    <row r="10340" spans="18:20" x14ac:dyDescent="0.3">
      <c r="R10340" s="255"/>
      <c r="S10340" s="255"/>
      <c r="T10340" s="255"/>
    </row>
    <row r="10341" spans="18:20" x14ac:dyDescent="0.3">
      <c r="R10341" s="255"/>
      <c r="S10341" s="255"/>
      <c r="T10341" s="255"/>
    </row>
    <row r="10342" spans="18:20" x14ac:dyDescent="0.3">
      <c r="R10342" s="255"/>
      <c r="S10342" s="255"/>
      <c r="T10342" s="255"/>
    </row>
    <row r="10343" spans="18:20" x14ac:dyDescent="0.3">
      <c r="R10343" s="255"/>
      <c r="S10343" s="255"/>
      <c r="T10343" s="255"/>
    </row>
    <row r="10344" spans="18:20" x14ac:dyDescent="0.3">
      <c r="R10344" s="255"/>
      <c r="S10344" s="255"/>
      <c r="T10344" s="255"/>
    </row>
    <row r="10345" spans="18:20" x14ac:dyDescent="0.3">
      <c r="R10345" s="255"/>
      <c r="S10345" s="255"/>
      <c r="T10345" s="255"/>
    </row>
    <row r="10346" spans="18:20" x14ac:dyDescent="0.3">
      <c r="R10346" s="255"/>
      <c r="S10346" s="255"/>
      <c r="T10346" s="255"/>
    </row>
    <row r="10347" spans="18:20" x14ac:dyDescent="0.3">
      <c r="R10347" s="255"/>
      <c r="S10347" s="255"/>
      <c r="T10347" s="255"/>
    </row>
    <row r="10348" spans="18:20" x14ac:dyDescent="0.3">
      <c r="R10348" s="255"/>
      <c r="S10348" s="255"/>
      <c r="T10348" s="255"/>
    </row>
    <row r="10349" spans="18:20" x14ac:dyDescent="0.3">
      <c r="R10349" s="255"/>
      <c r="S10349" s="255"/>
      <c r="T10349" s="255"/>
    </row>
    <row r="10350" spans="18:20" x14ac:dyDescent="0.3">
      <c r="R10350" s="255"/>
      <c r="S10350" s="255"/>
      <c r="T10350" s="255"/>
    </row>
    <row r="10351" spans="18:20" x14ac:dyDescent="0.3">
      <c r="R10351" s="255"/>
      <c r="S10351" s="255"/>
      <c r="T10351" s="255"/>
    </row>
    <row r="10352" spans="18:20" x14ac:dyDescent="0.3">
      <c r="R10352" s="255"/>
      <c r="S10352" s="255"/>
      <c r="T10352" s="255"/>
    </row>
    <row r="10353" spans="18:20" x14ac:dyDescent="0.3">
      <c r="R10353" s="255"/>
      <c r="S10353" s="255"/>
      <c r="T10353" s="255"/>
    </row>
    <row r="10354" spans="18:20" x14ac:dyDescent="0.3">
      <c r="R10354" s="255"/>
      <c r="S10354" s="255"/>
      <c r="T10354" s="255"/>
    </row>
    <row r="10355" spans="18:20" x14ac:dyDescent="0.3">
      <c r="R10355" s="255"/>
      <c r="S10355" s="255"/>
      <c r="T10355" s="255"/>
    </row>
    <row r="10356" spans="18:20" x14ac:dyDescent="0.3">
      <c r="R10356" s="255"/>
      <c r="S10356" s="255"/>
      <c r="T10356" s="255"/>
    </row>
    <row r="10357" spans="18:20" x14ac:dyDescent="0.3">
      <c r="R10357" s="255"/>
      <c r="S10357" s="255"/>
      <c r="T10357" s="255"/>
    </row>
    <row r="10358" spans="18:20" x14ac:dyDescent="0.3">
      <c r="R10358" s="255"/>
      <c r="S10358" s="255"/>
      <c r="T10358" s="255"/>
    </row>
    <row r="10359" spans="18:20" x14ac:dyDescent="0.3">
      <c r="R10359" s="255"/>
      <c r="S10359" s="255"/>
      <c r="T10359" s="255"/>
    </row>
    <row r="10360" spans="18:20" x14ac:dyDescent="0.3">
      <c r="R10360" s="255"/>
      <c r="S10360" s="255"/>
      <c r="T10360" s="255"/>
    </row>
    <row r="10361" spans="18:20" x14ac:dyDescent="0.3">
      <c r="R10361" s="255"/>
      <c r="S10361" s="255"/>
      <c r="T10361" s="255"/>
    </row>
    <row r="10362" spans="18:20" x14ac:dyDescent="0.3">
      <c r="R10362" s="255"/>
      <c r="S10362" s="255"/>
      <c r="T10362" s="255"/>
    </row>
    <row r="10363" spans="18:20" x14ac:dyDescent="0.3">
      <c r="R10363" s="255"/>
      <c r="S10363" s="255"/>
      <c r="T10363" s="255"/>
    </row>
    <row r="10364" spans="18:20" x14ac:dyDescent="0.3">
      <c r="R10364" s="255"/>
      <c r="S10364" s="255"/>
      <c r="T10364" s="255"/>
    </row>
    <row r="10365" spans="18:20" x14ac:dyDescent="0.3">
      <c r="R10365" s="255"/>
      <c r="S10365" s="255"/>
      <c r="T10365" s="255"/>
    </row>
    <row r="10366" spans="18:20" x14ac:dyDescent="0.3">
      <c r="R10366" s="255"/>
      <c r="S10366" s="255"/>
      <c r="T10366" s="255"/>
    </row>
    <row r="10367" spans="18:20" x14ac:dyDescent="0.3">
      <c r="R10367" s="255"/>
      <c r="S10367" s="255"/>
      <c r="T10367" s="255"/>
    </row>
    <row r="10368" spans="18:20" x14ac:dyDescent="0.3">
      <c r="R10368" s="255"/>
      <c r="S10368" s="255"/>
      <c r="T10368" s="255"/>
    </row>
    <row r="10369" spans="18:20" x14ac:dyDescent="0.3">
      <c r="R10369" s="255"/>
      <c r="S10369" s="255"/>
      <c r="T10369" s="255"/>
    </row>
    <row r="10370" spans="18:20" x14ac:dyDescent="0.3">
      <c r="R10370" s="255"/>
      <c r="S10370" s="255"/>
      <c r="T10370" s="255"/>
    </row>
    <row r="10371" spans="18:20" x14ac:dyDescent="0.3">
      <c r="R10371" s="255"/>
      <c r="S10371" s="255"/>
      <c r="T10371" s="255"/>
    </row>
    <row r="10372" spans="18:20" x14ac:dyDescent="0.3">
      <c r="R10372" s="255"/>
      <c r="S10372" s="255"/>
      <c r="T10372" s="255"/>
    </row>
    <row r="10373" spans="18:20" x14ac:dyDescent="0.3">
      <c r="R10373" s="255"/>
      <c r="S10373" s="255"/>
      <c r="T10373" s="255"/>
    </row>
    <row r="10374" spans="18:20" x14ac:dyDescent="0.3">
      <c r="R10374" s="255"/>
      <c r="S10374" s="255"/>
      <c r="T10374" s="255"/>
    </row>
    <row r="10375" spans="18:20" x14ac:dyDescent="0.3">
      <c r="R10375" s="255"/>
      <c r="S10375" s="255"/>
      <c r="T10375" s="255"/>
    </row>
    <row r="10376" spans="18:20" x14ac:dyDescent="0.3">
      <c r="R10376" s="255"/>
      <c r="S10376" s="255"/>
      <c r="T10376" s="255"/>
    </row>
    <row r="10377" spans="18:20" x14ac:dyDescent="0.3">
      <c r="R10377" s="255"/>
      <c r="S10377" s="255"/>
      <c r="T10377" s="255"/>
    </row>
    <row r="10378" spans="18:20" x14ac:dyDescent="0.3">
      <c r="R10378" s="255"/>
      <c r="S10378" s="255"/>
      <c r="T10378" s="255"/>
    </row>
    <row r="10379" spans="18:20" x14ac:dyDescent="0.3">
      <c r="R10379" s="255"/>
      <c r="S10379" s="255"/>
      <c r="T10379" s="255"/>
    </row>
    <row r="10380" spans="18:20" x14ac:dyDescent="0.3">
      <c r="R10380" s="255"/>
      <c r="S10380" s="255"/>
      <c r="T10380" s="255"/>
    </row>
    <row r="10381" spans="18:20" x14ac:dyDescent="0.3">
      <c r="R10381" s="255"/>
      <c r="S10381" s="255"/>
      <c r="T10381" s="255"/>
    </row>
    <row r="10382" spans="18:20" x14ac:dyDescent="0.3">
      <c r="R10382" s="255"/>
      <c r="S10382" s="255"/>
      <c r="T10382" s="255"/>
    </row>
    <row r="10383" spans="18:20" x14ac:dyDescent="0.3">
      <c r="R10383" s="255"/>
      <c r="S10383" s="255"/>
      <c r="T10383" s="255"/>
    </row>
    <row r="10384" spans="18:20" x14ac:dyDescent="0.3">
      <c r="R10384" s="255"/>
      <c r="S10384" s="255"/>
      <c r="T10384" s="255"/>
    </row>
    <row r="10385" spans="18:20" x14ac:dyDescent="0.3">
      <c r="R10385" s="255"/>
      <c r="S10385" s="255"/>
      <c r="T10385" s="255"/>
    </row>
    <row r="10386" spans="18:20" x14ac:dyDescent="0.3">
      <c r="R10386" s="255"/>
      <c r="S10386" s="255"/>
      <c r="T10386" s="255"/>
    </row>
    <row r="10387" spans="18:20" x14ac:dyDescent="0.3">
      <c r="R10387" s="255"/>
      <c r="S10387" s="255"/>
      <c r="T10387" s="255"/>
    </row>
    <row r="10388" spans="18:20" x14ac:dyDescent="0.3">
      <c r="R10388" s="255"/>
      <c r="S10388" s="255"/>
      <c r="T10388" s="255"/>
    </row>
    <row r="10389" spans="18:20" x14ac:dyDescent="0.3">
      <c r="R10389" s="255"/>
      <c r="S10389" s="255"/>
      <c r="T10389" s="255"/>
    </row>
    <row r="10390" spans="18:20" x14ac:dyDescent="0.3">
      <c r="R10390" s="255"/>
      <c r="S10390" s="255"/>
      <c r="T10390" s="255"/>
    </row>
    <row r="10391" spans="18:20" x14ac:dyDescent="0.3">
      <c r="R10391" s="255"/>
      <c r="S10391" s="255"/>
      <c r="T10391" s="255"/>
    </row>
    <row r="10392" spans="18:20" x14ac:dyDescent="0.3">
      <c r="R10392" s="255"/>
      <c r="S10392" s="255"/>
      <c r="T10392" s="255"/>
    </row>
    <row r="10393" spans="18:20" x14ac:dyDescent="0.3">
      <c r="R10393" s="255"/>
      <c r="S10393" s="255"/>
      <c r="T10393" s="255"/>
    </row>
    <row r="10394" spans="18:20" x14ac:dyDescent="0.3">
      <c r="R10394" s="255"/>
      <c r="S10394" s="255"/>
      <c r="T10394" s="255"/>
    </row>
    <row r="10395" spans="18:20" x14ac:dyDescent="0.3">
      <c r="R10395" s="255"/>
      <c r="S10395" s="255"/>
      <c r="T10395" s="255"/>
    </row>
    <row r="10396" spans="18:20" x14ac:dyDescent="0.3">
      <c r="R10396" s="255"/>
      <c r="S10396" s="255"/>
      <c r="T10396" s="255"/>
    </row>
    <row r="10397" spans="18:20" x14ac:dyDescent="0.3">
      <c r="R10397" s="255"/>
      <c r="S10397" s="255"/>
      <c r="T10397" s="255"/>
    </row>
    <row r="10398" spans="18:20" x14ac:dyDescent="0.3">
      <c r="R10398" s="255"/>
      <c r="S10398" s="255"/>
      <c r="T10398" s="255"/>
    </row>
    <row r="10399" spans="18:20" x14ac:dyDescent="0.3">
      <c r="R10399" s="255"/>
      <c r="S10399" s="255"/>
      <c r="T10399" s="255"/>
    </row>
    <row r="10400" spans="18:20" x14ac:dyDescent="0.3">
      <c r="R10400" s="255"/>
      <c r="S10400" s="255"/>
      <c r="T10400" s="255"/>
    </row>
    <row r="10401" spans="18:20" x14ac:dyDescent="0.3">
      <c r="R10401" s="255"/>
      <c r="S10401" s="255"/>
      <c r="T10401" s="255"/>
    </row>
    <row r="10402" spans="18:20" x14ac:dyDescent="0.3">
      <c r="R10402" s="255"/>
      <c r="S10402" s="255"/>
      <c r="T10402" s="255"/>
    </row>
    <row r="10403" spans="18:20" x14ac:dyDescent="0.3">
      <c r="R10403" s="255"/>
      <c r="S10403" s="255"/>
      <c r="T10403" s="255"/>
    </row>
    <row r="10404" spans="18:20" x14ac:dyDescent="0.3">
      <c r="R10404" s="255"/>
      <c r="S10404" s="255"/>
      <c r="T10404" s="255"/>
    </row>
    <row r="10405" spans="18:20" x14ac:dyDescent="0.3">
      <c r="R10405" s="255"/>
      <c r="S10405" s="255"/>
      <c r="T10405" s="255"/>
    </row>
    <row r="10406" spans="18:20" x14ac:dyDescent="0.3">
      <c r="R10406" s="255"/>
      <c r="S10406" s="255"/>
      <c r="T10406" s="255"/>
    </row>
    <row r="10407" spans="18:20" x14ac:dyDescent="0.3">
      <c r="R10407" s="255"/>
      <c r="S10407" s="255"/>
      <c r="T10407" s="255"/>
    </row>
    <row r="10408" spans="18:20" x14ac:dyDescent="0.3">
      <c r="R10408" s="255"/>
      <c r="S10408" s="255"/>
      <c r="T10408" s="255"/>
    </row>
    <row r="10409" spans="18:20" x14ac:dyDescent="0.3">
      <c r="R10409" s="255"/>
      <c r="S10409" s="255"/>
      <c r="T10409" s="255"/>
    </row>
    <row r="10410" spans="18:20" x14ac:dyDescent="0.3">
      <c r="R10410" s="255"/>
      <c r="S10410" s="255"/>
      <c r="T10410" s="255"/>
    </row>
    <row r="10411" spans="18:20" x14ac:dyDescent="0.3">
      <c r="R10411" s="255"/>
      <c r="S10411" s="255"/>
      <c r="T10411" s="255"/>
    </row>
    <row r="10412" spans="18:20" x14ac:dyDescent="0.3">
      <c r="R10412" s="255"/>
      <c r="S10412" s="255"/>
      <c r="T10412" s="255"/>
    </row>
    <row r="10413" spans="18:20" x14ac:dyDescent="0.3">
      <c r="R10413" s="255"/>
      <c r="S10413" s="255"/>
      <c r="T10413" s="255"/>
    </row>
    <row r="10414" spans="18:20" x14ac:dyDescent="0.3">
      <c r="R10414" s="255"/>
      <c r="S10414" s="255"/>
      <c r="T10414" s="255"/>
    </row>
    <row r="10415" spans="18:20" x14ac:dyDescent="0.3">
      <c r="R10415" s="255"/>
      <c r="S10415" s="255"/>
      <c r="T10415" s="255"/>
    </row>
    <row r="10416" spans="18:20" x14ac:dyDescent="0.3">
      <c r="R10416" s="255"/>
      <c r="S10416" s="255"/>
      <c r="T10416" s="255"/>
    </row>
    <row r="10417" spans="18:20" x14ac:dyDescent="0.3">
      <c r="R10417" s="255"/>
      <c r="S10417" s="255"/>
      <c r="T10417" s="255"/>
    </row>
    <row r="10418" spans="18:20" x14ac:dyDescent="0.3">
      <c r="R10418" s="255"/>
      <c r="S10418" s="255"/>
      <c r="T10418" s="255"/>
    </row>
    <row r="10419" spans="18:20" x14ac:dyDescent="0.3">
      <c r="R10419" s="255"/>
      <c r="S10419" s="255"/>
      <c r="T10419" s="255"/>
    </row>
    <row r="10420" spans="18:20" x14ac:dyDescent="0.3">
      <c r="R10420" s="255"/>
      <c r="S10420" s="255"/>
      <c r="T10420" s="255"/>
    </row>
    <row r="10421" spans="18:20" x14ac:dyDescent="0.3">
      <c r="R10421" s="255"/>
      <c r="S10421" s="255"/>
      <c r="T10421" s="255"/>
    </row>
    <row r="10422" spans="18:20" x14ac:dyDescent="0.3">
      <c r="R10422" s="255"/>
      <c r="S10422" s="255"/>
      <c r="T10422" s="255"/>
    </row>
    <row r="10423" spans="18:20" x14ac:dyDescent="0.3">
      <c r="R10423" s="255"/>
      <c r="S10423" s="255"/>
      <c r="T10423" s="255"/>
    </row>
    <row r="10424" spans="18:20" x14ac:dyDescent="0.3">
      <c r="R10424" s="255"/>
      <c r="S10424" s="255"/>
      <c r="T10424" s="255"/>
    </row>
    <row r="10425" spans="18:20" x14ac:dyDescent="0.3">
      <c r="R10425" s="255"/>
      <c r="S10425" s="255"/>
      <c r="T10425" s="255"/>
    </row>
    <row r="10426" spans="18:20" x14ac:dyDescent="0.3">
      <c r="R10426" s="255"/>
      <c r="S10426" s="255"/>
      <c r="T10426" s="255"/>
    </row>
    <row r="10427" spans="18:20" x14ac:dyDescent="0.3">
      <c r="R10427" s="255"/>
      <c r="S10427" s="255"/>
      <c r="T10427" s="255"/>
    </row>
    <row r="10428" spans="18:20" x14ac:dyDescent="0.3">
      <c r="R10428" s="255"/>
      <c r="S10428" s="255"/>
      <c r="T10428" s="255"/>
    </row>
    <row r="10429" spans="18:20" x14ac:dyDescent="0.3">
      <c r="R10429" s="255"/>
      <c r="S10429" s="255"/>
      <c r="T10429" s="255"/>
    </row>
    <row r="10430" spans="18:20" x14ac:dyDescent="0.3">
      <c r="R10430" s="255"/>
      <c r="S10430" s="255"/>
      <c r="T10430" s="255"/>
    </row>
    <row r="10431" spans="18:20" x14ac:dyDescent="0.3">
      <c r="R10431" s="255"/>
      <c r="S10431" s="255"/>
      <c r="T10431" s="255"/>
    </row>
    <row r="10432" spans="18:20" x14ac:dyDescent="0.3">
      <c r="R10432" s="255"/>
      <c r="S10432" s="255"/>
      <c r="T10432" s="255"/>
    </row>
    <row r="10433" spans="18:20" x14ac:dyDescent="0.3">
      <c r="R10433" s="255"/>
      <c r="S10433" s="255"/>
      <c r="T10433" s="255"/>
    </row>
    <row r="10434" spans="18:20" x14ac:dyDescent="0.3">
      <c r="R10434" s="255"/>
      <c r="S10434" s="255"/>
      <c r="T10434" s="255"/>
    </row>
    <row r="10435" spans="18:20" x14ac:dyDescent="0.3">
      <c r="R10435" s="255"/>
      <c r="S10435" s="255"/>
      <c r="T10435" s="255"/>
    </row>
    <row r="10436" spans="18:20" x14ac:dyDescent="0.3">
      <c r="R10436" s="255"/>
      <c r="S10436" s="255"/>
      <c r="T10436" s="255"/>
    </row>
    <row r="10437" spans="18:20" x14ac:dyDescent="0.3">
      <c r="R10437" s="255"/>
      <c r="S10437" s="255"/>
      <c r="T10437" s="255"/>
    </row>
    <row r="10438" spans="18:20" x14ac:dyDescent="0.3">
      <c r="R10438" s="255"/>
      <c r="S10438" s="255"/>
      <c r="T10438" s="255"/>
    </row>
    <row r="10439" spans="18:20" x14ac:dyDescent="0.3">
      <c r="R10439" s="255"/>
      <c r="S10439" s="255"/>
      <c r="T10439" s="255"/>
    </row>
    <row r="10440" spans="18:20" x14ac:dyDescent="0.3">
      <c r="R10440" s="255"/>
      <c r="S10440" s="255"/>
      <c r="T10440" s="255"/>
    </row>
    <row r="10441" spans="18:20" x14ac:dyDescent="0.3">
      <c r="R10441" s="255"/>
      <c r="S10441" s="255"/>
      <c r="T10441" s="255"/>
    </row>
    <row r="10442" spans="18:20" x14ac:dyDescent="0.3">
      <c r="R10442" s="255"/>
      <c r="S10442" s="255"/>
      <c r="T10442" s="255"/>
    </row>
    <row r="10443" spans="18:20" x14ac:dyDescent="0.3">
      <c r="R10443" s="255"/>
      <c r="S10443" s="255"/>
      <c r="T10443" s="255"/>
    </row>
    <row r="10444" spans="18:20" x14ac:dyDescent="0.3">
      <c r="R10444" s="255"/>
      <c r="S10444" s="255"/>
      <c r="T10444" s="255"/>
    </row>
    <row r="10445" spans="18:20" x14ac:dyDescent="0.3">
      <c r="R10445" s="255"/>
      <c r="S10445" s="255"/>
      <c r="T10445" s="255"/>
    </row>
    <row r="10446" spans="18:20" x14ac:dyDescent="0.3">
      <c r="R10446" s="255"/>
      <c r="S10446" s="255"/>
      <c r="T10446" s="255"/>
    </row>
    <row r="10447" spans="18:20" x14ac:dyDescent="0.3">
      <c r="R10447" s="255"/>
      <c r="S10447" s="255"/>
      <c r="T10447" s="255"/>
    </row>
    <row r="10448" spans="18:20" x14ac:dyDescent="0.3">
      <c r="R10448" s="255"/>
      <c r="S10448" s="255"/>
      <c r="T10448" s="255"/>
    </row>
    <row r="10449" spans="18:20" x14ac:dyDescent="0.3">
      <c r="R10449" s="255"/>
      <c r="S10449" s="255"/>
      <c r="T10449" s="255"/>
    </row>
    <row r="10450" spans="18:20" x14ac:dyDescent="0.3">
      <c r="R10450" s="255"/>
      <c r="S10450" s="255"/>
      <c r="T10450" s="255"/>
    </row>
    <row r="10451" spans="18:20" x14ac:dyDescent="0.3">
      <c r="R10451" s="255"/>
      <c r="S10451" s="255"/>
      <c r="T10451" s="255"/>
    </row>
    <row r="10452" spans="18:20" x14ac:dyDescent="0.3">
      <c r="R10452" s="255"/>
      <c r="S10452" s="255"/>
      <c r="T10452" s="255"/>
    </row>
    <row r="10453" spans="18:20" x14ac:dyDescent="0.3">
      <c r="R10453" s="255"/>
      <c r="S10453" s="255"/>
      <c r="T10453" s="255"/>
    </row>
    <row r="10454" spans="18:20" x14ac:dyDescent="0.3">
      <c r="R10454" s="255"/>
      <c r="S10454" s="255"/>
      <c r="T10454" s="255"/>
    </row>
    <row r="10455" spans="18:20" x14ac:dyDescent="0.3">
      <c r="R10455" s="255"/>
      <c r="S10455" s="255"/>
      <c r="T10455" s="255"/>
    </row>
    <row r="10456" spans="18:20" x14ac:dyDescent="0.3">
      <c r="R10456" s="255"/>
      <c r="S10456" s="255"/>
      <c r="T10456" s="255"/>
    </row>
    <row r="10457" spans="18:20" x14ac:dyDescent="0.3">
      <c r="R10457" s="255"/>
      <c r="S10457" s="255"/>
      <c r="T10457" s="255"/>
    </row>
    <row r="10458" spans="18:20" x14ac:dyDescent="0.3">
      <c r="R10458" s="255"/>
      <c r="S10458" s="255"/>
      <c r="T10458" s="255"/>
    </row>
    <row r="10459" spans="18:20" x14ac:dyDescent="0.3">
      <c r="R10459" s="255"/>
      <c r="S10459" s="255"/>
      <c r="T10459" s="255"/>
    </row>
    <row r="10460" spans="18:20" x14ac:dyDescent="0.3">
      <c r="R10460" s="255"/>
      <c r="S10460" s="255"/>
      <c r="T10460" s="255"/>
    </row>
    <row r="10461" spans="18:20" x14ac:dyDescent="0.3">
      <c r="R10461" s="255"/>
      <c r="S10461" s="255"/>
      <c r="T10461" s="255"/>
    </row>
    <row r="10462" spans="18:20" x14ac:dyDescent="0.3">
      <c r="R10462" s="255"/>
      <c r="S10462" s="255"/>
      <c r="T10462" s="255"/>
    </row>
    <row r="10463" spans="18:20" x14ac:dyDescent="0.3">
      <c r="R10463" s="255"/>
      <c r="S10463" s="255"/>
      <c r="T10463" s="255"/>
    </row>
    <row r="10464" spans="18:20" x14ac:dyDescent="0.3">
      <c r="R10464" s="255"/>
      <c r="S10464" s="255"/>
      <c r="T10464" s="255"/>
    </row>
    <row r="10465" spans="18:20" x14ac:dyDescent="0.3">
      <c r="R10465" s="255"/>
      <c r="S10465" s="255"/>
      <c r="T10465" s="255"/>
    </row>
    <row r="10466" spans="18:20" x14ac:dyDescent="0.3">
      <c r="R10466" s="255"/>
      <c r="S10466" s="255"/>
      <c r="T10466" s="255"/>
    </row>
    <row r="10467" spans="18:20" x14ac:dyDescent="0.3">
      <c r="R10467" s="255"/>
      <c r="S10467" s="255"/>
      <c r="T10467" s="255"/>
    </row>
    <row r="10468" spans="18:20" x14ac:dyDescent="0.3">
      <c r="R10468" s="255"/>
      <c r="S10468" s="255"/>
      <c r="T10468" s="255"/>
    </row>
    <row r="10469" spans="18:20" x14ac:dyDescent="0.3">
      <c r="R10469" s="255"/>
      <c r="S10469" s="255"/>
      <c r="T10469" s="255"/>
    </row>
    <row r="10470" spans="18:20" x14ac:dyDescent="0.3">
      <c r="R10470" s="255"/>
      <c r="S10470" s="255"/>
      <c r="T10470" s="255"/>
    </row>
    <row r="10471" spans="18:20" x14ac:dyDescent="0.3">
      <c r="R10471" s="255"/>
      <c r="S10471" s="255"/>
      <c r="T10471" s="255"/>
    </row>
    <row r="10472" spans="18:20" x14ac:dyDescent="0.3">
      <c r="R10472" s="255"/>
      <c r="S10472" s="255"/>
      <c r="T10472" s="255"/>
    </row>
    <row r="10473" spans="18:20" x14ac:dyDescent="0.3">
      <c r="R10473" s="255"/>
      <c r="S10473" s="255"/>
      <c r="T10473" s="255"/>
    </row>
    <row r="10474" spans="18:20" x14ac:dyDescent="0.3">
      <c r="R10474" s="255"/>
      <c r="S10474" s="255"/>
      <c r="T10474" s="255"/>
    </row>
    <row r="10475" spans="18:20" x14ac:dyDescent="0.3">
      <c r="R10475" s="255"/>
      <c r="S10475" s="255"/>
      <c r="T10475" s="255"/>
    </row>
    <row r="10476" spans="18:20" x14ac:dyDescent="0.3">
      <c r="R10476" s="255"/>
      <c r="S10476" s="255"/>
      <c r="T10476" s="255"/>
    </row>
    <row r="10477" spans="18:20" x14ac:dyDescent="0.3">
      <c r="R10477" s="255"/>
      <c r="S10477" s="255"/>
      <c r="T10477" s="255"/>
    </row>
    <row r="10478" spans="18:20" x14ac:dyDescent="0.3">
      <c r="R10478" s="255"/>
      <c r="S10478" s="255"/>
      <c r="T10478" s="255"/>
    </row>
    <row r="10479" spans="18:20" x14ac:dyDescent="0.3">
      <c r="R10479" s="255"/>
      <c r="S10479" s="255"/>
      <c r="T10479" s="255"/>
    </row>
    <row r="10480" spans="18:20" x14ac:dyDescent="0.3">
      <c r="R10480" s="255"/>
      <c r="S10480" s="255"/>
      <c r="T10480" s="255"/>
    </row>
    <row r="10481" spans="18:20" x14ac:dyDescent="0.3">
      <c r="R10481" s="255"/>
      <c r="S10481" s="255"/>
      <c r="T10481" s="255"/>
    </row>
    <row r="10482" spans="18:20" x14ac:dyDescent="0.3">
      <c r="R10482" s="255"/>
      <c r="S10482" s="255"/>
      <c r="T10482" s="255"/>
    </row>
    <row r="10483" spans="18:20" x14ac:dyDescent="0.3">
      <c r="R10483" s="255"/>
      <c r="S10483" s="255"/>
      <c r="T10483" s="255"/>
    </row>
    <row r="10484" spans="18:20" x14ac:dyDescent="0.3">
      <c r="R10484" s="255"/>
      <c r="S10484" s="255"/>
      <c r="T10484" s="255"/>
    </row>
    <row r="10485" spans="18:20" x14ac:dyDescent="0.3">
      <c r="R10485" s="255"/>
      <c r="S10485" s="255"/>
      <c r="T10485" s="255"/>
    </row>
    <row r="10486" spans="18:20" x14ac:dyDescent="0.3">
      <c r="R10486" s="255"/>
      <c r="S10486" s="255"/>
      <c r="T10486" s="255"/>
    </row>
    <row r="10487" spans="18:20" x14ac:dyDescent="0.3">
      <c r="R10487" s="255"/>
      <c r="S10487" s="255"/>
      <c r="T10487" s="255"/>
    </row>
    <row r="10488" spans="18:20" x14ac:dyDescent="0.3">
      <c r="R10488" s="255"/>
      <c r="S10488" s="255"/>
      <c r="T10488" s="255"/>
    </row>
    <row r="10489" spans="18:20" x14ac:dyDescent="0.3">
      <c r="R10489" s="255"/>
      <c r="S10489" s="255"/>
      <c r="T10489" s="255"/>
    </row>
    <row r="10490" spans="18:20" x14ac:dyDescent="0.3">
      <c r="R10490" s="255"/>
      <c r="S10490" s="255"/>
      <c r="T10490" s="255"/>
    </row>
    <row r="10491" spans="18:20" x14ac:dyDescent="0.3">
      <c r="R10491" s="255"/>
      <c r="S10491" s="255"/>
      <c r="T10491" s="255"/>
    </row>
    <row r="10492" spans="18:20" x14ac:dyDescent="0.3">
      <c r="R10492" s="255"/>
      <c r="S10492" s="255"/>
      <c r="T10492" s="255"/>
    </row>
    <row r="10493" spans="18:20" x14ac:dyDescent="0.3">
      <c r="R10493" s="255"/>
      <c r="S10493" s="255"/>
      <c r="T10493" s="255"/>
    </row>
    <row r="10494" spans="18:20" x14ac:dyDescent="0.3">
      <c r="R10494" s="255"/>
      <c r="S10494" s="255"/>
      <c r="T10494" s="255"/>
    </row>
    <row r="10495" spans="18:20" x14ac:dyDescent="0.3">
      <c r="R10495" s="255"/>
      <c r="S10495" s="255"/>
      <c r="T10495" s="255"/>
    </row>
    <row r="10496" spans="18:20" x14ac:dyDescent="0.3">
      <c r="R10496" s="255"/>
      <c r="S10496" s="255"/>
      <c r="T10496" s="255"/>
    </row>
    <row r="10497" spans="18:20" x14ac:dyDescent="0.3">
      <c r="R10497" s="255"/>
      <c r="S10497" s="255"/>
      <c r="T10497" s="255"/>
    </row>
    <row r="10498" spans="18:20" x14ac:dyDescent="0.3">
      <c r="R10498" s="255"/>
      <c r="S10498" s="255"/>
      <c r="T10498" s="255"/>
    </row>
    <row r="10499" spans="18:20" x14ac:dyDescent="0.3">
      <c r="R10499" s="255"/>
      <c r="S10499" s="255"/>
      <c r="T10499" s="255"/>
    </row>
    <row r="10500" spans="18:20" x14ac:dyDescent="0.3">
      <c r="R10500" s="255"/>
      <c r="S10500" s="255"/>
      <c r="T10500" s="255"/>
    </row>
    <row r="10501" spans="18:20" x14ac:dyDescent="0.3">
      <c r="R10501" s="255"/>
      <c r="S10501" s="255"/>
      <c r="T10501" s="255"/>
    </row>
    <row r="10502" spans="18:20" x14ac:dyDescent="0.3">
      <c r="R10502" s="255"/>
      <c r="S10502" s="255"/>
      <c r="T10502" s="255"/>
    </row>
    <row r="10503" spans="18:20" x14ac:dyDescent="0.3">
      <c r="R10503" s="255"/>
      <c r="S10503" s="255"/>
      <c r="T10503" s="255"/>
    </row>
    <row r="10504" spans="18:20" x14ac:dyDescent="0.3">
      <c r="R10504" s="255"/>
      <c r="S10504" s="255"/>
      <c r="T10504" s="255"/>
    </row>
    <row r="10505" spans="18:20" x14ac:dyDescent="0.3">
      <c r="R10505" s="255"/>
      <c r="S10505" s="255"/>
      <c r="T10505" s="255"/>
    </row>
    <row r="10506" spans="18:20" x14ac:dyDescent="0.3">
      <c r="R10506" s="255"/>
      <c r="S10506" s="255"/>
      <c r="T10506" s="255"/>
    </row>
    <row r="10507" spans="18:20" x14ac:dyDescent="0.3">
      <c r="R10507" s="255"/>
      <c r="S10507" s="255"/>
      <c r="T10507" s="255"/>
    </row>
    <row r="10508" spans="18:20" x14ac:dyDescent="0.3">
      <c r="R10508" s="255"/>
      <c r="S10508" s="255"/>
      <c r="T10508" s="255"/>
    </row>
    <row r="10509" spans="18:20" x14ac:dyDescent="0.3">
      <c r="R10509" s="255"/>
      <c r="S10509" s="255"/>
      <c r="T10509" s="255"/>
    </row>
    <row r="10510" spans="18:20" x14ac:dyDescent="0.3">
      <c r="R10510" s="255"/>
      <c r="S10510" s="255"/>
      <c r="T10510" s="255"/>
    </row>
    <row r="10511" spans="18:20" x14ac:dyDescent="0.3">
      <c r="R10511" s="255"/>
      <c r="S10511" s="255"/>
      <c r="T10511" s="255"/>
    </row>
    <row r="10512" spans="18:20" x14ac:dyDescent="0.3">
      <c r="R10512" s="255"/>
      <c r="S10512" s="255"/>
      <c r="T10512" s="255"/>
    </row>
    <row r="10513" spans="18:20" x14ac:dyDescent="0.3">
      <c r="R10513" s="255"/>
      <c r="S10513" s="255"/>
      <c r="T10513" s="255"/>
    </row>
    <row r="10514" spans="18:20" x14ac:dyDescent="0.3">
      <c r="R10514" s="255"/>
      <c r="S10514" s="255"/>
      <c r="T10514" s="255"/>
    </row>
    <row r="10515" spans="18:20" x14ac:dyDescent="0.3">
      <c r="R10515" s="255"/>
      <c r="S10515" s="255"/>
      <c r="T10515" s="255"/>
    </row>
    <row r="10516" spans="18:20" x14ac:dyDescent="0.3">
      <c r="R10516" s="255"/>
      <c r="S10516" s="255"/>
      <c r="T10516" s="255"/>
    </row>
    <row r="10517" spans="18:20" x14ac:dyDescent="0.3">
      <c r="R10517" s="255"/>
      <c r="S10517" s="255"/>
      <c r="T10517" s="255"/>
    </row>
    <row r="10518" spans="18:20" x14ac:dyDescent="0.3">
      <c r="R10518" s="255"/>
      <c r="S10518" s="255"/>
      <c r="T10518" s="255"/>
    </row>
    <row r="10519" spans="18:20" x14ac:dyDescent="0.3">
      <c r="R10519" s="255"/>
      <c r="S10519" s="255"/>
      <c r="T10519" s="255"/>
    </row>
    <row r="10520" spans="18:20" x14ac:dyDescent="0.3">
      <c r="R10520" s="255"/>
      <c r="S10520" s="255"/>
      <c r="T10520" s="255"/>
    </row>
    <row r="10521" spans="18:20" x14ac:dyDescent="0.3">
      <c r="R10521" s="255"/>
      <c r="S10521" s="255"/>
      <c r="T10521" s="255"/>
    </row>
    <row r="10522" spans="18:20" x14ac:dyDescent="0.3">
      <c r="R10522" s="255"/>
      <c r="S10522" s="255"/>
      <c r="T10522" s="255"/>
    </row>
    <row r="10523" spans="18:20" x14ac:dyDescent="0.3">
      <c r="R10523" s="255"/>
      <c r="S10523" s="255"/>
      <c r="T10523" s="255"/>
    </row>
    <row r="10524" spans="18:20" x14ac:dyDescent="0.3">
      <c r="R10524" s="255"/>
      <c r="S10524" s="255"/>
      <c r="T10524" s="255"/>
    </row>
    <row r="10525" spans="18:20" x14ac:dyDescent="0.3">
      <c r="R10525" s="255"/>
      <c r="S10525" s="255"/>
      <c r="T10525" s="255"/>
    </row>
    <row r="10526" spans="18:20" x14ac:dyDescent="0.3">
      <c r="R10526" s="255"/>
      <c r="S10526" s="255"/>
      <c r="T10526" s="255"/>
    </row>
    <row r="10527" spans="18:20" x14ac:dyDescent="0.3">
      <c r="R10527" s="255"/>
      <c r="S10527" s="255"/>
      <c r="T10527" s="255"/>
    </row>
    <row r="10528" spans="18:20" x14ac:dyDescent="0.3">
      <c r="R10528" s="255"/>
      <c r="S10528" s="255"/>
      <c r="T10528" s="255"/>
    </row>
    <row r="10529" spans="18:20" x14ac:dyDescent="0.3">
      <c r="R10529" s="255"/>
      <c r="S10529" s="255"/>
      <c r="T10529" s="255"/>
    </row>
    <row r="10530" spans="18:20" x14ac:dyDescent="0.3">
      <c r="R10530" s="255"/>
      <c r="S10530" s="255"/>
      <c r="T10530" s="255"/>
    </row>
    <row r="10531" spans="18:20" x14ac:dyDescent="0.3">
      <c r="R10531" s="255"/>
      <c r="S10531" s="255"/>
      <c r="T10531" s="255"/>
    </row>
    <row r="10532" spans="18:20" x14ac:dyDescent="0.3">
      <c r="R10532" s="255"/>
      <c r="S10532" s="255"/>
      <c r="T10532" s="255"/>
    </row>
    <row r="10533" spans="18:20" x14ac:dyDescent="0.3">
      <c r="R10533" s="255"/>
      <c r="S10533" s="255"/>
      <c r="T10533" s="255"/>
    </row>
    <row r="10534" spans="18:20" x14ac:dyDescent="0.3">
      <c r="R10534" s="255"/>
      <c r="S10534" s="255"/>
      <c r="T10534" s="255"/>
    </row>
    <row r="10535" spans="18:20" x14ac:dyDescent="0.3">
      <c r="R10535" s="255"/>
      <c r="S10535" s="255"/>
      <c r="T10535" s="255"/>
    </row>
    <row r="10536" spans="18:20" x14ac:dyDescent="0.3">
      <c r="R10536" s="255"/>
      <c r="S10536" s="255"/>
      <c r="T10536" s="255"/>
    </row>
    <row r="10537" spans="18:20" x14ac:dyDescent="0.3">
      <c r="R10537" s="255"/>
      <c r="S10537" s="255"/>
      <c r="T10537" s="255"/>
    </row>
    <row r="10538" spans="18:20" x14ac:dyDescent="0.3">
      <c r="R10538" s="255"/>
      <c r="S10538" s="255"/>
      <c r="T10538" s="255"/>
    </row>
    <row r="10539" spans="18:20" x14ac:dyDescent="0.3">
      <c r="R10539" s="255"/>
      <c r="S10539" s="255"/>
      <c r="T10539" s="255"/>
    </row>
    <row r="10540" spans="18:20" x14ac:dyDescent="0.3">
      <c r="R10540" s="255"/>
      <c r="S10540" s="255"/>
      <c r="T10540" s="255"/>
    </row>
    <row r="10541" spans="18:20" x14ac:dyDescent="0.3">
      <c r="R10541" s="255"/>
      <c r="S10541" s="255"/>
      <c r="T10541" s="255"/>
    </row>
    <row r="10542" spans="18:20" x14ac:dyDescent="0.3">
      <c r="R10542" s="255"/>
      <c r="S10542" s="255"/>
      <c r="T10542" s="255"/>
    </row>
    <row r="10543" spans="18:20" x14ac:dyDescent="0.3">
      <c r="R10543" s="255"/>
      <c r="S10543" s="255"/>
      <c r="T10543" s="255"/>
    </row>
    <row r="10544" spans="18:20" x14ac:dyDescent="0.3">
      <c r="R10544" s="255"/>
      <c r="S10544" s="255"/>
      <c r="T10544" s="255"/>
    </row>
    <row r="10545" spans="18:20" x14ac:dyDescent="0.3">
      <c r="R10545" s="255"/>
      <c r="S10545" s="255"/>
      <c r="T10545" s="255"/>
    </row>
    <row r="10546" spans="18:20" x14ac:dyDescent="0.3">
      <c r="R10546" s="255"/>
      <c r="S10546" s="255"/>
      <c r="T10546" s="255"/>
    </row>
    <row r="10547" spans="18:20" x14ac:dyDescent="0.3">
      <c r="R10547" s="255"/>
      <c r="S10547" s="255"/>
      <c r="T10547" s="255"/>
    </row>
    <row r="10548" spans="18:20" x14ac:dyDescent="0.3">
      <c r="R10548" s="255"/>
      <c r="S10548" s="255"/>
      <c r="T10548" s="255"/>
    </row>
    <row r="10549" spans="18:20" x14ac:dyDescent="0.3">
      <c r="R10549" s="255"/>
      <c r="S10549" s="255"/>
      <c r="T10549" s="255"/>
    </row>
    <row r="10550" spans="18:20" x14ac:dyDescent="0.3">
      <c r="R10550" s="255"/>
      <c r="S10550" s="255"/>
      <c r="T10550" s="255"/>
    </row>
    <row r="10551" spans="18:20" x14ac:dyDescent="0.3">
      <c r="R10551" s="255"/>
      <c r="S10551" s="255"/>
      <c r="T10551" s="255"/>
    </row>
    <row r="10552" spans="18:20" x14ac:dyDescent="0.3">
      <c r="R10552" s="255"/>
      <c r="S10552" s="255"/>
      <c r="T10552" s="255"/>
    </row>
    <row r="10553" spans="18:20" x14ac:dyDescent="0.3">
      <c r="R10553" s="255"/>
      <c r="S10553" s="255"/>
      <c r="T10553" s="255"/>
    </row>
    <row r="10554" spans="18:20" x14ac:dyDescent="0.3">
      <c r="R10554" s="255"/>
      <c r="S10554" s="255"/>
      <c r="T10554" s="255"/>
    </row>
    <row r="10555" spans="18:20" x14ac:dyDescent="0.3">
      <c r="R10555" s="255"/>
      <c r="S10555" s="255"/>
      <c r="T10555" s="255"/>
    </row>
    <row r="10556" spans="18:20" x14ac:dyDescent="0.3">
      <c r="R10556" s="255"/>
      <c r="S10556" s="255"/>
      <c r="T10556" s="255"/>
    </row>
    <row r="10557" spans="18:20" x14ac:dyDescent="0.3">
      <c r="R10557" s="255"/>
      <c r="S10557" s="255"/>
      <c r="T10557" s="255"/>
    </row>
    <row r="10558" spans="18:20" x14ac:dyDescent="0.3">
      <c r="R10558" s="255"/>
      <c r="S10558" s="255"/>
      <c r="T10558" s="255"/>
    </row>
    <row r="10559" spans="18:20" x14ac:dyDescent="0.3">
      <c r="R10559" s="255"/>
      <c r="S10559" s="255"/>
      <c r="T10559" s="255"/>
    </row>
    <row r="10560" spans="18:20" x14ac:dyDescent="0.3">
      <c r="R10560" s="255"/>
      <c r="S10560" s="255"/>
      <c r="T10560" s="255"/>
    </row>
    <row r="10561" spans="18:20" x14ac:dyDescent="0.3">
      <c r="R10561" s="255"/>
      <c r="S10561" s="255"/>
      <c r="T10561" s="255"/>
    </row>
    <row r="10562" spans="18:20" x14ac:dyDescent="0.3">
      <c r="R10562" s="255"/>
      <c r="S10562" s="255"/>
      <c r="T10562" s="255"/>
    </row>
    <row r="10563" spans="18:20" x14ac:dyDescent="0.3">
      <c r="R10563" s="255"/>
      <c r="S10563" s="255"/>
      <c r="T10563" s="255"/>
    </row>
    <row r="10564" spans="18:20" x14ac:dyDescent="0.3">
      <c r="R10564" s="255"/>
      <c r="S10564" s="255"/>
      <c r="T10564" s="255"/>
    </row>
    <row r="10565" spans="18:20" x14ac:dyDescent="0.3">
      <c r="R10565" s="255"/>
      <c r="S10565" s="255"/>
      <c r="T10565" s="255"/>
    </row>
    <row r="10566" spans="18:20" x14ac:dyDescent="0.3">
      <c r="R10566" s="255"/>
      <c r="S10566" s="255"/>
      <c r="T10566" s="255"/>
    </row>
    <row r="10567" spans="18:20" x14ac:dyDescent="0.3">
      <c r="R10567" s="255"/>
      <c r="S10567" s="255"/>
      <c r="T10567" s="255"/>
    </row>
    <row r="10568" spans="18:20" x14ac:dyDescent="0.3">
      <c r="R10568" s="255"/>
      <c r="S10568" s="255"/>
      <c r="T10568" s="255"/>
    </row>
    <row r="10569" spans="18:20" x14ac:dyDescent="0.3">
      <c r="R10569" s="255"/>
      <c r="S10569" s="255"/>
      <c r="T10569" s="255"/>
    </row>
    <row r="10570" spans="18:20" x14ac:dyDescent="0.3">
      <c r="R10570" s="255"/>
      <c r="S10570" s="255"/>
      <c r="T10570" s="255"/>
    </row>
    <row r="10571" spans="18:20" x14ac:dyDescent="0.3">
      <c r="R10571" s="255"/>
      <c r="S10571" s="255"/>
      <c r="T10571" s="255"/>
    </row>
    <row r="10572" spans="18:20" x14ac:dyDescent="0.3">
      <c r="R10572" s="255"/>
      <c r="S10572" s="255"/>
      <c r="T10572" s="255"/>
    </row>
    <row r="10573" spans="18:20" x14ac:dyDescent="0.3">
      <c r="R10573" s="255"/>
      <c r="S10573" s="255"/>
      <c r="T10573" s="255"/>
    </row>
    <row r="10574" spans="18:20" x14ac:dyDescent="0.3">
      <c r="R10574" s="255"/>
      <c r="S10574" s="255"/>
      <c r="T10574" s="255"/>
    </row>
    <row r="10575" spans="18:20" x14ac:dyDescent="0.3">
      <c r="R10575" s="255"/>
      <c r="S10575" s="255"/>
      <c r="T10575" s="255"/>
    </row>
    <row r="10576" spans="18:20" x14ac:dyDescent="0.3">
      <c r="R10576" s="255"/>
      <c r="S10576" s="255"/>
      <c r="T10576" s="255"/>
    </row>
    <row r="10577" spans="18:20" x14ac:dyDescent="0.3">
      <c r="R10577" s="255"/>
      <c r="S10577" s="255"/>
      <c r="T10577" s="255"/>
    </row>
    <row r="10578" spans="18:20" x14ac:dyDescent="0.3">
      <c r="R10578" s="255"/>
      <c r="S10578" s="255"/>
      <c r="T10578" s="255"/>
    </row>
    <row r="10579" spans="18:20" x14ac:dyDescent="0.3">
      <c r="R10579" s="255"/>
      <c r="S10579" s="255"/>
      <c r="T10579" s="255"/>
    </row>
    <row r="10580" spans="18:20" x14ac:dyDescent="0.3">
      <c r="R10580" s="255"/>
      <c r="S10580" s="255"/>
      <c r="T10580" s="255"/>
    </row>
    <row r="10581" spans="18:20" x14ac:dyDescent="0.3">
      <c r="R10581" s="255"/>
      <c r="S10581" s="255"/>
      <c r="T10581" s="255"/>
    </row>
    <row r="10582" spans="18:20" x14ac:dyDescent="0.3">
      <c r="R10582" s="255"/>
      <c r="S10582" s="255"/>
      <c r="T10582" s="255"/>
    </row>
    <row r="10583" spans="18:20" x14ac:dyDescent="0.3">
      <c r="R10583" s="255"/>
      <c r="S10583" s="255"/>
      <c r="T10583" s="255"/>
    </row>
    <row r="10584" spans="18:20" x14ac:dyDescent="0.3">
      <c r="R10584" s="255"/>
      <c r="S10584" s="255"/>
      <c r="T10584" s="255"/>
    </row>
    <row r="10585" spans="18:20" x14ac:dyDescent="0.3">
      <c r="R10585" s="255"/>
      <c r="S10585" s="255"/>
      <c r="T10585" s="255"/>
    </row>
    <row r="10586" spans="18:20" x14ac:dyDescent="0.3">
      <c r="R10586" s="255"/>
      <c r="S10586" s="255"/>
      <c r="T10586" s="255"/>
    </row>
    <row r="10587" spans="18:20" x14ac:dyDescent="0.3">
      <c r="R10587" s="255"/>
      <c r="S10587" s="255"/>
      <c r="T10587" s="255"/>
    </row>
    <row r="10588" spans="18:20" x14ac:dyDescent="0.3">
      <c r="R10588" s="255"/>
      <c r="S10588" s="255"/>
      <c r="T10588" s="255"/>
    </row>
    <row r="10589" spans="18:20" x14ac:dyDescent="0.3">
      <c r="R10589" s="255"/>
      <c r="S10589" s="255"/>
      <c r="T10589" s="255"/>
    </row>
    <row r="10590" spans="18:20" x14ac:dyDescent="0.3">
      <c r="R10590" s="255"/>
      <c r="S10590" s="255"/>
      <c r="T10590" s="255"/>
    </row>
    <row r="10591" spans="18:20" x14ac:dyDescent="0.3">
      <c r="R10591" s="255"/>
      <c r="S10591" s="255"/>
      <c r="T10591" s="255"/>
    </row>
    <row r="10592" spans="18:20" x14ac:dyDescent="0.3">
      <c r="R10592" s="255"/>
      <c r="S10592" s="255"/>
      <c r="T10592" s="255"/>
    </row>
    <row r="10593" spans="18:20" x14ac:dyDescent="0.3">
      <c r="R10593" s="255"/>
      <c r="S10593" s="255"/>
      <c r="T10593" s="255"/>
    </row>
    <row r="10594" spans="18:20" x14ac:dyDescent="0.3">
      <c r="R10594" s="255"/>
      <c r="S10594" s="255"/>
      <c r="T10594" s="255"/>
    </row>
    <row r="10595" spans="18:20" x14ac:dyDescent="0.3">
      <c r="R10595" s="255"/>
      <c r="S10595" s="255"/>
      <c r="T10595" s="255"/>
    </row>
    <row r="10596" spans="18:20" x14ac:dyDescent="0.3">
      <c r="R10596" s="255"/>
      <c r="S10596" s="255"/>
      <c r="T10596" s="255"/>
    </row>
    <row r="10597" spans="18:20" x14ac:dyDescent="0.3">
      <c r="R10597" s="255"/>
      <c r="S10597" s="255"/>
      <c r="T10597" s="255"/>
    </row>
    <row r="10598" spans="18:20" x14ac:dyDescent="0.3">
      <c r="R10598" s="255"/>
      <c r="S10598" s="255"/>
      <c r="T10598" s="255"/>
    </row>
    <row r="10599" spans="18:20" x14ac:dyDescent="0.3">
      <c r="R10599" s="255"/>
      <c r="S10599" s="255"/>
      <c r="T10599" s="255"/>
    </row>
    <row r="10600" spans="18:20" x14ac:dyDescent="0.3">
      <c r="R10600" s="255"/>
      <c r="S10600" s="255"/>
      <c r="T10600" s="255"/>
    </row>
    <row r="10601" spans="18:20" x14ac:dyDescent="0.3">
      <c r="R10601" s="255"/>
      <c r="S10601" s="255"/>
      <c r="T10601" s="255"/>
    </row>
    <row r="10602" spans="18:20" x14ac:dyDescent="0.3">
      <c r="R10602" s="255"/>
      <c r="S10602" s="255"/>
      <c r="T10602" s="255"/>
    </row>
    <row r="10603" spans="18:20" x14ac:dyDescent="0.3">
      <c r="R10603" s="255"/>
      <c r="S10603" s="255"/>
      <c r="T10603" s="255"/>
    </row>
    <row r="10604" spans="18:20" x14ac:dyDescent="0.3">
      <c r="R10604" s="255"/>
      <c r="S10604" s="255"/>
      <c r="T10604" s="255"/>
    </row>
    <row r="10605" spans="18:20" x14ac:dyDescent="0.3">
      <c r="R10605" s="255"/>
      <c r="S10605" s="255"/>
      <c r="T10605" s="255"/>
    </row>
    <row r="10606" spans="18:20" x14ac:dyDescent="0.3">
      <c r="R10606" s="255"/>
      <c r="S10606" s="255"/>
      <c r="T10606" s="255"/>
    </row>
    <row r="10607" spans="18:20" x14ac:dyDescent="0.3">
      <c r="R10607" s="255"/>
      <c r="S10607" s="255"/>
      <c r="T10607" s="255"/>
    </row>
    <row r="10608" spans="18:20" x14ac:dyDescent="0.3">
      <c r="R10608" s="255"/>
      <c r="S10608" s="255"/>
      <c r="T10608" s="255"/>
    </row>
    <row r="10609" spans="18:20" x14ac:dyDescent="0.3">
      <c r="R10609" s="255"/>
      <c r="S10609" s="255"/>
      <c r="T10609" s="255"/>
    </row>
    <row r="10610" spans="18:20" x14ac:dyDescent="0.3">
      <c r="R10610" s="255"/>
      <c r="S10610" s="255"/>
      <c r="T10610" s="255"/>
    </row>
    <row r="10611" spans="18:20" x14ac:dyDescent="0.3">
      <c r="R10611" s="255"/>
      <c r="S10611" s="255"/>
      <c r="T10611" s="255"/>
    </row>
    <row r="10612" spans="18:20" x14ac:dyDescent="0.3">
      <c r="R10612" s="255"/>
      <c r="S10612" s="255"/>
      <c r="T10612" s="255"/>
    </row>
    <row r="10613" spans="18:20" x14ac:dyDescent="0.3">
      <c r="R10613" s="255"/>
      <c r="S10613" s="255"/>
      <c r="T10613" s="255"/>
    </row>
    <row r="10614" spans="18:20" x14ac:dyDescent="0.3">
      <c r="R10614" s="255"/>
      <c r="S10614" s="255"/>
      <c r="T10614" s="255"/>
    </row>
    <row r="10615" spans="18:20" x14ac:dyDescent="0.3">
      <c r="R10615" s="255"/>
      <c r="S10615" s="255"/>
      <c r="T10615" s="255"/>
    </row>
    <row r="10616" spans="18:20" x14ac:dyDescent="0.3">
      <c r="R10616" s="255"/>
      <c r="S10616" s="255"/>
      <c r="T10616" s="255"/>
    </row>
    <row r="10617" spans="18:20" x14ac:dyDescent="0.3">
      <c r="R10617" s="255"/>
      <c r="S10617" s="255"/>
      <c r="T10617" s="255"/>
    </row>
    <row r="10618" spans="18:20" x14ac:dyDescent="0.3">
      <c r="R10618" s="255"/>
      <c r="S10618" s="255"/>
      <c r="T10618" s="255"/>
    </row>
    <row r="10619" spans="18:20" x14ac:dyDescent="0.3">
      <c r="R10619" s="255"/>
      <c r="S10619" s="255"/>
      <c r="T10619" s="255"/>
    </row>
    <row r="10620" spans="18:20" x14ac:dyDescent="0.3">
      <c r="R10620" s="255"/>
      <c r="S10620" s="255"/>
      <c r="T10620" s="255"/>
    </row>
    <row r="10621" spans="18:20" x14ac:dyDescent="0.3">
      <c r="R10621" s="255"/>
      <c r="S10621" s="255"/>
      <c r="T10621" s="255"/>
    </row>
    <row r="10622" spans="18:20" x14ac:dyDescent="0.3">
      <c r="R10622" s="255"/>
      <c r="S10622" s="255"/>
      <c r="T10622" s="255"/>
    </row>
    <row r="10623" spans="18:20" x14ac:dyDescent="0.3">
      <c r="R10623" s="255"/>
      <c r="S10623" s="255"/>
      <c r="T10623" s="255"/>
    </row>
    <row r="10624" spans="18:20" x14ac:dyDescent="0.3">
      <c r="R10624" s="255"/>
      <c r="S10624" s="255"/>
      <c r="T10624" s="255"/>
    </row>
    <row r="10625" spans="18:20" x14ac:dyDescent="0.3">
      <c r="R10625" s="255"/>
      <c r="S10625" s="255"/>
      <c r="T10625" s="255"/>
    </row>
    <row r="10626" spans="18:20" x14ac:dyDescent="0.3">
      <c r="R10626" s="255"/>
      <c r="S10626" s="255"/>
      <c r="T10626" s="255"/>
    </row>
    <row r="10627" spans="18:20" x14ac:dyDescent="0.3">
      <c r="R10627" s="255"/>
      <c r="S10627" s="255"/>
      <c r="T10627" s="255"/>
    </row>
    <row r="10628" spans="18:20" x14ac:dyDescent="0.3">
      <c r="R10628" s="255"/>
      <c r="S10628" s="255"/>
      <c r="T10628" s="255"/>
    </row>
    <row r="10629" spans="18:20" x14ac:dyDescent="0.3">
      <c r="R10629" s="255"/>
      <c r="S10629" s="255"/>
      <c r="T10629" s="255"/>
    </row>
    <row r="10630" spans="18:20" x14ac:dyDescent="0.3">
      <c r="R10630" s="255"/>
      <c r="S10630" s="255"/>
      <c r="T10630" s="255"/>
    </row>
    <row r="10631" spans="18:20" x14ac:dyDescent="0.3">
      <c r="R10631" s="255"/>
      <c r="S10631" s="255"/>
      <c r="T10631" s="255"/>
    </row>
    <row r="10632" spans="18:20" x14ac:dyDescent="0.3">
      <c r="R10632" s="255"/>
      <c r="S10632" s="255"/>
      <c r="T10632" s="255"/>
    </row>
    <row r="10633" spans="18:20" x14ac:dyDescent="0.3">
      <c r="R10633" s="255"/>
      <c r="S10633" s="255"/>
      <c r="T10633" s="255"/>
    </row>
    <row r="10634" spans="18:20" x14ac:dyDescent="0.3">
      <c r="R10634" s="255"/>
      <c r="S10634" s="255"/>
      <c r="T10634" s="255"/>
    </row>
    <row r="10635" spans="18:20" x14ac:dyDescent="0.3">
      <c r="R10635" s="255"/>
      <c r="S10635" s="255"/>
      <c r="T10635" s="255"/>
    </row>
    <row r="10636" spans="18:20" x14ac:dyDescent="0.3">
      <c r="R10636" s="255"/>
      <c r="S10636" s="255"/>
      <c r="T10636" s="255"/>
    </row>
    <row r="10637" spans="18:20" x14ac:dyDescent="0.3">
      <c r="R10637" s="255"/>
      <c r="S10637" s="255"/>
      <c r="T10637" s="255"/>
    </row>
    <row r="10638" spans="18:20" x14ac:dyDescent="0.3">
      <c r="R10638" s="255"/>
      <c r="S10638" s="255"/>
      <c r="T10638" s="255"/>
    </row>
    <row r="10639" spans="18:20" x14ac:dyDescent="0.3">
      <c r="R10639" s="255"/>
      <c r="S10639" s="255"/>
      <c r="T10639" s="255"/>
    </row>
    <row r="10640" spans="18:20" x14ac:dyDescent="0.3">
      <c r="R10640" s="255"/>
      <c r="S10640" s="255"/>
      <c r="T10640" s="255"/>
    </row>
    <row r="10641" spans="18:20" x14ac:dyDescent="0.3">
      <c r="R10641" s="255"/>
      <c r="S10641" s="255"/>
      <c r="T10641" s="255"/>
    </row>
    <row r="10642" spans="18:20" x14ac:dyDescent="0.3">
      <c r="R10642" s="255"/>
      <c r="S10642" s="255"/>
      <c r="T10642" s="255"/>
    </row>
    <row r="10643" spans="18:20" x14ac:dyDescent="0.3">
      <c r="R10643" s="255"/>
      <c r="S10643" s="255"/>
      <c r="T10643" s="255"/>
    </row>
    <row r="10644" spans="18:20" x14ac:dyDescent="0.3">
      <c r="R10644" s="255"/>
      <c r="S10644" s="255"/>
      <c r="T10644" s="255"/>
    </row>
    <row r="10645" spans="18:20" x14ac:dyDescent="0.3">
      <c r="R10645" s="255"/>
      <c r="S10645" s="255"/>
      <c r="T10645" s="255"/>
    </row>
    <row r="10646" spans="18:20" x14ac:dyDescent="0.3">
      <c r="R10646" s="255"/>
      <c r="S10646" s="255"/>
      <c r="T10646" s="255"/>
    </row>
    <row r="10647" spans="18:20" x14ac:dyDescent="0.3">
      <c r="R10647" s="255"/>
      <c r="S10647" s="255"/>
      <c r="T10647" s="255"/>
    </row>
    <row r="10648" spans="18:20" x14ac:dyDescent="0.3">
      <c r="R10648" s="255"/>
      <c r="S10648" s="255"/>
      <c r="T10648" s="255"/>
    </row>
    <row r="10649" spans="18:20" x14ac:dyDescent="0.3">
      <c r="R10649" s="255"/>
      <c r="S10649" s="255"/>
      <c r="T10649" s="255"/>
    </row>
    <row r="10650" spans="18:20" x14ac:dyDescent="0.3">
      <c r="R10650" s="255"/>
      <c r="S10650" s="255"/>
      <c r="T10650" s="255"/>
    </row>
    <row r="10651" spans="18:20" x14ac:dyDescent="0.3">
      <c r="R10651" s="255"/>
      <c r="S10651" s="255"/>
      <c r="T10651" s="255"/>
    </row>
    <row r="10652" spans="18:20" x14ac:dyDescent="0.3">
      <c r="R10652" s="255"/>
      <c r="S10652" s="255"/>
      <c r="T10652" s="255"/>
    </row>
    <row r="10653" spans="18:20" x14ac:dyDescent="0.3">
      <c r="R10653" s="255"/>
      <c r="S10653" s="255"/>
      <c r="T10653" s="255"/>
    </row>
    <row r="10654" spans="18:20" x14ac:dyDescent="0.3">
      <c r="R10654" s="255"/>
      <c r="S10654" s="255"/>
      <c r="T10654" s="255"/>
    </row>
    <row r="10655" spans="18:20" x14ac:dyDescent="0.3">
      <c r="R10655" s="255"/>
      <c r="S10655" s="255"/>
      <c r="T10655" s="255"/>
    </row>
    <row r="10656" spans="18:20" x14ac:dyDescent="0.3">
      <c r="R10656" s="255"/>
      <c r="S10656" s="255"/>
      <c r="T10656" s="255"/>
    </row>
    <row r="10657" spans="18:20" x14ac:dyDescent="0.3">
      <c r="R10657" s="255"/>
      <c r="S10657" s="255"/>
      <c r="T10657" s="255"/>
    </row>
    <row r="10658" spans="18:20" x14ac:dyDescent="0.3">
      <c r="R10658" s="255"/>
      <c r="S10658" s="255"/>
      <c r="T10658" s="255"/>
    </row>
    <row r="10659" spans="18:20" x14ac:dyDescent="0.3">
      <c r="R10659" s="255"/>
      <c r="S10659" s="255"/>
      <c r="T10659" s="255"/>
    </row>
    <row r="10660" spans="18:20" x14ac:dyDescent="0.3">
      <c r="R10660" s="255"/>
      <c r="S10660" s="255"/>
      <c r="T10660" s="255"/>
    </row>
    <row r="10661" spans="18:20" x14ac:dyDescent="0.3">
      <c r="R10661" s="255"/>
      <c r="S10661" s="255"/>
      <c r="T10661" s="255"/>
    </row>
    <row r="10662" spans="18:20" x14ac:dyDescent="0.3">
      <c r="R10662" s="255"/>
      <c r="S10662" s="255"/>
      <c r="T10662" s="255"/>
    </row>
    <row r="10663" spans="18:20" x14ac:dyDescent="0.3">
      <c r="R10663" s="255"/>
      <c r="S10663" s="255"/>
      <c r="T10663" s="255"/>
    </row>
    <row r="10664" spans="18:20" x14ac:dyDescent="0.3">
      <c r="R10664" s="255"/>
      <c r="S10664" s="255"/>
      <c r="T10664" s="255"/>
    </row>
    <row r="10665" spans="18:20" x14ac:dyDescent="0.3">
      <c r="R10665" s="255"/>
      <c r="S10665" s="255"/>
      <c r="T10665" s="255"/>
    </row>
    <row r="10666" spans="18:20" x14ac:dyDescent="0.3">
      <c r="R10666" s="255"/>
      <c r="S10666" s="255"/>
      <c r="T10666" s="255"/>
    </row>
    <row r="10667" spans="18:20" x14ac:dyDescent="0.3">
      <c r="R10667" s="255"/>
      <c r="S10667" s="255"/>
      <c r="T10667" s="255"/>
    </row>
    <row r="10668" spans="18:20" x14ac:dyDescent="0.3">
      <c r="R10668" s="255"/>
      <c r="S10668" s="255"/>
      <c r="T10668" s="255"/>
    </row>
    <row r="10669" spans="18:20" x14ac:dyDescent="0.3">
      <c r="R10669" s="255"/>
      <c r="S10669" s="255"/>
      <c r="T10669" s="255"/>
    </row>
    <row r="10670" spans="18:20" x14ac:dyDescent="0.3">
      <c r="R10670" s="255"/>
      <c r="S10670" s="255"/>
      <c r="T10670" s="255"/>
    </row>
    <row r="10671" spans="18:20" x14ac:dyDescent="0.3">
      <c r="R10671" s="255"/>
      <c r="S10671" s="255"/>
      <c r="T10671" s="255"/>
    </row>
    <row r="10672" spans="18:20" x14ac:dyDescent="0.3">
      <c r="R10672" s="255"/>
      <c r="S10672" s="255"/>
      <c r="T10672" s="255"/>
    </row>
    <row r="10673" spans="18:20" x14ac:dyDescent="0.3">
      <c r="R10673" s="255"/>
      <c r="S10673" s="255"/>
      <c r="T10673" s="255"/>
    </row>
    <row r="10674" spans="18:20" x14ac:dyDescent="0.3">
      <c r="R10674" s="255"/>
      <c r="S10674" s="255"/>
      <c r="T10674" s="255"/>
    </row>
    <row r="10675" spans="18:20" x14ac:dyDescent="0.3">
      <c r="R10675" s="255"/>
      <c r="S10675" s="255"/>
      <c r="T10675" s="255"/>
    </row>
    <row r="10676" spans="18:20" x14ac:dyDescent="0.3">
      <c r="R10676" s="255"/>
      <c r="S10676" s="255"/>
      <c r="T10676" s="255"/>
    </row>
    <row r="10677" spans="18:20" x14ac:dyDescent="0.3">
      <c r="R10677" s="255"/>
      <c r="S10677" s="255"/>
      <c r="T10677" s="255"/>
    </row>
    <row r="10678" spans="18:20" x14ac:dyDescent="0.3">
      <c r="R10678" s="255"/>
      <c r="S10678" s="255"/>
      <c r="T10678" s="255"/>
    </row>
    <row r="10679" spans="18:20" x14ac:dyDescent="0.3">
      <c r="R10679" s="255"/>
      <c r="S10679" s="255"/>
      <c r="T10679" s="255"/>
    </row>
    <row r="10680" spans="18:20" x14ac:dyDescent="0.3">
      <c r="R10680" s="255"/>
      <c r="S10680" s="255"/>
      <c r="T10680" s="255"/>
    </row>
    <row r="10681" spans="18:20" x14ac:dyDescent="0.3">
      <c r="R10681" s="255"/>
      <c r="S10681" s="255"/>
      <c r="T10681" s="255"/>
    </row>
    <row r="10682" spans="18:20" x14ac:dyDescent="0.3">
      <c r="R10682" s="255"/>
      <c r="S10682" s="255"/>
      <c r="T10682" s="255"/>
    </row>
    <row r="10683" spans="18:20" x14ac:dyDescent="0.3">
      <c r="R10683" s="255"/>
      <c r="S10683" s="255"/>
      <c r="T10683" s="255"/>
    </row>
    <row r="10684" spans="18:20" x14ac:dyDescent="0.3">
      <c r="R10684" s="255"/>
      <c r="S10684" s="255"/>
      <c r="T10684" s="255"/>
    </row>
    <row r="10685" spans="18:20" x14ac:dyDescent="0.3">
      <c r="R10685" s="255"/>
      <c r="S10685" s="255"/>
      <c r="T10685" s="255"/>
    </row>
    <row r="10686" spans="18:20" x14ac:dyDescent="0.3">
      <c r="R10686" s="255"/>
      <c r="S10686" s="255"/>
      <c r="T10686" s="255"/>
    </row>
    <row r="10687" spans="18:20" x14ac:dyDescent="0.3">
      <c r="R10687" s="255"/>
      <c r="S10687" s="255"/>
      <c r="T10687" s="255"/>
    </row>
    <row r="10688" spans="18:20" x14ac:dyDescent="0.3">
      <c r="R10688" s="255"/>
      <c r="S10688" s="255"/>
      <c r="T10688" s="255"/>
    </row>
    <row r="10689" spans="18:20" x14ac:dyDescent="0.3">
      <c r="R10689" s="255"/>
      <c r="S10689" s="255"/>
      <c r="T10689" s="255"/>
    </row>
    <row r="10690" spans="18:20" x14ac:dyDescent="0.3">
      <c r="R10690" s="255"/>
      <c r="S10690" s="255"/>
      <c r="T10690" s="255"/>
    </row>
    <row r="10691" spans="18:20" x14ac:dyDescent="0.3">
      <c r="R10691" s="255"/>
      <c r="S10691" s="255"/>
      <c r="T10691" s="255"/>
    </row>
    <row r="10692" spans="18:20" x14ac:dyDescent="0.3">
      <c r="R10692" s="255"/>
      <c r="S10692" s="255"/>
      <c r="T10692" s="255"/>
    </row>
    <row r="10693" spans="18:20" x14ac:dyDescent="0.3">
      <c r="R10693" s="255"/>
      <c r="S10693" s="255"/>
      <c r="T10693" s="255"/>
    </row>
    <row r="10694" spans="18:20" x14ac:dyDescent="0.3">
      <c r="R10694" s="255"/>
      <c r="S10694" s="255"/>
      <c r="T10694" s="255"/>
    </row>
    <row r="10695" spans="18:20" x14ac:dyDescent="0.3">
      <c r="R10695" s="255"/>
      <c r="S10695" s="255"/>
      <c r="T10695" s="255"/>
    </row>
    <row r="10696" spans="18:20" x14ac:dyDescent="0.3">
      <c r="R10696" s="255"/>
      <c r="S10696" s="255"/>
      <c r="T10696" s="255"/>
    </row>
    <row r="10697" spans="18:20" x14ac:dyDescent="0.3">
      <c r="R10697" s="255"/>
      <c r="S10697" s="255"/>
      <c r="T10697" s="255"/>
    </row>
    <row r="10698" spans="18:20" x14ac:dyDescent="0.3">
      <c r="R10698" s="255"/>
      <c r="S10698" s="255"/>
      <c r="T10698" s="255"/>
    </row>
    <row r="10699" spans="18:20" x14ac:dyDescent="0.3">
      <c r="R10699" s="255"/>
      <c r="S10699" s="255"/>
      <c r="T10699" s="255"/>
    </row>
    <row r="10700" spans="18:20" x14ac:dyDescent="0.3">
      <c r="R10700" s="255"/>
      <c r="S10700" s="255"/>
      <c r="T10700" s="255"/>
    </row>
    <row r="10701" spans="18:20" x14ac:dyDescent="0.3">
      <c r="R10701" s="255"/>
      <c r="S10701" s="255"/>
      <c r="T10701" s="255"/>
    </row>
    <row r="10702" spans="18:20" x14ac:dyDescent="0.3">
      <c r="R10702" s="255"/>
      <c r="S10702" s="255"/>
      <c r="T10702" s="255"/>
    </row>
    <row r="10703" spans="18:20" x14ac:dyDescent="0.3">
      <c r="R10703" s="255"/>
      <c r="S10703" s="255"/>
      <c r="T10703" s="255"/>
    </row>
    <row r="10704" spans="18:20" x14ac:dyDescent="0.3">
      <c r="R10704" s="255"/>
      <c r="S10704" s="255"/>
      <c r="T10704" s="255"/>
    </row>
    <row r="10705" spans="18:20" x14ac:dyDescent="0.3">
      <c r="R10705" s="255"/>
      <c r="S10705" s="255"/>
      <c r="T10705" s="255"/>
    </row>
    <row r="10706" spans="18:20" x14ac:dyDescent="0.3">
      <c r="R10706" s="255"/>
      <c r="S10706" s="255"/>
      <c r="T10706" s="255"/>
    </row>
    <row r="10707" spans="18:20" x14ac:dyDescent="0.3">
      <c r="R10707" s="255"/>
      <c r="S10707" s="255"/>
      <c r="T10707" s="255"/>
    </row>
    <row r="10708" spans="18:20" x14ac:dyDescent="0.3">
      <c r="R10708" s="255"/>
      <c r="S10708" s="255"/>
      <c r="T10708" s="255"/>
    </row>
    <row r="10709" spans="18:20" x14ac:dyDescent="0.3">
      <c r="R10709" s="255"/>
      <c r="S10709" s="255"/>
      <c r="T10709" s="255"/>
    </row>
    <row r="10710" spans="18:20" x14ac:dyDescent="0.3">
      <c r="R10710" s="255"/>
      <c r="S10710" s="255"/>
      <c r="T10710" s="255"/>
    </row>
    <row r="10711" spans="18:20" x14ac:dyDescent="0.3">
      <c r="R10711" s="255"/>
      <c r="S10711" s="255"/>
      <c r="T10711" s="255"/>
    </row>
    <row r="10712" spans="18:20" x14ac:dyDescent="0.3">
      <c r="R10712" s="255"/>
      <c r="S10712" s="255"/>
      <c r="T10712" s="255"/>
    </row>
    <row r="10713" spans="18:20" x14ac:dyDescent="0.3">
      <c r="R10713" s="255"/>
      <c r="S10713" s="255"/>
      <c r="T10713" s="255"/>
    </row>
    <row r="10714" spans="18:20" x14ac:dyDescent="0.3">
      <c r="R10714" s="255"/>
      <c r="S10714" s="255"/>
      <c r="T10714" s="255"/>
    </row>
    <row r="10715" spans="18:20" x14ac:dyDescent="0.3">
      <c r="R10715" s="255"/>
      <c r="S10715" s="255"/>
      <c r="T10715" s="255"/>
    </row>
    <row r="10716" spans="18:20" x14ac:dyDescent="0.3">
      <c r="R10716" s="255"/>
      <c r="S10716" s="255"/>
      <c r="T10716" s="255"/>
    </row>
    <row r="10717" spans="18:20" x14ac:dyDescent="0.3">
      <c r="R10717" s="255"/>
      <c r="S10717" s="255"/>
      <c r="T10717" s="255"/>
    </row>
    <row r="10718" spans="18:20" x14ac:dyDescent="0.3">
      <c r="R10718" s="255"/>
      <c r="S10718" s="255"/>
      <c r="T10718" s="255"/>
    </row>
    <row r="10719" spans="18:20" x14ac:dyDescent="0.3">
      <c r="R10719" s="255"/>
      <c r="S10719" s="255"/>
      <c r="T10719" s="255"/>
    </row>
    <row r="10720" spans="18:20" x14ac:dyDescent="0.3">
      <c r="R10720" s="255"/>
      <c r="S10720" s="255"/>
      <c r="T10720" s="255"/>
    </row>
    <row r="10721" spans="18:20" x14ac:dyDescent="0.3">
      <c r="R10721" s="255"/>
      <c r="S10721" s="255"/>
      <c r="T10721" s="255"/>
    </row>
    <row r="10722" spans="18:20" x14ac:dyDescent="0.3">
      <c r="R10722" s="255"/>
      <c r="S10722" s="255"/>
      <c r="T10722" s="255"/>
    </row>
    <row r="10723" spans="18:20" x14ac:dyDescent="0.3">
      <c r="R10723" s="255"/>
      <c r="S10723" s="255"/>
      <c r="T10723" s="255"/>
    </row>
    <row r="10724" spans="18:20" x14ac:dyDescent="0.3">
      <c r="R10724" s="255"/>
      <c r="S10724" s="255"/>
      <c r="T10724" s="255"/>
    </row>
    <row r="10725" spans="18:20" x14ac:dyDescent="0.3">
      <c r="R10725" s="255"/>
      <c r="S10725" s="255"/>
      <c r="T10725" s="255"/>
    </row>
    <row r="10726" spans="18:20" x14ac:dyDescent="0.3">
      <c r="R10726" s="255"/>
      <c r="S10726" s="255"/>
      <c r="T10726" s="255"/>
    </row>
    <row r="10727" spans="18:20" x14ac:dyDescent="0.3">
      <c r="R10727" s="255"/>
      <c r="S10727" s="255"/>
      <c r="T10727" s="255"/>
    </row>
    <row r="10728" spans="18:20" x14ac:dyDescent="0.3">
      <c r="R10728" s="255"/>
      <c r="S10728" s="255"/>
      <c r="T10728" s="255"/>
    </row>
    <row r="10729" spans="18:20" x14ac:dyDescent="0.3">
      <c r="R10729" s="255"/>
      <c r="S10729" s="255"/>
      <c r="T10729" s="255"/>
    </row>
    <row r="10730" spans="18:20" x14ac:dyDescent="0.3">
      <c r="R10730" s="255"/>
      <c r="S10730" s="255"/>
      <c r="T10730" s="255"/>
    </row>
    <row r="10731" spans="18:20" x14ac:dyDescent="0.3">
      <c r="R10731" s="255"/>
      <c r="S10731" s="255"/>
      <c r="T10731" s="255"/>
    </row>
    <row r="10732" spans="18:20" x14ac:dyDescent="0.3">
      <c r="R10732" s="255"/>
      <c r="S10732" s="255"/>
      <c r="T10732" s="255"/>
    </row>
    <row r="10733" spans="18:20" x14ac:dyDescent="0.3">
      <c r="R10733" s="255"/>
      <c r="S10733" s="255"/>
      <c r="T10733" s="255"/>
    </row>
    <row r="10734" spans="18:20" x14ac:dyDescent="0.3">
      <c r="R10734" s="255"/>
      <c r="S10734" s="255"/>
      <c r="T10734" s="255"/>
    </row>
    <row r="10735" spans="18:20" x14ac:dyDescent="0.3">
      <c r="R10735" s="255"/>
      <c r="S10735" s="255"/>
      <c r="T10735" s="255"/>
    </row>
    <row r="10736" spans="18:20" x14ac:dyDescent="0.3">
      <c r="R10736" s="255"/>
      <c r="S10736" s="255"/>
      <c r="T10736" s="255"/>
    </row>
    <row r="10737" spans="18:20" x14ac:dyDescent="0.3">
      <c r="R10737" s="255"/>
      <c r="S10737" s="255"/>
      <c r="T10737" s="255"/>
    </row>
    <row r="10738" spans="18:20" x14ac:dyDescent="0.3">
      <c r="R10738" s="255"/>
      <c r="S10738" s="255"/>
      <c r="T10738" s="255"/>
    </row>
    <row r="10739" spans="18:20" x14ac:dyDescent="0.3">
      <c r="R10739" s="255"/>
      <c r="S10739" s="255"/>
      <c r="T10739" s="255"/>
    </row>
    <row r="10740" spans="18:20" x14ac:dyDescent="0.3">
      <c r="R10740" s="255"/>
      <c r="S10740" s="255"/>
      <c r="T10740" s="255"/>
    </row>
    <row r="10741" spans="18:20" x14ac:dyDescent="0.3">
      <c r="R10741" s="255"/>
      <c r="S10741" s="255"/>
      <c r="T10741" s="255"/>
    </row>
    <row r="10742" spans="18:20" x14ac:dyDescent="0.3">
      <c r="R10742" s="255"/>
      <c r="S10742" s="255"/>
      <c r="T10742" s="255"/>
    </row>
    <row r="10743" spans="18:20" x14ac:dyDescent="0.3">
      <c r="R10743" s="255"/>
      <c r="S10743" s="255"/>
      <c r="T10743" s="255"/>
    </row>
    <row r="10744" spans="18:20" x14ac:dyDescent="0.3">
      <c r="R10744" s="255"/>
      <c r="S10744" s="255"/>
      <c r="T10744" s="255"/>
    </row>
    <row r="10745" spans="18:20" x14ac:dyDescent="0.3">
      <c r="R10745" s="255"/>
      <c r="S10745" s="255"/>
      <c r="T10745" s="255"/>
    </row>
    <row r="10746" spans="18:20" x14ac:dyDescent="0.3">
      <c r="R10746" s="255"/>
      <c r="S10746" s="255"/>
      <c r="T10746" s="255"/>
    </row>
    <row r="10747" spans="18:20" x14ac:dyDescent="0.3">
      <c r="R10747" s="255"/>
      <c r="S10747" s="255"/>
      <c r="T10747" s="255"/>
    </row>
    <row r="10748" spans="18:20" x14ac:dyDescent="0.3">
      <c r="R10748" s="255"/>
      <c r="S10748" s="255"/>
      <c r="T10748" s="255"/>
    </row>
    <row r="10749" spans="18:20" x14ac:dyDescent="0.3">
      <c r="R10749" s="255"/>
      <c r="S10749" s="255"/>
      <c r="T10749" s="255"/>
    </row>
    <row r="10750" spans="18:20" x14ac:dyDescent="0.3">
      <c r="R10750" s="255"/>
      <c r="S10750" s="255"/>
      <c r="T10750" s="255"/>
    </row>
    <row r="10751" spans="18:20" x14ac:dyDescent="0.3">
      <c r="R10751" s="255"/>
      <c r="S10751" s="255"/>
      <c r="T10751" s="255"/>
    </row>
    <row r="10752" spans="18:20" x14ac:dyDescent="0.3">
      <c r="R10752" s="255"/>
      <c r="S10752" s="255"/>
      <c r="T10752" s="255"/>
    </row>
    <row r="10753" spans="18:20" x14ac:dyDescent="0.3">
      <c r="R10753" s="255"/>
      <c r="S10753" s="255"/>
      <c r="T10753" s="255"/>
    </row>
    <row r="10754" spans="18:20" x14ac:dyDescent="0.3">
      <c r="R10754" s="255"/>
      <c r="S10754" s="255"/>
      <c r="T10754" s="255"/>
    </row>
    <row r="10755" spans="18:20" x14ac:dyDescent="0.3">
      <c r="R10755" s="255"/>
      <c r="S10755" s="255"/>
      <c r="T10755" s="255"/>
    </row>
    <row r="10756" spans="18:20" x14ac:dyDescent="0.3">
      <c r="R10756" s="255"/>
      <c r="S10756" s="255"/>
      <c r="T10756" s="255"/>
    </row>
    <row r="10757" spans="18:20" x14ac:dyDescent="0.3">
      <c r="R10757" s="255"/>
      <c r="S10757" s="255"/>
      <c r="T10757" s="255"/>
    </row>
    <row r="10758" spans="18:20" x14ac:dyDescent="0.3">
      <c r="R10758" s="255"/>
      <c r="S10758" s="255"/>
      <c r="T10758" s="255"/>
    </row>
    <row r="10759" spans="18:20" x14ac:dyDescent="0.3">
      <c r="R10759" s="255"/>
      <c r="S10759" s="255"/>
      <c r="T10759" s="255"/>
    </row>
    <row r="10760" spans="18:20" x14ac:dyDescent="0.3">
      <c r="R10760" s="255"/>
      <c r="S10760" s="255"/>
      <c r="T10760" s="255"/>
    </row>
    <row r="10761" spans="18:20" x14ac:dyDescent="0.3">
      <c r="R10761" s="255"/>
      <c r="S10761" s="255"/>
      <c r="T10761" s="255"/>
    </row>
    <row r="10762" spans="18:20" x14ac:dyDescent="0.3">
      <c r="R10762" s="255"/>
      <c r="S10762" s="255"/>
      <c r="T10762" s="255"/>
    </row>
    <row r="10763" spans="18:20" x14ac:dyDescent="0.3">
      <c r="R10763" s="255"/>
      <c r="S10763" s="255"/>
      <c r="T10763" s="255"/>
    </row>
    <row r="10764" spans="18:20" x14ac:dyDescent="0.3">
      <c r="R10764" s="255"/>
      <c r="S10764" s="255"/>
      <c r="T10764" s="255"/>
    </row>
    <row r="10765" spans="18:20" x14ac:dyDescent="0.3">
      <c r="R10765" s="255"/>
      <c r="S10765" s="255"/>
      <c r="T10765" s="255"/>
    </row>
    <row r="10766" spans="18:20" x14ac:dyDescent="0.3">
      <c r="R10766" s="255"/>
      <c r="S10766" s="255"/>
      <c r="T10766" s="255"/>
    </row>
    <row r="10767" spans="18:20" x14ac:dyDescent="0.3">
      <c r="R10767" s="255"/>
      <c r="S10767" s="255"/>
      <c r="T10767" s="255"/>
    </row>
    <row r="10768" spans="18:20" x14ac:dyDescent="0.3">
      <c r="R10768" s="255"/>
      <c r="S10768" s="255"/>
      <c r="T10768" s="255"/>
    </row>
    <row r="10769" spans="18:20" x14ac:dyDescent="0.3">
      <c r="R10769" s="255"/>
      <c r="S10769" s="255"/>
      <c r="T10769" s="255"/>
    </row>
    <row r="10770" spans="18:20" x14ac:dyDescent="0.3">
      <c r="R10770" s="255"/>
      <c r="S10770" s="255"/>
      <c r="T10770" s="255"/>
    </row>
    <row r="10771" spans="18:20" x14ac:dyDescent="0.3">
      <c r="R10771" s="255"/>
      <c r="S10771" s="255"/>
      <c r="T10771" s="255"/>
    </row>
    <row r="10772" spans="18:20" x14ac:dyDescent="0.3">
      <c r="R10772" s="255"/>
      <c r="S10772" s="255"/>
      <c r="T10772" s="255"/>
    </row>
    <row r="10773" spans="18:20" x14ac:dyDescent="0.3">
      <c r="R10773" s="255"/>
      <c r="S10773" s="255"/>
      <c r="T10773" s="255"/>
    </row>
    <row r="10774" spans="18:20" x14ac:dyDescent="0.3">
      <c r="R10774" s="255"/>
      <c r="S10774" s="255"/>
      <c r="T10774" s="255"/>
    </row>
    <row r="10775" spans="18:20" x14ac:dyDescent="0.3">
      <c r="R10775" s="255"/>
      <c r="S10775" s="255"/>
      <c r="T10775" s="255"/>
    </row>
    <row r="10776" spans="18:20" x14ac:dyDescent="0.3">
      <c r="R10776" s="255"/>
      <c r="S10776" s="255"/>
      <c r="T10776" s="255"/>
    </row>
    <row r="10777" spans="18:20" x14ac:dyDescent="0.3">
      <c r="R10777" s="255"/>
      <c r="S10777" s="255"/>
      <c r="T10777" s="255"/>
    </row>
    <row r="10778" spans="18:20" x14ac:dyDescent="0.3">
      <c r="R10778" s="255"/>
      <c r="S10778" s="255"/>
      <c r="T10778" s="255"/>
    </row>
    <row r="10779" spans="18:20" x14ac:dyDescent="0.3">
      <c r="R10779" s="255"/>
      <c r="S10779" s="255"/>
      <c r="T10779" s="255"/>
    </row>
    <row r="10780" spans="18:20" x14ac:dyDescent="0.3">
      <c r="R10780" s="255"/>
      <c r="S10780" s="255"/>
      <c r="T10780" s="255"/>
    </row>
    <row r="10781" spans="18:20" x14ac:dyDescent="0.3">
      <c r="R10781" s="255"/>
      <c r="S10781" s="255"/>
      <c r="T10781" s="255"/>
    </row>
    <row r="10782" spans="18:20" x14ac:dyDescent="0.3">
      <c r="R10782" s="255"/>
      <c r="S10782" s="255"/>
      <c r="T10782" s="255"/>
    </row>
    <row r="10783" spans="18:20" x14ac:dyDescent="0.3">
      <c r="R10783" s="255"/>
      <c r="S10783" s="255"/>
      <c r="T10783" s="255"/>
    </row>
    <row r="10784" spans="18:20" x14ac:dyDescent="0.3">
      <c r="R10784" s="255"/>
      <c r="S10784" s="255"/>
      <c r="T10784" s="255"/>
    </row>
    <row r="10785" spans="18:20" x14ac:dyDescent="0.3">
      <c r="R10785" s="255"/>
      <c r="S10785" s="255"/>
      <c r="T10785" s="255"/>
    </row>
    <row r="10786" spans="18:20" x14ac:dyDescent="0.3">
      <c r="R10786" s="255"/>
      <c r="S10786" s="255"/>
      <c r="T10786" s="255"/>
    </row>
    <row r="10787" spans="18:20" x14ac:dyDescent="0.3">
      <c r="R10787" s="255"/>
      <c r="S10787" s="255"/>
      <c r="T10787" s="255"/>
    </row>
    <row r="10788" spans="18:20" x14ac:dyDescent="0.3">
      <c r="R10788" s="255"/>
      <c r="S10788" s="255"/>
      <c r="T10788" s="255"/>
    </row>
    <row r="10789" spans="18:20" x14ac:dyDescent="0.3">
      <c r="R10789" s="255"/>
      <c r="S10789" s="255"/>
      <c r="T10789" s="255"/>
    </row>
    <row r="10790" spans="18:20" x14ac:dyDescent="0.3">
      <c r="R10790" s="255"/>
      <c r="S10790" s="255"/>
      <c r="T10790" s="255"/>
    </row>
    <row r="10791" spans="18:20" x14ac:dyDescent="0.3">
      <c r="R10791" s="255"/>
      <c r="S10791" s="255"/>
      <c r="T10791" s="255"/>
    </row>
    <row r="10792" spans="18:20" x14ac:dyDescent="0.3">
      <c r="R10792" s="255"/>
      <c r="S10792" s="255"/>
      <c r="T10792" s="255"/>
    </row>
    <row r="10793" spans="18:20" x14ac:dyDescent="0.3">
      <c r="R10793" s="255"/>
      <c r="S10793" s="255"/>
      <c r="T10793" s="255"/>
    </row>
    <row r="10794" spans="18:20" x14ac:dyDescent="0.3">
      <c r="R10794" s="255"/>
      <c r="S10794" s="255"/>
      <c r="T10794" s="255"/>
    </row>
    <row r="10795" spans="18:20" x14ac:dyDescent="0.3">
      <c r="R10795" s="255"/>
      <c r="S10795" s="255"/>
      <c r="T10795" s="255"/>
    </row>
    <row r="10796" spans="18:20" x14ac:dyDescent="0.3">
      <c r="R10796" s="255"/>
      <c r="S10796" s="255"/>
      <c r="T10796" s="255"/>
    </row>
    <row r="10797" spans="18:20" x14ac:dyDescent="0.3">
      <c r="R10797" s="255"/>
      <c r="S10797" s="255"/>
      <c r="T10797" s="255"/>
    </row>
    <row r="10798" spans="18:20" x14ac:dyDescent="0.3">
      <c r="R10798" s="255"/>
      <c r="S10798" s="255"/>
      <c r="T10798" s="255"/>
    </row>
    <row r="10799" spans="18:20" x14ac:dyDescent="0.3">
      <c r="R10799" s="255"/>
      <c r="S10799" s="255"/>
      <c r="T10799" s="255"/>
    </row>
    <row r="10800" spans="18:20" x14ac:dyDescent="0.3">
      <c r="R10800" s="255"/>
      <c r="S10800" s="255"/>
      <c r="T10800" s="255"/>
    </row>
    <row r="10801" spans="18:20" x14ac:dyDescent="0.3">
      <c r="R10801" s="255"/>
      <c r="S10801" s="255"/>
      <c r="T10801" s="255"/>
    </row>
    <row r="10802" spans="18:20" x14ac:dyDescent="0.3">
      <c r="R10802" s="255"/>
      <c r="S10802" s="255"/>
      <c r="T10802" s="255"/>
    </row>
    <row r="10803" spans="18:20" x14ac:dyDescent="0.3">
      <c r="R10803" s="255"/>
      <c r="S10803" s="255"/>
      <c r="T10803" s="255"/>
    </row>
    <row r="10804" spans="18:20" x14ac:dyDescent="0.3">
      <c r="R10804" s="255"/>
      <c r="S10804" s="255"/>
      <c r="T10804" s="255"/>
    </row>
    <row r="10805" spans="18:20" x14ac:dyDescent="0.3">
      <c r="R10805" s="255"/>
      <c r="S10805" s="255"/>
      <c r="T10805" s="255"/>
    </row>
    <row r="10806" spans="18:20" x14ac:dyDescent="0.3">
      <c r="R10806" s="255"/>
      <c r="S10806" s="255"/>
      <c r="T10806" s="255"/>
    </row>
    <row r="10807" spans="18:20" x14ac:dyDescent="0.3">
      <c r="R10807" s="255"/>
      <c r="S10807" s="255"/>
      <c r="T10807" s="255"/>
    </row>
    <row r="10808" spans="18:20" x14ac:dyDescent="0.3">
      <c r="R10808" s="255"/>
      <c r="S10808" s="255"/>
      <c r="T10808" s="255"/>
    </row>
    <row r="10809" spans="18:20" x14ac:dyDescent="0.3">
      <c r="R10809" s="255"/>
      <c r="S10809" s="255"/>
      <c r="T10809" s="255"/>
    </row>
    <row r="10810" spans="18:20" x14ac:dyDescent="0.3">
      <c r="R10810" s="255"/>
      <c r="S10810" s="255"/>
      <c r="T10810" s="255"/>
    </row>
    <row r="10811" spans="18:20" x14ac:dyDescent="0.3">
      <c r="R10811" s="255"/>
      <c r="S10811" s="255"/>
      <c r="T10811" s="255"/>
    </row>
    <row r="10812" spans="18:20" x14ac:dyDescent="0.3">
      <c r="R10812" s="255"/>
      <c r="S10812" s="255"/>
      <c r="T10812" s="255"/>
    </row>
    <row r="10813" spans="18:20" x14ac:dyDescent="0.3">
      <c r="R10813" s="255"/>
      <c r="S10813" s="255"/>
      <c r="T10813" s="255"/>
    </row>
    <row r="10814" spans="18:20" x14ac:dyDescent="0.3">
      <c r="R10814" s="255"/>
      <c r="S10814" s="255"/>
      <c r="T10814" s="255"/>
    </row>
    <row r="10815" spans="18:20" x14ac:dyDescent="0.3">
      <c r="R10815" s="255"/>
      <c r="S10815" s="255"/>
      <c r="T10815" s="255"/>
    </row>
    <row r="10816" spans="18:20" x14ac:dyDescent="0.3">
      <c r="R10816" s="255"/>
      <c r="S10816" s="255"/>
      <c r="T10816" s="255"/>
    </row>
    <row r="10817" spans="18:20" x14ac:dyDescent="0.3">
      <c r="R10817" s="255"/>
      <c r="S10817" s="255"/>
      <c r="T10817" s="255"/>
    </row>
    <row r="10818" spans="18:20" x14ac:dyDescent="0.3">
      <c r="R10818" s="255"/>
      <c r="S10818" s="255"/>
      <c r="T10818" s="255"/>
    </row>
    <row r="10819" spans="18:20" x14ac:dyDescent="0.3">
      <c r="R10819" s="255"/>
      <c r="S10819" s="255"/>
      <c r="T10819" s="255"/>
    </row>
    <row r="10820" spans="18:20" x14ac:dyDescent="0.3">
      <c r="R10820" s="255"/>
      <c r="S10820" s="255"/>
      <c r="T10820" s="255"/>
    </row>
    <row r="10821" spans="18:20" x14ac:dyDescent="0.3">
      <c r="R10821" s="255"/>
      <c r="S10821" s="255"/>
      <c r="T10821" s="255"/>
    </row>
    <row r="10822" spans="18:20" x14ac:dyDescent="0.3">
      <c r="R10822" s="255"/>
      <c r="S10822" s="255"/>
      <c r="T10822" s="255"/>
    </row>
    <row r="10823" spans="18:20" x14ac:dyDescent="0.3">
      <c r="R10823" s="255"/>
      <c r="S10823" s="255"/>
      <c r="T10823" s="255"/>
    </row>
    <row r="10824" spans="18:20" x14ac:dyDescent="0.3">
      <c r="R10824" s="255"/>
      <c r="S10824" s="255"/>
      <c r="T10824" s="255"/>
    </row>
    <row r="10825" spans="18:20" x14ac:dyDescent="0.3">
      <c r="R10825" s="255"/>
      <c r="S10825" s="255"/>
      <c r="T10825" s="255"/>
    </row>
    <row r="10826" spans="18:20" x14ac:dyDescent="0.3">
      <c r="R10826" s="255"/>
      <c r="S10826" s="255"/>
      <c r="T10826" s="255"/>
    </row>
    <row r="10827" spans="18:20" x14ac:dyDescent="0.3">
      <c r="R10827" s="255"/>
      <c r="S10827" s="255"/>
      <c r="T10827" s="255"/>
    </row>
    <row r="10828" spans="18:20" x14ac:dyDescent="0.3">
      <c r="R10828" s="255"/>
      <c r="S10828" s="255"/>
      <c r="T10828" s="255"/>
    </row>
    <row r="10829" spans="18:20" x14ac:dyDescent="0.3">
      <c r="R10829" s="255"/>
      <c r="S10829" s="255"/>
      <c r="T10829" s="255"/>
    </row>
    <row r="10830" spans="18:20" x14ac:dyDescent="0.3">
      <c r="R10830" s="255"/>
      <c r="S10830" s="255"/>
      <c r="T10830" s="255"/>
    </row>
    <row r="10831" spans="18:20" x14ac:dyDescent="0.3">
      <c r="R10831" s="255"/>
      <c r="S10831" s="255"/>
      <c r="T10831" s="255"/>
    </row>
    <row r="10832" spans="18:20" x14ac:dyDescent="0.3">
      <c r="R10832" s="255"/>
      <c r="S10832" s="255"/>
      <c r="T10832" s="255"/>
    </row>
    <row r="10833" spans="18:20" x14ac:dyDescent="0.3">
      <c r="R10833" s="255"/>
      <c r="S10833" s="255"/>
      <c r="T10833" s="255"/>
    </row>
    <row r="10834" spans="18:20" x14ac:dyDescent="0.3">
      <c r="R10834" s="255"/>
      <c r="S10834" s="255"/>
      <c r="T10834" s="255"/>
    </row>
    <row r="10835" spans="18:20" x14ac:dyDescent="0.3">
      <c r="R10835" s="255"/>
      <c r="S10835" s="255"/>
      <c r="T10835" s="255"/>
    </row>
    <row r="10836" spans="18:20" x14ac:dyDescent="0.3">
      <c r="R10836" s="255"/>
      <c r="S10836" s="255"/>
      <c r="T10836" s="255"/>
    </row>
    <row r="10837" spans="18:20" x14ac:dyDescent="0.3">
      <c r="R10837" s="255"/>
      <c r="S10837" s="255"/>
      <c r="T10837" s="255"/>
    </row>
    <row r="10838" spans="18:20" x14ac:dyDescent="0.3">
      <c r="R10838" s="255"/>
      <c r="S10838" s="255"/>
      <c r="T10838" s="255"/>
    </row>
    <row r="10839" spans="18:20" x14ac:dyDescent="0.3">
      <c r="R10839" s="255"/>
      <c r="S10839" s="255"/>
      <c r="T10839" s="255"/>
    </row>
    <row r="10840" spans="18:20" x14ac:dyDescent="0.3">
      <c r="R10840" s="255"/>
      <c r="S10840" s="255"/>
      <c r="T10840" s="255"/>
    </row>
    <row r="10841" spans="18:20" x14ac:dyDescent="0.3">
      <c r="R10841" s="255"/>
      <c r="S10841" s="255"/>
      <c r="T10841" s="255"/>
    </row>
    <row r="10842" spans="18:20" x14ac:dyDescent="0.3">
      <c r="R10842" s="255"/>
      <c r="S10842" s="255"/>
      <c r="T10842" s="255"/>
    </row>
    <row r="10843" spans="18:20" x14ac:dyDescent="0.3">
      <c r="R10843" s="255"/>
      <c r="S10843" s="255"/>
      <c r="T10843" s="255"/>
    </row>
    <row r="10844" spans="18:20" x14ac:dyDescent="0.3">
      <c r="R10844" s="255"/>
      <c r="S10844" s="255"/>
      <c r="T10844" s="255"/>
    </row>
    <row r="10845" spans="18:20" x14ac:dyDescent="0.3">
      <c r="R10845" s="255"/>
      <c r="S10845" s="255"/>
      <c r="T10845" s="255"/>
    </row>
    <row r="10846" spans="18:20" x14ac:dyDescent="0.3">
      <c r="R10846" s="255"/>
      <c r="S10846" s="255"/>
      <c r="T10846" s="255"/>
    </row>
    <row r="10847" spans="18:20" x14ac:dyDescent="0.3">
      <c r="R10847" s="255"/>
      <c r="S10847" s="255"/>
      <c r="T10847" s="255"/>
    </row>
    <row r="10848" spans="18:20" x14ac:dyDescent="0.3">
      <c r="R10848" s="255"/>
      <c r="S10848" s="255"/>
      <c r="T10848" s="255"/>
    </row>
    <row r="10849" spans="18:20" x14ac:dyDescent="0.3">
      <c r="R10849" s="255"/>
      <c r="S10849" s="255"/>
      <c r="T10849" s="255"/>
    </row>
    <row r="10850" spans="18:20" x14ac:dyDescent="0.3">
      <c r="R10850" s="255"/>
      <c r="S10850" s="255"/>
      <c r="T10850" s="255"/>
    </row>
    <row r="10851" spans="18:20" x14ac:dyDescent="0.3">
      <c r="R10851" s="255"/>
      <c r="S10851" s="255"/>
      <c r="T10851" s="255"/>
    </row>
    <row r="10852" spans="18:20" x14ac:dyDescent="0.3">
      <c r="R10852" s="255"/>
      <c r="S10852" s="255"/>
      <c r="T10852" s="255"/>
    </row>
    <row r="10853" spans="18:20" x14ac:dyDescent="0.3">
      <c r="R10853" s="255"/>
      <c r="S10853" s="255"/>
      <c r="T10853" s="255"/>
    </row>
    <row r="10854" spans="18:20" x14ac:dyDescent="0.3">
      <c r="R10854" s="255"/>
      <c r="S10854" s="255"/>
      <c r="T10854" s="255"/>
    </row>
    <row r="10855" spans="18:20" x14ac:dyDescent="0.3">
      <c r="R10855" s="255"/>
      <c r="S10855" s="255"/>
      <c r="T10855" s="255"/>
    </row>
    <row r="10856" spans="18:20" x14ac:dyDescent="0.3">
      <c r="R10856" s="255"/>
      <c r="S10856" s="255"/>
      <c r="T10856" s="255"/>
    </row>
    <row r="10857" spans="18:20" x14ac:dyDescent="0.3">
      <c r="R10857" s="255"/>
      <c r="S10857" s="255"/>
      <c r="T10857" s="255"/>
    </row>
    <row r="10858" spans="18:20" x14ac:dyDescent="0.3">
      <c r="R10858" s="255"/>
      <c r="S10858" s="255"/>
      <c r="T10858" s="255"/>
    </row>
    <row r="10859" spans="18:20" x14ac:dyDescent="0.3">
      <c r="R10859" s="255"/>
      <c r="S10859" s="255"/>
      <c r="T10859" s="255"/>
    </row>
    <row r="10860" spans="18:20" x14ac:dyDescent="0.3">
      <c r="R10860" s="255"/>
      <c r="S10860" s="255"/>
      <c r="T10860" s="255"/>
    </row>
    <row r="10861" spans="18:20" x14ac:dyDescent="0.3">
      <c r="R10861" s="255"/>
      <c r="S10861" s="255"/>
      <c r="T10861" s="255"/>
    </row>
    <row r="10862" spans="18:20" x14ac:dyDescent="0.3">
      <c r="R10862" s="255"/>
      <c r="S10862" s="255"/>
      <c r="T10862" s="255"/>
    </row>
    <row r="10863" spans="18:20" x14ac:dyDescent="0.3">
      <c r="R10863" s="255"/>
      <c r="S10863" s="255"/>
      <c r="T10863" s="255"/>
    </row>
    <row r="10864" spans="18:20" x14ac:dyDescent="0.3">
      <c r="R10864" s="255"/>
      <c r="S10864" s="255"/>
      <c r="T10864" s="255"/>
    </row>
    <row r="10865" spans="18:20" x14ac:dyDescent="0.3">
      <c r="R10865" s="255"/>
      <c r="S10865" s="255"/>
      <c r="T10865" s="255"/>
    </row>
    <row r="10866" spans="18:20" x14ac:dyDescent="0.3">
      <c r="R10866" s="255"/>
      <c r="S10866" s="255"/>
      <c r="T10866" s="255"/>
    </row>
    <row r="10867" spans="18:20" x14ac:dyDescent="0.3">
      <c r="R10867" s="255"/>
      <c r="S10867" s="255"/>
      <c r="T10867" s="255"/>
    </row>
    <row r="10868" spans="18:20" x14ac:dyDescent="0.3">
      <c r="R10868" s="255"/>
      <c r="S10868" s="255"/>
      <c r="T10868" s="255"/>
    </row>
    <row r="10869" spans="18:20" x14ac:dyDescent="0.3">
      <c r="R10869" s="255"/>
      <c r="S10869" s="255"/>
      <c r="T10869" s="255"/>
    </row>
    <row r="10870" spans="18:20" x14ac:dyDescent="0.3">
      <c r="R10870" s="255"/>
      <c r="S10870" s="255"/>
      <c r="T10870" s="255"/>
    </row>
    <row r="10871" spans="18:20" x14ac:dyDescent="0.3">
      <c r="R10871" s="255"/>
      <c r="S10871" s="255"/>
      <c r="T10871" s="255"/>
    </row>
    <row r="10872" spans="18:20" x14ac:dyDescent="0.3">
      <c r="R10872" s="255"/>
      <c r="S10872" s="255"/>
      <c r="T10872" s="255"/>
    </row>
    <row r="10873" spans="18:20" x14ac:dyDescent="0.3">
      <c r="R10873" s="255"/>
      <c r="S10873" s="255"/>
      <c r="T10873" s="255"/>
    </row>
    <row r="10874" spans="18:20" x14ac:dyDescent="0.3">
      <c r="R10874" s="255"/>
      <c r="S10874" s="255"/>
      <c r="T10874" s="255"/>
    </row>
    <row r="10875" spans="18:20" x14ac:dyDescent="0.3">
      <c r="R10875" s="255"/>
      <c r="S10875" s="255"/>
      <c r="T10875" s="255"/>
    </row>
    <row r="10876" spans="18:20" x14ac:dyDescent="0.3">
      <c r="R10876" s="255"/>
      <c r="S10876" s="255"/>
      <c r="T10876" s="255"/>
    </row>
    <row r="10877" spans="18:20" x14ac:dyDescent="0.3">
      <c r="R10877" s="255"/>
      <c r="S10877" s="255"/>
      <c r="T10877" s="255"/>
    </row>
    <row r="10878" spans="18:20" x14ac:dyDescent="0.3">
      <c r="R10878" s="255"/>
      <c r="S10878" s="255"/>
      <c r="T10878" s="255"/>
    </row>
    <row r="10879" spans="18:20" x14ac:dyDescent="0.3">
      <c r="R10879" s="255"/>
      <c r="S10879" s="255"/>
      <c r="T10879" s="255"/>
    </row>
    <row r="10880" spans="18:20" x14ac:dyDescent="0.3">
      <c r="R10880" s="255"/>
      <c r="S10880" s="255"/>
      <c r="T10880" s="255"/>
    </row>
    <row r="10881" spans="18:20" x14ac:dyDescent="0.3">
      <c r="R10881" s="255"/>
      <c r="S10881" s="255"/>
      <c r="T10881" s="255"/>
    </row>
    <row r="10882" spans="18:20" x14ac:dyDescent="0.3">
      <c r="R10882" s="255"/>
      <c r="S10882" s="255"/>
      <c r="T10882" s="255"/>
    </row>
    <row r="10883" spans="18:20" x14ac:dyDescent="0.3">
      <c r="R10883" s="255"/>
      <c r="S10883" s="255"/>
      <c r="T10883" s="255"/>
    </row>
    <row r="10884" spans="18:20" x14ac:dyDescent="0.3">
      <c r="R10884" s="255"/>
      <c r="S10884" s="255"/>
      <c r="T10884" s="255"/>
    </row>
    <row r="10885" spans="18:20" x14ac:dyDescent="0.3">
      <c r="R10885" s="255"/>
      <c r="S10885" s="255"/>
      <c r="T10885" s="255"/>
    </row>
    <row r="10886" spans="18:20" x14ac:dyDescent="0.3">
      <c r="R10886" s="255"/>
      <c r="S10886" s="255"/>
      <c r="T10886" s="255"/>
    </row>
    <row r="10887" spans="18:20" x14ac:dyDescent="0.3">
      <c r="R10887" s="255"/>
      <c r="S10887" s="255"/>
      <c r="T10887" s="255"/>
    </row>
    <row r="10888" spans="18:20" x14ac:dyDescent="0.3">
      <c r="R10888" s="255"/>
      <c r="S10888" s="255"/>
      <c r="T10888" s="255"/>
    </row>
    <row r="10889" spans="18:20" x14ac:dyDescent="0.3">
      <c r="R10889" s="255"/>
      <c r="S10889" s="255"/>
      <c r="T10889" s="255"/>
    </row>
    <row r="10890" spans="18:20" x14ac:dyDescent="0.3">
      <c r="R10890" s="255"/>
      <c r="S10890" s="255"/>
      <c r="T10890" s="255"/>
    </row>
    <row r="10891" spans="18:20" x14ac:dyDescent="0.3">
      <c r="R10891" s="255"/>
      <c r="S10891" s="255"/>
      <c r="T10891" s="255"/>
    </row>
    <row r="10892" spans="18:20" x14ac:dyDescent="0.3">
      <c r="R10892" s="255"/>
      <c r="S10892" s="255"/>
      <c r="T10892" s="255"/>
    </row>
    <row r="10893" spans="18:20" x14ac:dyDescent="0.3">
      <c r="R10893" s="255"/>
      <c r="S10893" s="255"/>
      <c r="T10893" s="255"/>
    </row>
    <row r="10894" spans="18:20" x14ac:dyDescent="0.3">
      <c r="R10894" s="255"/>
      <c r="S10894" s="255"/>
      <c r="T10894" s="255"/>
    </row>
    <row r="10895" spans="18:20" x14ac:dyDescent="0.3">
      <c r="R10895" s="255"/>
      <c r="S10895" s="255"/>
      <c r="T10895" s="255"/>
    </row>
    <row r="10896" spans="18:20" x14ac:dyDescent="0.3">
      <c r="R10896" s="255"/>
      <c r="S10896" s="255"/>
      <c r="T10896" s="255"/>
    </row>
    <row r="10897" spans="18:20" x14ac:dyDescent="0.3">
      <c r="R10897" s="255"/>
      <c r="S10897" s="255"/>
      <c r="T10897" s="255"/>
    </row>
    <row r="10898" spans="18:20" x14ac:dyDescent="0.3">
      <c r="R10898" s="255"/>
      <c r="S10898" s="255"/>
      <c r="T10898" s="255"/>
    </row>
    <row r="10899" spans="18:20" x14ac:dyDescent="0.3">
      <c r="R10899" s="255"/>
      <c r="S10899" s="255"/>
      <c r="T10899" s="255"/>
    </row>
    <row r="10900" spans="18:20" x14ac:dyDescent="0.3">
      <c r="R10900" s="255"/>
      <c r="S10900" s="255"/>
      <c r="T10900" s="255"/>
    </row>
    <row r="10901" spans="18:20" x14ac:dyDescent="0.3">
      <c r="R10901" s="255"/>
      <c r="S10901" s="255"/>
      <c r="T10901" s="255"/>
    </row>
    <row r="10902" spans="18:20" x14ac:dyDescent="0.3">
      <c r="R10902" s="255"/>
      <c r="S10902" s="255"/>
      <c r="T10902" s="255"/>
    </row>
    <row r="10903" spans="18:20" x14ac:dyDescent="0.3">
      <c r="R10903" s="255"/>
      <c r="S10903" s="255"/>
      <c r="T10903" s="255"/>
    </row>
    <row r="10904" spans="18:20" x14ac:dyDescent="0.3">
      <c r="R10904" s="255"/>
      <c r="S10904" s="255"/>
      <c r="T10904" s="255"/>
    </row>
    <row r="10905" spans="18:20" x14ac:dyDescent="0.3">
      <c r="R10905" s="255"/>
      <c r="S10905" s="255"/>
      <c r="T10905" s="255"/>
    </row>
    <row r="10906" spans="18:20" x14ac:dyDescent="0.3">
      <c r="R10906" s="255"/>
      <c r="S10906" s="255"/>
      <c r="T10906" s="255"/>
    </row>
    <row r="10907" spans="18:20" x14ac:dyDescent="0.3">
      <c r="R10907" s="255"/>
      <c r="S10907" s="255"/>
      <c r="T10907" s="255"/>
    </row>
    <row r="10908" spans="18:20" x14ac:dyDescent="0.3">
      <c r="R10908" s="255"/>
      <c r="S10908" s="255"/>
      <c r="T10908" s="255"/>
    </row>
    <row r="10909" spans="18:20" x14ac:dyDescent="0.3">
      <c r="R10909" s="255"/>
      <c r="S10909" s="255"/>
      <c r="T10909" s="255"/>
    </row>
    <row r="10910" spans="18:20" x14ac:dyDescent="0.3">
      <c r="R10910" s="255"/>
      <c r="S10910" s="255"/>
      <c r="T10910" s="255"/>
    </row>
    <row r="10911" spans="18:20" x14ac:dyDescent="0.3">
      <c r="R10911" s="255"/>
      <c r="S10911" s="255"/>
      <c r="T10911" s="255"/>
    </row>
    <row r="10912" spans="18:20" x14ac:dyDescent="0.3">
      <c r="R10912" s="255"/>
      <c r="S10912" s="255"/>
      <c r="T10912" s="255"/>
    </row>
    <row r="10913" spans="18:20" x14ac:dyDescent="0.3">
      <c r="R10913" s="255"/>
      <c r="S10913" s="255"/>
      <c r="T10913" s="255"/>
    </row>
    <row r="10914" spans="18:20" x14ac:dyDescent="0.3">
      <c r="R10914" s="255"/>
      <c r="S10914" s="255"/>
      <c r="T10914" s="255"/>
    </row>
    <row r="10915" spans="18:20" x14ac:dyDescent="0.3">
      <c r="R10915" s="255"/>
      <c r="S10915" s="255"/>
      <c r="T10915" s="255"/>
    </row>
    <row r="10916" spans="18:20" x14ac:dyDescent="0.3">
      <c r="R10916" s="255"/>
      <c r="S10916" s="255"/>
      <c r="T10916" s="255"/>
    </row>
    <row r="10917" spans="18:20" x14ac:dyDescent="0.3">
      <c r="R10917" s="255"/>
      <c r="S10917" s="255"/>
      <c r="T10917" s="255"/>
    </row>
    <row r="10918" spans="18:20" x14ac:dyDescent="0.3">
      <c r="R10918" s="255"/>
      <c r="S10918" s="255"/>
      <c r="T10918" s="255"/>
    </row>
    <row r="10919" spans="18:20" x14ac:dyDescent="0.3">
      <c r="R10919" s="255"/>
      <c r="S10919" s="255"/>
      <c r="T10919" s="255"/>
    </row>
    <row r="10920" spans="18:20" x14ac:dyDescent="0.3">
      <c r="R10920" s="255"/>
      <c r="S10920" s="255"/>
      <c r="T10920" s="255"/>
    </row>
    <row r="10921" spans="18:20" x14ac:dyDescent="0.3">
      <c r="R10921" s="255"/>
      <c r="S10921" s="255"/>
      <c r="T10921" s="255"/>
    </row>
    <row r="10922" spans="18:20" x14ac:dyDescent="0.3">
      <c r="R10922" s="255"/>
      <c r="S10922" s="255"/>
      <c r="T10922" s="255"/>
    </row>
    <row r="10923" spans="18:20" x14ac:dyDescent="0.3">
      <c r="R10923" s="255"/>
      <c r="S10923" s="255"/>
      <c r="T10923" s="255"/>
    </row>
    <row r="10924" spans="18:20" x14ac:dyDescent="0.3">
      <c r="R10924" s="255"/>
      <c r="S10924" s="255"/>
      <c r="T10924" s="255"/>
    </row>
    <row r="10925" spans="18:20" x14ac:dyDescent="0.3">
      <c r="R10925" s="255"/>
      <c r="S10925" s="255"/>
      <c r="T10925" s="255"/>
    </row>
    <row r="10926" spans="18:20" x14ac:dyDescent="0.3">
      <c r="R10926" s="255"/>
      <c r="S10926" s="255"/>
      <c r="T10926" s="255"/>
    </row>
    <row r="10927" spans="18:20" x14ac:dyDescent="0.3">
      <c r="R10927" s="255"/>
      <c r="S10927" s="255"/>
      <c r="T10927" s="255"/>
    </row>
    <row r="10928" spans="18:20" x14ac:dyDescent="0.3">
      <c r="R10928" s="255"/>
      <c r="S10928" s="255"/>
      <c r="T10928" s="255"/>
    </row>
    <row r="10929" spans="18:20" x14ac:dyDescent="0.3">
      <c r="R10929" s="255"/>
      <c r="S10929" s="255"/>
      <c r="T10929" s="255"/>
    </row>
    <row r="10930" spans="18:20" x14ac:dyDescent="0.3">
      <c r="R10930" s="255"/>
      <c r="S10930" s="255"/>
      <c r="T10930" s="255"/>
    </row>
    <row r="10931" spans="18:20" x14ac:dyDescent="0.3">
      <c r="R10931" s="255"/>
      <c r="S10931" s="255"/>
      <c r="T10931" s="255"/>
    </row>
    <row r="10932" spans="18:20" x14ac:dyDescent="0.3">
      <c r="R10932" s="255"/>
      <c r="S10932" s="255"/>
      <c r="T10932" s="255"/>
    </row>
    <row r="10933" spans="18:20" x14ac:dyDescent="0.3">
      <c r="R10933" s="255"/>
      <c r="S10933" s="255"/>
      <c r="T10933" s="255"/>
    </row>
    <row r="10934" spans="18:20" x14ac:dyDescent="0.3">
      <c r="R10934" s="255"/>
      <c r="S10934" s="255"/>
      <c r="T10934" s="255"/>
    </row>
    <row r="10935" spans="18:20" x14ac:dyDescent="0.3">
      <c r="R10935" s="255"/>
      <c r="S10935" s="255"/>
      <c r="T10935" s="255"/>
    </row>
    <row r="10936" spans="18:20" x14ac:dyDescent="0.3">
      <c r="R10936" s="255"/>
      <c r="S10936" s="255"/>
      <c r="T10936" s="255"/>
    </row>
    <row r="10937" spans="18:20" x14ac:dyDescent="0.3">
      <c r="R10937" s="255"/>
      <c r="S10937" s="255"/>
      <c r="T10937" s="255"/>
    </row>
    <row r="10938" spans="18:20" x14ac:dyDescent="0.3">
      <c r="R10938" s="255"/>
      <c r="S10938" s="255"/>
      <c r="T10938" s="255"/>
    </row>
    <row r="10939" spans="18:20" x14ac:dyDescent="0.3">
      <c r="R10939" s="255"/>
      <c r="S10939" s="255"/>
      <c r="T10939" s="255"/>
    </row>
    <row r="10940" spans="18:20" x14ac:dyDescent="0.3">
      <c r="R10940" s="255"/>
      <c r="S10940" s="255"/>
      <c r="T10940" s="255"/>
    </row>
    <row r="10941" spans="18:20" x14ac:dyDescent="0.3">
      <c r="R10941" s="255"/>
      <c r="S10941" s="255"/>
      <c r="T10941" s="255"/>
    </row>
    <row r="10942" spans="18:20" x14ac:dyDescent="0.3">
      <c r="R10942" s="255"/>
      <c r="S10942" s="255"/>
      <c r="T10942" s="255"/>
    </row>
    <row r="10943" spans="18:20" x14ac:dyDescent="0.3">
      <c r="R10943" s="255"/>
      <c r="S10943" s="255"/>
      <c r="T10943" s="255"/>
    </row>
    <row r="10944" spans="18:20" x14ac:dyDescent="0.3">
      <c r="R10944" s="255"/>
      <c r="S10944" s="255"/>
      <c r="T10944" s="255"/>
    </row>
    <row r="10945" spans="18:20" x14ac:dyDescent="0.3">
      <c r="R10945" s="255"/>
      <c r="S10945" s="255"/>
      <c r="T10945" s="255"/>
    </row>
    <row r="10946" spans="18:20" x14ac:dyDescent="0.3">
      <c r="R10946" s="255"/>
      <c r="S10946" s="255"/>
      <c r="T10946" s="255"/>
    </row>
    <row r="10947" spans="18:20" x14ac:dyDescent="0.3">
      <c r="R10947" s="255"/>
      <c r="S10947" s="255"/>
      <c r="T10947" s="255"/>
    </row>
    <row r="10948" spans="18:20" x14ac:dyDescent="0.3">
      <c r="R10948" s="255"/>
      <c r="S10948" s="255"/>
      <c r="T10948" s="255"/>
    </row>
    <row r="10949" spans="18:20" x14ac:dyDescent="0.3">
      <c r="R10949" s="255"/>
      <c r="S10949" s="255"/>
      <c r="T10949" s="255"/>
    </row>
    <row r="10950" spans="18:20" x14ac:dyDescent="0.3">
      <c r="R10950" s="255"/>
      <c r="S10950" s="255"/>
      <c r="T10950" s="255"/>
    </row>
    <row r="10951" spans="18:20" x14ac:dyDescent="0.3">
      <c r="R10951" s="255"/>
      <c r="S10951" s="255"/>
      <c r="T10951" s="255"/>
    </row>
    <row r="10952" spans="18:20" x14ac:dyDescent="0.3">
      <c r="R10952" s="255"/>
      <c r="S10952" s="255"/>
      <c r="T10952" s="255"/>
    </row>
    <row r="10953" spans="18:20" x14ac:dyDescent="0.3">
      <c r="R10953" s="255"/>
      <c r="S10953" s="255"/>
      <c r="T10953" s="255"/>
    </row>
    <row r="10954" spans="18:20" x14ac:dyDescent="0.3">
      <c r="R10954" s="255"/>
      <c r="S10954" s="255"/>
      <c r="T10954" s="255"/>
    </row>
    <row r="10955" spans="18:20" x14ac:dyDescent="0.3">
      <c r="R10955" s="255"/>
      <c r="S10955" s="255"/>
      <c r="T10955" s="255"/>
    </row>
    <row r="10956" spans="18:20" x14ac:dyDescent="0.3">
      <c r="R10956" s="255"/>
      <c r="S10956" s="255"/>
      <c r="T10956" s="255"/>
    </row>
    <row r="10957" spans="18:20" x14ac:dyDescent="0.3">
      <c r="R10957" s="255"/>
      <c r="S10957" s="255"/>
      <c r="T10957" s="255"/>
    </row>
    <row r="10958" spans="18:20" x14ac:dyDescent="0.3">
      <c r="R10958" s="255"/>
      <c r="S10958" s="255"/>
      <c r="T10958" s="255"/>
    </row>
    <row r="10959" spans="18:20" x14ac:dyDescent="0.3">
      <c r="R10959" s="255"/>
      <c r="S10959" s="255"/>
      <c r="T10959" s="255"/>
    </row>
    <row r="10960" spans="18:20" x14ac:dyDescent="0.3">
      <c r="R10960" s="255"/>
      <c r="S10960" s="255"/>
      <c r="T10960" s="255"/>
    </row>
    <row r="10961" spans="18:20" x14ac:dyDescent="0.3">
      <c r="R10961" s="255"/>
      <c r="S10961" s="255"/>
      <c r="T10961" s="255"/>
    </row>
    <row r="10962" spans="18:20" x14ac:dyDescent="0.3">
      <c r="R10962" s="255"/>
      <c r="S10962" s="255"/>
      <c r="T10962" s="255"/>
    </row>
    <row r="10963" spans="18:20" x14ac:dyDescent="0.3">
      <c r="R10963" s="255"/>
      <c r="S10963" s="255"/>
      <c r="T10963" s="255"/>
    </row>
    <row r="10964" spans="18:20" x14ac:dyDescent="0.3">
      <c r="R10964" s="255"/>
      <c r="S10964" s="255"/>
      <c r="T10964" s="255"/>
    </row>
    <row r="10965" spans="18:20" x14ac:dyDescent="0.3">
      <c r="R10965" s="255"/>
      <c r="S10965" s="255"/>
      <c r="T10965" s="255"/>
    </row>
    <row r="10966" spans="18:20" x14ac:dyDescent="0.3">
      <c r="R10966" s="255"/>
      <c r="S10966" s="255"/>
      <c r="T10966" s="255"/>
    </row>
    <row r="10967" spans="18:20" x14ac:dyDescent="0.3">
      <c r="R10967" s="255"/>
      <c r="S10967" s="255"/>
      <c r="T10967" s="255"/>
    </row>
    <row r="10968" spans="18:20" x14ac:dyDescent="0.3">
      <c r="R10968" s="255"/>
      <c r="S10968" s="255"/>
      <c r="T10968" s="255"/>
    </row>
    <row r="10969" spans="18:20" x14ac:dyDescent="0.3">
      <c r="R10969" s="255"/>
      <c r="S10969" s="255"/>
      <c r="T10969" s="255"/>
    </row>
    <row r="10970" spans="18:20" x14ac:dyDescent="0.3">
      <c r="R10970" s="255"/>
      <c r="S10970" s="255"/>
      <c r="T10970" s="255"/>
    </row>
    <row r="10971" spans="18:20" x14ac:dyDescent="0.3">
      <c r="R10971" s="255"/>
      <c r="S10971" s="255"/>
      <c r="T10971" s="255"/>
    </row>
    <row r="10972" spans="18:20" x14ac:dyDescent="0.3">
      <c r="R10972" s="255"/>
      <c r="S10972" s="255"/>
      <c r="T10972" s="255"/>
    </row>
    <row r="10973" spans="18:20" x14ac:dyDescent="0.3">
      <c r="R10973" s="255"/>
      <c r="S10973" s="255"/>
      <c r="T10973" s="255"/>
    </row>
    <row r="10974" spans="18:20" x14ac:dyDescent="0.3">
      <c r="R10974" s="255"/>
      <c r="S10974" s="255"/>
      <c r="T10974" s="255"/>
    </row>
    <row r="10975" spans="18:20" x14ac:dyDescent="0.3">
      <c r="R10975" s="255"/>
      <c r="S10975" s="255"/>
      <c r="T10975" s="255"/>
    </row>
    <row r="10976" spans="18:20" x14ac:dyDescent="0.3">
      <c r="R10976" s="255"/>
      <c r="S10976" s="255"/>
      <c r="T10976" s="255"/>
    </row>
    <row r="10977" spans="18:20" x14ac:dyDescent="0.3">
      <c r="R10977" s="255"/>
      <c r="S10977" s="255"/>
      <c r="T10977" s="255"/>
    </row>
    <row r="10978" spans="18:20" x14ac:dyDescent="0.3">
      <c r="R10978" s="255"/>
      <c r="S10978" s="255"/>
      <c r="T10978" s="255"/>
    </row>
    <row r="10979" spans="18:20" x14ac:dyDescent="0.3">
      <c r="R10979" s="255"/>
      <c r="S10979" s="255"/>
      <c r="T10979" s="255"/>
    </row>
    <row r="10980" spans="18:20" x14ac:dyDescent="0.3">
      <c r="R10980" s="255"/>
      <c r="S10980" s="255"/>
      <c r="T10980" s="255"/>
    </row>
    <row r="10981" spans="18:20" x14ac:dyDescent="0.3">
      <c r="R10981" s="255"/>
      <c r="S10981" s="255"/>
      <c r="T10981" s="255"/>
    </row>
    <row r="10982" spans="18:20" x14ac:dyDescent="0.3">
      <c r="R10982" s="255"/>
      <c r="S10982" s="255"/>
      <c r="T10982" s="255"/>
    </row>
    <row r="10983" spans="18:20" x14ac:dyDescent="0.3">
      <c r="R10983" s="255"/>
      <c r="S10983" s="255"/>
      <c r="T10983" s="255"/>
    </row>
    <row r="10984" spans="18:20" x14ac:dyDescent="0.3">
      <c r="R10984" s="255"/>
      <c r="S10984" s="255"/>
      <c r="T10984" s="255"/>
    </row>
    <row r="10985" spans="18:20" x14ac:dyDescent="0.3">
      <c r="R10985" s="255"/>
      <c r="S10985" s="255"/>
      <c r="T10985" s="255"/>
    </row>
    <row r="10986" spans="18:20" x14ac:dyDescent="0.3">
      <c r="R10986" s="255"/>
      <c r="S10986" s="255"/>
      <c r="T10986" s="255"/>
    </row>
    <row r="10987" spans="18:20" x14ac:dyDescent="0.3">
      <c r="R10987" s="255"/>
      <c r="S10987" s="255"/>
      <c r="T10987" s="255"/>
    </row>
    <row r="10988" spans="18:20" x14ac:dyDescent="0.3">
      <c r="R10988" s="255"/>
      <c r="S10988" s="255"/>
      <c r="T10988" s="255"/>
    </row>
    <row r="10989" spans="18:20" x14ac:dyDescent="0.3">
      <c r="R10989" s="255"/>
      <c r="S10989" s="255"/>
      <c r="T10989" s="255"/>
    </row>
    <row r="10990" spans="18:20" x14ac:dyDescent="0.3">
      <c r="R10990" s="255"/>
      <c r="S10990" s="255"/>
      <c r="T10990" s="255"/>
    </row>
    <row r="10991" spans="18:20" x14ac:dyDescent="0.3">
      <c r="R10991" s="255"/>
      <c r="S10991" s="255"/>
      <c r="T10991" s="255"/>
    </row>
    <row r="10992" spans="18:20" x14ac:dyDescent="0.3">
      <c r="R10992" s="255"/>
      <c r="S10992" s="255"/>
      <c r="T10992" s="255"/>
    </row>
    <row r="10993" spans="18:20" x14ac:dyDescent="0.3">
      <c r="R10993" s="255"/>
      <c r="S10993" s="255"/>
      <c r="T10993" s="255"/>
    </row>
    <row r="10994" spans="18:20" x14ac:dyDescent="0.3">
      <c r="R10994" s="255"/>
      <c r="S10994" s="255"/>
      <c r="T10994" s="255"/>
    </row>
    <row r="10995" spans="18:20" x14ac:dyDescent="0.3">
      <c r="R10995" s="255"/>
      <c r="S10995" s="255"/>
      <c r="T10995" s="255"/>
    </row>
    <row r="10996" spans="18:20" x14ac:dyDescent="0.3">
      <c r="R10996" s="255"/>
      <c r="S10996" s="255"/>
      <c r="T10996" s="255"/>
    </row>
    <row r="10997" spans="18:20" x14ac:dyDescent="0.3">
      <c r="R10997" s="255"/>
      <c r="S10997" s="255"/>
      <c r="T10997" s="255"/>
    </row>
    <row r="10998" spans="18:20" x14ac:dyDescent="0.3">
      <c r="R10998" s="255"/>
      <c r="S10998" s="255"/>
      <c r="T10998" s="255"/>
    </row>
    <row r="10999" spans="18:20" x14ac:dyDescent="0.3">
      <c r="R10999" s="255"/>
      <c r="S10999" s="255"/>
      <c r="T10999" s="255"/>
    </row>
    <row r="11000" spans="18:20" x14ac:dyDescent="0.3">
      <c r="R11000" s="255"/>
      <c r="S11000" s="255"/>
      <c r="T11000" s="255"/>
    </row>
    <row r="11001" spans="18:20" x14ac:dyDescent="0.3">
      <c r="R11001" s="255"/>
      <c r="S11001" s="255"/>
      <c r="T11001" s="255"/>
    </row>
    <row r="11002" spans="18:20" x14ac:dyDescent="0.3">
      <c r="R11002" s="255"/>
      <c r="S11002" s="255"/>
      <c r="T11002" s="255"/>
    </row>
    <row r="11003" spans="18:20" x14ac:dyDescent="0.3">
      <c r="R11003" s="255"/>
      <c r="S11003" s="255"/>
      <c r="T11003" s="255"/>
    </row>
    <row r="11004" spans="18:20" x14ac:dyDescent="0.3">
      <c r="R11004" s="255"/>
      <c r="S11004" s="255"/>
      <c r="T11004" s="255"/>
    </row>
    <row r="11005" spans="18:20" x14ac:dyDescent="0.3">
      <c r="R11005" s="255"/>
      <c r="S11005" s="255"/>
      <c r="T11005" s="255"/>
    </row>
    <row r="11006" spans="18:20" x14ac:dyDescent="0.3">
      <c r="R11006" s="255"/>
      <c r="S11006" s="255"/>
      <c r="T11006" s="255"/>
    </row>
    <row r="11007" spans="18:20" x14ac:dyDescent="0.3">
      <c r="R11007" s="255"/>
      <c r="S11007" s="255"/>
      <c r="T11007" s="255"/>
    </row>
    <row r="11008" spans="18:20" x14ac:dyDescent="0.3">
      <c r="R11008" s="255"/>
      <c r="S11008" s="255"/>
      <c r="T11008" s="255"/>
    </row>
    <row r="11009" spans="18:20" x14ac:dyDescent="0.3">
      <c r="R11009" s="255"/>
      <c r="S11009" s="255"/>
      <c r="T11009" s="255"/>
    </row>
    <row r="11010" spans="18:20" x14ac:dyDescent="0.3">
      <c r="R11010" s="255"/>
      <c r="S11010" s="255"/>
      <c r="T11010" s="255"/>
    </row>
    <row r="11011" spans="18:20" x14ac:dyDescent="0.3">
      <c r="R11011" s="255"/>
      <c r="S11011" s="255"/>
      <c r="T11011" s="255"/>
    </row>
    <row r="11012" spans="18:20" x14ac:dyDescent="0.3">
      <c r="R11012" s="255"/>
      <c r="S11012" s="255"/>
      <c r="T11012" s="255"/>
    </row>
    <row r="11013" spans="18:20" x14ac:dyDescent="0.3">
      <c r="R11013" s="255"/>
      <c r="S11013" s="255"/>
      <c r="T11013" s="255"/>
    </row>
    <row r="11014" spans="18:20" x14ac:dyDescent="0.3">
      <c r="R11014" s="255"/>
      <c r="S11014" s="255"/>
      <c r="T11014" s="255"/>
    </row>
    <row r="11015" spans="18:20" x14ac:dyDescent="0.3">
      <c r="R11015" s="255"/>
      <c r="S11015" s="255"/>
      <c r="T11015" s="255"/>
    </row>
    <row r="11016" spans="18:20" x14ac:dyDescent="0.3">
      <c r="R11016" s="255"/>
      <c r="S11016" s="255"/>
      <c r="T11016" s="255"/>
    </row>
    <row r="11017" spans="18:20" x14ac:dyDescent="0.3">
      <c r="R11017" s="255"/>
      <c r="S11017" s="255"/>
      <c r="T11017" s="255"/>
    </row>
    <row r="11018" spans="18:20" x14ac:dyDescent="0.3">
      <c r="R11018" s="255"/>
      <c r="S11018" s="255"/>
      <c r="T11018" s="255"/>
    </row>
    <row r="11019" spans="18:20" x14ac:dyDescent="0.3">
      <c r="R11019" s="255"/>
      <c r="S11019" s="255"/>
      <c r="T11019" s="255"/>
    </row>
    <row r="11020" spans="18:20" x14ac:dyDescent="0.3">
      <c r="R11020" s="255"/>
      <c r="S11020" s="255"/>
      <c r="T11020" s="255"/>
    </row>
    <row r="11021" spans="18:20" x14ac:dyDescent="0.3">
      <c r="R11021" s="255"/>
      <c r="S11021" s="255"/>
      <c r="T11021" s="255"/>
    </row>
    <row r="11022" spans="18:20" x14ac:dyDescent="0.3">
      <c r="R11022" s="255"/>
      <c r="S11022" s="255"/>
      <c r="T11022" s="255"/>
    </row>
    <row r="11023" spans="18:20" x14ac:dyDescent="0.3">
      <c r="R11023" s="255"/>
      <c r="S11023" s="255"/>
      <c r="T11023" s="255"/>
    </row>
    <row r="11024" spans="18:20" x14ac:dyDescent="0.3">
      <c r="R11024" s="255"/>
      <c r="S11024" s="255"/>
      <c r="T11024" s="255"/>
    </row>
    <row r="11025" spans="18:20" x14ac:dyDescent="0.3">
      <c r="R11025" s="255"/>
      <c r="S11025" s="255"/>
      <c r="T11025" s="255"/>
    </row>
    <row r="11026" spans="18:20" x14ac:dyDescent="0.3">
      <c r="R11026" s="255"/>
      <c r="S11026" s="255"/>
      <c r="T11026" s="255"/>
    </row>
    <row r="11027" spans="18:20" x14ac:dyDescent="0.3">
      <c r="R11027" s="255"/>
      <c r="S11027" s="255"/>
      <c r="T11027" s="255"/>
    </row>
    <row r="11028" spans="18:20" x14ac:dyDescent="0.3">
      <c r="R11028" s="255"/>
      <c r="S11028" s="255"/>
      <c r="T11028" s="255"/>
    </row>
    <row r="11029" spans="18:20" x14ac:dyDescent="0.3">
      <c r="R11029" s="255"/>
      <c r="S11029" s="255"/>
      <c r="T11029" s="255"/>
    </row>
    <row r="11030" spans="18:20" x14ac:dyDescent="0.3">
      <c r="R11030" s="255"/>
      <c r="S11030" s="255"/>
      <c r="T11030" s="255"/>
    </row>
    <row r="11031" spans="18:20" x14ac:dyDescent="0.3">
      <c r="R11031" s="255"/>
      <c r="S11031" s="255"/>
      <c r="T11031" s="255"/>
    </row>
    <row r="11032" spans="18:20" x14ac:dyDescent="0.3">
      <c r="R11032" s="255"/>
      <c r="S11032" s="255"/>
      <c r="T11032" s="255"/>
    </row>
    <row r="11033" spans="18:20" x14ac:dyDescent="0.3">
      <c r="R11033" s="255"/>
      <c r="S11033" s="255"/>
      <c r="T11033" s="255"/>
    </row>
    <row r="11034" spans="18:20" x14ac:dyDescent="0.3">
      <c r="R11034" s="255"/>
      <c r="S11034" s="255"/>
      <c r="T11034" s="255"/>
    </row>
    <row r="11035" spans="18:20" x14ac:dyDescent="0.3">
      <c r="R11035" s="255"/>
      <c r="S11035" s="255"/>
      <c r="T11035" s="255"/>
    </row>
    <row r="11036" spans="18:20" x14ac:dyDescent="0.3">
      <c r="R11036" s="255"/>
      <c r="S11036" s="255"/>
      <c r="T11036" s="255"/>
    </row>
    <row r="11037" spans="18:20" x14ac:dyDescent="0.3">
      <c r="R11037" s="255"/>
      <c r="S11037" s="255"/>
      <c r="T11037" s="255"/>
    </row>
    <row r="11038" spans="18:20" x14ac:dyDescent="0.3">
      <c r="R11038" s="255"/>
      <c r="S11038" s="255"/>
      <c r="T11038" s="255"/>
    </row>
    <row r="11039" spans="18:20" x14ac:dyDescent="0.3">
      <c r="R11039" s="255"/>
      <c r="S11039" s="255"/>
      <c r="T11039" s="255"/>
    </row>
    <row r="11040" spans="18:20" x14ac:dyDescent="0.3">
      <c r="R11040" s="255"/>
      <c r="S11040" s="255"/>
      <c r="T11040" s="255"/>
    </row>
    <row r="11041" spans="18:20" x14ac:dyDescent="0.3">
      <c r="R11041" s="255"/>
      <c r="S11041" s="255"/>
      <c r="T11041" s="255"/>
    </row>
    <row r="11042" spans="18:20" x14ac:dyDescent="0.3">
      <c r="R11042" s="255"/>
      <c r="S11042" s="255"/>
      <c r="T11042" s="255"/>
    </row>
    <row r="11043" spans="18:20" x14ac:dyDescent="0.3">
      <c r="R11043" s="255"/>
      <c r="S11043" s="255"/>
      <c r="T11043" s="255"/>
    </row>
    <row r="11044" spans="18:20" x14ac:dyDescent="0.3">
      <c r="R11044" s="255"/>
      <c r="S11044" s="255"/>
      <c r="T11044" s="255"/>
    </row>
    <row r="11045" spans="18:20" x14ac:dyDescent="0.3">
      <c r="R11045" s="255"/>
      <c r="S11045" s="255"/>
      <c r="T11045" s="255"/>
    </row>
    <row r="11046" spans="18:20" x14ac:dyDescent="0.3">
      <c r="R11046" s="255"/>
      <c r="S11046" s="255"/>
      <c r="T11046" s="255"/>
    </row>
    <row r="11047" spans="18:20" x14ac:dyDescent="0.3">
      <c r="R11047" s="255"/>
      <c r="S11047" s="255"/>
      <c r="T11047" s="255"/>
    </row>
    <row r="11048" spans="18:20" x14ac:dyDescent="0.3">
      <c r="R11048" s="255"/>
      <c r="S11048" s="255"/>
      <c r="T11048" s="255"/>
    </row>
    <row r="11049" spans="18:20" x14ac:dyDescent="0.3">
      <c r="R11049" s="255"/>
      <c r="S11049" s="255"/>
      <c r="T11049" s="255"/>
    </row>
    <row r="11050" spans="18:20" x14ac:dyDescent="0.3">
      <c r="R11050" s="255"/>
      <c r="S11050" s="255"/>
      <c r="T11050" s="255"/>
    </row>
    <row r="11051" spans="18:20" x14ac:dyDescent="0.3">
      <c r="R11051" s="255"/>
      <c r="S11051" s="255"/>
      <c r="T11051" s="255"/>
    </row>
    <row r="11052" spans="18:20" x14ac:dyDescent="0.3">
      <c r="R11052" s="255"/>
      <c r="S11052" s="255"/>
      <c r="T11052" s="255"/>
    </row>
    <row r="11053" spans="18:20" x14ac:dyDescent="0.3">
      <c r="R11053" s="255"/>
      <c r="S11053" s="255"/>
      <c r="T11053" s="255"/>
    </row>
    <row r="11054" spans="18:20" x14ac:dyDescent="0.3">
      <c r="R11054" s="255"/>
      <c r="S11054" s="255"/>
      <c r="T11054" s="255"/>
    </row>
    <row r="11055" spans="18:20" x14ac:dyDescent="0.3">
      <c r="R11055" s="255"/>
      <c r="S11055" s="255"/>
      <c r="T11055" s="255"/>
    </row>
    <row r="11056" spans="18:20" x14ac:dyDescent="0.3">
      <c r="R11056" s="255"/>
      <c r="S11056" s="255"/>
      <c r="T11056" s="255"/>
    </row>
    <row r="11057" spans="18:20" x14ac:dyDescent="0.3">
      <c r="R11057" s="255"/>
      <c r="S11057" s="255"/>
      <c r="T11057" s="255"/>
    </row>
    <row r="11058" spans="18:20" x14ac:dyDescent="0.3">
      <c r="R11058" s="255"/>
      <c r="S11058" s="255"/>
      <c r="T11058" s="255"/>
    </row>
    <row r="11059" spans="18:20" x14ac:dyDescent="0.3">
      <c r="R11059" s="255"/>
      <c r="S11059" s="255"/>
      <c r="T11059" s="255"/>
    </row>
    <row r="11060" spans="18:20" x14ac:dyDescent="0.3">
      <c r="R11060" s="255"/>
      <c r="S11060" s="255"/>
      <c r="T11060" s="255"/>
    </row>
    <row r="11061" spans="18:20" x14ac:dyDescent="0.3">
      <c r="R11061" s="255"/>
      <c r="S11061" s="255"/>
      <c r="T11061" s="255"/>
    </row>
    <row r="11062" spans="18:20" x14ac:dyDescent="0.3">
      <c r="R11062" s="255"/>
      <c r="S11062" s="255"/>
      <c r="T11062" s="255"/>
    </row>
    <row r="11063" spans="18:20" x14ac:dyDescent="0.3">
      <c r="R11063" s="255"/>
      <c r="S11063" s="255"/>
      <c r="T11063" s="255"/>
    </row>
    <row r="11064" spans="18:20" x14ac:dyDescent="0.3">
      <c r="R11064" s="255"/>
      <c r="S11064" s="255"/>
      <c r="T11064" s="255"/>
    </row>
    <row r="11065" spans="18:20" x14ac:dyDescent="0.3">
      <c r="R11065" s="255"/>
      <c r="S11065" s="255"/>
      <c r="T11065" s="255"/>
    </row>
    <row r="11066" spans="18:20" x14ac:dyDescent="0.3">
      <c r="R11066" s="255"/>
      <c r="S11066" s="255"/>
      <c r="T11066" s="255"/>
    </row>
    <row r="11067" spans="18:20" x14ac:dyDescent="0.3">
      <c r="R11067" s="255"/>
      <c r="S11067" s="255"/>
      <c r="T11067" s="255"/>
    </row>
    <row r="11068" spans="18:20" x14ac:dyDescent="0.3">
      <c r="R11068" s="255"/>
      <c r="S11068" s="255"/>
      <c r="T11068" s="255"/>
    </row>
    <row r="11069" spans="18:20" x14ac:dyDescent="0.3">
      <c r="R11069" s="255"/>
      <c r="S11069" s="255"/>
      <c r="T11069" s="255"/>
    </row>
    <row r="11070" spans="18:20" x14ac:dyDescent="0.3">
      <c r="R11070" s="255"/>
      <c r="S11070" s="255"/>
      <c r="T11070" s="255"/>
    </row>
    <row r="11071" spans="18:20" x14ac:dyDescent="0.3">
      <c r="R11071" s="255"/>
      <c r="S11071" s="255"/>
      <c r="T11071" s="255"/>
    </row>
    <row r="11072" spans="18:20" x14ac:dyDescent="0.3">
      <c r="R11072" s="255"/>
      <c r="S11072" s="255"/>
      <c r="T11072" s="255"/>
    </row>
    <row r="11073" spans="18:20" x14ac:dyDescent="0.3">
      <c r="R11073" s="255"/>
      <c r="S11073" s="255"/>
      <c r="T11073" s="255"/>
    </row>
    <row r="11074" spans="18:20" x14ac:dyDescent="0.3">
      <c r="R11074" s="255"/>
      <c r="S11074" s="255"/>
      <c r="T11074" s="255"/>
    </row>
    <row r="11075" spans="18:20" x14ac:dyDescent="0.3">
      <c r="R11075" s="255"/>
      <c r="S11075" s="255"/>
      <c r="T11075" s="255"/>
    </row>
    <row r="11076" spans="18:20" x14ac:dyDescent="0.3">
      <c r="R11076" s="255"/>
      <c r="S11076" s="255"/>
      <c r="T11076" s="255"/>
    </row>
    <row r="11077" spans="18:20" x14ac:dyDescent="0.3">
      <c r="R11077" s="255"/>
      <c r="S11077" s="255"/>
      <c r="T11077" s="255"/>
    </row>
    <row r="11078" spans="18:20" x14ac:dyDescent="0.3">
      <c r="R11078" s="255"/>
      <c r="S11078" s="255"/>
      <c r="T11078" s="255"/>
    </row>
    <row r="11079" spans="18:20" x14ac:dyDescent="0.3">
      <c r="R11079" s="255"/>
      <c r="S11079" s="255"/>
      <c r="T11079" s="255"/>
    </row>
    <row r="11080" spans="18:20" x14ac:dyDescent="0.3">
      <c r="R11080" s="255"/>
      <c r="S11080" s="255"/>
      <c r="T11080" s="255"/>
    </row>
    <row r="11081" spans="18:20" x14ac:dyDescent="0.3">
      <c r="R11081" s="255"/>
      <c r="S11081" s="255"/>
      <c r="T11081" s="255"/>
    </row>
    <row r="11082" spans="18:20" x14ac:dyDescent="0.3">
      <c r="R11082" s="255"/>
      <c r="S11082" s="255"/>
      <c r="T11082" s="255"/>
    </row>
    <row r="11083" spans="18:20" x14ac:dyDescent="0.3">
      <c r="R11083" s="255"/>
      <c r="S11083" s="255"/>
      <c r="T11083" s="255"/>
    </row>
    <row r="11084" spans="18:20" x14ac:dyDescent="0.3">
      <c r="R11084" s="255"/>
      <c r="S11084" s="255"/>
      <c r="T11084" s="255"/>
    </row>
    <row r="11085" spans="18:20" x14ac:dyDescent="0.3">
      <c r="R11085" s="255"/>
      <c r="S11085" s="255"/>
      <c r="T11085" s="255"/>
    </row>
    <row r="11086" spans="18:20" x14ac:dyDescent="0.3">
      <c r="R11086" s="255"/>
      <c r="S11086" s="255"/>
      <c r="T11086" s="255"/>
    </row>
    <row r="11087" spans="18:20" x14ac:dyDescent="0.3">
      <c r="R11087" s="255"/>
      <c r="S11087" s="255"/>
      <c r="T11087" s="255"/>
    </row>
    <row r="11088" spans="18:20" x14ac:dyDescent="0.3">
      <c r="R11088" s="255"/>
      <c r="S11088" s="255"/>
      <c r="T11088" s="255"/>
    </row>
    <row r="11089" spans="18:20" x14ac:dyDescent="0.3">
      <c r="R11089" s="255"/>
      <c r="S11089" s="255"/>
      <c r="T11089" s="255"/>
    </row>
    <row r="11090" spans="18:20" x14ac:dyDescent="0.3">
      <c r="R11090" s="255"/>
      <c r="S11090" s="255"/>
      <c r="T11090" s="255"/>
    </row>
    <row r="11091" spans="18:20" x14ac:dyDescent="0.3">
      <c r="R11091" s="255"/>
      <c r="S11091" s="255"/>
      <c r="T11091" s="255"/>
    </row>
    <row r="11092" spans="18:20" x14ac:dyDescent="0.3">
      <c r="R11092" s="255"/>
      <c r="S11092" s="255"/>
      <c r="T11092" s="255"/>
    </row>
    <row r="11093" spans="18:20" x14ac:dyDescent="0.3">
      <c r="R11093" s="255"/>
      <c r="S11093" s="255"/>
      <c r="T11093" s="255"/>
    </row>
    <row r="11094" spans="18:20" x14ac:dyDescent="0.3">
      <c r="R11094" s="255"/>
      <c r="S11094" s="255"/>
      <c r="T11094" s="255"/>
    </row>
    <row r="11095" spans="18:20" x14ac:dyDescent="0.3">
      <c r="R11095" s="255"/>
      <c r="S11095" s="255"/>
      <c r="T11095" s="255"/>
    </row>
    <row r="11096" spans="18:20" x14ac:dyDescent="0.3">
      <c r="R11096" s="255"/>
      <c r="S11096" s="255"/>
      <c r="T11096" s="255"/>
    </row>
    <row r="11097" spans="18:20" x14ac:dyDescent="0.3">
      <c r="R11097" s="255"/>
      <c r="S11097" s="255"/>
      <c r="T11097" s="255"/>
    </row>
    <row r="11098" spans="18:20" x14ac:dyDescent="0.3">
      <c r="R11098" s="255"/>
      <c r="S11098" s="255"/>
      <c r="T11098" s="255"/>
    </row>
    <row r="11099" spans="18:20" x14ac:dyDescent="0.3">
      <c r="R11099" s="255"/>
      <c r="S11099" s="255"/>
      <c r="T11099" s="255"/>
    </row>
    <row r="11100" spans="18:20" x14ac:dyDescent="0.3">
      <c r="R11100" s="255"/>
      <c r="S11100" s="255"/>
      <c r="T11100" s="255"/>
    </row>
    <row r="11101" spans="18:20" x14ac:dyDescent="0.3">
      <c r="R11101" s="255"/>
      <c r="S11101" s="255"/>
      <c r="T11101" s="255"/>
    </row>
    <row r="11102" spans="18:20" x14ac:dyDescent="0.3">
      <c r="R11102" s="255"/>
      <c r="S11102" s="255"/>
      <c r="T11102" s="255"/>
    </row>
    <row r="11103" spans="18:20" x14ac:dyDescent="0.3">
      <c r="R11103" s="255"/>
      <c r="S11103" s="255"/>
      <c r="T11103" s="255"/>
    </row>
    <row r="11104" spans="18:20" x14ac:dyDescent="0.3">
      <c r="R11104" s="255"/>
      <c r="S11104" s="255"/>
      <c r="T11104" s="255"/>
    </row>
    <row r="11105" spans="18:20" x14ac:dyDescent="0.3">
      <c r="R11105" s="255"/>
      <c r="S11105" s="255"/>
      <c r="T11105" s="255"/>
    </row>
    <row r="11106" spans="18:20" x14ac:dyDescent="0.3">
      <c r="R11106" s="255"/>
      <c r="S11106" s="255"/>
      <c r="T11106" s="255"/>
    </row>
    <row r="11107" spans="18:20" x14ac:dyDescent="0.3">
      <c r="R11107" s="255"/>
      <c r="S11107" s="255"/>
      <c r="T11107" s="255"/>
    </row>
    <row r="11108" spans="18:20" x14ac:dyDescent="0.3">
      <c r="R11108" s="255"/>
      <c r="S11108" s="255"/>
      <c r="T11108" s="255"/>
    </row>
    <row r="11109" spans="18:20" x14ac:dyDescent="0.3">
      <c r="R11109" s="255"/>
      <c r="S11109" s="255"/>
      <c r="T11109" s="255"/>
    </row>
    <row r="11110" spans="18:20" x14ac:dyDescent="0.3">
      <c r="R11110" s="255"/>
      <c r="S11110" s="255"/>
      <c r="T11110" s="255"/>
    </row>
    <row r="11111" spans="18:20" x14ac:dyDescent="0.3">
      <c r="R11111" s="255"/>
      <c r="S11111" s="255"/>
      <c r="T11111" s="255"/>
    </row>
    <row r="11112" spans="18:20" x14ac:dyDescent="0.3">
      <c r="R11112" s="255"/>
      <c r="S11112" s="255"/>
      <c r="T11112" s="255"/>
    </row>
    <row r="11113" spans="18:20" x14ac:dyDescent="0.3">
      <c r="R11113" s="255"/>
      <c r="S11113" s="255"/>
      <c r="T11113" s="255"/>
    </row>
    <row r="11114" spans="18:20" x14ac:dyDescent="0.3">
      <c r="R11114" s="255"/>
      <c r="S11114" s="255"/>
      <c r="T11114" s="255"/>
    </row>
    <row r="11115" spans="18:20" x14ac:dyDescent="0.3">
      <c r="R11115" s="255"/>
      <c r="S11115" s="255"/>
      <c r="T11115" s="255"/>
    </row>
    <row r="11116" spans="18:20" x14ac:dyDescent="0.3">
      <c r="R11116" s="255"/>
      <c r="S11116" s="255"/>
      <c r="T11116" s="255"/>
    </row>
    <row r="11117" spans="18:20" x14ac:dyDescent="0.3">
      <c r="R11117" s="255"/>
      <c r="S11117" s="255"/>
      <c r="T11117" s="255"/>
    </row>
    <row r="11118" spans="18:20" x14ac:dyDescent="0.3">
      <c r="R11118" s="255"/>
      <c r="S11118" s="255"/>
      <c r="T11118" s="255"/>
    </row>
    <row r="11119" spans="18:20" x14ac:dyDescent="0.3">
      <c r="R11119" s="255"/>
      <c r="S11119" s="255"/>
      <c r="T11119" s="255"/>
    </row>
    <row r="11120" spans="18:20" x14ac:dyDescent="0.3">
      <c r="R11120" s="255"/>
      <c r="S11120" s="255"/>
      <c r="T11120" s="255"/>
    </row>
    <row r="11121" spans="18:20" x14ac:dyDescent="0.3">
      <c r="R11121" s="255"/>
      <c r="S11121" s="255"/>
      <c r="T11121" s="255"/>
    </row>
    <row r="11122" spans="18:20" x14ac:dyDescent="0.3">
      <c r="R11122" s="255"/>
      <c r="S11122" s="255"/>
      <c r="T11122" s="255"/>
    </row>
    <row r="11123" spans="18:20" x14ac:dyDescent="0.3">
      <c r="R11123" s="255"/>
      <c r="S11123" s="255"/>
      <c r="T11123" s="255"/>
    </row>
    <row r="11124" spans="18:20" x14ac:dyDescent="0.3">
      <c r="R11124" s="255"/>
      <c r="S11124" s="255"/>
      <c r="T11124" s="255"/>
    </row>
    <row r="11125" spans="18:20" x14ac:dyDescent="0.3">
      <c r="R11125" s="255"/>
      <c r="S11125" s="255"/>
      <c r="T11125" s="255"/>
    </row>
    <row r="11126" spans="18:20" x14ac:dyDescent="0.3">
      <c r="R11126" s="255"/>
      <c r="S11126" s="255"/>
      <c r="T11126" s="255"/>
    </row>
    <row r="11127" spans="18:20" x14ac:dyDescent="0.3">
      <c r="R11127" s="255"/>
      <c r="S11127" s="255"/>
      <c r="T11127" s="255"/>
    </row>
    <row r="11128" spans="18:20" x14ac:dyDescent="0.3">
      <c r="R11128" s="255"/>
      <c r="S11128" s="255"/>
      <c r="T11128" s="255"/>
    </row>
    <row r="11129" spans="18:20" x14ac:dyDescent="0.3">
      <c r="R11129" s="255"/>
      <c r="S11129" s="255"/>
      <c r="T11129" s="255"/>
    </row>
    <row r="11130" spans="18:20" x14ac:dyDescent="0.3">
      <c r="R11130" s="255"/>
      <c r="S11130" s="255"/>
      <c r="T11130" s="255"/>
    </row>
    <row r="11131" spans="18:20" x14ac:dyDescent="0.3">
      <c r="R11131" s="255"/>
      <c r="S11131" s="255"/>
      <c r="T11131" s="255"/>
    </row>
    <row r="11132" spans="18:20" x14ac:dyDescent="0.3">
      <c r="R11132" s="255"/>
      <c r="S11132" s="255"/>
      <c r="T11132" s="255"/>
    </row>
    <row r="11133" spans="18:20" x14ac:dyDescent="0.3">
      <c r="R11133" s="255"/>
      <c r="S11133" s="255"/>
      <c r="T11133" s="255"/>
    </row>
    <row r="11134" spans="18:20" x14ac:dyDescent="0.3">
      <c r="R11134" s="255"/>
      <c r="S11134" s="255"/>
      <c r="T11134" s="255"/>
    </row>
    <row r="11135" spans="18:20" x14ac:dyDescent="0.3">
      <c r="R11135" s="255"/>
      <c r="S11135" s="255"/>
      <c r="T11135" s="255"/>
    </row>
    <row r="11136" spans="18:20" x14ac:dyDescent="0.3">
      <c r="R11136" s="255"/>
      <c r="S11136" s="255"/>
      <c r="T11136" s="255"/>
    </row>
    <row r="11137" spans="18:20" x14ac:dyDescent="0.3">
      <c r="R11137" s="255"/>
      <c r="S11137" s="255"/>
      <c r="T11137" s="255"/>
    </row>
    <row r="11138" spans="18:20" x14ac:dyDescent="0.3">
      <c r="R11138" s="255"/>
      <c r="S11138" s="255"/>
      <c r="T11138" s="255"/>
    </row>
    <row r="11139" spans="18:20" x14ac:dyDescent="0.3">
      <c r="R11139" s="255"/>
      <c r="S11139" s="255"/>
      <c r="T11139" s="255"/>
    </row>
    <row r="11140" spans="18:20" x14ac:dyDescent="0.3">
      <c r="R11140" s="255"/>
      <c r="S11140" s="255"/>
      <c r="T11140" s="255"/>
    </row>
    <row r="11141" spans="18:20" x14ac:dyDescent="0.3">
      <c r="R11141" s="255"/>
      <c r="S11141" s="255"/>
      <c r="T11141" s="255"/>
    </row>
    <row r="11142" spans="18:20" x14ac:dyDescent="0.3">
      <c r="R11142" s="255"/>
      <c r="S11142" s="255"/>
      <c r="T11142" s="255"/>
    </row>
    <row r="11143" spans="18:20" x14ac:dyDescent="0.3">
      <c r="R11143" s="255"/>
      <c r="S11143" s="255"/>
      <c r="T11143" s="255"/>
    </row>
    <row r="11144" spans="18:20" x14ac:dyDescent="0.3">
      <c r="R11144" s="255"/>
      <c r="S11144" s="255"/>
      <c r="T11144" s="255"/>
    </row>
    <row r="11145" spans="18:20" x14ac:dyDescent="0.3">
      <c r="R11145" s="255"/>
      <c r="S11145" s="255"/>
      <c r="T11145" s="255"/>
    </row>
    <row r="11146" spans="18:20" x14ac:dyDescent="0.3">
      <c r="R11146" s="255"/>
      <c r="S11146" s="255"/>
      <c r="T11146" s="255"/>
    </row>
    <row r="11147" spans="18:20" x14ac:dyDescent="0.3">
      <c r="R11147" s="255"/>
      <c r="S11147" s="255"/>
      <c r="T11147" s="255"/>
    </row>
    <row r="11148" spans="18:20" x14ac:dyDescent="0.3">
      <c r="R11148" s="255"/>
      <c r="S11148" s="255"/>
      <c r="T11148" s="255"/>
    </row>
    <row r="11149" spans="18:20" x14ac:dyDescent="0.3">
      <c r="R11149" s="255"/>
      <c r="S11149" s="255"/>
      <c r="T11149" s="255"/>
    </row>
    <row r="11150" spans="18:20" x14ac:dyDescent="0.3">
      <c r="R11150" s="255"/>
      <c r="S11150" s="255"/>
      <c r="T11150" s="255"/>
    </row>
    <row r="11151" spans="18:20" x14ac:dyDescent="0.3">
      <c r="R11151" s="255"/>
      <c r="S11151" s="255"/>
      <c r="T11151" s="255"/>
    </row>
    <row r="11152" spans="18:20" x14ac:dyDescent="0.3">
      <c r="R11152" s="255"/>
      <c r="S11152" s="255"/>
      <c r="T11152" s="255"/>
    </row>
    <row r="11153" spans="18:20" x14ac:dyDescent="0.3">
      <c r="R11153" s="255"/>
      <c r="S11153" s="255"/>
      <c r="T11153" s="255"/>
    </row>
    <row r="11154" spans="18:20" x14ac:dyDescent="0.3">
      <c r="R11154" s="255"/>
      <c r="S11154" s="255"/>
      <c r="T11154" s="255"/>
    </row>
    <row r="11155" spans="18:20" x14ac:dyDescent="0.3">
      <c r="R11155" s="255"/>
      <c r="S11155" s="255"/>
      <c r="T11155" s="255"/>
    </row>
    <row r="11156" spans="18:20" x14ac:dyDescent="0.3">
      <c r="R11156" s="255"/>
      <c r="S11156" s="255"/>
      <c r="T11156" s="255"/>
    </row>
    <row r="11157" spans="18:20" x14ac:dyDescent="0.3">
      <c r="R11157" s="255"/>
      <c r="S11157" s="255"/>
      <c r="T11157" s="255"/>
    </row>
    <row r="11158" spans="18:20" x14ac:dyDescent="0.3">
      <c r="R11158" s="255"/>
      <c r="S11158" s="255"/>
      <c r="T11158" s="255"/>
    </row>
    <row r="11159" spans="18:20" x14ac:dyDescent="0.3">
      <c r="R11159" s="255"/>
      <c r="S11159" s="255"/>
      <c r="T11159" s="255"/>
    </row>
    <row r="11160" spans="18:20" x14ac:dyDescent="0.3">
      <c r="R11160" s="255"/>
      <c r="S11160" s="255"/>
      <c r="T11160" s="255"/>
    </row>
    <row r="11161" spans="18:20" x14ac:dyDescent="0.3">
      <c r="R11161" s="255"/>
      <c r="S11161" s="255"/>
      <c r="T11161" s="255"/>
    </row>
    <row r="11162" spans="18:20" x14ac:dyDescent="0.3">
      <c r="R11162" s="255"/>
      <c r="S11162" s="255"/>
      <c r="T11162" s="255"/>
    </row>
    <row r="11163" spans="18:20" x14ac:dyDescent="0.3">
      <c r="R11163" s="255"/>
      <c r="S11163" s="255"/>
      <c r="T11163" s="255"/>
    </row>
    <row r="11164" spans="18:20" x14ac:dyDescent="0.3">
      <c r="R11164" s="255"/>
      <c r="S11164" s="255"/>
      <c r="T11164" s="255"/>
    </row>
    <row r="11165" spans="18:20" x14ac:dyDescent="0.3">
      <c r="R11165" s="255"/>
      <c r="S11165" s="255"/>
      <c r="T11165" s="255"/>
    </row>
    <row r="11166" spans="18:20" x14ac:dyDescent="0.3">
      <c r="R11166" s="255"/>
      <c r="S11166" s="255"/>
      <c r="T11166" s="255"/>
    </row>
    <row r="11167" spans="18:20" x14ac:dyDescent="0.3">
      <c r="R11167" s="255"/>
      <c r="S11167" s="255"/>
      <c r="T11167" s="255"/>
    </row>
    <row r="11168" spans="18:20" x14ac:dyDescent="0.3">
      <c r="R11168" s="255"/>
      <c r="S11168" s="255"/>
      <c r="T11168" s="255"/>
    </row>
    <row r="11169" spans="18:20" x14ac:dyDescent="0.3">
      <c r="R11169" s="255"/>
      <c r="S11169" s="255"/>
      <c r="T11169" s="255"/>
    </row>
    <row r="11170" spans="18:20" x14ac:dyDescent="0.3">
      <c r="R11170" s="255"/>
      <c r="S11170" s="255"/>
      <c r="T11170" s="255"/>
    </row>
    <row r="11171" spans="18:20" x14ac:dyDescent="0.3">
      <c r="R11171" s="255"/>
      <c r="S11171" s="255"/>
      <c r="T11171" s="255"/>
    </row>
    <row r="11172" spans="18:20" x14ac:dyDescent="0.3">
      <c r="R11172" s="255"/>
      <c r="S11172" s="255"/>
      <c r="T11172" s="255"/>
    </row>
    <row r="11173" spans="18:20" x14ac:dyDescent="0.3">
      <c r="R11173" s="255"/>
      <c r="S11173" s="255"/>
      <c r="T11173" s="255"/>
    </row>
    <row r="11174" spans="18:20" x14ac:dyDescent="0.3">
      <c r="R11174" s="255"/>
      <c r="S11174" s="255"/>
      <c r="T11174" s="255"/>
    </row>
    <row r="11175" spans="18:20" x14ac:dyDescent="0.3">
      <c r="R11175" s="255"/>
      <c r="S11175" s="255"/>
      <c r="T11175" s="255"/>
    </row>
    <row r="11176" spans="18:20" x14ac:dyDescent="0.3">
      <c r="R11176" s="255"/>
      <c r="S11176" s="255"/>
      <c r="T11176" s="255"/>
    </row>
    <row r="11177" spans="18:20" x14ac:dyDescent="0.3">
      <c r="R11177" s="255"/>
      <c r="S11177" s="255"/>
      <c r="T11177" s="255"/>
    </row>
    <row r="11178" spans="18:20" x14ac:dyDescent="0.3">
      <c r="R11178" s="255"/>
      <c r="S11178" s="255"/>
      <c r="T11178" s="255"/>
    </row>
    <row r="11179" spans="18:20" x14ac:dyDescent="0.3">
      <c r="R11179" s="255"/>
      <c r="S11179" s="255"/>
      <c r="T11179" s="255"/>
    </row>
    <row r="11180" spans="18:20" x14ac:dyDescent="0.3">
      <c r="R11180" s="255"/>
      <c r="S11180" s="255"/>
      <c r="T11180" s="255"/>
    </row>
    <row r="11181" spans="18:20" x14ac:dyDescent="0.3">
      <c r="R11181" s="255"/>
      <c r="S11181" s="255"/>
      <c r="T11181" s="255"/>
    </row>
    <row r="11182" spans="18:20" x14ac:dyDescent="0.3">
      <c r="R11182" s="255"/>
      <c r="S11182" s="255"/>
      <c r="T11182" s="255"/>
    </row>
    <row r="11183" spans="18:20" x14ac:dyDescent="0.3">
      <c r="R11183" s="255"/>
      <c r="S11183" s="255"/>
      <c r="T11183" s="255"/>
    </row>
    <row r="11184" spans="18:20" x14ac:dyDescent="0.3">
      <c r="R11184" s="255"/>
      <c r="S11184" s="255"/>
      <c r="T11184" s="255"/>
    </row>
    <row r="11185" spans="18:20" x14ac:dyDescent="0.3">
      <c r="R11185" s="255"/>
      <c r="S11185" s="255"/>
      <c r="T11185" s="255"/>
    </row>
    <row r="11186" spans="18:20" x14ac:dyDescent="0.3">
      <c r="R11186" s="255"/>
      <c r="S11186" s="255"/>
      <c r="T11186" s="255"/>
    </row>
    <row r="11187" spans="18:20" x14ac:dyDescent="0.3">
      <c r="R11187" s="255"/>
      <c r="S11187" s="255"/>
      <c r="T11187" s="255"/>
    </row>
    <row r="11188" spans="18:20" x14ac:dyDescent="0.3">
      <c r="R11188" s="255"/>
      <c r="S11188" s="255"/>
      <c r="T11188" s="255"/>
    </row>
    <row r="11189" spans="18:20" x14ac:dyDescent="0.3">
      <c r="R11189" s="255"/>
      <c r="S11189" s="255"/>
      <c r="T11189" s="255"/>
    </row>
    <row r="11190" spans="18:20" x14ac:dyDescent="0.3">
      <c r="R11190" s="255"/>
      <c r="S11190" s="255"/>
      <c r="T11190" s="255"/>
    </row>
    <row r="11191" spans="18:20" x14ac:dyDescent="0.3">
      <c r="R11191" s="255"/>
      <c r="S11191" s="255"/>
      <c r="T11191" s="255"/>
    </row>
    <row r="11192" spans="18:20" x14ac:dyDescent="0.3">
      <c r="R11192" s="255"/>
      <c r="S11192" s="255"/>
      <c r="T11192" s="255"/>
    </row>
    <row r="11193" spans="18:20" x14ac:dyDescent="0.3">
      <c r="R11193" s="255"/>
      <c r="S11193" s="255"/>
      <c r="T11193" s="255"/>
    </row>
    <row r="11194" spans="18:20" x14ac:dyDescent="0.3">
      <c r="R11194" s="255"/>
      <c r="S11194" s="255"/>
      <c r="T11194" s="255"/>
    </row>
    <row r="11195" spans="18:20" x14ac:dyDescent="0.3">
      <c r="R11195" s="255"/>
      <c r="S11195" s="255"/>
      <c r="T11195" s="255"/>
    </row>
    <row r="11196" spans="18:20" x14ac:dyDescent="0.3">
      <c r="R11196" s="255"/>
      <c r="S11196" s="255"/>
      <c r="T11196" s="255"/>
    </row>
    <row r="11197" spans="18:20" x14ac:dyDescent="0.3">
      <c r="R11197" s="255"/>
      <c r="S11197" s="255"/>
      <c r="T11197" s="255"/>
    </row>
    <row r="11198" spans="18:20" x14ac:dyDescent="0.3">
      <c r="R11198" s="255"/>
      <c r="S11198" s="255"/>
      <c r="T11198" s="255"/>
    </row>
    <row r="11199" spans="18:20" x14ac:dyDescent="0.3">
      <c r="R11199" s="255"/>
      <c r="S11199" s="255"/>
      <c r="T11199" s="255"/>
    </row>
    <row r="11200" spans="18:20" x14ac:dyDescent="0.3">
      <c r="R11200" s="255"/>
      <c r="S11200" s="255"/>
      <c r="T11200" s="255"/>
    </row>
    <row r="11201" spans="18:20" x14ac:dyDescent="0.3">
      <c r="R11201" s="255"/>
      <c r="S11201" s="255"/>
      <c r="T11201" s="255"/>
    </row>
    <row r="11202" spans="18:20" x14ac:dyDescent="0.3">
      <c r="R11202" s="255"/>
      <c r="S11202" s="255"/>
      <c r="T11202" s="255"/>
    </row>
    <row r="11203" spans="18:20" x14ac:dyDescent="0.3">
      <c r="R11203" s="255"/>
      <c r="S11203" s="255"/>
      <c r="T11203" s="255"/>
    </row>
    <row r="11204" spans="18:20" x14ac:dyDescent="0.3">
      <c r="R11204" s="255"/>
      <c r="S11204" s="255"/>
      <c r="T11204" s="255"/>
    </row>
    <row r="11205" spans="18:20" x14ac:dyDescent="0.3">
      <c r="R11205" s="255"/>
      <c r="S11205" s="255"/>
      <c r="T11205" s="255"/>
    </row>
    <row r="11206" spans="18:20" x14ac:dyDescent="0.3">
      <c r="R11206" s="255"/>
      <c r="S11206" s="255"/>
      <c r="T11206" s="255"/>
    </row>
    <row r="11207" spans="18:20" x14ac:dyDescent="0.3">
      <c r="R11207" s="255"/>
      <c r="S11207" s="255"/>
      <c r="T11207" s="255"/>
    </row>
    <row r="11208" spans="18:20" x14ac:dyDescent="0.3">
      <c r="R11208" s="255"/>
      <c r="S11208" s="255"/>
      <c r="T11208" s="255"/>
    </row>
    <row r="11209" spans="18:20" x14ac:dyDescent="0.3">
      <c r="R11209" s="255"/>
      <c r="S11209" s="255"/>
      <c r="T11209" s="255"/>
    </row>
    <row r="11210" spans="18:20" x14ac:dyDescent="0.3">
      <c r="R11210" s="255"/>
      <c r="S11210" s="255"/>
      <c r="T11210" s="255"/>
    </row>
    <row r="11211" spans="18:20" x14ac:dyDescent="0.3">
      <c r="R11211" s="255"/>
      <c r="S11211" s="255"/>
      <c r="T11211" s="255"/>
    </row>
    <row r="11212" spans="18:20" x14ac:dyDescent="0.3">
      <c r="R11212" s="255"/>
      <c r="S11212" s="255"/>
      <c r="T11212" s="255"/>
    </row>
    <row r="11213" spans="18:20" x14ac:dyDescent="0.3">
      <c r="R11213" s="255"/>
      <c r="S11213" s="255"/>
      <c r="T11213" s="255"/>
    </row>
    <row r="11214" spans="18:20" x14ac:dyDescent="0.3">
      <c r="R11214" s="255"/>
      <c r="S11214" s="255"/>
      <c r="T11214" s="255"/>
    </row>
    <row r="11215" spans="18:20" x14ac:dyDescent="0.3">
      <c r="R11215" s="255"/>
      <c r="S11215" s="255"/>
      <c r="T11215" s="255"/>
    </row>
    <row r="11216" spans="18:20" x14ac:dyDescent="0.3">
      <c r="R11216" s="255"/>
      <c r="S11216" s="255"/>
      <c r="T11216" s="255"/>
    </row>
    <row r="11217" spans="18:20" x14ac:dyDescent="0.3">
      <c r="R11217" s="255"/>
      <c r="S11217" s="255"/>
      <c r="T11217" s="255"/>
    </row>
    <row r="11218" spans="18:20" x14ac:dyDescent="0.3">
      <c r="R11218" s="255"/>
      <c r="S11218" s="255"/>
      <c r="T11218" s="255"/>
    </row>
    <row r="11219" spans="18:20" x14ac:dyDescent="0.3">
      <c r="R11219" s="255"/>
      <c r="S11219" s="255"/>
      <c r="T11219" s="255"/>
    </row>
    <row r="11220" spans="18:20" x14ac:dyDescent="0.3">
      <c r="R11220" s="255"/>
      <c r="S11220" s="255"/>
      <c r="T11220" s="255"/>
    </row>
    <row r="11221" spans="18:20" x14ac:dyDescent="0.3">
      <c r="R11221" s="255"/>
      <c r="S11221" s="255"/>
      <c r="T11221" s="255"/>
    </row>
    <row r="11222" spans="18:20" x14ac:dyDescent="0.3">
      <c r="R11222" s="255"/>
      <c r="S11222" s="255"/>
      <c r="T11222" s="255"/>
    </row>
    <row r="11223" spans="18:20" x14ac:dyDescent="0.3">
      <c r="R11223" s="255"/>
      <c r="S11223" s="255"/>
      <c r="T11223" s="255"/>
    </row>
    <row r="11224" spans="18:20" x14ac:dyDescent="0.3">
      <c r="R11224" s="255"/>
      <c r="S11224" s="255"/>
      <c r="T11224" s="255"/>
    </row>
    <row r="11225" spans="18:20" x14ac:dyDescent="0.3">
      <c r="R11225" s="255"/>
      <c r="S11225" s="255"/>
      <c r="T11225" s="255"/>
    </row>
    <row r="11226" spans="18:20" x14ac:dyDescent="0.3">
      <c r="R11226" s="255"/>
      <c r="S11226" s="255"/>
      <c r="T11226" s="255"/>
    </row>
    <row r="11227" spans="18:20" x14ac:dyDescent="0.3">
      <c r="R11227" s="255"/>
      <c r="S11227" s="255"/>
      <c r="T11227" s="255"/>
    </row>
    <row r="11228" spans="18:20" x14ac:dyDescent="0.3">
      <c r="R11228" s="255"/>
      <c r="S11228" s="255"/>
      <c r="T11228" s="255"/>
    </row>
    <row r="11229" spans="18:20" x14ac:dyDescent="0.3">
      <c r="R11229" s="255"/>
      <c r="S11229" s="255"/>
      <c r="T11229" s="255"/>
    </row>
    <row r="11230" spans="18:20" x14ac:dyDescent="0.3">
      <c r="R11230" s="255"/>
      <c r="S11230" s="255"/>
      <c r="T11230" s="255"/>
    </row>
    <row r="11231" spans="18:20" x14ac:dyDescent="0.3">
      <c r="R11231" s="255"/>
      <c r="S11231" s="255"/>
      <c r="T11231" s="255"/>
    </row>
    <row r="11232" spans="18:20" x14ac:dyDescent="0.3">
      <c r="R11232" s="255"/>
      <c r="S11232" s="255"/>
      <c r="T11232" s="255"/>
    </row>
    <row r="11233" spans="18:20" x14ac:dyDescent="0.3">
      <c r="R11233" s="255"/>
      <c r="S11233" s="255"/>
      <c r="T11233" s="255"/>
    </row>
    <row r="11234" spans="18:20" x14ac:dyDescent="0.3">
      <c r="R11234" s="255"/>
      <c r="S11234" s="255"/>
      <c r="T11234" s="255"/>
    </row>
    <row r="11235" spans="18:20" x14ac:dyDescent="0.3">
      <c r="R11235" s="255"/>
      <c r="S11235" s="255"/>
      <c r="T11235" s="255"/>
    </row>
    <row r="11236" spans="18:20" x14ac:dyDescent="0.3">
      <c r="R11236" s="255"/>
      <c r="S11236" s="255"/>
      <c r="T11236" s="255"/>
    </row>
    <row r="11237" spans="18:20" x14ac:dyDescent="0.3">
      <c r="R11237" s="255"/>
      <c r="S11237" s="255"/>
      <c r="T11237" s="255"/>
    </row>
    <row r="11238" spans="18:20" x14ac:dyDescent="0.3">
      <c r="R11238" s="255"/>
      <c r="S11238" s="255"/>
      <c r="T11238" s="255"/>
    </row>
    <row r="11239" spans="18:20" x14ac:dyDescent="0.3">
      <c r="R11239" s="255"/>
      <c r="S11239" s="255"/>
      <c r="T11239" s="255"/>
    </row>
    <row r="11240" spans="18:20" x14ac:dyDescent="0.3">
      <c r="R11240" s="255"/>
      <c r="S11240" s="255"/>
      <c r="T11240" s="255"/>
    </row>
    <row r="11241" spans="18:20" x14ac:dyDescent="0.3">
      <c r="R11241" s="255"/>
      <c r="S11241" s="255"/>
      <c r="T11241" s="255"/>
    </row>
    <row r="11242" spans="18:20" x14ac:dyDescent="0.3">
      <c r="R11242" s="255"/>
      <c r="S11242" s="255"/>
      <c r="T11242" s="255"/>
    </row>
    <row r="11243" spans="18:20" x14ac:dyDescent="0.3">
      <c r="R11243" s="255"/>
      <c r="S11243" s="255"/>
      <c r="T11243" s="255"/>
    </row>
    <row r="11244" spans="18:20" x14ac:dyDescent="0.3">
      <c r="R11244" s="255"/>
      <c r="S11244" s="255"/>
      <c r="T11244" s="255"/>
    </row>
    <row r="11245" spans="18:20" x14ac:dyDescent="0.3">
      <c r="R11245" s="255"/>
      <c r="S11245" s="255"/>
      <c r="T11245" s="255"/>
    </row>
    <row r="11246" spans="18:20" x14ac:dyDescent="0.3">
      <c r="R11246" s="255"/>
      <c r="S11246" s="255"/>
      <c r="T11246" s="255"/>
    </row>
    <row r="11247" spans="18:20" x14ac:dyDescent="0.3">
      <c r="R11247" s="255"/>
      <c r="S11247" s="255"/>
      <c r="T11247" s="255"/>
    </row>
    <row r="11248" spans="18:20" x14ac:dyDescent="0.3">
      <c r="R11248" s="255"/>
      <c r="S11248" s="255"/>
      <c r="T11248" s="255"/>
    </row>
    <row r="11249" spans="18:20" x14ac:dyDescent="0.3">
      <c r="R11249" s="255"/>
      <c r="S11249" s="255"/>
      <c r="T11249" s="255"/>
    </row>
    <row r="11250" spans="18:20" x14ac:dyDescent="0.3">
      <c r="R11250" s="255"/>
      <c r="S11250" s="255"/>
      <c r="T11250" s="255"/>
    </row>
    <row r="11251" spans="18:20" x14ac:dyDescent="0.3">
      <c r="R11251" s="255"/>
      <c r="S11251" s="255"/>
      <c r="T11251" s="255"/>
    </row>
    <row r="11252" spans="18:20" x14ac:dyDescent="0.3">
      <c r="R11252" s="255"/>
      <c r="S11252" s="255"/>
      <c r="T11252" s="255"/>
    </row>
    <row r="11253" spans="18:20" x14ac:dyDescent="0.3">
      <c r="R11253" s="255"/>
      <c r="S11253" s="255"/>
      <c r="T11253" s="255"/>
    </row>
    <row r="11254" spans="18:20" x14ac:dyDescent="0.3">
      <c r="R11254" s="255"/>
      <c r="S11254" s="255"/>
      <c r="T11254" s="255"/>
    </row>
    <row r="11255" spans="18:20" x14ac:dyDescent="0.3">
      <c r="R11255" s="255"/>
      <c r="S11255" s="255"/>
      <c r="T11255" s="255"/>
    </row>
    <row r="11256" spans="18:20" x14ac:dyDescent="0.3">
      <c r="R11256" s="255"/>
      <c r="S11256" s="255"/>
      <c r="T11256" s="255"/>
    </row>
    <row r="11257" spans="18:20" x14ac:dyDescent="0.3">
      <c r="R11257" s="255"/>
      <c r="S11257" s="255"/>
      <c r="T11257" s="255"/>
    </row>
    <row r="11258" spans="18:20" x14ac:dyDescent="0.3">
      <c r="R11258" s="255"/>
      <c r="S11258" s="255"/>
      <c r="T11258" s="255"/>
    </row>
    <row r="11259" spans="18:20" x14ac:dyDescent="0.3">
      <c r="R11259" s="255"/>
      <c r="S11259" s="255"/>
      <c r="T11259" s="255"/>
    </row>
    <row r="11260" spans="18:20" x14ac:dyDescent="0.3">
      <c r="R11260" s="255"/>
      <c r="S11260" s="255"/>
      <c r="T11260" s="255"/>
    </row>
    <row r="11261" spans="18:20" x14ac:dyDescent="0.3">
      <c r="R11261" s="255"/>
      <c r="S11261" s="255"/>
      <c r="T11261" s="255"/>
    </row>
    <row r="11262" spans="18:20" x14ac:dyDescent="0.3">
      <c r="R11262" s="255"/>
      <c r="S11262" s="255"/>
      <c r="T11262" s="255"/>
    </row>
    <row r="11263" spans="18:20" x14ac:dyDescent="0.3">
      <c r="R11263" s="255"/>
      <c r="S11263" s="255"/>
      <c r="T11263" s="255"/>
    </row>
    <row r="11264" spans="18:20" x14ac:dyDescent="0.3">
      <c r="R11264" s="255"/>
      <c r="S11264" s="255"/>
      <c r="T11264" s="255"/>
    </row>
    <row r="11265" spans="18:20" x14ac:dyDescent="0.3">
      <c r="R11265" s="255"/>
      <c r="S11265" s="255"/>
      <c r="T11265" s="255"/>
    </row>
    <row r="11266" spans="18:20" x14ac:dyDescent="0.3">
      <c r="R11266" s="255"/>
      <c r="S11266" s="255"/>
      <c r="T11266" s="255"/>
    </row>
    <row r="11267" spans="18:20" x14ac:dyDescent="0.3">
      <c r="R11267" s="255"/>
      <c r="S11267" s="255"/>
      <c r="T11267" s="255"/>
    </row>
    <row r="11268" spans="18:20" x14ac:dyDescent="0.3">
      <c r="R11268" s="255"/>
      <c r="S11268" s="255"/>
      <c r="T11268" s="255"/>
    </row>
    <row r="11269" spans="18:20" x14ac:dyDescent="0.3">
      <c r="R11269" s="255"/>
      <c r="S11269" s="255"/>
      <c r="T11269" s="255"/>
    </row>
    <row r="11270" spans="18:20" x14ac:dyDescent="0.3">
      <c r="R11270" s="255"/>
      <c r="S11270" s="255"/>
      <c r="T11270" s="255"/>
    </row>
    <row r="11271" spans="18:20" x14ac:dyDescent="0.3">
      <c r="R11271" s="255"/>
      <c r="S11271" s="255"/>
      <c r="T11271" s="255"/>
    </row>
    <row r="11272" spans="18:20" x14ac:dyDescent="0.3">
      <c r="R11272" s="255"/>
      <c r="S11272" s="255"/>
      <c r="T11272" s="255"/>
    </row>
    <row r="11273" spans="18:20" x14ac:dyDescent="0.3">
      <c r="R11273" s="255"/>
      <c r="S11273" s="255"/>
      <c r="T11273" s="255"/>
    </row>
    <row r="11274" spans="18:20" x14ac:dyDescent="0.3">
      <c r="R11274" s="255"/>
      <c r="S11274" s="255"/>
      <c r="T11274" s="255"/>
    </row>
    <row r="11275" spans="18:20" x14ac:dyDescent="0.3">
      <c r="R11275" s="255"/>
      <c r="S11275" s="255"/>
      <c r="T11275" s="255"/>
    </row>
    <row r="11276" spans="18:20" x14ac:dyDescent="0.3">
      <c r="R11276" s="255"/>
      <c r="S11276" s="255"/>
      <c r="T11276" s="255"/>
    </row>
    <row r="11277" spans="18:20" x14ac:dyDescent="0.3">
      <c r="R11277" s="255"/>
      <c r="S11277" s="255"/>
      <c r="T11277" s="255"/>
    </row>
    <row r="11278" spans="18:20" x14ac:dyDescent="0.3">
      <c r="R11278" s="255"/>
      <c r="S11278" s="255"/>
      <c r="T11278" s="255"/>
    </row>
    <row r="11279" spans="18:20" x14ac:dyDescent="0.3">
      <c r="R11279" s="255"/>
      <c r="S11279" s="255"/>
      <c r="T11279" s="255"/>
    </row>
    <row r="11280" spans="18:20" x14ac:dyDescent="0.3">
      <c r="R11280" s="255"/>
      <c r="S11280" s="255"/>
      <c r="T11280" s="255"/>
    </row>
    <row r="11281" spans="18:20" x14ac:dyDescent="0.3">
      <c r="R11281" s="255"/>
      <c r="S11281" s="255"/>
      <c r="T11281" s="255"/>
    </row>
    <row r="11282" spans="18:20" x14ac:dyDescent="0.3">
      <c r="R11282" s="255"/>
      <c r="S11282" s="255"/>
      <c r="T11282" s="255"/>
    </row>
    <row r="11283" spans="18:20" x14ac:dyDescent="0.3">
      <c r="R11283" s="255"/>
      <c r="S11283" s="255"/>
      <c r="T11283" s="255"/>
    </row>
    <row r="11284" spans="18:20" x14ac:dyDescent="0.3">
      <c r="R11284" s="255"/>
      <c r="S11284" s="255"/>
      <c r="T11284" s="255"/>
    </row>
    <row r="11285" spans="18:20" x14ac:dyDescent="0.3">
      <c r="R11285" s="255"/>
      <c r="S11285" s="255"/>
      <c r="T11285" s="255"/>
    </row>
    <row r="11286" spans="18:20" x14ac:dyDescent="0.3">
      <c r="R11286" s="255"/>
      <c r="S11286" s="255"/>
      <c r="T11286" s="255"/>
    </row>
    <row r="11287" spans="18:20" x14ac:dyDescent="0.3">
      <c r="R11287" s="255"/>
      <c r="S11287" s="255"/>
      <c r="T11287" s="255"/>
    </row>
    <row r="11288" spans="18:20" x14ac:dyDescent="0.3">
      <c r="R11288" s="255"/>
      <c r="S11288" s="255"/>
      <c r="T11288" s="255"/>
    </row>
    <row r="11289" spans="18:20" x14ac:dyDescent="0.3">
      <c r="R11289" s="255"/>
      <c r="S11289" s="255"/>
      <c r="T11289" s="255"/>
    </row>
    <row r="11290" spans="18:20" x14ac:dyDescent="0.3">
      <c r="R11290" s="255"/>
      <c r="S11290" s="255"/>
      <c r="T11290" s="255"/>
    </row>
    <row r="11291" spans="18:20" x14ac:dyDescent="0.3">
      <c r="R11291" s="255"/>
      <c r="S11291" s="255"/>
      <c r="T11291" s="255"/>
    </row>
    <row r="11292" spans="18:20" x14ac:dyDescent="0.3">
      <c r="R11292" s="255"/>
      <c r="S11292" s="255"/>
      <c r="T11292" s="255"/>
    </row>
    <row r="11293" spans="18:20" x14ac:dyDescent="0.3">
      <c r="R11293" s="255"/>
      <c r="S11293" s="255"/>
      <c r="T11293" s="255"/>
    </row>
    <row r="11294" spans="18:20" x14ac:dyDescent="0.3">
      <c r="R11294" s="255"/>
      <c r="S11294" s="255"/>
      <c r="T11294" s="255"/>
    </row>
    <row r="11295" spans="18:20" x14ac:dyDescent="0.3">
      <c r="R11295" s="255"/>
      <c r="S11295" s="255"/>
      <c r="T11295" s="255"/>
    </row>
    <row r="11296" spans="18:20" x14ac:dyDescent="0.3">
      <c r="R11296" s="255"/>
      <c r="S11296" s="255"/>
      <c r="T11296" s="255"/>
    </row>
    <row r="11297" spans="18:20" x14ac:dyDescent="0.3">
      <c r="R11297" s="255"/>
      <c r="S11297" s="255"/>
      <c r="T11297" s="255"/>
    </row>
    <row r="11298" spans="18:20" x14ac:dyDescent="0.3">
      <c r="R11298" s="255"/>
      <c r="S11298" s="255"/>
      <c r="T11298" s="255"/>
    </row>
    <row r="11299" spans="18:20" x14ac:dyDescent="0.3">
      <c r="R11299" s="255"/>
      <c r="S11299" s="255"/>
      <c r="T11299" s="255"/>
    </row>
    <row r="11300" spans="18:20" x14ac:dyDescent="0.3">
      <c r="R11300" s="255"/>
      <c r="S11300" s="255"/>
      <c r="T11300" s="255"/>
    </row>
    <row r="11301" spans="18:20" x14ac:dyDescent="0.3">
      <c r="R11301" s="255"/>
      <c r="S11301" s="255"/>
      <c r="T11301" s="255"/>
    </row>
    <row r="11302" spans="18:20" x14ac:dyDescent="0.3">
      <c r="R11302" s="255"/>
      <c r="S11302" s="255"/>
      <c r="T11302" s="255"/>
    </row>
    <row r="11303" spans="18:20" x14ac:dyDescent="0.3">
      <c r="R11303" s="255"/>
      <c r="S11303" s="255"/>
      <c r="T11303" s="255"/>
    </row>
    <row r="11304" spans="18:20" x14ac:dyDescent="0.3">
      <c r="R11304" s="255"/>
      <c r="S11304" s="255"/>
      <c r="T11304" s="255"/>
    </row>
    <row r="11305" spans="18:20" x14ac:dyDescent="0.3">
      <c r="R11305" s="255"/>
      <c r="S11305" s="255"/>
      <c r="T11305" s="255"/>
    </row>
    <row r="11306" spans="18:20" x14ac:dyDescent="0.3">
      <c r="R11306" s="255"/>
      <c r="S11306" s="255"/>
      <c r="T11306" s="255"/>
    </row>
    <row r="11307" spans="18:20" x14ac:dyDescent="0.3">
      <c r="R11307" s="255"/>
      <c r="S11307" s="255"/>
      <c r="T11307" s="255"/>
    </row>
    <row r="11308" spans="18:20" x14ac:dyDescent="0.3">
      <c r="R11308" s="255"/>
      <c r="S11308" s="255"/>
      <c r="T11308" s="255"/>
    </row>
    <row r="11309" spans="18:20" x14ac:dyDescent="0.3">
      <c r="R11309" s="255"/>
      <c r="S11309" s="255"/>
      <c r="T11309" s="255"/>
    </row>
    <row r="11310" spans="18:20" x14ac:dyDescent="0.3">
      <c r="R11310" s="255"/>
      <c r="S11310" s="255"/>
      <c r="T11310" s="255"/>
    </row>
    <row r="11311" spans="18:20" x14ac:dyDescent="0.3">
      <c r="R11311" s="255"/>
      <c r="S11311" s="255"/>
      <c r="T11311" s="255"/>
    </row>
    <row r="11312" spans="18:20" x14ac:dyDescent="0.3">
      <c r="R11312" s="255"/>
      <c r="S11312" s="255"/>
      <c r="T11312" s="255"/>
    </row>
    <row r="11313" spans="18:20" x14ac:dyDescent="0.3">
      <c r="R11313" s="255"/>
      <c r="S11313" s="255"/>
      <c r="T11313" s="255"/>
    </row>
    <row r="11314" spans="18:20" x14ac:dyDescent="0.3">
      <c r="R11314" s="255"/>
      <c r="S11314" s="255"/>
      <c r="T11314" s="255"/>
    </row>
    <row r="11315" spans="18:20" x14ac:dyDescent="0.3">
      <c r="R11315" s="255"/>
      <c r="S11315" s="255"/>
      <c r="T11315" s="255"/>
    </row>
    <row r="11316" spans="18:20" x14ac:dyDescent="0.3">
      <c r="R11316" s="255"/>
      <c r="S11316" s="255"/>
      <c r="T11316" s="255"/>
    </row>
    <row r="11317" spans="18:20" x14ac:dyDescent="0.3">
      <c r="R11317" s="255"/>
      <c r="S11317" s="255"/>
      <c r="T11317" s="255"/>
    </row>
    <row r="11318" spans="18:20" x14ac:dyDescent="0.3">
      <c r="R11318" s="255"/>
      <c r="S11318" s="255"/>
      <c r="T11318" s="255"/>
    </row>
    <row r="11319" spans="18:20" x14ac:dyDescent="0.3">
      <c r="R11319" s="255"/>
      <c r="S11319" s="255"/>
      <c r="T11319" s="255"/>
    </row>
    <row r="11320" spans="18:20" x14ac:dyDescent="0.3">
      <c r="R11320" s="255"/>
      <c r="S11320" s="255"/>
      <c r="T11320" s="255"/>
    </row>
    <row r="11321" spans="18:20" x14ac:dyDescent="0.3">
      <c r="R11321" s="255"/>
      <c r="S11321" s="255"/>
      <c r="T11321" s="255"/>
    </row>
    <row r="11322" spans="18:20" x14ac:dyDescent="0.3">
      <c r="R11322" s="255"/>
      <c r="S11322" s="255"/>
      <c r="T11322" s="255"/>
    </row>
    <row r="11323" spans="18:20" x14ac:dyDescent="0.3">
      <c r="R11323" s="255"/>
      <c r="S11323" s="255"/>
      <c r="T11323" s="255"/>
    </row>
    <row r="11324" spans="18:20" x14ac:dyDescent="0.3">
      <c r="R11324" s="255"/>
      <c r="S11324" s="255"/>
      <c r="T11324" s="255"/>
    </row>
    <row r="11325" spans="18:20" x14ac:dyDescent="0.3">
      <c r="R11325" s="255"/>
      <c r="S11325" s="255"/>
      <c r="T11325" s="255"/>
    </row>
    <row r="11326" spans="18:20" x14ac:dyDescent="0.3">
      <c r="R11326" s="255"/>
      <c r="S11326" s="255"/>
      <c r="T11326" s="255"/>
    </row>
    <row r="11327" spans="18:20" x14ac:dyDescent="0.3">
      <c r="R11327" s="255"/>
      <c r="S11327" s="255"/>
      <c r="T11327" s="255"/>
    </row>
    <row r="11328" spans="18:20" x14ac:dyDescent="0.3">
      <c r="R11328" s="255"/>
      <c r="S11328" s="255"/>
      <c r="T11328" s="255"/>
    </row>
    <row r="11329" spans="18:20" x14ac:dyDescent="0.3">
      <c r="R11329" s="255"/>
      <c r="S11329" s="255"/>
      <c r="T11329" s="255"/>
    </row>
    <row r="11330" spans="18:20" x14ac:dyDescent="0.3">
      <c r="R11330" s="255"/>
      <c r="S11330" s="255"/>
      <c r="T11330" s="255"/>
    </row>
    <row r="11331" spans="18:20" x14ac:dyDescent="0.3">
      <c r="R11331" s="255"/>
      <c r="S11331" s="255"/>
      <c r="T11331" s="255"/>
    </row>
    <row r="11332" spans="18:20" x14ac:dyDescent="0.3">
      <c r="R11332" s="255"/>
      <c r="S11332" s="255"/>
      <c r="T11332" s="255"/>
    </row>
    <row r="11333" spans="18:20" x14ac:dyDescent="0.3">
      <c r="R11333" s="255"/>
      <c r="S11333" s="255"/>
      <c r="T11333" s="255"/>
    </row>
    <row r="11334" spans="18:20" x14ac:dyDescent="0.3">
      <c r="R11334" s="255"/>
      <c r="S11334" s="255"/>
      <c r="T11334" s="255"/>
    </row>
    <row r="11335" spans="18:20" x14ac:dyDescent="0.3">
      <c r="R11335" s="255"/>
      <c r="S11335" s="255"/>
      <c r="T11335" s="255"/>
    </row>
    <row r="11336" spans="18:20" x14ac:dyDescent="0.3">
      <c r="R11336" s="255"/>
      <c r="S11336" s="255"/>
      <c r="T11336" s="255"/>
    </row>
    <row r="11337" spans="18:20" x14ac:dyDescent="0.3">
      <c r="R11337" s="255"/>
      <c r="S11337" s="255"/>
      <c r="T11337" s="255"/>
    </row>
    <row r="11338" spans="18:20" x14ac:dyDescent="0.3">
      <c r="R11338" s="255"/>
      <c r="S11338" s="255"/>
      <c r="T11338" s="255"/>
    </row>
    <row r="11339" spans="18:20" x14ac:dyDescent="0.3">
      <c r="R11339" s="255"/>
      <c r="S11339" s="255"/>
      <c r="T11339" s="255"/>
    </row>
    <row r="11340" spans="18:20" x14ac:dyDescent="0.3">
      <c r="R11340" s="255"/>
      <c r="S11340" s="255"/>
      <c r="T11340" s="255"/>
    </row>
    <row r="11341" spans="18:20" x14ac:dyDescent="0.3">
      <c r="R11341" s="255"/>
      <c r="S11341" s="255"/>
      <c r="T11341" s="255"/>
    </row>
    <row r="11342" spans="18:20" x14ac:dyDescent="0.3">
      <c r="R11342" s="255"/>
      <c r="S11342" s="255"/>
      <c r="T11342" s="255"/>
    </row>
    <row r="11343" spans="18:20" x14ac:dyDescent="0.3">
      <c r="R11343" s="255"/>
      <c r="S11343" s="255"/>
      <c r="T11343" s="255"/>
    </row>
    <row r="11344" spans="18:20" x14ac:dyDescent="0.3">
      <c r="R11344" s="255"/>
      <c r="S11344" s="255"/>
      <c r="T11344" s="255"/>
    </row>
    <row r="11345" spans="18:20" x14ac:dyDescent="0.3">
      <c r="R11345" s="255"/>
      <c r="S11345" s="255"/>
      <c r="T11345" s="255"/>
    </row>
    <row r="11346" spans="18:20" x14ac:dyDescent="0.3">
      <c r="R11346" s="255"/>
      <c r="S11346" s="255"/>
      <c r="T11346" s="255"/>
    </row>
    <row r="11347" spans="18:20" x14ac:dyDescent="0.3">
      <c r="R11347" s="255"/>
      <c r="S11347" s="255"/>
      <c r="T11347" s="255"/>
    </row>
    <row r="11348" spans="18:20" x14ac:dyDescent="0.3">
      <c r="R11348" s="255"/>
      <c r="S11348" s="255"/>
      <c r="T11348" s="255"/>
    </row>
    <row r="11349" spans="18:20" x14ac:dyDescent="0.3">
      <c r="R11349" s="255"/>
      <c r="S11349" s="255"/>
      <c r="T11349" s="255"/>
    </row>
    <row r="11350" spans="18:20" x14ac:dyDescent="0.3">
      <c r="R11350" s="255"/>
      <c r="S11350" s="255"/>
      <c r="T11350" s="255"/>
    </row>
    <row r="11351" spans="18:20" x14ac:dyDescent="0.3">
      <c r="R11351" s="255"/>
      <c r="S11351" s="255"/>
      <c r="T11351" s="255"/>
    </row>
    <row r="11352" spans="18:20" x14ac:dyDescent="0.3">
      <c r="R11352" s="255"/>
      <c r="S11352" s="255"/>
      <c r="T11352" s="255"/>
    </row>
    <row r="11353" spans="18:20" x14ac:dyDescent="0.3">
      <c r="R11353" s="255"/>
      <c r="S11353" s="255"/>
      <c r="T11353" s="255"/>
    </row>
    <row r="11354" spans="18:20" x14ac:dyDescent="0.3">
      <c r="R11354" s="255"/>
      <c r="S11354" s="255"/>
      <c r="T11354" s="255"/>
    </row>
    <row r="11355" spans="18:20" x14ac:dyDescent="0.3">
      <c r="R11355" s="255"/>
      <c r="S11355" s="255"/>
      <c r="T11355" s="255"/>
    </row>
    <row r="11356" spans="18:20" x14ac:dyDescent="0.3">
      <c r="R11356" s="255"/>
      <c r="S11356" s="255"/>
      <c r="T11356" s="255"/>
    </row>
    <row r="11357" spans="18:20" x14ac:dyDescent="0.3">
      <c r="R11357" s="255"/>
      <c r="S11357" s="255"/>
      <c r="T11357" s="255"/>
    </row>
    <row r="11358" spans="18:20" x14ac:dyDescent="0.3">
      <c r="R11358" s="255"/>
      <c r="S11358" s="255"/>
      <c r="T11358" s="255"/>
    </row>
    <row r="11359" spans="18:20" x14ac:dyDescent="0.3">
      <c r="R11359" s="255"/>
      <c r="S11359" s="255"/>
      <c r="T11359" s="255"/>
    </row>
    <row r="11360" spans="18:20" x14ac:dyDescent="0.3">
      <c r="R11360" s="255"/>
      <c r="S11360" s="255"/>
      <c r="T11360" s="255"/>
    </row>
    <row r="11361" spans="18:20" x14ac:dyDescent="0.3">
      <c r="R11361" s="255"/>
      <c r="S11361" s="255"/>
      <c r="T11361" s="255"/>
    </row>
    <row r="11362" spans="18:20" x14ac:dyDescent="0.3">
      <c r="R11362" s="255"/>
      <c r="S11362" s="255"/>
      <c r="T11362" s="255"/>
    </row>
    <row r="11363" spans="18:20" x14ac:dyDescent="0.3">
      <c r="R11363" s="255"/>
      <c r="S11363" s="255"/>
      <c r="T11363" s="255"/>
    </row>
    <row r="11364" spans="18:20" x14ac:dyDescent="0.3">
      <c r="R11364" s="255"/>
      <c r="S11364" s="255"/>
      <c r="T11364" s="255"/>
    </row>
    <row r="11365" spans="18:20" x14ac:dyDescent="0.3">
      <c r="R11365" s="255"/>
      <c r="S11365" s="255"/>
      <c r="T11365" s="255"/>
    </row>
    <row r="11366" spans="18:20" x14ac:dyDescent="0.3">
      <c r="R11366" s="255"/>
      <c r="S11366" s="255"/>
      <c r="T11366" s="255"/>
    </row>
    <row r="11367" spans="18:20" x14ac:dyDescent="0.3">
      <c r="R11367" s="255"/>
      <c r="S11367" s="255"/>
      <c r="T11367" s="255"/>
    </row>
    <row r="11368" spans="18:20" x14ac:dyDescent="0.3">
      <c r="R11368" s="255"/>
      <c r="S11368" s="255"/>
      <c r="T11368" s="255"/>
    </row>
    <row r="11369" spans="18:20" x14ac:dyDescent="0.3">
      <c r="R11369" s="255"/>
      <c r="S11369" s="255"/>
      <c r="T11369" s="255"/>
    </row>
    <row r="11370" spans="18:20" x14ac:dyDescent="0.3">
      <c r="R11370" s="255"/>
      <c r="S11370" s="255"/>
      <c r="T11370" s="255"/>
    </row>
    <row r="11371" spans="18:20" x14ac:dyDescent="0.3">
      <c r="R11371" s="255"/>
      <c r="S11371" s="255"/>
      <c r="T11371" s="255"/>
    </row>
    <row r="11372" spans="18:20" x14ac:dyDescent="0.3">
      <c r="R11372" s="255"/>
      <c r="S11372" s="255"/>
      <c r="T11372" s="255"/>
    </row>
    <row r="11373" spans="18:20" x14ac:dyDescent="0.3">
      <c r="R11373" s="255"/>
      <c r="S11373" s="255"/>
      <c r="T11373" s="255"/>
    </row>
    <row r="11374" spans="18:20" x14ac:dyDescent="0.3">
      <c r="R11374" s="255"/>
      <c r="S11374" s="255"/>
      <c r="T11374" s="255"/>
    </row>
    <row r="11375" spans="18:20" x14ac:dyDescent="0.3">
      <c r="R11375" s="255"/>
      <c r="S11375" s="255"/>
      <c r="T11375" s="255"/>
    </row>
    <row r="11376" spans="18:20" x14ac:dyDescent="0.3">
      <c r="R11376" s="255"/>
      <c r="S11376" s="255"/>
      <c r="T11376" s="255"/>
    </row>
    <row r="11377" spans="18:20" x14ac:dyDescent="0.3">
      <c r="R11377" s="255"/>
      <c r="S11377" s="255"/>
      <c r="T11377" s="255"/>
    </row>
    <row r="11378" spans="18:20" x14ac:dyDescent="0.3">
      <c r="R11378" s="255"/>
      <c r="S11378" s="255"/>
      <c r="T11378" s="255"/>
    </row>
    <row r="11379" spans="18:20" x14ac:dyDescent="0.3">
      <c r="R11379" s="255"/>
      <c r="S11379" s="255"/>
      <c r="T11379" s="255"/>
    </row>
    <row r="11380" spans="18:20" x14ac:dyDescent="0.3">
      <c r="R11380" s="255"/>
      <c r="S11380" s="255"/>
      <c r="T11380" s="255"/>
    </row>
    <row r="11381" spans="18:20" x14ac:dyDescent="0.3">
      <c r="R11381" s="255"/>
      <c r="S11381" s="255"/>
      <c r="T11381" s="255"/>
    </row>
    <row r="11382" spans="18:20" x14ac:dyDescent="0.3">
      <c r="R11382" s="255"/>
      <c r="S11382" s="255"/>
      <c r="T11382" s="255"/>
    </row>
    <row r="11383" spans="18:20" x14ac:dyDescent="0.3">
      <c r="R11383" s="255"/>
      <c r="S11383" s="255"/>
      <c r="T11383" s="255"/>
    </row>
    <row r="11384" spans="18:20" x14ac:dyDescent="0.3">
      <c r="R11384" s="255"/>
      <c r="S11384" s="255"/>
      <c r="T11384" s="255"/>
    </row>
    <row r="11385" spans="18:20" x14ac:dyDescent="0.3">
      <c r="R11385" s="255"/>
      <c r="S11385" s="255"/>
      <c r="T11385" s="255"/>
    </row>
    <row r="11386" spans="18:20" x14ac:dyDescent="0.3">
      <c r="R11386" s="255"/>
      <c r="S11386" s="255"/>
      <c r="T11386" s="255"/>
    </row>
    <row r="11387" spans="18:20" x14ac:dyDescent="0.3">
      <c r="R11387" s="255"/>
      <c r="S11387" s="255"/>
      <c r="T11387" s="255"/>
    </row>
    <row r="11388" spans="18:20" x14ac:dyDescent="0.3">
      <c r="R11388" s="255"/>
      <c r="S11388" s="255"/>
      <c r="T11388" s="255"/>
    </row>
    <row r="11389" spans="18:20" x14ac:dyDescent="0.3">
      <c r="R11389" s="255"/>
      <c r="S11389" s="255"/>
      <c r="T11389" s="255"/>
    </row>
    <row r="11390" spans="18:20" x14ac:dyDescent="0.3">
      <c r="R11390" s="255"/>
      <c r="S11390" s="255"/>
      <c r="T11390" s="255"/>
    </row>
    <row r="11391" spans="18:20" x14ac:dyDescent="0.3">
      <c r="R11391" s="255"/>
      <c r="S11391" s="255"/>
      <c r="T11391" s="255"/>
    </row>
    <row r="11392" spans="18:20" x14ac:dyDescent="0.3">
      <c r="R11392" s="255"/>
      <c r="S11392" s="255"/>
      <c r="T11392" s="255"/>
    </row>
    <row r="11393" spans="18:20" x14ac:dyDescent="0.3">
      <c r="R11393" s="255"/>
      <c r="S11393" s="255"/>
      <c r="T11393" s="255"/>
    </row>
    <row r="11394" spans="18:20" x14ac:dyDescent="0.3">
      <c r="R11394" s="255"/>
      <c r="S11394" s="255"/>
      <c r="T11394" s="255"/>
    </row>
    <row r="11395" spans="18:20" x14ac:dyDescent="0.3">
      <c r="R11395" s="255"/>
      <c r="S11395" s="255"/>
      <c r="T11395" s="255"/>
    </row>
    <row r="11396" spans="18:20" x14ac:dyDescent="0.3">
      <c r="R11396" s="255"/>
      <c r="S11396" s="255"/>
      <c r="T11396" s="255"/>
    </row>
    <row r="11397" spans="18:20" x14ac:dyDescent="0.3">
      <c r="R11397" s="255"/>
      <c r="S11397" s="255"/>
      <c r="T11397" s="255"/>
    </row>
    <row r="11398" spans="18:20" x14ac:dyDescent="0.3">
      <c r="R11398" s="255"/>
      <c r="S11398" s="255"/>
      <c r="T11398" s="255"/>
    </row>
    <row r="11399" spans="18:20" x14ac:dyDescent="0.3">
      <c r="R11399" s="255"/>
      <c r="S11399" s="255"/>
      <c r="T11399" s="255"/>
    </row>
    <row r="11400" spans="18:20" x14ac:dyDescent="0.3">
      <c r="R11400" s="255"/>
      <c r="S11400" s="255"/>
      <c r="T11400" s="255"/>
    </row>
    <row r="11401" spans="18:20" x14ac:dyDescent="0.3">
      <c r="R11401" s="255"/>
      <c r="S11401" s="255"/>
      <c r="T11401" s="255"/>
    </row>
    <row r="11402" spans="18:20" x14ac:dyDescent="0.3">
      <c r="R11402" s="255"/>
      <c r="S11402" s="255"/>
      <c r="T11402" s="255"/>
    </row>
    <row r="11403" spans="18:20" x14ac:dyDescent="0.3">
      <c r="R11403" s="255"/>
      <c r="S11403" s="255"/>
      <c r="T11403" s="255"/>
    </row>
    <row r="11404" spans="18:20" x14ac:dyDescent="0.3">
      <c r="R11404" s="255"/>
      <c r="S11404" s="255"/>
      <c r="T11404" s="255"/>
    </row>
    <row r="11405" spans="18:20" x14ac:dyDescent="0.3">
      <c r="R11405" s="255"/>
      <c r="S11405" s="255"/>
      <c r="T11405" s="255"/>
    </row>
    <row r="11406" spans="18:20" x14ac:dyDescent="0.3">
      <c r="R11406" s="255"/>
      <c r="S11406" s="255"/>
      <c r="T11406" s="255"/>
    </row>
    <row r="11407" spans="18:20" x14ac:dyDescent="0.3">
      <c r="R11407" s="255"/>
      <c r="S11407" s="255"/>
      <c r="T11407" s="255"/>
    </row>
    <row r="11408" spans="18:20" x14ac:dyDescent="0.3">
      <c r="R11408" s="255"/>
      <c r="S11408" s="255"/>
      <c r="T11408" s="255"/>
    </row>
    <row r="11409" spans="18:20" x14ac:dyDescent="0.3">
      <c r="R11409" s="255"/>
      <c r="S11409" s="255"/>
      <c r="T11409" s="255"/>
    </row>
    <row r="11410" spans="18:20" x14ac:dyDescent="0.3">
      <c r="R11410" s="255"/>
      <c r="S11410" s="255"/>
      <c r="T11410" s="255"/>
    </row>
    <row r="11411" spans="18:20" x14ac:dyDescent="0.3">
      <c r="R11411" s="255"/>
      <c r="S11411" s="255"/>
      <c r="T11411" s="255"/>
    </row>
    <row r="11412" spans="18:20" x14ac:dyDescent="0.3">
      <c r="R11412" s="255"/>
      <c r="S11412" s="255"/>
      <c r="T11412" s="255"/>
    </row>
    <row r="11413" spans="18:20" x14ac:dyDescent="0.3">
      <c r="R11413" s="255"/>
      <c r="S11413" s="255"/>
      <c r="T11413" s="255"/>
    </row>
    <row r="11414" spans="18:20" x14ac:dyDescent="0.3">
      <c r="R11414" s="255"/>
      <c r="S11414" s="255"/>
      <c r="T11414" s="255"/>
    </row>
    <row r="11415" spans="18:20" x14ac:dyDescent="0.3">
      <c r="R11415" s="255"/>
      <c r="S11415" s="255"/>
      <c r="T11415" s="255"/>
    </row>
    <row r="11416" spans="18:20" x14ac:dyDescent="0.3">
      <c r="R11416" s="255"/>
      <c r="S11416" s="255"/>
      <c r="T11416" s="255"/>
    </row>
    <row r="11417" spans="18:20" x14ac:dyDescent="0.3">
      <c r="R11417" s="255"/>
      <c r="S11417" s="255"/>
      <c r="T11417" s="255"/>
    </row>
    <row r="11418" spans="18:20" x14ac:dyDescent="0.3">
      <c r="R11418" s="255"/>
      <c r="S11418" s="255"/>
      <c r="T11418" s="255"/>
    </row>
    <row r="11419" spans="18:20" x14ac:dyDescent="0.3">
      <c r="R11419" s="255"/>
      <c r="S11419" s="255"/>
      <c r="T11419" s="255"/>
    </row>
    <row r="11420" spans="18:20" x14ac:dyDescent="0.3">
      <c r="R11420" s="255"/>
      <c r="S11420" s="255"/>
      <c r="T11420" s="255"/>
    </row>
    <row r="11421" spans="18:20" x14ac:dyDescent="0.3">
      <c r="R11421" s="255"/>
      <c r="S11421" s="255"/>
      <c r="T11421" s="255"/>
    </row>
    <row r="11422" spans="18:20" x14ac:dyDescent="0.3">
      <c r="R11422" s="255"/>
      <c r="S11422" s="255"/>
      <c r="T11422" s="255"/>
    </row>
    <row r="11423" spans="18:20" x14ac:dyDescent="0.3">
      <c r="R11423" s="255"/>
      <c r="S11423" s="255"/>
      <c r="T11423" s="255"/>
    </row>
    <row r="11424" spans="18:20" x14ac:dyDescent="0.3">
      <c r="R11424" s="255"/>
      <c r="S11424" s="255"/>
      <c r="T11424" s="255"/>
    </row>
    <row r="11425" spans="18:20" x14ac:dyDescent="0.3">
      <c r="R11425" s="255"/>
      <c r="S11425" s="255"/>
      <c r="T11425" s="255"/>
    </row>
    <row r="11426" spans="18:20" x14ac:dyDescent="0.3">
      <c r="R11426" s="255"/>
      <c r="S11426" s="255"/>
      <c r="T11426" s="255"/>
    </row>
    <row r="11427" spans="18:20" x14ac:dyDescent="0.3">
      <c r="R11427" s="255"/>
      <c r="S11427" s="255"/>
      <c r="T11427" s="255"/>
    </row>
    <row r="11428" spans="18:20" x14ac:dyDescent="0.3">
      <c r="R11428" s="255"/>
      <c r="S11428" s="255"/>
      <c r="T11428" s="255"/>
    </row>
    <row r="11429" spans="18:20" x14ac:dyDescent="0.3">
      <c r="R11429" s="255"/>
      <c r="S11429" s="255"/>
      <c r="T11429" s="255"/>
    </row>
    <row r="11430" spans="18:20" x14ac:dyDescent="0.3">
      <c r="R11430" s="255"/>
      <c r="S11430" s="255"/>
      <c r="T11430" s="255"/>
    </row>
    <row r="11431" spans="18:20" x14ac:dyDescent="0.3">
      <c r="R11431" s="255"/>
      <c r="S11431" s="255"/>
      <c r="T11431" s="255"/>
    </row>
    <row r="11432" spans="18:20" x14ac:dyDescent="0.3">
      <c r="R11432" s="255"/>
      <c r="S11432" s="255"/>
      <c r="T11432" s="255"/>
    </row>
    <row r="11433" spans="18:20" x14ac:dyDescent="0.3">
      <c r="R11433" s="255"/>
      <c r="S11433" s="255"/>
      <c r="T11433" s="255"/>
    </row>
    <row r="11434" spans="18:20" x14ac:dyDescent="0.3">
      <c r="R11434" s="255"/>
      <c r="S11434" s="255"/>
      <c r="T11434" s="255"/>
    </row>
    <row r="11435" spans="18:20" x14ac:dyDescent="0.3">
      <c r="R11435" s="255"/>
      <c r="S11435" s="255"/>
      <c r="T11435" s="255"/>
    </row>
    <row r="11436" spans="18:20" x14ac:dyDescent="0.3">
      <c r="R11436" s="255"/>
      <c r="S11436" s="255"/>
      <c r="T11436" s="255"/>
    </row>
    <row r="11437" spans="18:20" x14ac:dyDescent="0.3">
      <c r="R11437" s="255"/>
      <c r="S11437" s="255"/>
      <c r="T11437" s="255"/>
    </row>
    <row r="11438" spans="18:20" x14ac:dyDescent="0.3">
      <c r="R11438" s="255"/>
      <c r="S11438" s="255"/>
      <c r="T11438" s="255"/>
    </row>
    <row r="11439" spans="18:20" x14ac:dyDescent="0.3">
      <c r="R11439" s="255"/>
      <c r="S11439" s="255"/>
      <c r="T11439" s="255"/>
    </row>
    <row r="11440" spans="18:20" x14ac:dyDescent="0.3">
      <c r="R11440" s="255"/>
      <c r="S11440" s="255"/>
      <c r="T11440" s="255"/>
    </row>
    <row r="11441" spans="18:20" x14ac:dyDescent="0.3">
      <c r="R11441" s="255"/>
      <c r="S11441" s="255"/>
      <c r="T11441" s="255"/>
    </row>
    <row r="11442" spans="18:20" x14ac:dyDescent="0.3">
      <c r="R11442" s="255"/>
      <c r="S11442" s="255"/>
      <c r="T11442" s="255"/>
    </row>
    <row r="11443" spans="18:20" x14ac:dyDescent="0.3">
      <c r="R11443" s="255"/>
      <c r="S11443" s="255"/>
      <c r="T11443" s="255"/>
    </row>
    <row r="11444" spans="18:20" x14ac:dyDescent="0.3">
      <c r="R11444" s="255"/>
      <c r="S11444" s="255"/>
      <c r="T11444" s="255"/>
    </row>
    <row r="11445" spans="18:20" x14ac:dyDescent="0.3">
      <c r="R11445" s="255"/>
      <c r="S11445" s="255"/>
      <c r="T11445" s="255"/>
    </row>
    <row r="11446" spans="18:20" x14ac:dyDescent="0.3">
      <c r="R11446" s="255"/>
      <c r="S11446" s="255"/>
      <c r="T11446" s="255"/>
    </row>
    <row r="11447" spans="18:20" x14ac:dyDescent="0.3">
      <c r="R11447" s="255"/>
      <c r="S11447" s="255"/>
      <c r="T11447" s="255"/>
    </row>
    <row r="11448" spans="18:20" x14ac:dyDescent="0.3">
      <c r="R11448" s="255"/>
      <c r="S11448" s="255"/>
      <c r="T11448" s="255"/>
    </row>
    <row r="11449" spans="18:20" x14ac:dyDescent="0.3">
      <c r="R11449" s="255"/>
      <c r="S11449" s="255"/>
      <c r="T11449" s="255"/>
    </row>
    <row r="11450" spans="18:20" x14ac:dyDescent="0.3">
      <c r="R11450" s="255"/>
      <c r="S11450" s="255"/>
      <c r="T11450" s="255"/>
    </row>
    <row r="11451" spans="18:20" x14ac:dyDescent="0.3">
      <c r="R11451" s="255"/>
      <c r="S11451" s="255"/>
      <c r="T11451" s="255"/>
    </row>
    <row r="11452" spans="18:20" x14ac:dyDescent="0.3">
      <c r="R11452" s="255"/>
      <c r="S11452" s="255"/>
      <c r="T11452" s="255"/>
    </row>
    <row r="11453" spans="18:20" x14ac:dyDescent="0.3">
      <c r="R11453" s="255"/>
      <c r="S11453" s="255"/>
      <c r="T11453" s="255"/>
    </row>
    <row r="11454" spans="18:20" x14ac:dyDescent="0.3">
      <c r="R11454" s="255"/>
      <c r="S11454" s="255"/>
      <c r="T11454" s="255"/>
    </row>
    <row r="11455" spans="18:20" x14ac:dyDescent="0.3">
      <c r="R11455" s="255"/>
      <c r="S11455" s="255"/>
      <c r="T11455" s="255"/>
    </row>
    <row r="11456" spans="18:20" x14ac:dyDescent="0.3">
      <c r="R11456" s="255"/>
      <c r="S11456" s="255"/>
      <c r="T11456" s="255"/>
    </row>
    <row r="11457" spans="18:20" x14ac:dyDescent="0.3">
      <c r="R11457" s="255"/>
      <c r="S11457" s="255"/>
      <c r="T11457" s="255"/>
    </row>
    <row r="11458" spans="18:20" x14ac:dyDescent="0.3">
      <c r="R11458" s="255"/>
      <c r="S11458" s="255"/>
      <c r="T11458" s="255"/>
    </row>
    <row r="11459" spans="18:20" x14ac:dyDescent="0.3">
      <c r="R11459" s="255"/>
      <c r="S11459" s="255"/>
      <c r="T11459" s="255"/>
    </row>
    <row r="11460" spans="18:20" x14ac:dyDescent="0.3">
      <c r="R11460" s="255"/>
      <c r="S11460" s="255"/>
      <c r="T11460" s="255"/>
    </row>
    <row r="11461" spans="18:20" x14ac:dyDescent="0.3">
      <c r="R11461" s="255"/>
      <c r="S11461" s="255"/>
      <c r="T11461" s="255"/>
    </row>
    <row r="11462" spans="18:20" x14ac:dyDescent="0.3">
      <c r="R11462" s="255"/>
      <c r="S11462" s="255"/>
      <c r="T11462" s="255"/>
    </row>
    <row r="11463" spans="18:20" x14ac:dyDescent="0.3">
      <c r="R11463" s="255"/>
      <c r="S11463" s="255"/>
      <c r="T11463" s="255"/>
    </row>
    <row r="11464" spans="18:20" x14ac:dyDescent="0.3">
      <c r="R11464" s="255"/>
      <c r="S11464" s="255"/>
      <c r="T11464" s="255"/>
    </row>
    <row r="11465" spans="18:20" x14ac:dyDescent="0.3">
      <c r="R11465" s="255"/>
      <c r="S11465" s="255"/>
      <c r="T11465" s="255"/>
    </row>
    <row r="11466" spans="18:20" x14ac:dyDescent="0.3">
      <c r="R11466" s="255"/>
      <c r="S11466" s="255"/>
      <c r="T11466" s="255"/>
    </row>
    <row r="11467" spans="18:20" x14ac:dyDescent="0.3">
      <c r="R11467" s="255"/>
      <c r="S11467" s="255"/>
      <c r="T11467" s="255"/>
    </row>
    <row r="11468" spans="18:20" x14ac:dyDescent="0.3">
      <c r="R11468" s="255"/>
      <c r="S11468" s="255"/>
      <c r="T11468" s="255"/>
    </row>
    <row r="11469" spans="18:20" x14ac:dyDescent="0.3">
      <c r="R11469" s="255"/>
      <c r="S11469" s="255"/>
      <c r="T11469" s="255"/>
    </row>
    <row r="11470" spans="18:20" x14ac:dyDescent="0.3">
      <c r="R11470" s="255"/>
      <c r="S11470" s="255"/>
      <c r="T11470" s="255"/>
    </row>
    <row r="11471" spans="18:20" x14ac:dyDescent="0.3">
      <c r="R11471" s="255"/>
      <c r="S11471" s="255"/>
      <c r="T11471" s="255"/>
    </row>
    <row r="11472" spans="18:20" x14ac:dyDescent="0.3">
      <c r="R11472" s="255"/>
      <c r="S11472" s="255"/>
      <c r="T11472" s="255"/>
    </row>
    <row r="11473" spans="18:20" x14ac:dyDescent="0.3">
      <c r="R11473" s="255"/>
      <c r="S11473" s="255"/>
      <c r="T11473" s="255"/>
    </row>
    <row r="11474" spans="18:20" x14ac:dyDescent="0.3">
      <c r="R11474" s="255"/>
      <c r="S11474" s="255"/>
      <c r="T11474" s="255"/>
    </row>
    <row r="11475" spans="18:20" x14ac:dyDescent="0.3">
      <c r="R11475" s="255"/>
      <c r="S11475" s="255"/>
      <c r="T11475" s="255"/>
    </row>
    <row r="11476" spans="18:20" x14ac:dyDescent="0.3">
      <c r="R11476" s="255"/>
      <c r="S11476" s="255"/>
      <c r="T11476" s="255"/>
    </row>
    <row r="11477" spans="18:20" x14ac:dyDescent="0.3">
      <c r="R11477" s="255"/>
      <c r="S11477" s="255"/>
      <c r="T11477" s="255"/>
    </row>
    <row r="11478" spans="18:20" x14ac:dyDescent="0.3">
      <c r="R11478" s="255"/>
      <c r="S11478" s="255"/>
      <c r="T11478" s="255"/>
    </row>
    <row r="11479" spans="18:20" x14ac:dyDescent="0.3">
      <c r="R11479" s="255"/>
      <c r="S11479" s="255"/>
      <c r="T11479" s="255"/>
    </row>
    <row r="11480" spans="18:20" x14ac:dyDescent="0.3">
      <c r="R11480" s="255"/>
      <c r="S11480" s="255"/>
      <c r="T11480" s="255"/>
    </row>
    <row r="11481" spans="18:20" x14ac:dyDescent="0.3">
      <c r="R11481" s="255"/>
      <c r="S11481" s="255"/>
      <c r="T11481" s="255"/>
    </row>
    <row r="11482" spans="18:20" x14ac:dyDescent="0.3">
      <c r="R11482" s="255"/>
      <c r="S11482" s="255"/>
      <c r="T11482" s="255"/>
    </row>
    <row r="11483" spans="18:20" x14ac:dyDescent="0.3">
      <c r="R11483" s="255"/>
      <c r="S11483" s="255"/>
      <c r="T11483" s="255"/>
    </row>
    <row r="11484" spans="18:20" x14ac:dyDescent="0.3">
      <c r="R11484" s="255"/>
      <c r="S11484" s="255"/>
      <c r="T11484" s="255"/>
    </row>
    <row r="11485" spans="18:20" x14ac:dyDescent="0.3">
      <c r="R11485" s="255"/>
      <c r="S11485" s="255"/>
      <c r="T11485" s="255"/>
    </row>
    <row r="11486" spans="18:20" x14ac:dyDescent="0.3">
      <c r="R11486" s="255"/>
      <c r="S11486" s="255"/>
      <c r="T11486" s="255"/>
    </row>
    <row r="11487" spans="18:20" x14ac:dyDescent="0.3">
      <c r="R11487" s="255"/>
      <c r="S11487" s="255"/>
      <c r="T11487" s="255"/>
    </row>
    <row r="11488" spans="18:20" x14ac:dyDescent="0.3">
      <c r="R11488" s="255"/>
      <c r="S11488" s="255"/>
      <c r="T11488" s="255"/>
    </row>
    <row r="11489" spans="18:20" x14ac:dyDescent="0.3">
      <c r="R11489" s="255"/>
      <c r="S11489" s="255"/>
      <c r="T11489" s="255"/>
    </row>
    <row r="11490" spans="18:20" x14ac:dyDescent="0.3">
      <c r="R11490" s="255"/>
      <c r="S11490" s="255"/>
      <c r="T11490" s="255"/>
    </row>
    <row r="11491" spans="18:20" x14ac:dyDescent="0.3">
      <c r="R11491" s="255"/>
      <c r="S11491" s="255"/>
      <c r="T11491" s="255"/>
    </row>
    <row r="11492" spans="18:20" x14ac:dyDescent="0.3">
      <c r="R11492" s="255"/>
      <c r="S11492" s="255"/>
      <c r="T11492" s="255"/>
    </row>
    <row r="11493" spans="18:20" x14ac:dyDescent="0.3">
      <c r="R11493" s="255"/>
      <c r="S11493" s="255"/>
      <c r="T11493" s="255"/>
    </row>
    <row r="11494" spans="18:20" x14ac:dyDescent="0.3">
      <c r="R11494" s="255"/>
      <c r="S11494" s="255"/>
      <c r="T11494" s="255"/>
    </row>
    <row r="11495" spans="18:20" x14ac:dyDescent="0.3">
      <c r="R11495" s="255"/>
      <c r="S11495" s="255"/>
      <c r="T11495" s="255"/>
    </row>
    <row r="11496" spans="18:20" x14ac:dyDescent="0.3">
      <c r="R11496" s="255"/>
      <c r="S11496" s="255"/>
      <c r="T11496" s="255"/>
    </row>
    <row r="11497" spans="18:20" x14ac:dyDescent="0.3">
      <c r="R11497" s="255"/>
      <c r="S11497" s="255"/>
      <c r="T11497" s="255"/>
    </row>
    <row r="11498" spans="18:20" x14ac:dyDescent="0.3">
      <c r="R11498" s="255"/>
      <c r="S11498" s="255"/>
      <c r="T11498" s="255"/>
    </row>
    <row r="11499" spans="18:20" x14ac:dyDescent="0.3">
      <c r="R11499" s="255"/>
      <c r="S11499" s="255"/>
      <c r="T11499" s="255"/>
    </row>
    <row r="11500" spans="18:20" x14ac:dyDescent="0.3">
      <c r="R11500" s="255"/>
      <c r="S11500" s="255"/>
      <c r="T11500" s="255"/>
    </row>
    <row r="11501" spans="18:20" x14ac:dyDescent="0.3">
      <c r="R11501" s="255"/>
      <c r="S11501" s="255"/>
      <c r="T11501" s="255"/>
    </row>
    <row r="11502" spans="18:20" x14ac:dyDescent="0.3">
      <c r="R11502" s="255"/>
      <c r="S11502" s="255"/>
      <c r="T11502" s="255"/>
    </row>
    <row r="11503" spans="18:20" x14ac:dyDescent="0.3">
      <c r="R11503" s="255"/>
      <c r="S11503" s="255"/>
      <c r="T11503" s="255"/>
    </row>
    <row r="11504" spans="18:20" x14ac:dyDescent="0.3">
      <c r="R11504" s="255"/>
      <c r="S11504" s="255"/>
      <c r="T11504" s="255"/>
    </row>
    <row r="11505" spans="18:20" x14ac:dyDescent="0.3">
      <c r="R11505" s="255"/>
      <c r="S11505" s="255"/>
      <c r="T11505" s="255"/>
    </row>
    <row r="11506" spans="18:20" x14ac:dyDescent="0.3">
      <c r="R11506" s="255"/>
      <c r="S11506" s="255"/>
      <c r="T11506" s="255"/>
    </row>
    <row r="11507" spans="18:20" x14ac:dyDescent="0.3">
      <c r="R11507" s="255"/>
      <c r="S11507" s="255"/>
      <c r="T11507" s="255"/>
    </row>
    <row r="11508" spans="18:20" x14ac:dyDescent="0.3">
      <c r="R11508" s="255"/>
      <c r="S11508" s="255"/>
      <c r="T11508" s="255"/>
    </row>
    <row r="11509" spans="18:20" x14ac:dyDescent="0.3">
      <c r="R11509" s="255"/>
      <c r="S11509" s="255"/>
      <c r="T11509" s="255"/>
    </row>
    <row r="11510" spans="18:20" x14ac:dyDescent="0.3">
      <c r="R11510" s="255"/>
      <c r="S11510" s="255"/>
      <c r="T11510" s="255"/>
    </row>
    <row r="11511" spans="18:20" x14ac:dyDescent="0.3">
      <c r="R11511" s="255"/>
      <c r="S11511" s="255"/>
      <c r="T11511" s="255"/>
    </row>
    <row r="11512" spans="18:20" x14ac:dyDescent="0.3">
      <c r="R11512" s="255"/>
      <c r="S11512" s="255"/>
      <c r="T11512" s="255"/>
    </row>
    <row r="11513" spans="18:20" x14ac:dyDescent="0.3">
      <c r="R11513" s="255"/>
      <c r="S11513" s="255"/>
      <c r="T11513" s="255"/>
    </row>
    <row r="11514" spans="18:20" x14ac:dyDescent="0.3">
      <c r="R11514" s="255"/>
      <c r="S11514" s="255"/>
      <c r="T11514" s="255"/>
    </row>
    <row r="11515" spans="18:20" x14ac:dyDescent="0.3">
      <c r="R11515" s="255"/>
      <c r="S11515" s="255"/>
      <c r="T11515" s="255"/>
    </row>
    <row r="11516" spans="18:20" x14ac:dyDescent="0.3">
      <c r="R11516" s="255"/>
      <c r="S11516" s="255"/>
      <c r="T11516" s="255"/>
    </row>
    <row r="11517" spans="18:20" x14ac:dyDescent="0.3">
      <c r="R11517" s="255"/>
      <c r="S11517" s="255"/>
      <c r="T11517" s="255"/>
    </row>
    <row r="11518" spans="18:20" x14ac:dyDescent="0.3">
      <c r="R11518" s="255"/>
      <c r="S11518" s="255"/>
      <c r="T11518" s="255"/>
    </row>
    <row r="11519" spans="18:20" x14ac:dyDescent="0.3">
      <c r="R11519" s="255"/>
      <c r="S11519" s="255"/>
      <c r="T11519" s="255"/>
    </row>
    <row r="11520" spans="18:20" x14ac:dyDescent="0.3">
      <c r="R11520" s="255"/>
      <c r="S11520" s="255"/>
      <c r="T11520" s="255"/>
    </row>
    <row r="11521" spans="18:20" x14ac:dyDescent="0.3">
      <c r="R11521" s="255"/>
      <c r="S11521" s="255"/>
      <c r="T11521" s="255"/>
    </row>
    <row r="11522" spans="18:20" x14ac:dyDescent="0.3">
      <c r="R11522" s="255"/>
      <c r="S11522" s="255"/>
      <c r="T11522" s="255"/>
    </row>
    <row r="11523" spans="18:20" x14ac:dyDescent="0.3">
      <c r="R11523" s="255"/>
      <c r="S11523" s="255"/>
      <c r="T11523" s="255"/>
    </row>
    <row r="11524" spans="18:20" x14ac:dyDescent="0.3">
      <c r="R11524" s="255"/>
      <c r="S11524" s="255"/>
      <c r="T11524" s="255"/>
    </row>
    <row r="11525" spans="18:20" x14ac:dyDescent="0.3">
      <c r="R11525" s="255"/>
      <c r="S11525" s="255"/>
      <c r="T11525" s="255"/>
    </row>
    <row r="11526" spans="18:20" x14ac:dyDescent="0.3">
      <c r="R11526" s="255"/>
      <c r="S11526" s="255"/>
      <c r="T11526" s="255"/>
    </row>
    <row r="11527" spans="18:20" x14ac:dyDescent="0.3">
      <c r="R11527" s="255"/>
      <c r="S11527" s="255"/>
      <c r="T11527" s="255"/>
    </row>
    <row r="11528" spans="18:20" x14ac:dyDescent="0.3">
      <c r="R11528" s="255"/>
      <c r="S11528" s="255"/>
      <c r="T11528" s="255"/>
    </row>
    <row r="11529" spans="18:20" x14ac:dyDescent="0.3">
      <c r="R11529" s="255"/>
      <c r="S11529" s="255"/>
      <c r="T11529" s="255"/>
    </row>
    <row r="11530" spans="18:20" x14ac:dyDescent="0.3">
      <c r="R11530" s="255"/>
      <c r="S11530" s="255"/>
      <c r="T11530" s="255"/>
    </row>
    <row r="11531" spans="18:20" x14ac:dyDescent="0.3">
      <c r="R11531" s="255"/>
      <c r="S11531" s="255"/>
      <c r="T11531" s="255"/>
    </row>
    <row r="11532" spans="18:20" x14ac:dyDescent="0.3">
      <c r="R11532" s="255"/>
      <c r="S11532" s="255"/>
      <c r="T11532" s="255"/>
    </row>
    <row r="11533" spans="18:20" x14ac:dyDescent="0.3">
      <c r="R11533" s="255"/>
      <c r="S11533" s="255"/>
      <c r="T11533" s="255"/>
    </row>
    <row r="11534" spans="18:20" x14ac:dyDescent="0.3">
      <c r="R11534" s="255"/>
      <c r="S11534" s="255"/>
      <c r="T11534" s="255"/>
    </row>
    <row r="11535" spans="18:20" x14ac:dyDescent="0.3">
      <c r="R11535" s="255"/>
      <c r="S11535" s="255"/>
      <c r="T11535" s="255"/>
    </row>
    <row r="11536" spans="18:20" x14ac:dyDescent="0.3">
      <c r="R11536" s="255"/>
      <c r="S11536" s="255"/>
      <c r="T11536" s="255"/>
    </row>
    <row r="11537" spans="18:20" x14ac:dyDescent="0.3">
      <c r="R11537" s="255"/>
      <c r="S11537" s="255"/>
      <c r="T11537" s="255"/>
    </row>
    <row r="11538" spans="18:20" x14ac:dyDescent="0.3">
      <c r="R11538" s="255"/>
      <c r="S11538" s="255"/>
      <c r="T11538" s="255"/>
    </row>
    <row r="11539" spans="18:20" x14ac:dyDescent="0.3">
      <c r="R11539" s="255"/>
      <c r="S11539" s="255"/>
      <c r="T11539" s="255"/>
    </row>
    <row r="11540" spans="18:20" x14ac:dyDescent="0.3">
      <c r="R11540" s="255"/>
      <c r="S11540" s="255"/>
      <c r="T11540" s="255"/>
    </row>
    <row r="11541" spans="18:20" x14ac:dyDescent="0.3">
      <c r="R11541" s="255"/>
      <c r="S11541" s="255"/>
      <c r="T11541" s="255"/>
    </row>
    <row r="11542" spans="18:20" x14ac:dyDescent="0.3">
      <c r="R11542" s="255"/>
      <c r="S11542" s="255"/>
      <c r="T11542" s="255"/>
    </row>
    <row r="11543" spans="18:20" x14ac:dyDescent="0.3">
      <c r="R11543" s="255"/>
      <c r="S11543" s="255"/>
      <c r="T11543" s="255"/>
    </row>
    <row r="11544" spans="18:20" x14ac:dyDescent="0.3">
      <c r="R11544" s="255"/>
      <c r="S11544" s="255"/>
      <c r="T11544" s="255"/>
    </row>
    <row r="11545" spans="18:20" x14ac:dyDescent="0.3">
      <c r="R11545" s="255"/>
      <c r="S11545" s="255"/>
      <c r="T11545" s="255"/>
    </row>
    <row r="11546" spans="18:20" x14ac:dyDescent="0.3">
      <c r="R11546" s="255"/>
      <c r="S11546" s="255"/>
      <c r="T11546" s="255"/>
    </row>
    <row r="11547" spans="18:20" x14ac:dyDescent="0.3">
      <c r="R11547" s="255"/>
      <c r="S11547" s="255"/>
      <c r="T11547" s="255"/>
    </row>
    <row r="11548" spans="18:20" x14ac:dyDescent="0.3">
      <c r="R11548" s="255"/>
      <c r="S11548" s="255"/>
      <c r="T11548" s="255"/>
    </row>
    <row r="11549" spans="18:20" x14ac:dyDescent="0.3">
      <c r="R11549" s="255"/>
      <c r="S11549" s="255"/>
      <c r="T11549" s="255"/>
    </row>
    <row r="11550" spans="18:20" x14ac:dyDescent="0.3">
      <c r="R11550" s="255"/>
      <c r="S11550" s="255"/>
      <c r="T11550" s="255"/>
    </row>
    <row r="11551" spans="18:20" x14ac:dyDescent="0.3">
      <c r="R11551" s="255"/>
      <c r="S11551" s="255"/>
      <c r="T11551" s="255"/>
    </row>
    <row r="11552" spans="18:20" x14ac:dyDescent="0.3">
      <c r="R11552" s="255"/>
      <c r="S11552" s="255"/>
      <c r="T11552" s="255"/>
    </row>
    <row r="11553" spans="18:20" x14ac:dyDescent="0.3">
      <c r="R11553" s="255"/>
      <c r="S11553" s="255"/>
      <c r="T11553" s="255"/>
    </row>
    <row r="11554" spans="18:20" x14ac:dyDescent="0.3">
      <c r="R11554" s="255"/>
      <c r="S11554" s="255"/>
      <c r="T11554" s="255"/>
    </row>
    <row r="11555" spans="18:20" x14ac:dyDescent="0.3">
      <c r="R11555" s="255"/>
      <c r="S11555" s="255"/>
      <c r="T11555" s="255"/>
    </row>
    <row r="11556" spans="18:20" x14ac:dyDescent="0.3">
      <c r="R11556" s="255"/>
      <c r="S11556" s="255"/>
      <c r="T11556" s="255"/>
    </row>
    <row r="11557" spans="18:20" x14ac:dyDescent="0.3">
      <c r="R11557" s="255"/>
      <c r="S11557" s="255"/>
      <c r="T11557" s="255"/>
    </row>
    <row r="11558" spans="18:20" x14ac:dyDescent="0.3">
      <c r="R11558" s="255"/>
      <c r="S11558" s="255"/>
      <c r="T11558" s="255"/>
    </row>
    <row r="11559" spans="18:20" x14ac:dyDescent="0.3">
      <c r="R11559" s="255"/>
      <c r="S11559" s="255"/>
      <c r="T11559" s="255"/>
    </row>
    <row r="11560" spans="18:20" x14ac:dyDescent="0.3">
      <c r="R11560" s="255"/>
      <c r="S11560" s="255"/>
      <c r="T11560" s="255"/>
    </row>
    <row r="11561" spans="18:20" x14ac:dyDescent="0.3">
      <c r="R11561" s="255"/>
      <c r="S11561" s="255"/>
      <c r="T11561" s="255"/>
    </row>
    <row r="11562" spans="18:20" x14ac:dyDescent="0.3">
      <c r="R11562" s="255"/>
      <c r="S11562" s="255"/>
      <c r="T11562" s="255"/>
    </row>
    <row r="11563" spans="18:20" x14ac:dyDescent="0.3">
      <c r="R11563" s="255"/>
      <c r="S11563" s="255"/>
      <c r="T11563" s="255"/>
    </row>
    <row r="11564" spans="18:20" x14ac:dyDescent="0.3">
      <c r="R11564" s="255"/>
      <c r="S11564" s="255"/>
      <c r="T11564" s="255"/>
    </row>
    <row r="11565" spans="18:20" x14ac:dyDescent="0.3">
      <c r="R11565" s="255"/>
      <c r="S11565" s="255"/>
      <c r="T11565" s="255"/>
    </row>
    <row r="11566" spans="18:20" x14ac:dyDescent="0.3">
      <c r="R11566" s="255"/>
      <c r="S11566" s="255"/>
      <c r="T11566" s="255"/>
    </row>
    <row r="11567" spans="18:20" x14ac:dyDescent="0.3">
      <c r="R11567" s="255"/>
      <c r="S11567" s="255"/>
      <c r="T11567" s="255"/>
    </row>
    <row r="11568" spans="18:20" x14ac:dyDescent="0.3">
      <c r="R11568" s="255"/>
      <c r="S11568" s="255"/>
      <c r="T11568" s="255"/>
    </row>
    <row r="11569" spans="18:20" x14ac:dyDescent="0.3">
      <c r="R11569" s="255"/>
      <c r="S11569" s="255"/>
      <c r="T11569" s="255"/>
    </row>
    <row r="11570" spans="18:20" x14ac:dyDescent="0.3">
      <c r="R11570" s="255"/>
      <c r="S11570" s="255"/>
      <c r="T11570" s="255"/>
    </row>
    <row r="11571" spans="18:20" x14ac:dyDescent="0.3">
      <c r="R11571" s="255"/>
      <c r="S11571" s="255"/>
      <c r="T11571" s="255"/>
    </row>
    <row r="11572" spans="18:20" x14ac:dyDescent="0.3">
      <c r="R11572" s="255"/>
      <c r="S11572" s="255"/>
      <c r="T11572" s="255"/>
    </row>
    <row r="11573" spans="18:20" x14ac:dyDescent="0.3">
      <c r="R11573" s="255"/>
      <c r="S11573" s="255"/>
      <c r="T11573" s="255"/>
    </row>
    <row r="11574" spans="18:20" x14ac:dyDescent="0.3">
      <c r="R11574" s="255"/>
      <c r="S11574" s="255"/>
      <c r="T11574" s="255"/>
    </row>
    <row r="11575" spans="18:20" x14ac:dyDescent="0.3">
      <c r="R11575" s="255"/>
      <c r="S11575" s="255"/>
      <c r="T11575" s="255"/>
    </row>
    <row r="11576" spans="18:20" x14ac:dyDescent="0.3">
      <c r="R11576" s="255"/>
      <c r="S11576" s="255"/>
      <c r="T11576" s="255"/>
    </row>
    <row r="11577" spans="18:20" x14ac:dyDescent="0.3">
      <c r="R11577" s="255"/>
      <c r="S11577" s="255"/>
      <c r="T11577" s="255"/>
    </row>
    <row r="11578" spans="18:20" x14ac:dyDescent="0.3">
      <c r="R11578" s="255"/>
      <c r="S11578" s="255"/>
      <c r="T11578" s="255"/>
    </row>
    <row r="11579" spans="18:20" x14ac:dyDescent="0.3">
      <c r="R11579" s="255"/>
      <c r="S11579" s="255"/>
      <c r="T11579" s="255"/>
    </row>
    <row r="11580" spans="18:20" x14ac:dyDescent="0.3">
      <c r="R11580" s="255"/>
      <c r="S11580" s="255"/>
      <c r="T11580" s="255"/>
    </row>
    <row r="11581" spans="18:20" x14ac:dyDescent="0.3">
      <c r="R11581" s="255"/>
      <c r="S11581" s="255"/>
      <c r="T11581" s="255"/>
    </row>
    <row r="11582" spans="18:20" x14ac:dyDescent="0.3">
      <c r="R11582" s="255"/>
      <c r="S11582" s="255"/>
      <c r="T11582" s="255"/>
    </row>
    <row r="11583" spans="18:20" x14ac:dyDescent="0.3">
      <c r="R11583" s="255"/>
      <c r="S11583" s="255"/>
      <c r="T11583" s="255"/>
    </row>
    <row r="11584" spans="18:20" x14ac:dyDescent="0.3">
      <c r="R11584" s="255"/>
      <c r="S11584" s="255"/>
      <c r="T11584" s="255"/>
    </row>
    <row r="11585" spans="18:20" x14ac:dyDescent="0.3">
      <c r="R11585" s="255"/>
      <c r="S11585" s="255"/>
      <c r="T11585" s="255"/>
    </row>
    <row r="11586" spans="18:20" x14ac:dyDescent="0.3">
      <c r="R11586" s="255"/>
      <c r="S11586" s="255"/>
      <c r="T11586" s="255"/>
    </row>
    <row r="11587" spans="18:20" x14ac:dyDescent="0.3">
      <c r="R11587" s="255"/>
      <c r="S11587" s="255"/>
      <c r="T11587" s="255"/>
    </row>
    <row r="11588" spans="18:20" x14ac:dyDescent="0.3">
      <c r="R11588" s="255"/>
      <c r="S11588" s="255"/>
      <c r="T11588" s="255"/>
    </row>
    <row r="11589" spans="18:20" x14ac:dyDescent="0.3">
      <c r="R11589" s="255"/>
      <c r="S11589" s="255"/>
      <c r="T11589" s="255"/>
    </row>
    <row r="11590" spans="18:20" x14ac:dyDescent="0.3">
      <c r="R11590" s="255"/>
      <c r="S11590" s="255"/>
      <c r="T11590" s="255"/>
    </row>
    <row r="11591" spans="18:20" x14ac:dyDescent="0.3">
      <c r="R11591" s="255"/>
      <c r="S11591" s="255"/>
      <c r="T11591" s="255"/>
    </row>
    <row r="11592" spans="18:20" x14ac:dyDescent="0.3">
      <c r="R11592" s="255"/>
      <c r="S11592" s="255"/>
      <c r="T11592" s="255"/>
    </row>
    <row r="11593" spans="18:20" x14ac:dyDescent="0.3">
      <c r="R11593" s="255"/>
      <c r="S11593" s="255"/>
      <c r="T11593" s="255"/>
    </row>
    <row r="11594" spans="18:20" x14ac:dyDescent="0.3">
      <c r="R11594" s="255"/>
      <c r="S11594" s="255"/>
      <c r="T11594" s="255"/>
    </row>
    <row r="11595" spans="18:20" x14ac:dyDescent="0.3">
      <c r="R11595" s="255"/>
      <c r="S11595" s="255"/>
      <c r="T11595" s="255"/>
    </row>
    <row r="11596" spans="18:20" x14ac:dyDescent="0.3">
      <c r="R11596" s="255"/>
      <c r="S11596" s="255"/>
      <c r="T11596" s="255"/>
    </row>
    <row r="11597" spans="18:20" x14ac:dyDescent="0.3">
      <c r="R11597" s="255"/>
      <c r="S11597" s="255"/>
      <c r="T11597" s="255"/>
    </row>
    <row r="11598" spans="18:20" x14ac:dyDescent="0.3">
      <c r="R11598" s="255"/>
      <c r="S11598" s="255"/>
      <c r="T11598" s="255"/>
    </row>
    <row r="11599" spans="18:20" x14ac:dyDescent="0.3">
      <c r="R11599" s="255"/>
      <c r="S11599" s="255"/>
      <c r="T11599" s="255"/>
    </row>
    <row r="11600" spans="18:20" x14ac:dyDescent="0.3">
      <c r="R11600" s="255"/>
      <c r="S11600" s="255"/>
      <c r="T11600" s="255"/>
    </row>
    <row r="11601" spans="18:20" x14ac:dyDescent="0.3">
      <c r="R11601" s="255"/>
      <c r="S11601" s="255"/>
      <c r="T11601" s="255"/>
    </row>
    <row r="11602" spans="18:20" x14ac:dyDescent="0.3">
      <c r="R11602" s="255"/>
      <c r="S11602" s="255"/>
      <c r="T11602" s="255"/>
    </row>
    <row r="11603" spans="18:20" x14ac:dyDescent="0.3">
      <c r="R11603" s="255"/>
      <c r="S11603" s="255"/>
      <c r="T11603" s="255"/>
    </row>
    <row r="11604" spans="18:20" x14ac:dyDescent="0.3">
      <c r="R11604" s="255"/>
      <c r="S11604" s="255"/>
      <c r="T11604" s="255"/>
    </row>
    <row r="11605" spans="18:20" x14ac:dyDescent="0.3">
      <c r="R11605" s="255"/>
      <c r="S11605" s="255"/>
      <c r="T11605" s="255"/>
    </row>
    <row r="11606" spans="18:20" x14ac:dyDescent="0.3">
      <c r="R11606" s="255"/>
      <c r="S11606" s="255"/>
      <c r="T11606" s="255"/>
    </row>
    <row r="11607" spans="18:20" x14ac:dyDescent="0.3">
      <c r="R11607" s="255"/>
      <c r="S11607" s="255"/>
      <c r="T11607" s="255"/>
    </row>
    <row r="11608" spans="18:20" x14ac:dyDescent="0.3">
      <c r="R11608" s="255"/>
      <c r="S11608" s="255"/>
      <c r="T11608" s="255"/>
    </row>
    <row r="11609" spans="18:20" x14ac:dyDescent="0.3">
      <c r="R11609" s="255"/>
      <c r="S11609" s="255"/>
      <c r="T11609" s="255"/>
    </row>
    <row r="11610" spans="18:20" x14ac:dyDescent="0.3">
      <c r="R11610" s="255"/>
      <c r="S11610" s="255"/>
      <c r="T11610" s="255"/>
    </row>
    <row r="11611" spans="18:20" x14ac:dyDescent="0.3">
      <c r="R11611" s="255"/>
      <c r="S11611" s="255"/>
      <c r="T11611" s="255"/>
    </row>
    <row r="11612" spans="18:20" x14ac:dyDescent="0.3">
      <c r="R11612" s="255"/>
      <c r="S11612" s="255"/>
      <c r="T11612" s="255"/>
    </row>
    <row r="11613" spans="18:20" x14ac:dyDescent="0.3">
      <c r="R11613" s="255"/>
      <c r="S11613" s="255"/>
      <c r="T11613" s="255"/>
    </row>
    <row r="11614" spans="18:20" x14ac:dyDescent="0.3">
      <c r="R11614" s="255"/>
      <c r="S11614" s="255"/>
      <c r="T11614" s="255"/>
    </row>
    <row r="11615" spans="18:20" x14ac:dyDescent="0.3">
      <c r="R11615" s="255"/>
      <c r="S11615" s="255"/>
      <c r="T11615" s="255"/>
    </row>
    <row r="11616" spans="18:20" x14ac:dyDescent="0.3">
      <c r="R11616" s="255"/>
      <c r="S11616" s="255"/>
      <c r="T11616" s="255"/>
    </row>
    <row r="11617" spans="18:20" x14ac:dyDescent="0.3">
      <c r="R11617" s="255"/>
      <c r="S11617" s="255"/>
      <c r="T11617" s="255"/>
    </row>
    <row r="11618" spans="18:20" x14ac:dyDescent="0.3">
      <c r="R11618" s="255"/>
      <c r="S11618" s="255"/>
      <c r="T11618" s="255"/>
    </row>
    <row r="11619" spans="18:20" x14ac:dyDescent="0.3">
      <c r="R11619" s="255"/>
      <c r="S11619" s="255"/>
      <c r="T11619" s="255"/>
    </row>
    <row r="11620" spans="18:20" x14ac:dyDescent="0.3">
      <c r="R11620" s="255"/>
      <c r="S11620" s="255"/>
      <c r="T11620" s="255"/>
    </row>
    <row r="11621" spans="18:20" x14ac:dyDescent="0.3">
      <c r="R11621" s="255"/>
      <c r="S11621" s="255"/>
      <c r="T11621" s="255"/>
    </row>
    <row r="11622" spans="18:20" x14ac:dyDescent="0.3">
      <c r="R11622" s="255"/>
      <c r="S11622" s="255"/>
      <c r="T11622" s="255"/>
    </row>
    <row r="11623" spans="18:20" x14ac:dyDescent="0.3">
      <c r="R11623" s="255"/>
      <c r="S11623" s="255"/>
      <c r="T11623" s="255"/>
    </row>
    <row r="11624" spans="18:20" x14ac:dyDescent="0.3">
      <c r="R11624" s="255"/>
      <c r="S11624" s="255"/>
      <c r="T11624" s="255"/>
    </row>
    <row r="11625" spans="18:20" x14ac:dyDescent="0.3">
      <c r="R11625" s="255"/>
      <c r="S11625" s="255"/>
      <c r="T11625" s="255"/>
    </row>
    <row r="11626" spans="18:20" x14ac:dyDescent="0.3">
      <c r="R11626" s="255"/>
      <c r="S11626" s="255"/>
      <c r="T11626" s="255"/>
    </row>
    <row r="11627" spans="18:20" x14ac:dyDescent="0.3">
      <c r="R11627" s="255"/>
      <c r="S11627" s="255"/>
      <c r="T11627" s="255"/>
    </row>
    <row r="11628" spans="18:20" x14ac:dyDescent="0.3">
      <c r="R11628" s="255"/>
      <c r="S11628" s="255"/>
      <c r="T11628" s="255"/>
    </row>
    <row r="11629" spans="18:20" x14ac:dyDescent="0.3">
      <c r="R11629" s="255"/>
      <c r="S11629" s="255"/>
      <c r="T11629" s="255"/>
    </row>
    <row r="11630" spans="18:20" x14ac:dyDescent="0.3">
      <c r="R11630" s="255"/>
      <c r="S11630" s="255"/>
      <c r="T11630" s="255"/>
    </row>
    <row r="11631" spans="18:20" x14ac:dyDescent="0.3">
      <c r="R11631" s="255"/>
      <c r="S11631" s="255"/>
      <c r="T11631" s="255"/>
    </row>
    <row r="11632" spans="18:20" x14ac:dyDescent="0.3">
      <c r="R11632" s="255"/>
      <c r="S11632" s="255"/>
      <c r="T11632" s="255"/>
    </row>
    <row r="11633" spans="18:20" x14ac:dyDescent="0.3">
      <c r="R11633" s="255"/>
      <c r="S11633" s="255"/>
      <c r="T11633" s="255"/>
    </row>
    <row r="11634" spans="18:20" x14ac:dyDescent="0.3">
      <c r="R11634" s="255"/>
      <c r="S11634" s="255"/>
      <c r="T11634" s="255"/>
    </row>
    <row r="11635" spans="18:20" x14ac:dyDescent="0.3">
      <c r="R11635" s="255"/>
      <c r="S11635" s="255"/>
      <c r="T11635" s="255"/>
    </row>
    <row r="11636" spans="18:20" x14ac:dyDescent="0.3">
      <c r="R11636" s="255"/>
      <c r="S11636" s="255"/>
      <c r="T11636" s="255"/>
    </row>
    <row r="11637" spans="18:20" x14ac:dyDescent="0.3">
      <c r="R11637" s="255"/>
      <c r="S11637" s="255"/>
      <c r="T11637" s="255"/>
    </row>
    <row r="11638" spans="18:20" x14ac:dyDescent="0.3">
      <c r="R11638" s="255"/>
      <c r="S11638" s="255"/>
      <c r="T11638" s="255"/>
    </row>
    <row r="11639" spans="18:20" x14ac:dyDescent="0.3">
      <c r="R11639" s="255"/>
      <c r="S11639" s="255"/>
      <c r="T11639" s="255"/>
    </row>
    <row r="11640" spans="18:20" x14ac:dyDescent="0.3">
      <c r="R11640" s="255"/>
      <c r="S11640" s="255"/>
      <c r="T11640" s="255"/>
    </row>
    <row r="11641" spans="18:20" x14ac:dyDescent="0.3">
      <c r="R11641" s="255"/>
      <c r="S11641" s="255"/>
      <c r="T11641" s="255"/>
    </row>
    <row r="11642" spans="18:20" x14ac:dyDescent="0.3">
      <c r="R11642" s="255"/>
      <c r="S11642" s="255"/>
      <c r="T11642" s="255"/>
    </row>
    <row r="11643" spans="18:20" x14ac:dyDescent="0.3">
      <c r="R11643" s="255"/>
      <c r="S11643" s="255"/>
      <c r="T11643" s="255"/>
    </row>
    <row r="11644" spans="18:20" x14ac:dyDescent="0.3">
      <c r="R11644" s="255"/>
      <c r="S11644" s="255"/>
      <c r="T11644" s="255"/>
    </row>
    <row r="11645" spans="18:20" x14ac:dyDescent="0.3">
      <c r="R11645" s="255"/>
      <c r="S11645" s="255"/>
      <c r="T11645" s="255"/>
    </row>
    <row r="11646" spans="18:20" x14ac:dyDescent="0.3">
      <c r="R11646" s="255"/>
      <c r="S11646" s="255"/>
      <c r="T11646" s="255"/>
    </row>
    <row r="11647" spans="18:20" x14ac:dyDescent="0.3">
      <c r="R11647" s="255"/>
      <c r="S11647" s="255"/>
      <c r="T11647" s="255"/>
    </row>
    <row r="11648" spans="18:20" x14ac:dyDescent="0.3">
      <c r="R11648" s="255"/>
      <c r="S11648" s="255"/>
      <c r="T11648" s="255"/>
    </row>
    <row r="11649" spans="18:20" x14ac:dyDescent="0.3">
      <c r="R11649" s="255"/>
      <c r="S11649" s="255"/>
      <c r="T11649" s="255"/>
    </row>
    <row r="11650" spans="18:20" x14ac:dyDescent="0.3">
      <c r="R11650" s="255"/>
      <c r="S11650" s="255"/>
      <c r="T11650" s="255"/>
    </row>
    <row r="11651" spans="18:20" x14ac:dyDescent="0.3">
      <c r="R11651" s="255"/>
      <c r="S11651" s="255"/>
      <c r="T11651" s="255"/>
    </row>
    <row r="11652" spans="18:20" x14ac:dyDescent="0.3">
      <c r="R11652" s="255"/>
      <c r="S11652" s="255"/>
      <c r="T11652" s="255"/>
    </row>
    <row r="11653" spans="18:20" x14ac:dyDescent="0.3">
      <c r="R11653" s="255"/>
      <c r="S11653" s="255"/>
      <c r="T11653" s="255"/>
    </row>
    <row r="11654" spans="18:20" x14ac:dyDescent="0.3">
      <c r="R11654" s="255"/>
      <c r="S11654" s="255"/>
      <c r="T11654" s="255"/>
    </row>
    <row r="11655" spans="18:20" x14ac:dyDescent="0.3">
      <c r="R11655" s="255"/>
      <c r="S11655" s="255"/>
      <c r="T11655" s="255"/>
    </row>
    <row r="11656" spans="18:20" x14ac:dyDescent="0.3">
      <c r="R11656" s="255"/>
      <c r="S11656" s="255"/>
      <c r="T11656" s="255"/>
    </row>
    <row r="11657" spans="18:20" x14ac:dyDescent="0.3">
      <c r="R11657" s="255"/>
      <c r="S11657" s="255"/>
      <c r="T11657" s="255"/>
    </row>
    <row r="11658" spans="18:20" x14ac:dyDescent="0.3">
      <c r="R11658" s="255"/>
      <c r="S11658" s="255"/>
      <c r="T11658" s="255"/>
    </row>
    <row r="11659" spans="18:20" x14ac:dyDescent="0.3">
      <c r="R11659" s="255"/>
      <c r="S11659" s="255"/>
      <c r="T11659" s="255"/>
    </row>
    <row r="11660" spans="18:20" x14ac:dyDescent="0.3">
      <c r="R11660" s="255"/>
      <c r="S11660" s="255"/>
      <c r="T11660" s="255"/>
    </row>
    <row r="11661" spans="18:20" x14ac:dyDescent="0.3">
      <c r="R11661" s="255"/>
      <c r="S11661" s="255"/>
      <c r="T11661" s="255"/>
    </row>
    <row r="11662" spans="18:20" x14ac:dyDescent="0.3">
      <c r="R11662" s="255"/>
      <c r="S11662" s="255"/>
      <c r="T11662" s="255"/>
    </row>
    <row r="11663" spans="18:20" x14ac:dyDescent="0.3">
      <c r="R11663" s="255"/>
      <c r="S11663" s="255"/>
      <c r="T11663" s="255"/>
    </row>
    <row r="11664" spans="18:20" x14ac:dyDescent="0.3">
      <c r="R11664" s="255"/>
      <c r="S11664" s="255"/>
      <c r="T11664" s="255"/>
    </row>
    <row r="11665" spans="18:20" x14ac:dyDescent="0.3">
      <c r="R11665" s="255"/>
      <c r="S11665" s="255"/>
      <c r="T11665" s="255"/>
    </row>
    <row r="11666" spans="18:20" x14ac:dyDescent="0.3">
      <c r="R11666" s="255"/>
      <c r="S11666" s="255"/>
      <c r="T11666" s="255"/>
    </row>
    <row r="11667" spans="18:20" x14ac:dyDescent="0.3">
      <c r="R11667" s="255"/>
      <c r="S11667" s="255"/>
      <c r="T11667" s="255"/>
    </row>
    <row r="11668" spans="18:20" x14ac:dyDescent="0.3">
      <c r="R11668" s="255"/>
      <c r="S11668" s="255"/>
      <c r="T11668" s="255"/>
    </row>
    <row r="11669" spans="18:20" x14ac:dyDescent="0.3">
      <c r="R11669" s="255"/>
      <c r="S11669" s="255"/>
      <c r="T11669" s="255"/>
    </row>
    <row r="11670" spans="18:20" x14ac:dyDescent="0.3">
      <c r="R11670" s="255"/>
      <c r="S11670" s="255"/>
      <c r="T11670" s="255"/>
    </row>
    <row r="11671" spans="18:20" x14ac:dyDescent="0.3">
      <c r="R11671" s="255"/>
      <c r="S11671" s="255"/>
      <c r="T11671" s="255"/>
    </row>
    <row r="11672" spans="18:20" x14ac:dyDescent="0.3">
      <c r="R11672" s="255"/>
      <c r="S11672" s="255"/>
      <c r="T11672" s="255"/>
    </row>
    <row r="11673" spans="18:20" x14ac:dyDescent="0.3">
      <c r="R11673" s="255"/>
      <c r="S11673" s="255"/>
      <c r="T11673" s="255"/>
    </row>
    <row r="11674" spans="18:20" x14ac:dyDescent="0.3">
      <c r="R11674" s="255"/>
      <c r="S11674" s="255"/>
      <c r="T11674" s="255"/>
    </row>
    <row r="11675" spans="18:20" x14ac:dyDescent="0.3">
      <c r="R11675" s="255"/>
      <c r="S11675" s="255"/>
      <c r="T11675" s="255"/>
    </row>
    <row r="11676" spans="18:20" x14ac:dyDescent="0.3">
      <c r="R11676" s="255"/>
      <c r="S11676" s="255"/>
      <c r="T11676" s="255"/>
    </row>
    <row r="11677" spans="18:20" x14ac:dyDescent="0.3">
      <c r="R11677" s="255"/>
      <c r="S11677" s="255"/>
      <c r="T11677" s="255"/>
    </row>
    <row r="11678" spans="18:20" x14ac:dyDescent="0.3">
      <c r="R11678" s="255"/>
      <c r="S11678" s="255"/>
      <c r="T11678" s="255"/>
    </row>
    <row r="11679" spans="18:20" x14ac:dyDescent="0.3">
      <c r="R11679" s="255"/>
      <c r="S11679" s="255"/>
      <c r="T11679" s="255"/>
    </row>
    <row r="11680" spans="18:20" x14ac:dyDescent="0.3">
      <c r="R11680" s="255"/>
      <c r="S11680" s="255"/>
      <c r="T11680" s="255"/>
    </row>
    <row r="11681" spans="18:20" x14ac:dyDescent="0.3">
      <c r="R11681" s="255"/>
      <c r="S11681" s="255"/>
      <c r="T11681" s="255"/>
    </row>
    <row r="11682" spans="18:20" x14ac:dyDescent="0.3">
      <c r="R11682" s="255"/>
      <c r="S11682" s="255"/>
      <c r="T11682" s="255"/>
    </row>
    <row r="11683" spans="18:20" x14ac:dyDescent="0.3">
      <c r="R11683" s="255"/>
      <c r="S11683" s="255"/>
      <c r="T11683" s="255"/>
    </row>
    <row r="11684" spans="18:20" x14ac:dyDescent="0.3">
      <c r="R11684" s="255"/>
      <c r="S11684" s="255"/>
      <c r="T11684" s="255"/>
    </row>
    <row r="11685" spans="18:20" x14ac:dyDescent="0.3">
      <c r="R11685" s="255"/>
      <c r="S11685" s="255"/>
      <c r="T11685" s="255"/>
    </row>
    <row r="11686" spans="18:20" x14ac:dyDescent="0.3">
      <c r="R11686" s="255"/>
      <c r="S11686" s="255"/>
      <c r="T11686" s="255"/>
    </row>
    <row r="11687" spans="18:20" x14ac:dyDescent="0.3">
      <c r="R11687" s="255"/>
      <c r="S11687" s="255"/>
      <c r="T11687" s="255"/>
    </row>
    <row r="11688" spans="18:20" x14ac:dyDescent="0.3">
      <c r="R11688" s="255"/>
      <c r="S11688" s="255"/>
      <c r="T11688" s="255"/>
    </row>
    <row r="11689" spans="18:20" x14ac:dyDescent="0.3">
      <c r="R11689" s="255"/>
      <c r="S11689" s="255"/>
      <c r="T11689" s="255"/>
    </row>
    <row r="11690" spans="18:20" x14ac:dyDescent="0.3">
      <c r="R11690" s="255"/>
      <c r="S11690" s="255"/>
      <c r="T11690" s="255"/>
    </row>
    <row r="11691" spans="18:20" x14ac:dyDescent="0.3">
      <c r="R11691" s="255"/>
      <c r="S11691" s="255"/>
      <c r="T11691" s="255"/>
    </row>
    <row r="11692" spans="18:20" x14ac:dyDescent="0.3">
      <c r="R11692" s="255"/>
      <c r="S11692" s="255"/>
      <c r="T11692" s="255"/>
    </row>
    <row r="11693" spans="18:20" x14ac:dyDescent="0.3">
      <c r="R11693" s="255"/>
      <c r="S11693" s="255"/>
      <c r="T11693" s="255"/>
    </row>
    <row r="11694" spans="18:20" x14ac:dyDescent="0.3">
      <c r="R11694" s="255"/>
      <c r="S11694" s="255"/>
      <c r="T11694" s="255"/>
    </row>
    <row r="11695" spans="18:20" x14ac:dyDescent="0.3">
      <c r="R11695" s="255"/>
      <c r="S11695" s="255"/>
      <c r="T11695" s="255"/>
    </row>
    <row r="11696" spans="18:20" x14ac:dyDescent="0.3">
      <c r="R11696" s="255"/>
      <c r="S11696" s="255"/>
      <c r="T11696" s="255"/>
    </row>
    <row r="11697" spans="18:20" x14ac:dyDescent="0.3">
      <c r="R11697" s="255"/>
      <c r="S11697" s="255"/>
      <c r="T11697" s="255"/>
    </row>
    <row r="11698" spans="18:20" x14ac:dyDescent="0.3">
      <c r="R11698" s="255"/>
      <c r="S11698" s="255"/>
      <c r="T11698" s="255"/>
    </row>
    <row r="11699" spans="18:20" x14ac:dyDescent="0.3">
      <c r="R11699" s="255"/>
      <c r="S11699" s="255"/>
      <c r="T11699" s="255"/>
    </row>
    <row r="11700" spans="18:20" x14ac:dyDescent="0.3">
      <c r="R11700" s="255"/>
      <c r="S11700" s="255"/>
      <c r="T11700" s="255"/>
    </row>
    <row r="11701" spans="18:20" x14ac:dyDescent="0.3">
      <c r="R11701" s="255"/>
      <c r="S11701" s="255"/>
      <c r="T11701" s="255"/>
    </row>
    <row r="11702" spans="18:20" x14ac:dyDescent="0.3">
      <c r="R11702" s="255"/>
      <c r="S11702" s="255"/>
      <c r="T11702" s="255"/>
    </row>
    <row r="11703" spans="18:20" x14ac:dyDescent="0.3">
      <c r="R11703" s="255"/>
      <c r="S11703" s="255"/>
      <c r="T11703" s="255"/>
    </row>
    <row r="11704" spans="18:20" x14ac:dyDescent="0.3">
      <c r="R11704" s="255"/>
      <c r="S11704" s="255"/>
      <c r="T11704" s="255"/>
    </row>
    <row r="11705" spans="18:20" x14ac:dyDescent="0.3">
      <c r="R11705" s="255"/>
      <c r="S11705" s="255"/>
      <c r="T11705" s="255"/>
    </row>
    <row r="11706" spans="18:20" x14ac:dyDescent="0.3">
      <c r="R11706" s="255"/>
      <c r="S11706" s="255"/>
      <c r="T11706" s="255"/>
    </row>
    <row r="11707" spans="18:20" x14ac:dyDescent="0.3">
      <c r="R11707" s="255"/>
      <c r="S11707" s="255"/>
      <c r="T11707" s="255"/>
    </row>
    <row r="11708" spans="18:20" x14ac:dyDescent="0.3">
      <c r="R11708" s="255"/>
      <c r="S11708" s="255"/>
      <c r="T11708" s="255"/>
    </row>
    <row r="11709" spans="18:20" x14ac:dyDescent="0.3">
      <c r="R11709" s="255"/>
      <c r="S11709" s="255"/>
      <c r="T11709" s="255"/>
    </row>
    <row r="11710" spans="18:20" x14ac:dyDescent="0.3">
      <c r="R11710" s="255"/>
      <c r="S11710" s="255"/>
      <c r="T11710" s="255"/>
    </row>
    <row r="11711" spans="18:20" x14ac:dyDescent="0.3">
      <c r="R11711" s="255"/>
      <c r="S11711" s="255"/>
      <c r="T11711" s="255"/>
    </row>
    <row r="11712" spans="18:20" x14ac:dyDescent="0.3">
      <c r="R11712" s="255"/>
      <c r="S11712" s="255"/>
      <c r="T11712" s="255"/>
    </row>
    <row r="11713" spans="18:20" x14ac:dyDescent="0.3">
      <c r="R11713" s="255"/>
      <c r="S11713" s="255"/>
      <c r="T11713" s="255"/>
    </row>
    <row r="11714" spans="18:20" x14ac:dyDescent="0.3">
      <c r="R11714" s="255"/>
      <c r="S11714" s="255"/>
      <c r="T11714" s="255"/>
    </row>
    <row r="11715" spans="18:20" x14ac:dyDescent="0.3">
      <c r="R11715" s="255"/>
      <c r="S11715" s="255"/>
      <c r="T11715" s="255"/>
    </row>
    <row r="11716" spans="18:20" x14ac:dyDescent="0.3">
      <c r="R11716" s="255"/>
      <c r="S11716" s="255"/>
      <c r="T11716" s="255"/>
    </row>
    <row r="11717" spans="18:20" x14ac:dyDescent="0.3">
      <c r="R11717" s="255"/>
      <c r="S11717" s="255"/>
      <c r="T11717" s="255"/>
    </row>
    <row r="11718" spans="18:20" x14ac:dyDescent="0.3">
      <c r="R11718" s="255"/>
      <c r="S11718" s="255"/>
      <c r="T11718" s="255"/>
    </row>
    <row r="11719" spans="18:20" x14ac:dyDescent="0.3">
      <c r="R11719" s="255"/>
      <c r="S11719" s="255"/>
      <c r="T11719" s="255"/>
    </row>
    <row r="11720" spans="18:20" x14ac:dyDescent="0.3">
      <c r="R11720" s="255"/>
      <c r="S11720" s="255"/>
      <c r="T11720" s="255"/>
    </row>
    <row r="11721" spans="18:20" x14ac:dyDescent="0.3">
      <c r="R11721" s="255"/>
      <c r="S11721" s="255"/>
      <c r="T11721" s="255"/>
    </row>
    <row r="11722" spans="18:20" x14ac:dyDescent="0.3">
      <c r="R11722" s="255"/>
      <c r="S11722" s="255"/>
      <c r="T11722" s="255"/>
    </row>
    <row r="11723" spans="18:20" x14ac:dyDescent="0.3">
      <c r="R11723" s="255"/>
      <c r="S11723" s="255"/>
      <c r="T11723" s="255"/>
    </row>
    <row r="11724" spans="18:20" x14ac:dyDescent="0.3">
      <c r="R11724" s="255"/>
      <c r="S11724" s="255"/>
      <c r="T11724" s="255"/>
    </row>
    <row r="11725" spans="18:20" x14ac:dyDescent="0.3">
      <c r="R11725" s="255"/>
      <c r="S11725" s="255"/>
      <c r="T11725" s="255"/>
    </row>
    <row r="11726" spans="18:20" x14ac:dyDescent="0.3">
      <c r="R11726" s="255"/>
      <c r="S11726" s="255"/>
      <c r="T11726" s="255"/>
    </row>
    <row r="11727" spans="18:20" x14ac:dyDescent="0.3">
      <c r="R11727" s="255"/>
      <c r="S11727" s="255"/>
      <c r="T11727" s="255"/>
    </row>
    <row r="11728" spans="18:20" x14ac:dyDescent="0.3">
      <c r="R11728" s="255"/>
      <c r="S11728" s="255"/>
      <c r="T11728" s="255"/>
    </row>
    <row r="11729" spans="18:20" x14ac:dyDescent="0.3">
      <c r="R11729" s="255"/>
      <c r="S11729" s="255"/>
      <c r="T11729" s="255"/>
    </row>
    <row r="11730" spans="18:20" x14ac:dyDescent="0.3">
      <c r="R11730" s="255"/>
      <c r="S11730" s="255"/>
      <c r="T11730" s="255"/>
    </row>
    <row r="11731" spans="18:20" x14ac:dyDescent="0.3">
      <c r="R11731" s="255"/>
      <c r="S11731" s="255"/>
      <c r="T11731" s="255"/>
    </row>
    <row r="11732" spans="18:20" x14ac:dyDescent="0.3">
      <c r="R11732" s="255"/>
      <c r="S11732" s="255"/>
      <c r="T11732" s="255"/>
    </row>
    <row r="11733" spans="18:20" x14ac:dyDescent="0.3">
      <c r="R11733" s="255"/>
      <c r="S11733" s="255"/>
      <c r="T11733" s="255"/>
    </row>
    <row r="11734" spans="18:20" x14ac:dyDescent="0.3">
      <c r="R11734" s="255"/>
      <c r="S11734" s="255"/>
      <c r="T11734" s="255"/>
    </row>
    <row r="11735" spans="18:20" x14ac:dyDescent="0.3">
      <c r="R11735" s="255"/>
      <c r="S11735" s="255"/>
      <c r="T11735" s="255"/>
    </row>
    <row r="11736" spans="18:20" x14ac:dyDescent="0.3">
      <c r="R11736" s="255"/>
      <c r="S11736" s="255"/>
      <c r="T11736" s="255"/>
    </row>
    <row r="11737" spans="18:20" x14ac:dyDescent="0.3">
      <c r="R11737" s="255"/>
      <c r="S11737" s="255"/>
      <c r="T11737" s="255"/>
    </row>
    <row r="11738" spans="18:20" x14ac:dyDescent="0.3">
      <c r="R11738" s="255"/>
      <c r="S11738" s="255"/>
      <c r="T11738" s="255"/>
    </row>
    <row r="11739" spans="18:20" x14ac:dyDescent="0.3">
      <c r="R11739" s="255"/>
      <c r="S11739" s="255"/>
      <c r="T11739" s="255"/>
    </row>
    <row r="11740" spans="18:20" x14ac:dyDescent="0.3">
      <c r="R11740" s="255"/>
      <c r="S11740" s="255"/>
      <c r="T11740" s="255"/>
    </row>
    <row r="11741" spans="18:20" x14ac:dyDescent="0.3">
      <c r="R11741" s="255"/>
      <c r="S11741" s="255"/>
      <c r="T11741" s="255"/>
    </row>
    <row r="11742" spans="18:20" x14ac:dyDescent="0.3">
      <c r="R11742" s="255"/>
      <c r="S11742" s="255"/>
      <c r="T11742" s="255"/>
    </row>
    <row r="11743" spans="18:20" x14ac:dyDescent="0.3">
      <c r="R11743" s="255"/>
      <c r="S11743" s="255"/>
      <c r="T11743" s="255"/>
    </row>
    <row r="11744" spans="18:20" x14ac:dyDescent="0.3">
      <c r="R11744" s="255"/>
      <c r="S11744" s="255"/>
      <c r="T11744" s="255"/>
    </row>
    <row r="11745" spans="18:20" x14ac:dyDescent="0.3">
      <c r="R11745" s="255"/>
      <c r="S11745" s="255"/>
      <c r="T11745" s="255"/>
    </row>
    <row r="11746" spans="18:20" x14ac:dyDescent="0.3">
      <c r="R11746" s="255"/>
      <c r="S11746" s="255"/>
      <c r="T11746" s="255"/>
    </row>
    <row r="11747" spans="18:20" x14ac:dyDescent="0.3">
      <c r="R11747" s="255"/>
      <c r="S11747" s="255"/>
      <c r="T11747" s="255"/>
    </row>
    <row r="11748" spans="18:20" x14ac:dyDescent="0.3">
      <c r="R11748" s="255"/>
      <c r="S11748" s="255"/>
      <c r="T11748" s="255"/>
    </row>
    <row r="11749" spans="18:20" x14ac:dyDescent="0.3">
      <c r="R11749" s="255"/>
      <c r="S11749" s="255"/>
      <c r="T11749" s="255"/>
    </row>
    <row r="11750" spans="18:20" x14ac:dyDescent="0.3">
      <c r="R11750" s="255"/>
      <c r="S11750" s="255"/>
      <c r="T11750" s="255"/>
    </row>
    <row r="11751" spans="18:20" x14ac:dyDescent="0.3">
      <c r="R11751" s="255"/>
      <c r="S11751" s="255"/>
      <c r="T11751" s="255"/>
    </row>
    <row r="11752" spans="18:20" x14ac:dyDescent="0.3">
      <c r="R11752" s="255"/>
      <c r="S11752" s="255"/>
      <c r="T11752" s="255"/>
    </row>
    <row r="11753" spans="18:20" x14ac:dyDescent="0.3">
      <c r="R11753" s="255"/>
      <c r="S11753" s="255"/>
      <c r="T11753" s="255"/>
    </row>
    <row r="11754" spans="18:20" x14ac:dyDescent="0.3">
      <c r="R11754" s="255"/>
      <c r="S11754" s="255"/>
      <c r="T11754" s="255"/>
    </row>
    <row r="11755" spans="18:20" x14ac:dyDescent="0.3">
      <c r="R11755" s="255"/>
      <c r="S11755" s="255"/>
      <c r="T11755" s="255"/>
    </row>
    <row r="11756" spans="18:20" x14ac:dyDescent="0.3">
      <c r="R11756" s="255"/>
      <c r="S11756" s="255"/>
      <c r="T11756" s="255"/>
    </row>
    <row r="11757" spans="18:20" x14ac:dyDescent="0.3">
      <c r="R11757" s="255"/>
      <c r="S11757" s="255"/>
      <c r="T11757" s="255"/>
    </row>
    <row r="11758" spans="18:20" x14ac:dyDescent="0.3">
      <c r="R11758" s="255"/>
      <c r="S11758" s="255"/>
      <c r="T11758" s="255"/>
    </row>
    <row r="11759" spans="18:20" x14ac:dyDescent="0.3">
      <c r="R11759" s="255"/>
      <c r="S11759" s="255"/>
      <c r="T11759" s="255"/>
    </row>
    <row r="11760" spans="18:20" x14ac:dyDescent="0.3">
      <c r="R11760" s="255"/>
      <c r="S11760" s="255"/>
      <c r="T11760" s="255"/>
    </row>
    <row r="11761" spans="18:20" x14ac:dyDescent="0.3">
      <c r="R11761" s="255"/>
      <c r="S11761" s="255"/>
      <c r="T11761" s="255"/>
    </row>
    <row r="11762" spans="18:20" x14ac:dyDescent="0.3">
      <c r="R11762" s="255"/>
      <c r="S11762" s="255"/>
      <c r="T11762" s="255"/>
    </row>
    <row r="11763" spans="18:20" x14ac:dyDescent="0.3">
      <c r="R11763" s="255"/>
      <c r="S11763" s="255"/>
      <c r="T11763" s="255"/>
    </row>
    <row r="11764" spans="18:20" x14ac:dyDescent="0.3">
      <c r="R11764" s="255"/>
      <c r="S11764" s="255"/>
      <c r="T11764" s="255"/>
    </row>
    <row r="11765" spans="18:20" x14ac:dyDescent="0.3">
      <c r="R11765" s="255"/>
      <c r="S11765" s="255"/>
      <c r="T11765" s="255"/>
    </row>
    <row r="11766" spans="18:20" x14ac:dyDescent="0.3">
      <c r="R11766" s="255"/>
      <c r="S11766" s="255"/>
      <c r="T11766" s="255"/>
    </row>
    <row r="11767" spans="18:20" x14ac:dyDescent="0.3">
      <c r="R11767" s="255"/>
      <c r="S11767" s="255"/>
      <c r="T11767" s="255"/>
    </row>
    <row r="11768" spans="18:20" x14ac:dyDescent="0.3">
      <c r="R11768" s="255"/>
      <c r="S11768" s="255"/>
      <c r="T11768" s="255"/>
    </row>
    <row r="11769" spans="18:20" x14ac:dyDescent="0.3">
      <c r="R11769" s="255"/>
      <c r="S11769" s="255"/>
      <c r="T11769" s="255"/>
    </row>
    <row r="11770" spans="18:20" x14ac:dyDescent="0.3">
      <c r="R11770" s="255"/>
      <c r="S11770" s="255"/>
      <c r="T11770" s="255"/>
    </row>
    <row r="11771" spans="18:20" x14ac:dyDescent="0.3">
      <c r="R11771" s="255"/>
      <c r="S11771" s="255"/>
      <c r="T11771" s="255"/>
    </row>
    <row r="11772" spans="18:20" x14ac:dyDescent="0.3">
      <c r="R11772" s="255"/>
      <c r="S11772" s="255"/>
      <c r="T11772" s="255"/>
    </row>
    <row r="11773" spans="18:20" x14ac:dyDescent="0.3">
      <c r="R11773" s="255"/>
      <c r="S11773" s="255"/>
      <c r="T11773" s="255"/>
    </row>
    <row r="11774" spans="18:20" x14ac:dyDescent="0.3">
      <c r="R11774" s="255"/>
      <c r="S11774" s="255"/>
      <c r="T11774" s="255"/>
    </row>
    <row r="11775" spans="18:20" x14ac:dyDescent="0.3">
      <c r="R11775" s="255"/>
      <c r="S11775" s="255"/>
      <c r="T11775" s="255"/>
    </row>
    <row r="11776" spans="18:20" x14ac:dyDescent="0.3">
      <c r="R11776" s="255"/>
      <c r="S11776" s="255"/>
      <c r="T11776" s="255"/>
    </row>
    <row r="11777" spans="18:20" x14ac:dyDescent="0.3">
      <c r="R11777" s="255"/>
      <c r="S11777" s="255"/>
      <c r="T11777" s="255"/>
    </row>
    <row r="11778" spans="18:20" x14ac:dyDescent="0.3">
      <c r="R11778" s="255"/>
      <c r="S11778" s="255"/>
      <c r="T11778" s="255"/>
    </row>
    <row r="11779" spans="18:20" x14ac:dyDescent="0.3">
      <c r="R11779" s="255"/>
      <c r="S11779" s="255"/>
      <c r="T11779" s="255"/>
    </row>
    <row r="11780" spans="18:20" x14ac:dyDescent="0.3">
      <c r="R11780" s="255"/>
      <c r="S11780" s="255"/>
      <c r="T11780" s="255"/>
    </row>
    <row r="11781" spans="18:20" x14ac:dyDescent="0.3">
      <c r="R11781" s="255"/>
      <c r="S11781" s="255"/>
      <c r="T11781" s="255"/>
    </row>
    <row r="11782" spans="18:20" x14ac:dyDescent="0.3">
      <c r="R11782" s="255"/>
      <c r="S11782" s="255"/>
      <c r="T11782" s="255"/>
    </row>
    <row r="11783" spans="18:20" x14ac:dyDescent="0.3">
      <c r="R11783" s="255"/>
      <c r="S11783" s="255"/>
      <c r="T11783" s="255"/>
    </row>
    <row r="11784" spans="18:20" x14ac:dyDescent="0.3">
      <c r="R11784" s="255"/>
      <c r="S11784" s="255"/>
      <c r="T11784" s="255"/>
    </row>
    <row r="11785" spans="18:20" x14ac:dyDescent="0.3">
      <c r="R11785" s="255"/>
      <c r="S11785" s="255"/>
      <c r="T11785" s="255"/>
    </row>
    <row r="11786" spans="18:20" x14ac:dyDescent="0.3">
      <c r="R11786" s="255"/>
      <c r="S11786" s="255"/>
      <c r="T11786" s="255"/>
    </row>
    <row r="11787" spans="18:20" x14ac:dyDescent="0.3">
      <c r="R11787" s="255"/>
      <c r="S11787" s="255"/>
      <c r="T11787" s="255"/>
    </row>
    <row r="11788" spans="18:20" x14ac:dyDescent="0.3">
      <c r="R11788" s="255"/>
      <c r="S11788" s="255"/>
      <c r="T11788" s="255"/>
    </row>
    <row r="11789" spans="18:20" x14ac:dyDescent="0.3">
      <c r="R11789" s="255"/>
      <c r="S11789" s="255"/>
      <c r="T11789" s="255"/>
    </row>
    <row r="11790" spans="18:20" x14ac:dyDescent="0.3">
      <c r="R11790" s="255"/>
      <c r="S11790" s="255"/>
      <c r="T11790" s="255"/>
    </row>
    <row r="11791" spans="18:20" x14ac:dyDescent="0.3">
      <c r="R11791" s="255"/>
      <c r="S11791" s="255"/>
      <c r="T11791" s="255"/>
    </row>
    <row r="11792" spans="18:20" x14ac:dyDescent="0.3">
      <c r="R11792" s="255"/>
      <c r="S11792" s="255"/>
      <c r="T11792" s="255"/>
    </row>
    <row r="11793" spans="18:20" x14ac:dyDescent="0.3">
      <c r="R11793" s="255"/>
      <c r="S11793" s="255"/>
      <c r="T11793" s="255"/>
    </row>
    <row r="11794" spans="18:20" x14ac:dyDescent="0.3">
      <c r="R11794" s="255"/>
      <c r="S11794" s="255"/>
      <c r="T11794" s="255"/>
    </row>
    <row r="11795" spans="18:20" x14ac:dyDescent="0.3">
      <c r="R11795" s="255"/>
      <c r="S11795" s="255"/>
      <c r="T11795" s="255"/>
    </row>
    <row r="11796" spans="18:20" x14ac:dyDescent="0.3">
      <c r="R11796" s="255"/>
      <c r="S11796" s="255"/>
      <c r="T11796" s="255"/>
    </row>
    <row r="11797" spans="18:20" x14ac:dyDescent="0.3">
      <c r="R11797" s="255"/>
      <c r="S11797" s="255"/>
      <c r="T11797" s="255"/>
    </row>
    <row r="11798" spans="18:20" x14ac:dyDescent="0.3">
      <c r="R11798" s="255"/>
      <c r="S11798" s="255"/>
      <c r="T11798" s="255"/>
    </row>
    <row r="11799" spans="18:20" x14ac:dyDescent="0.3">
      <c r="R11799" s="255"/>
      <c r="S11799" s="255"/>
      <c r="T11799" s="255"/>
    </row>
    <row r="11800" spans="18:20" x14ac:dyDescent="0.3">
      <c r="R11800" s="255"/>
      <c r="S11800" s="255"/>
      <c r="T11800" s="255"/>
    </row>
    <row r="11801" spans="18:20" x14ac:dyDescent="0.3">
      <c r="R11801" s="255"/>
      <c r="S11801" s="255"/>
      <c r="T11801" s="255"/>
    </row>
    <row r="11802" spans="18:20" x14ac:dyDescent="0.3">
      <c r="R11802" s="255"/>
      <c r="S11802" s="255"/>
      <c r="T11802" s="255"/>
    </row>
    <row r="11803" spans="18:20" x14ac:dyDescent="0.3">
      <c r="R11803" s="255"/>
      <c r="S11803" s="255"/>
      <c r="T11803" s="255"/>
    </row>
    <row r="11804" spans="18:20" x14ac:dyDescent="0.3">
      <c r="R11804" s="255"/>
      <c r="S11804" s="255"/>
      <c r="T11804" s="255"/>
    </row>
    <row r="11805" spans="18:20" x14ac:dyDescent="0.3">
      <c r="R11805" s="255"/>
      <c r="S11805" s="255"/>
      <c r="T11805" s="255"/>
    </row>
    <row r="11806" spans="18:20" x14ac:dyDescent="0.3">
      <c r="R11806" s="255"/>
      <c r="S11806" s="255"/>
      <c r="T11806" s="255"/>
    </row>
    <row r="11807" spans="18:20" x14ac:dyDescent="0.3">
      <c r="R11807" s="255"/>
      <c r="S11807" s="255"/>
      <c r="T11807" s="255"/>
    </row>
    <row r="11808" spans="18:20" x14ac:dyDescent="0.3">
      <c r="R11808" s="255"/>
      <c r="S11808" s="255"/>
      <c r="T11808" s="255"/>
    </row>
    <row r="11809" spans="18:20" x14ac:dyDescent="0.3">
      <c r="R11809" s="255"/>
      <c r="S11809" s="255"/>
      <c r="T11809" s="255"/>
    </row>
    <row r="11810" spans="18:20" x14ac:dyDescent="0.3">
      <c r="R11810" s="255"/>
      <c r="S11810" s="255"/>
      <c r="T11810" s="255"/>
    </row>
    <row r="11811" spans="18:20" x14ac:dyDescent="0.3">
      <c r="R11811" s="255"/>
      <c r="S11811" s="255"/>
      <c r="T11811" s="255"/>
    </row>
    <row r="11812" spans="18:20" x14ac:dyDescent="0.3">
      <c r="R11812" s="255"/>
      <c r="S11812" s="255"/>
      <c r="T11812" s="255"/>
    </row>
    <row r="11813" spans="18:20" x14ac:dyDescent="0.3">
      <c r="R11813" s="255"/>
      <c r="S11813" s="255"/>
      <c r="T11813" s="255"/>
    </row>
    <row r="11814" spans="18:20" x14ac:dyDescent="0.3">
      <c r="R11814" s="255"/>
      <c r="S11814" s="255"/>
      <c r="T11814" s="255"/>
    </row>
    <row r="11815" spans="18:20" x14ac:dyDescent="0.3">
      <c r="R11815" s="255"/>
      <c r="S11815" s="255"/>
      <c r="T11815" s="255"/>
    </row>
    <row r="11816" spans="18:20" x14ac:dyDescent="0.3">
      <c r="R11816" s="255"/>
      <c r="S11816" s="255"/>
      <c r="T11816" s="255"/>
    </row>
    <row r="11817" spans="18:20" x14ac:dyDescent="0.3">
      <c r="R11817" s="255"/>
      <c r="S11817" s="255"/>
      <c r="T11817" s="255"/>
    </row>
    <row r="11818" spans="18:20" x14ac:dyDescent="0.3">
      <c r="R11818" s="255"/>
      <c r="S11818" s="255"/>
      <c r="T11818" s="255"/>
    </row>
    <row r="11819" spans="18:20" x14ac:dyDescent="0.3">
      <c r="R11819" s="255"/>
      <c r="S11819" s="255"/>
      <c r="T11819" s="255"/>
    </row>
    <row r="11820" spans="18:20" x14ac:dyDescent="0.3">
      <c r="R11820" s="255"/>
      <c r="S11820" s="255"/>
      <c r="T11820" s="255"/>
    </row>
    <row r="11821" spans="18:20" x14ac:dyDescent="0.3">
      <c r="R11821" s="255"/>
      <c r="S11821" s="255"/>
      <c r="T11821" s="255"/>
    </row>
    <row r="11822" spans="18:20" x14ac:dyDescent="0.3">
      <c r="R11822" s="255"/>
      <c r="S11822" s="255"/>
      <c r="T11822" s="255"/>
    </row>
    <row r="11823" spans="18:20" x14ac:dyDescent="0.3">
      <c r="R11823" s="255"/>
      <c r="S11823" s="255"/>
      <c r="T11823" s="255"/>
    </row>
    <row r="11824" spans="18:20" x14ac:dyDescent="0.3">
      <c r="R11824" s="255"/>
      <c r="S11824" s="255"/>
      <c r="T11824" s="255"/>
    </row>
    <row r="11825" spans="18:20" x14ac:dyDescent="0.3">
      <c r="R11825" s="255"/>
      <c r="S11825" s="255"/>
      <c r="T11825" s="255"/>
    </row>
    <row r="11826" spans="18:20" x14ac:dyDescent="0.3">
      <c r="R11826" s="255"/>
      <c r="S11826" s="255"/>
      <c r="T11826" s="255"/>
    </row>
    <row r="11827" spans="18:20" x14ac:dyDescent="0.3">
      <c r="R11827" s="255"/>
      <c r="S11827" s="255"/>
      <c r="T11827" s="255"/>
    </row>
    <row r="11828" spans="18:20" x14ac:dyDescent="0.3">
      <c r="R11828" s="255"/>
      <c r="S11828" s="255"/>
      <c r="T11828" s="255"/>
    </row>
    <row r="11829" spans="18:20" x14ac:dyDescent="0.3">
      <c r="R11829" s="255"/>
      <c r="S11829" s="255"/>
      <c r="T11829" s="255"/>
    </row>
    <row r="11830" spans="18:20" x14ac:dyDescent="0.3">
      <c r="R11830" s="255"/>
      <c r="S11830" s="255"/>
      <c r="T11830" s="255"/>
    </row>
    <row r="11831" spans="18:20" x14ac:dyDescent="0.3">
      <c r="R11831" s="255"/>
      <c r="S11831" s="255"/>
      <c r="T11831" s="255"/>
    </row>
    <row r="11832" spans="18:20" x14ac:dyDescent="0.3">
      <c r="R11832" s="255"/>
      <c r="S11832" s="255"/>
      <c r="T11832" s="255"/>
    </row>
    <row r="11833" spans="18:20" x14ac:dyDescent="0.3">
      <c r="R11833" s="255"/>
      <c r="S11833" s="255"/>
      <c r="T11833" s="255"/>
    </row>
    <row r="11834" spans="18:20" x14ac:dyDescent="0.3">
      <c r="R11834" s="255"/>
      <c r="S11834" s="255"/>
      <c r="T11834" s="255"/>
    </row>
    <row r="11835" spans="18:20" x14ac:dyDescent="0.3">
      <c r="R11835" s="255"/>
      <c r="S11835" s="255"/>
      <c r="T11835" s="255"/>
    </row>
    <row r="11836" spans="18:20" x14ac:dyDescent="0.3">
      <c r="R11836" s="255"/>
      <c r="S11836" s="255"/>
      <c r="T11836" s="255"/>
    </row>
    <row r="11837" spans="18:20" x14ac:dyDescent="0.3">
      <c r="R11837" s="255"/>
      <c r="S11837" s="255"/>
      <c r="T11837" s="255"/>
    </row>
    <row r="11838" spans="18:20" x14ac:dyDescent="0.3">
      <c r="R11838" s="255"/>
      <c r="S11838" s="255"/>
      <c r="T11838" s="255"/>
    </row>
    <row r="11839" spans="18:20" x14ac:dyDescent="0.3">
      <c r="R11839" s="255"/>
      <c r="S11839" s="255"/>
      <c r="T11839" s="255"/>
    </row>
    <row r="11840" spans="18:20" x14ac:dyDescent="0.3">
      <c r="R11840" s="255"/>
      <c r="S11840" s="255"/>
      <c r="T11840" s="255"/>
    </row>
    <row r="11841" spans="18:20" x14ac:dyDescent="0.3">
      <c r="R11841" s="255"/>
      <c r="S11841" s="255"/>
      <c r="T11841" s="255"/>
    </row>
    <row r="11842" spans="18:20" x14ac:dyDescent="0.3">
      <c r="R11842" s="255"/>
      <c r="S11842" s="255"/>
      <c r="T11842" s="255"/>
    </row>
    <row r="11843" spans="18:20" x14ac:dyDescent="0.3">
      <c r="R11843" s="255"/>
      <c r="S11843" s="255"/>
      <c r="T11843" s="255"/>
    </row>
    <row r="11844" spans="18:20" x14ac:dyDescent="0.3">
      <c r="R11844" s="255"/>
      <c r="S11844" s="255"/>
      <c r="T11844" s="255"/>
    </row>
    <row r="11845" spans="18:20" x14ac:dyDescent="0.3">
      <c r="R11845" s="255"/>
      <c r="S11845" s="255"/>
      <c r="T11845" s="255"/>
    </row>
    <row r="11846" spans="18:20" x14ac:dyDescent="0.3">
      <c r="R11846" s="255"/>
      <c r="S11846" s="255"/>
      <c r="T11846" s="255"/>
    </row>
    <row r="11847" spans="18:20" x14ac:dyDescent="0.3">
      <c r="R11847" s="255"/>
      <c r="S11847" s="255"/>
      <c r="T11847" s="255"/>
    </row>
    <row r="11848" spans="18:20" x14ac:dyDescent="0.3">
      <c r="R11848" s="255"/>
      <c r="S11848" s="255"/>
      <c r="T11848" s="255"/>
    </row>
    <row r="11849" spans="18:20" x14ac:dyDescent="0.3">
      <c r="R11849" s="255"/>
      <c r="S11849" s="255"/>
      <c r="T11849" s="255"/>
    </row>
    <row r="11850" spans="18:20" x14ac:dyDescent="0.3">
      <c r="R11850" s="255"/>
      <c r="S11850" s="255"/>
      <c r="T11850" s="255"/>
    </row>
    <row r="11851" spans="18:20" x14ac:dyDescent="0.3">
      <c r="R11851" s="255"/>
      <c r="S11851" s="255"/>
      <c r="T11851" s="255"/>
    </row>
    <row r="11852" spans="18:20" x14ac:dyDescent="0.3">
      <c r="R11852" s="255"/>
      <c r="S11852" s="255"/>
      <c r="T11852" s="255"/>
    </row>
    <row r="11853" spans="18:20" x14ac:dyDescent="0.3">
      <c r="R11853" s="255"/>
      <c r="S11853" s="255"/>
      <c r="T11853" s="255"/>
    </row>
    <row r="11854" spans="18:20" x14ac:dyDescent="0.3">
      <c r="R11854" s="255"/>
      <c r="S11854" s="255"/>
      <c r="T11854" s="255"/>
    </row>
    <row r="11855" spans="18:20" x14ac:dyDescent="0.3">
      <c r="R11855" s="255"/>
      <c r="S11855" s="255"/>
      <c r="T11855" s="255"/>
    </row>
    <row r="11856" spans="18:20" x14ac:dyDescent="0.3">
      <c r="R11856" s="255"/>
      <c r="S11856" s="255"/>
      <c r="T11856" s="255"/>
    </row>
    <row r="11857" spans="18:20" x14ac:dyDescent="0.3">
      <c r="R11857" s="255"/>
      <c r="S11857" s="255"/>
      <c r="T11857" s="255"/>
    </row>
    <row r="11858" spans="18:20" x14ac:dyDescent="0.3">
      <c r="R11858" s="255"/>
      <c r="S11858" s="255"/>
      <c r="T11858" s="255"/>
    </row>
    <row r="11859" spans="18:20" x14ac:dyDescent="0.3">
      <c r="R11859" s="255"/>
      <c r="S11859" s="255"/>
      <c r="T11859" s="255"/>
    </row>
    <row r="11860" spans="18:20" x14ac:dyDescent="0.3">
      <c r="R11860" s="255"/>
      <c r="S11860" s="255"/>
      <c r="T11860" s="255"/>
    </row>
    <row r="11861" spans="18:20" x14ac:dyDescent="0.3">
      <c r="R11861" s="255"/>
      <c r="S11861" s="255"/>
      <c r="T11861" s="255"/>
    </row>
    <row r="11862" spans="18:20" x14ac:dyDescent="0.3">
      <c r="R11862" s="255"/>
      <c r="S11862" s="255"/>
      <c r="T11862" s="255"/>
    </row>
    <row r="11863" spans="18:20" x14ac:dyDescent="0.3">
      <c r="R11863" s="255"/>
      <c r="S11863" s="255"/>
      <c r="T11863" s="255"/>
    </row>
    <row r="11864" spans="18:20" x14ac:dyDescent="0.3">
      <c r="R11864" s="255"/>
      <c r="S11864" s="255"/>
      <c r="T11864" s="255"/>
    </row>
    <row r="11865" spans="18:20" x14ac:dyDescent="0.3">
      <c r="R11865" s="255"/>
      <c r="S11865" s="255"/>
      <c r="T11865" s="255"/>
    </row>
    <row r="11866" spans="18:20" x14ac:dyDescent="0.3">
      <c r="R11866" s="255"/>
      <c r="S11866" s="255"/>
      <c r="T11866" s="255"/>
    </row>
    <row r="11867" spans="18:20" x14ac:dyDescent="0.3">
      <c r="R11867" s="255"/>
      <c r="S11867" s="255"/>
      <c r="T11867" s="255"/>
    </row>
    <row r="11868" spans="18:20" x14ac:dyDescent="0.3">
      <c r="R11868" s="255"/>
      <c r="S11868" s="255"/>
      <c r="T11868" s="255"/>
    </row>
    <row r="11869" spans="18:20" x14ac:dyDescent="0.3">
      <c r="R11869" s="255"/>
      <c r="S11869" s="255"/>
      <c r="T11869" s="255"/>
    </row>
    <row r="11870" spans="18:20" x14ac:dyDescent="0.3">
      <c r="R11870" s="255"/>
      <c r="S11870" s="255"/>
      <c r="T11870" s="255"/>
    </row>
    <row r="11871" spans="18:20" x14ac:dyDescent="0.3">
      <c r="R11871" s="255"/>
      <c r="S11871" s="255"/>
      <c r="T11871" s="255"/>
    </row>
    <row r="11872" spans="18:20" x14ac:dyDescent="0.3">
      <c r="R11872" s="255"/>
      <c r="S11872" s="255"/>
      <c r="T11872" s="255"/>
    </row>
    <row r="11873" spans="18:20" x14ac:dyDescent="0.3">
      <c r="R11873" s="255"/>
      <c r="S11873" s="255"/>
      <c r="T11873" s="255"/>
    </row>
    <row r="11874" spans="18:20" x14ac:dyDescent="0.3">
      <c r="R11874" s="255"/>
      <c r="S11874" s="255"/>
      <c r="T11874" s="255"/>
    </row>
    <row r="11875" spans="18:20" x14ac:dyDescent="0.3">
      <c r="R11875" s="255"/>
      <c r="S11875" s="255"/>
      <c r="T11875" s="255"/>
    </row>
    <row r="11876" spans="18:20" x14ac:dyDescent="0.3">
      <c r="R11876" s="255"/>
      <c r="S11876" s="255"/>
      <c r="T11876" s="255"/>
    </row>
    <row r="11877" spans="18:20" x14ac:dyDescent="0.3">
      <c r="R11877" s="255"/>
      <c r="S11877" s="255"/>
      <c r="T11877" s="255"/>
    </row>
    <row r="11878" spans="18:20" x14ac:dyDescent="0.3">
      <c r="R11878" s="255"/>
      <c r="S11878" s="255"/>
      <c r="T11878" s="255"/>
    </row>
    <row r="11879" spans="18:20" x14ac:dyDescent="0.3">
      <c r="R11879" s="255"/>
      <c r="S11879" s="255"/>
      <c r="T11879" s="255"/>
    </row>
    <row r="11880" spans="18:20" x14ac:dyDescent="0.3">
      <c r="R11880" s="255"/>
      <c r="S11880" s="255"/>
      <c r="T11880" s="255"/>
    </row>
    <row r="11881" spans="18:20" x14ac:dyDescent="0.3">
      <c r="R11881" s="255"/>
      <c r="S11881" s="255"/>
      <c r="T11881" s="255"/>
    </row>
    <row r="11882" spans="18:20" x14ac:dyDescent="0.3">
      <c r="R11882" s="255"/>
      <c r="S11882" s="255"/>
      <c r="T11882" s="255"/>
    </row>
    <row r="11883" spans="18:20" x14ac:dyDescent="0.3">
      <c r="R11883" s="255"/>
      <c r="S11883" s="255"/>
      <c r="T11883" s="255"/>
    </row>
    <row r="11884" spans="18:20" x14ac:dyDescent="0.3">
      <c r="R11884" s="255"/>
      <c r="S11884" s="255"/>
      <c r="T11884" s="255"/>
    </row>
    <row r="11885" spans="18:20" x14ac:dyDescent="0.3">
      <c r="R11885" s="255"/>
      <c r="S11885" s="255"/>
      <c r="T11885" s="255"/>
    </row>
    <row r="11886" spans="18:20" x14ac:dyDescent="0.3">
      <c r="R11886" s="255"/>
      <c r="S11886" s="255"/>
      <c r="T11886" s="255"/>
    </row>
    <row r="11887" spans="18:20" x14ac:dyDescent="0.3">
      <c r="R11887" s="255"/>
      <c r="S11887" s="255"/>
      <c r="T11887" s="255"/>
    </row>
    <row r="11888" spans="18:20" x14ac:dyDescent="0.3">
      <c r="R11888" s="255"/>
      <c r="S11888" s="255"/>
      <c r="T11888" s="255"/>
    </row>
    <row r="11889" spans="18:20" x14ac:dyDescent="0.3">
      <c r="R11889" s="255"/>
      <c r="S11889" s="255"/>
      <c r="T11889" s="255"/>
    </row>
    <row r="11890" spans="18:20" x14ac:dyDescent="0.3">
      <c r="R11890" s="255"/>
      <c r="S11890" s="255"/>
      <c r="T11890" s="255"/>
    </row>
    <row r="11891" spans="18:20" x14ac:dyDescent="0.3">
      <c r="R11891" s="255"/>
      <c r="S11891" s="255"/>
      <c r="T11891" s="255"/>
    </row>
    <row r="11892" spans="18:20" x14ac:dyDescent="0.3">
      <c r="R11892" s="255"/>
      <c r="S11892" s="255"/>
      <c r="T11892" s="255"/>
    </row>
    <row r="11893" spans="18:20" x14ac:dyDescent="0.3">
      <c r="R11893" s="255"/>
      <c r="S11893" s="255"/>
      <c r="T11893" s="255"/>
    </row>
    <row r="11894" spans="18:20" x14ac:dyDescent="0.3">
      <c r="R11894" s="255"/>
      <c r="S11894" s="255"/>
      <c r="T11894" s="255"/>
    </row>
    <row r="11895" spans="18:20" x14ac:dyDescent="0.3">
      <c r="R11895" s="255"/>
      <c r="S11895" s="255"/>
      <c r="T11895" s="255"/>
    </row>
    <row r="11896" spans="18:20" x14ac:dyDescent="0.3">
      <c r="R11896" s="255"/>
      <c r="S11896" s="255"/>
      <c r="T11896" s="255"/>
    </row>
    <row r="11897" spans="18:20" x14ac:dyDescent="0.3">
      <c r="R11897" s="255"/>
      <c r="S11897" s="255"/>
      <c r="T11897" s="255"/>
    </row>
    <row r="11898" spans="18:20" x14ac:dyDescent="0.3">
      <c r="R11898" s="255"/>
      <c r="S11898" s="255"/>
      <c r="T11898" s="255"/>
    </row>
    <row r="11899" spans="18:20" x14ac:dyDescent="0.3">
      <c r="R11899" s="255"/>
      <c r="S11899" s="255"/>
      <c r="T11899" s="255"/>
    </row>
    <row r="11900" spans="18:20" x14ac:dyDescent="0.3">
      <c r="R11900" s="255"/>
      <c r="S11900" s="255"/>
      <c r="T11900" s="255"/>
    </row>
    <row r="11901" spans="18:20" x14ac:dyDescent="0.3">
      <c r="R11901" s="255"/>
      <c r="S11901" s="255"/>
      <c r="T11901" s="255"/>
    </row>
    <row r="11902" spans="18:20" x14ac:dyDescent="0.3">
      <c r="R11902" s="255"/>
      <c r="S11902" s="255"/>
      <c r="T11902" s="255"/>
    </row>
    <row r="11903" spans="18:20" x14ac:dyDescent="0.3">
      <c r="R11903" s="255"/>
      <c r="S11903" s="255"/>
      <c r="T11903" s="255"/>
    </row>
    <row r="11904" spans="18:20" x14ac:dyDescent="0.3">
      <c r="R11904" s="255"/>
      <c r="S11904" s="255"/>
      <c r="T11904" s="255"/>
    </row>
    <row r="11905" spans="18:20" x14ac:dyDescent="0.3">
      <c r="R11905" s="255"/>
      <c r="S11905" s="255"/>
      <c r="T11905" s="255"/>
    </row>
    <row r="11906" spans="18:20" x14ac:dyDescent="0.3">
      <c r="R11906" s="255"/>
      <c r="S11906" s="255"/>
      <c r="T11906" s="255"/>
    </row>
    <row r="11907" spans="18:20" x14ac:dyDescent="0.3">
      <c r="R11907" s="255"/>
      <c r="S11907" s="255"/>
      <c r="T11907" s="255"/>
    </row>
    <row r="11908" spans="18:20" x14ac:dyDescent="0.3">
      <c r="R11908" s="255"/>
      <c r="S11908" s="255"/>
      <c r="T11908" s="255"/>
    </row>
    <row r="11909" spans="18:20" x14ac:dyDescent="0.3">
      <c r="R11909" s="255"/>
      <c r="S11909" s="255"/>
      <c r="T11909" s="255"/>
    </row>
    <row r="11910" spans="18:20" x14ac:dyDescent="0.3">
      <c r="R11910" s="255"/>
      <c r="S11910" s="255"/>
      <c r="T11910" s="255"/>
    </row>
    <row r="11911" spans="18:20" x14ac:dyDescent="0.3">
      <c r="R11911" s="255"/>
      <c r="S11911" s="255"/>
      <c r="T11911" s="255"/>
    </row>
    <row r="11912" spans="18:20" x14ac:dyDescent="0.3">
      <c r="R11912" s="255"/>
      <c r="S11912" s="255"/>
      <c r="T11912" s="255"/>
    </row>
    <row r="11913" spans="18:20" x14ac:dyDescent="0.3">
      <c r="R11913" s="255"/>
      <c r="S11913" s="255"/>
      <c r="T11913" s="255"/>
    </row>
    <row r="11914" spans="18:20" x14ac:dyDescent="0.3">
      <c r="R11914" s="255"/>
      <c r="S11914" s="255"/>
      <c r="T11914" s="255"/>
    </row>
    <row r="11915" spans="18:20" x14ac:dyDescent="0.3">
      <c r="R11915" s="255"/>
      <c r="S11915" s="255"/>
      <c r="T11915" s="255"/>
    </row>
    <row r="11916" spans="18:20" x14ac:dyDescent="0.3">
      <c r="R11916" s="255"/>
      <c r="S11916" s="255"/>
      <c r="T11916" s="255"/>
    </row>
    <row r="11917" spans="18:20" x14ac:dyDescent="0.3">
      <c r="R11917" s="255"/>
      <c r="S11917" s="255"/>
      <c r="T11917" s="255"/>
    </row>
    <row r="11918" spans="18:20" x14ac:dyDescent="0.3">
      <c r="R11918" s="255"/>
      <c r="S11918" s="255"/>
      <c r="T11918" s="255"/>
    </row>
    <row r="11919" spans="18:20" x14ac:dyDescent="0.3">
      <c r="R11919" s="255"/>
      <c r="S11919" s="255"/>
      <c r="T11919" s="255"/>
    </row>
    <row r="11920" spans="18:20" x14ac:dyDescent="0.3">
      <c r="R11920" s="255"/>
      <c r="S11920" s="255"/>
      <c r="T11920" s="255"/>
    </row>
    <row r="11921" spans="18:20" x14ac:dyDescent="0.3">
      <c r="R11921" s="255"/>
      <c r="S11921" s="255"/>
      <c r="T11921" s="255"/>
    </row>
    <row r="11922" spans="18:20" x14ac:dyDescent="0.3">
      <c r="R11922" s="255"/>
      <c r="S11922" s="255"/>
      <c r="T11922" s="255"/>
    </row>
    <row r="11923" spans="18:20" x14ac:dyDescent="0.3">
      <c r="R11923" s="255"/>
      <c r="S11923" s="255"/>
      <c r="T11923" s="255"/>
    </row>
    <row r="11924" spans="18:20" x14ac:dyDescent="0.3">
      <c r="R11924" s="255"/>
      <c r="S11924" s="255"/>
      <c r="T11924" s="255"/>
    </row>
    <row r="11925" spans="18:20" x14ac:dyDescent="0.3">
      <c r="R11925" s="255"/>
      <c r="S11925" s="255"/>
      <c r="T11925" s="255"/>
    </row>
    <row r="11926" spans="18:20" x14ac:dyDescent="0.3">
      <c r="R11926" s="255"/>
      <c r="S11926" s="255"/>
      <c r="T11926" s="255"/>
    </row>
    <row r="11927" spans="18:20" x14ac:dyDescent="0.3">
      <c r="R11927" s="255"/>
      <c r="S11927" s="255"/>
      <c r="T11927" s="255"/>
    </row>
    <row r="11928" spans="18:20" x14ac:dyDescent="0.3">
      <c r="R11928" s="255"/>
      <c r="S11928" s="255"/>
      <c r="T11928" s="255"/>
    </row>
    <row r="11929" spans="18:20" x14ac:dyDescent="0.3">
      <c r="R11929" s="255"/>
      <c r="S11929" s="255"/>
      <c r="T11929" s="255"/>
    </row>
    <row r="11930" spans="18:20" x14ac:dyDescent="0.3">
      <c r="R11930" s="255"/>
      <c r="S11930" s="255"/>
      <c r="T11930" s="255"/>
    </row>
    <row r="11931" spans="18:20" x14ac:dyDescent="0.3">
      <c r="R11931" s="255"/>
      <c r="S11931" s="255"/>
      <c r="T11931" s="255"/>
    </row>
    <row r="11932" spans="18:20" x14ac:dyDescent="0.3">
      <c r="R11932" s="255"/>
      <c r="S11932" s="255"/>
      <c r="T11932" s="255"/>
    </row>
    <row r="11933" spans="18:20" x14ac:dyDescent="0.3">
      <c r="R11933" s="255"/>
      <c r="S11933" s="255"/>
      <c r="T11933" s="255"/>
    </row>
    <row r="11934" spans="18:20" x14ac:dyDescent="0.3">
      <c r="R11934" s="255"/>
      <c r="S11934" s="255"/>
      <c r="T11934" s="255"/>
    </row>
    <row r="11935" spans="18:20" x14ac:dyDescent="0.3">
      <c r="R11935" s="255"/>
      <c r="S11935" s="255"/>
      <c r="T11935" s="255"/>
    </row>
    <row r="11936" spans="18:20" x14ac:dyDescent="0.3">
      <c r="R11936" s="255"/>
      <c r="S11936" s="255"/>
      <c r="T11936" s="255"/>
    </row>
    <row r="11937" spans="18:20" x14ac:dyDescent="0.3">
      <c r="R11937" s="255"/>
      <c r="S11937" s="255"/>
      <c r="T11937" s="255"/>
    </row>
    <row r="11938" spans="18:20" x14ac:dyDescent="0.3">
      <c r="R11938" s="255"/>
      <c r="S11938" s="255"/>
      <c r="T11938" s="255"/>
    </row>
    <row r="11939" spans="18:20" x14ac:dyDescent="0.3">
      <c r="R11939" s="255"/>
      <c r="S11939" s="255"/>
      <c r="T11939" s="255"/>
    </row>
    <row r="11940" spans="18:20" x14ac:dyDescent="0.3">
      <c r="R11940" s="255"/>
      <c r="S11940" s="255"/>
      <c r="T11940" s="255"/>
    </row>
    <row r="11941" spans="18:20" x14ac:dyDescent="0.3">
      <c r="R11941" s="255"/>
      <c r="S11941" s="255"/>
      <c r="T11941" s="255"/>
    </row>
    <row r="11942" spans="18:20" x14ac:dyDescent="0.3">
      <c r="R11942" s="255"/>
      <c r="S11942" s="255"/>
      <c r="T11942" s="255"/>
    </row>
    <row r="11943" spans="18:20" x14ac:dyDescent="0.3">
      <c r="R11943" s="255"/>
      <c r="S11943" s="255"/>
      <c r="T11943" s="255"/>
    </row>
    <row r="11944" spans="18:20" x14ac:dyDescent="0.3">
      <c r="R11944" s="255"/>
      <c r="S11944" s="255"/>
      <c r="T11944" s="255"/>
    </row>
    <row r="11945" spans="18:20" x14ac:dyDescent="0.3">
      <c r="R11945" s="255"/>
      <c r="S11945" s="255"/>
      <c r="T11945" s="255"/>
    </row>
    <row r="11946" spans="18:20" x14ac:dyDescent="0.3">
      <c r="R11946" s="255"/>
      <c r="S11946" s="255"/>
      <c r="T11946" s="255"/>
    </row>
    <row r="11947" spans="18:20" x14ac:dyDescent="0.3">
      <c r="R11947" s="255"/>
      <c r="S11947" s="255"/>
      <c r="T11947" s="255"/>
    </row>
    <row r="11948" spans="18:20" x14ac:dyDescent="0.3">
      <c r="R11948" s="255"/>
      <c r="S11948" s="255"/>
      <c r="T11948" s="255"/>
    </row>
    <row r="11949" spans="18:20" x14ac:dyDescent="0.3">
      <c r="R11949" s="255"/>
      <c r="S11949" s="255"/>
      <c r="T11949" s="255"/>
    </row>
    <row r="11950" spans="18:20" x14ac:dyDescent="0.3">
      <c r="R11950" s="255"/>
      <c r="S11950" s="255"/>
      <c r="T11950" s="255"/>
    </row>
    <row r="11951" spans="18:20" x14ac:dyDescent="0.3">
      <c r="R11951" s="255"/>
      <c r="S11951" s="255"/>
      <c r="T11951" s="255"/>
    </row>
    <row r="11952" spans="18:20" x14ac:dyDescent="0.3">
      <c r="R11952" s="255"/>
      <c r="S11952" s="255"/>
      <c r="T11952" s="255"/>
    </row>
    <row r="11953" spans="18:20" x14ac:dyDescent="0.3">
      <c r="R11953" s="255"/>
      <c r="S11953" s="255"/>
      <c r="T11953" s="255"/>
    </row>
    <row r="11954" spans="18:20" x14ac:dyDescent="0.3">
      <c r="R11954" s="255"/>
      <c r="S11954" s="255"/>
      <c r="T11954" s="255"/>
    </row>
    <row r="11955" spans="18:20" x14ac:dyDescent="0.3">
      <c r="R11955" s="255"/>
      <c r="S11955" s="255"/>
      <c r="T11955" s="255"/>
    </row>
    <row r="11956" spans="18:20" x14ac:dyDescent="0.3">
      <c r="R11956" s="255"/>
      <c r="S11956" s="255"/>
      <c r="T11956" s="255"/>
    </row>
    <row r="11957" spans="18:20" x14ac:dyDescent="0.3">
      <c r="R11957" s="255"/>
      <c r="S11957" s="255"/>
      <c r="T11957" s="255"/>
    </row>
    <row r="11958" spans="18:20" x14ac:dyDescent="0.3">
      <c r="R11958" s="255"/>
      <c r="S11958" s="255"/>
      <c r="T11958" s="255"/>
    </row>
    <row r="11959" spans="18:20" x14ac:dyDescent="0.3">
      <c r="R11959" s="255"/>
      <c r="S11959" s="255"/>
      <c r="T11959" s="255"/>
    </row>
    <row r="11960" spans="18:20" x14ac:dyDescent="0.3">
      <c r="R11960" s="255"/>
      <c r="S11960" s="255"/>
      <c r="T11960" s="255"/>
    </row>
    <row r="11961" spans="18:20" x14ac:dyDescent="0.3">
      <c r="R11961" s="255"/>
      <c r="S11961" s="255"/>
      <c r="T11961" s="255"/>
    </row>
    <row r="11962" spans="18:20" x14ac:dyDescent="0.3">
      <c r="R11962" s="255"/>
      <c r="S11962" s="255"/>
      <c r="T11962" s="255"/>
    </row>
    <row r="11963" spans="18:20" x14ac:dyDescent="0.3">
      <c r="R11963" s="255"/>
      <c r="S11963" s="255"/>
      <c r="T11963" s="255"/>
    </row>
    <row r="11964" spans="18:20" x14ac:dyDescent="0.3">
      <c r="R11964" s="255"/>
      <c r="S11964" s="255"/>
      <c r="T11964" s="255"/>
    </row>
    <row r="11965" spans="18:20" x14ac:dyDescent="0.3">
      <c r="R11965" s="255"/>
      <c r="S11965" s="255"/>
      <c r="T11965" s="255"/>
    </row>
    <row r="11966" spans="18:20" x14ac:dyDescent="0.3">
      <c r="R11966" s="255"/>
      <c r="S11966" s="255"/>
      <c r="T11966" s="255"/>
    </row>
    <row r="11967" spans="18:20" x14ac:dyDescent="0.3">
      <c r="R11967" s="255"/>
      <c r="S11967" s="255"/>
      <c r="T11967" s="255"/>
    </row>
    <row r="11968" spans="18:20" x14ac:dyDescent="0.3">
      <c r="R11968" s="255"/>
      <c r="S11968" s="255"/>
      <c r="T11968" s="255"/>
    </row>
    <row r="11969" spans="18:20" x14ac:dyDescent="0.3">
      <c r="R11969" s="255"/>
      <c r="S11969" s="255"/>
      <c r="T11969" s="255"/>
    </row>
    <row r="11970" spans="18:20" x14ac:dyDescent="0.3">
      <c r="R11970" s="255"/>
      <c r="S11970" s="255"/>
      <c r="T11970" s="255"/>
    </row>
    <row r="11971" spans="18:20" x14ac:dyDescent="0.3">
      <c r="R11971" s="255"/>
      <c r="S11971" s="255"/>
      <c r="T11971" s="255"/>
    </row>
    <row r="11972" spans="18:20" x14ac:dyDescent="0.3">
      <c r="R11972" s="255"/>
      <c r="S11972" s="255"/>
      <c r="T11972" s="255"/>
    </row>
    <row r="11973" spans="18:20" x14ac:dyDescent="0.3">
      <c r="R11973" s="255"/>
      <c r="S11973" s="255"/>
      <c r="T11973" s="255"/>
    </row>
    <row r="11974" spans="18:20" x14ac:dyDescent="0.3">
      <c r="R11974" s="255"/>
      <c r="S11974" s="255"/>
      <c r="T11974" s="255"/>
    </row>
    <row r="11975" spans="18:20" x14ac:dyDescent="0.3">
      <c r="R11975" s="255"/>
      <c r="S11975" s="255"/>
      <c r="T11975" s="255"/>
    </row>
    <row r="11976" spans="18:20" x14ac:dyDescent="0.3">
      <c r="R11976" s="255"/>
      <c r="S11976" s="255"/>
      <c r="T11976" s="255"/>
    </row>
    <row r="11977" spans="18:20" x14ac:dyDescent="0.3">
      <c r="R11977" s="255"/>
      <c r="S11977" s="255"/>
      <c r="T11977" s="255"/>
    </row>
    <row r="11978" spans="18:20" x14ac:dyDescent="0.3">
      <c r="R11978" s="255"/>
      <c r="S11978" s="255"/>
      <c r="T11978" s="255"/>
    </row>
    <row r="11979" spans="18:20" x14ac:dyDescent="0.3">
      <c r="R11979" s="255"/>
      <c r="S11979" s="255"/>
      <c r="T11979" s="255"/>
    </row>
    <row r="11980" spans="18:20" x14ac:dyDescent="0.3">
      <c r="R11980" s="255"/>
      <c r="S11980" s="255"/>
      <c r="T11980" s="255"/>
    </row>
    <row r="11981" spans="18:20" x14ac:dyDescent="0.3">
      <c r="R11981" s="255"/>
      <c r="S11981" s="255"/>
      <c r="T11981" s="255"/>
    </row>
    <row r="11982" spans="18:20" x14ac:dyDescent="0.3">
      <c r="R11982" s="255"/>
      <c r="S11982" s="255"/>
      <c r="T11982" s="255"/>
    </row>
    <row r="11983" spans="18:20" x14ac:dyDescent="0.3">
      <c r="R11983" s="255"/>
      <c r="S11983" s="255"/>
      <c r="T11983" s="255"/>
    </row>
    <row r="11984" spans="18:20" x14ac:dyDescent="0.3">
      <c r="R11984" s="255"/>
      <c r="S11984" s="255"/>
      <c r="T11984" s="255"/>
    </row>
    <row r="11985" spans="18:20" x14ac:dyDescent="0.3">
      <c r="R11985" s="255"/>
      <c r="S11985" s="255"/>
      <c r="T11985" s="255"/>
    </row>
    <row r="11986" spans="18:20" x14ac:dyDescent="0.3">
      <c r="R11986" s="255"/>
      <c r="S11986" s="255"/>
      <c r="T11986" s="255"/>
    </row>
    <row r="11987" spans="18:20" x14ac:dyDescent="0.3">
      <c r="R11987" s="255"/>
      <c r="S11987" s="255"/>
      <c r="T11987" s="255"/>
    </row>
    <row r="11988" spans="18:20" x14ac:dyDescent="0.3">
      <c r="R11988" s="255"/>
      <c r="S11988" s="255"/>
      <c r="T11988" s="255"/>
    </row>
    <row r="11989" spans="18:20" x14ac:dyDescent="0.3">
      <c r="R11989" s="255"/>
      <c r="S11989" s="255"/>
      <c r="T11989" s="255"/>
    </row>
    <row r="11990" spans="18:20" x14ac:dyDescent="0.3">
      <c r="R11990" s="255"/>
      <c r="S11990" s="255"/>
      <c r="T11990" s="255"/>
    </row>
    <row r="11991" spans="18:20" x14ac:dyDescent="0.3">
      <c r="R11991" s="255"/>
      <c r="S11991" s="255"/>
      <c r="T11991" s="255"/>
    </row>
    <row r="11992" spans="18:20" x14ac:dyDescent="0.3">
      <c r="R11992" s="255"/>
      <c r="S11992" s="255"/>
      <c r="T11992" s="255"/>
    </row>
    <row r="11993" spans="18:20" x14ac:dyDescent="0.3">
      <c r="R11993" s="255"/>
      <c r="S11993" s="255"/>
      <c r="T11993" s="255"/>
    </row>
    <row r="11994" spans="18:20" x14ac:dyDescent="0.3">
      <c r="R11994" s="255"/>
      <c r="S11994" s="255"/>
      <c r="T11994" s="255"/>
    </row>
    <row r="11995" spans="18:20" x14ac:dyDescent="0.3">
      <c r="R11995" s="255"/>
      <c r="S11995" s="255"/>
      <c r="T11995" s="255"/>
    </row>
    <row r="11996" spans="18:20" x14ac:dyDescent="0.3">
      <c r="R11996" s="255"/>
      <c r="S11996" s="255"/>
      <c r="T11996" s="255"/>
    </row>
    <row r="11997" spans="18:20" x14ac:dyDescent="0.3">
      <c r="R11997" s="255"/>
      <c r="S11997" s="255"/>
      <c r="T11997" s="255"/>
    </row>
    <row r="11998" spans="18:20" x14ac:dyDescent="0.3">
      <c r="R11998" s="255"/>
      <c r="S11998" s="255"/>
      <c r="T11998" s="255"/>
    </row>
    <row r="11999" spans="18:20" x14ac:dyDescent="0.3">
      <c r="R11999" s="255"/>
      <c r="S11999" s="255"/>
      <c r="T11999" s="255"/>
    </row>
    <row r="12000" spans="18:20" x14ac:dyDescent="0.3">
      <c r="R12000" s="255"/>
      <c r="S12000" s="255"/>
      <c r="T12000" s="255"/>
    </row>
    <row r="12001" spans="18:20" x14ac:dyDescent="0.3">
      <c r="R12001" s="255"/>
      <c r="S12001" s="255"/>
      <c r="T12001" s="255"/>
    </row>
    <row r="12002" spans="18:20" x14ac:dyDescent="0.3">
      <c r="R12002" s="255"/>
      <c r="S12002" s="255"/>
      <c r="T12002" s="255"/>
    </row>
    <row r="12003" spans="18:20" x14ac:dyDescent="0.3">
      <c r="R12003" s="255"/>
      <c r="S12003" s="255"/>
      <c r="T12003" s="255"/>
    </row>
    <row r="12004" spans="18:20" x14ac:dyDescent="0.3">
      <c r="R12004" s="255"/>
      <c r="S12004" s="255"/>
      <c r="T12004" s="255"/>
    </row>
    <row r="12005" spans="18:20" x14ac:dyDescent="0.3">
      <c r="R12005" s="255"/>
      <c r="S12005" s="255"/>
      <c r="T12005" s="255"/>
    </row>
    <row r="12006" spans="18:20" x14ac:dyDescent="0.3">
      <c r="R12006" s="255"/>
      <c r="S12006" s="255"/>
      <c r="T12006" s="255"/>
    </row>
    <row r="12007" spans="18:20" x14ac:dyDescent="0.3">
      <c r="R12007" s="255"/>
      <c r="S12007" s="255"/>
      <c r="T12007" s="255"/>
    </row>
    <row r="12008" spans="18:20" x14ac:dyDescent="0.3">
      <c r="R12008" s="255"/>
      <c r="S12008" s="255"/>
      <c r="T12008" s="255"/>
    </row>
    <row r="12009" spans="18:20" x14ac:dyDescent="0.3">
      <c r="R12009" s="255"/>
      <c r="S12009" s="255"/>
      <c r="T12009" s="255"/>
    </row>
    <row r="12010" spans="18:20" x14ac:dyDescent="0.3">
      <c r="R12010" s="255"/>
      <c r="S12010" s="255"/>
      <c r="T12010" s="255"/>
    </row>
    <row r="12011" spans="18:20" x14ac:dyDescent="0.3">
      <c r="R12011" s="255"/>
      <c r="S12011" s="255"/>
      <c r="T12011" s="255"/>
    </row>
    <row r="12012" spans="18:20" x14ac:dyDescent="0.3">
      <c r="R12012" s="255"/>
      <c r="S12012" s="255"/>
      <c r="T12012" s="255"/>
    </row>
    <row r="12013" spans="18:20" x14ac:dyDescent="0.3">
      <c r="R12013" s="255"/>
      <c r="S12013" s="255"/>
      <c r="T12013" s="255"/>
    </row>
    <row r="12014" spans="18:20" x14ac:dyDescent="0.3">
      <c r="R12014" s="255"/>
      <c r="S12014" s="255"/>
      <c r="T12014" s="255"/>
    </row>
    <row r="12015" spans="18:20" x14ac:dyDescent="0.3">
      <c r="R12015" s="255"/>
      <c r="S12015" s="255"/>
      <c r="T12015" s="255"/>
    </row>
    <row r="12016" spans="18:20" x14ac:dyDescent="0.3">
      <c r="R12016" s="255"/>
      <c r="S12016" s="255"/>
      <c r="T12016" s="255"/>
    </row>
    <row r="12017" spans="18:20" x14ac:dyDescent="0.3">
      <c r="R12017" s="255"/>
      <c r="S12017" s="255"/>
      <c r="T12017" s="255"/>
    </row>
    <row r="12018" spans="18:20" x14ac:dyDescent="0.3">
      <c r="R12018" s="255"/>
      <c r="S12018" s="255"/>
      <c r="T12018" s="255"/>
    </row>
    <row r="12019" spans="18:20" x14ac:dyDescent="0.3">
      <c r="R12019" s="255"/>
      <c r="S12019" s="255"/>
      <c r="T12019" s="255"/>
    </row>
    <row r="12020" spans="18:20" x14ac:dyDescent="0.3">
      <c r="R12020" s="255"/>
      <c r="S12020" s="255"/>
      <c r="T12020" s="255"/>
    </row>
    <row r="12021" spans="18:20" x14ac:dyDescent="0.3">
      <c r="R12021" s="255"/>
      <c r="S12021" s="255"/>
      <c r="T12021" s="255"/>
    </row>
    <row r="12022" spans="18:20" x14ac:dyDescent="0.3">
      <c r="R12022" s="255"/>
      <c r="S12022" s="255"/>
      <c r="T12022" s="255"/>
    </row>
    <row r="12023" spans="18:20" x14ac:dyDescent="0.3">
      <c r="R12023" s="255"/>
      <c r="S12023" s="255"/>
      <c r="T12023" s="255"/>
    </row>
    <row r="12024" spans="18:20" x14ac:dyDescent="0.3">
      <c r="R12024" s="255"/>
      <c r="S12024" s="255"/>
      <c r="T12024" s="255"/>
    </row>
    <row r="12025" spans="18:20" x14ac:dyDescent="0.3">
      <c r="R12025" s="255"/>
      <c r="S12025" s="255"/>
      <c r="T12025" s="255"/>
    </row>
    <row r="12026" spans="18:20" x14ac:dyDescent="0.3">
      <c r="R12026" s="255"/>
      <c r="S12026" s="255"/>
      <c r="T12026" s="255"/>
    </row>
    <row r="12027" spans="18:20" x14ac:dyDescent="0.3">
      <c r="R12027" s="255"/>
      <c r="S12027" s="255"/>
      <c r="T12027" s="255"/>
    </row>
    <row r="12028" spans="18:20" x14ac:dyDescent="0.3">
      <c r="R12028" s="255"/>
      <c r="S12028" s="255"/>
      <c r="T12028" s="255"/>
    </row>
    <row r="12029" spans="18:20" x14ac:dyDescent="0.3">
      <c r="R12029" s="255"/>
      <c r="S12029" s="255"/>
      <c r="T12029" s="255"/>
    </row>
    <row r="12030" spans="18:20" x14ac:dyDescent="0.3">
      <c r="R12030" s="255"/>
      <c r="S12030" s="255"/>
      <c r="T12030" s="255"/>
    </row>
    <row r="12031" spans="18:20" x14ac:dyDescent="0.3">
      <c r="R12031" s="255"/>
      <c r="S12031" s="255"/>
      <c r="T12031" s="255"/>
    </row>
    <row r="12032" spans="18:20" x14ac:dyDescent="0.3">
      <c r="R12032" s="255"/>
      <c r="S12032" s="255"/>
      <c r="T12032" s="255"/>
    </row>
    <row r="12033" spans="18:20" x14ac:dyDescent="0.3">
      <c r="R12033" s="255"/>
      <c r="S12033" s="255"/>
      <c r="T12033" s="255"/>
    </row>
    <row r="12034" spans="18:20" x14ac:dyDescent="0.3">
      <c r="R12034" s="255"/>
      <c r="S12034" s="255"/>
      <c r="T12034" s="255"/>
    </row>
    <row r="12035" spans="18:20" x14ac:dyDescent="0.3">
      <c r="R12035" s="255"/>
      <c r="S12035" s="255"/>
      <c r="T12035" s="255"/>
    </row>
    <row r="12036" spans="18:20" x14ac:dyDescent="0.3">
      <c r="R12036" s="255"/>
      <c r="S12036" s="255"/>
      <c r="T12036" s="255"/>
    </row>
    <row r="12037" spans="18:20" x14ac:dyDescent="0.3">
      <c r="R12037" s="255"/>
      <c r="S12037" s="255"/>
      <c r="T12037" s="255"/>
    </row>
    <row r="12038" spans="18:20" x14ac:dyDescent="0.3">
      <c r="R12038" s="255"/>
      <c r="S12038" s="255"/>
      <c r="T12038" s="255"/>
    </row>
    <row r="12039" spans="18:20" x14ac:dyDescent="0.3">
      <c r="R12039" s="255"/>
      <c r="S12039" s="255"/>
      <c r="T12039" s="255"/>
    </row>
    <row r="12040" spans="18:20" x14ac:dyDescent="0.3">
      <c r="R12040" s="255"/>
      <c r="S12040" s="255"/>
      <c r="T12040" s="255"/>
    </row>
    <row r="12041" spans="18:20" x14ac:dyDescent="0.3">
      <c r="R12041" s="255"/>
      <c r="S12041" s="255"/>
      <c r="T12041" s="255"/>
    </row>
    <row r="12042" spans="18:20" x14ac:dyDescent="0.3">
      <c r="R12042" s="255"/>
      <c r="S12042" s="255"/>
      <c r="T12042" s="255"/>
    </row>
    <row r="12043" spans="18:20" x14ac:dyDescent="0.3">
      <c r="R12043" s="255"/>
      <c r="S12043" s="255"/>
      <c r="T12043" s="255"/>
    </row>
    <row r="12044" spans="18:20" x14ac:dyDescent="0.3">
      <c r="R12044" s="255"/>
      <c r="S12044" s="255"/>
      <c r="T12044" s="255"/>
    </row>
    <row r="12045" spans="18:20" x14ac:dyDescent="0.3">
      <c r="R12045" s="255"/>
      <c r="S12045" s="255"/>
      <c r="T12045" s="255"/>
    </row>
    <row r="12046" spans="18:20" x14ac:dyDescent="0.3">
      <c r="R12046" s="255"/>
      <c r="S12046" s="255"/>
      <c r="T12046" s="255"/>
    </row>
    <row r="12047" spans="18:20" x14ac:dyDescent="0.3">
      <c r="R12047" s="255"/>
      <c r="S12047" s="255"/>
      <c r="T12047" s="255"/>
    </row>
    <row r="12048" spans="18:20" x14ac:dyDescent="0.3">
      <c r="R12048" s="255"/>
      <c r="S12048" s="255"/>
      <c r="T12048" s="255"/>
    </row>
    <row r="12049" spans="18:20" x14ac:dyDescent="0.3">
      <c r="R12049" s="255"/>
      <c r="S12049" s="255"/>
      <c r="T12049" s="255"/>
    </row>
    <row r="12050" spans="18:20" x14ac:dyDescent="0.3">
      <c r="R12050" s="255"/>
      <c r="S12050" s="255"/>
      <c r="T12050" s="255"/>
    </row>
    <row r="12051" spans="18:20" x14ac:dyDescent="0.3">
      <c r="R12051" s="255"/>
      <c r="S12051" s="255"/>
      <c r="T12051" s="255"/>
    </row>
    <row r="12052" spans="18:20" x14ac:dyDescent="0.3">
      <c r="R12052" s="255"/>
      <c r="S12052" s="255"/>
      <c r="T12052" s="255"/>
    </row>
    <row r="12053" spans="18:20" x14ac:dyDescent="0.3">
      <c r="R12053" s="255"/>
      <c r="S12053" s="255"/>
      <c r="T12053" s="255"/>
    </row>
    <row r="12054" spans="18:20" x14ac:dyDescent="0.3">
      <c r="R12054" s="255"/>
      <c r="S12054" s="255"/>
      <c r="T12054" s="255"/>
    </row>
    <row r="12055" spans="18:20" x14ac:dyDescent="0.3">
      <c r="R12055" s="255"/>
      <c r="S12055" s="255"/>
      <c r="T12055" s="255"/>
    </row>
    <row r="12056" spans="18:20" x14ac:dyDescent="0.3">
      <c r="R12056" s="255"/>
      <c r="S12056" s="255"/>
      <c r="T12056" s="255"/>
    </row>
    <row r="12057" spans="18:20" x14ac:dyDescent="0.3">
      <c r="R12057" s="255"/>
      <c r="S12057" s="255"/>
      <c r="T12057" s="255"/>
    </row>
    <row r="12058" spans="18:20" x14ac:dyDescent="0.3">
      <c r="R12058" s="255"/>
      <c r="S12058" s="255"/>
      <c r="T12058" s="255"/>
    </row>
    <row r="12059" spans="18:20" x14ac:dyDescent="0.3">
      <c r="R12059" s="255"/>
      <c r="S12059" s="255"/>
      <c r="T12059" s="255"/>
    </row>
    <row r="12060" spans="18:20" x14ac:dyDescent="0.3">
      <c r="R12060" s="255"/>
      <c r="S12060" s="255"/>
      <c r="T12060" s="255"/>
    </row>
    <row r="12061" spans="18:20" x14ac:dyDescent="0.3">
      <c r="R12061" s="255"/>
      <c r="S12061" s="255"/>
      <c r="T12061" s="255"/>
    </row>
    <row r="12062" spans="18:20" x14ac:dyDescent="0.3">
      <c r="R12062" s="255"/>
      <c r="S12062" s="255"/>
      <c r="T12062" s="255"/>
    </row>
    <row r="12063" spans="18:20" x14ac:dyDescent="0.3">
      <c r="R12063" s="255"/>
      <c r="S12063" s="255"/>
      <c r="T12063" s="255"/>
    </row>
    <row r="12064" spans="18:20" x14ac:dyDescent="0.3">
      <c r="R12064" s="255"/>
      <c r="S12064" s="255"/>
      <c r="T12064" s="255"/>
    </row>
    <row r="12065" spans="18:20" x14ac:dyDescent="0.3">
      <c r="R12065" s="255"/>
      <c r="S12065" s="255"/>
      <c r="T12065" s="255"/>
    </row>
    <row r="12066" spans="18:20" x14ac:dyDescent="0.3">
      <c r="R12066" s="255"/>
      <c r="S12066" s="255"/>
      <c r="T12066" s="255"/>
    </row>
    <row r="12067" spans="18:20" x14ac:dyDescent="0.3">
      <c r="R12067" s="255"/>
      <c r="S12067" s="255"/>
      <c r="T12067" s="255"/>
    </row>
    <row r="12068" spans="18:20" x14ac:dyDescent="0.3">
      <c r="R12068" s="255"/>
      <c r="S12068" s="255"/>
      <c r="T12068" s="255"/>
    </row>
    <row r="12069" spans="18:20" x14ac:dyDescent="0.3">
      <c r="R12069" s="255"/>
      <c r="S12069" s="255"/>
      <c r="T12069" s="255"/>
    </row>
    <row r="12070" spans="18:20" x14ac:dyDescent="0.3">
      <c r="R12070" s="255"/>
      <c r="S12070" s="255"/>
      <c r="T12070" s="255"/>
    </row>
    <row r="12071" spans="18:20" x14ac:dyDescent="0.3">
      <c r="R12071" s="255"/>
      <c r="S12071" s="255"/>
      <c r="T12071" s="255"/>
    </row>
    <row r="12072" spans="18:20" x14ac:dyDescent="0.3">
      <c r="R12072" s="255"/>
      <c r="S12072" s="255"/>
      <c r="T12072" s="255"/>
    </row>
    <row r="12073" spans="18:20" x14ac:dyDescent="0.3">
      <c r="R12073" s="255"/>
      <c r="S12073" s="255"/>
      <c r="T12073" s="255"/>
    </row>
    <row r="12074" spans="18:20" x14ac:dyDescent="0.3">
      <c r="R12074" s="255"/>
      <c r="S12074" s="255"/>
      <c r="T12074" s="255"/>
    </row>
    <row r="12075" spans="18:20" x14ac:dyDescent="0.3">
      <c r="R12075" s="255"/>
      <c r="S12075" s="255"/>
      <c r="T12075" s="255"/>
    </row>
    <row r="12076" spans="18:20" x14ac:dyDescent="0.3">
      <c r="R12076" s="255"/>
      <c r="S12076" s="255"/>
      <c r="T12076" s="255"/>
    </row>
    <row r="12077" spans="18:20" x14ac:dyDescent="0.3">
      <c r="R12077" s="255"/>
      <c r="S12077" s="255"/>
      <c r="T12077" s="255"/>
    </row>
    <row r="12078" spans="18:20" x14ac:dyDescent="0.3">
      <c r="R12078" s="255"/>
      <c r="S12078" s="255"/>
      <c r="T12078" s="255"/>
    </row>
    <row r="12079" spans="18:20" x14ac:dyDescent="0.3">
      <c r="R12079" s="255"/>
      <c r="S12079" s="255"/>
      <c r="T12079" s="255"/>
    </row>
    <row r="12080" spans="18:20" x14ac:dyDescent="0.3">
      <c r="R12080" s="255"/>
      <c r="S12080" s="255"/>
      <c r="T12080" s="255"/>
    </row>
    <row r="12081" spans="18:20" x14ac:dyDescent="0.3">
      <c r="R12081" s="255"/>
      <c r="S12081" s="255"/>
      <c r="T12081" s="255"/>
    </row>
    <row r="12082" spans="18:20" x14ac:dyDescent="0.3">
      <c r="R12082" s="255"/>
      <c r="S12082" s="255"/>
      <c r="T12082" s="255"/>
    </row>
    <row r="12083" spans="18:20" x14ac:dyDescent="0.3">
      <c r="R12083" s="255"/>
      <c r="S12083" s="255"/>
      <c r="T12083" s="255"/>
    </row>
    <row r="12084" spans="18:20" x14ac:dyDescent="0.3">
      <c r="R12084" s="255"/>
      <c r="S12084" s="255"/>
      <c r="T12084" s="255"/>
    </row>
    <row r="12085" spans="18:20" x14ac:dyDescent="0.3">
      <c r="R12085" s="255"/>
      <c r="S12085" s="255"/>
      <c r="T12085" s="255"/>
    </row>
    <row r="12086" spans="18:20" x14ac:dyDescent="0.3">
      <c r="R12086" s="255"/>
      <c r="S12086" s="255"/>
      <c r="T12086" s="255"/>
    </row>
    <row r="12087" spans="18:20" x14ac:dyDescent="0.3">
      <c r="R12087" s="255"/>
      <c r="S12087" s="255"/>
      <c r="T12087" s="255"/>
    </row>
    <row r="12088" spans="18:20" x14ac:dyDescent="0.3">
      <c r="R12088" s="255"/>
      <c r="S12088" s="255"/>
      <c r="T12088" s="255"/>
    </row>
    <row r="12089" spans="18:20" x14ac:dyDescent="0.3">
      <c r="R12089" s="255"/>
      <c r="S12089" s="255"/>
      <c r="T12089" s="255"/>
    </row>
    <row r="12090" spans="18:20" x14ac:dyDescent="0.3">
      <c r="R12090" s="255"/>
      <c r="S12090" s="255"/>
      <c r="T12090" s="255"/>
    </row>
    <row r="12091" spans="18:20" x14ac:dyDescent="0.3">
      <c r="R12091" s="255"/>
      <c r="S12091" s="255"/>
      <c r="T12091" s="255"/>
    </row>
    <row r="12092" spans="18:20" x14ac:dyDescent="0.3">
      <c r="R12092" s="255"/>
      <c r="S12092" s="255"/>
      <c r="T12092" s="255"/>
    </row>
    <row r="12093" spans="18:20" x14ac:dyDescent="0.3">
      <c r="R12093" s="255"/>
      <c r="S12093" s="255"/>
      <c r="T12093" s="255"/>
    </row>
    <row r="12094" spans="18:20" x14ac:dyDescent="0.3">
      <c r="R12094" s="255"/>
      <c r="S12094" s="255"/>
      <c r="T12094" s="255"/>
    </row>
    <row r="12095" spans="18:20" x14ac:dyDescent="0.3">
      <c r="R12095" s="255"/>
      <c r="S12095" s="255"/>
      <c r="T12095" s="255"/>
    </row>
    <row r="12096" spans="18:20" x14ac:dyDescent="0.3">
      <c r="R12096" s="255"/>
      <c r="S12096" s="255"/>
      <c r="T12096" s="255"/>
    </row>
    <row r="12097" spans="18:20" x14ac:dyDescent="0.3">
      <c r="R12097" s="255"/>
      <c r="S12097" s="255"/>
      <c r="T12097" s="255"/>
    </row>
    <row r="12098" spans="18:20" x14ac:dyDescent="0.3">
      <c r="R12098" s="255"/>
      <c r="S12098" s="255"/>
      <c r="T12098" s="255"/>
    </row>
    <row r="12099" spans="18:20" x14ac:dyDescent="0.3">
      <c r="R12099" s="255"/>
      <c r="S12099" s="255"/>
      <c r="T12099" s="255"/>
    </row>
    <row r="12100" spans="18:20" x14ac:dyDescent="0.3">
      <c r="R12100" s="255"/>
      <c r="S12100" s="255"/>
      <c r="T12100" s="255"/>
    </row>
    <row r="12101" spans="18:20" x14ac:dyDescent="0.3">
      <c r="R12101" s="255"/>
      <c r="S12101" s="255"/>
      <c r="T12101" s="255"/>
    </row>
    <row r="12102" spans="18:20" x14ac:dyDescent="0.3">
      <c r="R12102" s="255"/>
      <c r="S12102" s="255"/>
      <c r="T12102" s="255"/>
    </row>
    <row r="12103" spans="18:20" x14ac:dyDescent="0.3">
      <c r="R12103" s="255"/>
      <c r="S12103" s="255"/>
      <c r="T12103" s="255"/>
    </row>
    <row r="12104" spans="18:20" x14ac:dyDescent="0.3">
      <c r="R12104" s="255"/>
      <c r="S12104" s="255"/>
      <c r="T12104" s="255"/>
    </row>
    <row r="12105" spans="18:20" x14ac:dyDescent="0.3">
      <c r="R12105" s="255"/>
      <c r="S12105" s="255"/>
      <c r="T12105" s="255"/>
    </row>
    <row r="12106" spans="18:20" x14ac:dyDescent="0.3">
      <c r="R12106" s="255"/>
      <c r="S12106" s="255"/>
      <c r="T12106" s="255"/>
    </row>
    <row r="12107" spans="18:20" x14ac:dyDescent="0.3">
      <c r="R12107" s="255"/>
      <c r="S12107" s="255"/>
      <c r="T12107" s="255"/>
    </row>
    <row r="12108" spans="18:20" x14ac:dyDescent="0.3">
      <c r="R12108" s="255"/>
      <c r="S12108" s="255"/>
      <c r="T12108" s="255"/>
    </row>
    <row r="12109" spans="18:20" x14ac:dyDescent="0.3">
      <c r="R12109" s="255"/>
      <c r="S12109" s="255"/>
      <c r="T12109" s="255"/>
    </row>
    <row r="12110" spans="18:20" x14ac:dyDescent="0.3">
      <c r="R12110" s="255"/>
      <c r="S12110" s="255"/>
      <c r="T12110" s="255"/>
    </row>
    <row r="12111" spans="18:20" x14ac:dyDescent="0.3">
      <c r="R12111" s="255"/>
      <c r="S12111" s="255"/>
      <c r="T12111" s="255"/>
    </row>
    <row r="12112" spans="18:20" x14ac:dyDescent="0.3">
      <c r="R12112" s="255"/>
      <c r="S12112" s="255"/>
      <c r="T12112" s="255"/>
    </row>
    <row r="12113" spans="18:20" x14ac:dyDescent="0.3">
      <c r="R12113" s="255"/>
      <c r="S12113" s="255"/>
      <c r="T12113" s="255"/>
    </row>
    <row r="12114" spans="18:20" x14ac:dyDescent="0.3">
      <c r="R12114" s="255"/>
      <c r="S12114" s="255"/>
      <c r="T12114" s="255"/>
    </row>
    <row r="12115" spans="18:20" x14ac:dyDescent="0.3">
      <c r="R12115" s="255"/>
      <c r="S12115" s="255"/>
      <c r="T12115" s="255"/>
    </row>
    <row r="12116" spans="18:20" x14ac:dyDescent="0.3">
      <c r="R12116" s="255"/>
      <c r="S12116" s="255"/>
      <c r="T12116" s="255"/>
    </row>
    <row r="12117" spans="18:20" x14ac:dyDescent="0.3">
      <c r="R12117" s="255"/>
      <c r="S12117" s="255"/>
      <c r="T12117" s="255"/>
    </row>
    <row r="12118" spans="18:20" x14ac:dyDescent="0.3">
      <c r="R12118" s="255"/>
      <c r="S12118" s="255"/>
      <c r="T12118" s="255"/>
    </row>
    <row r="12119" spans="18:20" x14ac:dyDescent="0.3">
      <c r="R12119" s="255"/>
      <c r="S12119" s="255"/>
      <c r="T12119" s="255"/>
    </row>
    <row r="12120" spans="18:20" x14ac:dyDescent="0.3">
      <c r="R12120" s="255"/>
      <c r="S12120" s="255"/>
      <c r="T12120" s="255"/>
    </row>
    <row r="12121" spans="18:20" x14ac:dyDescent="0.3">
      <c r="R12121" s="255"/>
      <c r="S12121" s="255"/>
      <c r="T12121" s="255"/>
    </row>
    <row r="12122" spans="18:20" x14ac:dyDescent="0.3">
      <c r="R12122" s="255"/>
      <c r="S12122" s="255"/>
      <c r="T12122" s="255"/>
    </row>
    <row r="12123" spans="18:20" x14ac:dyDescent="0.3">
      <c r="R12123" s="255"/>
      <c r="S12123" s="255"/>
      <c r="T12123" s="255"/>
    </row>
    <row r="12124" spans="18:20" x14ac:dyDescent="0.3">
      <c r="R12124" s="255"/>
      <c r="S12124" s="255"/>
      <c r="T12124" s="255"/>
    </row>
    <row r="12125" spans="18:20" x14ac:dyDescent="0.3">
      <c r="R12125" s="255"/>
      <c r="S12125" s="255"/>
      <c r="T12125" s="255"/>
    </row>
    <row r="12126" spans="18:20" x14ac:dyDescent="0.3">
      <c r="R12126" s="255"/>
      <c r="S12126" s="255"/>
      <c r="T12126" s="255"/>
    </row>
    <row r="12127" spans="18:20" x14ac:dyDescent="0.3">
      <c r="R12127" s="255"/>
      <c r="S12127" s="255"/>
      <c r="T12127" s="255"/>
    </row>
    <row r="12128" spans="18:20" x14ac:dyDescent="0.3">
      <c r="R12128" s="255"/>
      <c r="S12128" s="255"/>
      <c r="T12128" s="255"/>
    </row>
    <row r="12129" spans="18:20" x14ac:dyDescent="0.3">
      <c r="R12129" s="255"/>
      <c r="S12129" s="255"/>
      <c r="T12129" s="255"/>
    </row>
    <row r="12130" spans="18:20" x14ac:dyDescent="0.3">
      <c r="R12130" s="255"/>
      <c r="S12130" s="255"/>
      <c r="T12130" s="255"/>
    </row>
    <row r="12131" spans="18:20" x14ac:dyDescent="0.3">
      <c r="R12131" s="255"/>
      <c r="S12131" s="255"/>
      <c r="T12131" s="255"/>
    </row>
    <row r="12132" spans="18:20" x14ac:dyDescent="0.3">
      <c r="R12132" s="255"/>
      <c r="S12132" s="255"/>
      <c r="T12132" s="255"/>
    </row>
    <row r="12133" spans="18:20" x14ac:dyDescent="0.3">
      <c r="R12133" s="255"/>
      <c r="S12133" s="255"/>
      <c r="T12133" s="255"/>
    </row>
    <row r="12134" spans="18:20" x14ac:dyDescent="0.3">
      <c r="R12134" s="255"/>
      <c r="S12134" s="255"/>
      <c r="T12134" s="255"/>
    </row>
    <row r="12135" spans="18:20" x14ac:dyDescent="0.3">
      <c r="R12135" s="255"/>
      <c r="S12135" s="255"/>
      <c r="T12135" s="255"/>
    </row>
    <row r="12136" spans="18:20" x14ac:dyDescent="0.3">
      <c r="R12136" s="255"/>
      <c r="S12136" s="255"/>
      <c r="T12136" s="255"/>
    </row>
    <row r="12137" spans="18:20" x14ac:dyDescent="0.3">
      <c r="R12137" s="255"/>
      <c r="S12137" s="255"/>
      <c r="T12137" s="255"/>
    </row>
    <row r="12138" spans="18:20" x14ac:dyDescent="0.3">
      <c r="R12138" s="255"/>
      <c r="S12138" s="255"/>
      <c r="T12138" s="255"/>
    </row>
    <row r="12139" spans="18:20" x14ac:dyDescent="0.3">
      <c r="R12139" s="255"/>
      <c r="S12139" s="255"/>
      <c r="T12139" s="255"/>
    </row>
    <row r="12140" spans="18:20" x14ac:dyDescent="0.3">
      <c r="R12140" s="255"/>
      <c r="S12140" s="255"/>
      <c r="T12140" s="255"/>
    </row>
    <row r="12141" spans="18:20" x14ac:dyDescent="0.3">
      <c r="R12141" s="255"/>
      <c r="S12141" s="255"/>
      <c r="T12141" s="255"/>
    </row>
    <row r="12142" spans="18:20" x14ac:dyDescent="0.3">
      <c r="R12142" s="255"/>
      <c r="S12142" s="255"/>
      <c r="T12142" s="255"/>
    </row>
    <row r="12143" spans="18:20" x14ac:dyDescent="0.3">
      <c r="R12143" s="255"/>
      <c r="S12143" s="255"/>
      <c r="T12143" s="255"/>
    </row>
    <row r="12144" spans="18:20" x14ac:dyDescent="0.3">
      <c r="R12144" s="255"/>
      <c r="S12144" s="255"/>
      <c r="T12144" s="255"/>
    </row>
    <row r="12145" spans="18:20" x14ac:dyDescent="0.3">
      <c r="R12145" s="255"/>
      <c r="S12145" s="255"/>
      <c r="T12145" s="255"/>
    </row>
    <row r="12146" spans="18:20" x14ac:dyDescent="0.3">
      <c r="R12146" s="255"/>
      <c r="S12146" s="255"/>
      <c r="T12146" s="255"/>
    </row>
    <row r="12147" spans="18:20" x14ac:dyDescent="0.3">
      <c r="R12147" s="255"/>
      <c r="S12147" s="255"/>
      <c r="T12147" s="255"/>
    </row>
    <row r="12148" spans="18:20" x14ac:dyDescent="0.3">
      <c r="R12148" s="255"/>
      <c r="S12148" s="255"/>
      <c r="T12148" s="255"/>
    </row>
    <row r="12149" spans="18:20" x14ac:dyDescent="0.3">
      <c r="R12149" s="255"/>
      <c r="S12149" s="255"/>
      <c r="T12149" s="255"/>
    </row>
    <row r="12150" spans="18:20" x14ac:dyDescent="0.3">
      <c r="R12150" s="255"/>
      <c r="S12150" s="255"/>
      <c r="T12150" s="255"/>
    </row>
    <row r="12151" spans="18:20" x14ac:dyDescent="0.3">
      <c r="R12151" s="255"/>
      <c r="S12151" s="255"/>
      <c r="T12151" s="255"/>
    </row>
    <row r="12152" spans="18:20" x14ac:dyDescent="0.3">
      <c r="R12152" s="255"/>
      <c r="S12152" s="255"/>
      <c r="T12152" s="255"/>
    </row>
    <row r="12153" spans="18:20" x14ac:dyDescent="0.3">
      <c r="R12153" s="255"/>
      <c r="S12153" s="255"/>
      <c r="T12153" s="255"/>
    </row>
    <row r="12154" spans="18:20" x14ac:dyDescent="0.3">
      <c r="R12154" s="255"/>
      <c r="S12154" s="255"/>
      <c r="T12154" s="255"/>
    </row>
    <row r="12155" spans="18:20" x14ac:dyDescent="0.3">
      <c r="R12155" s="255"/>
      <c r="S12155" s="255"/>
      <c r="T12155" s="255"/>
    </row>
    <row r="12156" spans="18:20" x14ac:dyDescent="0.3">
      <c r="R12156" s="255"/>
      <c r="S12156" s="255"/>
      <c r="T12156" s="255"/>
    </row>
    <row r="12157" spans="18:20" x14ac:dyDescent="0.3">
      <c r="R12157" s="255"/>
      <c r="S12157" s="255"/>
      <c r="T12157" s="255"/>
    </row>
    <row r="12158" spans="18:20" x14ac:dyDescent="0.3">
      <c r="R12158" s="255"/>
      <c r="S12158" s="255"/>
      <c r="T12158" s="255"/>
    </row>
    <row r="12159" spans="18:20" x14ac:dyDescent="0.3">
      <c r="R12159" s="255"/>
      <c r="S12159" s="255"/>
      <c r="T12159" s="255"/>
    </row>
    <row r="12160" spans="18:20" x14ac:dyDescent="0.3">
      <c r="R12160" s="255"/>
      <c r="S12160" s="255"/>
      <c r="T12160" s="255"/>
    </row>
    <row r="12161" spans="18:20" x14ac:dyDescent="0.3">
      <c r="R12161" s="255"/>
      <c r="S12161" s="255"/>
      <c r="T12161" s="255"/>
    </row>
    <row r="12162" spans="18:20" x14ac:dyDescent="0.3">
      <c r="R12162" s="255"/>
      <c r="S12162" s="255"/>
      <c r="T12162" s="255"/>
    </row>
    <row r="12163" spans="18:20" x14ac:dyDescent="0.3">
      <c r="R12163" s="255"/>
      <c r="S12163" s="255"/>
      <c r="T12163" s="255"/>
    </row>
    <row r="12164" spans="18:20" x14ac:dyDescent="0.3">
      <c r="R12164" s="255"/>
      <c r="S12164" s="255"/>
      <c r="T12164" s="255"/>
    </row>
    <row r="12165" spans="18:20" x14ac:dyDescent="0.3">
      <c r="R12165" s="255"/>
      <c r="S12165" s="255"/>
      <c r="T12165" s="255"/>
    </row>
    <row r="12166" spans="18:20" x14ac:dyDescent="0.3">
      <c r="R12166" s="255"/>
      <c r="S12166" s="255"/>
      <c r="T12166" s="255"/>
    </row>
    <row r="12167" spans="18:20" x14ac:dyDescent="0.3">
      <c r="R12167" s="255"/>
      <c r="S12167" s="255"/>
      <c r="T12167" s="255"/>
    </row>
    <row r="12168" spans="18:20" x14ac:dyDescent="0.3">
      <c r="R12168" s="255"/>
      <c r="S12168" s="255"/>
      <c r="T12168" s="255"/>
    </row>
    <row r="12169" spans="18:20" x14ac:dyDescent="0.3">
      <c r="R12169" s="255"/>
      <c r="S12169" s="255"/>
      <c r="T12169" s="255"/>
    </row>
    <row r="12170" spans="18:20" x14ac:dyDescent="0.3">
      <c r="R12170" s="255"/>
      <c r="S12170" s="255"/>
      <c r="T12170" s="255"/>
    </row>
    <row r="12171" spans="18:20" x14ac:dyDescent="0.3">
      <c r="R12171" s="255"/>
      <c r="S12171" s="255"/>
      <c r="T12171" s="255"/>
    </row>
    <row r="12172" spans="18:20" x14ac:dyDescent="0.3">
      <c r="R12172" s="255"/>
      <c r="S12172" s="255"/>
      <c r="T12172" s="255"/>
    </row>
    <row r="12173" spans="18:20" x14ac:dyDescent="0.3">
      <c r="R12173" s="255"/>
      <c r="S12173" s="255"/>
      <c r="T12173" s="255"/>
    </row>
    <row r="12174" spans="18:20" x14ac:dyDescent="0.3">
      <c r="R12174" s="255"/>
      <c r="S12174" s="255"/>
      <c r="T12174" s="255"/>
    </row>
    <row r="12175" spans="18:20" x14ac:dyDescent="0.3">
      <c r="R12175" s="255"/>
      <c r="S12175" s="255"/>
      <c r="T12175" s="255"/>
    </row>
    <row r="12176" spans="18:20" x14ac:dyDescent="0.3">
      <c r="R12176" s="255"/>
      <c r="S12176" s="255"/>
      <c r="T12176" s="255"/>
    </row>
    <row r="12177" spans="18:20" x14ac:dyDescent="0.3">
      <c r="R12177" s="255"/>
      <c r="S12177" s="255"/>
      <c r="T12177" s="255"/>
    </row>
    <row r="12178" spans="18:20" x14ac:dyDescent="0.3">
      <c r="R12178" s="255"/>
      <c r="S12178" s="255"/>
      <c r="T12178" s="255"/>
    </row>
    <row r="12179" spans="18:20" x14ac:dyDescent="0.3">
      <c r="R12179" s="255"/>
      <c r="S12179" s="255"/>
      <c r="T12179" s="255"/>
    </row>
    <row r="12180" spans="18:20" x14ac:dyDescent="0.3">
      <c r="R12180" s="255"/>
      <c r="S12180" s="255"/>
      <c r="T12180" s="255"/>
    </row>
    <row r="12181" spans="18:20" x14ac:dyDescent="0.3">
      <c r="R12181" s="255"/>
      <c r="S12181" s="255"/>
      <c r="T12181" s="255"/>
    </row>
    <row r="12182" spans="18:20" x14ac:dyDescent="0.3">
      <c r="R12182" s="255"/>
      <c r="S12182" s="255"/>
      <c r="T12182" s="255"/>
    </row>
    <row r="12183" spans="18:20" x14ac:dyDescent="0.3">
      <c r="R12183" s="255"/>
      <c r="S12183" s="255"/>
      <c r="T12183" s="255"/>
    </row>
    <row r="12184" spans="18:20" x14ac:dyDescent="0.3">
      <c r="R12184" s="255"/>
      <c r="S12184" s="255"/>
      <c r="T12184" s="255"/>
    </row>
    <row r="12185" spans="18:20" x14ac:dyDescent="0.3">
      <c r="R12185" s="255"/>
      <c r="S12185" s="255"/>
      <c r="T12185" s="255"/>
    </row>
    <row r="12186" spans="18:20" x14ac:dyDescent="0.3">
      <c r="R12186" s="255"/>
      <c r="S12186" s="255"/>
      <c r="T12186" s="255"/>
    </row>
    <row r="12187" spans="18:20" x14ac:dyDescent="0.3">
      <c r="R12187" s="255"/>
      <c r="S12187" s="255"/>
      <c r="T12187" s="255"/>
    </row>
    <row r="12188" spans="18:20" x14ac:dyDescent="0.3">
      <c r="R12188" s="255"/>
      <c r="S12188" s="255"/>
      <c r="T12188" s="255"/>
    </row>
    <row r="12189" spans="18:20" x14ac:dyDescent="0.3">
      <c r="R12189" s="255"/>
      <c r="S12189" s="255"/>
      <c r="T12189" s="255"/>
    </row>
    <row r="12190" spans="18:20" x14ac:dyDescent="0.3">
      <c r="R12190" s="255"/>
      <c r="S12190" s="255"/>
      <c r="T12190" s="255"/>
    </row>
    <row r="12191" spans="18:20" x14ac:dyDescent="0.3">
      <c r="R12191" s="255"/>
      <c r="S12191" s="255"/>
      <c r="T12191" s="255"/>
    </row>
    <row r="12192" spans="18:20" x14ac:dyDescent="0.3">
      <c r="R12192" s="255"/>
      <c r="S12192" s="255"/>
      <c r="T12192" s="255"/>
    </row>
    <row r="12193" spans="18:20" x14ac:dyDescent="0.3">
      <c r="R12193" s="255"/>
      <c r="S12193" s="255"/>
      <c r="T12193" s="255"/>
    </row>
    <row r="12194" spans="18:20" x14ac:dyDescent="0.3">
      <c r="R12194" s="255"/>
      <c r="S12194" s="255"/>
      <c r="T12194" s="255"/>
    </row>
    <row r="12195" spans="18:20" x14ac:dyDescent="0.3">
      <c r="R12195" s="255"/>
      <c r="S12195" s="255"/>
      <c r="T12195" s="255"/>
    </row>
    <row r="12196" spans="18:20" x14ac:dyDescent="0.3">
      <c r="R12196" s="255"/>
      <c r="S12196" s="255"/>
      <c r="T12196" s="255"/>
    </row>
    <row r="12197" spans="18:20" x14ac:dyDescent="0.3">
      <c r="R12197" s="255"/>
      <c r="S12197" s="255"/>
      <c r="T12197" s="255"/>
    </row>
    <row r="12198" spans="18:20" x14ac:dyDescent="0.3">
      <c r="R12198" s="255"/>
      <c r="S12198" s="255"/>
      <c r="T12198" s="255"/>
    </row>
    <row r="12199" spans="18:20" x14ac:dyDescent="0.3">
      <c r="R12199" s="255"/>
      <c r="S12199" s="255"/>
      <c r="T12199" s="255"/>
    </row>
    <row r="12200" spans="18:20" x14ac:dyDescent="0.3">
      <c r="R12200" s="255"/>
      <c r="S12200" s="255"/>
      <c r="T12200" s="255"/>
    </row>
    <row r="12201" spans="18:20" x14ac:dyDescent="0.3">
      <c r="R12201" s="255"/>
      <c r="S12201" s="255"/>
      <c r="T12201" s="255"/>
    </row>
    <row r="12202" spans="18:20" x14ac:dyDescent="0.3">
      <c r="R12202" s="255"/>
      <c r="S12202" s="255"/>
      <c r="T12202" s="255"/>
    </row>
    <row r="12203" spans="18:20" x14ac:dyDescent="0.3">
      <c r="R12203" s="255"/>
      <c r="S12203" s="255"/>
      <c r="T12203" s="255"/>
    </row>
    <row r="12204" spans="18:20" x14ac:dyDescent="0.3">
      <c r="R12204" s="255"/>
      <c r="S12204" s="255"/>
      <c r="T12204" s="255"/>
    </row>
    <row r="12205" spans="18:20" x14ac:dyDescent="0.3">
      <c r="R12205" s="255"/>
      <c r="S12205" s="255"/>
      <c r="T12205" s="255"/>
    </row>
    <row r="12206" spans="18:20" x14ac:dyDescent="0.3">
      <c r="R12206" s="255"/>
      <c r="S12206" s="255"/>
      <c r="T12206" s="255"/>
    </row>
    <row r="12207" spans="18:20" x14ac:dyDescent="0.3">
      <c r="R12207" s="255"/>
      <c r="S12207" s="255"/>
      <c r="T12207" s="255"/>
    </row>
    <row r="12208" spans="18:20" x14ac:dyDescent="0.3">
      <c r="R12208" s="255"/>
      <c r="S12208" s="255"/>
      <c r="T12208" s="255"/>
    </row>
    <row r="12209" spans="18:20" x14ac:dyDescent="0.3">
      <c r="R12209" s="255"/>
      <c r="S12209" s="255"/>
      <c r="T12209" s="255"/>
    </row>
    <row r="12210" spans="18:20" x14ac:dyDescent="0.3">
      <c r="R12210" s="255"/>
      <c r="S12210" s="255"/>
      <c r="T12210" s="255"/>
    </row>
    <row r="12211" spans="18:20" x14ac:dyDescent="0.3">
      <c r="R12211" s="255"/>
      <c r="S12211" s="255"/>
      <c r="T12211" s="255"/>
    </row>
    <row r="12212" spans="18:20" x14ac:dyDescent="0.3">
      <c r="R12212" s="255"/>
      <c r="S12212" s="255"/>
      <c r="T12212" s="255"/>
    </row>
    <row r="12213" spans="18:20" x14ac:dyDescent="0.3">
      <c r="R12213" s="255"/>
      <c r="S12213" s="255"/>
      <c r="T12213" s="255"/>
    </row>
    <row r="12214" spans="18:20" x14ac:dyDescent="0.3">
      <c r="R12214" s="255"/>
      <c r="S12214" s="255"/>
      <c r="T12214" s="255"/>
    </row>
    <row r="12215" spans="18:20" x14ac:dyDescent="0.3">
      <c r="R12215" s="255"/>
      <c r="S12215" s="255"/>
      <c r="T12215" s="255"/>
    </row>
    <row r="12216" spans="18:20" x14ac:dyDescent="0.3">
      <c r="R12216" s="255"/>
      <c r="S12216" s="255"/>
      <c r="T12216" s="255"/>
    </row>
    <row r="12217" spans="18:20" x14ac:dyDescent="0.3">
      <c r="R12217" s="255"/>
      <c r="S12217" s="255"/>
      <c r="T12217" s="255"/>
    </row>
    <row r="12218" spans="18:20" x14ac:dyDescent="0.3">
      <c r="R12218" s="255"/>
      <c r="S12218" s="255"/>
      <c r="T12218" s="255"/>
    </row>
    <row r="12219" spans="18:20" x14ac:dyDescent="0.3">
      <c r="R12219" s="255"/>
      <c r="S12219" s="255"/>
      <c r="T12219" s="255"/>
    </row>
    <row r="12220" spans="18:20" x14ac:dyDescent="0.3">
      <c r="R12220" s="255"/>
      <c r="S12220" s="255"/>
      <c r="T12220" s="255"/>
    </row>
    <row r="12221" spans="18:20" x14ac:dyDescent="0.3">
      <c r="R12221" s="255"/>
      <c r="S12221" s="255"/>
      <c r="T12221" s="255"/>
    </row>
    <row r="12222" spans="18:20" x14ac:dyDescent="0.3">
      <c r="R12222" s="255"/>
      <c r="S12222" s="255"/>
      <c r="T12222" s="255"/>
    </row>
    <row r="12223" spans="18:20" x14ac:dyDescent="0.3">
      <c r="R12223" s="255"/>
      <c r="S12223" s="255"/>
      <c r="T12223" s="255"/>
    </row>
    <row r="12224" spans="18:20" x14ac:dyDescent="0.3">
      <c r="R12224" s="255"/>
      <c r="S12224" s="255"/>
      <c r="T12224" s="255"/>
    </row>
    <row r="12225" spans="18:20" x14ac:dyDescent="0.3">
      <c r="R12225" s="255"/>
      <c r="S12225" s="255"/>
      <c r="T12225" s="255"/>
    </row>
    <row r="12226" spans="18:20" x14ac:dyDescent="0.3">
      <c r="R12226" s="255"/>
      <c r="S12226" s="255"/>
      <c r="T12226" s="255"/>
    </row>
    <row r="12227" spans="18:20" x14ac:dyDescent="0.3">
      <c r="R12227" s="255"/>
      <c r="S12227" s="255"/>
      <c r="T12227" s="255"/>
    </row>
    <row r="12228" spans="18:20" x14ac:dyDescent="0.3">
      <c r="R12228" s="255"/>
      <c r="S12228" s="255"/>
      <c r="T12228" s="255"/>
    </row>
    <row r="12229" spans="18:20" x14ac:dyDescent="0.3">
      <c r="R12229" s="255"/>
      <c r="S12229" s="255"/>
      <c r="T12229" s="255"/>
    </row>
    <row r="12230" spans="18:20" x14ac:dyDescent="0.3">
      <c r="R12230" s="255"/>
      <c r="S12230" s="255"/>
      <c r="T12230" s="255"/>
    </row>
    <row r="12231" spans="18:20" x14ac:dyDescent="0.3">
      <c r="R12231" s="255"/>
      <c r="S12231" s="255"/>
      <c r="T12231" s="255"/>
    </row>
    <row r="12232" spans="18:20" x14ac:dyDescent="0.3">
      <c r="R12232" s="255"/>
      <c r="S12232" s="255"/>
      <c r="T12232" s="255"/>
    </row>
    <row r="12233" spans="18:20" x14ac:dyDescent="0.3">
      <c r="R12233" s="255"/>
      <c r="S12233" s="255"/>
      <c r="T12233" s="255"/>
    </row>
    <row r="12234" spans="18:20" x14ac:dyDescent="0.3">
      <c r="R12234" s="255"/>
      <c r="S12234" s="255"/>
      <c r="T12234" s="255"/>
    </row>
    <row r="12235" spans="18:20" x14ac:dyDescent="0.3">
      <c r="R12235" s="255"/>
      <c r="S12235" s="255"/>
      <c r="T12235" s="255"/>
    </row>
    <row r="12236" spans="18:20" x14ac:dyDescent="0.3">
      <c r="R12236" s="255"/>
      <c r="S12236" s="255"/>
      <c r="T12236" s="255"/>
    </row>
    <row r="12237" spans="18:20" x14ac:dyDescent="0.3">
      <c r="R12237" s="255"/>
      <c r="S12237" s="255"/>
      <c r="T12237" s="255"/>
    </row>
    <row r="12238" spans="18:20" x14ac:dyDescent="0.3">
      <c r="R12238" s="255"/>
      <c r="S12238" s="255"/>
      <c r="T12238" s="255"/>
    </row>
    <row r="12239" spans="18:20" x14ac:dyDescent="0.3">
      <c r="R12239" s="255"/>
      <c r="S12239" s="255"/>
      <c r="T12239" s="255"/>
    </row>
    <row r="12240" spans="18:20" x14ac:dyDescent="0.3">
      <c r="R12240" s="255"/>
      <c r="S12240" s="255"/>
      <c r="T12240" s="255"/>
    </row>
    <row r="12241" spans="18:20" x14ac:dyDescent="0.3">
      <c r="R12241" s="255"/>
      <c r="S12241" s="255"/>
      <c r="T12241" s="255"/>
    </row>
    <row r="12242" spans="18:20" x14ac:dyDescent="0.3">
      <c r="R12242" s="255"/>
      <c r="S12242" s="255"/>
      <c r="T12242" s="255"/>
    </row>
    <row r="12243" spans="18:20" x14ac:dyDescent="0.3">
      <c r="R12243" s="255"/>
      <c r="S12243" s="255"/>
      <c r="T12243" s="255"/>
    </row>
    <row r="12244" spans="18:20" x14ac:dyDescent="0.3">
      <c r="R12244" s="255"/>
      <c r="S12244" s="255"/>
      <c r="T12244" s="255"/>
    </row>
    <row r="12245" spans="18:20" x14ac:dyDescent="0.3">
      <c r="R12245" s="255"/>
      <c r="S12245" s="255"/>
      <c r="T12245" s="255"/>
    </row>
    <row r="12246" spans="18:20" x14ac:dyDescent="0.3">
      <c r="R12246" s="255"/>
      <c r="S12246" s="255"/>
      <c r="T12246" s="255"/>
    </row>
    <row r="12247" spans="18:20" x14ac:dyDescent="0.3">
      <c r="R12247" s="255"/>
      <c r="S12247" s="255"/>
      <c r="T12247" s="255"/>
    </row>
    <row r="12248" spans="18:20" x14ac:dyDescent="0.3">
      <c r="R12248" s="255"/>
      <c r="S12248" s="255"/>
      <c r="T12248" s="255"/>
    </row>
    <row r="12249" spans="18:20" x14ac:dyDescent="0.3">
      <c r="R12249" s="255"/>
      <c r="S12249" s="255"/>
      <c r="T12249" s="255"/>
    </row>
    <row r="12250" spans="18:20" x14ac:dyDescent="0.3">
      <c r="R12250" s="255"/>
      <c r="S12250" s="255"/>
      <c r="T12250" s="255"/>
    </row>
    <row r="12251" spans="18:20" x14ac:dyDescent="0.3">
      <c r="R12251" s="255"/>
      <c r="S12251" s="255"/>
      <c r="T12251" s="255"/>
    </row>
    <row r="12252" spans="18:20" x14ac:dyDescent="0.3">
      <c r="R12252" s="255"/>
      <c r="S12252" s="255"/>
      <c r="T12252" s="255"/>
    </row>
    <row r="12253" spans="18:20" x14ac:dyDescent="0.3">
      <c r="R12253" s="255"/>
      <c r="S12253" s="255"/>
      <c r="T12253" s="255"/>
    </row>
    <row r="12254" spans="18:20" x14ac:dyDescent="0.3">
      <c r="R12254" s="255"/>
      <c r="S12254" s="255"/>
      <c r="T12254" s="255"/>
    </row>
    <row r="12255" spans="18:20" x14ac:dyDescent="0.3">
      <c r="R12255" s="255"/>
      <c r="S12255" s="255"/>
      <c r="T12255" s="255"/>
    </row>
    <row r="12256" spans="18:20" x14ac:dyDescent="0.3">
      <c r="R12256" s="255"/>
      <c r="S12256" s="255"/>
      <c r="T12256" s="255"/>
    </row>
    <row r="12257" spans="18:20" x14ac:dyDescent="0.3">
      <c r="R12257" s="255"/>
      <c r="S12257" s="255"/>
      <c r="T12257" s="255"/>
    </row>
    <row r="12258" spans="18:20" x14ac:dyDescent="0.3">
      <c r="R12258" s="255"/>
      <c r="S12258" s="255"/>
      <c r="T12258" s="255"/>
    </row>
    <row r="12259" spans="18:20" x14ac:dyDescent="0.3">
      <c r="R12259" s="255"/>
      <c r="S12259" s="255"/>
      <c r="T12259" s="255"/>
    </row>
    <row r="12260" spans="18:20" x14ac:dyDescent="0.3">
      <c r="R12260" s="255"/>
      <c r="S12260" s="255"/>
      <c r="T12260" s="255"/>
    </row>
    <row r="12261" spans="18:20" x14ac:dyDescent="0.3">
      <c r="R12261" s="255"/>
      <c r="S12261" s="255"/>
      <c r="T12261" s="255"/>
    </row>
    <row r="12262" spans="18:20" x14ac:dyDescent="0.3">
      <c r="R12262" s="255"/>
      <c r="S12262" s="255"/>
      <c r="T12262" s="255"/>
    </row>
    <row r="12263" spans="18:20" x14ac:dyDescent="0.3">
      <c r="R12263" s="255"/>
      <c r="S12263" s="255"/>
      <c r="T12263" s="255"/>
    </row>
    <row r="12264" spans="18:20" x14ac:dyDescent="0.3">
      <c r="R12264" s="255"/>
      <c r="S12264" s="255"/>
      <c r="T12264" s="255"/>
    </row>
    <row r="12265" spans="18:20" x14ac:dyDescent="0.3">
      <c r="R12265" s="255"/>
      <c r="S12265" s="255"/>
      <c r="T12265" s="255"/>
    </row>
    <row r="12266" spans="18:20" x14ac:dyDescent="0.3">
      <c r="R12266" s="255"/>
      <c r="S12266" s="255"/>
      <c r="T12266" s="255"/>
    </row>
    <row r="12267" spans="18:20" x14ac:dyDescent="0.3">
      <c r="R12267" s="255"/>
      <c r="S12267" s="255"/>
      <c r="T12267" s="255"/>
    </row>
    <row r="12268" spans="18:20" x14ac:dyDescent="0.3">
      <c r="R12268" s="255"/>
      <c r="S12268" s="255"/>
      <c r="T12268" s="255"/>
    </row>
    <row r="12269" spans="18:20" x14ac:dyDescent="0.3">
      <c r="R12269" s="255"/>
      <c r="S12269" s="255"/>
      <c r="T12269" s="255"/>
    </row>
    <row r="12270" spans="18:20" x14ac:dyDescent="0.3">
      <c r="R12270" s="255"/>
      <c r="S12270" s="255"/>
      <c r="T12270" s="255"/>
    </row>
    <row r="12271" spans="18:20" x14ac:dyDescent="0.3">
      <c r="R12271" s="255"/>
      <c r="S12271" s="255"/>
      <c r="T12271" s="255"/>
    </row>
    <row r="12272" spans="18:20" x14ac:dyDescent="0.3">
      <c r="R12272" s="255"/>
      <c r="S12272" s="255"/>
      <c r="T12272" s="255"/>
    </row>
    <row r="12273" spans="18:20" x14ac:dyDescent="0.3">
      <c r="R12273" s="255"/>
      <c r="S12273" s="255"/>
      <c r="T12273" s="255"/>
    </row>
    <row r="12274" spans="18:20" x14ac:dyDescent="0.3">
      <c r="R12274" s="255"/>
      <c r="S12274" s="255"/>
      <c r="T12274" s="255"/>
    </row>
    <row r="12275" spans="18:20" x14ac:dyDescent="0.3">
      <c r="R12275" s="255"/>
      <c r="S12275" s="255"/>
      <c r="T12275" s="255"/>
    </row>
    <row r="12276" spans="18:20" x14ac:dyDescent="0.3">
      <c r="R12276" s="255"/>
      <c r="S12276" s="255"/>
      <c r="T12276" s="255"/>
    </row>
    <row r="12277" spans="18:20" x14ac:dyDescent="0.3">
      <c r="R12277" s="255"/>
      <c r="S12277" s="255"/>
      <c r="T12277" s="255"/>
    </row>
    <row r="12278" spans="18:20" x14ac:dyDescent="0.3">
      <c r="R12278" s="255"/>
      <c r="S12278" s="255"/>
      <c r="T12278" s="255"/>
    </row>
    <row r="12279" spans="18:20" x14ac:dyDescent="0.3">
      <c r="R12279" s="255"/>
      <c r="S12279" s="255"/>
      <c r="T12279" s="255"/>
    </row>
    <row r="12280" spans="18:20" x14ac:dyDescent="0.3">
      <c r="R12280" s="255"/>
      <c r="S12280" s="255"/>
      <c r="T12280" s="255"/>
    </row>
    <row r="12281" spans="18:20" x14ac:dyDescent="0.3">
      <c r="R12281" s="255"/>
      <c r="S12281" s="255"/>
      <c r="T12281" s="255"/>
    </row>
    <row r="12282" spans="18:20" x14ac:dyDescent="0.3">
      <c r="R12282" s="255"/>
      <c r="S12282" s="255"/>
      <c r="T12282" s="255"/>
    </row>
    <row r="12283" spans="18:20" x14ac:dyDescent="0.3">
      <c r="R12283" s="255"/>
      <c r="S12283" s="255"/>
      <c r="T12283" s="255"/>
    </row>
    <row r="12284" spans="18:20" x14ac:dyDescent="0.3">
      <c r="R12284" s="255"/>
      <c r="S12284" s="255"/>
      <c r="T12284" s="255"/>
    </row>
    <row r="12285" spans="18:20" x14ac:dyDescent="0.3">
      <c r="R12285" s="255"/>
      <c r="S12285" s="255"/>
      <c r="T12285" s="255"/>
    </row>
    <row r="12286" spans="18:20" x14ac:dyDescent="0.3">
      <c r="R12286" s="255"/>
      <c r="S12286" s="255"/>
      <c r="T12286" s="255"/>
    </row>
    <row r="12287" spans="18:20" x14ac:dyDescent="0.3">
      <c r="R12287" s="255"/>
      <c r="S12287" s="255"/>
      <c r="T12287" s="255"/>
    </row>
    <row r="12288" spans="18:20" x14ac:dyDescent="0.3">
      <c r="R12288" s="255"/>
      <c r="S12288" s="255"/>
      <c r="T12288" s="255"/>
    </row>
    <row r="12289" spans="18:20" x14ac:dyDescent="0.3">
      <c r="R12289" s="255"/>
      <c r="S12289" s="255"/>
      <c r="T12289" s="255"/>
    </row>
    <row r="12290" spans="18:20" x14ac:dyDescent="0.3">
      <c r="R12290" s="255"/>
      <c r="S12290" s="255"/>
      <c r="T12290" s="255"/>
    </row>
    <row r="12291" spans="18:20" x14ac:dyDescent="0.3">
      <c r="R12291" s="255"/>
      <c r="S12291" s="255"/>
      <c r="T12291" s="255"/>
    </row>
    <row r="12292" spans="18:20" x14ac:dyDescent="0.3">
      <c r="R12292" s="255"/>
      <c r="S12292" s="255"/>
      <c r="T12292" s="255"/>
    </row>
    <row r="12293" spans="18:20" x14ac:dyDescent="0.3">
      <c r="R12293" s="255"/>
      <c r="S12293" s="255"/>
      <c r="T12293" s="255"/>
    </row>
    <row r="12294" spans="18:20" x14ac:dyDescent="0.3">
      <c r="R12294" s="255"/>
      <c r="S12294" s="255"/>
      <c r="T12294" s="255"/>
    </row>
    <row r="12295" spans="18:20" x14ac:dyDescent="0.3">
      <c r="R12295" s="255"/>
      <c r="S12295" s="255"/>
      <c r="T12295" s="255"/>
    </row>
    <row r="12296" spans="18:20" x14ac:dyDescent="0.3">
      <c r="R12296" s="255"/>
      <c r="S12296" s="255"/>
      <c r="T12296" s="255"/>
    </row>
    <row r="12297" spans="18:20" x14ac:dyDescent="0.3">
      <c r="R12297" s="255"/>
      <c r="S12297" s="255"/>
      <c r="T12297" s="255"/>
    </row>
    <row r="12298" spans="18:20" x14ac:dyDescent="0.3">
      <c r="R12298" s="255"/>
      <c r="S12298" s="255"/>
      <c r="T12298" s="255"/>
    </row>
    <row r="12299" spans="18:20" x14ac:dyDescent="0.3">
      <c r="R12299" s="255"/>
      <c r="S12299" s="255"/>
      <c r="T12299" s="255"/>
    </row>
    <row r="12300" spans="18:20" x14ac:dyDescent="0.3">
      <c r="R12300" s="255"/>
      <c r="S12300" s="255"/>
      <c r="T12300" s="255"/>
    </row>
    <row r="12301" spans="18:20" x14ac:dyDescent="0.3">
      <c r="R12301" s="255"/>
      <c r="S12301" s="255"/>
      <c r="T12301" s="255"/>
    </row>
    <row r="12302" spans="18:20" x14ac:dyDescent="0.3">
      <c r="R12302" s="255"/>
      <c r="S12302" s="255"/>
      <c r="T12302" s="255"/>
    </row>
    <row r="12303" spans="18:20" x14ac:dyDescent="0.3">
      <c r="R12303" s="255"/>
      <c r="S12303" s="255"/>
      <c r="T12303" s="255"/>
    </row>
    <row r="12304" spans="18:20" x14ac:dyDescent="0.3">
      <c r="R12304" s="255"/>
      <c r="S12304" s="255"/>
      <c r="T12304" s="255"/>
    </row>
    <row r="12305" spans="18:20" x14ac:dyDescent="0.3">
      <c r="R12305" s="255"/>
      <c r="S12305" s="255"/>
      <c r="T12305" s="255"/>
    </row>
    <row r="12306" spans="18:20" x14ac:dyDescent="0.3">
      <c r="R12306" s="255"/>
      <c r="S12306" s="255"/>
      <c r="T12306" s="255"/>
    </row>
    <row r="12307" spans="18:20" x14ac:dyDescent="0.3">
      <c r="R12307" s="255"/>
      <c r="S12307" s="255"/>
      <c r="T12307" s="255"/>
    </row>
    <row r="12308" spans="18:20" x14ac:dyDescent="0.3">
      <c r="R12308" s="255"/>
      <c r="S12308" s="255"/>
      <c r="T12308" s="255"/>
    </row>
    <row r="12309" spans="18:20" x14ac:dyDescent="0.3">
      <c r="R12309" s="255"/>
      <c r="S12309" s="255"/>
      <c r="T12309" s="255"/>
    </row>
    <row r="12310" spans="18:20" x14ac:dyDescent="0.3">
      <c r="R12310" s="255"/>
      <c r="S12310" s="255"/>
      <c r="T12310" s="255"/>
    </row>
    <row r="12311" spans="18:20" x14ac:dyDescent="0.3">
      <c r="R12311" s="255"/>
      <c r="S12311" s="255"/>
      <c r="T12311" s="255"/>
    </row>
    <row r="12312" spans="18:20" x14ac:dyDescent="0.3">
      <c r="R12312" s="255"/>
      <c r="S12312" s="255"/>
      <c r="T12312" s="255"/>
    </row>
    <row r="12313" spans="18:20" x14ac:dyDescent="0.3">
      <c r="R12313" s="255"/>
      <c r="S12313" s="255"/>
      <c r="T12313" s="255"/>
    </row>
    <row r="12314" spans="18:20" x14ac:dyDescent="0.3">
      <c r="R12314" s="255"/>
      <c r="S12314" s="255"/>
      <c r="T12314" s="255"/>
    </row>
    <row r="12315" spans="18:20" x14ac:dyDescent="0.3">
      <c r="R12315" s="255"/>
      <c r="S12315" s="255"/>
      <c r="T12315" s="255"/>
    </row>
    <row r="12316" spans="18:20" x14ac:dyDescent="0.3">
      <c r="R12316" s="255"/>
      <c r="S12316" s="255"/>
      <c r="T12316" s="255"/>
    </row>
    <row r="12317" spans="18:20" x14ac:dyDescent="0.3">
      <c r="R12317" s="255"/>
      <c r="S12317" s="255"/>
      <c r="T12317" s="255"/>
    </row>
    <row r="12318" spans="18:20" x14ac:dyDescent="0.3">
      <c r="R12318" s="255"/>
      <c r="S12318" s="255"/>
      <c r="T12318" s="255"/>
    </row>
    <row r="12319" spans="18:20" x14ac:dyDescent="0.3">
      <c r="R12319" s="255"/>
      <c r="S12319" s="255"/>
      <c r="T12319" s="255"/>
    </row>
    <row r="12320" spans="18:20" x14ac:dyDescent="0.3">
      <c r="R12320" s="255"/>
      <c r="S12320" s="255"/>
      <c r="T12320" s="255"/>
    </row>
    <row r="12321" spans="18:20" x14ac:dyDescent="0.3">
      <c r="R12321" s="255"/>
      <c r="S12321" s="255"/>
      <c r="T12321" s="255"/>
    </row>
    <row r="12322" spans="18:20" x14ac:dyDescent="0.3">
      <c r="R12322" s="255"/>
      <c r="S12322" s="255"/>
      <c r="T12322" s="255"/>
    </row>
    <row r="12323" spans="18:20" x14ac:dyDescent="0.3">
      <c r="R12323" s="255"/>
      <c r="S12323" s="255"/>
      <c r="T12323" s="255"/>
    </row>
    <row r="12324" spans="18:20" x14ac:dyDescent="0.3">
      <c r="R12324" s="255"/>
      <c r="S12324" s="255"/>
      <c r="T12324" s="255"/>
    </row>
    <row r="12325" spans="18:20" x14ac:dyDescent="0.3">
      <c r="R12325" s="255"/>
      <c r="S12325" s="255"/>
      <c r="T12325" s="255"/>
    </row>
    <row r="12326" spans="18:20" x14ac:dyDescent="0.3">
      <c r="R12326" s="255"/>
      <c r="S12326" s="255"/>
      <c r="T12326" s="255"/>
    </row>
    <row r="12327" spans="18:20" x14ac:dyDescent="0.3">
      <c r="R12327" s="255"/>
      <c r="S12327" s="255"/>
      <c r="T12327" s="255"/>
    </row>
    <row r="12328" spans="18:20" x14ac:dyDescent="0.3">
      <c r="R12328" s="255"/>
      <c r="S12328" s="255"/>
      <c r="T12328" s="255"/>
    </row>
    <row r="12329" spans="18:20" x14ac:dyDescent="0.3">
      <c r="R12329" s="255"/>
      <c r="S12329" s="255"/>
      <c r="T12329" s="255"/>
    </row>
    <row r="12330" spans="18:20" x14ac:dyDescent="0.3">
      <c r="R12330" s="255"/>
      <c r="S12330" s="255"/>
      <c r="T12330" s="255"/>
    </row>
    <row r="12331" spans="18:20" x14ac:dyDescent="0.3">
      <c r="R12331" s="255"/>
      <c r="S12331" s="255"/>
      <c r="T12331" s="255"/>
    </row>
    <row r="12332" spans="18:20" x14ac:dyDescent="0.3">
      <c r="R12332" s="255"/>
      <c r="S12332" s="255"/>
      <c r="T12332" s="255"/>
    </row>
    <row r="12333" spans="18:20" x14ac:dyDescent="0.3">
      <c r="R12333" s="255"/>
      <c r="S12333" s="255"/>
      <c r="T12333" s="255"/>
    </row>
    <row r="12334" spans="18:20" x14ac:dyDescent="0.3">
      <c r="R12334" s="255"/>
      <c r="S12334" s="255"/>
      <c r="T12334" s="255"/>
    </row>
    <row r="12335" spans="18:20" x14ac:dyDescent="0.3">
      <c r="R12335" s="255"/>
      <c r="S12335" s="255"/>
      <c r="T12335" s="255"/>
    </row>
    <row r="12336" spans="18:20" x14ac:dyDescent="0.3">
      <c r="R12336" s="255"/>
      <c r="S12336" s="255"/>
      <c r="T12336" s="255"/>
    </row>
    <row r="12337" spans="18:20" x14ac:dyDescent="0.3">
      <c r="R12337" s="255"/>
      <c r="S12337" s="255"/>
      <c r="T12337" s="255"/>
    </row>
    <row r="12338" spans="18:20" x14ac:dyDescent="0.3">
      <c r="R12338" s="255"/>
      <c r="S12338" s="255"/>
      <c r="T12338" s="255"/>
    </row>
    <row r="12339" spans="18:20" x14ac:dyDescent="0.3">
      <c r="R12339" s="255"/>
      <c r="S12339" s="255"/>
      <c r="T12339" s="255"/>
    </row>
    <row r="12340" spans="18:20" x14ac:dyDescent="0.3">
      <c r="R12340" s="255"/>
      <c r="S12340" s="255"/>
      <c r="T12340" s="255"/>
    </row>
    <row r="12341" spans="18:20" x14ac:dyDescent="0.3">
      <c r="R12341" s="255"/>
      <c r="S12341" s="255"/>
      <c r="T12341" s="255"/>
    </row>
    <row r="12342" spans="18:20" x14ac:dyDescent="0.3">
      <c r="R12342" s="255"/>
      <c r="S12342" s="255"/>
      <c r="T12342" s="255"/>
    </row>
    <row r="12343" spans="18:20" x14ac:dyDescent="0.3">
      <c r="R12343" s="255"/>
      <c r="S12343" s="255"/>
      <c r="T12343" s="255"/>
    </row>
    <row r="12344" spans="18:20" x14ac:dyDescent="0.3">
      <c r="R12344" s="255"/>
      <c r="S12344" s="255"/>
      <c r="T12344" s="255"/>
    </row>
    <row r="12345" spans="18:20" x14ac:dyDescent="0.3">
      <c r="R12345" s="255"/>
      <c r="S12345" s="255"/>
      <c r="T12345" s="255"/>
    </row>
    <row r="12346" spans="18:20" x14ac:dyDescent="0.3">
      <c r="R12346" s="255"/>
      <c r="S12346" s="255"/>
      <c r="T12346" s="255"/>
    </row>
    <row r="12347" spans="18:20" x14ac:dyDescent="0.3">
      <c r="R12347" s="255"/>
      <c r="S12347" s="255"/>
      <c r="T12347" s="255"/>
    </row>
    <row r="12348" spans="18:20" x14ac:dyDescent="0.3">
      <c r="R12348" s="255"/>
      <c r="S12348" s="255"/>
      <c r="T12348" s="255"/>
    </row>
    <row r="12349" spans="18:20" x14ac:dyDescent="0.3">
      <c r="R12349" s="255"/>
      <c r="S12349" s="255"/>
      <c r="T12349" s="255"/>
    </row>
    <row r="12350" spans="18:20" x14ac:dyDescent="0.3">
      <c r="R12350" s="255"/>
      <c r="S12350" s="255"/>
      <c r="T12350" s="255"/>
    </row>
    <row r="12351" spans="18:20" x14ac:dyDescent="0.3">
      <c r="R12351" s="255"/>
      <c r="S12351" s="255"/>
      <c r="T12351" s="255"/>
    </row>
    <row r="12352" spans="18:20" x14ac:dyDescent="0.3">
      <c r="R12352" s="255"/>
      <c r="S12352" s="255"/>
      <c r="T12352" s="255"/>
    </row>
    <row r="12353" spans="18:20" x14ac:dyDescent="0.3">
      <c r="R12353" s="255"/>
      <c r="S12353" s="255"/>
      <c r="T12353" s="255"/>
    </row>
    <row r="12354" spans="18:20" x14ac:dyDescent="0.3">
      <c r="R12354" s="255"/>
      <c r="S12354" s="255"/>
      <c r="T12354" s="255"/>
    </row>
    <row r="12355" spans="18:20" x14ac:dyDescent="0.3">
      <c r="R12355" s="255"/>
      <c r="S12355" s="255"/>
      <c r="T12355" s="255"/>
    </row>
    <row r="12356" spans="18:20" x14ac:dyDescent="0.3">
      <c r="R12356" s="255"/>
      <c r="S12356" s="255"/>
      <c r="T12356" s="255"/>
    </row>
    <row r="12357" spans="18:20" x14ac:dyDescent="0.3">
      <c r="R12357" s="255"/>
      <c r="S12357" s="255"/>
      <c r="T12357" s="255"/>
    </row>
    <row r="12358" spans="18:20" x14ac:dyDescent="0.3">
      <c r="R12358" s="255"/>
      <c r="S12358" s="255"/>
      <c r="T12358" s="255"/>
    </row>
    <row r="12359" spans="18:20" x14ac:dyDescent="0.3">
      <c r="R12359" s="255"/>
      <c r="S12359" s="255"/>
      <c r="T12359" s="255"/>
    </row>
    <row r="12360" spans="18:20" x14ac:dyDescent="0.3">
      <c r="R12360" s="255"/>
      <c r="S12360" s="255"/>
      <c r="T12360" s="255"/>
    </row>
    <row r="12361" spans="18:20" x14ac:dyDescent="0.3">
      <c r="R12361" s="255"/>
      <c r="S12361" s="255"/>
      <c r="T12361" s="255"/>
    </row>
    <row r="12362" spans="18:20" x14ac:dyDescent="0.3">
      <c r="R12362" s="255"/>
      <c r="S12362" s="255"/>
      <c r="T12362" s="255"/>
    </row>
    <row r="12363" spans="18:20" x14ac:dyDescent="0.3">
      <c r="R12363" s="255"/>
      <c r="S12363" s="255"/>
      <c r="T12363" s="255"/>
    </row>
    <row r="12364" spans="18:20" x14ac:dyDescent="0.3">
      <c r="R12364" s="255"/>
      <c r="S12364" s="255"/>
      <c r="T12364" s="255"/>
    </row>
    <row r="12365" spans="18:20" x14ac:dyDescent="0.3">
      <c r="R12365" s="255"/>
      <c r="S12365" s="255"/>
      <c r="T12365" s="255"/>
    </row>
    <row r="12366" spans="18:20" x14ac:dyDescent="0.3">
      <c r="R12366" s="255"/>
      <c r="S12366" s="255"/>
      <c r="T12366" s="255"/>
    </row>
    <row r="12367" spans="18:20" x14ac:dyDescent="0.3">
      <c r="R12367" s="255"/>
      <c r="S12367" s="255"/>
      <c r="T12367" s="255"/>
    </row>
    <row r="12368" spans="18:20" x14ac:dyDescent="0.3">
      <c r="R12368" s="255"/>
      <c r="S12368" s="255"/>
      <c r="T12368" s="255"/>
    </row>
    <row r="12369" spans="18:20" x14ac:dyDescent="0.3">
      <c r="R12369" s="255"/>
      <c r="S12369" s="255"/>
      <c r="T12369" s="255"/>
    </row>
    <row r="12370" spans="18:20" x14ac:dyDescent="0.3">
      <c r="R12370" s="255"/>
      <c r="S12370" s="255"/>
      <c r="T12370" s="255"/>
    </row>
    <row r="12371" spans="18:20" x14ac:dyDescent="0.3">
      <c r="R12371" s="255"/>
      <c r="S12371" s="255"/>
      <c r="T12371" s="255"/>
    </row>
    <row r="12372" spans="18:20" x14ac:dyDescent="0.3">
      <c r="R12372" s="255"/>
      <c r="S12372" s="255"/>
      <c r="T12372" s="255"/>
    </row>
    <row r="12373" spans="18:20" x14ac:dyDescent="0.3">
      <c r="R12373" s="255"/>
      <c r="S12373" s="255"/>
      <c r="T12373" s="255"/>
    </row>
    <row r="12374" spans="18:20" x14ac:dyDescent="0.3">
      <c r="R12374" s="255"/>
      <c r="S12374" s="255"/>
      <c r="T12374" s="255"/>
    </row>
    <row r="12375" spans="18:20" x14ac:dyDescent="0.3">
      <c r="R12375" s="255"/>
      <c r="S12375" s="255"/>
      <c r="T12375" s="255"/>
    </row>
    <row r="12376" spans="18:20" x14ac:dyDescent="0.3">
      <c r="R12376" s="255"/>
      <c r="S12376" s="255"/>
      <c r="T12376" s="255"/>
    </row>
    <row r="12377" spans="18:20" x14ac:dyDescent="0.3">
      <c r="R12377" s="255"/>
      <c r="S12377" s="255"/>
      <c r="T12377" s="255"/>
    </row>
    <row r="12378" spans="18:20" x14ac:dyDescent="0.3">
      <c r="R12378" s="255"/>
      <c r="S12378" s="255"/>
      <c r="T12378" s="255"/>
    </row>
    <row r="12379" spans="18:20" x14ac:dyDescent="0.3">
      <c r="R12379" s="255"/>
      <c r="S12379" s="255"/>
      <c r="T12379" s="255"/>
    </row>
    <row r="12380" spans="18:20" x14ac:dyDescent="0.3">
      <c r="R12380" s="255"/>
      <c r="S12380" s="255"/>
      <c r="T12380" s="255"/>
    </row>
    <row r="12381" spans="18:20" x14ac:dyDescent="0.3">
      <c r="R12381" s="255"/>
      <c r="S12381" s="255"/>
      <c r="T12381" s="255"/>
    </row>
    <row r="12382" spans="18:20" x14ac:dyDescent="0.3">
      <c r="R12382" s="255"/>
      <c r="S12382" s="255"/>
      <c r="T12382" s="255"/>
    </row>
    <row r="12383" spans="18:20" x14ac:dyDescent="0.3">
      <c r="R12383" s="255"/>
      <c r="S12383" s="255"/>
      <c r="T12383" s="255"/>
    </row>
    <row r="12384" spans="18:20" x14ac:dyDescent="0.3">
      <c r="R12384" s="255"/>
      <c r="S12384" s="255"/>
      <c r="T12384" s="255"/>
    </row>
    <row r="12385" spans="18:20" x14ac:dyDescent="0.3">
      <c r="R12385" s="255"/>
      <c r="S12385" s="255"/>
      <c r="T12385" s="255"/>
    </row>
    <row r="12386" spans="18:20" x14ac:dyDescent="0.3">
      <c r="R12386" s="255"/>
      <c r="S12386" s="255"/>
      <c r="T12386" s="255"/>
    </row>
    <row r="12387" spans="18:20" x14ac:dyDescent="0.3">
      <c r="R12387" s="255"/>
      <c r="S12387" s="255"/>
      <c r="T12387" s="255"/>
    </row>
    <row r="12388" spans="18:20" x14ac:dyDescent="0.3">
      <c r="R12388" s="255"/>
      <c r="S12388" s="255"/>
      <c r="T12388" s="255"/>
    </row>
    <row r="12389" spans="18:20" x14ac:dyDescent="0.3">
      <c r="R12389" s="255"/>
      <c r="S12389" s="255"/>
      <c r="T12389" s="255"/>
    </row>
    <row r="12390" spans="18:20" x14ac:dyDescent="0.3">
      <c r="R12390" s="255"/>
      <c r="S12390" s="255"/>
      <c r="T12390" s="255"/>
    </row>
    <row r="12391" spans="18:20" x14ac:dyDescent="0.3">
      <c r="R12391" s="255"/>
      <c r="S12391" s="255"/>
      <c r="T12391" s="255"/>
    </row>
    <row r="12392" spans="18:20" x14ac:dyDescent="0.3">
      <c r="R12392" s="255"/>
      <c r="S12392" s="255"/>
      <c r="T12392" s="255"/>
    </row>
    <row r="12393" spans="18:20" x14ac:dyDescent="0.3">
      <c r="R12393" s="255"/>
      <c r="S12393" s="255"/>
      <c r="T12393" s="255"/>
    </row>
    <row r="12394" spans="18:20" x14ac:dyDescent="0.3">
      <c r="R12394" s="255"/>
      <c r="S12394" s="255"/>
      <c r="T12394" s="255"/>
    </row>
    <row r="12395" spans="18:20" x14ac:dyDescent="0.3">
      <c r="R12395" s="255"/>
      <c r="S12395" s="255"/>
      <c r="T12395" s="255"/>
    </row>
    <row r="12396" spans="18:20" x14ac:dyDescent="0.3">
      <c r="R12396" s="255"/>
      <c r="S12396" s="255"/>
      <c r="T12396" s="255"/>
    </row>
    <row r="12397" spans="18:20" x14ac:dyDescent="0.3">
      <c r="R12397" s="255"/>
      <c r="S12397" s="255"/>
      <c r="T12397" s="255"/>
    </row>
    <row r="12398" spans="18:20" x14ac:dyDescent="0.3">
      <c r="R12398" s="255"/>
      <c r="S12398" s="255"/>
      <c r="T12398" s="255"/>
    </row>
    <row r="12399" spans="18:20" x14ac:dyDescent="0.3">
      <c r="R12399" s="255"/>
      <c r="S12399" s="255"/>
      <c r="T12399" s="255"/>
    </row>
    <row r="12400" spans="18:20" x14ac:dyDescent="0.3">
      <c r="R12400" s="255"/>
      <c r="S12400" s="255"/>
      <c r="T12400" s="255"/>
    </row>
    <row r="12401" spans="18:20" x14ac:dyDescent="0.3">
      <c r="R12401" s="255"/>
      <c r="S12401" s="255"/>
      <c r="T12401" s="255"/>
    </row>
    <row r="12402" spans="18:20" x14ac:dyDescent="0.3">
      <c r="R12402" s="255"/>
      <c r="S12402" s="255"/>
      <c r="T12402" s="255"/>
    </row>
    <row r="12403" spans="18:20" x14ac:dyDescent="0.3">
      <c r="R12403" s="255"/>
      <c r="S12403" s="255"/>
      <c r="T12403" s="255"/>
    </row>
    <row r="12404" spans="18:20" x14ac:dyDescent="0.3">
      <c r="R12404" s="255"/>
      <c r="S12404" s="255"/>
      <c r="T12404" s="255"/>
    </row>
    <row r="12405" spans="18:20" x14ac:dyDescent="0.3">
      <c r="R12405" s="255"/>
      <c r="S12405" s="255"/>
      <c r="T12405" s="255"/>
    </row>
    <row r="12406" spans="18:20" x14ac:dyDescent="0.3">
      <c r="R12406" s="255"/>
      <c r="S12406" s="255"/>
      <c r="T12406" s="255"/>
    </row>
    <row r="12407" spans="18:20" x14ac:dyDescent="0.3">
      <c r="R12407" s="255"/>
      <c r="S12407" s="255"/>
      <c r="T12407" s="255"/>
    </row>
    <row r="12408" spans="18:20" x14ac:dyDescent="0.3">
      <c r="R12408" s="255"/>
      <c r="S12408" s="255"/>
      <c r="T12408" s="255"/>
    </row>
    <row r="12409" spans="18:20" x14ac:dyDescent="0.3">
      <c r="R12409" s="255"/>
      <c r="S12409" s="255"/>
      <c r="T12409" s="255"/>
    </row>
    <row r="12410" spans="18:20" x14ac:dyDescent="0.3">
      <c r="R12410" s="255"/>
      <c r="S12410" s="255"/>
      <c r="T12410" s="255"/>
    </row>
    <row r="12411" spans="18:20" x14ac:dyDescent="0.3">
      <c r="R12411" s="255"/>
      <c r="S12411" s="255"/>
      <c r="T12411" s="255"/>
    </row>
    <row r="12412" spans="18:20" x14ac:dyDescent="0.3">
      <c r="R12412" s="255"/>
      <c r="S12412" s="255"/>
      <c r="T12412" s="255"/>
    </row>
    <row r="12413" spans="18:20" x14ac:dyDescent="0.3">
      <c r="R12413" s="255"/>
      <c r="S12413" s="255"/>
      <c r="T12413" s="255"/>
    </row>
    <row r="12414" spans="18:20" x14ac:dyDescent="0.3">
      <c r="R12414" s="255"/>
      <c r="S12414" s="255"/>
      <c r="T12414" s="255"/>
    </row>
    <row r="12415" spans="18:20" x14ac:dyDescent="0.3">
      <c r="R12415" s="255"/>
      <c r="S12415" s="255"/>
      <c r="T12415" s="255"/>
    </row>
    <row r="12416" spans="18:20" x14ac:dyDescent="0.3">
      <c r="R12416" s="255"/>
      <c r="S12416" s="255"/>
      <c r="T12416" s="255"/>
    </row>
    <row r="12417" spans="18:20" x14ac:dyDescent="0.3">
      <c r="R12417" s="255"/>
      <c r="S12417" s="255"/>
      <c r="T12417" s="255"/>
    </row>
    <row r="12418" spans="18:20" x14ac:dyDescent="0.3">
      <c r="R12418" s="255"/>
      <c r="S12418" s="255"/>
      <c r="T12418" s="255"/>
    </row>
    <row r="12419" spans="18:20" x14ac:dyDescent="0.3">
      <c r="R12419" s="255"/>
      <c r="S12419" s="255"/>
      <c r="T12419" s="255"/>
    </row>
    <row r="12420" spans="18:20" x14ac:dyDescent="0.3">
      <c r="R12420" s="255"/>
      <c r="S12420" s="255"/>
      <c r="T12420" s="255"/>
    </row>
    <row r="12421" spans="18:20" x14ac:dyDescent="0.3">
      <c r="R12421" s="255"/>
      <c r="S12421" s="255"/>
      <c r="T12421" s="255"/>
    </row>
    <row r="12422" spans="18:20" x14ac:dyDescent="0.3">
      <c r="R12422" s="255"/>
      <c r="S12422" s="255"/>
      <c r="T12422" s="255"/>
    </row>
    <row r="12423" spans="18:20" x14ac:dyDescent="0.3">
      <c r="R12423" s="255"/>
      <c r="S12423" s="255"/>
      <c r="T12423" s="255"/>
    </row>
    <row r="12424" spans="18:20" x14ac:dyDescent="0.3">
      <c r="R12424" s="255"/>
      <c r="S12424" s="255"/>
      <c r="T12424" s="255"/>
    </row>
    <row r="12425" spans="18:20" x14ac:dyDescent="0.3">
      <c r="R12425" s="255"/>
      <c r="S12425" s="255"/>
      <c r="T12425" s="255"/>
    </row>
    <row r="12426" spans="18:20" x14ac:dyDescent="0.3">
      <c r="R12426" s="255"/>
      <c r="S12426" s="255"/>
      <c r="T12426" s="255"/>
    </row>
    <row r="12427" spans="18:20" x14ac:dyDescent="0.3">
      <c r="R12427" s="255"/>
      <c r="S12427" s="255"/>
      <c r="T12427" s="255"/>
    </row>
    <row r="12428" spans="18:20" x14ac:dyDescent="0.3">
      <c r="R12428" s="255"/>
      <c r="S12428" s="255"/>
      <c r="T12428" s="255"/>
    </row>
    <row r="12429" spans="18:20" x14ac:dyDescent="0.3">
      <c r="R12429" s="255"/>
      <c r="S12429" s="255"/>
      <c r="T12429" s="255"/>
    </row>
    <row r="12430" spans="18:20" x14ac:dyDescent="0.3">
      <c r="R12430" s="255"/>
      <c r="S12430" s="255"/>
      <c r="T12430" s="255"/>
    </row>
    <row r="12431" spans="18:20" x14ac:dyDescent="0.3">
      <c r="R12431" s="255"/>
      <c r="S12431" s="255"/>
      <c r="T12431" s="255"/>
    </row>
    <row r="12432" spans="18:20" x14ac:dyDescent="0.3">
      <c r="R12432" s="255"/>
      <c r="S12432" s="255"/>
      <c r="T12432" s="255"/>
    </row>
    <row r="12433" spans="18:20" x14ac:dyDescent="0.3">
      <c r="R12433" s="255"/>
      <c r="S12433" s="255"/>
      <c r="T12433" s="255"/>
    </row>
    <row r="12434" spans="18:20" x14ac:dyDescent="0.3">
      <c r="R12434" s="255"/>
      <c r="S12434" s="255"/>
      <c r="T12434" s="255"/>
    </row>
    <row r="12435" spans="18:20" x14ac:dyDescent="0.3">
      <c r="R12435" s="255"/>
      <c r="S12435" s="255"/>
      <c r="T12435" s="255"/>
    </row>
    <row r="12436" spans="18:20" x14ac:dyDescent="0.3">
      <c r="R12436" s="255"/>
      <c r="S12436" s="255"/>
      <c r="T12436" s="255"/>
    </row>
    <row r="12437" spans="18:20" x14ac:dyDescent="0.3">
      <c r="R12437" s="255"/>
      <c r="S12437" s="255"/>
      <c r="T12437" s="255"/>
    </row>
    <row r="12438" spans="18:20" x14ac:dyDescent="0.3">
      <c r="R12438" s="255"/>
      <c r="S12438" s="255"/>
      <c r="T12438" s="255"/>
    </row>
    <row r="12439" spans="18:20" x14ac:dyDescent="0.3">
      <c r="R12439" s="255"/>
      <c r="S12439" s="255"/>
      <c r="T12439" s="255"/>
    </row>
    <row r="12440" spans="18:20" x14ac:dyDescent="0.3">
      <c r="R12440" s="255"/>
      <c r="S12440" s="255"/>
      <c r="T12440" s="255"/>
    </row>
    <row r="12441" spans="18:20" x14ac:dyDescent="0.3">
      <c r="R12441" s="255"/>
      <c r="S12441" s="255"/>
      <c r="T12441" s="255"/>
    </row>
    <row r="12442" spans="18:20" x14ac:dyDescent="0.3">
      <c r="R12442" s="255"/>
      <c r="S12442" s="255"/>
      <c r="T12442" s="255"/>
    </row>
    <row r="12443" spans="18:20" x14ac:dyDescent="0.3">
      <c r="R12443" s="255"/>
      <c r="S12443" s="255"/>
      <c r="T12443" s="255"/>
    </row>
    <row r="12444" spans="18:20" x14ac:dyDescent="0.3">
      <c r="R12444" s="255"/>
      <c r="S12444" s="255"/>
      <c r="T12444" s="255"/>
    </row>
    <row r="12445" spans="18:20" x14ac:dyDescent="0.3">
      <c r="R12445" s="255"/>
      <c r="S12445" s="255"/>
      <c r="T12445" s="255"/>
    </row>
    <row r="12446" spans="18:20" x14ac:dyDescent="0.3">
      <c r="R12446" s="255"/>
      <c r="S12446" s="255"/>
      <c r="T12446" s="255"/>
    </row>
    <row r="12447" spans="18:20" x14ac:dyDescent="0.3">
      <c r="R12447" s="255"/>
      <c r="S12447" s="255"/>
      <c r="T12447" s="255"/>
    </row>
    <row r="12448" spans="18:20" x14ac:dyDescent="0.3">
      <c r="R12448" s="255"/>
      <c r="S12448" s="255"/>
      <c r="T12448" s="255"/>
    </row>
    <row r="12449" spans="18:20" x14ac:dyDescent="0.3">
      <c r="R12449" s="255"/>
      <c r="S12449" s="255"/>
      <c r="T12449" s="255"/>
    </row>
    <row r="12450" spans="18:20" x14ac:dyDescent="0.3">
      <c r="R12450" s="255"/>
      <c r="S12450" s="255"/>
      <c r="T12450" s="255"/>
    </row>
    <row r="12451" spans="18:20" x14ac:dyDescent="0.3">
      <c r="R12451" s="255"/>
      <c r="S12451" s="255"/>
      <c r="T12451" s="255"/>
    </row>
    <row r="12452" spans="18:20" x14ac:dyDescent="0.3">
      <c r="R12452" s="255"/>
      <c r="S12452" s="255"/>
      <c r="T12452" s="255"/>
    </row>
    <row r="12453" spans="18:20" x14ac:dyDescent="0.3">
      <c r="R12453" s="255"/>
      <c r="S12453" s="255"/>
      <c r="T12453" s="255"/>
    </row>
    <row r="12454" spans="18:20" x14ac:dyDescent="0.3">
      <c r="R12454" s="255"/>
      <c r="S12454" s="255"/>
      <c r="T12454" s="255"/>
    </row>
    <row r="12455" spans="18:20" x14ac:dyDescent="0.3">
      <c r="R12455" s="255"/>
      <c r="S12455" s="255"/>
      <c r="T12455" s="255"/>
    </row>
    <row r="12456" spans="18:20" x14ac:dyDescent="0.3">
      <c r="R12456" s="255"/>
      <c r="S12456" s="255"/>
      <c r="T12456" s="255"/>
    </row>
    <row r="12457" spans="18:20" x14ac:dyDescent="0.3">
      <c r="R12457" s="255"/>
      <c r="S12457" s="255"/>
      <c r="T12457" s="255"/>
    </row>
    <row r="12458" spans="18:20" x14ac:dyDescent="0.3">
      <c r="R12458" s="255"/>
      <c r="S12458" s="255"/>
      <c r="T12458" s="255"/>
    </row>
    <row r="12459" spans="18:20" x14ac:dyDescent="0.3">
      <c r="R12459" s="255"/>
      <c r="S12459" s="255"/>
      <c r="T12459" s="255"/>
    </row>
    <row r="12460" spans="18:20" x14ac:dyDescent="0.3">
      <c r="R12460" s="255"/>
      <c r="S12460" s="255"/>
      <c r="T12460" s="255"/>
    </row>
    <row r="12461" spans="18:20" x14ac:dyDescent="0.3">
      <c r="R12461" s="255"/>
      <c r="S12461" s="255"/>
      <c r="T12461" s="255"/>
    </row>
    <row r="12462" spans="18:20" x14ac:dyDescent="0.3">
      <c r="R12462" s="255"/>
      <c r="S12462" s="255"/>
      <c r="T12462" s="255"/>
    </row>
    <row r="12463" spans="18:20" x14ac:dyDescent="0.3">
      <c r="R12463" s="255"/>
      <c r="S12463" s="255"/>
      <c r="T12463" s="255"/>
    </row>
    <row r="12464" spans="18:20" x14ac:dyDescent="0.3">
      <c r="R12464" s="255"/>
      <c r="S12464" s="255"/>
      <c r="T12464" s="255"/>
    </row>
    <row r="12465" spans="18:20" x14ac:dyDescent="0.3">
      <c r="R12465" s="255"/>
      <c r="S12465" s="255"/>
      <c r="T12465" s="255"/>
    </row>
    <row r="12466" spans="18:20" x14ac:dyDescent="0.3">
      <c r="R12466" s="255"/>
      <c r="S12466" s="255"/>
      <c r="T12466" s="255"/>
    </row>
    <row r="12467" spans="18:20" x14ac:dyDescent="0.3">
      <c r="R12467" s="255"/>
      <c r="S12467" s="255"/>
      <c r="T12467" s="255"/>
    </row>
    <row r="12468" spans="18:20" x14ac:dyDescent="0.3">
      <c r="R12468" s="255"/>
      <c r="S12468" s="255"/>
      <c r="T12468" s="255"/>
    </row>
    <row r="12469" spans="18:20" x14ac:dyDescent="0.3">
      <c r="R12469" s="255"/>
      <c r="S12469" s="255"/>
      <c r="T12469" s="255"/>
    </row>
    <row r="12470" spans="18:20" x14ac:dyDescent="0.3">
      <c r="R12470" s="255"/>
      <c r="S12470" s="255"/>
      <c r="T12470" s="255"/>
    </row>
    <row r="12471" spans="18:20" x14ac:dyDescent="0.3">
      <c r="R12471" s="255"/>
      <c r="S12471" s="255"/>
      <c r="T12471" s="255"/>
    </row>
    <row r="12472" spans="18:20" x14ac:dyDescent="0.3">
      <c r="R12472" s="255"/>
      <c r="S12472" s="255"/>
      <c r="T12472" s="255"/>
    </row>
    <row r="12473" spans="18:20" x14ac:dyDescent="0.3">
      <c r="R12473" s="255"/>
      <c r="S12473" s="255"/>
      <c r="T12473" s="255"/>
    </row>
    <row r="12474" spans="18:20" x14ac:dyDescent="0.3">
      <c r="R12474" s="255"/>
      <c r="S12474" s="255"/>
      <c r="T12474" s="255"/>
    </row>
    <row r="12475" spans="18:20" x14ac:dyDescent="0.3">
      <c r="R12475" s="255"/>
      <c r="S12475" s="255"/>
      <c r="T12475" s="255"/>
    </row>
    <row r="12476" spans="18:20" x14ac:dyDescent="0.3">
      <c r="R12476" s="255"/>
      <c r="S12476" s="255"/>
      <c r="T12476" s="255"/>
    </row>
    <row r="12477" spans="18:20" x14ac:dyDescent="0.3">
      <c r="R12477" s="255"/>
      <c r="S12477" s="255"/>
      <c r="T12477" s="255"/>
    </row>
    <row r="12478" spans="18:20" x14ac:dyDescent="0.3">
      <c r="R12478" s="255"/>
      <c r="S12478" s="255"/>
      <c r="T12478" s="255"/>
    </row>
    <row r="12479" spans="18:20" x14ac:dyDescent="0.3">
      <c r="R12479" s="255"/>
      <c r="S12479" s="255"/>
      <c r="T12479" s="255"/>
    </row>
    <row r="12480" spans="18:20" x14ac:dyDescent="0.3">
      <c r="R12480" s="255"/>
      <c r="S12480" s="255"/>
      <c r="T12480" s="255"/>
    </row>
    <row r="12481" spans="18:20" x14ac:dyDescent="0.3">
      <c r="R12481" s="255"/>
      <c r="S12481" s="255"/>
      <c r="T12481" s="255"/>
    </row>
    <row r="12482" spans="18:20" x14ac:dyDescent="0.3">
      <c r="R12482" s="255"/>
      <c r="S12482" s="255"/>
      <c r="T12482" s="255"/>
    </row>
    <row r="12483" spans="18:20" x14ac:dyDescent="0.3">
      <c r="R12483" s="255"/>
      <c r="S12483" s="255"/>
      <c r="T12483" s="255"/>
    </row>
    <row r="12484" spans="18:20" x14ac:dyDescent="0.3">
      <c r="R12484" s="255"/>
      <c r="S12484" s="255"/>
      <c r="T12484" s="255"/>
    </row>
    <row r="12485" spans="18:20" x14ac:dyDescent="0.3">
      <c r="R12485" s="255"/>
      <c r="S12485" s="255"/>
      <c r="T12485" s="255"/>
    </row>
    <row r="12486" spans="18:20" x14ac:dyDescent="0.3">
      <c r="R12486" s="255"/>
      <c r="S12486" s="255"/>
      <c r="T12486" s="255"/>
    </row>
    <row r="12487" spans="18:20" x14ac:dyDescent="0.3">
      <c r="R12487" s="255"/>
      <c r="S12487" s="255"/>
      <c r="T12487" s="255"/>
    </row>
    <row r="12488" spans="18:20" x14ac:dyDescent="0.3">
      <c r="R12488" s="255"/>
      <c r="S12488" s="255"/>
      <c r="T12488" s="255"/>
    </row>
    <row r="12489" spans="18:20" x14ac:dyDescent="0.3">
      <c r="R12489" s="255"/>
      <c r="S12489" s="255"/>
      <c r="T12489" s="255"/>
    </row>
    <row r="12490" spans="18:20" x14ac:dyDescent="0.3">
      <c r="R12490" s="255"/>
      <c r="S12490" s="255"/>
      <c r="T12490" s="255"/>
    </row>
    <row r="12491" spans="18:20" x14ac:dyDescent="0.3">
      <c r="R12491" s="255"/>
      <c r="S12491" s="255"/>
      <c r="T12491" s="255"/>
    </row>
    <row r="12492" spans="18:20" x14ac:dyDescent="0.3">
      <c r="R12492" s="255"/>
      <c r="S12492" s="255"/>
      <c r="T12492" s="255"/>
    </row>
    <row r="12493" spans="18:20" x14ac:dyDescent="0.3">
      <c r="R12493" s="255"/>
      <c r="S12493" s="255"/>
      <c r="T12493" s="255"/>
    </row>
    <row r="12494" spans="18:20" x14ac:dyDescent="0.3">
      <c r="R12494" s="255"/>
      <c r="S12494" s="255"/>
      <c r="T12494" s="255"/>
    </row>
    <row r="12495" spans="18:20" x14ac:dyDescent="0.3">
      <c r="R12495" s="255"/>
      <c r="S12495" s="255"/>
      <c r="T12495" s="255"/>
    </row>
    <row r="12496" spans="18:20" x14ac:dyDescent="0.3">
      <c r="R12496" s="255"/>
      <c r="S12496" s="255"/>
      <c r="T12496" s="255"/>
    </row>
    <row r="12497" spans="18:20" x14ac:dyDescent="0.3">
      <c r="R12497" s="255"/>
      <c r="S12497" s="255"/>
      <c r="T12497" s="255"/>
    </row>
    <row r="12498" spans="18:20" x14ac:dyDescent="0.3">
      <c r="R12498" s="255"/>
      <c r="S12498" s="255"/>
      <c r="T12498" s="255"/>
    </row>
    <row r="12499" spans="18:20" x14ac:dyDescent="0.3">
      <c r="R12499" s="255"/>
      <c r="S12499" s="255"/>
      <c r="T12499" s="255"/>
    </row>
    <row r="12500" spans="18:20" x14ac:dyDescent="0.3">
      <c r="R12500" s="255"/>
      <c r="S12500" s="255"/>
      <c r="T12500" s="255"/>
    </row>
    <row r="12501" spans="18:20" x14ac:dyDescent="0.3">
      <c r="R12501" s="255"/>
      <c r="S12501" s="255"/>
      <c r="T12501" s="255"/>
    </row>
    <row r="12502" spans="18:20" x14ac:dyDescent="0.3">
      <c r="R12502" s="255"/>
      <c r="S12502" s="255"/>
      <c r="T12502" s="255"/>
    </row>
    <row r="12503" spans="18:20" x14ac:dyDescent="0.3">
      <c r="R12503" s="255"/>
      <c r="S12503" s="255"/>
      <c r="T12503" s="255"/>
    </row>
    <row r="12504" spans="18:20" x14ac:dyDescent="0.3">
      <c r="R12504" s="255"/>
      <c r="S12504" s="255"/>
      <c r="T12504" s="255"/>
    </row>
    <row r="12505" spans="18:20" x14ac:dyDescent="0.3">
      <c r="R12505" s="255"/>
      <c r="S12505" s="255"/>
      <c r="T12505" s="255"/>
    </row>
    <row r="12506" spans="18:20" x14ac:dyDescent="0.3">
      <c r="R12506" s="255"/>
      <c r="S12506" s="255"/>
      <c r="T12506" s="255"/>
    </row>
    <row r="12507" spans="18:20" x14ac:dyDescent="0.3">
      <c r="R12507" s="255"/>
      <c r="S12507" s="255"/>
      <c r="T12507" s="255"/>
    </row>
    <row r="12508" spans="18:20" x14ac:dyDescent="0.3">
      <c r="R12508" s="255"/>
      <c r="S12508" s="255"/>
      <c r="T12508" s="255"/>
    </row>
    <row r="12509" spans="18:20" x14ac:dyDescent="0.3">
      <c r="R12509" s="255"/>
      <c r="S12509" s="255"/>
      <c r="T12509" s="255"/>
    </row>
    <row r="12510" spans="18:20" x14ac:dyDescent="0.3">
      <c r="R12510" s="255"/>
      <c r="S12510" s="255"/>
      <c r="T12510" s="255"/>
    </row>
    <row r="12511" spans="18:20" x14ac:dyDescent="0.3">
      <c r="R12511" s="255"/>
      <c r="S12511" s="255"/>
      <c r="T12511" s="255"/>
    </row>
    <row r="12512" spans="18:20" x14ac:dyDescent="0.3">
      <c r="R12512" s="255"/>
      <c r="S12512" s="255"/>
      <c r="T12512" s="255"/>
    </row>
    <row r="12513" spans="18:20" x14ac:dyDescent="0.3">
      <c r="R12513" s="255"/>
      <c r="S12513" s="255"/>
      <c r="T12513" s="255"/>
    </row>
    <row r="12514" spans="18:20" x14ac:dyDescent="0.3">
      <c r="R12514" s="255"/>
      <c r="S12514" s="255"/>
      <c r="T12514" s="255"/>
    </row>
    <row r="12515" spans="18:20" x14ac:dyDescent="0.3">
      <c r="R12515" s="255"/>
      <c r="S12515" s="255"/>
      <c r="T12515" s="255"/>
    </row>
    <row r="12516" spans="18:20" x14ac:dyDescent="0.3">
      <c r="R12516" s="255"/>
      <c r="S12516" s="255"/>
      <c r="T12516" s="255"/>
    </row>
    <row r="12517" spans="18:20" x14ac:dyDescent="0.3">
      <c r="R12517" s="255"/>
      <c r="S12517" s="255"/>
      <c r="T12517" s="255"/>
    </row>
    <row r="12518" spans="18:20" x14ac:dyDescent="0.3">
      <c r="R12518" s="255"/>
      <c r="S12518" s="255"/>
      <c r="T12518" s="255"/>
    </row>
    <row r="12519" spans="18:20" x14ac:dyDescent="0.3">
      <c r="R12519" s="255"/>
      <c r="S12519" s="255"/>
      <c r="T12519" s="255"/>
    </row>
    <row r="12520" spans="18:20" x14ac:dyDescent="0.3">
      <c r="R12520" s="255"/>
      <c r="S12520" s="255"/>
      <c r="T12520" s="255"/>
    </row>
    <row r="12521" spans="18:20" x14ac:dyDescent="0.3">
      <c r="R12521" s="255"/>
      <c r="S12521" s="255"/>
      <c r="T12521" s="255"/>
    </row>
    <row r="12522" spans="18:20" x14ac:dyDescent="0.3">
      <c r="R12522" s="255"/>
      <c r="S12522" s="255"/>
      <c r="T12522" s="255"/>
    </row>
    <row r="12523" spans="18:20" x14ac:dyDescent="0.3">
      <c r="R12523" s="255"/>
      <c r="S12523" s="255"/>
      <c r="T12523" s="255"/>
    </row>
    <row r="12524" spans="18:20" x14ac:dyDescent="0.3">
      <c r="R12524" s="255"/>
      <c r="S12524" s="255"/>
      <c r="T12524" s="255"/>
    </row>
    <row r="12525" spans="18:20" x14ac:dyDescent="0.3">
      <c r="R12525" s="255"/>
      <c r="S12525" s="255"/>
      <c r="T12525" s="255"/>
    </row>
    <row r="12526" spans="18:20" x14ac:dyDescent="0.3">
      <c r="R12526" s="255"/>
      <c r="S12526" s="255"/>
      <c r="T12526" s="255"/>
    </row>
    <row r="12527" spans="18:20" x14ac:dyDescent="0.3">
      <c r="R12527" s="255"/>
      <c r="S12527" s="255"/>
      <c r="T12527" s="255"/>
    </row>
    <row r="12528" spans="18:20" x14ac:dyDescent="0.3">
      <c r="R12528" s="255"/>
      <c r="S12528" s="255"/>
      <c r="T12528" s="255"/>
    </row>
    <row r="12529" spans="18:20" x14ac:dyDescent="0.3">
      <c r="R12529" s="255"/>
      <c r="S12529" s="255"/>
      <c r="T12529" s="255"/>
    </row>
    <row r="12530" spans="18:20" x14ac:dyDescent="0.3">
      <c r="R12530" s="255"/>
      <c r="S12530" s="255"/>
      <c r="T12530" s="255"/>
    </row>
    <row r="12531" spans="18:20" x14ac:dyDescent="0.3">
      <c r="R12531" s="255"/>
      <c r="S12531" s="255"/>
      <c r="T12531" s="255"/>
    </row>
    <row r="12532" spans="18:20" x14ac:dyDescent="0.3">
      <c r="R12532" s="255"/>
      <c r="S12532" s="255"/>
      <c r="T12532" s="255"/>
    </row>
    <row r="12533" spans="18:20" x14ac:dyDescent="0.3">
      <c r="R12533" s="255"/>
      <c r="S12533" s="255"/>
      <c r="T12533" s="255"/>
    </row>
    <row r="12534" spans="18:20" x14ac:dyDescent="0.3">
      <c r="R12534" s="255"/>
      <c r="S12534" s="255"/>
      <c r="T12534" s="255"/>
    </row>
    <row r="12535" spans="18:20" x14ac:dyDescent="0.3">
      <c r="R12535" s="255"/>
      <c r="S12535" s="255"/>
      <c r="T12535" s="255"/>
    </row>
    <row r="12536" spans="18:20" x14ac:dyDescent="0.3">
      <c r="R12536" s="255"/>
      <c r="S12536" s="255"/>
      <c r="T12536" s="255"/>
    </row>
    <row r="12537" spans="18:20" x14ac:dyDescent="0.3">
      <c r="R12537" s="255"/>
      <c r="S12537" s="255"/>
      <c r="T12537" s="255"/>
    </row>
    <row r="12538" spans="18:20" x14ac:dyDescent="0.3">
      <c r="R12538" s="255"/>
      <c r="S12538" s="255"/>
      <c r="T12538" s="255"/>
    </row>
    <row r="12539" spans="18:20" x14ac:dyDescent="0.3">
      <c r="R12539" s="255"/>
      <c r="S12539" s="255"/>
      <c r="T12539" s="255"/>
    </row>
    <row r="12540" spans="18:20" x14ac:dyDescent="0.3">
      <c r="R12540" s="255"/>
      <c r="S12540" s="255"/>
      <c r="T12540" s="255"/>
    </row>
    <row r="12541" spans="18:20" x14ac:dyDescent="0.3">
      <c r="R12541" s="255"/>
      <c r="S12541" s="255"/>
      <c r="T12541" s="255"/>
    </row>
    <row r="12542" spans="18:20" x14ac:dyDescent="0.3">
      <c r="R12542" s="255"/>
      <c r="S12542" s="255"/>
      <c r="T12542" s="255"/>
    </row>
    <row r="12543" spans="18:20" x14ac:dyDescent="0.3">
      <c r="R12543" s="255"/>
      <c r="S12543" s="255"/>
      <c r="T12543" s="255"/>
    </row>
    <row r="12544" spans="18:20" x14ac:dyDescent="0.3">
      <c r="R12544" s="255"/>
      <c r="S12544" s="255"/>
      <c r="T12544" s="255"/>
    </row>
    <row r="12545" spans="18:20" x14ac:dyDescent="0.3">
      <c r="R12545" s="255"/>
      <c r="S12545" s="255"/>
      <c r="T12545" s="255"/>
    </row>
    <row r="12546" spans="18:20" x14ac:dyDescent="0.3">
      <c r="R12546" s="255"/>
      <c r="S12546" s="255"/>
      <c r="T12546" s="255"/>
    </row>
    <row r="12547" spans="18:20" x14ac:dyDescent="0.3">
      <c r="R12547" s="255"/>
      <c r="S12547" s="255"/>
      <c r="T12547" s="255"/>
    </row>
    <row r="12548" spans="18:20" x14ac:dyDescent="0.3">
      <c r="R12548" s="255"/>
      <c r="S12548" s="255"/>
      <c r="T12548" s="255"/>
    </row>
    <row r="12549" spans="18:20" x14ac:dyDescent="0.3">
      <c r="R12549" s="255"/>
      <c r="S12549" s="255"/>
      <c r="T12549" s="255"/>
    </row>
    <row r="12550" spans="18:20" x14ac:dyDescent="0.3">
      <c r="R12550" s="255"/>
      <c r="S12550" s="255"/>
      <c r="T12550" s="255"/>
    </row>
    <row r="12551" spans="18:20" x14ac:dyDescent="0.3">
      <c r="R12551" s="255"/>
      <c r="S12551" s="255"/>
      <c r="T12551" s="255"/>
    </row>
    <row r="12552" spans="18:20" x14ac:dyDescent="0.3">
      <c r="R12552" s="255"/>
      <c r="S12552" s="255"/>
      <c r="T12552" s="255"/>
    </row>
    <row r="12553" spans="18:20" x14ac:dyDescent="0.3">
      <c r="R12553" s="255"/>
      <c r="S12553" s="255"/>
      <c r="T12553" s="255"/>
    </row>
    <row r="12554" spans="18:20" x14ac:dyDescent="0.3">
      <c r="R12554" s="255"/>
      <c r="S12554" s="255"/>
      <c r="T12554" s="255"/>
    </row>
    <row r="12555" spans="18:20" x14ac:dyDescent="0.3">
      <c r="R12555" s="255"/>
      <c r="S12555" s="255"/>
      <c r="T12555" s="255"/>
    </row>
    <row r="12556" spans="18:20" x14ac:dyDescent="0.3">
      <c r="R12556" s="255"/>
      <c r="S12556" s="255"/>
      <c r="T12556" s="255"/>
    </row>
    <row r="12557" spans="18:20" x14ac:dyDescent="0.3">
      <c r="R12557" s="255"/>
      <c r="S12557" s="255"/>
      <c r="T12557" s="255"/>
    </row>
    <row r="12558" spans="18:20" x14ac:dyDescent="0.3">
      <c r="R12558" s="255"/>
      <c r="S12558" s="255"/>
      <c r="T12558" s="255"/>
    </row>
    <row r="12559" spans="18:20" x14ac:dyDescent="0.3">
      <c r="R12559" s="255"/>
      <c r="S12559" s="255"/>
      <c r="T12559" s="255"/>
    </row>
    <row r="12560" spans="18:20" x14ac:dyDescent="0.3">
      <c r="R12560" s="255"/>
      <c r="S12560" s="255"/>
      <c r="T12560" s="255"/>
    </row>
    <row r="12561" spans="18:20" x14ac:dyDescent="0.3">
      <c r="R12561" s="255"/>
      <c r="S12561" s="255"/>
      <c r="T12561" s="255"/>
    </row>
    <row r="12562" spans="18:20" x14ac:dyDescent="0.3">
      <c r="R12562" s="255"/>
      <c r="S12562" s="255"/>
      <c r="T12562" s="255"/>
    </row>
    <row r="12563" spans="18:20" x14ac:dyDescent="0.3">
      <c r="R12563" s="255"/>
      <c r="S12563" s="255"/>
      <c r="T12563" s="255"/>
    </row>
    <row r="12564" spans="18:20" x14ac:dyDescent="0.3">
      <c r="R12564" s="255"/>
      <c r="S12564" s="255"/>
      <c r="T12564" s="255"/>
    </row>
    <row r="12565" spans="18:20" x14ac:dyDescent="0.3">
      <c r="R12565" s="255"/>
      <c r="S12565" s="255"/>
      <c r="T12565" s="255"/>
    </row>
    <row r="12566" spans="18:20" x14ac:dyDescent="0.3">
      <c r="R12566" s="255"/>
      <c r="S12566" s="255"/>
      <c r="T12566" s="255"/>
    </row>
    <row r="12567" spans="18:20" x14ac:dyDescent="0.3">
      <c r="R12567" s="255"/>
      <c r="S12567" s="255"/>
      <c r="T12567" s="255"/>
    </row>
    <row r="12568" spans="18:20" x14ac:dyDescent="0.3">
      <c r="R12568" s="255"/>
      <c r="S12568" s="255"/>
      <c r="T12568" s="255"/>
    </row>
    <row r="12569" spans="18:20" x14ac:dyDescent="0.3">
      <c r="R12569" s="255"/>
      <c r="S12569" s="255"/>
      <c r="T12569" s="255"/>
    </row>
    <row r="12570" spans="18:20" x14ac:dyDescent="0.3">
      <c r="R12570" s="255"/>
      <c r="S12570" s="255"/>
      <c r="T12570" s="255"/>
    </row>
    <row r="12571" spans="18:20" x14ac:dyDescent="0.3">
      <c r="R12571" s="255"/>
      <c r="S12571" s="255"/>
      <c r="T12571" s="255"/>
    </row>
    <row r="12572" spans="18:20" x14ac:dyDescent="0.3">
      <c r="R12572" s="255"/>
      <c r="S12572" s="255"/>
      <c r="T12572" s="255"/>
    </row>
    <row r="12573" spans="18:20" x14ac:dyDescent="0.3">
      <c r="R12573" s="255"/>
      <c r="S12573" s="255"/>
      <c r="T12573" s="255"/>
    </row>
    <row r="12574" spans="18:20" x14ac:dyDescent="0.3">
      <c r="R12574" s="255"/>
      <c r="S12574" s="255"/>
      <c r="T12574" s="255"/>
    </row>
    <row r="12575" spans="18:20" x14ac:dyDescent="0.3">
      <c r="R12575" s="255"/>
      <c r="S12575" s="255"/>
      <c r="T12575" s="255"/>
    </row>
    <row r="12576" spans="18:20" x14ac:dyDescent="0.3">
      <c r="R12576" s="255"/>
      <c r="S12576" s="255"/>
      <c r="T12576" s="255"/>
    </row>
    <row r="12577" spans="18:20" x14ac:dyDescent="0.3">
      <c r="R12577" s="255"/>
      <c r="S12577" s="255"/>
      <c r="T12577" s="255"/>
    </row>
    <row r="12578" spans="18:20" x14ac:dyDescent="0.3">
      <c r="R12578" s="255"/>
      <c r="S12578" s="255"/>
      <c r="T12578" s="255"/>
    </row>
    <row r="12579" spans="18:20" x14ac:dyDescent="0.3">
      <c r="R12579" s="255"/>
      <c r="S12579" s="255"/>
      <c r="T12579" s="255"/>
    </row>
    <row r="12580" spans="18:20" x14ac:dyDescent="0.3">
      <c r="R12580" s="255"/>
      <c r="S12580" s="255"/>
      <c r="T12580" s="255"/>
    </row>
    <row r="12581" spans="18:20" x14ac:dyDescent="0.3">
      <c r="R12581" s="255"/>
      <c r="S12581" s="255"/>
      <c r="T12581" s="255"/>
    </row>
    <row r="12582" spans="18:20" x14ac:dyDescent="0.3">
      <c r="R12582" s="255"/>
      <c r="S12582" s="255"/>
      <c r="T12582" s="255"/>
    </row>
    <row r="12583" spans="18:20" x14ac:dyDescent="0.3">
      <c r="R12583" s="255"/>
      <c r="S12583" s="255"/>
      <c r="T12583" s="255"/>
    </row>
    <row r="12584" spans="18:20" x14ac:dyDescent="0.3">
      <c r="R12584" s="255"/>
      <c r="S12584" s="255"/>
      <c r="T12584" s="255"/>
    </row>
    <row r="12585" spans="18:20" x14ac:dyDescent="0.3">
      <c r="R12585" s="255"/>
      <c r="S12585" s="255"/>
      <c r="T12585" s="255"/>
    </row>
    <row r="12586" spans="18:20" x14ac:dyDescent="0.3">
      <c r="R12586" s="255"/>
      <c r="S12586" s="255"/>
      <c r="T12586" s="255"/>
    </row>
    <row r="12587" spans="18:20" x14ac:dyDescent="0.3">
      <c r="R12587" s="255"/>
      <c r="S12587" s="255"/>
      <c r="T12587" s="255"/>
    </row>
    <row r="12588" spans="18:20" x14ac:dyDescent="0.3">
      <c r="R12588" s="255"/>
      <c r="S12588" s="255"/>
      <c r="T12588" s="255"/>
    </row>
    <row r="12589" spans="18:20" x14ac:dyDescent="0.3">
      <c r="R12589" s="255"/>
      <c r="S12589" s="255"/>
      <c r="T12589" s="255"/>
    </row>
    <row r="12590" spans="18:20" x14ac:dyDescent="0.3">
      <c r="R12590" s="255"/>
      <c r="S12590" s="255"/>
      <c r="T12590" s="255"/>
    </row>
    <row r="12591" spans="18:20" x14ac:dyDescent="0.3">
      <c r="R12591" s="255"/>
      <c r="S12591" s="255"/>
      <c r="T12591" s="255"/>
    </row>
    <row r="12592" spans="18:20" x14ac:dyDescent="0.3">
      <c r="R12592" s="255"/>
      <c r="S12592" s="255"/>
      <c r="T12592" s="255"/>
    </row>
    <row r="12593" spans="18:20" x14ac:dyDescent="0.3">
      <c r="R12593" s="255"/>
      <c r="S12593" s="255"/>
      <c r="T12593" s="255"/>
    </row>
    <row r="12594" spans="18:20" x14ac:dyDescent="0.3">
      <c r="R12594" s="255"/>
      <c r="S12594" s="255"/>
      <c r="T12594" s="255"/>
    </row>
    <row r="12595" spans="18:20" x14ac:dyDescent="0.3">
      <c r="R12595" s="255"/>
      <c r="S12595" s="255"/>
      <c r="T12595" s="255"/>
    </row>
    <row r="12596" spans="18:20" x14ac:dyDescent="0.3">
      <c r="R12596" s="255"/>
      <c r="S12596" s="255"/>
      <c r="T12596" s="255"/>
    </row>
    <row r="12597" spans="18:20" x14ac:dyDescent="0.3">
      <c r="R12597" s="255"/>
      <c r="S12597" s="255"/>
      <c r="T12597" s="255"/>
    </row>
    <row r="12598" spans="18:20" x14ac:dyDescent="0.3">
      <c r="R12598" s="255"/>
      <c r="S12598" s="255"/>
      <c r="T12598" s="255"/>
    </row>
    <row r="12599" spans="18:20" x14ac:dyDescent="0.3">
      <c r="R12599" s="255"/>
      <c r="S12599" s="255"/>
      <c r="T12599" s="255"/>
    </row>
    <row r="12600" spans="18:20" x14ac:dyDescent="0.3">
      <c r="R12600" s="255"/>
      <c r="S12600" s="255"/>
      <c r="T12600" s="255"/>
    </row>
    <row r="12601" spans="18:20" x14ac:dyDescent="0.3">
      <c r="R12601" s="255"/>
      <c r="S12601" s="255"/>
      <c r="T12601" s="255"/>
    </row>
    <row r="12602" spans="18:20" x14ac:dyDescent="0.3">
      <c r="R12602" s="255"/>
      <c r="S12602" s="255"/>
      <c r="T12602" s="255"/>
    </row>
    <row r="12603" spans="18:20" x14ac:dyDescent="0.3">
      <c r="R12603" s="255"/>
      <c r="S12603" s="255"/>
      <c r="T12603" s="255"/>
    </row>
    <row r="12604" spans="18:20" x14ac:dyDescent="0.3">
      <c r="R12604" s="255"/>
      <c r="S12604" s="255"/>
      <c r="T12604" s="255"/>
    </row>
    <row r="12605" spans="18:20" x14ac:dyDescent="0.3">
      <c r="R12605" s="255"/>
      <c r="S12605" s="255"/>
      <c r="T12605" s="255"/>
    </row>
    <row r="12606" spans="18:20" x14ac:dyDescent="0.3">
      <c r="R12606" s="255"/>
      <c r="S12606" s="255"/>
      <c r="T12606" s="255"/>
    </row>
    <row r="12607" spans="18:20" x14ac:dyDescent="0.3">
      <c r="R12607" s="255"/>
      <c r="S12607" s="255"/>
      <c r="T12607" s="255"/>
    </row>
    <row r="12608" spans="18:20" x14ac:dyDescent="0.3">
      <c r="R12608" s="255"/>
      <c r="S12608" s="255"/>
      <c r="T12608" s="255"/>
    </row>
    <row r="12609" spans="18:20" x14ac:dyDescent="0.3">
      <c r="R12609" s="255"/>
      <c r="S12609" s="255"/>
      <c r="T12609" s="255"/>
    </row>
    <row r="12610" spans="18:20" x14ac:dyDescent="0.3">
      <c r="R12610" s="255"/>
      <c r="S12610" s="255"/>
      <c r="T12610" s="255"/>
    </row>
    <row r="12611" spans="18:20" x14ac:dyDescent="0.3">
      <c r="R12611" s="255"/>
      <c r="S12611" s="255"/>
      <c r="T12611" s="255"/>
    </row>
    <row r="12612" spans="18:20" x14ac:dyDescent="0.3">
      <c r="R12612" s="255"/>
      <c r="S12612" s="255"/>
      <c r="T12612" s="255"/>
    </row>
    <row r="12613" spans="18:20" x14ac:dyDescent="0.3">
      <c r="R12613" s="255"/>
      <c r="S12613" s="255"/>
      <c r="T12613" s="255"/>
    </row>
    <row r="12614" spans="18:20" x14ac:dyDescent="0.3">
      <c r="R12614" s="255"/>
      <c r="S12614" s="255"/>
      <c r="T12614" s="255"/>
    </row>
    <row r="12615" spans="18:20" x14ac:dyDescent="0.3">
      <c r="R12615" s="255"/>
      <c r="S12615" s="255"/>
      <c r="T12615" s="255"/>
    </row>
    <row r="12616" spans="18:20" x14ac:dyDescent="0.3">
      <c r="R12616" s="255"/>
      <c r="S12616" s="255"/>
      <c r="T12616" s="255"/>
    </row>
    <row r="12617" spans="18:20" x14ac:dyDescent="0.3">
      <c r="R12617" s="255"/>
      <c r="S12617" s="255"/>
      <c r="T12617" s="255"/>
    </row>
    <row r="12618" spans="18:20" x14ac:dyDescent="0.3">
      <c r="R12618" s="255"/>
      <c r="S12618" s="255"/>
      <c r="T12618" s="255"/>
    </row>
    <row r="12619" spans="18:20" x14ac:dyDescent="0.3">
      <c r="R12619" s="255"/>
      <c r="S12619" s="255"/>
      <c r="T12619" s="255"/>
    </row>
    <row r="12620" spans="18:20" x14ac:dyDescent="0.3">
      <c r="R12620" s="255"/>
      <c r="S12620" s="255"/>
      <c r="T12620" s="255"/>
    </row>
    <row r="12621" spans="18:20" x14ac:dyDescent="0.3">
      <c r="R12621" s="255"/>
      <c r="S12621" s="255"/>
      <c r="T12621" s="255"/>
    </row>
    <row r="12622" spans="18:20" x14ac:dyDescent="0.3">
      <c r="R12622" s="255"/>
      <c r="S12622" s="255"/>
      <c r="T12622" s="255"/>
    </row>
    <row r="12623" spans="18:20" x14ac:dyDescent="0.3">
      <c r="R12623" s="255"/>
      <c r="S12623" s="255"/>
      <c r="T12623" s="255"/>
    </row>
    <row r="12624" spans="18:20" x14ac:dyDescent="0.3">
      <c r="R12624" s="255"/>
      <c r="S12624" s="255"/>
      <c r="T12624" s="255"/>
    </row>
    <row r="12625" spans="18:20" x14ac:dyDescent="0.3">
      <c r="R12625" s="255"/>
      <c r="S12625" s="255"/>
      <c r="T12625" s="255"/>
    </row>
    <row r="12626" spans="18:20" x14ac:dyDescent="0.3">
      <c r="R12626" s="255"/>
      <c r="S12626" s="255"/>
      <c r="T12626" s="255"/>
    </row>
    <row r="12627" spans="18:20" x14ac:dyDescent="0.3">
      <c r="R12627" s="255"/>
      <c r="S12627" s="255"/>
      <c r="T12627" s="255"/>
    </row>
    <row r="12628" spans="18:20" x14ac:dyDescent="0.3">
      <c r="R12628" s="255"/>
      <c r="S12628" s="255"/>
      <c r="T12628" s="255"/>
    </row>
    <row r="12629" spans="18:20" x14ac:dyDescent="0.3">
      <c r="R12629" s="255"/>
      <c r="S12629" s="255"/>
      <c r="T12629" s="255"/>
    </row>
    <row r="12630" spans="18:20" x14ac:dyDescent="0.3">
      <c r="R12630" s="255"/>
      <c r="S12630" s="255"/>
      <c r="T12630" s="255"/>
    </row>
    <row r="12631" spans="18:20" x14ac:dyDescent="0.3">
      <c r="R12631" s="255"/>
      <c r="S12631" s="255"/>
      <c r="T12631" s="255"/>
    </row>
    <row r="12632" spans="18:20" x14ac:dyDescent="0.3">
      <c r="R12632" s="255"/>
      <c r="S12632" s="255"/>
      <c r="T12632" s="255"/>
    </row>
    <row r="12633" spans="18:20" x14ac:dyDescent="0.3">
      <c r="R12633" s="255"/>
      <c r="S12633" s="255"/>
      <c r="T12633" s="255"/>
    </row>
    <row r="12634" spans="18:20" x14ac:dyDescent="0.3">
      <c r="R12634" s="255"/>
      <c r="S12634" s="255"/>
      <c r="T12634" s="255"/>
    </row>
    <row r="12635" spans="18:20" x14ac:dyDescent="0.3">
      <c r="R12635" s="255"/>
      <c r="S12635" s="255"/>
      <c r="T12635" s="255"/>
    </row>
    <row r="12636" spans="18:20" x14ac:dyDescent="0.3">
      <c r="R12636" s="255"/>
      <c r="S12636" s="255"/>
      <c r="T12636" s="255"/>
    </row>
    <row r="12637" spans="18:20" x14ac:dyDescent="0.3">
      <c r="R12637" s="255"/>
      <c r="S12637" s="255"/>
      <c r="T12637" s="255"/>
    </row>
    <row r="12638" spans="18:20" x14ac:dyDescent="0.3">
      <c r="R12638" s="255"/>
      <c r="S12638" s="255"/>
      <c r="T12638" s="255"/>
    </row>
    <row r="12639" spans="18:20" x14ac:dyDescent="0.3">
      <c r="R12639" s="255"/>
      <c r="S12639" s="255"/>
      <c r="T12639" s="255"/>
    </row>
    <row r="12640" spans="18:20" x14ac:dyDescent="0.3">
      <c r="R12640" s="255"/>
      <c r="S12640" s="255"/>
      <c r="T12640" s="255"/>
    </row>
    <row r="12641" spans="18:20" x14ac:dyDescent="0.3">
      <c r="R12641" s="255"/>
      <c r="S12641" s="255"/>
      <c r="T12641" s="255"/>
    </row>
    <row r="12642" spans="18:20" x14ac:dyDescent="0.3">
      <c r="R12642" s="255"/>
      <c r="S12642" s="255"/>
      <c r="T12642" s="255"/>
    </row>
    <row r="12643" spans="18:20" x14ac:dyDescent="0.3">
      <c r="R12643" s="255"/>
      <c r="S12643" s="255"/>
      <c r="T12643" s="255"/>
    </row>
    <row r="12644" spans="18:20" x14ac:dyDescent="0.3">
      <c r="R12644" s="255"/>
      <c r="S12644" s="255"/>
      <c r="T12644" s="255"/>
    </row>
    <row r="12645" spans="18:20" x14ac:dyDescent="0.3">
      <c r="R12645" s="255"/>
      <c r="S12645" s="255"/>
      <c r="T12645" s="255"/>
    </row>
    <row r="12646" spans="18:20" x14ac:dyDescent="0.3">
      <c r="R12646" s="255"/>
      <c r="S12646" s="255"/>
      <c r="T12646" s="255"/>
    </row>
    <row r="12647" spans="18:20" x14ac:dyDescent="0.3">
      <c r="R12647" s="255"/>
      <c r="S12647" s="255"/>
      <c r="T12647" s="255"/>
    </row>
    <row r="12648" spans="18:20" x14ac:dyDescent="0.3">
      <c r="R12648" s="255"/>
      <c r="S12648" s="255"/>
      <c r="T12648" s="255"/>
    </row>
    <row r="12649" spans="18:20" x14ac:dyDescent="0.3">
      <c r="R12649" s="255"/>
      <c r="S12649" s="255"/>
      <c r="T12649" s="255"/>
    </row>
    <row r="12650" spans="18:20" x14ac:dyDescent="0.3">
      <c r="R12650" s="255"/>
      <c r="S12650" s="255"/>
      <c r="T12650" s="255"/>
    </row>
    <row r="12651" spans="18:20" x14ac:dyDescent="0.3">
      <c r="R12651" s="255"/>
      <c r="S12651" s="255"/>
      <c r="T12651" s="255"/>
    </row>
    <row r="12652" spans="18:20" x14ac:dyDescent="0.3">
      <c r="R12652" s="255"/>
      <c r="S12652" s="255"/>
      <c r="T12652" s="255"/>
    </row>
    <row r="12653" spans="18:20" x14ac:dyDescent="0.3">
      <c r="R12653" s="255"/>
      <c r="S12653" s="255"/>
      <c r="T12653" s="255"/>
    </row>
    <row r="12654" spans="18:20" x14ac:dyDescent="0.3">
      <c r="R12654" s="255"/>
      <c r="S12654" s="255"/>
      <c r="T12654" s="255"/>
    </row>
    <row r="12655" spans="18:20" x14ac:dyDescent="0.3">
      <c r="R12655" s="255"/>
      <c r="S12655" s="255"/>
      <c r="T12655" s="255"/>
    </row>
    <row r="12656" spans="18:20" x14ac:dyDescent="0.3">
      <c r="R12656" s="255"/>
      <c r="S12656" s="255"/>
      <c r="T12656" s="255"/>
    </row>
    <row r="12657" spans="18:20" x14ac:dyDescent="0.3">
      <c r="R12657" s="255"/>
      <c r="S12657" s="255"/>
      <c r="T12657" s="255"/>
    </row>
    <row r="12658" spans="18:20" x14ac:dyDescent="0.3">
      <c r="R12658" s="255"/>
      <c r="S12658" s="255"/>
      <c r="T12658" s="255"/>
    </row>
    <row r="12659" spans="18:20" x14ac:dyDescent="0.3">
      <c r="R12659" s="255"/>
      <c r="S12659" s="255"/>
      <c r="T12659" s="255"/>
    </row>
    <row r="12660" spans="18:20" x14ac:dyDescent="0.3">
      <c r="R12660" s="255"/>
      <c r="S12660" s="255"/>
      <c r="T12660" s="255"/>
    </row>
    <row r="12661" spans="18:20" x14ac:dyDescent="0.3">
      <c r="R12661" s="255"/>
      <c r="S12661" s="255"/>
      <c r="T12661" s="255"/>
    </row>
    <row r="12662" spans="18:20" x14ac:dyDescent="0.3">
      <c r="R12662" s="255"/>
      <c r="S12662" s="255"/>
      <c r="T12662" s="255"/>
    </row>
    <row r="12663" spans="18:20" x14ac:dyDescent="0.3">
      <c r="R12663" s="255"/>
      <c r="S12663" s="255"/>
      <c r="T12663" s="255"/>
    </row>
    <row r="12664" spans="18:20" x14ac:dyDescent="0.3">
      <c r="R12664" s="255"/>
      <c r="S12664" s="255"/>
      <c r="T12664" s="255"/>
    </row>
    <row r="12665" spans="18:20" x14ac:dyDescent="0.3">
      <c r="R12665" s="255"/>
      <c r="S12665" s="255"/>
      <c r="T12665" s="255"/>
    </row>
    <row r="12666" spans="18:20" x14ac:dyDescent="0.3">
      <c r="R12666" s="255"/>
      <c r="S12666" s="255"/>
      <c r="T12666" s="255"/>
    </row>
    <row r="12667" spans="18:20" x14ac:dyDescent="0.3">
      <c r="R12667" s="255"/>
      <c r="S12667" s="255"/>
      <c r="T12667" s="255"/>
    </row>
    <row r="12668" spans="18:20" x14ac:dyDescent="0.3">
      <c r="R12668" s="255"/>
      <c r="S12668" s="255"/>
      <c r="T12668" s="255"/>
    </row>
    <row r="12669" spans="18:20" x14ac:dyDescent="0.3">
      <c r="R12669" s="255"/>
      <c r="S12669" s="255"/>
      <c r="T12669" s="255"/>
    </row>
    <row r="12670" spans="18:20" x14ac:dyDescent="0.3">
      <c r="R12670" s="255"/>
      <c r="S12670" s="255"/>
      <c r="T12670" s="255"/>
    </row>
    <row r="12671" spans="18:20" x14ac:dyDescent="0.3">
      <c r="R12671" s="255"/>
      <c r="S12671" s="255"/>
      <c r="T12671" s="255"/>
    </row>
    <row r="12672" spans="18:20" x14ac:dyDescent="0.3">
      <c r="R12672" s="255"/>
      <c r="S12672" s="255"/>
      <c r="T12672" s="255"/>
    </row>
    <row r="12673" spans="18:20" x14ac:dyDescent="0.3">
      <c r="R12673" s="255"/>
      <c r="S12673" s="255"/>
      <c r="T12673" s="255"/>
    </row>
    <row r="12674" spans="18:20" x14ac:dyDescent="0.3">
      <c r="R12674" s="255"/>
      <c r="S12674" s="255"/>
      <c r="T12674" s="255"/>
    </row>
    <row r="12675" spans="18:20" x14ac:dyDescent="0.3">
      <c r="R12675" s="255"/>
      <c r="S12675" s="255"/>
      <c r="T12675" s="255"/>
    </row>
    <row r="12676" spans="18:20" x14ac:dyDescent="0.3">
      <c r="R12676" s="255"/>
      <c r="S12676" s="255"/>
      <c r="T12676" s="255"/>
    </row>
    <row r="12677" spans="18:20" x14ac:dyDescent="0.3">
      <c r="R12677" s="255"/>
      <c r="S12677" s="255"/>
      <c r="T12677" s="255"/>
    </row>
    <row r="12678" spans="18:20" x14ac:dyDescent="0.3">
      <c r="R12678" s="255"/>
      <c r="S12678" s="255"/>
      <c r="T12678" s="255"/>
    </row>
    <row r="12679" spans="18:20" x14ac:dyDescent="0.3">
      <c r="R12679" s="255"/>
      <c r="S12679" s="255"/>
      <c r="T12679" s="255"/>
    </row>
    <row r="12680" spans="18:20" x14ac:dyDescent="0.3">
      <c r="R12680" s="255"/>
      <c r="S12680" s="255"/>
      <c r="T12680" s="255"/>
    </row>
    <row r="12681" spans="18:20" x14ac:dyDescent="0.3">
      <c r="R12681" s="255"/>
      <c r="S12681" s="255"/>
      <c r="T12681" s="255"/>
    </row>
    <row r="12682" spans="18:20" x14ac:dyDescent="0.3">
      <c r="R12682" s="255"/>
      <c r="S12682" s="255"/>
      <c r="T12682" s="255"/>
    </row>
    <row r="12683" spans="18:20" x14ac:dyDescent="0.3">
      <c r="R12683" s="255"/>
      <c r="S12683" s="255"/>
      <c r="T12683" s="255"/>
    </row>
    <row r="12684" spans="18:20" x14ac:dyDescent="0.3">
      <c r="R12684" s="255"/>
      <c r="S12684" s="255"/>
      <c r="T12684" s="255"/>
    </row>
    <row r="12685" spans="18:20" x14ac:dyDescent="0.3">
      <c r="R12685" s="255"/>
      <c r="S12685" s="255"/>
      <c r="T12685" s="255"/>
    </row>
    <row r="12686" spans="18:20" x14ac:dyDescent="0.3">
      <c r="R12686" s="255"/>
      <c r="S12686" s="255"/>
      <c r="T12686" s="255"/>
    </row>
    <row r="12687" spans="18:20" x14ac:dyDescent="0.3">
      <c r="R12687" s="255"/>
      <c r="S12687" s="255"/>
      <c r="T12687" s="255"/>
    </row>
    <row r="12688" spans="18:20" x14ac:dyDescent="0.3">
      <c r="R12688" s="255"/>
      <c r="S12688" s="255"/>
      <c r="T12688" s="255"/>
    </row>
    <row r="12689" spans="18:20" x14ac:dyDescent="0.3">
      <c r="R12689" s="255"/>
      <c r="S12689" s="255"/>
      <c r="T12689" s="255"/>
    </row>
    <row r="12690" spans="18:20" x14ac:dyDescent="0.3">
      <c r="R12690" s="255"/>
      <c r="S12690" s="255"/>
      <c r="T12690" s="255"/>
    </row>
    <row r="12691" spans="18:20" x14ac:dyDescent="0.3">
      <c r="R12691" s="255"/>
      <c r="S12691" s="255"/>
      <c r="T12691" s="255"/>
    </row>
    <row r="12692" spans="18:20" x14ac:dyDescent="0.3">
      <c r="R12692" s="255"/>
      <c r="S12692" s="255"/>
      <c r="T12692" s="255"/>
    </row>
    <row r="12693" spans="18:20" x14ac:dyDescent="0.3">
      <c r="R12693" s="255"/>
      <c r="S12693" s="255"/>
      <c r="T12693" s="255"/>
    </row>
    <row r="12694" spans="18:20" x14ac:dyDescent="0.3">
      <c r="R12694" s="255"/>
      <c r="S12694" s="255"/>
      <c r="T12694" s="255"/>
    </row>
    <row r="12695" spans="18:20" x14ac:dyDescent="0.3">
      <c r="R12695" s="255"/>
      <c r="S12695" s="255"/>
      <c r="T12695" s="255"/>
    </row>
    <row r="12696" spans="18:20" x14ac:dyDescent="0.3">
      <c r="R12696" s="255"/>
      <c r="S12696" s="255"/>
      <c r="T12696" s="255"/>
    </row>
    <row r="12697" spans="18:20" x14ac:dyDescent="0.3">
      <c r="R12697" s="255"/>
      <c r="S12697" s="255"/>
      <c r="T12697" s="255"/>
    </row>
    <row r="12698" spans="18:20" x14ac:dyDescent="0.3">
      <c r="R12698" s="255"/>
      <c r="S12698" s="255"/>
      <c r="T12698" s="255"/>
    </row>
    <row r="12699" spans="18:20" x14ac:dyDescent="0.3">
      <c r="R12699" s="255"/>
      <c r="S12699" s="255"/>
      <c r="T12699" s="255"/>
    </row>
    <row r="12700" spans="18:20" x14ac:dyDescent="0.3">
      <c r="R12700" s="255"/>
      <c r="S12700" s="255"/>
      <c r="T12700" s="255"/>
    </row>
    <row r="12701" spans="18:20" x14ac:dyDescent="0.3">
      <c r="R12701" s="255"/>
      <c r="S12701" s="255"/>
      <c r="T12701" s="255"/>
    </row>
    <row r="12702" spans="18:20" x14ac:dyDescent="0.3">
      <c r="R12702" s="255"/>
      <c r="S12702" s="255"/>
      <c r="T12702" s="255"/>
    </row>
    <row r="12703" spans="18:20" x14ac:dyDescent="0.3">
      <c r="R12703" s="255"/>
      <c r="S12703" s="255"/>
      <c r="T12703" s="255"/>
    </row>
    <row r="12704" spans="18:20" x14ac:dyDescent="0.3">
      <c r="R12704" s="255"/>
      <c r="S12704" s="255"/>
      <c r="T12704" s="255"/>
    </row>
    <row r="12705" spans="18:20" x14ac:dyDescent="0.3">
      <c r="R12705" s="255"/>
      <c r="S12705" s="255"/>
      <c r="T12705" s="255"/>
    </row>
    <row r="12706" spans="18:20" x14ac:dyDescent="0.3">
      <c r="R12706" s="255"/>
      <c r="S12706" s="255"/>
      <c r="T12706" s="255"/>
    </row>
    <row r="12707" spans="18:20" x14ac:dyDescent="0.3">
      <c r="R12707" s="255"/>
      <c r="S12707" s="255"/>
      <c r="T12707" s="255"/>
    </row>
    <row r="12708" spans="18:20" x14ac:dyDescent="0.3">
      <c r="R12708" s="255"/>
      <c r="S12708" s="255"/>
      <c r="T12708" s="255"/>
    </row>
    <row r="12709" spans="18:20" x14ac:dyDescent="0.3">
      <c r="R12709" s="255"/>
      <c r="S12709" s="255"/>
      <c r="T12709" s="255"/>
    </row>
    <row r="12710" spans="18:20" x14ac:dyDescent="0.3">
      <c r="R12710" s="255"/>
      <c r="S12710" s="255"/>
      <c r="T12710" s="255"/>
    </row>
    <row r="12711" spans="18:20" x14ac:dyDescent="0.3">
      <c r="R12711" s="255"/>
      <c r="S12711" s="255"/>
      <c r="T12711" s="255"/>
    </row>
    <row r="12712" spans="18:20" x14ac:dyDescent="0.3">
      <c r="R12712" s="255"/>
      <c r="S12712" s="255"/>
      <c r="T12712" s="255"/>
    </row>
    <row r="12713" spans="18:20" x14ac:dyDescent="0.3">
      <c r="R12713" s="255"/>
      <c r="S12713" s="255"/>
      <c r="T12713" s="255"/>
    </row>
    <row r="12714" spans="18:20" x14ac:dyDescent="0.3">
      <c r="R12714" s="255"/>
      <c r="S12714" s="255"/>
      <c r="T12714" s="255"/>
    </row>
    <row r="12715" spans="18:20" x14ac:dyDescent="0.3">
      <c r="R12715" s="255"/>
      <c r="S12715" s="255"/>
      <c r="T12715" s="255"/>
    </row>
    <row r="12716" spans="18:20" x14ac:dyDescent="0.3">
      <c r="R12716" s="255"/>
      <c r="S12716" s="255"/>
      <c r="T12716" s="255"/>
    </row>
    <row r="12717" spans="18:20" x14ac:dyDescent="0.3">
      <c r="R12717" s="255"/>
      <c r="S12717" s="255"/>
      <c r="T12717" s="255"/>
    </row>
    <row r="12718" spans="18:20" x14ac:dyDescent="0.3">
      <c r="R12718" s="255"/>
      <c r="S12718" s="255"/>
      <c r="T12718" s="255"/>
    </row>
    <row r="12719" spans="18:20" x14ac:dyDescent="0.3">
      <c r="R12719" s="255"/>
      <c r="S12719" s="255"/>
      <c r="T12719" s="255"/>
    </row>
    <row r="12720" spans="18:20" x14ac:dyDescent="0.3">
      <c r="R12720" s="255"/>
      <c r="S12720" s="255"/>
      <c r="T12720" s="255"/>
    </row>
    <row r="12721" spans="18:20" x14ac:dyDescent="0.3">
      <c r="R12721" s="255"/>
      <c r="S12721" s="255"/>
      <c r="T12721" s="255"/>
    </row>
    <row r="12722" spans="18:20" x14ac:dyDescent="0.3">
      <c r="R12722" s="255"/>
      <c r="S12722" s="255"/>
      <c r="T12722" s="255"/>
    </row>
    <row r="12723" spans="18:20" x14ac:dyDescent="0.3">
      <c r="R12723" s="255"/>
      <c r="S12723" s="255"/>
      <c r="T12723" s="255"/>
    </row>
    <row r="12724" spans="18:20" x14ac:dyDescent="0.3">
      <c r="R12724" s="255"/>
      <c r="S12724" s="255"/>
      <c r="T12724" s="255"/>
    </row>
    <row r="12725" spans="18:20" x14ac:dyDescent="0.3">
      <c r="R12725" s="255"/>
      <c r="S12725" s="255"/>
      <c r="T12725" s="255"/>
    </row>
    <row r="12726" spans="18:20" x14ac:dyDescent="0.3">
      <c r="R12726" s="255"/>
      <c r="S12726" s="255"/>
      <c r="T12726" s="255"/>
    </row>
    <row r="12727" spans="18:20" x14ac:dyDescent="0.3">
      <c r="R12727" s="255"/>
      <c r="S12727" s="255"/>
      <c r="T12727" s="255"/>
    </row>
    <row r="12728" spans="18:20" x14ac:dyDescent="0.3">
      <c r="R12728" s="255"/>
      <c r="S12728" s="255"/>
      <c r="T12728" s="255"/>
    </row>
    <row r="12729" spans="18:20" x14ac:dyDescent="0.3">
      <c r="R12729" s="255"/>
      <c r="S12729" s="255"/>
      <c r="T12729" s="255"/>
    </row>
    <row r="12730" spans="18:20" x14ac:dyDescent="0.3">
      <c r="R12730" s="255"/>
      <c r="S12730" s="255"/>
      <c r="T12730" s="255"/>
    </row>
    <row r="12731" spans="18:20" x14ac:dyDescent="0.3">
      <c r="R12731" s="255"/>
      <c r="S12731" s="255"/>
      <c r="T12731" s="255"/>
    </row>
    <row r="12732" spans="18:20" x14ac:dyDescent="0.3">
      <c r="R12732" s="255"/>
      <c r="S12732" s="255"/>
      <c r="T12732" s="255"/>
    </row>
    <row r="12733" spans="18:20" x14ac:dyDescent="0.3">
      <c r="R12733" s="255"/>
      <c r="S12733" s="255"/>
      <c r="T12733" s="255"/>
    </row>
    <row r="12734" spans="18:20" x14ac:dyDescent="0.3">
      <c r="R12734" s="255"/>
      <c r="S12734" s="255"/>
      <c r="T12734" s="255"/>
    </row>
    <row r="12735" spans="18:20" x14ac:dyDescent="0.3">
      <c r="R12735" s="255"/>
      <c r="S12735" s="255"/>
      <c r="T12735" s="255"/>
    </row>
    <row r="12736" spans="18:20" x14ac:dyDescent="0.3">
      <c r="R12736" s="255"/>
      <c r="S12736" s="255"/>
      <c r="T12736" s="255"/>
    </row>
    <row r="12737" spans="18:20" x14ac:dyDescent="0.3">
      <c r="R12737" s="255"/>
      <c r="S12737" s="255"/>
      <c r="T12737" s="255"/>
    </row>
    <row r="12738" spans="18:20" x14ac:dyDescent="0.3">
      <c r="R12738" s="255"/>
      <c r="S12738" s="255"/>
      <c r="T12738" s="255"/>
    </row>
    <row r="12739" spans="18:20" x14ac:dyDescent="0.3">
      <c r="R12739" s="255"/>
      <c r="S12739" s="255"/>
      <c r="T12739" s="255"/>
    </row>
    <row r="12740" spans="18:20" x14ac:dyDescent="0.3">
      <c r="R12740" s="255"/>
      <c r="S12740" s="255"/>
      <c r="T12740" s="255"/>
    </row>
    <row r="12741" spans="18:20" x14ac:dyDescent="0.3">
      <c r="R12741" s="255"/>
      <c r="S12741" s="255"/>
      <c r="T12741" s="255"/>
    </row>
    <row r="12742" spans="18:20" x14ac:dyDescent="0.3">
      <c r="R12742" s="255"/>
      <c r="S12742" s="255"/>
      <c r="T12742" s="255"/>
    </row>
    <row r="12743" spans="18:20" x14ac:dyDescent="0.3">
      <c r="R12743" s="255"/>
      <c r="S12743" s="255"/>
      <c r="T12743" s="255"/>
    </row>
    <row r="12744" spans="18:20" x14ac:dyDescent="0.3">
      <c r="R12744" s="255"/>
      <c r="S12744" s="255"/>
      <c r="T12744" s="255"/>
    </row>
    <row r="12745" spans="18:20" x14ac:dyDescent="0.3">
      <c r="R12745" s="255"/>
      <c r="S12745" s="255"/>
      <c r="T12745" s="255"/>
    </row>
    <row r="12746" spans="18:20" x14ac:dyDescent="0.3">
      <c r="R12746" s="255"/>
      <c r="S12746" s="255"/>
      <c r="T12746" s="255"/>
    </row>
    <row r="12747" spans="18:20" x14ac:dyDescent="0.3">
      <c r="R12747" s="255"/>
      <c r="S12747" s="255"/>
      <c r="T12747" s="255"/>
    </row>
    <row r="12748" spans="18:20" x14ac:dyDescent="0.3">
      <c r="R12748" s="255"/>
      <c r="S12748" s="255"/>
      <c r="T12748" s="255"/>
    </row>
    <row r="12749" spans="18:20" x14ac:dyDescent="0.3">
      <c r="R12749" s="255"/>
      <c r="S12749" s="255"/>
      <c r="T12749" s="255"/>
    </row>
    <row r="12750" spans="18:20" x14ac:dyDescent="0.3">
      <c r="R12750" s="255"/>
      <c r="S12750" s="255"/>
      <c r="T12750" s="255"/>
    </row>
    <row r="12751" spans="18:20" x14ac:dyDescent="0.3">
      <c r="R12751" s="255"/>
      <c r="S12751" s="255"/>
      <c r="T12751" s="255"/>
    </row>
    <row r="12752" spans="18:20" x14ac:dyDescent="0.3">
      <c r="R12752" s="255"/>
      <c r="S12752" s="255"/>
      <c r="T12752" s="255"/>
    </row>
    <row r="12753" spans="18:20" x14ac:dyDescent="0.3">
      <c r="R12753" s="255"/>
      <c r="S12753" s="255"/>
      <c r="T12753" s="255"/>
    </row>
    <row r="12754" spans="18:20" x14ac:dyDescent="0.3">
      <c r="R12754" s="255"/>
      <c r="S12754" s="255"/>
      <c r="T12754" s="255"/>
    </row>
    <row r="12755" spans="18:20" x14ac:dyDescent="0.3">
      <c r="R12755" s="255"/>
      <c r="S12755" s="255"/>
      <c r="T12755" s="255"/>
    </row>
    <row r="12756" spans="18:20" x14ac:dyDescent="0.3">
      <c r="R12756" s="255"/>
      <c r="S12756" s="255"/>
      <c r="T12756" s="255"/>
    </row>
    <row r="12757" spans="18:20" x14ac:dyDescent="0.3">
      <c r="R12757" s="255"/>
      <c r="S12757" s="255"/>
      <c r="T12757" s="255"/>
    </row>
    <row r="12758" spans="18:20" x14ac:dyDescent="0.3">
      <c r="R12758" s="255"/>
      <c r="S12758" s="255"/>
      <c r="T12758" s="255"/>
    </row>
    <row r="12759" spans="18:20" x14ac:dyDescent="0.3">
      <c r="R12759" s="255"/>
      <c r="S12759" s="255"/>
      <c r="T12759" s="255"/>
    </row>
    <row r="12760" spans="18:20" x14ac:dyDescent="0.3">
      <c r="R12760" s="255"/>
      <c r="S12760" s="255"/>
      <c r="T12760" s="255"/>
    </row>
    <row r="12761" spans="18:20" x14ac:dyDescent="0.3">
      <c r="R12761" s="255"/>
      <c r="S12761" s="255"/>
      <c r="T12761" s="255"/>
    </row>
    <row r="12762" spans="18:20" x14ac:dyDescent="0.3">
      <c r="R12762" s="255"/>
      <c r="S12762" s="255"/>
      <c r="T12762" s="255"/>
    </row>
    <row r="12763" spans="18:20" x14ac:dyDescent="0.3">
      <c r="R12763" s="255"/>
      <c r="S12763" s="255"/>
      <c r="T12763" s="255"/>
    </row>
    <row r="12764" spans="18:20" x14ac:dyDescent="0.3">
      <c r="R12764" s="255"/>
      <c r="S12764" s="255"/>
      <c r="T12764" s="255"/>
    </row>
    <row r="12765" spans="18:20" x14ac:dyDescent="0.3">
      <c r="R12765" s="255"/>
      <c r="S12765" s="255"/>
      <c r="T12765" s="255"/>
    </row>
    <row r="12766" spans="18:20" x14ac:dyDescent="0.3">
      <c r="R12766" s="255"/>
      <c r="S12766" s="255"/>
      <c r="T12766" s="255"/>
    </row>
    <row r="12767" spans="18:20" x14ac:dyDescent="0.3">
      <c r="R12767" s="255"/>
      <c r="S12767" s="255"/>
      <c r="T12767" s="255"/>
    </row>
    <row r="12768" spans="18:20" x14ac:dyDescent="0.3">
      <c r="R12768" s="255"/>
      <c r="S12768" s="255"/>
      <c r="T12768" s="255"/>
    </row>
    <row r="12769" spans="18:20" x14ac:dyDescent="0.3">
      <c r="R12769" s="255"/>
      <c r="S12769" s="255"/>
      <c r="T12769" s="255"/>
    </row>
    <row r="12770" spans="18:20" x14ac:dyDescent="0.3">
      <c r="R12770" s="255"/>
      <c r="S12770" s="255"/>
      <c r="T12770" s="255"/>
    </row>
    <row r="12771" spans="18:20" x14ac:dyDescent="0.3">
      <c r="R12771" s="255"/>
      <c r="S12771" s="255"/>
      <c r="T12771" s="255"/>
    </row>
    <row r="12772" spans="18:20" x14ac:dyDescent="0.3">
      <c r="R12772" s="255"/>
      <c r="S12772" s="255"/>
      <c r="T12772" s="255"/>
    </row>
    <row r="12773" spans="18:20" x14ac:dyDescent="0.3">
      <c r="R12773" s="255"/>
      <c r="S12773" s="255"/>
      <c r="T12773" s="255"/>
    </row>
    <row r="12774" spans="18:20" x14ac:dyDescent="0.3">
      <c r="R12774" s="255"/>
      <c r="S12774" s="255"/>
      <c r="T12774" s="255"/>
    </row>
    <row r="12775" spans="18:20" x14ac:dyDescent="0.3">
      <c r="R12775" s="255"/>
      <c r="S12775" s="255"/>
      <c r="T12775" s="255"/>
    </row>
    <row r="12776" spans="18:20" x14ac:dyDescent="0.3">
      <c r="R12776" s="255"/>
      <c r="S12776" s="255"/>
      <c r="T12776" s="255"/>
    </row>
    <row r="12777" spans="18:20" x14ac:dyDescent="0.3">
      <c r="R12777" s="255"/>
      <c r="S12777" s="255"/>
      <c r="T12777" s="255"/>
    </row>
    <row r="12778" spans="18:20" x14ac:dyDescent="0.3">
      <c r="R12778" s="255"/>
      <c r="S12778" s="255"/>
      <c r="T12778" s="255"/>
    </row>
    <row r="12779" spans="18:20" x14ac:dyDescent="0.3">
      <c r="R12779" s="255"/>
      <c r="S12779" s="255"/>
      <c r="T12779" s="255"/>
    </row>
    <row r="12780" spans="18:20" x14ac:dyDescent="0.3">
      <c r="R12780" s="255"/>
      <c r="S12780" s="255"/>
      <c r="T12780" s="255"/>
    </row>
    <row r="12781" spans="18:20" x14ac:dyDescent="0.3">
      <c r="R12781" s="255"/>
      <c r="S12781" s="255"/>
      <c r="T12781" s="255"/>
    </row>
    <row r="12782" spans="18:20" x14ac:dyDescent="0.3">
      <c r="R12782" s="255"/>
      <c r="S12782" s="255"/>
      <c r="T12782" s="255"/>
    </row>
    <row r="12783" spans="18:20" x14ac:dyDescent="0.3">
      <c r="R12783" s="255"/>
      <c r="S12783" s="255"/>
      <c r="T12783" s="255"/>
    </row>
    <row r="12784" spans="18:20" x14ac:dyDescent="0.3">
      <c r="R12784" s="255"/>
      <c r="S12784" s="255"/>
      <c r="T12784" s="255"/>
    </row>
    <row r="12785" spans="18:20" x14ac:dyDescent="0.3">
      <c r="R12785" s="255"/>
      <c r="S12785" s="255"/>
      <c r="T12785" s="255"/>
    </row>
    <row r="12786" spans="18:20" x14ac:dyDescent="0.3">
      <c r="R12786" s="255"/>
      <c r="S12786" s="255"/>
      <c r="T12786" s="255"/>
    </row>
    <row r="12787" spans="18:20" x14ac:dyDescent="0.3">
      <c r="R12787" s="255"/>
      <c r="S12787" s="255"/>
      <c r="T12787" s="255"/>
    </row>
    <row r="12788" spans="18:20" x14ac:dyDescent="0.3">
      <c r="R12788" s="255"/>
      <c r="S12788" s="255"/>
      <c r="T12788" s="255"/>
    </row>
    <row r="12789" spans="18:20" x14ac:dyDescent="0.3">
      <c r="R12789" s="255"/>
      <c r="S12789" s="255"/>
      <c r="T12789" s="255"/>
    </row>
    <row r="12790" spans="18:20" x14ac:dyDescent="0.3">
      <c r="R12790" s="255"/>
      <c r="S12790" s="255"/>
      <c r="T12790" s="255"/>
    </row>
    <row r="12791" spans="18:20" x14ac:dyDescent="0.3">
      <c r="R12791" s="255"/>
      <c r="S12791" s="255"/>
      <c r="T12791" s="255"/>
    </row>
    <row r="12792" spans="18:20" x14ac:dyDescent="0.3">
      <c r="R12792" s="255"/>
      <c r="S12792" s="255"/>
      <c r="T12792" s="255"/>
    </row>
    <row r="12793" spans="18:20" x14ac:dyDescent="0.3">
      <c r="R12793" s="255"/>
      <c r="S12793" s="255"/>
      <c r="T12793" s="255"/>
    </row>
    <row r="12794" spans="18:20" x14ac:dyDescent="0.3">
      <c r="R12794" s="255"/>
      <c r="S12794" s="255"/>
      <c r="T12794" s="255"/>
    </row>
    <row r="12795" spans="18:20" x14ac:dyDescent="0.3">
      <c r="R12795" s="255"/>
      <c r="S12795" s="255"/>
      <c r="T12795" s="255"/>
    </row>
    <row r="12796" spans="18:20" x14ac:dyDescent="0.3">
      <c r="R12796" s="255"/>
      <c r="S12796" s="255"/>
      <c r="T12796" s="255"/>
    </row>
    <row r="12797" spans="18:20" x14ac:dyDescent="0.3">
      <c r="R12797" s="255"/>
      <c r="S12797" s="255"/>
      <c r="T12797" s="255"/>
    </row>
    <row r="12798" spans="18:20" x14ac:dyDescent="0.3">
      <c r="R12798" s="255"/>
      <c r="S12798" s="255"/>
      <c r="T12798" s="255"/>
    </row>
    <row r="12799" spans="18:20" x14ac:dyDescent="0.3">
      <c r="R12799" s="255"/>
      <c r="S12799" s="255"/>
      <c r="T12799" s="255"/>
    </row>
    <row r="12800" spans="18:20" x14ac:dyDescent="0.3">
      <c r="R12800" s="255"/>
      <c r="S12800" s="255"/>
      <c r="T12800" s="255"/>
    </row>
    <row r="12801" spans="18:20" x14ac:dyDescent="0.3">
      <c r="R12801" s="255"/>
      <c r="S12801" s="255"/>
      <c r="T12801" s="255"/>
    </row>
    <row r="12802" spans="18:20" x14ac:dyDescent="0.3">
      <c r="R12802" s="255"/>
      <c r="S12802" s="255"/>
      <c r="T12802" s="255"/>
    </row>
    <row r="12803" spans="18:20" x14ac:dyDescent="0.3">
      <c r="R12803" s="255"/>
      <c r="S12803" s="255"/>
      <c r="T12803" s="255"/>
    </row>
    <row r="12804" spans="18:20" x14ac:dyDescent="0.3">
      <c r="R12804" s="255"/>
      <c r="S12804" s="255"/>
      <c r="T12804" s="255"/>
    </row>
    <row r="12805" spans="18:20" x14ac:dyDescent="0.3">
      <c r="R12805" s="255"/>
      <c r="S12805" s="255"/>
      <c r="T12805" s="255"/>
    </row>
    <row r="12806" spans="18:20" x14ac:dyDescent="0.3">
      <c r="R12806" s="255"/>
      <c r="S12806" s="255"/>
      <c r="T12806" s="255"/>
    </row>
    <row r="12807" spans="18:20" x14ac:dyDescent="0.3">
      <c r="R12807" s="255"/>
      <c r="S12807" s="255"/>
      <c r="T12807" s="255"/>
    </row>
    <row r="12808" spans="18:20" x14ac:dyDescent="0.3">
      <c r="R12808" s="255"/>
      <c r="S12808" s="255"/>
      <c r="T12808" s="255"/>
    </row>
    <row r="12809" spans="18:20" x14ac:dyDescent="0.3">
      <c r="R12809" s="255"/>
      <c r="S12809" s="255"/>
      <c r="T12809" s="255"/>
    </row>
    <row r="12810" spans="18:20" x14ac:dyDescent="0.3">
      <c r="R12810" s="255"/>
      <c r="S12810" s="255"/>
      <c r="T12810" s="255"/>
    </row>
    <row r="12811" spans="18:20" x14ac:dyDescent="0.3">
      <c r="R12811" s="255"/>
      <c r="S12811" s="255"/>
      <c r="T12811" s="255"/>
    </row>
    <row r="12812" spans="18:20" x14ac:dyDescent="0.3">
      <c r="R12812" s="255"/>
      <c r="S12812" s="255"/>
      <c r="T12812" s="255"/>
    </row>
    <row r="12813" spans="18:20" x14ac:dyDescent="0.3">
      <c r="R12813" s="255"/>
      <c r="S12813" s="255"/>
      <c r="T12813" s="255"/>
    </row>
    <row r="12814" spans="18:20" x14ac:dyDescent="0.3">
      <c r="R12814" s="255"/>
      <c r="S12814" s="255"/>
      <c r="T12814" s="255"/>
    </row>
    <row r="12815" spans="18:20" x14ac:dyDescent="0.3">
      <c r="R12815" s="255"/>
      <c r="S12815" s="255"/>
      <c r="T12815" s="255"/>
    </row>
    <row r="12816" spans="18:20" x14ac:dyDescent="0.3">
      <c r="R12816" s="255"/>
      <c r="S12816" s="255"/>
      <c r="T12816" s="255"/>
    </row>
    <row r="12817" spans="18:20" x14ac:dyDescent="0.3">
      <c r="R12817" s="255"/>
      <c r="S12817" s="255"/>
      <c r="T12817" s="255"/>
    </row>
    <row r="12818" spans="18:20" x14ac:dyDescent="0.3">
      <c r="R12818" s="255"/>
      <c r="S12818" s="255"/>
      <c r="T12818" s="255"/>
    </row>
    <row r="12819" spans="18:20" x14ac:dyDescent="0.3">
      <c r="R12819" s="255"/>
      <c r="S12819" s="255"/>
      <c r="T12819" s="255"/>
    </row>
    <row r="12820" spans="18:20" x14ac:dyDescent="0.3">
      <c r="R12820" s="255"/>
      <c r="S12820" s="255"/>
      <c r="T12820" s="255"/>
    </row>
    <row r="12821" spans="18:20" x14ac:dyDescent="0.3">
      <c r="R12821" s="255"/>
      <c r="S12821" s="255"/>
      <c r="T12821" s="255"/>
    </row>
    <row r="12822" spans="18:20" x14ac:dyDescent="0.3">
      <c r="R12822" s="255"/>
      <c r="S12822" s="255"/>
      <c r="T12822" s="255"/>
    </row>
    <row r="12823" spans="18:20" x14ac:dyDescent="0.3">
      <c r="R12823" s="255"/>
      <c r="S12823" s="255"/>
      <c r="T12823" s="255"/>
    </row>
    <row r="12824" spans="18:20" x14ac:dyDescent="0.3">
      <c r="R12824" s="255"/>
      <c r="S12824" s="255"/>
      <c r="T12824" s="255"/>
    </row>
    <row r="12825" spans="18:20" x14ac:dyDescent="0.3">
      <c r="R12825" s="255"/>
      <c r="S12825" s="255"/>
      <c r="T12825" s="255"/>
    </row>
    <row r="12826" spans="18:20" x14ac:dyDescent="0.3">
      <c r="R12826" s="255"/>
      <c r="S12826" s="255"/>
      <c r="T12826" s="255"/>
    </row>
    <row r="12827" spans="18:20" x14ac:dyDescent="0.3">
      <c r="R12827" s="255"/>
      <c r="S12827" s="255"/>
      <c r="T12827" s="255"/>
    </row>
    <row r="12828" spans="18:20" x14ac:dyDescent="0.3">
      <c r="R12828" s="255"/>
      <c r="S12828" s="255"/>
      <c r="T12828" s="255"/>
    </row>
    <row r="12829" spans="18:20" x14ac:dyDescent="0.3">
      <c r="R12829" s="255"/>
      <c r="S12829" s="255"/>
      <c r="T12829" s="255"/>
    </row>
    <row r="12830" spans="18:20" x14ac:dyDescent="0.3">
      <c r="R12830" s="255"/>
      <c r="S12830" s="255"/>
      <c r="T12830" s="255"/>
    </row>
    <row r="12831" spans="18:20" x14ac:dyDescent="0.3">
      <c r="R12831" s="255"/>
      <c r="S12831" s="255"/>
      <c r="T12831" s="255"/>
    </row>
    <row r="12832" spans="18:20" x14ac:dyDescent="0.3">
      <c r="R12832" s="255"/>
      <c r="S12832" s="255"/>
      <c r="T12832" s="255"/>
    </row>
    <row r="12833" spans="18:20" x14ac:dyDescent="0.3">
      <c r="R12833" s="255"/>
      <c r="S12833" s="255"/>
      <c r="T12833" s="255"/>
    </row>
    <row r="12834" spans="18:20" x14ac:dyDescent="0.3">
      <c r="R12834" s="255"/>
      <c r="S12834" s="255"/>
      <c r="T12834" s="255"/>
    </row>
    <row r="12835" spans="18:20" x14ac:dyDescent="0.3">
      <c r="R12835" s="255"/>
      <c r="S12835" s="255"/>
      <c r="T12835" s="255"/>
    </row>
    <row r="12836" spans="18:20" x14ac:dyDescent="0.3">
      <c r="R12836" s="255"/>
      <c r="S12836" s="255"/>
      <c r="T12836" s="255"/>
    </row>
    <row r="12837" spans="18:20" x14ac:dyDescent="0.3">
      <c r="R12837" s="255"/>
      <c r="S12837" s="255"/>
      <c r="T12837" s="255"/>
    </row>
    <row r="12838" spans="18:20" x14ac:dyDescent="0.3">
      <c r="R12838" s="255"/>
      <c r="S12838" s="255"/>
      <c r="T12838" s="255"/>
    </row>
    <row r="12839" spans="18:20" x14ac:dyDescent="0.3">
      <c r="R12839" s="255"/>
      <c r="S12839" s="255"/>
      <c r="T12839" s="255"/>
    </row>
    <row r="12840" spans="18:20" x14ac:dyDescent="0.3">
      <c r="R12840" s="255"/>
      <c r="S12840" s="255"/>
      <c r="T12840" s="255"/>
    </row>
    <row r="12841" spans="18:20" x14ac:dyDescent="0.3">
      <c r="R12841" s="255"/>
      <c r="S12841" s="255"/>
      <c r="T12841" s="255"/>
    </row>
    <row r="12842" spans="18:20" x14ac:dyDescent="0.3">
      <c r="R12842" s="255"/>
      <c r="S12842" s="255"/>
      <c r="T12842" s="255"/>
    </row>
    <row r="12843" spans="18:20" x14ac:dyDescent="0.3">
      <c r="R12843" s="255"/>
      <c r="S12843" s="255"/>
      <c r="T12843" s="255"/>
    </row>
    <row r="12844" spans="18:20" x14ac:dyDescent="0.3">
      <c r="R12844" s="255"/>
      <c r="S12844" s="255"/>
      <c r="T12844" s="255"/>
    </row>
    <row r="12845" spans="18:20" x14ac:dyDescent="0.3">
      <c r="R12845" s="255"/>
      <c r="S12845" s="255"/>
      <c r="T12845" s="255"/>
    </row>
    <row r="12846" spans="18:20" x14ac:dyDescent="0.3">
      <c r="R12846" s="255"/>
      <c r="S12846" s="255"/>
      <c r="T12846" s="255"/>
    </row>
    <row r="12847" spans="18:20" x14ac:dyDescent="0.3">
      <c r="R12847" s="255"/>
      <c r="S12847" s="255"/>
      <c r="T12847" s="255"/>
    </row>
    <row r="12848" spans="18:20" x14ac:dyDescent="0.3">
      <c r="R12848" s="255"/>
      <c r="S12848" s="255"/>
      <c r="T12848" s="255"/>
    </row>
    <row r="12849" spans="18:20" x14ac:dyDescent="0.3">
      <c r="R12849" s="255"/>
      <c r="S12849" s="255"/>
      <c r="T12849" s="255"/>
    </row>
    <row r="12850" spans="18:20" x14ac:dyDescent="0.3">
      <c r="R12850" s="255"/>
      <c r="S12850" s="255"/>
      <c r="T12850" s="255"/>
    </row>
    <row r="12851" spans="18:20" x14ac:dyDescent="0.3">
      <c r="R12851" s="255"/>
      <c r="S12851" s="255"/>
      <c r="T12851" s="255"/>
    </row>
    <row r="12852" spans="18:20" x14ac:dyDescent="0.3">
      <c r="R12852" s="255"/>
      <c r="S12852" s="255"/>
      <c r="T12852" s="255"/>
    </row>
    <row r="12853" spans="18:20" x14ac:dyDescent="0.3">
      <c r="R12853" s="255"/>
      <c r="S12853" s="255"/>
      <c r="T12853" s="255"/>
    </row>
    <row r="12854" spans="18:20" x14ac:dyDescent="0.3">
      <c r="R12854" s="255"/>
      <c r="S12854" s="255"/>
      <c r="T12854" s="255"/>
    </row>
    <row r="12855" spans="18:20" x14ac:dyDescent="0.3">
      <c r="R12855" s="255"/>
      <c r="S12855" s="255"/>
      <c r="T12855" s="255"/>
    </row>
    <row r="12856" spans="18:20" x14ac:dyDescent="0.3">
      <c r="R12856" s="255"/>
      <c r="S12856" s="255"/>
      <c r="T12856" s="255"/>
    </row>
    <row r="12857" spans="18:20" x14ac:dyDescent="0.3">
      <c r="R12857" s="255"/>
      <c r="S12857" s="255"/>
      <c r="T12857" s="255"/>
    </row>
    <row r="12858" spans="18:20" x14ac:dyDescent="0.3">
      <c r="R12858" s="255"/>
      <c r="S12858" s="255"/>
      <c r="T12858" s="255"/>
    </row>
    <row r="12859" spans="18:20" x14ac:dyDescent="0.3">
      <c r="R12859" s="255"/>
      <c r="S12859" s="255"/>
      <c r="T12859" s="255"/>
    </row>
    <row r="12860" spans="18:20" x14ac:dyDescent="0.3">
      <c r="R12860" s="255"/>
      <c r="S12860" s="255"/>
      <c r="T12860" s="255"/>
    </row>
    <row r="12861" spans="18:20" x14ac:dyDescent="0.3">
      <c r="R12861" s="255"/>
      <c r="S12861" s="255"/>
      <c r="T12861" s="255"/>
    </row>
    <row r="12862" spans="18:20" x14ac:dyDescent="0.3">
      <c r="R12862" s="255"/>
      <c r="S12862" s="255"/>
      <c r="T12862" s="255"/>
    </row>
    <row r="12863" spans="18:20" x14ac:dyDescent="0.3">
      <c r="R12863" s="255"/>
      <c r="S12863" s="255"/>
      <c r="T12863" s="255"/>
    </row>
    <row r="12864" spans="18:20" x14ac:dyDescent="0.3">
      <c r="R12864" s="255"/>
      <c r="S12864" s="255"/>
      <c r="T12864" s="255"/>
    </row>
    <row r="12865" spans="18:20" x14ac:dyDescent="0.3">
      <c r="R12865" s="255"/>
      <c r="S12865" s="255"/>
      <c r="T12865" s="255"/>
    </row>
    <row r="12866" spans="18:20" x14ac:dyDescent="0.3">
      <c r="R12866" s="255"/>
      <c r="S12866" s="255"/>
      <c r="T12866" s="255"/>
    </row>
    <row r="12867" spans="18:20" x14ac:dyDescent="0.3">
      <c r="R12867" s="255"/>
      <c r="S12867" s="255"/>
      <c r="T12867" s="255"/>
    </row>
    <row r="12868" spans="18:20" x14ac:dyDescent="0.3">
      <c r="R12868" s="255"/>
      <c r="S12868" s="255"/>
      <c r="T12868" s="255"/>
    </row>
    <row r="12869" spans="18:20" x14ac:dyDescent="0.3">
      <c r="R12869" s="255"/>
      <c r="S12869" s="255"/>
      <c r="T12869" s="255"/>
    </row>
    <row r="12870" spans="18:20" x14ac:dyDescent="0.3">
      <c r="R12870" s="255"/>
      <c r="S12870" s="255"/>
      <c r="T12870" s="255"/>
    </row>
    <row r="12871" spans="18:20" x14ac:dyDescent="0.3">
      <c r="R12871" s="255"/>
      <c r="S12871" s="255"/>
      <c r="T12871" s="255"/>
    </row>
    <row r="12872" spans="18:20" x14ac:dyDescent="0.3">
      <c r="R12872" s="255"/>
      <c r="S12872" s="255"/>
      <c r="T12872" s="255"/>
    </row>
    <row r="12873" spans="18:20" x14ac:dyDescent="0.3">
      <c r="R12873" s="255"/>
      <c r="S12873" s="255"/>
      <c r="T12873" s="255"/>
    </row>
    <row r="12874" spans="18:20" x14ac:dyDescent="0.3">
      <c r="R12874" s="255"/>
      <c r="S12874" s="255"/>
      <c r="T12874" s="255"/>
    </row>
    <row r="12875" spans="18:20" x14ac:dyDescent="0.3">
      <c r="R12875" s="255"/>
      <c r="S12875" s="255"/>
      <c r="T12875" s="255"/>
    </row>
    <row r="12876" spans="18:20" x14ac:dyDescent="0.3">
      <c r="R12876" s="255"/>
      <c r="S12876" s="255"/>
      <c r="T12876" s="255"/>
    </row>
    <row r="12877" spans="18:20" x14ac:dyDescent="0.3">
      <c r="R12877" s="255"/>
      <c r="S12877" s="255"/>
      <c r="T12877" s="255"/>
    </row>
    <row r="12878" spans="18:20" x14ac:dyDescent="0.3">
      <c r="R12878" s="255"/>
      <c r="S12878" s="255"/>
      <c r="T12878" s="255"/>
    </row>
    <row r="12879" spans="18:20" x14ac:dyDescent="0.3">
      <c r="R12879" s="255"/>
      <c r="S12879" s="255"/>
      <c r="T12879" s="255"/>
    </row>
    <row r="12880" spans="18:20" x14ac:dyDescent="0.3">
      <c r="R12880" s="255"/>
      <c r="S12880" s="255"/>
      <c r="T12880" s="255"/>
    </row>
    <row r="12881" spans="18:20" x14ac:dyDescent="0.3">
      <c r="R12881" s="255"/>
      <c r="S12881" s="255"/>
      <c r="T12881" s="255"/>
    </row>
    <row r="12882" spans="18:20" x14ac:dyDescent="0.3">
      <c r="R12882" s="255"/>
      <c r="S12882" s="255"/>
      <c r="T12882" s="255"/>
    </row>
    <row r="12883" spans="18:20" x14ac:dyDescent="0.3">
      <c r="R12883" s="255"/>
      <c r="S12883" s="255"/>
      <c r="T12883" s="255"/>
    </row>
    <row r="12884" spans="18:20" x14ac:dyDescent="0.3">
      <c r="R12884" s="255"/>
      <c r="S12884" s="255"/>
      <c r="T12884" s="255"/>
    </row>
    <row r="12885" spans="18:20" x14ac:dyDescent="0.3">
      <c r="R12885" s="255"/>
      <c r="S12885" s="255"/>
      <c r="T12885" s="255"/>
    </row>
    <row r="12886" spans="18:20" x14ac:dyDescent="0.3">
      <c r="R12886" s="255"/>
      <c r="S12886" s="255"/>
      <c r="T12886" s="255"/>
    </row>
    <row r="12887" spans="18:20" x14ac:dyDescent="0.3">
      <c r="R12887" s="255"/>
      <c r="S12887" s="255"/>
      <c r="T12887" s="255"/>
    </row>
    <row r="12888" spans="18:20" x14ac:dyDescent="0.3">
      <c r="R12888" s="255"/>
      <c r="S12888" s="255"/>
      <c r="T12888" s="255"/>
    </row>
    <row r="12889" spans="18:20" x14ac:dyDescent="0.3">
      <c r="R12889" s="255"/>
      <c r="S12889" s="255"/>
      <c r="T12889" s="255"/>
    </row>
    <row r="12890" spans="18:20" x14ac:dyDescent="0.3">
      <c r="R12890" s="255"/>
      <c r="S12890" s="255"/>
      <c r="T12890" s="255"/>
    </row>
    <row r="12891" spans="18:20" x14ac:dyDescent="0.3">
      <c r="R12891" s="255"/>
      <c r="S12891" s="255"/>
      <c r="T12891" s="255"/>
    </row>
    <row r="12892" spans="18:20" x14ac:dyDescent="0.3">
      <c r="R12892" s="255"/>
      <c r="S12892" s="255"/>
      <c r="T12892" s="255"/>
    </row>
    <row r="12893" spans="18:20" x14ac:dyDescent="0.3">
      <c r="R12893" s="255"/>
      <c r="S12893" s="255"/>
      <c r="T12893" s="255"/>
    </row>
    <row r="12894" spans="18:20" x14ac:dyDescent="0.3">
      <c r="R12894" s="255"/>
      <c r="S12894" s="255"/>
      <c r="T12894" s="255"/>
    </row>
    <row r="12895" spans="18:20" x14ac:dyDescent="0.3">
      <c r="R12895" s="255"/>
      <c r="S12895" s="255"/>
      <c r="T12895" s="255"/>
    </row>
    <row r="12896" spans="18:20" x14ac:dyDescent="0.3">
      <c r="R12896" s="255"/>
      <c r="S12896" s="255"/>
      <c r="T12896" s="255"/>
    </row>
    <row r="12897" spans="18:20" x14ac:dyDescent="0.3">
      <c r="R12897" s="255"/>
      <c r="S12897" s="255"/>
      <c r="T12897" s="255"/>
    </row>
    <row r="12898" spans="18:20" x14ac:dyDescent="0.3">
      <c r="R12898" s="255"/>
      <c r="S12898" s="255"/>
      <c r="T12898" s="255"/>
    </row>
    <row r="12899" spans="18:20" x14ac:dyDescent="0.3">
      <c r="R12899" s="255"/>
      <c r="S12899" s="255"/>
      <c r="T12899" s="255"/>
    </row>
    <row r="12900" spans="18:20" x14ac:dyDescent="0.3">
      <c r="R12900" s="255"/>
      <c r="S12900" s="255"/>
      <c r="T12900" s="255"/>
    </row>
    <row r="12901" spans="18:20" x14ac:dyDescent="0.3">
      <c r="R12901" s="255"/>
      <c r="S12901" s="255"/>
      <c r="T12901" s="255"/>
    </row>
    <row r="12902" spans="18:20" x14ac:dyDescent="0.3">
      <c r="R12902" s="255"/>
      <c r="S12902" s="255"/>
      <c r="T12902" s="255"/>
    </row>
    <row r="12903" spans="18:20" x14ac:dyDescent="0.3">
      <c r="R12903" s="255"/>
      <c r="S12903" s="255"/>
      <c r="T12903" s="255"/>
    </row>
    <row r="12904" spans="18:20" x14ac:dyDescent="0.3">
      <c r="R12904" s="255"/>
      <c r="S12904" s="255"/>
      <c r="T12904" s="255"/>
    </row>
    <row r="12905" spans="18:20" x14ac:dyDescent="0.3">
      <c r="R12905" s="255"/>
      <c r="S12905" s="255"/>
      <c r="T12905" s="255"/>
    </row>
    <row r="12906" spans="18:20" x14ac:dyDescent="0.3">
      <c r="R12906" s="255"/>
      <c r="S12906" s="255"/>
      <c r="T12906" s="255"/>
    </row>
    <row r="12907" spans="18:20" x14ac:dyDescent="0.3">
      <c r="R12907" s="255"/>
      <c r="S12907" s="255"/>
      <c r="T12907" s="255"/>
    </row>
    <row r="12908" spans="18:20" x14ac:dyDescent="0.3">
      <c r="R12908" s="255"/>
      <c r="S12908" s="255"/>
      <c r="T12908" s="255"/>
    </row>
    <row r="12909" spans="18:20" x14ac:dyDescent="0.3">
      <c r="R12909" s="255"/>
      <c r="S12909" s="255"/>
      <c r="T12909" s="255"/>
    </row>
    <row r="12910" spans="18:20" x14ac:dyDescent="0.3">
      <c r="R12910" s="255"/>
      <c r="S12910" s="255"/>
      <c r="T12910" s="255"/>
    </row>
    <row r="12911" spans="18:20" x14ac:dyDescent="0.3">
      <c r="R12911" s="255"/>
      <c r="S12911" s="255"/>
      <c r="T12911" s="255"/>
    </row>
    <row r="12912" spans="18:20" x14ac:dyDescent="0.3">
      <c r="R12912" s="255"/>
      <c r="S12912" s="255"/>
      <c r="T12912" s="255"/>
    </row>
    <row r="12913" spans="18:20" x14ac:dyDescent="0.3">
      <c r="R12913" s="255"/>
      <c r="S12913" s="255"/>
      <c r="T12913" s="255"/>
    </row>
    <row r="12914" spans="18:20" x14ac:dyDescent="0.3">
      <c r="R12914" s="255"/>
      <c r="S12914" s="255"/>
      <c r="T12914" s="255"/>
    </row>
    <row r="12915" spans="18:20" x14ac:dyDescent="0.3">
      <c r="R12915" s="255"/>
      <c r="S12915" s="255"/>
      <c r="T12915" s="255"/>
    </row>
    <row r="12916" spans="18:20" x14ac:dyDescent="0.3">
      <c r="R12916" s="255"/>
      <c r="S12916" s="255"/>
      <c r="T12916" s="255"/>
    </row>
    <row r="12917" spans="18:20" x14ac:dyDescent="0.3">
      <c r="R12917" s="255"/>
      <c r="S12917" s="255"/>
      <c r="T12917" s="255"/>
    </row>
    <row r="12918" spans="18:20" x14ac:dyDescent="0.3">
      <c r="R12918" s="255"/>
      <c r="S12918" s="255"/>
      <c r="T12918" s="255"/>
    </row>
    <row r="12919" spans="18:20" x14ac:dyDescent="0.3">
      <c r="R12919" s="255"/>
      <c r="S12919" s="255"/>
      <c r="T12919" s="255"/>
    </row>
    <row r="12920" spans="18:20" x14ac:dyDescent="0.3">
      <c r="R12920" s="255"/>
      <c r="S12920" s="255"/>
      <c r="T12920" s="255"/>
    </row>
    <row r="12921" spans="18:20" x14ac:dyDescent="0.3">
      <c r="R12921" s="255"/>
      <c r="S12921" s="255"/>
      <c r="T12921" s="255"/>
    </row>
    <row r="12922" spans="18:20" x14ac:dyDescent="0.3">
      <c r="R12922" s="255"/>
      <c r="S12922" s="255"/>
      <c r="T12922" s="255"/>
    </row>
    <row r="12923" spans="18:20" x14ac:dyDescent="0.3">
      <c r="R12923" s="255"/>
      <c r="S12923" s="255"/>
      <c r="T12923" s="255"/>
    </row>
    <row r="12924" spans="18:20" x14ac:dyDescent="0.3">
      <c r="R12924" s="255"/>
      <c r="S12924" s="255"/>
      <c r="T12924" s="255"/>
    </row>
    <row r="12925" spans="18:20" x14ac:dyDescent="0.3">
      <c r="R12925" s="255"/>
      <c r="S12925" s="255"/>
      <c r="T12925" s="255"/>
    </row>
    <row r="12926" spans="18:20" x14ac:dyDescent="0.3">
      <c r="R12926" s="255"/>
      <c r="S12926" s="255"/>
      <c r="T12926" s="255"/>
    </row>
    <row r="12927" spans="18:20" x14ac:dyDescent="0.3">
      <c r="R12927" s="255"/>
      <c r="S12927" s="255"/>
      <c r="T12927" s="255"/>
    </row>
    <row r="12928" spans="18:20" x14ac:dyDescent="0.3">
      <c r="R12928" s="255"/>
      <c r="S12928" s="255"/>
      <c r="T12928" s="255"/>
    </row>
    <row r="12929" spans="18:20" x14ac:dyDescent="0.3">
      <c r="R12929" s="255"/>
      <c r="S12929" s="255"/>
      <c r="T12929" s="255"/>
    </row>
    <row r="12930" spans="18:20" x14ac:dyDescent="0.3">
      <c r="R12930" s="255"/>
      <c r="S12930" s="255"/>
      <c r="T12930" s="255"/>
    </row>
    <row r="12931" spans="18:20" x14ac:dyDescent="0.3">
      <c r="R12931" s="255"/>
      <c r="S12931" s="255"/>
      <c r="T12931" s="255"/>
    </row>
    <row r="12932" spans="18:20" x14ac:dyDescent="0.3">
      <c r="R12932" s="255"/>
      <c r="S12932" s="255"/>
      <c r="T12932" s="255"/>
    </row>
    <row r="12933" spans="18:20" x14ac:dyDescent="0.3">
      <c r="R12933" s="255"/>
      <c r="S12933" s="255"/>
      <c r="T12933" s="255"/>
    </row>
    <row r="12934" spans="18:20" x14ac:dyDescent="0.3">
      <c r="R12934" s="255"/>
      <c r="S12934" s="255"/>
      <c r="T12934" s="255"/>
    </row>
    <row r="12935" spans="18:20" x14ac:dyDescent="0.3">
      <c r="R12935" s="255"/>
      <c r="S12935" s="255"/>
      <c r="T12935" s="255"/>
    </row>
    <row r="12936" spans="18:20" x14ac:dyDescent="0.3">
      <c r="R12936" s="255"/>
      <c r="S12936" s="255"/>
      <c r="T12936" s="255"/>
    </row>
    <row r="12937" spans="18:20" x14ac:dyDescent="0.3">
      <c r="R12937" s="255"/>
      <c r="S12937" s="255"/>
      <c r="T12937" s="255"/>
    </row>
    <row r="12938" spans="18:20" x14ac:dyDescent="0.3">
      <c r="R12938" s="255"/>
      <c r="S12938" s="255"/>
      <c r="T12938" s="255"/>
    </row>
    <row r="12939" spans="18:20" x14ac:dyDescent="0.3">
      <c r="R12939" s="255"/>
      <c r="S12939" s="255"/>
      <c r="T12939" s="255"/>
    </row>
    <row r="12940" spans="18:20" x14ac:dyDescent="0.3">
      <c r="R12940" s="255"/>
      <c r="S12940" s="255"/>
      <c r="T12940" s="255"/>
    </row>
    <row r="12941" spans="18:20" x14ac:dyDescent="0.3">
      <c r="R12941" s="255"/>
      <c r="S12941" s="255"/>
      <c r="T12941" s="255"/>
    </row>
    <row r="12942" spans="18:20" x14ac:dyDescent="0.3">
      <c r="R12942" s="255"/>
      <c r="S12942" s="255"/>
      <c r="T12942" s="255"/>
    </row>
    <row r="12943" spans="18:20" x14ac:dyDescent="0.3">
      <c r="R12943" s="255"/>
      <c r="S12943" s="255"/>
      <c r="T12943" s="255"/>
    </row>
    <row r="12944" spans="18:20" x14ac:dyDescent="0.3">
      <c r="R12944" s="255"/>
      <c r="S12944" s="255"/>
      <c r="T12944" s="255"/>
    </row>
    <row r="12945" spans="18:20" x14ac:dyDescent="0.3">
      <c r="R12945" s="255"/>
      <c r="S12945" s="255"/>
      <c r="T12945" s="255"/>
    </row>
    <row r="12946" spans="18:20" x14ac:dyDescent="0.3">
      <c r="R12946" s="255"/>
      <c r="S12946" s="255"/>
      <c r="T12946" s="255"/>
    </row>
    <row r="12947" spans="18:20" x14ac:dyDescent="0.3">
      <c r="R12947" s="255"/>
      <c r="S12947" s="255"/>
      <c r="T12947" s="255"/>
    </row>
    <row r="12948" spans="18:20" x14ac:dyDescent="0.3">
      <c r="R12948" s="255"/>
      <c r="S12948" s="255"/>
      <c r="T12948" s="255"/>
    </row>
    <row r="12949" spans="18:20" x14ac:dyDescent="0.3">
      <c r="R12949" s="255"/>
      <c r="S12949" s="255"/>
      <c r="T12949" s="255"/>
    </row>
    <row r="12950" spans="18:20" x14ac:dyDescent="0.3">
      <c r="R12950" s="255"/>
      <c r="S12950" s="255"/>
      <c r="T12950" s="255"/>
    </row>
    <row r="12951" spans="18:20" x14ac:dyDescent="0.3">
      <c r="R12951" s="255"/>
      <c r="S12951" s="255"/>
      <c r="T12951" s="255"/>
    </row>
    <row r="12952" spans="18:20" x14ac:dyDescent="0.3">
      <c r="R12952" s="255"/>
      <c r="S12952" s="255"/>
      <c r="T12952" s="255"/>
    </row>
    <row r="12953" spans="18:20" x14ac:dyDescent="0.3">
      <c r="R12953" s="255"/>
      <c r="S12953" s="255"/>
      <c r="T12953" s="255"/>
    </row>
    <row r="12954" spans="18:20" x14ac:dyDescent="0.3">
      <c r="R12954" s="255"/>
      <c r="S12954" s="255"/>
      <c r="T12954" s="255"/>
    </row>
    <row r="12955" spans="18:20" x14ac:dyDescent="0.3">
      <c r="R12955" s="255"/>
      <c r="S12955" s="255"/>
      <c r="T12955" s="255"/>
    </row>
    <row r="12956" spans="18:20" x14ac:dyDescent="0.3">
      <c r="R12956" s="255"/>
      <c r="S12956" s="255"/>
      <c r="T12956" s="255"/>
    </row>
    <row r="12957" spans="18:20" x14ac:dyDescent="0.3">
      <c r="R12957" s="255"/>
      <c r="S12957" s="255"/>
      <c r="T12957" s="255"/>
    </row>
    <row r="12958" spans="18:20" x14ac:dyDescent="0.3">
      <c r="R12958" s="255"/>
      <c r="S12958" s="255"/>
      <c r="T12958" s="255"/>
    </row>
    <row r="12959" spans="18:20" x14ac:dyDescent="0.3">
      <c r="R12959" s="255"/>
      <c r="S12959" s="255"/>
      <c r="T12959" s="255"/>
    </row>
    <row r="12960" spans="18:20" x14ac:dyDescent="0.3">
      <c r="R12960" s="255"/>
      <c r="S12960" s="255"/>
      <c r="T12960" s="255"/>
    </row>
    <row r="12961" spans="18:20" x14ac:dyDescent="0.3">
      <c r="R12961" s="255"/>
      <c r="S12961" s="255"/>
      <c r="T12961" s="255"/>
    </row>
    <row r="12962" spans="18:20" x14ac:dyDescent="0.3">
      <c r="R12962" s="255"/>
      <c r="S12962" s="255"/>
      <c r="T12962" s="255"/>
    </row>
    <row r="12963" spans="18:20" x14ac:dyDescent="0.3">
      <c r="R12963" s="255"/>
      <c r="S12963" s="255"/>
      <c r="T12963" s="255"/>
    </row>
    <row r="12964" spans="18:20" x14ac:dyDescent="0.3">
      <c r="R12964" s="255"/>
      <c r="S12964" s="255"/>
      <c r="T12964" s="255"/>
    </row>
    <row r="12965" spans="18:20" x14ac:dyDescent="0.3">
      <c r="R12965" s="255"/>
      <c r="S12965" s="255"/>
      <c r="T12965" s="255"/>
    </row>
    <row r="12966" spans="18:20" x14ac:dyDescent="0.3">
      <c r="R12966" s="255"/>
      <c r="S12966" s="255"/>
      <c r="T12966" s="255"/>
    </row>
    <row r="12967" spans="18:20" x14ac:dyDescent="0.3">
      <c r="R12967" s="255"/>
      <c r="S12967" s="255"/>
      <c r="T12967" s="255"/>
    </row>
    <row r="12968" spans="18:20" x14ac:dyDescent="0.3">
      <c r="R12968" s="255"/>
      <c r="S12968" s="255"/>
      <c r="T12968" s="255"/>
    </row>
    <row r="12969" spans="18:20" x14ac:dyDescent="0.3">
      <c r="R12969" s="255"/>
      <c r="S12969" s="255"/>
      <c r="T12969" s="255"/>
    </row>
    <row r="12970" spans="18:20" x14ac:dyDescent="0.3">
      <c r="R12970" s="255"/>
      <c r="S12970" s="255"/>
      <c r="T12970" s="255"/>
    </row>
    <row r="12971" spans="18:20" x14ac:dyDescent="0.3">
      <c r="R12971" s="255"/>
      <c r="S12971" s="255"/>
      <c r="T12971" s="255"/>
    </row>
    <row r="12972" spans="18:20" x14ac:dyDescent="0.3">
      <c r="R12972" s="255"/>
      <c r="S12972" s="255"/>
      <c r="T12972" s="255"/>
    </row>
    <row r="12973" spans="18:20" x14ac:dyDescent="0.3">
      <c r="R12973" s="255"/>
      <c r="S12973" s="255"/>
      <c r="T12973" s="255"/>
    </row>
    <row r="12974" spans="18:20" x14ac:dyDescent="0.3">
      <c r="R12974" s="255"/>
      <c r="S12974" s="255"/>
      <c r="T12974" s="255"/>
    </row>
    <row r="12975" spans="18:20" x14ac:dyDescent="0.3">
      <c r="R12975" s="255"/>
      <c r="S12975" s="255"/>
      <c r="T12975" s="255"/>
    </row>
    <row r="12976" spans="18:20" x14ac:dyDescent="0.3">
      <c r="R12976" s="255"/>
      <c r="S12976" s="255"/>
      <c r="T12976" s="255"/>
    </row>
    <row r="12977" spans="18:20" x14ac:dyDescent="0.3">
      <c r="R12977" s="255"/>
      <c r="S12977" s="255"/>
      <c r="T12977" s="255"/>
    </row>
    <row r="12978" spans="18:20" x14ac:dyDescent="0.3">
      <c r="R12978" s="255"/>
      <c r="S12978" s="255"/>
      <c r="T12978" s="255"/>
    </row>
    <row r="12979" spans="18:20" x14ac:dyDescent="0.3">
      <c r="R12979" s="255"/>
      <c r="S12979" s="255"/>
      <c r="T12979" s="255"/>
    </row>
    <row r="12980" spans="18:20" x14ac:dyDescent="0.3">
      <c r="R12980" s="255"/>
      <c r="S12980" s="255"/>
      <c r="T12980" s="255"/>
    </row>
    <row r="12981" spans="18:20" x14ac:dyDescent="0.3">
      <c r="R12981" s="255"/>
      <c r="S12981" s="255"/>
      <c r="T12981" s="255"/>
    </row>
    <row r="12982" spans="18:20" x14ac:dyDescent="0.3">
      <c r="R12982" s="255"/>
      <c r="S12982" s="255"/>
      <c r="T12982" s="255"/>
    </row>
    <row r="12983" spans="18:20" x14ac:dyDescent="0.3">
      <c r="R12983" s="255"/>
      <c r="S12983" s="255"/>
      <c r="T12983" s="255"/>
    </row>
    <row r="12984" spans="18:20" x14ac:dyDescent="0.3">
      <c r="R12984" s="255"/>
      <c r="S12984" s="255"/>
      <c r="T12984" s="255"/>
    </row>
    <row r="12985" spans="18:20" x14ac:dyDescent="0.3">
      <c r="R12985" s="255"/>
      <c r="S12985" s="255"/>
      <c r="T12985" s="255"/>
    </row>
    <row r="12986" spans="18:20" x14ac:dyDescent="0.3">
      <c r="R12986" s="255"/>
      <c r="S12986" s="255"/>
      <c r="T12986" s="255"/>
    </row>
    <row r="12987" spans="18:20" x14ac:dyDescent="0.3">
      <c r="R12987" s="255"/>
      <c r="S12987" s="255"/>
      <c r="T12987" s="255"/>
    </row>
    <row r="12988" spans="18:20" x14ac:dyDescent="0.3">
      <c r="R12988" s="255"/>
      <c r="S12988" s="255"/>
      <c r="T12988" s="255"/>
    </row>
    <row r="12989" spans="18:20" x14ac:dyDescent="0.3">
      <c r="R12989" s="255"/>
      <c r="S12989" s="255"/>
      <c r="T12989" s="255"/>
    </row>
    <row r="12990" spans="18:20" x14ac:dyDescent="0.3">
      <c r="R12990" s="255"/>
      <c r="S12990" s="255"/>
      <c r="T12990" s="255"/>
    </row>
    <row r="12991" spans="18:20" x14ac:dyDescent="0.3">
      <c r="R12991" s="255"/>
      <c r="S12991" s="255"/>
      <c r="T12991" s="255"/>
    </row>
    <row r="12992" spans="18:20" x14ac:dyDescent="0.3">
      <c r="R12992" s="255"/>
      <c r="S12992" s="255"/>
      <c r="T12992" s="255"/>
    </row>
    <row r="12993" spans="18:20" x14ac:dyDescent="0.3">
      <c r="R12993" s="255"/>
      <c r="S12993" s="255"/>
      <c r="T12993" s="255"/>
    </row>
    <row r="12994" spans="18:20" x14ac:dyDescent="0.3">
      <c r="R12994" s="255"/>
      <c r="S12994" s="255"/>
      <c r="T12994" s="255"/>
    </row>
    <row r="12995" spans="18:20" x14ac:dyDescent="0.3">
      <c r="R12995" s="255"/>
      <c r="S12995" s="255"/>
      <c r="T12995" s="255"/>
    </row>
    <row r="12996" spans="18:20" x14ac:dyDescent="0.3">
      <c r="R12996" s="255"/>
      <c r="S12996" s="255"/>
      <c r="T12996" s="255"/>
    </row>
    <row r="12997" spans="18:20" x14ac:dyDescent="0.3">
      <c r="R12997" s="255"/>
      <c r="S12997" s="255"/>
      <c r="T12997" s="255"/>
    </row>
    <row r="12998" spans="18:20" x14ac:dyDescent="0.3">
      <c r="R12998" s="255"/>
      <c r="S12998" s="255"/>
      <c r="T12998" s="255"/>
    </row>
    <row r="12999" spans="18:20" x14ac:dyDescent="0.3">
      <c r="R12999" s="255"/>
      <c r="S12999" s="255"/>
      <c r="T12999" s="255"/>
    </row>
    <row r="13000" spans="18:20" x14ac:dyDescent="0.3">
      <c r="R13000" s="255"/>
      <c r="S13000" s="255"/>
      <c r="T13000" s="255"/>
    </row>
    <row r="13001" spans="18:20" x14ac:dyDescent="0.3">
      <c r="R13001" s="255"/>
      <c r="S13001" s="255"/>
      <c r="T13001" s="255"/>
    </row>
    <row r="13002" spans="18:20" x14ac:dyDescent="0.3">
      <c r="R13002" s="255"/>
      <c r="S13002" s="255"/>
      <c r="T13002" s="255"/>
    </row>
    <row r="13003" spans="18:20" x14ac:dyDescent="0.3">
      <c r="R13003" s="255"/>
      <c r="S13003" s="255"/>
      <c r="T13003" s="255"/>
    </row>
    <row r="13004" spans="18:20" x14ac:dyDescent="0.3">
      <c r="R13004" s="255"/>
      <c r="S13004" s="255"/>
      <c r="T13004" s="255"/>
    </row>
    <row r="13005" spans="18:20" x14ac:dyDescent="0.3">
      <c r="R13005" s="255"/>
      <c r="S13005" s="255"/>
      <c r="T13005" s="255"/>
    </row>
    <row r="13006" spans="18:20" x14ac:dyDescent="0.3">
      <c r="R13006" s="255"/>
      <c r="S13006" s="255"/>
      <c r="T13006" s="255"/>
    </row>
    <row r="13007" spans="18:20" x14ac:dyDescent="0.3">
      <c r="R13007" s="255"/>
      <c r="S13007" s="255"/>
      <c r="T13007" s="255"/>
    </row>
    <row r="13008" spans="18:20" x14ac:dyDescent="0.3">
      <c r="R13008" s="255"/>
      <c r="S13008" s="255"/>
      <c r="T13008" s="255"/>
    </row>
    <row r="13009" spans="18:20" x14ac:dyDescent="0.3">
      <c r="R13009" s="255"/>
      <c r="S13009" s="255"/>
      <c r="T13009" s="255"/>
    </row>
    <row r="13010" spans="18:20" x14ac:dyDescent="0.3">
      <c r="R13010" s="255"/>
      <c r="S13010" s="255"/>
      <c r="T13010" s="255"/>
    </row>
    <row r="13011" spans="18:20" x14ac:dyDescent="0.3">
      <c r="R13011" s="255"/>
      <c r="S13011" s="255"/>
      <c r="T13011" s="255"/>
    </row>
    <row r="13012" spans="18:20" x14ac:dyDescent="0.3">
      <c r="R13012" s="255"/>
      <c r="S13012" s="255"/>
      <c r="T13012" s="255"/>
    </row>
    <row r="13013" spans="18:20" x14ac:dyDescent="0.3">
      <c r="R13013" s="255"/>
      <c r="S13013" s="255"/>
      <c r="T13013" s="255"/>
    </row>
    <row r="13014" spans="18:20" x14ac:dyDescent="0.3">
      <c r="R13014" s="255"/>
      <c r="S13014" s="255"/>
      <c r="T13014" s="255"/>
    </row>
    <row r="13015" spans="18:20" x14ac:dyDescent="0.3">
      <c r="R13015" s="255"/>
      <c r="S13015" s="255"/>
      <c r="T13015" s="255"/>
    </row>
    <row r="13016" spans="18:20" x14ac:dyDescent="0.3">
      <c r="R13016" s="255"/>
      <c r="S13016" s="255"/>
      <c r="T13016" s="255"/>
    </row>
    <row r="13017" spans="18:20" x14ac:dyDescent="0.3">
      <c r="R13017" s="255"/>
      <c r="S13017" s="255"/>
      <c r="T13017" s="255"/>
    </row>
    <row r="13018" spans="18:20" x14ac:dyDescent="0.3">
      <c r="R13018" s="255"/>
      <c r="S13018" s="255"/>
      <c r="T13018" s="255"/>
    </row>
    <row r="13019" spans="18:20" x14ac:dyDescent="0.3">
      <c r="R13019" s="255"/>
      <c r="S13019" s="255"/>
      <c r="T13019" s="255"/>
    </row>
    <row r="13020" spans="18:20" x14ac:dyDescent="0.3">
      <c r="R13020" s="255"/>
      <c r="S13020" s="255"/>
      <c r="T13020" s="255"/>
    </row>
    <row r="13021" spans="18:20" x14ac:dyDescent="0.3">
      <c r="R13021" s="255"/>
      <c r="S13021" s="255"/>
      <c r="T13021" s="255"/>
    </row>
    <row r="13022" spans="18:20" x14ac:dyDescent="0.3">
      <c r="R13022" s="255"/>
      <c r="S13022" s="255"/>
      <c r="T13022" s="255"/>
    </row>
    <row r="13023" spans="18:20" x14ac:dyDescent="0.3">
      <c r="R13023" s="255"/>
      <c r="S13023" s="255"/>
      <c r="T13023" s="255"/>
    </row>
    <row r="13024" spans="18:20" x14ac:dyDescent="0.3">
      <c r="R13024" s="255"/>
      <c r="S13024" s="255"/>
      <c r="T13024" s="255"/>
    </row>
    <row r="13025" spans="18:20" x14ac:dyDescent="0.3">
      <c r="R13025" s="255"/>
      <c r="S13025" s="255"/>
      <c r="T13025" s="255"/>
    </row>
    <row r="13026" spans="18:20" x14ac:dyDescent="0.3">
      <c r="R13026" s="255"/>
      <c r="S13026" s="255"/>
      <c r="T13026" s="255"/>
    </row>
    <row r="13027" spans="18:20" x14ac:dyDescent="0.3">
      <c r="R13027" s="255"/>
      <c r="S13027" s="255"/>
      <c r="T13027" s="255"/>
    </row>
    <row r="13028" spans="18:20" x14ac:dyDescent="0.3">
      <c r="R13028" s="255"/>
      <c r="S13028" s="255"/>
      <c r="T13028" s="255"/>
    </row>
    <row r="13029" spans="18:20" x14ac:dyDescent="0.3">
      <c r="R13029" s="255"/>
      <c r="S13029" s="255"/>
      <c r="T13029" s="255"/>
    </row>
    <row r="13030" spans="18:20" x14ac:dyDescent="0.3">
      <c r="R13030" s="255"/>
      <c r="S13030" s="255"/>
      <c r="T13030" s="255"/>
    </row>
    <row r="13031" spans="18:20" x14ac:dyDescent="0.3">
      <c r="R13031" s="255"/>
      <c r="S13031" s="255"/>
      <c r="T13031" s="255"/>
    </row>
    <row r="13032" spans="18:20" x14ac:dyDescent="0.3">
      <c r="R13032" s="255"/>
      <c r="S13032" s="255"/>
      <c r="T13032" s="255"/>
    </row>
    <row r="13033" spans="18:20" x14ac:dyDescent="0.3">
      <c r="R13033" s="255"/>
      <c r="S13033" s="255"/>
      <c r="T13033" s="255"/>
    </row>
    <row r="13034" spans="18:20" x14ac:dyDescent="0.3">
      <c r="R13034" s="255"/>
      <c r="S13034" s="255"/>
      <c r="T13034" s="255"/>
    </row>
    <row r="13035" spans="18:20" x14ac:dyDescent="0.3">
      <c r="R13035" s="255"/>
      <c r="S13035" s="255"/>
      <c r="T13035" s="255"/>
    </row>
    <row r="13036" spans="18:20" x14ac:dyDescent="0.3">
      <c r="R13036" s="255"/>
      <c r="S13036" s="255"/>
      <c r="T13036" s="255"/>
    </row>
    <row r="13037" spans="18:20" x14ac:dyDescent="0.3">
      <c r="R13037" s="255"/>
      <c r="S13037" s="255"/>
      <c r="T13037" s="255"/>
    </row>
    <row r="13038" spans="18:20" x14ac:dyDescent="0.3">
      <c r="R13038" s="255"/>
      <c r="S13038" s="255"/>
      <c r="T13038" s="255"/>
    </row>
    <row r="13039" spans="18:20" x14ac:dyDescent="0.3">
      <c r="R13039" s="255"/>
      <c r="S13039" s="255"/>
      <c r="T13039" s="255"/>
    </row>
    <row r="13040" spans="18:20" x14ac:dyDescent="0.3">
      <c r="R13040" s="255"/>
      <c r="S13040" s="255"/>
      <c r="T13040" s="255"/>
    </row>
    <row r="13041" spans="18:20" x14ac:dyDescent="0.3">
      <c r="R13041" s="255"/>
      <c r="S13041" s="255"/>
      <c r="T13041" s="255"/>
    </row>
    <row r="13042" spans="18:20" x14ac:dyDescent="0.3">
      <c r="R13042" s="255"/>
      <c r="S13042" s="255"/>
      <c r="T13042" s="255"/>
    </row>
    <row r="13043" spans="18:20" x14ac:dyDescent="0.3">
      <c r="R13043" s="255"/>
      <c r="S13043" s="255"/>
      <c r="T13043" s="255"/>
    </row>
    <row r="13044" spans="18:20" x14ac:dyDescent="0.3">
      <c r="R13044" s="255"/>
      <c r="S13044" s="255"/>
      <c r="T13044" s="255"/>
    </row>
    <row r="13045" spans="18:20" x14ac:dyDescent="0.3">
      <c r="R13045" s="255"/>
      <c r="S13045" s="255"/>
      <c r="T13045" s="255"/>
    </row>
    <row r="13046" spans="18:20" x14ac:dyDescent="0.3">
      <c r="R13046" s="255"/>
      <c r="S13046" s="255"/>
      <c r="T13046" s="255"/>
    </row>
    <row r="13047" spans="18:20" x14ac:dyDescent="0.3">
      <c r="R13047" s="255"/>
      <c r="S13047" s="255"/>
      <c r="T13047" s="255"/>
    </row>
    <row r="13048" spans="18:20" x14ac:dyDescent="0.3">
      <c r="R13048" s="255"/>
      <c r="S13048" s="255"/>
      <c r="T13048" s="255"/>
    </row>
    <row r="13049" spans="18:20" x14ac:dyDescent="0.3">
      <c r="R13049" s="255"/>
      <c r="S13049" s="255"/>
      <c r="T13049" s="255"/>
    </row>
    <row r="13050" spans="18:20" x14ac:dyDescent="0.3">
      <c r="R13050" s="255"/>
      <c r="S13050" s="255"/>
      <c r="T13050" s="255"/>
    </row>
    <row r="13051" spans="18:20" x14ac:dyDescent="0.3">
      <c r="R13051" s="255"/>
      <c r="S13051" s="255"/>
      <c r="T13051" s="255"/>
    </row>
    <row r="13052" spans="18:20" x14ac:dyDescent="0.3">
      <c r="R13052" s="255"/>
      <c r="S13052" s="255"/>
      <c r="T13052" s="255"/>
    </row>
    <row r="13053" spans="18:20" x14ac:dyDescent="0.3">
      <c r="R13053" s="255"/>
      <c r="S13053" s="255"/>
      <c r="T13053" s="255"/>
    </row>
    <row r="13054" spans="18:20" x14ac:dyDescent="0.3">
      <c r="R13054" s="255"/>
      <c r="S13054" s="255"/>
      <c r="T13054" s="255"/>
    </row>
    <row r="13055" spans="18:20" x14ac:dyDescent="0.3">
      <c r="R13055" s="255"/>
      <c r="S13055" s="255"/>
      <c r="T13055" s="255"/>
    </row>
    <row r="13056" spans="18:20" x14ac:dyDescent="0.3">
      <c r="R13056" s="255"/>
      <c r="S13056" s="255"/>
      <c r="T13056" s="255"/>
    </row>
    <row r="13057" spans="18:20" x14ac:dyDescent="0.3">
      <c r="R13057" s="255"/>
      <c r="S13057" s="255"/>
      <c r="T13057" s="255"/>
    </row>
    <row r="13058" spans="18:20" x14ac:dyDescent="0.3">
      <c r="R13058" s="255"/>
      <c r="S13058" s="255"/>
      <c r="T13058" s="255"/>
    </row>
    <row r="13059" spans="18:20" x14ac:dyDescent="0.3">
      <c r="R13059" s="255"/>
      <c r="S13059" s="255"/>
      <c r="T13059" s="255"/>
    </row>
    <row r="13060" spans="18:20" x14ac:dyDescent="0.3">
      <c r="R13060" s="255"/>
      <c r="S13060" s="255"/>
      <c r="T13060" s="255"/>
    </row>
    <row r="13061" spans="18:20" x14ac:dyDescent="0.3">
      <c r="R13061" s="255"/>
      <c r="S13061" s="255"/>
      <c r="T13061" s="255"/>
    </row>
    <row r="13062" spans="18:20" x14ac:dyDescent="0.3">
      <c r="R13062" s="255"/>
      <c r="S13062" s="255"/>
      <c r="T13062" s="255"/>
    </row>
    <row r="13063" spans="18:20" x14ac:dyDescent="0.3">
      <c r="R13063" s="255"/>
      <c r="S13063" s="255"/>
      <c r="T13063" s="255"/>
    </row>
    <row r="13064" spans="18:20" x14ac:dyDescent="0.3">
      <c r="R13064" s="255"/>
      <c r="S13064" s="255"/>
      <c r="T13064" s="255"/>
    </row>
    <row r="13065" spans="18:20" x14ac:dyDescent="0.3">
      <c r="R13065" s="255"/>
      <c r="S13065" s="255"/>
      <c r="T13065" s="255"/>
    </row>
    <row r="13066" spans="18:20" x14ac:dyDescent="0.3">
      <c r="R13066" s="255"/>
      <c r="S13066" s="255"/>
      <c r="T13066" s="255"/>
    </row>
    <row r="13067" spans="18:20" x14ac:dyDescent="0.3">
      <c r="R13067" s="255"/>
      <c r="S13067" s="255"/>
      <c r="T13067" s="255"/>
    </row>
    <row r="13068" spans="18:20" x14ac:dyDescent="0.3">
      <c r="R13068" s="255"/>
      <c r="S13068" s="255"/>
      <c r="T13068" s="255"/>
    </row>
    <row r="13069" spans="18:20" x14ac:dyDescent="0.3">
      <c r="R13069" s="255"/>
      <c r="S13069" s="255"/>
      <c r="T13069" s="255"/>
    </row>
    <row r="13070" spans="18:20" x14ac:dyDescent="0.3">
      <c r="R13070" s="255"/>
      <c r="S13070" s="255"/>
      <c r="T13070" s="255"/>
    </row>
    <row r="13071" spans="18:20" x14ac:dyDescent="0.3">
      <c r="R13071" s="255"/>
      <c r="S13071" s="255"/>
      <c r="T13071" s="255"/>
    </row>
    <row r="13072" spans="18:20" x14ac:dyDescent="0.3">
      <c r="R13072" s="255"/>
      <c r="S13072" s="255"/>
      <c r="T13072" s="255"/>
    </row>
    <row r="13073" spans="18:20" x14ac:dyDescent="0.3">
      <c r="R13073" s="255"/>
      <c r="S13073" s="255"/>
      <c r="T13073" s="255"/>
    </row>
    <row r="13074" spans="18:20" x14ac:dyDescent="0.3">
      <c r="R13074" s="255"/>
      <c r="S13074" s="255"/>
      <c r="T13074" s="255"/>
    </row>
    <row r="13075" spans="18:20" x14ac:dyDescent="0.3">
      <c r="R13075" s="255"/>
      <c r="S13075" s="255"/>
      <c r="T13075" s="255"/>
    </row>
    <row r="13076" spans="18:20" x14ac:dyDescent="0.3">
      <c r="R13076" s="255"/>
      <c r="S13076" s="255"/>
      <c r="T13076" s="255"/>
    </row>
    <row r="13077" spans="18:20" x14ac:dyDescent="0.3">
      <c r="R13077" s="255"/>
      <c r="S13077" s="255"/>
      <c r="T13077" s="255"/>
    </row>
    <row r="13078" spans="18:20" x14ac:dyDescent="0.3">
      <c r="R13078" s="255"/>
      <c r="S13078" s="255"/>
      <c r="T13078" s="255"/>
    </row>
    <row r="13079" spans="18:20" x14ac:dyDescent="0.3">
      <c r="R13079" s="255"/>
      <c r="S13079" s="255"/>
      <c r="T13079" s="255"/>
    </row>
    <row r="13080" spans="18:20" x14ac:dyDescent="0.3">
      <c r="R13080" s="255"/>
      <c r="S13080" s="255"/>
      <c r="T13080" s="255"/>
    </row>
    <row r="13081" spans="18:20" x14ac:dyDescent="0.3">
      <c r="R13081" s="255"/>
      <c r="S13081" s="255"/>
      <c r="T13081" s="255"/>
    </row>
    <row r="13082" spans="18:20" x14ac:dyDescent="0.3">
      <c r="R13082" s="255"/>
      <c r="S13082" s="255"/>
      <c r="T13082" s="255"/>
    </row>
    <row r="13083" spans="18:20" x14ac:dyDescent="0.3">
      <c r="R13083" s="255"/>
      <c r="S13083" s="255"/>
      <c r="T13083" s="255"/>
    </row>
    <row r="13084" spans="18:20" x14ac:dyDescent="0.3">
      <c r="R13084" s="255"/>
      <c r="S13084" s="255"/>
      <c r="T13084" s="255"/>
    </row>
    <row r="13085" spans="18:20" x14ac:dyDescent="0.3">
      <c r="R13085" s="255"/>
      <c r="S13085" s="255"/>
      <c r="T13085" s="255"/>
    </row>
    <row r="13086" spans="18:20" x14ac:dyDescent="0.3">
      <c r="R13086" s="255"/>
      <c r="S13086" s="255"/>
      <c r="T13086" s="255"/>
    </row>
    <row r="13087" spans="18:20" x14ac:dyDescent="0.3">
      <c r="R13087" s="255"/>
      <c r="S13087" s="255"/>
      <c r="T13087" s="255"/>
    </row>
    <row r="13088" spans="18:20" x14ac:dyDescent="0.3">
      <c r="R13088" s="255"/>
      <c r="S13088" s="255"/>
      <c r="T13088" s="255"/>
    </row>
    <row r="13089" spans="18:20" x14ac:dyDescent="0.3">
      <c r="R13089" s="255"/>
      <c r="S13089" s="255"/>
      <c r="T13089" s="255"/>
    </row>
    <row r="13090" spans="18:20" x14ac:dyDescent="0.3">
      <c r="R13090" s="255"/>
      <c r="S13090" s="255"/>
      <c r="T13090" s="255"/>
    </row>
    <row r="13091" spans="18:20" x14ac:dyDescent="0.3">
      <c r="R13091" s="255"/>
      <c r="S13091" s="255"/>
      <c r="T13091" s="255"/>
    </row>
    <row r="13092" spans="18:20" x14ac:dyDescent="0.3">
      <c r="R13092" s="255"/>
      <c r="S13092" s="255"/>
      <c r="T13092" s="255"/>
    </row>
    <row r="13093" spans="18:20" x14ac:dyDescent="0.3">
      <c r="R13093" s="255"/>
      <c r="S13093" s="255"/>
      <c r="T13093" s="255"/>
    </row>
    <row r="13094" spans="18:20" x14ac:dyDescent="0.3">
      <c r="R13094" s="255"/>
      <c r="S13094" s="255"/>
      <c r="T13094" s="255"/>
    </row>
    <row r="13095" spans="18:20" x14ac:dyDescent="0.3">
      <c r="R13095" s="255"/>
      <c r="S13095" s="255"/>
      <c r="T13095" s="255"/>
    </row>
    <row r="13096" spans="18:20" x14ac:dyDescent="0.3">
      <c r="R13096" s="255"/>
      <c r="S13096" s="255"/>
      <c r="T13096" s="255"/>
    </row>
    <row r="13097" spans="18:20" x14ac:dyDescent="0.3">
      <c r="R13097" s="255"/>
      <c r="S13097" s="255"/>
      <c r="T13097" s="255"/>
    </row>
    <row r="13098" spans="18:20" x14ac:dyDescent="0.3">
      <c r="R13098" s="255"/>
      <c r="S13098" s="255"/>
      <c r="T13098" s="255"/>
    </row>
    <row r="13099" spans="18:20" x14ac:dyDescent="0.3">
      <c r="R13099" s="255"/>
      <c r="S13099" s="255"/>
      <c r="T13099" s="255"/>
    </row>
    <row r="13100" spans="18:20" x14ac:dyDescent="0.3">
      <c r="R13100" s="255"/>
      <c r="S13100" s="255"/>
      <c r="T13100" s="255"/>
    </row>
    <row r="13101" spans="18:20" x14ac:dyDescent="0.3">
      <c r="R13101" s="255"/>
      <c r="S13101" s="255"/>
      <c r="T13101" s="255"/>
    </row>
    <row r="13102" spans="18:20" x14ac:dyDescent="0.3">
      <c r="R13102" s="255"/>
      <c r="S13102" s="255"/>
      <c r="T13102" s="255"/>
    </row>
    <row r="13103" spans="18:20" x14ac:dyDescent="0.3">
      <c r="R13103" s="255"/>
      <c r="S13103" s="255"/>
      <c r="T13103" s="255"/>
    </row>
    <row r="13104" spans="18:20" x14ac:dyDescent="0.3">
      <c r="R13104" s="255"/>
      <c r="S13104" s="255"/>
      <c r="T13104" s="255"/>
    </row>
    <row r="13105" spans="18:20" x14ac:dyDescent="0.3">
      <c r="R13105" s="255"/>
      <c r="S13105" s="255"/>
      <c r="T13105" s="255"/>
    </row>
    <row r="13106" spans="18:20" x14ac:dyDescent="0.3">
      <c r="R13106" s="255"/>
      <c r="S13106" s="255"/>
      <c r="T13106" s="255"/>
    </row>
    <row r="13107" spans="18:20" x14ac:dyDescent="0.3">
      <c r="R13107" s="255"/>
      <c r="S13107" s="255"/>
      <c r="T13107" s="255"/>
    </row>
    <row r="13108" spans="18:20" x14ac:dyDescent="0.3">
      <c r="R13108" s="255"/>
      <c r="S13108" s="255"/>
      <c r="T13108" s="255"/>
    </row>
    <row r="13109" spans="18:20" x14ac:dyDescent="0.3">
      <c r="R13109" s="255"/>
      <c r="S13109" s="255"/>
      <c r="T13109" s="255"/>
    </row>
    <row r="13110" spans="18:20" x14ac:dyDescent="0.3">
      <c r="R13110" s="255"/>
      <c r="S13110" s="255"/>
      <c r="T13110" s="255"/>
    </row>
    <row r="13111" spans="18:20" x14ac:dyDescent="0.3">
      <c r="R13111" s="255"/>
      <c r="S13111" s="255"/>
      <c r="T13111" s="255"/>
    </row>
    <row r="13112" spans="18:20" x14ac:dyDescent="0.3">
      <c r="R13112" s="255"/>
      <c r="S13112" s="255"/>
      <c r="T13112" s="255"/>
    </row>
    <row r="13113" spans="18:20" x14ac:dyDescent="0.3">
      <c r="R13113" s="255"/>
      <c r="S13113" s="255"/>
      <c r="T13113" s="255"/>
    </row>
    <row r="13114" spans="18:20" x14ac:dyDescent="0.3">
      <c r="R13114" s="255"/>
      <c r="S13114" s="255"/>
      <c r="T13114" s="255"/>
    </row>
    <row r="13115" spans="18:20" x14ac:dyDescent="0.3">
      <c r="R13115" s="255"/>
      <c r="S13115" s="255"/>
      <c r="T13115" s="255"/>
    </row>
    <row r="13116" spans="18:20" x14ac:dyDescent="0.3">
      <c r="R13116" s="255"/>
      <c r="S13116" s="255"/>
      <c r="T13116" s="255"/>
    </row>
    <row r="13117" spans="18:20" x14ac:dyDescent="0.3">
      <c r="R13117" s="255"/>
      <c r="S13117" s="255"/>
      <c r="T13117" s="255"/>
    </row>
    <row r="13118" spans="18:20" x14ac:dyDescent="0.3">
      <c r="R13118" s="255"/>
      <c r="S13118" s="255"/>
      <c r="T13118" s="255"/>
    </row>
    <row r="13119" spans="18:20" x14ac:dyDescent="0.3">
      <c r="R13119" s="255"/>
      <c r="S13119" s="255"/>
      <c r="T13119" s="255"/>
    </row>
    <row r="13120" spans="18:20" x14ac:dyDescent="0.3">
      <c r="R13120" s="255"/>
      <c r="S13120" s="255"/>
      <c r="T13120" s="255"/>
    </row>
    <row r="13121" spans="18:20" x14ac:dyDescent="0.3">
      <c r="R13121" s="255"/>
      <c r="S13121" s="255"/>
      <c r="T13121" s="255"/>
    </row>
    <row r="13122" spans="18:20" x14ac:dyDescent="0.3">
      <c r="R13122" s="255"/>
      <c r="S13122" s="255"/>
      <c r="T13122" s="255"/>
    </row>
    <row r="13123" spans="18:20" x14ac:dyDescent="0.3">
      <c r="R13123" s="255"/>
      <c r="S13123" s="255"/>
      <c r="T13123" s="255"/>
    </row>
    <row r="13124" spans="18:20" x14ac:dyDescent="0.3">
      <c r="R13124" s="255"/>
      <c r="S13124" s="255"/>
      <c r="T13124" s="255"/>
    </row>
    <row r="13125" spans="18:20" x14ac:dyDescent="0.3">
      <c r="R13125" s="255"/>
      <c r="S13125" s="255"/>
      <c r="T13125" s="255"/>
    </row>
    <row r="13126" spans="18:20" x14ac:dyDescent="0.3">
      <c r="R13126" s="255"/>
      <c r="S13126" s="255"/>
      <c r="T13126" s="255"/>
    </row>
    <row r="13127" spans="18:20" x14ac:dyDescent="0.3">
      <c r="R13127" s="255"/>
      <c r="S13127" s="255"/>
      <c r="T13127" s="255"/>
    </row>
    <row r="13128" spans="18:20" x14ac:dyDescent="0.3">
      <c r="R13128" s="255"/>
      <c r="S13128" s="255"/>
      <c r="T13128" s="255"/>
    </row>
    <row r="13129" spans="18:20" x14ac:dyDescent="0.3">
      <c r="R13129" s="255"/>
      <c r="S13129" s="255"/>
      <c r="T13129" s="255"/>
    </row>
    <row r="13130" spans="18:20" x14ac:dyDescent="0.3">
      <c r="R13130" s="255"/>
      <c r="S13130" s="255"/>
      <c r="T13130" s="255"/>
    </row>
    <row r="13131" spans="18:20" x14ac:dyDescent="0.3">
      <c r="R13131" s="255"/>
      <c r="S13131" s="255"/>
      <c r="T13131" s="255"/>
    </row>
    <row r="13132" spans="18:20" x14ac:dyDescent="0.3">
      <c r="R13132" s="255"/>
      <c r="S13132" s="255"/>
      <c r="T13132" s="255"/>
    </row>
    <row r="13133" spans="18:20" x14ac:dyDescent="0.3">
      <c r="R13133" s="255"/>
      <c r="S13133" s="255"/>
      <c r="T13133" s="255"/>
    </row>
    <row r="13134" spans="18:20" x14ac:dyDescent="0.3">
      <c r="R13134" s="255"/>
      <c r="S13134" s="255"/>
      <c r="T13134" s="255"/>
    </row>
    <row r="13135" spans="18:20" x14ac:dyDescent="0.3">
      <c r="R13135" s="255"/>
      <c r="S13135" s="255"/>
      <c r="T13135" s="255"/>
    </row>
    <row r="13136" spans="18:20" x14ac:dyDescent="0.3">
      <c r="R13136" s="255"/>
      <c r="S13136" s="255"/>
      <c r="T13136" s="255"/>
    </row>
    <row r="13137" spans="18:20" x14ac:dyDescent="0.3">
      <c r="R13137" s="255"/>
      <c r="S13137" s="255"/>
      <c r="T13137" s="255"/>
    </row>
    <row r="13138" spans="18:20" x14ac:dyDescent="0.3">
      <c r="R13138" s="255"/>
      <c r="S13138" s="255"/>
      <c r="T13138" s="255"/>
    </row>
    <row r="13139" spans="18:20" x14ac:dyDescent="0.3">
      <c r="R13139" s="255"/>
      <c r="S13139" s="255"/>
      <c r="T13139" s="255"/>
    </row>
    <row r="13140" spans="18:20" x14ac:dyDescent="0.3">
      <c r="R13140" s="255"/>
      <c r="S13140" s="255"/>
      <c r="T13140" s="255"/>
    </row>
    <row r="13141" spans="18:20" x14ac:dyDescent="0.3">
      <c r="R13141" s="255"/>
      <c r="S13141" s="255"/>
      <c r="T13141" s="255"/>
    </row>
    <row r="13142" spans="18:20" x14ac:dyDescent="0.3">
      <c r="R13142" s="255"/>
      <c r="S13142" s="255"/>
      <c r="T13142" s="255"/>
    </row>
    <row r="13143" spans="18:20" x14ac:dyDescent="0.3">
      <c r="R13143" s="255"/>
      <c r="S13143" s="255"/>
      <c r="T13143" s="255"/>
    </row>
    <row r="13144" spans="18:20" x14ac:dyDescent="0.3">
      <c r="R13144" s="255"/>
      <c r="S13144" s="255"/>
      <c r="T13144" s="255"/>
    </row>
    <row r="13145" spans="18:20" x14ac:dyDescent="0.3">
      <c r="R13145" s="255"/>
      <c r="S13145" s="255"/>
      <c r="T13145" s="255"/>
    </row>
    <row r="13146" spans="18:20" x14ac:dyDescent="0.3">
      <c r="R13146" s="255"/>
      <c r="S13146" s="255"/>
      <c r="T13146" s="255"/>
    </row>
    <row r="13147" spans="18:20" x14ac:dyDescent="0.3">
      <c r="R13147" s="255"/>
      <c r="S13147" s="255"/>
      <c r="T13147" s="255"/>
    </row>
    <row r="13148" spans="18:20" x14ac:dyDescent="0.3">
      <c r="R13148" s="255"/>
      <c r="S13148" s="255"/>
      <c r="T13148" s="255"/>
    </row>
    <row r="13149" spans="18:20" x14ac:dyDescent="0.3">
      <c r="R13149" s="255"/>
      <c r="S13149" s="255"/>
      <c r="T13149" s="255"/>
    </row>
    <row r="13150" spans="18:20" x14ac:dyDescent="0.3">
      <c r="R13150" s="255"/>
      <c r="S13150" s="255"/>
      <c r="T13150" s="255"/>
    </row>
    <row r="13151" spans="18:20" x14ac:dyDescent="0.3">
      <c r="R13151" s="255"/>
      <c r="S13151" s="255"/>
      <c r="T13151" s="255"/>
    </row>
    <row r="13152" spans="18:20" x14ac:dyDescent="0.3">
      <c r="R13152" s="255"/>
      <c r="S13152" s="255"/>
      <c r="T13152" s="255"/>
    </row>
    <row r="13153" spans="18:20" x14ac:dyDescent="0.3">
      <c r="R13153" s="255"/>
      <c r="S13153" s="255"/>
      <c r="T13153" s="255"/>
    </row>
    <row r="13154" spans="18:20" x14ac:dyDescent="0.3">
      <c r="R13154" s="255"/>
      <c r="S13154" s="255"/>
      <c r="T13154" s="255"/>
    </row>
    <row r="13155" spans="18:20" x14ac:dyDescent="0.3">
      <c r="R13155" s="255"/>
      <c r="S13155" s="255"/>
      <c r="T13155" s="255"/>
    </row>
    <row r="13156" spans="18:20" x14ac:dyDescent="0.3">
      <c r="R13156" s="255"/>
      <c r="S13156" s="255"/>
      <c r="T13156" s="255"/>
    </row>
    <row r="13157" spans="18:20" x14ac:dyDescent="0.3">
      <c r="R13157" s="255"/>
      <c r="S13157" s="255"/>
      <c r="T13157" s="255"/>
    </row>
    <row r="13158" spans="18:20" x14ac:dyDescent="0.3">
      <c r="R13158" s="255"/>
      <c r="S13158" s="255"/>
      <c r="T13158" s="255"/>
    </row>
    <row r="13159" spans="18:20" x14ac:dyDescent="0.3">
      <c r="R13159" s="255"/>
      <c r="S13159" s="255"/>
      <c r="T13159" s="255"/>
    </row>
    <row r="13160" spans="18:20" x14ac:dyDescent="0.3">
      <c r="R13160" s="255"/>
      <c r="S13160" s="255"/>
      <c r="T13160" s="255"/>
    </row>
    <row r="13161" spans="18:20" x14ac:dyDescent="0.3">
      <c r="R13161" s="255"/>
      <c r="S13161" s="255"/>
      <c r="T13161" s="255"/>
    </row>
    <row r="13162" spans="18:20" x14ac:dyDescent="0.3">
      <c r="R13162" s="255"/>
      <c r="S13162" s="255"/>
      <c r="T13162" s="255"/>
    </row>
    <row r="13163" spans="18:20" x14ac:dyDescent="0.3">
      <c r="R13163" s="255"/>
      <c r="S13163" s="255"/>
      <c r="T13163" s="255"/>
    </row>
    <row r="13164" spans="18:20" x14ac:dyDescent="0.3">
      <c r="R13164" s="255"/>
      <c r="S13164" s="255"/>
      <c r="T13164" s="255"/>
    </row>
    <row r="13165" spans="18:20" x14ac:dyDescent="0.3">
      <c r="R13165" s="255"/>
      <c r="S13165" s="255"/>
      <c r="T13165" s="255"/>
    </row>
    <row r="13166" spans="18:20" x14ac:dyDescent="0.3">
      <c r="R13166" s="255"/>
      <c r="S13166" s="255"/>
      <c r="T13166" s="255"/>
    </row>
    <row r="13167" spans="18:20" x14ac:dyDescent="0.3">
      <c r="R13167" s="255"/>
      <c r="S13167" s="255"/>
      <c r="T13167" s="255"/>
    </row>
    <row r="13168" spans="18:20" x14ac:dyDescent="0.3">
      <c r="R13168" s="255"/>
      <c r="S13168" s="255"/>
      <c r="T13168" s="255"/>
    </row>
    <row r="13169" spans="18:20" x14ac:dyDescent="0.3">
      <c r="R13169" s="255"/>
      <c r="S13169" s="255"/>
      <c r="T13169" s="255"/>
    </row>
    <row r="13170" spans="18:20" x14ac:dyDescent="0.3">
      <c r="R13170" s="255"/>
      <c r="S13170" s="255"/>
      <c r="T13170" s="255"/>
    </row>
    <row r="13171" spans="18:20" x14ac:dyDescent="0.3">
      <c r="R13171" s="255"/>
      <c r="S13171" s="255"/>
      <c r="T13171" s="255"/>
    </row>
    <row r="13172" spans="18:20" x14ac:dyDescent="0.3">
      <c r="R13172" s="255"/>
      <c r="S13172" s="255"/>
      <c r="T13172" s="255"/>
    </row>
    <row r="13173" spans="18:20" x14ac:dyDescent="0.3">
      <c r="R13173" s="255"/>
      <c r="S13173" s="255"/>
      <c r="T13173" s="255"/>
    </row>
    <row r="13174" spans="18:20" x14ac:dyDescent="0.3">
      <c r="R13174" s="255"/>
      <c r="S13174" s="255"/>
      <c r="T13174" s="255"/>
    </row>
    <row r="13175" spans="18:20" x14ac:dyDescent="0.3">
      <c r="R13175" s="255"/>
      <c r="S13175" s="255"/>
      <c r="T13175" s="255"/>
    </row>
    <row r="13176" spans="18:20" x14ac:dyDescent="0.3">
      <c r="R13176" s="255"/>
      <c r="S13176" s="255"/>
      <c r="T13176" s="255"/>
    </row>
    <row r="13177" spans="18:20" x14ac:dyDescent="0.3">
      <c r="R13177" s="255"/>
      <c r="S13177" s="255"/>
      <c r="T13177" s="255"/>
    </row>
    <row r="13178" spans="18:20" x14ac:dyDescent="0.3">
      <c r="R13178" s="255"/>
      <c r="S13178" s="255"/>
      <c r="T13178" s="255"/>
    </row>
    <row r="13179" spans="18:20" x14ac:dyDescent="0.3">
      <c r="R13179" s="255"/>
      <c r="S13179" s="255"/>
      <c r="T13179" s="255"/>
    </row>
    <row r="13180" spans="18:20" x14ac:dyDescent="0.3">
      <c r="R13180" s="255"/>
      <c r="S13180" s="255"/>
      <c r="T13180" s="255"/>
    </row>
    <row r="13181" spans="18:20" x14ac:dyDescent="0.3">
      <c r="R13181" s="255"/>
      <c r="S13181" s="255"/>
      <c r="T13181" s="255"/>
    </row>
    <row r="13182" spans="18:20" x14ac:dyDescent="0.3">
      <c r="R13182" s="255"/>
      <c r="S13182" s="255"/>
      <c r="T13182" s="255"/>
    </row>
    <row r="13183" spans="18:20" x14ac:dyDescent="0.3">
      <c r="R13183" s="255"/>
      <c r="S13183" s="255"/>
      <c r="T13183" s="255"/>
    </row>
    <row r="13184" spans="18:20" x14ac:dyDescent="0.3">
      <c r="R13184" s="255"/>
      <c r="S13184" s="255"/>
      <c r="T13184" s="255"/>
    </row>
    <row r="13185" spans="18:20" x14ac:dyDescent="0.3">
      <c r="R13185" s="255"/>
      <c r="S13185" s="255"/>
      <c r="T13185" s="255"/>
    </row>
    <row r="13186" spans="18:20" x14ac:dyDescent="0.3">
      <c r="R13186" s="255"/>
      <c r="S13186" s="255"/>
      <c r="T13186" s="255"/>
    </row>
    <row r="13187" spans="18:20" x14ac:dyDescent="0.3">
      <c r="R13187" s="255"/>
      <c r="S13187" s="255"/>
      <c r="T13187" s="255"/>
    </row>
    <row r="13188" spans="18:20" x14ac:dyDescent="0.3">
      <c r="R13188" s="255"/>
      <c r="S13188" s="255"/>
      <c r="T13188" s="255"/>
    </row>
    <row r="13189" spans="18:20" x14ac:dyDescent="0.3">
      <c r="R13189" s="255"/>
      <c r="S13189" s="255"/>
      <c r="T13189" s="255"/>
    </row>
    <row r="13190" spans="18:20" x14ac:dyDescent="0.3">
      <c r="R13190" s="255"/>
      <c r="S13190" s="255"/>
      <c r="T13190" s="255"/>
    </row>
    <row r="13191" spans="18:20" x14ac:dyDescent="0.3">
      <c r="R13191" s="255"/>
      <c r="S13191" s="255"/>
      <c r="T13191" s="255"/>
    </row>
    <row r="13192" spans="18:20" x14ac:dyDescent="0.3">
      <c r="R13192" s="255"/>
      <c r="S13192" s="255"/>
      <c r="T13192" s="255"/>
    </row>
    <row r="13193" spans="18:20" x14ac:dyDescent="0.3">
      <c r="R13193" s="255"/>
      <c r="S13193" s="255"/>
      <c r="T13193" s="255"/>
    </row>
    <row r="13194" spans="18:20" x14ac:dyDescent="0.3">
      <c r="R13194" s="255"/>
      <c r="S13194" s="255"/>
      <c r="T13194" s="255"/>
    </row>
    <row r="13195" spans="18:20" x14ac:dyDescent="0.3">
      <c r="R13195" s="255"/>
      <c r="S13195" s="255"/>
      <c r="T13195" s="255"/>
    </row>
    <row r="13196" spans="18:20" x14ac:dyDescent="0.3">
      <c r="R13196" s="255"/>
      <c r="S13196" s="255"/>
      <c r="T13196" s="255"/>
    </row>
    <row r="13197" spans="18:20" x14ac:dyDescent="0.3">
      <c r="R13197" s="255"/>
      <c r="S13197" s="255"/>
      <c r="T13197" s="255"/>
    </row>
    <row r="13198" spans="18:20" x14ac:dyDescent="0.3">
      <c r="R13198" s="255"/>
      <c r="S13198" s="255"/>
      <c r="T13198" s="255"/>
    </row>
    <row r="13199" spans="18:20" x14ac:dyDescent="0.3">
      <c r="R13199" s="255"/>
      <c r="S13199" s="255"/>
      <c r="T13199" s="255"/>
    </row>
    <row r="13200" spans="18:20" x14ac:dyDescent="0.3">
      <c r="R13200" s="255"/>
      <c r="S13200" s="255"/>
      <c r="T13200" s="255"/>
    </row>
    <row r="13201" spans="18:20" x14ac:dyDescent="0.3">
      <c r="R13201" s="255"/>
      <c r="S13201" s="255"/>
      <c r="T13201" s="255"/>
    </row>
    <row r="13202" spans="18:20" x14ac:dyDescent="0.3">
      <c r="R13202" s="255"/>
      <c r="S13202" s="255"/>
      <c r="T13202" s="255"/>
    </row>
    <row r="13203" spans="18:20" x14ac:dyDescent="0.3">
      <c r="R13203" s="255"/>
      <c r="S13203" s="255"/>
      <c r="T13203" s="255"/>
    </row>
    <row r="13204" spans="18:20" x14ac:dyDescent="0.3">
      <c r="R13204" s="255"/>
      <c r="S13204" s="255"/>
      <c r="T13204" s="255"/>
    </row>
    <row r="13205" spans="18:20" x14ac:dyDescent="0.3">
      <c r="R13205" s="255"/>
      <c r="S13205" s="255"/>
      <c r="T13205" s="255"/>
    </row>
    <row r="13206" spans="18:20" x14ac:dyDescent="0.3">
      <c r="R13206" s="255"/>
      <c r="S13206" s="255"/>
      <c r="T13206" s="255"/>
    </row>
    <row r="13207" spans="18:20" x14ac:dyDescent="0.3">
      <c r="R13207" s="255"/>
      <c r="S13207" s="255"/>
      <c r="T13207" s="255"/>
    </row>
    <row r="13208" spans="18:20" x14ac:dyDescent="0.3">
      <c r="R13208" s="255"/>
      <c r="S13208" s="255"/>
      <c r="T13208" s="255"/>
    </row>
    <row r="13209" spans="18:20" x14ac:dyDescent="0.3">
      <c r="R13209" s="255"/>
      <c r="S13209" s="255"/>
      <c r="T13209" s="255"/>
    </row>
    <row r="13210" spans="18:20" x14ac:dyDescent="0.3">
      <c r="R13210" s="255"/>
      <c r="S13210" s="255"/>
      <c r="T13210" s="255"/>
    </row>
    <row r="13211" spans="18:20" x14ac:dyDescent="0.3">
      <c r="R13211" s="255"/>
      <c r="S13211" s="255"/>
      <c r="T13211" s="255"/>
    </row>
    <row r="13212" spans="18:20" x14ac:dyDescent="0.3">
      <c r="R13212" s="255"/>
      <c r="S13212" s="255"/>
      <c r="T13212" s="255"/>
    </row>
    <row r="13213" spans="18:20" x14ac:dyDescent="0.3">
      <c r="R13213" s="255"/>
      <c r="S13213" s="255"/>
      <c r="T13213" s="255"/>
    </row>
    <row r="13214" spans="18:20" x14ac:dyDescent="0.3">
      <c r="R13214" s="255"/>
      <c r="S13214" s="255"/>
      <c r="T13214" s="255"/>
    </row>
    <row r="13215" spans="18:20" x14ac:dyDescent="0.3">
      <c r="R13215" s="255"/>
      <c r="S13215" s="255"/>
      <c r="T13215" s="255"/>
    </row>
    <row r="13216" spans="18:20" x14ac:dyDescent="0.3">
      <c r="R13216" s="255"/>
      <c r="S13216" s="255"/>
      <c r="T13216" s="255"/>
    </row>
    <row r="13217" spans="18:20" x14ac:dyDescent="0.3">
      <c r="R13217" s="255"/>
      <c r="S13217" s="255"/>
      <c r="T13217" s="255"/>
    </row>
    <row r="13218" spans="18:20" x14ac:dyDescent="0.3">
      <c r="R13218" s="255"/>
      <c r="S13218" s="255"/>
      <c r="T13218" s="255"/>
    </row>
    <row r="13219" spans="18:20" x14ac:dyDescent="0.3">
      <c r="R13219" s="255"/>
      <c r="S13219" s="255"/>
      <c r="T13219" s="255"/>
    </row>
    <row r="13220" spans="18:20" x14ac:dyDescent="0.3">
      <c r="R13220" s="255"/>
      <c r="S13220" s="255"/>
      <c r="T13220" s="255"/>
    </row>
    <row r="13221" spans="18:20" x14ac:dyDescent="0.3">
      <c r="R13221" s="255"/>
      <c r="S13221" s="255"/>
      <c r="T13221" s="255"/>
    </row>
    <row r="13222" spans="18:20" x14ac:dyDescent="0.3">
      <c r="R13222" s="255"/>
      <c r="S13222" s="255"/>
      <c r="T13222" s="255"/>
    </row>
    <row r="13223" spans="18:20" x14ac:dyDescent="0.3">
      <c r="R13223" s="255"/>
      <c r="S13223" s="255"/>
      <c r="T13223" s="255"/>
    </row>
    <row r="13224" spans="18:20" x14ac:dyDescent="0.3">
      <c r="R13224" s="255"/>
      <c r="S13224" s="255"/>
      <c r="T13224" s="255"/>
    </row>
    <row r="13225" spans="18:20" x14ac:dyDescent="0.3">
      <c r="R13225" s="255"/>
      <c r="S13225" s="255"/>
      <c r="T13225" s="255"/>
    </row>
    <row r="13226" spans="18:20" x14ac:dyDescent="0.3">
      <c r="R13226" s="255"/>
      <c r="S13226" s="255"/>
      <c r="T13226" s="255"/>
    </row>
    <row r="13227" spans="18:20" x14ac:dyDescent="0.3">
      <c r="R13227" s="255"/>
      <c r="S13227" s="255"/>
      <c r="T13227" s="255"/>
    </row>
    <row r="13228" spans="18:20" x14ac:dyDescent="0.3">
      <c r="R13228" s="255"/>
      <c r="S13228" s="255"/>
      <c r="T13228" s="255"/>
    </row>
    <row r="13229" spans="18:20" x14ac:dyDescent="0.3">
      <c r="R13229" s="255"/>
      <c r="S13229" s="255"/>
      <c r="T13229" s="255"/>
    </row>
    <row r="13230" spans="18:20" x14ac:dyDescent="0.3">
      <c r="R13230" s="255"/>
      <c r="S13230" s="255"/>
      <c r="T13230" s="255"/>
    </row>
    <row r="13231" spans="18:20" x14ac:dyDescent="0.3">
      <c r="R13231" s="255"/>
      <c r="S13231" s="255"/>
      <c r="T13231" s="255"/>
    </row>
    <row r="13232" spans="18:20" x14ac:dyDescent="0.3">
      <c r="R13232" s="255"/>
      <c r="S13232" s="255"/>
      <c r="T13232" s="255"/>
    </row>
    <row r="13233" spans="18:20" x14ac:dyDescent="0.3">
      <c r="R13233" s="255"/>
      <c r="S13233" s="255"/>
      <c r="T13233" s="255"/>
    </row>
    <row r="13234" spans="18:20" x14ac:dyDescent="0.3">
      <c r="R13234" s="255"/>
      <c r="S13234" s="255"/>
      <c r="T13234" s="255"/>
    </row>
    <row r="13235" spans="18:20" x14ac:dyDescent="0.3">
      <c r="R13235" s="255"/>
      <c r="S13235" s="255"/>
      <c r="T13235" s="255"/>
    </row>
    <row r="13236" spans="18:20" x14ac:dyDescent="0.3">
      <c r="R13236" s="255"/>
      <c r="S13236" s="255"/>
      <c r="T13236" s="255"/>
    </row>
    <row r="13237" spans="18:20" x14ac:dyDescent="0.3">
      <c r="R13237" s="255"/>
      <c r="S13237" s="255"/>
      <c r="T13237" s="255"/>
    </row>
    <row r="13238" spans="18:20" x14ac:dyDescent="0.3">
      <c r="R13238" s="255"/>
      <c r="S13238" s="255"/>
      <c r="T13238" s="255"/>
    </row>
    <row r="13239" spans="18:20" x14ac:dyDescent="0.3">
      <c r="R13239" s="255"/>
      <c r="S13239" s="255"/>
      <c r="T13239" s="255"/>
    </row>
    <row r="13240" spans="18:20" x14ac:dyDescent="0.3">
      <c r="R13240" s="255"/>
      <c r="S13240" s="255"/>
      <c r="T13240" s="255"/>
    </row>
    <row r="13241" spans="18:20" x14ac:dyDescent="0.3">
      <c r="R13241" s="255"/>
      <c r="S13241" s="255"/>
      <c r="T13241" s="255"/>
    </row>
    <row r="13242" spans="18:20" x14ac:dyDescent="0.3">
      <c r="R13242" s="255"/>
      <c r="S13242" s="255"/>
      <c r="T13242" s="255"/>
    </row>
    <row r="13243" spans="18:20" x14ac:dyDescent="0.3">
      <c r="R13243" s="255"/>
      <c r="S13243" s="255"/>
      <c r="T13243" s="255"/>
    </row>
    <row r="13244" spans="18:20" x14ac:dyDescent="0.3">
      <c r="R13244" s="255"/>
      <c r="S13244" s="255"/>
      <c r="T13244" s="255"/>
    </row>
    <row r="13245" spans="18:20" x14ac:dyDescent="0.3">
      <c r="R13245" s="255"/>
      <c r="S13245" s="255"/>
      <c r="T13245" s="255"/>
    </row>
    <row r="13246" spans="18:20" x14ac:dyDescent="0.3">
      <c r="R13246" s="255"/>
      <c r="S13246" s="255"/>
      <c r="T13246" s="255"/>
    </row>
    <row r="13247" spans="18:20" x14ac:dyDescent="0.3">
      <c r="R13247" s="255"/>
      <c r="S13247" s="255"/>
      <c r="T13247" s="255"/>
    </row>
    <row r="13248" spans="18:20" x14ac:dyDescent="0.3">
      <c r="R13248" s="255"/>
      <c r="S13248" s="255"/>
      <c r="T13248" s="255"/>
    </row>
    <row r="13249" spans="18:20" x14ac:dyDescent="0.3">
      <c r="R13249" s="255"/>
      <c r="S13249" s="255"/>
      <c r="T13249" s="255"/>
    </row>
    <row r="13250" spans="18:20" x14ac:dyDescent="0.3">
      <c r="R13250" s="255"/>
      <c r="S13250" s="255"/>
      <c r="T13250" s="255"/>
    </row>
    <row r="13251" spans="18:20" x14ac:dyDescent="0.3">
      <c r="R13251" s="255"/>
      <c r="S13251" s="255"/>
      <c r="T13251" s="255"/>
    </row>
    <row r="13252" spans="18:20" x14ac:dyDescent="0.3">
      <c r="R13252" s="255"/>
      <c r="S13252" s="255"/>
      <c r="T13252" s="255"/>
    </row>
    <row r="13253" spans="18:20" x14ac:dyDescent="0.3">
      <c r="R13253" s="255"/>
      <c r="S13253" s="255"/>
      <c r="T13253" s="255"/>
    </row>
    <row r="13254" spans="18:20" x14ac:dyDescent="0.3">
      <c r="R13254" s="255"/>
      <c r="S13254" s="255"/>
      <c r="T13254" s="255"/>
    </row>
    <row r="13255" spans="18:20" x14ac:dyDescent="0.3">
      <c r="R13255" s="255"/>
      <c r="S13255" s="255"/>
      <c r="T13255" s="255"/>
    </row>
    <row r="13256" spans="18:20" x14ac:dyDescent="0.3">
      <c r="R13256" s="255"/>
      <c r="S13256" s="255"/>
      <c r="T13256" s="255"/>
    </row>
    <row r="13257" spans="18:20" x14ac:dyDescent="0.3">
      <c r="R13257" s="255"/>
      <c r="S13257" s="255"/>
      <c r="T13257" s="255"/>
    </row>
    <row r="13258" spans="18:20" x14ac:dyDescent="0.3">
      <c r="R13258" s="255"/>
      <c r="S13258" s="255"/>
      <c r="T13258" s="255"/>
    </row>
    <row r="13259" spans="18:20" x14ac:dyDescent="0.3">
      <c r="R13259" s="255"/>
      <c r="S13259" s="255"/>
      <c r="T13259" s="255"/>
    </row>
    <row r="13260" spans="18:20" x14ac:dyDescent="0.3">
      <c r="R13260" s="255"/>
      <c r="S13260" s="255"/>
      <c r="T13260" s="255"/>
    </row>
    <row r="13261" spans="18:20" x14ac:dyDescent="0.3">
      <c r="R13261" s="255"/>
      <c r="S13261" s="255"/>
      <c r="T13261" s="255"/>
    </row>
    <row r="13262" spans="18:20" x14ac:dyDescent="0.3">
      <c r="R13262" s="255"/>
      <c r="S13262" s="255"/>
      <c r="T13262" s="255"/>
    </row>
    <row r="13263" spans="18:20" x14ac:dyDescent="0.3">
      <c r="R13263" s="255"/>
      <c r="S13263" s="255"/>
      <c r="T13263" s="255"/>
    </row>
    <row r="13264" spans="18:20" x14ac:dyDescent="0.3">
      <c r="R13264" s="255"/>
      <c r="S13264" s="255"/>
      <c r="T13264" s="255"/>
    </row>
    <row r="13265" spans="18:20" x14ac:dyDescent="0.3">
      <c r="R13265" s="255"/>
      <c r="S13265" s="255"/>
      <c r="T13265" s="255"/>
    </row>
    <row r="13266" spans="18:20" x14ac:dyDescent="0.3">
      <c r="R13266" s="255"/>
      <c r="S13266" s="255"/>
      <c r="T13266" s="255"/>
    </row>
    <row r="13267" spans="18:20" x14ac:dyDescent="0.3">
      <c r="R13267" s="255"/>
      <c r="S13267" s="255"/>
      <c r="T13267" s="255"/>
    </row>
    <row r="13268" spans="18:20" x14ac:dyDescent="0.3">
      <c r="R13268" s="255"/>
      <c r="S13268" s="255"/>
      <c r="T13268" s="255"/>
    </row>
    <row r="13269" spans="18:20" x14ac:dyDescent="0.3">
      <c r="R13269" s="255"/>
      <c r="S13269" s="255"/>
      <c r="T13269" s="255"/>
    </row>
    <row r="13270" spans="18:20" x14ac:dyDescent="0.3">
      <c r="R13270" s="255"/>
      <c r="S13270" s="255"/>
      <c r="T13270" s="255"/>
    </row>
    <row r="13271" spans="18:20" x14ac:dyDescent="0.3">
      <c r="R13271" s="255"/>
      <c r="S13271" s="255"/>
      <c r="T13271" s="255"/>
    </row>
    <row r="13272" spans="18:20" x14ac:dyDescent="0.3">
      <c r="R13272" s="255"/>
      <c r="S13272" s="255"/>
      <c r="T13272" s="255"/>
    </row>
    <row r="13273" spans="18:20" x14ac:dyDescent="0.3">
      <c r="R13273" s="255"/>
      <c r="S13273" s="255"/>
      <c r="T13273" s="255"/>
    </row>
    <row r="13274" spans="18:20" x14ac:dyDescent="0.3">
      <c r="R13274" s="255"/>
      <c r="S13274" s="255"/>
      <c r="T13274" s="255"/>
    </row>
    <row r="13275" spans="18:20" x14ac:dyDescent="0.3">
      <c r="R13275" s="255"/>
      <c r="S13275" s="255"/>
      <c r="T13275" s="255"/>
    </row>
    <row r="13276" spans="18:20" x14ac:dyDescent="0.3">
      <c r="R13276" s="255"/>
      <c r="S13276" s="255"/>
      <c r="T13276" s="255"/>
    </row>
    <row r="13277" spans="18:20" x14ac:dyDescent="0.3">
      <c r="R13277" s="255"/>
      <c r="S13277" s="255"/>
      <c r="T13277" s="255"/>
    </row>
    <row r="13278" spans="18:20" x14ac:dyDescent="0.3">
      <c r="R13278" s="255"/>
      <c r="S13278" s="255"/>
      <c r="T13278" s="255"/>
    </row>
    <row r="13279" spans="18:20" x14ac:dyDescent="0.3">
      <c r="R13279" s="255"/>
      <c r="S13279" s="255"/>
      <c r="T13279" s="255"/>
    </row>
    <row r="13280" spans="18:20" x14ac:dyDescent="0.3">
      <c r="R13280" s="255"/>
      <c r="S13280" s="255"/>
      <c r="T13280" s="255"/>
    </row>
    <row r="13281" spans="18:20" x14ac:dyDescent="0.3">
      <c r="R13281" s="255"/>
      <c r="S13281" s="255"/>
      <c r="T13281" s="255"/>
    </row>
    <row r="13282" spans="18:20" x14ac:dyDescent="0.3">
      <c r="R13282" s="255"/>
      <c r="S13282" s="255"/>
      <c r="T13282" s="255"/>
    </row>
    <row r="13283" spans="18:20" x14ac:dyDescent="0.3">
      <c r="R13283" s="255"/>
      <c r="S13283" s="255"/>
      <c r="T13283" s="255"/>
    </row>
    <row r="13284" spans="18:20" x14ac:dyDescent="0.3">
      <c r="R13284" s="255"/>
      <c r="S13284" s="255"/>
      <c r="T13284" s="255"/>
    </row>
    <row r="13285" spans="18:20" x14ac:dyDescent="0.3">
      <c r="R13285" s="255"/>
      <c r="S13285" s="255"/>
      <c r="T13285" s="255"/>
    </row>
    <row r="13286" spans="18:20" x14ac:dyDescent="0.3">
      <c r="R13286" s="255"/>
      <c r="S13286" s="255"/>
      <c r="T13286" s="255"/>
    </row>
    <row r="13287" spans="18:20" x14ac:dyDescent="0.3">
      <c r="R13287" s="255"/>
      <c r="S13287" s="255"/>
      <c r="T13287" s="255"/>
    </row>
    <row r="13288" spans="18:20" x14ac:dyDescent="0.3">
      <c r="R13288" s="255"/>
      <c r="S13288" s="255"/>
      <c r="T13288" s="255"/>
    </row>
    <row r="13289" spans="18:20" x14ac:dyDescent="0.3">
      <c r="R13289" s="255"/>
      <c r="S13289" s="255"/>
      <c r="T13289" s="255"/>
    </row>
    <row r="13290" spans="18:20" x14ac:dyDescent="0.3">
      <c r="R13290" s="255"/>
      <c r="S13290" s="255"/>
      <c r="T13290" s="255"/>
    </row>
    <row r="13291" spans="18:20" x14ac:dyDescent="0.3">
      <c r="R13291" s="255"/>
      <c r="S13291" s="255"/>
      <c r="T13291" s="255"/>
    </row>
    <row r="13292" spans="18:20" x14ac:dyDescent="0.3">
      <c r="R13292" s="255"/>
      <c r="S13292" s="255"/>
      <c r="T13292" s="255"/>
    </row>
    <row r="13293" spans="18:20" x14ac:dyDescent="0.3">
      <c r="R13293" s="255"/>
      <c r="S13293" s="255"/>
      <c r="T13293" s="255"/>
    </row>
    <row r="13294" spans="18:20" x14ac:dyDescent="0.3">
      <c r="R13294" s="255"/>
      <c r="S13294" s="255"/>
      <c r="T13294" s="255"/>
    </row>
    <row r="13295" spans="18:20" x14ac:dyDescent="0.3">
      <c r="R13295" s="255"/>
      <c r="S13295" s="255"/>
      <c r="T13295" s="255"/>
    </row>
    <row r="13296" spans="18:20" x14ac:dyDescent="0.3">
      <c r="R13296" s="255"/>
      <c r="S13296" s="255"/>
      <c r="T13296" s="255"/>
    </row>
    <row r="13297" spans="18:20" x14ac:dyDescent="0.3">
      <c r="R13297" s="255"/>
      <c r="S13297" s="255"/>
      <c r="T13297" s="255"/>
    </row>
    <row r="13298" spans="18:20" x14ac:dyDescent="0.3">
      <c r="R13298" s="255"/>
      <c r="S13298" s="255"/>
      <c r="T13298" s="255"/>
    </row>
    <row r="13299" spans="18:20" x14ac:dyDescent="0.3">
      <c r="R13299" s="255"/>
      <c r="S13299" s="255"/>
      <c r="T13299" s="255"/>
    </row>
    <row r="13300" spans="18:20" x14ac:dyDescent="0.3">
      <c r="R13300" s="255"/>
      <c r="S13300" s="255"/>
      <c r="T13300" s="255"/>
    </row>
    <row r="13301" spans="18:20" x14ac:dyDescent="0.3">
      <c r="R13301" s="255"/>
      <c r="S13301" s="255"/>
      <c r="T13301" s="255"/>
    </row>
    <row r="13302" spans="18:20" x14ac:dyDescent="0.3">
      <c r="R13302" s="255"/>
      <c r="S13302" s="255"/>
      <c r="T13302" s="255"/>
    </row>
    <row r="13303" spans="18:20" x14ac:dyDescent="0.3">
      <c r="R13303" s="255"/>
      <c r="S13303" s="255"/>
      <c r="T13303" s="255"/>
    </row>
    <row r="13304" spans="18:20" x14ac:dyDescent="0.3">
      <c r="R13304" s="255"/>
      <c r="S13304" s="255"/>
      <c r="T13304" s="255"/>
    </row>
    <row r="13305" spans="18:20" x14ac:dyDescent="0.3">
      <c r="R13305" s="255"/>
      <c r="S13305" s="255"/>
      <c r="T13305" s="255"/>
    </row>
    <row r="13306" spans="18:20" x14ac:dyDescent="0.3">
      <c r="R13306" s="255"/>
      <c r="S13306" s="255"/>
      <c r="T13306" s="255"/>
    </row>
    <row r="13307" spans="18:20" x14ac:dyDescent="0.3">
      <c r="R13307" s="255"/>
      <c r="S13307" s="255"/>
      <c r="T13307" s="255"/>
    </row>
    <row r="13308" spans="18:20" x14ac:dyDescent="0.3">
      <c r="R13308" s="255"/>
      <c r="S13308" s="255"/>
      <c r="T13308" s="255"/>
    </row>
    <row r="13309" spans="18:20" x14ac:dyDescent="0.3">
      <c r="R13309" s="255"/>
      <c r="S13309" s="255"/>
      <c r="T13309" s="255"/>
    </row>
    <row r="13310" spans="18:20" x14ac:dyDescent="0.3">
      <c r="R13310" s="255"/>
      <c r="S13310" s="255"/>
      <c r="T13310" s="255"/>
    </row>
    <row r="13311" spans="18:20" x14ac:dyDescent="0.3">
      <c r="R13311" s="255"/>
      <c r="S13311" s="255"/>
      <c r="T13311" s="255"/>
    </row>
    <row r="13312" spans="18:20" x14ac:dyDescent="0.3">
      <c r="R13312" s="255"/>
      <c r="S13312" s="255"/>
      <c r="T13312" s="255"/>
    </row>
    <row r="13313" spans="18:20" x14ac:dyDescent="0.3">
      <c r="R13313" s="255"/>
      <c r="S13313" s="255"/>
      <c r="T13313" s="255"/>
    </row>
    <row r="13314" spans="18:20" x14ac:dyDescent="0.3">
      <c r="R13314" s="255"/>
      <c r="S13314" s="255"/>
      <c r="T13314" s="255"/>
    </row>
    <row r="13315" spans="18:20" x14ac:dyDescent="0.3">
      <c r="R13315" s="255"/>
      <c r="S13315" s="255"/>
      <c r="T13315" s="255"/>
    </row>
    <row r="13316" spans="18:20" x14ac:dyDescent="0.3">
      <c r="R13316" s="255"/>
      <c r="S13316" s="255"/>
      <c r="T13316" s="255"/>
    </row>
    <row r="13317" spans="18:20" x14ac:dyDescent="0.3">
      <c r="R13317" s="255"/>
      <c r="S13317" s="255"/>
      <c r="T13317" s="255"/>
    </row>
    <row r="13318" spans="18:20" x14ac:dyDescent="0.3">
      <c r="R13318" s="255"/>
      <c r="S13318" s="255"/>
      <c r="T13318" s="255"/>
    </row>
    <row r="13319" spans="18:20" x14ac:dyDescent="0.3">
      <c r="R13319" s="255"/>
      <c r="S13319" s="255"/>
      <c r="T13319" s="255"/>
    </row>
    <row r="13320" spans="18:20" x14ac:dyDescent="0.3">
      <c r="R13320" s="255"/>
      <c r="S13320" s="255"/>
      <c r="T13320" s="255"/>
    </row>
    <row r="13321" spans="18:20" x14ac:dyDescent="0.3">
      <c r="R13321" s="255"/>
      <c r="S13321" s="255"/>
      <c r="T13321" s="255"/>
    </row>
    <row r="13322" spans="18:20" x14ac:dyDescent="0.3">
      <c r="R13322" s="255"/>
      <c r="S13322" s="255"/>
      <c r="T13322" s="255"/>
    </row>
    <row r="13323" spans="18:20" x14ac:dyDescent="0.3">
      <c r="R13323" s="255"/>
      <c r="S13323" s="255"/>
      <c r="T13323" s="255"/>
    </row>
    <row r="13324" spans="18:20" x14ac:dyDescent="0.3">
      <c r="R13324" s="255"/>
      <c r="S13324" s="255"/>
      <c r="T13324" s="255"/>
    </row>
    <row r="13325" spans="18:20" x14ac:dyDescent="0.3">
      <c r="R13325" s="255"/>
      <c r="S13325" s="255"/>
      <c r="T13325" s="255"/>
    </row>
    <row r="13326" spans="18:20" x14ac:dyDescent="0.3">
      <c r="R13326" s="255"/>
      <c r="S13326" s="255"/>
      <c r="T13326" s="255"/>
    </row>
    <row r="13327" spans="18:20" x14ac:dyDescent="0.3">
      <c r="R13327" s="255"/>
      <c r="S13327" s="255"/>
      <c r="T13327" s="255"/>
    </row>
    <row r="13328" spans="18:20" x14ac:dyDescent="0.3">
      <c r="R13328" s="255"/>
      <c r="S13328" s="255"/>
      <c r="T13328" s="255"/>
    </row>
    <row r="13329" spans="18:20" x14ac:dyDescent="0.3">
      <c r="R13329" s="255"/>
      <c r="S13329" s="255"/>
      <c r="T13329" s="255"/>
    </row>
    <row r="13330" spans="18:20" x14ac:dyDescent="0.3">
      <c r="R13330" s="255"/>
      <c r="S13330" s="255"/>
      <c r="T13330" s="255"/>
    </row>
    <row r="13331" spans="18:20" x14ac:dyDescent="0.3">
      <c r="R13331" s="255"/>
      <c r="S13331" s="255"/>
      <c r="T13331" s="255"/>
    </row>
    <row r="13332" spans="18:20" x14ac:dyDescent="0.3">
      <c r="R13332" s="255"/>
      <c r="S13332" s="255"/>
      <c r="T13332" s="255"/>
    </row>
    <row r="13333" spans="18:20" x14ac:dyDescent="0.3">
      <c r="R13333" s="255"/>
      <c r="S13333" s="255"/>
      <c r="T13333" s="255"/>
    </row>
    <row r="13334" spans="18:20" x14ac:dyDescent="0.3">
      <c r="R13334" s="255"/>
      <c r="S13334" s="255"/>
      <c r="T13334" s="255"/>
    </row>
    <row r="13335" spans="18:20" x14ac:dyDescent="0.3">
      <c r="R13335" s="255"/>
      <c r="S13335" s="255"/>
      <c r="T13335" s="255"/>
    </row>
    <row r="13336" spans="18:20" x14ac:dyDescent="0.3">
      <c r="R13336" s="255"/>
      <c r="S13336" s="255"/>
      <c r="T13336" s="255"/>
    </row>
    <row r="13337" spans="18:20" x14ac:dyDescent="0.3">
      <c r="R13337" s="255"/>
      <c r="S13337" s="255"/>
      <c r="T13337" s="255"/>
    </row>
    <row r="13338" spans="18:20" x14ac:dyDescent="0.3">
      <c r="R13338" s="255"/>
      <c r="S13338" s="255"/>
      <c r="T13338" s="255"/>
    </row>
    <row r="13339" spans="18:20" x14ac:dyDescent="0.3">
      <c r="R13339" s="255"/>
      <c r="S13339" s="255"/>
      <c r="T13339" s="255"/>
    </row>
    <row r="13340" spans="18:20" x14ac:dyDescent="0.3">
      <c r="R13340" s="255"/>
      <c r="S13340" s="255"/>
      <c r="T13340" s="255"/>
    </row>
    <row r="13341" spans="18:20" x14ac:dyDescent="0.3">
      <c r="R13341" s="255"/>
      <c r="S13341" s="255"/>
      <c r="T13341" s="255"/>
    </row>
    <row r="13342" spans="18:20" x14ac:dyDescent="0.3">
      <c r="R13342" s="255"/>
      <c r="S13342" s="255"/>
      <c r="T13342" s="255"/>
    </row>
    <row r="13343" spans="18:20" x14ac:dyDescent="0.3">
      <c r="R13343" s="255"/>
      <c r="S13343" s="255"/>
      <c r="T13343" s="255"/>
    </row>
    <row r="13344" spans="18:20" x14ac:dyDescent="0.3">
      <c r="R13344" s="255"/>
      <c r="S13344" s="255"/>
      <c r="T13344" s="255"/>
    </row>
    <row r="13345" spans="18:20" x14ac:dyDescent="0.3">
      <c r="R13345" s="255"/>
      <c r="S13345" s="255"/>
      <c r="T13345" s="255"/>
    </row>
    <row r="13346" spans="18:20" x14ac:dyDescent="0.3">
      <c r="R13346" s="255"/>
      <c r="S13346" s="255"/>
      <c r="T13346" s="255"/>
    </row>
    <row r="13347" spans="18:20" x14ac:dyDescent="0.3">
      <c r="R13347" s="255"/>
      <c r="S13347" s="255"/>
      <c r="T13347" s="255"/>
    </row>
    <row r="13348" spans="18:20" x14ac:dyDescent="0.3">
      <c r="R13348" s="255"/>
      <c r="S13348" s="255"/>
      <c r="T13348" s="255"/>
    </row>
    <row r="13349" spans="18:20" x14ac:dyDescent="0.3">
      <c r="R13349" s="255"/>
      <c r="S13349" s="255"/>
      <c r="T13349" s="255"/>
    </row>
    <row r="13350" spans="18:20" x14ac:dyDescent="0.3">
      <c r="R13350" s="255"/>
      <c r="S13350" s="255"/>
      <c r="T13350" s="255"/>
    </row>
    <row r="13351" spans="18:20" x14ac:dyDescent="0.3">
      <c r="R13351" s="255"/>
      <c r="S13351" s="255"/>
      <c r="T13351" s="255"/>
    </row>
    <row r="13352" spans="18:20" x14ac:dyDescent="0.3">
      <c r="R13352" s="255"/>
      <c r="S13352" s="255"/>
      <c r="T13352" s="255"/>
    </row>
    <row r="13353" spans="18:20" x14ac:dyDescent="0.3">
      <c r="R13353" s="255"/>
      <c r="S13353" s="255"/>
      <c r="T13353" s="255"/>
    </row>
    <row r="13354" spans="18:20" x14ac:dyDescent="0.3">
      <c r="R13354" s="255"/>
      <c r="S13354" s="255"/>
      <c r="T13354" s="255"/>
    </row>
    <row r="13355" spans="18:20" x14ac:dyDescent="0.3">
      <c r="R13355" s="255"/>
      <c r="S13355" s="255"/>
      <c r="T13355" s="255"/>
    </row>
    <row r="13356" spans="18:20" x14ac:dyDescent="0.3">
      <c r="R13356" s="255"/>
      <c r="S13356" s="255"/>
      <c r="T13356" s="255"/>
    </row>
    <row r="13357" spans="18:20" x14ac:dyDescent="0.3">
      <c r="R13357" s="255"/>
      <c r="S13357" s="255"/>
      <c r="T13357" s="255"/>
    </row>
    <row r="13358" spans="18:20" x14ac:dyDescent="0.3">
      <c r="R13358" s="255"/>
      <c r="S13358" s="255"/>
      <c r="T13358" s="255"/>
    </row>
    <row r="13359" spans="18:20" x14ac:dyDescent="0.3">
      <c r="R13359" s="255"/>
      <c r="S13359" s="255"/>
      <c r="T13359" s="255"/>
    </row>
    <row r="13360" spans="18:20" x14ac:dyDescent="0.3">
      <c r="R13360" s="255"/>
      <c r="S13360" s="255"/>
      <c r="T13360" s="255"/>
    </row>
    <row r="13361" spans="18:20" x14ac:dyDescent="0.3">
      <c r="R13361" s="255"/>
      <c r="S13361" s="255"/>
      <c r="T13361" s="255"/>
    </row>
    <row r="13362" spans="18:20" x14ac:dyDescent="0.3">
      <c r="R13362" s="255"/>
      <c r="S13362" s="255"/>
      <c r="T13362" s="255"/>
    </row>
    <row r="13363" spans="18:20" x14ac:dyDescent="0.3">
      <c r="R13363" s="255"/>
      <c r="S13363" s="255"/>
      <c r="T13363" s="255"/>
    </row>
    <row r="13364" spans="18:20" x14ac:dyDescent="0.3">
      <c r="R13364" s="255"/>
      <c r="S13364" s="255"/>
      <c r="T13364" s="255"/>
    </row>
    <row r="13365" spans="18:20" x14ac:dyDescent="0.3">
      <c r="R13365" s="255"/>
      <c r="S13365" s="255"/>
      <c r="T13365" s="255"/>
    </row>
    <row r="13366" spans="18:20" x14ac:dyDescent="0.3">
      <c r="R13366" s="255"/>
      <c r="S13366" s="255"/>
      <c r="T13366" s="255"/>
    </row>
    <row r="13367" spans="18:20" x14ac:dyDescent="0.3">
      <c r="R13367" s="255"/>
      <c r="S13367" s="255"/>
      <c r="T13367" s="255"/>
    </row>
    <row r="13368" spans="18:20" x14ac:dyDescent="0.3">
      <c r="R13368" s="255"/>
      <c r="S13368" s="255"/>
      <c r="T13368" s="255"/>
    </row>
    <row r="13369" spans="18:20" x14ac:dyDescent="0.3">
      <c r="R13369" s="255"/>
      <c r="S13369" s="255"/>
      <c r="T13369" s="255"/>
    </row>
    <row r="13370" spans="18:20" x14ac:dyDescent="0.3">
      <c r="R13370" s="255"/>
      <c r="S13370" s="255"/>
      <c r="T13370" s="255"/>
    </row>
    <row r="13371" spans="18:20" x14ac:dyDescent="0.3">
      <c r="R13371" s="255"/>
      <c r="S13371" s="255"/>
      <c r="T13371" s="255"/>
    </row>
    <row r="13372" spans="18:20" x14ac:dyDescent="0.3">
      <c r="R13372" s="255"/>
      <c r="S13372" s="255"/>
      <c r="T13372" s="255"/>
    </row>
    <row r="13373" spans="18:20" x14ac:dyDescent="0.3">
      <c r="R13373" s="255"/>
      <c r="S13373" s="255"/>
      <c r="T13373" s="255"/>
    </row>
    <row r="13374" spans="18:20" x14ac:dyDescent="0.3">
      <c r="R13374" s="255"/>
      <c r="S13374" s="255"/>
      <c r="T13374" s="255"/>
    </row>
    <row r="13375" spans="18:20" x14ac:dyDescent="0.3">
      <c r="R13375" s="255"/>
      <c r="S13375" s="255"/>
      <c r="T13375" s="255"/>
    </row>
    <row r="13376" spans="18:20" x14ac:dyDescent="0.3">
      <c r="R13376" s="255"/>
      <c r="S13376" s="255"/>
      <c r="T13376" s="255"/>
    </row>
    <row r="13377" spans="18:20" x14ac:dyDescent="0.3">
      <c r="R13377" s="255"/>
      <c r="S13377" s="255"/>
      <c r="T13377" s="255"/>
    </row>
    <row r="13378" spans="18:20" x14ac:dyDescent="0.3">
      <c r="R13378" s="255"/>
      <c r="S13378" s="255"/>
      <c r="T13378" s="255"/>
    </row>
    <row r="13379" spans="18:20" x14ac:dyDescent="0.3">
      <c r="R13379" s="255"/>
      <c r="S13379" s="255"/>
      <c r="T13379" s="255"/>
    </row>
    <row r="13380" spans="18:20" x14ac:dyDescent="0.3">
      <c r="R13380" s="255"/>
      <c r="S13380" s="255"/>
      <c r="T13380" s="255"/>
    </row>
    <row r="13381" spans="18:20" x14ac:dyDescent="0.3">
      <c r="R13381" s="255"/>
      <c r="S13381" s="255"/>
      <c r="T13381" s="255"/>
    </row>
    <row r="13382" spans="18:20" x14ac:dyDescent="0.3">
      <c r="R13382" s="255"/>
      <c r="S13382" s="255"/>
      <c r="T13382" s="255"/>
    </row>
    <row r="13383" spans="18:20" x14ac:dyDescent="0.3">
      <c r="R13383" s="255"/>
      <c r="S13383" s="255"/>
      <c r="T13383" s="255"/>
    </row>
    <row r="13384" spans="18:20" x14ac:dyDescent="0.3">
      <c r="R13384" s="255"/>
      <c r="S13384" s="255"/>
      <c r="T13384" s="255"/>
    </row>
    <row r="13385" spans="18:20" x14ac:dyDescent="0.3">
      <c r="R13385" s="255"/>
      <c r="S13385" s="255"/>
      <c r="T13385" s="255"/>
    </row>
    <row r="13386" spans="18:20" x14ac:dyDescent="0.3">
      <c r="R13386" s="255"/>
      <c r="S13386" s="255"/>
      <c r="T13386" s="255"/>
    </row>
    <row r="13387" spans="18:20" x14ac:dyDescent="0.3">
      <c r="R13387" s="255"/>
      <c r="S13387" s="255"/>
      <c r="T13387" s="255"/>
    </row>
    <row r="13388" spans="18:20" x14ac:dyDescent="0.3">
      <c r="R13388" s="255"/>
      <c r="S13388" s="255"/>
      <c r="T13388" s="255"/>
    </row>
    <row r="13389" spans="18:20" x14ac:dyDescent="0.3">
      <c r="R13389" s="255"/>
      <c r="S13389" s="255"/>
      <c r="T13389" s="255"/>
    </row>
    <row r="13390" spans="18:20" x14ac:dyDescent="0.3">
      <c r="R13390" s="255"/>
      <c r="S13390" s="255"/>
      <c r="T13390" s="255"/>
    </row>
    <row r="13391" spans="18:20" x14ac:dyDescent="0.3">
      <c r="R13391" s="255"/>
      <c r="S13391" s="255"/>
      <c r="T13391" s="255"/>
    </row>
    <row r="13392" spans="18:20" x14ac:dyDescent="0.3">
      <c r="R13392" s="255"/>
      <c r="S13392" s="255"/>
      <c r="T13392" s="255"/>
    </row>
    <row r="13393" spans="18:20" x14ac:dyDescent="0.3">
      <c r="R13393" s="255"/>
      <c r="S13393" s="255"/>
      <c r="T13393" s="255"/>
    </row>
    <row r="13394" spans="18:20" x14ac:dyDescent="0.3">
      <c r="R13394" s="255"/>
      <c r="S13394" s="255"/>
      <c r="T13394" s="255"/>
    </row>
    <row r="13395" spans="18:20" x14ac:dyDescent="0.3">
      <c r="R13395" s="255"/>
      <c r="S13395" s="255"/>
      <c r="T13395" s="255"/>
    </row>
    <row r="13396" spans="18:20" x14ac:dyDescent="0.3">
      <c r="R13396" s="255"/>
      <c r="S13396" s="255"/>
      <c r="T13396" s="255"/>
    </row>
    <row r="13397" spans="18:20" x14ac:dyDescent="0.3">
      <c r="R13397" s="255"/>
      <c r="S13397" s="255"/>
      <c r="T13397" s="255"/>
    </row>
    <row r="13398" spans="18:20" x14ac:dyDescent="0.3">
      <c r="R13398" s="255"/>
      <c r="S13398" s="255"/>
      <c r="T13398" s="255"/>
    </row>
    <row r="13399" spans="18:20" x14ac:dyDescent="0.3">
      <c r="R13399" s="255"/>
      <c r="S13399" s="255"/>
      <c r="T13399" s="255"/>
    </row>
    <row r="13400" spans="18:20" x14ac:dyDescent="0.3">
      <c r="R13400" s="255"/>
      <c r="S13400" s="255"/>
      <c r="T13400" s="255"/>
    </row>
    <row r="13401" spans="18:20" x14ac:dyDescent="0.3">
      <c r="R13401" s="255"/>
      <c r="S13401" s="255"/>
      <c r="T13401" s="255"/>
    </row>
    <row r="13402" spans="18:20" x14ac:dyDescent="0.3">
      <c r="R13402" s="255"/>
      <c r="S13402" s="255"/>
      <c r="T13402" s="255"/>
    </row>
    <row r="13403" spans="18:20" x14ac:dyDescent="0.3">
      <c r="R13403" s="255"/>
      <c r="S13403" s="255"/>
      <c r="T13403" s="255"/>
    </row>
    <row r="13404" spans="18:20" x14ac:dyDescent="0.3">
      <c r="R13404" s="255"/>
      <c r="S13404" s="255"/>
      <c r="T13404" s="255"/>
    </row>
    <row r="13405" spans="18:20" x14ac:dyDescent="0.3">
      <c r="R13405" s="255"/>
      <c r="S13405" s="255"/>
      <c r="T13405" s="255"/>
    </row>
    <row r="13406" spans="18:20" x14ac:dyDescent="0.3">
      <c r="R13406" s="255"/>
      <c r="S13406" s="255"/>
      <c r="T13406" s="255"/>
    </row>
    <row r="13407" spans="18:20" x14ac:dyDescent="0.3">
      <c r="R13407" s="255"/>
      <c r="S13407" s="255"/>
      <c r="T13407" s="255"/>
    </row>
    <row r="13408" spans="18:20" x14ac:dyDescent="0.3">
      <c r="R13408" s="255"/>
      <c r="S13408" s="255"/>
      <c r="T13408" s="255"/>
    </row>
    <row r="13409" spans="18:20" x14ac:dyDescent="0.3">
      <c r="R13409" s="255"/>
      <c r="S13409" s="255"/>
      <c r="T13409" s="255"/>
    </row>
    <row r="13410" spans="18:20" x14ac:dyDescent="0.3">
      <c r="R13410" s="255"/>
      <c r="S13410" s="255"/>
      <c r="T13410" s="255"/>
    </row>
    <row r="13411" spans="18:20" x14ac:dyDescent="0.3">
      <c r="R13411" s="255"/>
      <c r="S13411" s="255"/>
      <c r="T13411" s="255"/>
    </row>
    <row r="13412" spans="18:20" x14ac:dyDescent="0.3">
      <c r="R13412" s="255"/>
      <c r="S13412" s="255"/>
      <c r="T13412" s="255"/>
    </row>
    <row r="13413" spans="18:20" x14ac:dyDescent="0.3">
      <c r="R13413" s="255"/>
      <c r="S13413" s="255"/>
      <c r="T13413" s="255"/>
    </row>
    <row r="13414" spans="18:20" x14ac:dyDescent="0.3">
      <c r="R13414" s="255"/>
      <c r="S13414" s="255"/>
      <c r="T13414" s="255"/>
    </row>
    <row r="13415" spans="18:20" x14ac:dyDescent="0.3">
      <c r="R13415" s="255"/>
      <c r="S13415" s="255"/>
      <c r="T13415" s="255"/>
    </row>
    <row r="13416" spans="18:20" x14ac:dyDescent="0.3">
      <c r="R13416" s="255"/>
      <c r="S13416" s="255"/>
      <c r="T13416" s="255"/>
    </row>
    <row r="13417" spans="18:20" x14ac:dyDescent="0.3">
      <c r="R13417" s="255"/>
      <c r="S13417" s="255"/>
      <c r="T13417" s="255"/>
    </row>
    <row r="13418" spans="18:20" x14ac:dyDescent="0.3">
      <c r="R13418" s="255"/>
      <c r="S13418" s="255"/>
      <c r="T13418" s="255"/>
    </row>
    <row r="13419" spans="18:20" x14ac:dyDescent="0.3">
      <c r="R13419" s="255"/>
      <c r="S13419" s="255"/>
      <c r="T13419" s="255"/>
    </row>
    <row r="13420" spans="18:20" x14ac:dyDescent="0.3">
      <c r="R13420" s="255"/>
      <c r="S13420" s="255"/>
      <c r="T13420" s="255"/>
    </row>
    <row r="13421" spans="18:20" x14ac:dyDescent="0.3">
      <c r="R13421" s="255"/>
      <c r="S13421" s="255"/>
      <c r="T13421" s="255"/>
    </row>
    <row r="13422" spans="18:20" x14ac:dyDescent="0.3">
      <c r="R13422" s="255"/>
      <c r="S13422" s="255"/>
      <c r="T13422" s="255"/>
    </row>
    <row r="13423" spans="18:20" x14ac:dyDescent="0.3">
      <c r="R13423" s="255"/>
      <c r="S13423" s="255"/>
      <c r="T13423" s="255"/>
    </row>
    <row r="13424" spans="18:20" x14ac:dyDescent="0.3">
      <c r="R13424" s="255"/>
      <c r="S13424" s="255"/>
      <c r="T13424" s="255"/>
    </row>
    <row r="13425" spans="18:20" x14ac:dyDescent="0.3">
      <c r="R13425" s="255"/>
      <c r="S13425" s="255"/>
      <c r="T13425" s="255"/>
    </row>
    <row r="13426" spans="18:20" x14ac:dyDescent="0.3">
      <c r="R13426" s="255"/>
      <c r="S13426" s="255"/>
      <c r="T13426" s="255"/>
    </row>
    <row r="13427" spans="18:20" x14ac:dyDescent="0.3">
      <c r="R13427" s="255"/>
      <c r="S13427" s="255"/>
      <c r="T13427" s="255"/>
    </row>
    <row r="13428" spans="18:20" x14ac:dyDescent="0.3">
      <c r="R13428" s="255"/>
      <c r="S13428" s="255"/>
      <c r="T13428" s="255"/>
    </row>
    <row r="13429" spans="18:20" x14ac:dyDescent="0.3">
      <c r="R13429" s="255"/>
      <c r="S13429" s="255"/>
      <c r="T13429" s="255"/>
    </row>
    <row r="13430" spans="18:20" x14ac:dyDescent="0.3">
      <c r="R13430" s="255"/>
      <c r="S13430" s="255"/>
      <c r="T13430" s="255"/>
    </row>
    <row r="13431" spans="18:20" x14ac:dyDescent="0.3">
      <c r="R13431" s="255"/>
      <c r="S13431" s="255"/>
      <c r="T13431" s="255"/>
    </row>
    <row r="13432" spans="18:20" x14ac:dyDescent="0.3">
      <c r="R13432" s="255"/>
      <c r="S13432" s="255"/>
      <c r="T13432" s="255"/>
    </row>
    <row r="13433" spans="18:20" x14ac:dyDescent="0.3">
      <c r="R13433" s="255"/>
      <c r="S13433" s="255"/>
      <c r="T13433" s="255"/>
    </row>
    <row r="13434" spans="18:20" x14ac:dyDescent="0.3">
      <c r="R13434" s="255"/>
      <c r="S13434" s="255"/>
      <c r="T13434" s="255"/>
    </row>
    <row r="13435" spans="18:20" x14ac:dyDescent="0.3">
      <c r="R13435" s="255"/>
      <c r="S13435" s="255"/>
      <c r="T13435" s="255"/>
    </row>
    <row r="13436" spans="18:20" x14ac:dyDescent="0.3">
      <c r="R13436" s="255"/>
      <c r="S13436" s="255"/>
      <c r="T13436" s="255"/>
    </row>
    <row r="13437" spans="18:20" x14ac:dyDescent="0.3">
      <c r="R13437" s="255"/>
      <c r="S13437" s="255"/>
      <c r="T13437" s="255"/>
    </row>
    <row r="13438" spans="18:20" x14ac:dyDescent="0.3">
      <c r="R13438" s="255"/>
      <c r="S13438" s="255"/>
      <c r="T13438" s="255"/>
    </row>
    <row r="13439" spans="18:20" x14ac:dyDescent="0.3">
      <c r="R13439" s="255"/>
      <c r="S13439" s="255"/>
      <c r="T13439" s="255"/>
    </row>
    <row r="13440" spans="18:20" x14ac:dyDescent="0.3">
      <c r="R13440" s="255"/>
      <c r="S13440" s="255"/>
      <c r="T13440" s="255"/>
    </row>
    <row r="13441" spans="18:20" x14ac:dyDescent="0.3">
      <c r="R13441" s="255"/>
      <c r="S13441" s="255"/>
      <c r="T13441" s="255"/>
    </row>
    <row r="13442" spans="18:20" x14ac:dyDescent="0.3">
      <c r="R13442" s="255"/>
      <c r="S13442" s="255"/>
      <c r="T13442" s="255"/>
    </row>
    <row r="13443" spans="18:20" x14ac:dyDescent="0.3">
      <c r="R13443" s="255"/>
      <c r="S13443" s="255"/>
      <c r="T13443" s="255"/>
    </row>
    <row r="13444" spans="18:20" x14ac:dyDescent="0.3">
      <c r="R13444" s="255"/>
      <c r="S13444" s="255"/>
      <c r="T13444" s="255"/>
    </row>
    <row r="13445" spans="18:20" x14ac:dyDescent="0.3">
      <c r="R13445" s="255"/>
      <c r="S13445" s="255"/>
      <c r="T13445" s="255"/>
    </row>
    <row r="13446" spans="18:20" x14ac:dyDescent="0.3">
      <c r="R13446" s="255"/>
      <c r="S13446" s="255"/>
      <c r="T13446" s="255"/>
    </row>
    <row r="13447" spans="18:20" x14ac:dyDescent="0.3">
      <c r="R13447" s="255"/>
      <c r="S13447" s="255"/>
      <c r="T13447" s="255"/>
    </row>
    <row r="13448" spans="18:20" x14ac:dyDescent="0.3">
      <c r="R13448" s="255"/>
      <c r="S13448" s="255"/>
      <c r="T13448" s="255"/>
    </row>
    <row r="13449" spans="18:20" x14ac:dyDescent="0.3">
      <c r="R13449" s="255"/>
      <c r="S13449" s="255"/>
      <c r="T13449" s="255"/>
    </row>
    <row r="13450" spans="18:20" x14ac:dyDescent="0.3">
      <c r="R13450" s="255"/>
      <c r="S13450" s="255"/>
      <c r="T13450" s="255"/>
    </row>
    <row r="13451" spans="18:20" x14ac:dyDescent="0.3">
      <c r="R13451" s="255"/>
      <c r="S13451" s="255"/>
      <c r="T13451" s="255"/>
    </row>
    <row r="13452" spans="18:20" x14ac:dyDescent="0.3">
      <c r="R13452" s="255"/>
      <c r="S13452" s="255"/>
      <c r="T13452" s="255"/>
    </row>
    <row r="13453" spans="18:20" x14ac:dyDescent="0.3">
      <c r="R13453" s="255"/>
      <c r="S13453" s="255"/>
      <c r="T13453" s="255"/>
    </row>
    <row r="13454" spans="18:20" x14ac:dyDescent="0.3">
      <c r="R13454" s="255"/>
      <c r="S13454" s="255"/>
      <c r="T13454" s="255"/>
    </row>
    <row r="13455" spans="18:20" x14ac:dyDescent="0.3">
      <c r="R13455" s="255"/>
      <c r="S13455" s="255"/>
      <c r="T13455" s="255"/>
    </row>
    <row r="13456" spans="18:20" x14ac:dyDescent="0.3">
      <c r="R13456" s="255"/>
      <c r="S13456" s="255"/>
      <c r="T13456" s="255"/>
    </row>
    <row r="13457" spans="18:20" x14ac:dyDescent="0.3">
      <c r="R13457" s="255"/>
      <c r="S13457" s="255"/>
      <c r="T13457" s="255"/>
    </row>
    <row r="13458" spans="18:20" x14ac:dyDescent="0.3">
      <c r="R13458" s="255"/>
      <c r="S13458" s="255"/>
      <c r="T13458" s="255"/>
    </row>
    <row r="13459" spans="18:20" x14ac:dyDescent="0.3">
      <c r="R13459" s="255"/>
      <c r="S13459" s="255"/>
      <c r="T13459" s="255"/>
    </row>
    <row r="13460" spans="18:20" x14ac:dyDescent="0.3">
      <c r="R13460" s="255"/>
      <c r="S13460" s="255"/>
      <c r="T13460" s="255"/>
    </row>
    <row r="13461" spans="18:20" x14ac:dyDescent="0.3">
      <c r="R13461" s="255"/>
      <c r="S13461" s="255"/>
      <c r="T13461" s="255"/>
    </row>
    <row r="13462" spans="18:20" x14ac:dyDescent="0.3">
      <c r="R13462" s="255"/>
      <c r="S13462" s="255"/>
      <c r="T13462" s="255"/>
    </row>
    <row r="13463" spans="18:20" x14ac:dyDescent="0.3">
      <c r="R13463" s="255"/>
      <c r="S13463" s="255"/>
      <c r="T13463" s="255"/>
    </row>
    <row r="13464" spans="18:20" x14ac:dyDescent="0.3">
      <c r="R13464" s="255"/>
      <c r="S13464" s="255"/>
      <c r="T13464" s="255"/>
    </row>
    <row r="13465" spans="18:20" x14ac:dyDescent="0.3">
      <c r="R13465" s="255"/>
      <c r="S13465" s="255"/>
      <c r="T13465" s="255"/>
    </row>
    <row r="13466" spans="18:20" x14ac:dyDescent="0.3">
      <c r="R13466" s="255"/>
      <c r="S13466" s="255"/>
      <c r="T13466" s="255"/>
    </row>
    <row r="13467" spans="18:20" x14ac:dyDescent="0.3">
      <c r="R13467" s="255"/>
      <c r="S13467" s="255"/>
      <c r="T13467" s="255"/>
    </row>
    <row r="13468" spans="18:20" x14ac:dyDescent="0.3">
      <c r="R13468" s="255"/>
      <c r="S13468" s="255"/>
      <c r="T13468" s="255"/>
    </row>
    <row r="13469" spans="18:20" x14ac:dyDescent="0.3">
      <c r="R13469" s="255"/>
      <c r="S13469" s="255"/>
      <c r="T13469" s="255"/>
    </row>
    <row r="13470" spans="18:20" x14ac:dyDescent="0.3">
      <c r="R13470" s="255"/>
      <c r="S13470" s="255"/>
      <c r="T13470" s="255"/>
    </row>
    <row r="13471" spans="18:20" x14ac:dyDescent="0.3">
      <c r="R13471" s="255"/>
      <c r="S13471" s="255"/>
      <c r="T13471" s="255"/>
    </row>
    <row r="13472" spans="18:20" x14ac:dyDescent="0.3">
      <c r="R13472" s="255"/>
      <c r="S13472" s="255"/>
      <c r="T13472" s="255"/>
    </row>
    <row r="13473" spans="18:20" x14ac:dyDescent="0.3">
      <c r="R13473" s="255"/>
      <c r="S13473" s="255"/>
      <c r="T13473" s="255"/>
    </row>
    <row r="13474" spans="18:20" x14ac:dyDescent="0.3">
      <c r="R13474" s="255"/>
      <c r="S13474" s="255"/>
      <c r="T13474" s="255"/>
    </row>
    <row r="13475" spans="18:20" x14ac:dyDescent="0.3">
      <c r="R13475" s="255"/>
      <c r="S13475" s="255"/>
      <c r="T13475" s="255"/>
    </row>
    <row r="13476" spans="18:20" x14ac:dyDescent="0.3">
      <c r="R13476" s="255"/>
      <c r="S13476" s="255"/>
      <c r="T13476" s="255"/>
    </row>
    <row r="13477" spans="18:20" x14ac:dyDescent="0.3">
      <c r="R13477" s="255"/>
      <c r="S13477" s="255"/>
      <c r="T13477" s="255"/>
    </row>
    <row r="13478" spans="18:20" x14ac:dyDescent="0.3">
      <c r="R13478" s="255"/>
      <c r="S13478" s="255"/>
      <c r="T13478" s="255"/>
    </row>
    <row r="13479" spans="18:20" x14ac:dyDescent="0.3">
      <c r="R13479" s="255"/>
      <c r="S13479" s="255"/>
      <c r="T13479" s="255"/>
    </row>
    <row r="13480" spans="18:20" x14ac:dyDescent="0.3">
      <c r="R13480" s="255"/>
      <c r="S13480" s="255"/>
      <c r="T13480" s="255"/>
    </row>
    <row r="13481" spans="18:20" x14ac:dyDescent="0.3">
      <c r="R13481" s="255"/>
      <c r="S13481" s="255"/>
      <c r="T13481" s="255"/>
    </row>
    <row r="13482" spans="18:20" x14ac:dyDescent="0.3">
      <c r="R13482" s="255"/>
      <c r="S13482" s="255"/>
      <c r="T13482" s="255"/>
    </row>
    <row r="13483" spans="18:20" x14ac:dyDescent="0.3">
      <c r="R13483" s="255"/>
      <c r="S13483" s="255"/>
      <c r="T13483" s="255"/>
    </row>
    <row r="13484" spans="18:20" x14ac:dyDescent="0.3">
      <c r="R13484" s="255"/>
      <c r="S13484" s="255"/>
      <c r="T13484" s="255"/>
    </row>
    <row r="13485" spans="18:20" x14ac:dyDescent="0.3">
      <c r="R13485" s="255"/>
      <c r="S13485" s="255"/>
      <c r="T13485" s="255"/>
    </row>
    <row r="13486" spans="18:20" x14ac:dyDescent="0.3">
      <c r="R13486" s="255"/>
      <c r="S13486" s="255"/>
      <c r="T13486" s="255"/>
    </row>
    <row r="13487" spans="18:20" x14ac:dyDescent="0.3">
      <c r="R13487" s="255"/>
      <c r="S13487" s="255"/>
      <c r="T13487" s="255"/>
    </row>
    <row r="13488" spans="18:20" x14ac:dyDescent="0.3">
      <c r="R13488" s="255"/>
      <c r="S13488" s="255"/>
      <c r="T13488" s="255"/>
    </row>
    <row r="13489" spans="18:20" x14ac:dyDescent="0.3">
      <c r="R13489" s="255"/>
      <c r="S13489" s="255"/>
      <c r="T13489" s="255"/>
    </row>
    <row r="13490" spans="18:20" x14ac:dyDescent="0.3">
      <c r="R13490" s="255"/>
      <c r="S13490" s="255"/>
      <c r="T13490" s="255"/>
    </row>
    <row r="13491" spans="18:20" x14ac:dyDescent="0.3">
      <c r="R13491" s="255"/>
      <c r="S13491" s="255"/>
      <c r="T13491" s="255"/>
    </row>
    <row r="13492" spans="18:20" x14ac:dyDescent="0.3">
      <c r="R13492" s="255"/>
      <c r="S13492" s="255"/>
      <c r="T13492" s="255"/>
    </row>
    <row r="13493" spans="18:20" x14ac:dyDescent="0.3">
      <c r="R13493" s="255"/>
      <c r="S13493" s="255"/>
      <c r="T13493" s="255"/>
    </row>
    <row r="13494" spans="18:20" x14ac:dyDescent="0.3">
      <c r="R13494" s="255"/>
      <c r="S13494" s="255"/>
      <c r="T13494" s="255"/>
    </row>
    <row r="13495" spans="18:20" x14ac:dyDescent="0.3">
      <c r="R13495" s="255"/>
      <c r="S13495" s="255"/>
      <c r="T13495" s="255"/>
    </row>
    <row r="13496" spans="18:20" x14ac:dyDescent="0.3">
      <c r="R13496" s="255"/>
      <c r="S13496" s="255"/>
      <c r="T13496" s="255"/>
    </row>
    <row r="13497" spans="18:20" x14ac:dyDescent="0.3">
      <c r="R13497" s="255"/>
      <c r="S13497" s="255"/>
      <c r="T13497" s="255"/>
    </row>
    <row r="13498" spans="18:20" x14ac:dyDescent="0.3">
      <c r="R13498" s="255"/>
      <c r="S13498" s="255"/>
      <c r="T13498" s="255"/>
    </row>
    <row r="13499" spans="18:20" x14ac:dyDescent="0.3">
      <c r="R13499" s="255"/>
      <c r="S13499" s="255"/>
      <c r="T13499" s="255"/>
    </row>
    <row r="13500" spans="18:20" x14ac:dyDescent="0.3">
      <c r="R13500" s="255"/>
      <c r="S13500" s="255"/>
      <c r="T13500" s="255"/>
    </row>
    <row r="13501" spans="18:20" x14ac:dyDescent="0.3">
      <c r="R13501" s="255"/>
      <c r="S13501" s="255"/>
      <c r="T13501" s="255"/>
    </row>
    <row r="13502" spans="18:20" x14ac:dyDescent="0.3">
      <c r="R13502" s="255"/>
      <c r="S13502" s="255"/>
      <c r="T13502" s="255"/>
    </row>
    <row r="13503" spans="18:20" x14ac:dyDescent="0.3">
      <c r="R13503" s="255"/>
      <c r="S13503" s="255"/>
      <c r="T13503" s="255"/>
    </row>
    <row r="13504" spans="18:20" x14ac:dyDescent="0.3">
      <c r="R13504" s="255"/>
      <c r="S13504" s="255"/>
      <c r="T13504" s="255"/>
    </row>
    <row r="13505" spans="18:20" x14ac:dyDescent="0.3">
      <c r="R13505" s="255"/>
      <c r="S13505" s="255"/>
      <c r="T13505" s="255"/>
    </row>
    <row r="13506" spans="18:20" x14ac:dyDescent="0.3">
      <c r="R13506" s="255"/>
      <c r="S13506" s="255"/>
      <c r="T13506" s="255"/>
    </row>
    <row r="13507" spans="18:20" x14ac:dyDescent="0.3">
      <c r="R13507" s="255"/>
      <c r="S13507" s="255"/>
      <c r="T13507" s="255"/>
    </row>
    <row r="13508" spans="18:20" x14ac:dyDescent="0.3">
      <c r="R13508" s="255"/>
      <c r="S13508" s="255"/>
      <c r="T13508" s="255"/>
    </row>
    <row r="13509" spans="18:20" x14ac:dyDescent="0.3">
      <c r="R13509" s="255"/>
      <c r="S13509" s="255"/>
      <c r="T13509" s="255"/>
    </row>
    <row r="13510" spans="18:20" x14ac:dyDescent="0.3">
      <c r="R13510" s="255"/>
      <c r="S13510" s="255"/>
      <c r="T13510" s="255"/>
    </row>
    <row r="13511" spans="18:20" x14ac:dyDescent="0.3">
      <c r="R13511" s="255"/>
      <c r="S13511" s="255"/>
      <c r="T13511" s="255"/>
    </row>
    <row r="13512" spans="18:20" x14ac:dyDescent="0.3">
      <c r="R13512" s="255"/>
      <c r="S13512" s="255"/>
      <c r="T13512" s="255"/>
    </row>
    <row r="13513" spans="18:20" x14ac:dyDescent="0.3">
      <c r="R13513" s="255"/>
      <c r="S13513" s="255"/>
      <c r="T13513" s="255"/>
    </row>
    <row r="13514" spans="18:20" x14ac:dyDescent="0.3">
      <c r="R13514" s="255"/>
      <c r="S13514" s="255"/>
      <c r="T13514" s="255"/>
    </row>
    <row r="13515" spans="18:20" x14ac:dyDescent="0.3">
      <c r="R13515" s="255"/>
      <c r="S13515" s="255"/>
      <c r="T13515" s="255"/>
    </row>
    <row r="13516" spans="18:20" x14ac:dyDescent="0.3">
      <c r="R13516" s="255"/>
      <c r="S13516" s="255"/>
      <c r="T13516" s="255"/>
    </row>
    <row r="13517" spans="18:20" x14ac:dyDescent="0.3">
      <c r="R13517" s="255"/>
      <c r="S13517" s="255"/>
      <c r="T13517" s="255"/>
    </row>
    <row r="13518" spans="18:20" x14ac:dyDescent="0.3">
      <c r="R13518" s="255"/>
      <c r="S13518" s="255"/>
      <c r="T13518" s="255"/>
    </row>
    <row r="13519" spans="18:20" x14ac:dyDescent="0.3">
      <c r="R13519" s="255"/>
      <c r="S13519" s="255"/>
      <c r="T13519" s="255"/>
    </row>
    <row r="13520" spans="18:20" x14ac:dyDescent="0.3">
      <c r="R13520" s="255"/>
      <c r="S13520" s="255"/>
      <c r="T13520" s="255"/>
    </row>
    <row r="13521" spans="18:20" x14ac:dyDescent="0.3">
      <c r="R13521" s="255"/>
      <c r="S13521" s="255"/>
      <c r="T13521" s="255"/>
    </row>
    <row r="13522" spans="18:20" x14ac:dyDescent="0.3">
      <c r="R13522" s="255"/>
      <c r="S13522" s="255"/>
      <c r="T13522" s="255"/>
    </row>
    <row r="13523" spans="18:20" x14ac:dyDescent="0.3">
      <c r="R13523" s="255"/>
      <c r="S13523" s="255"/>
      <c r="T13523" s="255"/>
    </row>
    <row r="13524" spans="18:20" x14ac:dyDescent="0.3">
      <c r="R13524" s="255"/>
      <c r="S13524" s="255"/>
      <c r="T13524" s="255"/>
    </row>
    <row r="13525" spans="18:20" x14ac:dyDescent="0.3">
      <c r="R13525" s="255"/>
      <c r="S13525" s="255"/>
      <c r="T13525" s="255"/>
    </row>
    <row r="13526" spans="18:20" x14ac:dyDescent="0.3">
      <c r="R13526" s="255"/>
      <c r="S13526" s="255"/>
      <c r="T13526" s="255"/>
    </row>
    <row r="13527" spans="18:20" x14ac:dyDescent="0.3">
      <c r="R13527" s="255"/>
      <c r="S13527" s="255"/>
      <c r="T13527" s="255"/>
    </row>
    <row r="13528" spans="18:20" x14ac:dyDescent="0.3">
      <c r="R13528" s="255"/>
      <c r="S13528" s="255"/>
      <c r="T13528" s="255"/>
    </row>
    <row r="13529" spans="18:20" x14ac:dyDescent="0.3">
      <c r="R13529" s="255"/>
      <c r="S13529" s="255"/>
      <c r="T13529" s="255"/>
    </row>
    <row r="13530" spans="18:20" x14ac:dyDescent="0.3">
      <c r="R13530" s="255"/>
      <c r="S13530" s="255"/>
      <c r="T13530" s="255"/>
    </row>
    <row r="13531" spans="18:20" x14ac:dyDescent="0.3">
      <c r="R13531" s="255"/>
      <c r="S13531" s="255"/>
      <c r="T13531" s="255"/>
    </row>
    <row r="13532" spans="18:20" x14ac:dyDescent="0.3">
      <c r="R13532" s="255"/>
      <c r="S13532" s="255"/>
      <c r="T13532" s="255"/>
    </row>
    <row r="13533" spans="18:20" x14ac:dyDescent="0.3">
      <c r="R13533" s="255"/>
      <c r="S13533" s="255"/>
      <c r="T13533" s="255"/>
    </row>
    <row r="13534" spans="18:20" x14ac:dyDescent="0.3">
      <c r="R13534" s="255"/>
      <c r="S13534" s="255"/>
      <c r="T13534" s="255"/>
    </row>
    <row r="13535" spans="18:20" x14ac:dyDescent="0.3">
      <c r="R13535" s="255"/>
      <c r="S13535" s="255"/>
      <c r="T13535" s="255"/>
    </row>
    <row r="13536" spans="18:20" x14ac:dyDescent="0.3">
      <c r="R13536" s="255"/>
      <c r="S13536" s="255"/>
      <c r="T13536" s="255"/>
    </row>
    <row r="13537" spans="18:20" x14ac:dyDescent="0.3">
      <c r="R13537" s="255"/>
      <c r="S13537" s="255"/>
      <c r="T13537" s="255"/>
    </row>
    <row r="13538" spans="18:20" x14ac:dyDescent="0.3">
      <c r="R13538" s="255"/>
      <c r="S13538" s="255"/>
      <c r="T13538" s="255"/>
    </row>
    <row r="13539" spans="18:20" x14ac:dyDescent="0.3">
      <c r="R13539" s="255"/>
      <c r="S13539" s="255"/>
      <c r="T13539" s="255"/>
    </row>
    <row r="13540" spans="18:20" x14ac:dyDescent="0.3">
      <c r="R13540" s="255"/>
      <c r="S13540" s="255"/>
      <c r="T13540" s="255"/>
    </row>
    <row r="13541" spans="18:20" x14ac:dyDescent="0.3">
      <c r="R13541" s="255"/>
      <c r="S13541" s="255"/>
      <c r="T13541" s="255"/>
    </row>
    <row r="13542" spans="18:20" x14ac:dyDescent="0.3">
      <c r="R13542" s="255"/>
      <c r="S13542" s="255"/>
      <c r="T13542" s="255"/>
    </row>
    <row r="13543" spans="18:20" x14ac:dyDescent="0.3">
      <c r="R13543" s="255"/>
      <c r="S13543" s="255"/>
      <c r="T13543" s="255"/>
    </row>
    <row r="13544" spans="18:20" x14ac:dyDescent="0.3">
      <c r="R13544" s="255"/>
      <c r="S13544" s="255"/>
      <c r="T13544" s="255"/>
    </row>
    <row r="13545" spans="18:20" x14ac:dyDescent="0.3">
      <c r="R13545" s="255"/>
      <c r="S13545" s="255"/>
      <c r="T13545" s="255"/>
    </row>
    <row r="13546" spans="18:20" x14ac:dyDescent="0.3">
      <c r="R13546" s="255"/>
      <c r="S13546" s="255"/>
      <c r="T13546" s="255"/>
    </row>
    <row r="13547" spans="18:20" x14ac:dyDescent="0.3">
      <c r="R13547" s="255"/>
      <c r="S13547" s="255"/>
      <c r="T13547" s="255"/>
    </row>
    <row r="13548" spans="18:20" x14ac:dyDescent="0.3">
      <c r="R13548" s="255"/>
      <c r="S13548" s="255"/>
      <c r="T13548" s="255"/>
    </row>
    <row r="13549" spans="18:20" x14ac:dyDescent="0.3">
      <c r="R13549" s="255"/>
      <c r="S13549" s="255"/>
      <c r="T13549" s="255"/>
    </row>
    <row r="13550" spans="18:20" x14ac:dyDescent="0.3">
      <c r="R13550" s="255"/>
      <c r="S13550" s="255"/>
      <c r="T13550" s="255"/>
    </row>
    <row r="13551" spans="18:20" x14ac:dyDescent="0.3">
      <c r="R13551" s="255"/>
      <c r="S13551" s="255"/>
      <c r="T13551" s="255"/>
    </row>
    <row r="13552" spans="18:20" x14ac:dyDescent="0.3">
      <c r="R13552" s="255"/>
      <c r="S13552" s="255"/>
      <c r="T13552" s="255"/>
    </row>
    <row r="13553" spans="18:20" x14ac:dyDescent="0.3">
      <c r="R13553" s="255"/>
      <c r="S13553" s="255"/>
      <c r="T13553" s="255"/>
    </row>
    <row r="13554" spans="18:20" x14ac:dyDescent="0.3">
      <c r="R13554" s="255"/>
      <c r="S13554" s="255"/>
      <c r="T13554" s="255"/>
    </row>
    <row r="13555" spans="18:20" x14ac:dyDescent="0.3">
      <c r="R13555" s="255"/>
      <c r="S13555" s="255"/>
      <c r="T13555" s="255"/>
    </row>
    <row r="13556" spans="18:20" x14ac:dyDescent="0.3">
      <c r="R13556" s="255"/>
      <c r="S13556" s="255"/>
      <c r="T13556" s="255"/>
    </row>
    <row r="13557" spans="18:20" x14ac:dyDescent="0.3">
      <c r="R13557" s="255"/>
      <c r="S13557" s="255"/>
      <c r="T13557" s="255"/>
    </row>
    <row r="13558" spans="18:20" x14ac:dyDescent="0.3">
      <c r="R13558" s="255"/>
      <c r="S13558" s="255"/>
      <c r="T13558" s="255"/>
    </row>
    <row r="13559" spans="18:20" x14ac:dyDescent="0.3">
      <c r="R13559" s="255"/>
      <c r="S13559" s="255"/>
      <c r="T13559" s="255"/>
    </row>
    <row r="13560" spans="18:20" x14ac:dyDescent="0.3">
      <c r="R13560" s="255"/>
      <c r="S13560" s="255"/>
      <c r="T13560" s="255"/>
    </row>
    <row r="13561" spans="18:20" x14ac:dyDescent="0.3">
      <c r="R13561" s="255"/>
      <c r="S13561" s="255"/>
      <c r="T13561" s="255"/>
    </row>
    <row r="13562" spans="18:20" x14ac:dyDescent="0.3">
      <c r="R13562" s="255"/>
      <c r="S13562" s="255"/>
      <c r="T13562" s="255"/>
    </row>
    <row r="13563" spans="18:20" x14ac:dyDescent="0.3">
      <c r="R13563" s="255"/>
      <c r="S13563" s="255"/>
      <c r="T13563" s="255"/>
    </row>
    <row r="13564" spans="18:20" x14ac:dyDescent="0.3">
      <c r="R13564" s="255"/>
      <c r="S13564" s="255"/>
      <c r="T13564" s="255"/>
    </row>
    <row r="13565" spans="18:20" x14ac:dyDescent="0.3">
      <c r="R13565" s="255"/>
      <c r="S13565" s="255"/>
      <c r="T13565" s="255"/>
    </row>
    <row r="13566" spans="18:20" x14ac:dyDescent="0.3">
      <c r="R13566" s="255"/>
      <c r="S13566" s="255"/>
      <c r="T13566" s="255"/>
    </row>
    <row r="13567" spans="18:20" x14ac:dyDescent="0.3">
      <c r="R13567" s="255"/>
      <c r="S13567" s="255"/>
      <c r="T13567" s="255"/>
    </row>
    <row r="13568" spans="18:20" x14ac:dyDescent="0.3">
      <c r="R13568" s="255"/>
      <c r="S13568" s="255"/>
      <c r="T13568" s="255"/>
    </row>
    <row r="13569" spans="18:20" x14ac:dyDescent="0.3">
      <c r="R13569" s="255"/>
      <c r="S13569" s="255"/>
      <c r="T13569" s="255"/>
    </row>
    <row r="13570" spans="18:20" x14ac:dyDescent="0.3">
      <c r="R13570" s="255"/>
      <c r="S13570" s="255"/>
      <c r="T13570" s="255"/>
    </row>
    <row r="13571" spans="18:20" x14ac:dyDescent="0.3">
      <c r="R13571" s="255"/>
      <c r="S13571" s="255"/>
      <c r="T13571" s="255"/>
    </row>
    <row r="13572" spans="18:20" x14ac:dyDescent="0.3">
      <c r="R13572" s="255"/>
      <c r="S13572" s="255"/>
      <c r="T13572" s="255"/>
    </row>
    <row r="13573" spans="18:20" x14ac:dyDescent="0.3">
      <c r="R13573" s="255"/>
      <c r="S13573" s="255"/>
      <c r="T13573" s="255"/>
    </row>
    <row r="13574" spans="18:20" x14ac:dyDescent="0.3">
      <c r="R13574" s="255"/>
      <c r="S13574" s="255"/>
      <c r="T13574" s="255"/>
    </row>
    <row r="13575" spans="18:20" x14ac:dyDescent="0.3">
      <c r="R13575" s="255"/>
      <c r="S13575" s="255"/>
      <c r="T13575" s="255"/>
    </row>
    <row r="13576" spans="18:20" x14ac:dyDescent="0.3">
      <c r="R13576" s="255"/>
      <c r="S13576" s="255"/>
      <c r="T13576" s="255"/>
    </row>
    <row r="13577" spans="18:20" x14ac:dyDescent="0.3">
      <c r="R13577" s="255"/>
      <c r="S13577" s="255"/>
      <c r="T13577" s="255"/>
    </row>
    <row r="13578" spans="18:20" x14ac:dyDescent="0.3">
      <c r="R13578" s="255"/>
      <c r="S13578" s="255"/>
      <c r="T13578" s="255"/>
    </row>
    <row r="13579" spans="18:20" x14ac:dyDescent="0.3">
      <c r="R13579" s="255"/>
      <c r="S13579" s="255"/>
      <c r="T13579" s="255"/>
    </row>
    <row r="13580" spans="18:20" x14ac:dyDescent="0.3">
      <c r="R13580" s="255"/>
      <c r="S13580" s="255"/>
      <c r="T13580" s="255"/>
    </row>
    <row r="13581" spans="18:20" x14ac:dyDescent="0.3">
      <c r="R13581" s="255"/>
      <c r="S13581" s="255"/>
      <c r="T13581" s="255"/>
    </row>
    <row r="13582" spans="18:20" x14ac:dyDescent="0.3">
      <c r="R13582" s="255"/>
      <c r="S13582" s="255"/>
      <c r="T13582" s="255"/>
    </row>
    <row r="13583" spans="18:20" x14ac:dyDescent="0.3">
      <c r="R13583" s="255"/>
      <c r="S13583" s="255"/>
      <c r="T13583" s="255"/>
    </row>
    <row r="13584" spans="18:20" x14ac:dyDescent="0.3">
      <c r="R13584" s="255"/>
      <c r="S13584" s="255"/>
      <c r="T13584" s="255"/>
    </row>
    <row r="13585" spans="18:20" x14ac:dyDescent="0.3">
      <c r="R13585" s="255"/>
      <c r="S13585" s="255"/>
      <c r="T13585" s="255"/>
    </row>
    <row r="13586" spans="18:20" x14ac:dyDescent="0.3">
      <c r="R13586" s="255"/>
      <c r="S13586" s="255"/>
      <c r="T13586" s="255"/>
    </row>
    <row r="13587" spans="18:20" x14ac:dyDescent="0.3">
      <c r="R13587" s="255"/>
      <c r="S13587" s="255"/>
      <c r="T13587" s="255"/>
    </row>
    <row r="13588" spans="18:20" x14ac:dyDescent="0.3">
      <c r="R13588" s="255"/>
      <c r="S13588" s="255"/>
      <c r="T13588" s="255"/>
    </row>
    <row r="13589" spans="18:20" x14ac:dyDescent="0.3">
      <c r="R13589" s="255"/>
      <c r="S13589" s="255"/>
      <c r="T13589" s="255"/>
    </row>
    <row r="13590" spans="18:20" x14ac:dyDescent="0.3">
      <c r="R13590" s="255"/>
      <c r="S13590" s="255"/>
      <c r="T13590" s="255"/>
    </row>
    <row r="13591" spans="18:20" x14ac:dyDescent="0.3">
      <c r="R13591" s="255"/>
      <c r="S13591" s="255"/>
      <c r="T13591" s="255"/>
    </row>
    <row r="13592" spans="18:20" x14ac:dyDescent="0.3">
      <c r="R13592" s="255"/>
      <c r="S13592" s="255"/>
      <c r="T13592" s="255"/>
    </row>
    <row r="13593" spans="18:20" x14ac:dyDescent="0.3">
      <c r="R13593" s="255"/>
      <c r="S13593" s="255"/>
      <c r="T13593" s="255"/>
    </row>
    <row r="13594" spans="18:20" x14ac:dyDescent="0.3">
      <c r="R13594" s="255"/>
      <c r="S13594" s="255"/>
      <c r="T13594" s="255"/>
    </row>
    <row r="13595" spans="18:20" x14ac:dyDescent="0.3">
      <c r="R13595" s="255"/>
      <c r="S13595" s="255"/>
      <c r="T13595" s="255"/>
    </row>
    <row r="13596" spans="18:20" x14ac:dyDescent="0.3">
      <c r="R13596" s="255"/>
      <c r="S13596" s="255"/>
      <c r="T13596" s="255"/>
    </row>
    <row r="13597" spans="18:20" x14ac:dyDescent="0.3">
      <c r="R13597" s="255"/>
      <c r="S13597" s="255"/>
      <c r="T13597" s="255"/>
    </row>
    <row r="13598" spans="18:20" x14ac:dyDescent="0.3">
      <c r="R13598" s="255"/>
      <c r="S13598" s="255"/>
      <c r="T13598" s="255"/>
    </row>
    <row r="13599" spans="18:20" x14ac:dyDescent="0.3">
      <c r="R13599" s="255"/>
      <c r="S13599" s="255"/>
      <c r="T13599" s="255"/>
    </row>
    <row r="13600" spans="18:20" x14ac:dyDescent="0.3">
      <c r="R13600" s="255"/>
      <c r="S13600" s="255"/>
      <c r="T13600" s="255"/>
    </row>
    <row r="13601" spans="18:20" x14ac:dyDescent="0.3">
      <c r="R13601" s="255"/>
      <c r="S13601" s="255"/>
      <c r="T13601" s="255"/>
    </row>
    <row r="13602" spans="18:20" x14ac:dyDescent="0.3">
      <c r="R13602" s="255"/>
      <c r="S13602" s="255"/>
      <c r="T13602" s="255"/>
    </row>
    <row r="13603" spans="18:20" x14ac:dyDescent="0.3">
      <c r="R13603" s="255"/>
      <c r="S13603" s="255"/>
      <c r="T13603" s="255"/>
    </row>
    <row r="13604" spans="18:20" x14ac:dyDescent="0.3">
      <c r="R13604" s="255"/>
      <c r="S13604" s="255"/>
      <c r="T13604" s="255"/>
    </row>
    <row r="13605" spans="18:20" x14ac:dyDescent="0.3">
      <c r="R13605" s="255"/>
      <c r="S13605" s="255"/>
      <c r="T13605" s="255"/>
    </row>
    <row r="13606" spans="18:20" x14ac:dyDescent="0.3">
      <c r="R13606" s="255"/>
      <c r="S13606" s="255"/>
      <c r="T13606" s="255"/>
    </row>
    <row r="13607" spans="18:20" x14ac:dyDescent="0.3">
      <c r="R13607" s="255"/>
      <c r="S13607" s="255"/>
      <c r="T13607" s="255"/>
    </row>
    <row r="13608" spans="18:20" x14ac:dyDescent="0.3">
      <c r="R13608" s="255"/>
      <c r="S13608" s="255"/>
      <c r="T13608" s="255"/>
    </row>
    <row r="13609" spans="18:20" x14ac:dyDescent="0.3">
      <c r="R13609" s="255"/>
      <c r="S13609" s="255"/>
      <c r="T13609" s="255"/>
    </row>
    <row r="13610" spans="18:20" x14ac:dyDescent="0.3">
      <c r="R13610" s="255"/>
      <c r="S13610" s="255"/>
      <c r="T13610" s="255"/>
    </row>
    <row r="13611" spans="18:20" x14ac:dyDescent="0.3">
      <c r="R13611" s="255"/>
      <c r="S13611" s="255"/>
      <c r="T13611" s="255"/>
    </row>
    <row r="13612" spans="18:20" x14ac:dyDescent="0.3">
      <c r="R13612" s="255"/>
      <c r="S13612" s="255"/>
      <c r="T13612" s="255"/>
    </row>
    <row r="13613" spans="18:20" x14ac:dyDescent="0.3">
      <c r="R13613" s="255"/>
      <c r="S13613" s="255"/>
      <c r="T13613" s="255"/>
    </row>
    <row r="13614" spans="18:20" x14ac:dyDescent="0.3">
      <c r="R13614" s="255"/>
      <c r="S13614" s="255"/>
      <c r="T13614" s="255"/>
    </row>
    <row r="13615" spans="18:20" x14ac:dyDescent="0.3">
      <c r="R13615" s="255"/>
      <c r="S13615" s="255"/>
      <c r="T13615" s="255"/>
    </row>
    <row r="13616" spans="18:20" x14ac:dyDescent="0.3">
      <c r="R13616" s="255"/>
      <c r="S13616" s="255"/>
      <c r="T13616" s="255"/>
    </row>
    <row r="13617" spans="18:20" x14ac:dyDescent="0.3">
      <c r="R13617" s="255"/>
      <c r="S13617" s="255"/>
      <c r="T13617" s="255"/>
    </row>
    <row r="13618" spans="18:20" x14ac:dyDescent="0.3">
      <c r="R13618" s="255"/>
      <c r="S13618" s="255"/>
      <c r="T13618" s="255"/>
    </row>
    <row r="13619" spans="18:20" x14ac:dyDescent="0.3">
      <c r="R13619" s="255"/>
      <c r="S13619" s="255"/>
      <c r="T13619" s="255"/>
    </row>
    <row r="13620" spans="18:20" x14ac:dyDescent="0.3">
      <c r="R13620" s="255"/>
      <c r="S13620" s="255"/>
      <c r="T13620" s="255"/>
    </row>
    <row r="13621" spans="18:20" x14ac:dyDescent="0.3">
      <c r="R13621" s="255"/>
      <c r="S13621" s="255"/>
      <c r="T13621" s="255"/>
    </row>
    <row r="13622" spans="18:20" x14ac:dyDescent="0.3">
      <c r="R13622" s="255"/>
      <c r="S13622" s="255"/>
      <c r="T13622" s="255"/>
    </row>
    <row r="13623" spans="18:20" x14ac:dyDescent="0.3">
      <c r="R13623" s="255"/>
      <c r="S13623" s="255"/>
      <c r="T13623" s="255"/>
    </row>
    <row r="13624" spans="18:20" x14ac:dyDescent="0.3">
      <c r="R13624" s="255"/>
      <c r="S13624" s="255"/>
      <c r="T13624" s="255"/>
    </row>
    <row r="13625" spans="18:20" x14ac:dyDescent="0.3">
      <c r="R13625" s="255"/>
      <c r="S13625" s="255"/>
      <c r="T13625" s="255"/>
    </row>
    <row r="13626" spans="18:20" x14ac:dyDescent="0.3">
      <c r="R13626" s="255"/>
      <c r="S13626" s="255"/>
      <c r="T13626" s="255"/>
    </row>
    <row r="13627" spans="18:20" x14ac:dyDescent="0.3">
      <c r="R13627" s="255"/>
      <c r="S13627" s="255"/>
      <c r="T13627" s="255"/>
    </row>
    <row r="13628" spans="18:20" x14ac:dyDescent="0.3">
      <c r="R13628" s="255"/>
      <c r="S13628" s="255"/>
      <c r="T13628" s="255"/>
    </row>
    <row r="13629" spans="18:20" x14ac:dyDescent="0.3">
      <c r="R13629" s="255"/>
      <c r="S13629" s="255"/>
      <c r="T13629" s="255"/>
    </row>
    <row r="13630" spans="18:20" x14ac:dyDescent="0.3">
      <c r="R13630" s="255"/>
      <c r="S13630" s="255"/>
      <c r="T13630" s="255"/>
    </row>
    <row r="13631" spans="18:20" x14ac:dyDescent="0.3">
      <c r="R13631" s="255"/>
      <c r="S13631" s="255"/>
      <c r="T13631" s="255"/>
    </row>
    <row r="13632" spans="18:20" x14ac:dyDescent="0.3">
      <c r="R13632" s="255"/>
      <c r="S13632" s="255"/>
      <c r="T13632" s="255"/>
    </row>
    <row r="13633" spans="18:20" x14ac:dyDescent="0.3">
      <c r="R13633" s="255"/>
      <c r="S13633" s="255"/>
      <c r="T13633" s="255"/>
    </row>
    <row r="13634" spans="18:20" x14ac:dyDescent="0.3">
      <c r="R13634" s="255"/>
      <c r="S13634" s="255"/>
      <c r="T13634" s="255"/>
    </row>
    <row r="13635" spans="18:20" x14ac:dyDescent="0.3">
      <c r="R13635" s="255"/>
      <c r="S13635" s="255"/>
      <c r="T13635" s="255"/>
    </row>
    <row r="13636" spans="18:20" x14ac:dyDescent="0.3">
      <c r="R13636" s="255"/>
      <c r="S13636" s="255"/>
      <c r="T13636" s="255"/>
    </row>
    <row r="13637" spans="18:20" x14ac:dyDescent="0.3">
      <c r="R13637" s="255"/>
      <c r="S13637" s="255"/>
      <c r="T13637" s="255"/>
    </row>
    <row r="13638" spans="18:20" x14ac:dyDescent="0.3">
      <c r="R13638" s="255"/>
      <c r="S13638" s="255"/>
      <c r="T13638" s="255"/>
    </row>
    <row r="13639" spans="18:20" x14ac:dyDescent="0.3">
      <c r="R13639" s="255"/>
      <c r="S13639" s="255"/>
      <c r="T13639" s="255"/>
    </row>
    <row r="13640" spans="18:20" x14ac:dyDescent="0.3">
      <c r="R13640" s="255"/>
      <c r="S13640" s="255"/>
      <c r="T13640" s="255"/>
    </row>
    <row r="13641" spans="18:20" x14ac:dyDescent="0.3">
      <c r="R13641" s="255"/>
      <c r="S13641" s="255"/>
      <c r="T13641" s="255"/>
    </row>
    <row r="13642" spans="18:20" x14ac:dyDescent="0.3">
      <c r="R13642" s="255"/>
      <c r="S13642" s="255"/>
      <c r="T13642" s="255"/>
    </row>
    <row r="13643" spans="18:20" x14ac:dyDescent="0.3">
      <c r="R13643" s="255"/>
      <c r="S13643" s="255"/>
      <c r="T13643" s="255"/>
    </row>
    <row r="13644" spans="18:20" x14ac:dyDescent="0.3">
      <c r="R13644" s="255"/>
      <c r="S13644" s="255"/>
      <c r="T13644" s="255"/>
    </row>
    <row r="13645" spans="18:20" x14ac:dyDescent="0.3">
      <c r="R13645" s="255"/>
      <c r="S13645" s="255"/>
      <c r="T13645" s="255"/>
    </row>
    <row r="13646" spans="18:20" x14ac:dyDescent="0.3">
      <c r="R13646" s="255"/>
      <c r="S13646" s="255"/>
      <c r="T13646" s="255"/>
    </row>
    <row r="13647" spans="18:20" x14ac:dyDescent="0.3">
      <c r="R13647" s="255"/>
      <c r="S13647" s="255"/>
      <c r="T13647" s="255"/>
    </row>
    <row r="13648" spans="18:20" x14ac:dyDescent="0.3">
      <c r="R13648" s="255"/>
      <c r="S13648" s="255"/>
      <c r="T13648" s="255"/>
    </row>
    <row r="13649" spans="18:20" x14ac:dyDescent="0.3">
      <c r="R13649" s="255"/>
      <c r="S13649" s="255"/>
      <c r="T13649" s="255"/>
    </row>
    <row r="13650" spans="18:20" x14ac:dyDescent="0.3">
      <c r="R13650" s="255"/>
      <c r="S13650" s="255"/>
      <c r="T13650" s="255"/>
    </row>
    <row r="13651" spans="18:20" x14ac:dyDescent="0.3">
      <c r="R13651" s="255"/>
      <c r="S13651" s="255"/>
      <c r="T13651" s="255"/>
    </row>
    <row r="13652" spans="18:20" x14ac:dyDescent="0.3">
      <c r="R13652" s="255"/>
      <c r="S13652" s="255"/>
      <c r="T13652" s="255"/>
    </row>
    <row r="13653" spans="18:20" x14ac:dyDescent="0.3">
      <c r="R13653" s="255"/>
      <c r="S13653" s="255"/>
      <c r="T13653" s="255"/>
    </row>
    <row r="13654" spans="18:20" x14ac:dyDescent="0.3">
      <c r="R13654" s="255"/>
      <c r="S13654" s="255"/>
      <c r="T13654" s="255"/>
    </row>
    <row r="13655" spans="18:20" x14ac:dyDescent="0.3">
      <c r="R13655" s="255"/>
      <c r="S13655" s="255"/>
      <c r="T13655" s="255"/>
    </row>
    <row r="13656" spans="18:20" x14ac:dyDescent="0.3">
      <c r="R13656" s="255"/>
      <c r="S13656" s="255"/>
      <c r="T13656" s="255"/>
    </row>
    <row r="13657" spans="18:20" x14ac:dyDescent="0.3">
      <c r="R13657" s="255"/>
      <c r="S13657" s="255"/>
      <c r="T13657" s="255"/>
    </row>
    <row r="13658" spans="18:20" x14ac:dyDescent="0.3">
      <c r="R13658" s="255"/>
      <c r="S13658" s="255"/>
      <c r="T13658" s="255"/>
    </row>
    <row r="13659" spans="18:20" x14ac:dyDescent="0.3">
      <c r="R13659" s="255"/>
      <c r="S13659" s="255"/>
      <c r="T13659" s="255"/>
    </row>
    <row r="13660" spans="18:20" x14ac:dyDescent="0.3">
      <c r="R13660" s="255"/>
      <c r="S13660" s="255"/>
      <c r="T13660" s="255"/>
    </row>
    <row r="13661" spans="18:20" x14ac:dyDescent="0.3">
      <c r="R13661" s="255"/>
      <c r="S13661" s="255"/>
      <c r="T13661" s="255"/>
    </row>
    <row r="13662" spans="18:20" x14ac:dyDescent="0.3">
      <c r="R13662" s="255"/>
      <c r="S13662" s="255"/>
      <c r="T13662" s="255"/>
    </row>
    <row r="13663" spans="18:20" x14ac:dyDescent="0.3">
      <c r="R13663" s="255"/>
      <c r="S13663" s="255"/>
      <c r="T13663" s="255"/>
    </row>
    <row r="13664" spans="18:20" x14ac:dyDescent="0.3">
      <c r="R13664" s="255"/>
      <c r="S13664" s="255"/>
      <c r="T13664" s="255"/>
    </row>
    <row r="13665" spans="18:20" x14ac:dyDescent="0.3">
      <c r="R13665" s="255"/>
      <c r="S13665" s="255"/>
      <c r="T13665" s="255"/>
    </row>
    <row r="13666" spans="18:20" x14ac:dyDescent="0.3">
      <c r="R13666" s="255"/>
      <c r="S13666" s="255"/>
      <c r="T13666" s="255"/>
    </row>
    <row r="13667" spans="18:20" x14ac:dyDescent="0.3">
      <c r="R13667" s="255"/>
      <c r="S13667" s="255"/>
      <c r="T13667" s="255"/>
    </row>
    <row r="13668" spans="18:20" x14ac:dyDescent="0.3">
      <c r="R13668" s="255"/>
      <c r="S13668" s="255"/>
      <c r="T13668" s="255"/>
    </row>
    <row r="13669" spans="18:20" x14ac:dyDescent="0.3">
      <c r="R13669" s="255"/>
      <c r="S13669" s="255"/>
      <c r="T13669" s="255"/>
    </row>
    <row r="13670" spans="18:20" x14ac:dyDescent="0.3">
      <c r="R13670" s="255"/>
      <c r="S13670" s="255"/>
      <c r="T13670" s="255"/>
    </row>
    <row r="13671" spans="18:20" x14ac:dyDescent="0.3">
      <c r="R13671" s="255"/>
      <c r="S13671" s="255"/>
      <c r="T13671" s="255"/>
    </row>
    <row r="13672" spans="18:20" x14ac:dyDescent="0.3">
      <c r="R13672" s="255"/>
      <c r="S13672" s="255"/>
      <c r="T13672" s="255"/>
    </row>
    <row r="13673" spans="18:20" x14ac:dyDescent="0.3">
      <c r="R13673" s="255"/>
      <c r="S13673" s="255"/>
      <c r="T13673" s="255"/>
    </row>
    <row r="13674" spans="18:20" x14ac:dyDescent="0.3">
      <c r="R13674" s="255"/>
      <c r="S13674" s="255"/>
      <c r="T13674" s="255"/>
    </row>
    <row r="13675" spans="18:20" x14ac:dyDescent="0.3">
      <c r="R13675" s="255"/>
      <c r="S13675" s="255"/>
      <c r="T13675" s="255"/>
    </row>
    <row r="13676" spans="18:20" x14ac:dyDescent="0.3">
      <c r="R13676" s="255"/>
      <c r="S13676" s="255"/>
      <c r="T13676" s="255"/>
    </row>
    <row r="13677" spans="18:20" x14ac:dyDescent="0.3">
      <c r="R13677" s="255"/>
      <c r="S13677" s="255"/>
      <c r="T13677" s="255"/>
    </row>
    <row r="13678" spans="18:20" x14ac:dyDescent="0.3">
      <c r="R13678" s="255"/>
      <c r="S13678" s="255"/>
      <c r="T13678" s="255"/>
    </row>
    <row r="13679" spans="18:20" x14ac:dyDescent="0.3">
      <c r="R13679" s="255"/>
      <c r="S13679" s="255"/>
      <c r="T13679" s="255"/>
    </row>
    <row r="13680" spans="18:20" x14ac:dyDescent="0.3">
      <c r="R13680" s="255"/>
      <c r="S13680" s="255"/>
      <c r="T13680" s="255"/>
    </row>
    <row r="13681" spans="18:20" x14ac:dyDescent="0.3">
      <c r="R13681" s="255"/>
      <c r="S13681" s="255"/>
      <c r="T13681" s="255"/>
    </row>
    <row r="13682" spans="18:20" x14ac:dyDescent="0.3">
      <c r="R13682" s="255"/>
      <c r="S13682" s="255"/>
      <c r="T13682" s="255"/>
    </row>
    <row r="13683" spans="18:20" x14ac:dyDescent="0.3">
      <c r="R13683" s="255"/>
      <c r="S13683" s="255"/>
      <c r="T13683" s="255"/>
    </row>
    <row r="13684" spans="18:20" x14ac:dyDescent="0.3">
      <c r="R13684" s="255"/>
      <c r="S13684" s="255"/>
      <c r="T13684" s="255"/>
    </row>
    <row r="13685" spans="18:20" x14ac:dyDescent="0.3">
      <c r="R13685" s="255"/>
      <c r="S13685" s="255"/>
      <c r="T13685" s="255"/>
    </row>
    <row r="13686" spans="18:20" x14ac:dyDescent="0.3">
      <c r="R13686" s="255"/>
      <c r="S13686" s="255"/>
      <c r="T13686" s="255"/>
    </row>
    <row r="13687" spans="18:20" x14ac:dyDescent="0.3">
      <c r="R13687" s="255"/>
      <c r="S13687" s="255"/>
      <c r="T13687" s="255"/>
    </row>
    <row r="13688" spans="18:20" x14ac:dyDescent="0.3">
      <c r="R13688" s="255"/>
      <c r="S13688" s="255"/>
      <c r="T13688" s="255"/>
    </row>
    <row r="13689" spans="18:20" x14ac:dyDescent="0.3">
      <c r="R13689" s="255"/>
      <c r="S13689" s="255"/>
      <c r="T13689" s="255"/>
    </row>
    <row r="13690" spans="18:20" x14ac:dyDescent="0.3">
      <c r="R13690" s="255"/>
      <c r="S13690" s="255"/>
      <c r="T13690" s="255"/>
    </row>
    <row r="13691" spans="18:20" x14ac:dyDescent="0.3">
      <c r="R13691" s="255"/>
      <c r="S13691" s="255"/>
      <c r="T13691" s="255"/>
    </row>
    <row r="13692" spans="18:20" x14ac:dyDescent="0.3">
      <c r="R13692" s="255"/>
      <c r="S13692" s="255"/>
      <c r="T13692" s="255"/>
    </row>
    <row r="13693" spans="18:20" x14ac:dyDescent="0.3">
      <c r="R13693" s="255"/>
      <c r="S13693" s="255"/>
      <c r="T13693" s="255"/>
    </row>
    <row r="13694" spans="18:20" x14ac:dyDescent="0.3">
      <c r="R13694" s="255"/>
      <c r="S13694" s="255"/>
      <c r="T13694" s="255"/>
    </row>
    <row r="13695" spans="18:20" x14ac:dyDescent="0.3">
      <c r="R13695" s="255"/>
      <c r="S13695" s="255"/>
      <c r="T13695" s="255"/>
    </row>
    <row r="13696" spans="18:20" x14ac:dyDescent="0.3">
      <c r="R13696" s="255"/>
      <c r="S13696" s="255"/>
      <c r="T13696" s="255"/>
    </row>
    <row r="13697" spans="18:20" x14ac:dyDescent="0.3">
      <c r="R13697" s="255"/>
      <c r="S13697" s="255"/>
      <c r="T13697" s="255"/>
    </row>
    <row r="13698" spans="18:20" x14ac:dyDescent="0.3">
      <c r="R13698" s="255"/>
      <c r="S13698" s="255"/>
      <c r="T13698" s="255"/>
    </row>
    <row r="13699" spans="18:20" x14ac:dyDescent="0.3">
      <c r="R13699" s="255"/>
      <c r="S13699" s="255"/>
      <c r="T13699" s="255"/>
    </row>
    <row r="13700" spans="18:20" x14ac:dyDescent="0.3">
      <c r="R13700" s="255"/>
      <c r="S13700" s="255"/>
      <c r="T13700" s="255"/>
    </row>
    <row r="13701" spans="18:20" x14ac:dyDescent="0.3">
      <c r="R13701" s="255"/>
      <c r="S13701" s="255"/>
      <c r="T13701" s="255"/>
    </row>
    <row r="13702" spans="18:20" x14ac:dyDescent="0.3">
      <c r="R13702" s="255"/>
      <c r="S13702" s="255"/>
      <c r="T13702" s="255"/>
    </row>
    <row r="13703" spans="18:20" x14ac:dyDescent="0.3">
      <c r="R13703" s="255"/>
      <c r="S13703" s="255"/>
      <c r="T13703" s="255"/>
    </row>
    <row r="13704" spans="18:20" x14ac:dyDescent="0.3">
      <c r="R13704" s="255"/>
      <c r="S13704" s="255"/>
      <c r="T13704" s="255"/>
    </row>
    <row r="13705" spans="18:20" x14ac:dyDescent="0.3">
      <c r="R13705" s="255"/>
      <c r="S13705" s="255"/>
      <c r="T13705" s="255"/>
    </row>
    <row r="13706" spans="18:20" x14ac:dyDescent="0.3">
      <c r="R13706" s="255"/>
      <c r="S13706" s="255"/>
      <c r="T13706" s="255"/>
    </row>
    <row r="13707" spans="18:20" x14ac:dyDescent="0.3">
      <c r="R13707" s="255"/>
      <c r="S13707" s="255"/>
      <c r="T13707" s="255"/>
    </row>
    <row r="13708" spans="18:20" x14ac:dyDescent="0.3">
      <c r="R13708" s="255"/>
      <c r="S13708" s="255"/>
      <c r="T13708" s="255"/>
    </row>
    <row r="13709" spans="18:20" x14ac:dyDescent="0.3">
      <c r="R13709" s="255"/>
      <c r="S13709" s="255"/>
      <c r="T13709" s="255"/>
    </row>
    <row r="13710" spans="18:20" x14ac:dyDescent="0.3">
      <c r="R13710" s="255"/>
      <c r="S13710" s="255"/>
      <c r="T13710" s="255"/>
    </row>
    <row r="13711" spans="18:20" x14ac:dyDescent="0.3">
      <c r="R13711" s="255"/>
      <c r="S13711" s="255"/>
      <c r="T13711" s="255"/>
    </row>
    <row r="13712" spans="18:20" x14ac:dyDescent="0.3">
      <c r="R13712" s="255"/>
      <c r="S13712" s="255"/>
      <c r="T13712" s="255"/>
    </row>
    <row r="13713" spans="18:20" x14ac:dyDescent="0.3">
      <c r="R13713" s="255"/>
      <c r="S13713" s="255"/>
      <c r="T13713" s="255"/>
    </row>
    <row r="13714" spans="18:20" x14ac:dyDescent="0.3">
      <c r="R13714" s="255"/>
      <c r="S13714" s="255"/>
      <c r="T13714" s="255"/>
    </row>
    <row r="13715" spans="18:20" x14ac:dyDescent="0.3">
      <c r="R13715" s="255"/>
      <c r="S13715" s="255"/>
      <c r="T13715" s="255"/>
    </row>
    <row r="13716" spans="18:20" x14ac:dyDescent="0.3">
      <c r="R13716" s="255"/>
      <c r="S13716" s="255"/>
      <c r="T13716" s="255"/>
    </row>
    <row r="13717" spans="18:20" x14ac:dyDescent="0.3">
      <c r="R13717" s="255"/>
      <c r="S13717" s="255"/>
      <c r="T13717" s="255"/>
    </row>
    <row r="13718" spans="18:20" x14ac:dyDescent="0.3">
      <c r="R13718" s="255"/>
      <c r="S13718" s="255"/>
      <c r="T13718" s="255"/>
    </row>
    <row r="13719" spans="18:20" x14ac:dyDescent="0.3">
      <c r="R13719" s="255"/>
      <c r="S13719" s="255"/>
      <c r="T13719" s="255"/>
    </row>
    <row r="13720" spans="18:20" x14ac:dyDescent="0.3">
      <c r="R13720" s="255"/>
      <c r="S13720" s="255"/>
      <c r="T13720" s="255"/>
    </row>
    <row r="13721" spans="18:20" x14ac:dyDescent="0.3">
      <c r="R13721" s="255"/>
      <c r="S13721" s="255"/>
      <c r="T13721" s="255"/>
    </row>
    <row r="13722" spans="18:20" x14ac:dyDescent="0.3">
      <c r="R13722" s="255"/>
      <c r="S13722" s="255"/>
      <c r="T13722" s="255"/>
    </row>
    <row r="13723" spans="18:20" x14ac:dyDescent="0.3">
      <c r="R13723" s="255"/>
      <c r="S13723" s="255"/>
      <c r="T13723" s="255"/>
    </row>
    <row r="13724" spans="18:20" x14ac:dyDescent="0.3">
      <c r="R13724" s="255"/>
      <c r="S13724" s="255"/>
      <c r="T13724" s="255"/>
    </row>
    <row r="13725" spans="18:20" x14ac:dyDescent="0.3">
      <c r="R13725" s="255"/>
      <c r="S13725" s="255"/>
      <c r="T13725" s="255"/>
    </row>
    <row r="13726" spans="18:20" x14ac:dyDescent="0.3">
      <c r="R13726" s="255"/>
      <c r="S13726" s="255"/>
      <c r="T13726" s="255"/>
    </row>
    <row r="13727" spans="18:20" x14ac:dyDescent="0.3">
      <c r="R13727" s="255"/>
      <c r="S13727" s="255"/>
      <c r="T13727" s="255"/>
    </row>
    <row r="13728" spans="18:20" x14ac:dyDescent="0.3">
      <c r="R13728" s="255"/>
      <c r="S13728" s="255"/>
      <c r="T13728" s="255"/>
    </row>
    <row r="13729" spans="18:20" x14ac:dyDescent="0.3">
      <c r="R13729" s="255"/>
      <c r="S13729" s="255"/>
      <c r="T13729" s="255"/>
    </row>
    <row r="13730" spans="18:20" x14ac:dyDescent="0.3">
      <c r="R13730" s="255"/>
      <c r="S13730" s="255"/>
      <c r="T13730" s="255"/>
    </row>
    <row r="13731" spans="18:20" x14ac:dyDescent="0.3">
      <c r="R13731" s="255"/>
      <c r="S13731" s="255"/>
      <c r="T13731" s="255"/>
    </row>
    <row r="13732" spans="18:20" x14ac:dyDescent="0.3">
      <c r="R13732" s="255"/>
      <c r="S13732" s="255"/>
      <c r="T13732" s="255"/>
    </row>
    <row r="13733" spans="18:20" x14ac:dyDescent="0.3">
      <c r="R13733" s="255"/>
      <c r="S13733" s="255"/>
      <c r="T13733" s="255"/>
    </row>
    <row r="13734" spans="18:20" x14ac:dyDescent="0.3">
      <c r="R13734" s="255"/>
      <c r="S13734" s="255"/>
      <c r="T13734" s="255"/>
    </row>
    <row r="13735" spans="18:20" x14ac:dyDescent="0.3">
      <c r="R13735" s="255"/>
      <c r="S13735" s="255"/>
      <c r="T13735" s="255"/>
    </row>
    <row r="13736" spans="18:20" x14ac:dyDescent="0.3">
      <c r="R13736" s="255"/>
      <c r="S13736" s="255"/>
      <c r="T13736" s="255"/>
    </row>
    <row r="13737" spans="18:20" x14ac:dyDescent="0.3">
      <c r="R13737" s="255"/>
      <c r="S13737" s="255"/>
      <c r="T13737" s="255"/>
    </row>
    <row r="13738" spans="18:20" x14ac:dyDescent="0.3">
      <c r="R13738" s="255"/>
      <c r="S13738" s="255"/>
      <c r="T13738" s="255"/>
    </row>
    <row r="13739" spans="18:20" x14ac:dyDescent="0.3">
      <c r="R13739" s="255"/>
      <c r="S13739" s="255"/>
      <c r="T13739" s="255"/>
    </row>
    <row r="13740" spans="18:20" x14ac:dyDescent="0.3">
      <c r="R13740" s="255"/>
      <c r="S13740" s="255"/>
      <c r="T13740" s="255"/>
    </row>
    <row r="13741" spans="18:20" x14ac:dyDescent="0.3">
      <c r="R13741" s="255"/>
      <c r="S13741" s="255"/>
      <c r="T13741" s="255"/>
    </row>
    <row r="13742" spans="18:20" x14ac:dyDescent="0.3">
      <c r="R13742" s="255"/>
      <c r="S13742" s="255"/>
      <c r="T13742" s="255"/>
    </row>
    <row r="13743" spans="18:20" x14ac:dyDescent="0.3">
      <c r="R13743" s="255"/>
      <c r="S13743" s="255"/>
      <c r="T13743" s="255"/>
    </row>
    <row r="13744" spans="18:20" x14ac:dyDescent="0.3">
      <c r="R13744" s="255"/>
      <c r="S13744" s="255"/>
      <c r="T13744" s="255"/>
    </row>
    <row r="13745" spans="18:20" x14ac:dyDescent="0.3">
      <c r="R13745" s="255"/>
      <c r="S13745" s="255"/>
      <c r="T13745" s="255"/>
    </row>
    <row r="13746" spans="18:20" x14ac:dyDescent="0.3">
      <c r="R13746" s="255"/>
      <c r="S13746" s="255"/>
      <c r="T13746" s="255"/>
    </row>
    <row r="13747" spans="18:20" x14ac:dyDescent="0.3">
      <c r="R13747" s="255"/>
      <c r="S13747" s="255"/>
      <c r="T13747" s="255"/>
    </row>
    <row r="13748" spans="18:20" x14ac:dyDescent="0.3">
      <c r="R13748" s="255"/>
      <c r="S13748" s="255"/>
      <c r="T13748" s="255"/>
    </row>
    <row r="13749" spans="18:20" x14ac:dyDescent="0.3">
      <c r="R13749" s="255"/>
      <c r="S13749" s="255"/>
      <c r="T13749" s="255"/>
    </row>
    <row r="13750" spans="18:20" x14ac:dyDescent="0.3">
      <c r="R13750" s="255"/>
      <c r="S13750" s="255"/>
      <c r="T13750" s="255"/>
    </row>
    <row r="13751" spans="18:20" x14ac:dyDescent="0.3">
      <c r="R13751" s="255"/>
      <c r="S13751" s="255"/>
      <c r="T13751" s="255"/>
    </row>
    <row r="13752" spans="18:20" x14ac:dyDescent="0.3">
      <c r="R13752" s="255"/>
      <c r="S13752" s="255"/>
      <c r="T13752" s="255"/>
    </row>
    <row r="13753" spans="18:20" x14ac:dyDescent="0.3">
      <c r="R13753" s="255"/>
      <c r="S13753" s="255"/>
      <c r="T13753" s="255"/>
    </row>
    <row r="13754" spans="18:20" x14ac:dyDescent="0.3">
      <c r="R13754" s="255"/>
      <c r="S13754" s="255"/>
      <c r="T13754" s="255"/>
    </row>
    <row r="13755" spans="18:20" x14ac:dyDescent="0.3">
      <c r="R13755" s="255"/>
      <c r="S13755" s="255"/>
      <c r="T13755" s="255"/>
    </row>
    <row r="13756" spans="18:20" x14ac:dyDescent="0.3">
      <c r="R13756" s="255"/>
      <c r="S13756" s="255"/>
      <c r="T13756" s="255"/>
    </row>
    <row r="13757" spans="18:20" x14ac:dyDescent="0.3">
      <c r="R13757" s="255"/>
      <c r="S13757" s="255"/>
      <c r="T13757" s="255"/>
    </row>
    <row r="13758" spans="18:20" x14ac:dyDescent="0.3">
      <c r="R13758" s="255"/>
      <c r="S13758" s="255"/>
      <c r="T13758" s="255"/>
    </row>
    <row r="13759" spans="18:20" x14ac:dyDescent="0.3">
      <c r="R13759" s="255"/>
      <c r="S13759" s="255"/>
      <c r="T13759" s="255"/>
    </row>
    <row r="13760" spans="18:20" x14ac:dyDescent="0.3">
      <c r="R13760" s="255"/>
      <c r="S13760" s="255"/>
      <c r="T13760" s="255"/>
    </row>
    <row r="13761" spans="18:20" x14ac:dyDescent="0.3">
      <c r="R13761" s="255"/>
      <c r="S13761" s="255"/>
      <c r="T13761" s="255"/>
    </row>
    <row r="13762" spans="18:20" x14ac:dyDescent="0.3">
      <c r="R13762" s="255"/>
      <c r="S13762" s="255"/>
      <c r="T13762" s="255"/>
    </row>
    <row r="13763" spans="18:20" x14ac:dyDescent="0.3">
      <c r="R13763" s="255"/>
      <c r="S13763" s="255"/>
      <c r="T13763" s="255"/>
    </row>
    <row r="13764" spans="18:20" x14ac:dyDescent="0.3">
      <c r="R13764" s="255"/>
      <c r="S13764" s="255"/>
      <c r="T13764" s="255"/>
    </row>
    <row r="13765" spans="18:20" x14ac:dyDescent="0.3">
      <c r="R13765" s="255"/>
      <c r="S13765" s="255"/>
      <c r="T13765" s="255"/>
    </row>
    <row r="13766" spans="18:20" x14ac:dyDescent="0.3">
      <c r="R13766" s="255"/>
      <c r="S13766" s="255"/>
      <c r="T13766" s="255"/>
    </row>
    <row r="13767" spans="18:20" x14ac:dyDescent="0.3">
      <c r="R13767" s="255"/>
      <c r="S13767" s="255"/>
      <c r="T13767" s="255"/>
    </row>
    <row r="13768" spans="18:20" x14ac:dyDescent="0.3">
      <c r="R13768" s="255"/>
      <c r="S13768" s="255"/>
      <c r="T13768" s="255"/>
    </row>
    <row r="13769" spans="18:20" x14ac:dyDescent="0.3">
      <c r="R13769" s="255"/>
      <c r="S13769" s="255"/>
      <c r="T13769" s="255"/>
    </row>
    <row r="13770" spans="18:20" x14ac:dyDescent="0.3">
      <c r="R13770" s="255"/>
      <c r="S13770" s="255"/>
      <c r="T13770" s="255"/>
    </row>
    <row r="13771" spans="18:20" x14ac:dyDescent="0.3">
      <c r="R13771" s="255"/>
      <c r="S13771" s="255"/>
      <c r="T13771" s="255"/>
    </row>
    <row r="13772" spans="18:20" x14ac:dyDescent="0.3">
      <c r="R13772" s="255"/>
      <c r="S13772" s="255"/>
      <c r="T13772" s="255"/>
    </row>
    <row r="13773" spans="18:20" x14ac:dyDescent="0.3">
      <c r="R13773" s="255"/>
      <c r="S13773" s="255"/>
      <c r="T13773" s="255"/>
    </row>
    <row r="13774" spans="18:20" x14ac:dyDescent="0.3">
      <c r="R13774" s="255"/>
      <c r="S13774" s="255"/>
      <c r="T13774" s="255"/>
    </row>
    <row r="13775" spans="18:20" x14ac:dyDescent="0.3">
      <c r="R13775" s="255"/>
      <c r="S13775" s="255"/>
      <c r="T13775" s="255"/>
    </row>
    <row r="13776" spans="18:20" x14ac:dyDescent="0.3">
      <c r="R13776" s="255"/>
      <c r="S13776" s="255"/>
      <c r="T13776" s="255"/>
    </row>
    <row r="13777" spans="18:20" x14ac:dyDescent="0.3">
      <c r="R13777" s="255"/>
      <c r="S13777" s="255"/>
      <c r="T13777" s="255"/>
    </row>
    <row r="13778" spans="18:20" x14ac:dyDescent="0.3">
      <c r="R13778" s="255"/>
      <c r="S13778" s="255"/>
      <c r="T13778" s="255"/>
    </row>
    <row r="13779" spans="18:20" x14ac:dyDescent="0.3">
      <c r="R13779" s="255"/>
      <c r="S13779" s="255"/>
      <c r="T13779" s="255"/>
    </row>
    <row r="13780" spans="18:20" x14ac:dyDescent="0.3">
      <c r="R13780" s="255"/>
      <c r="S13780" s="255"/>
      <c r="T13780" s="255"/>
    </row>
    <row r="13781" spans="18:20" x14ac:dyDescent="0.3">
      <c r="R13781" s="255"/>
      <c r="S13781" s="255"/>
      <c r="T13781" s="255"/>
    </row>
    <row r="13782" spans="18:20" x14ac:dyDescent="0.3">
      <c r="R13782" s="255"/>
      <c r="S13782" s="255"/>
      <c r="T13782" s="255"/>
    </row>
    <row r="13783" spans="18:20" x14ac:dyDescent="0.3">
      <c r="R13783" s="255"/>
      <c r="S13783" s="255"/>
      <c r="T13783" s="255"/>
    </row>
    <row r="13784" spans="18:20" x14ac:dyDescent="0.3">
      <c r="R13784" s="255"/>
      <c r="S13784" s="255"/>
      <c r="T13784" s="255"/>
    </row>
    <row r="13785" spans="18:20" x14ac:dyDescent="0.3">
      <c r="R13785" s="255"/>
      <c r="S13785" s="255"/>
      <c r="T13785" s="255"/>
    </row>
    <row r="13786" spans="18:20" x14ac:dyDescent="0.3">
      <c r="R13786" s="255"/>
      <c r="S13786" s="255"/>
      <c r="T13786" s="255"/>
    </row>
    <row r="13787" spans="18:20" x14ac:dyDescent="0.3">
      <c r="R13787" s="255"/>
      <c r="S13787" s="255"/>
      <c r="T13787" s="255"/>
    </row>
    <row r="13788" spans="18:20" x14ac:dyDescent="0.3">
      <c r="R13788" s="255"/>
      <c r="S13788" s="255"/>
      <c r="T13788" s="255"/>
    </row>
    <row r="13789" spans="18:20" x14ac:dyDescent="0.3">
      <c r="R13789" s="255"/>
      <c r="S13789" s="255"/>
      <c r="T13789" s="255"/>
    </row>
    <row r="13790" spans="18:20" x14ac:dyDescent="0.3">
      <c r="R13790" s="255"/>
      <c r="S13790" s="255"/>
      <c r="T13790" s="255"/>
    </row>
    <row r="13791" spans="18:20" x14ac:dyDescent="0.3">
      <c r="R13791" s="255"/>
      <c r="S13791" s="255"/>
      <c r="T13791" s="255"/>
    </row>
    <row r="13792" spans="18:20" x14ac:dyDescent="0.3">
      <c r="R13792" s="255"/>
      <c r="S13792" s="255"/>
      <c r="T13792" s="255"/>
    </row>
    <row r="13793" spans="18:20" x14ac:dyDescent="0.3">
      <c r="R13793" s="255"/>
      <c r="S13793" s="255"/>
      <c r="T13793" s="255"/>
    </row>
    <row r="13794" spans="18:20" x14ac:dyDescent="0.3">
      <c r="R13794" s="255"/>
      <c r="S13794" s="255"/>
      <c r="T13794" s="255"/>
    </row>
    <row r="13795" spans="18:20" x14ac:dyDescent="0.3">
      <c r="R13795" s="255"/>
      <c r="S13795" s="255"/>
      <c r="T13795" s="255"/>
    </row>
    <row r="13796" spans="18:20" x14ac:dyDescent="0.3">
      <c r="R13796" s="255"/>
      <c r="S13796" s="255"/>
      <c r="T13796" s="255"/>
    </row>
    <row r="13797" spans="18:20" x14ac:dyDescent="0.3">
      <c r="R13797" s="255"/>
      <c r="S13797" s="255"/>
      <c r="T13797" s="255"/>
    </row>
    <row r="13798" spans="18:20" x14ac:dyDescent="0.3">
      <c r="R13798" s="255"/>
      <c r="S13798" s="255"/>
      <c r="T13798" s="255"/>
    </row>
    <row r="13799" spans="18:20" x14ac:dyDescent="0.3">
      <c r="R13799" s="255"/>
      <c r="S13799" s="255"/>
      <c r="T13799" s="255"/>
    </row>
    <row r="13800" spans="18:20" x14ac:dyDescent="0.3">
      <c r="R13800" s="255"/>
      <c r="S13800" s="255"/>
      <c r="T13800" s="255"/>
    </row>
    <row r="13801" spans="18:20" x14ac:dyDescent="0.3">
      <c r="R13801" s="255"/>
      <c r="S13801" s="255"/>
      <c r="T13801" s="255"/>
    </row>
    <row r="13802" spans="18:20" x14ac:dyDescent="0.3">
      <c r="R13802" s="255"/>
      <c r="S13802" s="255"/>
      <c r="T13802" s="255"/>
    </row>
    <row r="13803" spans="18:20" x14ac:dyDescent="0.3">
      <c r="R13803" s="255"/>
      <c r="S13803" s="255"/>
      <c r="T13803" s="255"/>
    </row>
    <row r="13804" spans="18:20" x14ac:dyDescent="0.3">
      <c r="R13804" s="255"/>
      <c r="S13804" s="255"/>
      <c r="T13804" s="255"/>
    </row>
    <row r="13805" spans="18:20" x14ac:dyDescent="0.3">
      <c r="R13805" s="255"/>
      <c r="S13805" s="255"/>
      <c r="T13805" s="255"/>
    </row>
    <row r="13806" spans="18:20" x14ac:dyDescent="0.3">
      <c r="R13806" s="255"/>
      <c r="S13806" s="255"/>
      <c r="T13806" s="255"/>
    </row>
    <row r="13807" spans="18:20" x14ac:dyDescent="0.3">
      <c r="R13807" s="255"/>
      <c r="S13807" s="255"/>
      <c r="T13807" s="255"/>
    </row>
    <row r="13808" spans="18:20" x14ac:dyDescent="0.3">
      <c r="R13808" s="255"/>
      <c r="S13808" s="255"/>
      <c r="T13808" s="255"/>
    </row>
    <row r="13809" spans="18:20" x14ac:dyDescent="0.3">
      <c r="R13809" s="255"/>
      <c r="S13809" s="255"/>
      <c r="T13809" s="255"/>
    </row>
    <row r="13810" spans="18:20" x14ac:dyDescent="0.3">
      <c r="R13810" s="255"/>
      <c r="S13810" s="255"/>
      <c r="T13810" s="255"/>
    </row>
    <row r="13811" spans="18:20" x14ac:dyDescent="0.3">
      <c r="R13811" s="255"/>
      <c r="S13811" s="255"/>
      <c r="T13811" s="255"/>
    </row>
    <row r="13812" spans="18:20" x14ac:dyDescent="0.3">
      <c r="R13812" s="255"/>
      <c r="S13812" s="255"/>
      <c r="T13812" s="255"/>
    </row>
    <row r="13813" spans="18:20" x14ac:dyDescent="0.3">
      <c r="R13813" s="255"/>
      <c r="S13813" s="255"/>
      <c r="T13813" s="255"/>
    </row>
    <row r="13814" spans="18:20" x14ac:dyDescent="0.3">
      <c r="R13814" s="255"/>
      <c r="S13814" s="255"/>
      <c r="T13814" s="255"/>
    </row>
    <row r="13815" spans="18:20" x14ac:dyDescent="0.3">
      <c r="R13815" s="255"/>
      <c r="S13815" s="255"/>
      <c r="T13815" s="255"/>
    </row>
    <row r="13816" spans="18:20" x14ac:dyDescent="0.3">
      <c r="R13816" s="255"/>
      <c r="S13816" s="255"/>
      <c r="T13816" s="255"/>
    </row>
    <row r="13817" spans="18:20" x14ac:dyDescent="0.3">
      <c r="R13817" s="255"/>
      <c r="S13817" s="255"/>
      <c r="T13817" s="255"/>
    </row>
    <row r="13818" spans="18:20" x14ac:dyDescent="0.3">
      <c r="R13818" s="255"/>
      <c r="S13818" s="255"/>
      <c r="T13818" s="255"/>
    </row>
    <row r="13819" spans="18:20" x14ac:dyDescent="0.3">
      <c r="R13819" s="255"/>
      <c r="S13819" s="255"/>
      <c r="T13819" s="255"/>
    </row>
    <row r="13820" spans="18:20" x14ac:dyDescent="0.3">
      <c r="R13820" s="255"/>
      <c r="S13820" s="255"/>
      <c r="T13820" s="255"/>
    </row>
    <row r="13821" spans="18:20" x14ac:dyDescent="0.3">
      <c r="R13821" s="255"/>
      <c r="S13821" s="255"/>
      <c r="T13821" s="255"/>
    </row>
    <row r="13822" spans="18:20" x14ac:dyDescent="0.3">
      <c r="R13822" s="255"/>
      <c r="S13822" s="255"/>
      <c r="T13822" s="255"/>
    </row>
    <row r="13823" spans="18:20" x14ac:dyDescent="0.3">
      <c r="R13823" s="255"/>
      <c r="S13823" s="255"/>
      <c r="T13823" s="255"/>
    </row>
    <row r="13824" spans="18:20" x14ac:dyDescent="0.3">
      <c r="R13824" s="255"/>
      <c r="S13824" s="255"/>
      <c r="T13824" s="255"/>
    </row>
    <row r="13825" spans="18:20" x14ac:dyDescent="0.3">
      <c r="R13825" s="255"/>
      <c r="S13825" s="255"/>
      <c r="T13825" s="255"/>
    </row>
    <row r="13826" spans="18:20" x14ac:dyDescent="0.3">
      <c r="R13826" s="255"/>
      <c r="S13826" s="255"/>
      <c r="T13826" s="255"/>
    </row>
    <row r="13827" spans="18:20" x14ac:dyDescent="0.3">
      <c r="R13827" s="255"/>
      <c r="S13827" s="255"/>
      <c r="T13827" s="255"/>
    </row>
    <row r="13828" spans="18:20" x14ac:dyDescent="0.3">
      <c r="R13828" s="255"/>
      <c r="S13828" s="255"/>
      <c r="T13828" s="255"/>
    </row>
    <row r="13829" spans="18:20" x14ac:dyDescent="0.3">
      <c r="R13829" s="255"/>
      <c r="S13829" s="255"/>
      <c r="T13829" s="255"/>
    </row>
    <row r="13830" spans="18:20" x14ac:dyDescent="0.3">
      <c r="R13830" s="255"/>
      <c r="S13830" s="255"/>
      <c r="T13830" s="255"/>
    </row>
    <row r="13831" spans="18:20" x14ac:dyDescent="0.3">
      <c r="R13831" s="255"/>
      <c r="S13831" s="255"/>
      <c r="T13831" s="255"/>
    </row>
    <row r="13832" spans="18:20" x14ac:dyDescent="0.3">
      <c r="R13832" s="255"/>
      <c r="S13832" s="255"/>
      <c r="T13832" s="255"/>
    </row>
    <row r="13833" spans="18:20" x14ac:dyDescent="0.3">
      <c r="R13833" s="255"/>
      <c r="S13833" s="255"/>
      <c r="T13833" s="255"/>
    </row>
    <row r="13834" spans="18:20" x14ac:dyDescent="0.3">
      <c r="R13834" s="255"/>
      <c r="S13834" s="255"/>
      <c r="T13834" s="255"/>
    </row>
    <row r="13835" spans="18:20" x14ac:dyDescent="0.3">
      <c r="R13835" s="255"/>
      <c r="S13835" s="255"/>
      <c r="T13835" s="255"/>
    </row>
    <row r="13836" spans="18:20" x14ac:dyDescent="0.3">
      <c r="R13836" s="255"/>
      <c r="S13836" s="255"/>
      <c r="T13836" s="255"/>
    </row>
    <row r="13837" spans="18:20" x14ac:dyDescent="0.3">
      <c r="R13837" s="255"/>
      <c r="S13837" s="255"/>
      <c r="T13837" s="255"/>
    </row>
    <row r="13838" spans="18:20" x14ac:dyDescent="0.3">
      <c r="R13838" s="255"/>
      <c r="S13838" s="255"/>
      <c r="T13838" s="255"/>
    </row>
    <row r="13839" spans="18:20" x14ac:dyDescent="0.3">
      <c r="R13839" s="255"/>
      <c r="S13839" s="255"/>
      <c r="T13839" s="255"/>
    </row>
    <row r="13840" spans="18:20" x14ac:dyDescent="0.3">
      <c r="R13840" s="255"/>
      <c r="S13840" s="255"/>
      <c r="T13840" s="255"/>
    </row>
    <row r="13841" spans="18:20" x14ac:dyDescent="0.3">
      <c r="R13841" s="255"/>
      <c r="S13841" s="255"/>
      <c r="T13841" s="255"/>
    </row>
    <row r="13842" spans="18:20" x14ac:dyDescent="0.3">
      <c r="R13842" s="255"/>
      <c r="S13842" s="255"/>
      <c r="T13842" s="255"/>
    </row>
    <row r="13843" spans="18:20" x14ac:dyDescent="0.3">
      <c r="R13843" s="255"/>
      <c r="S13843" s="255"/>
      <c r="T13843" s="255"/>
    </row>
    <row r="13844" spans="18:20" x14ac:dyDescent="0.3">
      <c r="R13844" s="255"/>
      <c r="S13844" s="255"/>
      <c r="T13844" s="255"/>
    </row>
    <row r="13845" spans="18:20" x14ac:dyDescent="0.3">
      <c r="R13845" s="255"/>
      <c r="S13845" s="255"/>
      <c r="T13845" s="255"/>
    </row>
    <row r="13846" spans="18:20" x14ac:dyDescent="0.3">
      <c r="R13846" s="255"/>
      <c r="S13846" s="255"/>
      <c r="T13846" s="255"/>
    </row>
    <row r="13847" spans="18:20" x14ac:dyDescent="0.3">
      <c r="R13847" s="255"/>
      <c r="S13847" s="255"/>
      <c r="T13847" s="255"/>
    </row>
    <row r="13848" spans="18:20" x14ac:dyDescent="0.3">
      <c r="R13848" s="255"/>
      <c r="S13848" s="255"/>
      <c r="T13848" s="255"/>
    </row>
    <row r="13849" spans="18:20" x14ac:dyDescent="0.3">
      <c r="R13849" s="255"/>
      <c r="S13849" s="255"/>
      <c r="T13849" s="255"/>
    </row>
    <row r="13850" spans="18:20" x14ac:dyDescent="0.3">
      <c r="R13850" s="255"/>
      <c r="S13850" s="255"/>
      <c r="T13850" s="255"/>
    </row>
    <row r="13851" spans="18:20" x14ac:dyDescent="0.3">
      <c r="R13851" s="255"/>
      <c r="S13851" s="255"/>
      <c r="T13851" s="255"/>
    </row>
    <row r="13852" spans="18:20" x14ac:dyDescent="0.3">
      <c r="R13852" s="255"/>
      <c r="S13852" s="255"/>
      <c r="T13852" s="255"/>
    </row>
    <row r="13853" spans="18:20" x14ac:dyDescent="0.3">
      <c r="R13853" s="255"/>
      <c r="S13853" s="255"/>
      <c r="T13853" s="255"/>
    </row>
    <row r="13854" spans="18:20" x14ac:dyDescent="0.3">
      <c r="R13854" s="255"/>
      <c r="S13854" s="255"/>
      <c r="T13854" s="255"/>
    </row>
    <row r="13855" spans="18:20" x14ac:dyDescent="0.3">
      <c r="R13855" s="255"/>
      <c r="S13855" s="255"/>
      <c r="T13855" s="255"/>
    </row>
    <row r="13856" spans="18:20" x14ac:dyDescent="0.3">
      <c r="R13856" s="255"/>
      <c r="S13856" s="255"/>
      <c r="T13856" s="255"/>
    </row>
    <row r="13857" spans="18:20" x14ac:dyDescent="0.3">
      <c r="R13857" s="255"/>
      <c r="S13857" s="255"/>
      <c r="T13857" s="255"/>
    </row>
    <row r="13858" spans="18:20" x14ac:dyDescent="0.3">
      <c r="R13858" s="255"/>
      <c r="S13858" s="255"/>
      <c r="T13858" s="255"/>
    </row>
    <row r="13859" spans="18:20" x14ac:dyDescent="0.3">
      <c r="R13859" s="255"/>
      <c r="S13859" s="255"/>
      <c r="T13859" s="255"/>
    </row>
    <row r="13860" spans="18:20" x14ac:dyDescent="0.3">
      <c r="R13860" s="255"/>
      <c r="S13860" s="255"/>
      <c r="T13860" s="255"/>
    </row>
    <row r="13861" spans="18:20" x14ac:dyDescent="0.3">
      <c r="R13861" s="255"/>
      <c r="S13861" s="255"/>
      <c r="T13861" s="255"/>
    </row>
    <row r="13862" spans="18:20" x14ac:dyDescent="0.3">
      <c r="R13862" s="255"/>
      <c r="S13862" s="255"/>
      <c r="T13862" s="255"/>
    </row>
    <row r="13863" spans="18:20" x14ac:dyDescent="0.3">
      <c r="R13863" s="255"/>
      <c r="S13863" s="255"/>
      <c r="T13863" s="255"/>
    </row>
    <row r="13864" spans="18:20" x14ac:dyDescent="0.3">
      <c r="R13864" s="255"/>
      <c r="S13864" s="255"/>
      <c r="T13864" s="255"/>
    </row>
    <row r="13865" spans="18:20" x14ac:dyDescent="0.3">
      <c r="R13865" s="255"/>
      <c r="S13865" s="255"/>
      <c r="T13865" s="255"/>
    </row>
    <row r="13866" spans="18:20" x14ac:dyDescent="0.3">
      <c r="R13866" s="255"/>
      <c r="S13866" s="255"/>
      <c r="T13866" s="255"/>
    </row>
    <row r="13867" spans="18:20" x14ac:dyDescent="0.3">
      <c r="R13867" s="255"/>
      <c r="S13867" s="255"/>
      <c r="T13867" s="255"/>
    </row>
    <row r="13868" spans="18:20" x14ac:dyDescent="0.3">
      <c r="R13868" s="255"/>
      <c r="S13868" s="255"/>
      <c r="T13868" s="255"/>
    </row>
    <row r="13869" spans="18:20" x14ac:dyDescent="0.3">
      <c r="R13869" s="255"/>
      <c r="S13869" s="255"/>
      <c r="T13869" s="255"/>
    </row>
    <row r="13870" spans="18:20" x14ac:dyDescent="0.3">
      <c r="R13870" s="255"/>
      <c r="S13870" s="255"/>
      <c r="T13870" s="255"/>
    </row>
    <row r="13871" spans="18:20" x14ac:dyDescent="0.3">
      <c r="R13871" s="255"/>
      <c r="S13871" s="255"/>
      <c r="T13871" s="255"/>
    </row>
    <row r="13872" spans="18:20" x14ac:dyDescent="0.3">
      <c r="R13872" s="255"/>
      <c r="S13872" s="255"/>
      <c r="T13872" s="255"/>
    </row>
    <row r="13873" spans="18:20" x14ac:dyDescent="0.3">
      <c r="R13873" s="255"/>
      <c r="S13873" s="255"/>
      <c r="T13873" s="255"/>
    </row>
    <row r="13874" spans="18:20" x14ac:dyDescent="0.3">
      <c r="R13874" s="255"/>
      <c r="S13874" s="255"/>
      <c r="T13874" s="255"/>
    </row>
    <row r="13875" spans="18:20" x14ac:dyDescent="0.3">
      <c r="R13875" s="255"/>
      <c r="S13875" s="255"/>
      <c r="T13875" s="255"/>
    </row>
    <row r="13876" spans="18:20" x14ac:dyDescent="0.3">
      <c r="R13876" s="255"/>
      <c r="S13876" s="255"/>
      <c r="T13876" s="255"/>
    </row>
    <row r="13877" spans="18:20" x14ac:dyDescent="0.3">
      <c r="R13877" s="255"/>
      <c r="S13877" s="255"/>
      <c r="T13877" s="255"/>
    </row>
    <row r="13878" spans="18:20" x14ac:dyDescent="0.3">
      <c r="R13878" s="255"/>
      <c r="S13878" s="255"/>
      <c r="T13878" s="255"/>
    </row>
    <row r="13879" spans="18:20" x14ac:dyDescent="0.3">
      <c r="R13879" s="255"/>
      <c r="S13879" s="255"/>
      <c r="T13879" s="255"/>
    </row>
    <row r="13880" spans="18:20" x14ac:dyDescent="0.3">
      <c r="R13880" s="255"/>
      <c r="S13880" s="255"/>
      <c r="T13880" s="255"/>
    </row>
    <row r="13881" spans="18:20" x14ac:dyDescent="0.3">
      <c r="R13881" s="255"/>
      <c r="S13881" s="255"/>
      <c r="T13881" s="255"/>
    </row>
    <row r="13882" spans="18:20" x14ac:dyDescent="0.3">
      <c r="R13882" s="255"/>
      <c r="S13882" s="255"/>
      <c r="T13882" s="255"/>
    </row>
    <row r="13883" spans="18:20" x14ac:dyDescent="0.3">
      <c r="R13883" s="255"/>
      <c r="S13883" s="255"/>
      <c r="T13883" s="255"/>
    </row>
    <row r="13884" spans="18:20" x14ac:dyDescent="0.3">
      <c r="R13884" s="255"/>
      <c r="S13884" s="255"/>
      <c r="T13884" s="255"/>
    </row>
    <row r="13885" spans="18:20" x14ac:dyDescent="0.3">
      <c r="R13885" s="255"/>
      <c r="S13885" s="255"/>
      <c r="T13885" s="255"/>
    </row>
    <row r="13886" spans="18:20" x14ac:dyDescent="0.3">
      <c r="R13886" s="255"/>
      <c r="S13886" s="255"/>
      <c r="T13886" s="255"/>
    </row>
    <row r="13887" spans="18:20" x14ac:dyDescent="0.3">
      <c r="R13887" s="255"/>
      <c r="S13887" s="255"/>
      <c r="T13887" s="255"/>
    </row>
    <row r="13888" spans="18:20" x14ac:dyDescent="0.3">
      <c r="R13888" s="255"/>
      <c r="S13888" s="255"/>
      <c r="T13888" s="255"/>
    </row>
    <row r="13889" spans="18:20" x14ac:dyDescent="0.3">
      <c r="R13889" s="255"/>
      <c r="S13889" s="255"/>
      <c r="T13889" s="255"/>
    </row>
    <row r="13890" spans="18:20" x14ac:dyDescent="0.3">
      <c r="R13890" s="255"/>
      <c r="S13890" s="255"/>
      <c r="T13890" s="255"/>
    </row>
    <row r="13891" spans="18:20" x14ac:dyDescent="0.3">
      <c r="R13891" s="255"/>
      <c r="S13891" s="255"/>
      <c r="T13891" s="255"/>
    </row>
    <row r="13892" spans="18:20" x14ac:dyDescent="0.3">
      <c r="R13892" s="255"/>
      <c r="S13892" s="255"/>
      <c r="T13892" s="255"/>
    </row>
    <row r="13893" spans="18:20" x14ac:dyDescent="0.3">
      <c r="R13893" s="255"/>
      <c r="S13893" s="255"/>
      <c r="T13893" s="255"/>
    </row>
    <row r="13894" spans="18:20" x14ac:dyDescent="0.3">
      <c r="R13894" s="255"/>
      <c r="S13894" s="255"/>
      <c r="T13894" s="255"/>
    </row>
    <row r="13895" spans="18:20" x14ac:dyDescent="0.3">
      <c r="R13895" s="255"/>
      <c r="S13895" s="255"/>
      <c r="T13895" s="255"/>
    </row>
    <row r="13896" spans="18:20" x14ac:dyDescent="0.3">
      <c r="R13896" s="255"/>
      <c r="S13896" s="255"/>
      <c r="T13896" s="255"/>
    </row>
    <row r="13897" spans="18:20" x14ac:dyDescent="0.3">
      <c r="R13897" s="255"/>
      <c r="S13897" s="255"/>
      <c r="T13897" s="255"/>
    </row>
    <row r="13898" spans="18:20" x14ac:dyDescent="0.3">
      <c r="R13898" s="255"/>
      <c r="S13898" s="255"/>
      <c r="T13898" s="255"/>
    </row>
    <row r="13899" spans="18:20" x14ac:dyDescent="0.3">
      <c r="R13899" s="255"/>
      <c r="S13899" s="255"/>
      <c r="T13899" s="255"/>
    </row>
    <row r="13900" spans="18:20" x14ac:dyDescent="0.3">
      <c r="R13900" s="255"/>
      <c r="S13900" s="255"/>
      <c r="T13900" s="255"/>
    </row>
    <row r="13901" spans="18:20" x14ac:dyDescent="0.3">
      <c r="R13901" s="255"/>
      <c r="S13901" s="255"/>
      <c r="T13901" s="255"/>
    </row>
    <row r="13902" spans="18:20" x14ac:dyDescent="0.3">
      <c r="R13902" s="255"/>
      <c r="S13902" s="255"/>
      <c r="T13902" s="255"/>
    </row>
    <row r="13903" spans="18:20" x14ac:dyDescent="0.3">
      <c r="R13903" s="255"/>
      <c r="S13903" s="255"/>
      <c r="T13903" s="255"/>
    </row>
    <row r="13904" spans="18:20" x14ac:dyDescent="0.3">
      <c r="R13904" s="255"/>
      <c r="S13904" s="255"/>
      <c r="T13904" s="255"/>
    </row>
    <row r="13905" spans="18:20" x14ac:dyDescent="0.3">
      <c r="R13905" s="255"/>
      <c r="S13905" s="255"/>
      <c r="T13905" s="255"/>
    </row>
    <row r="13906" spans="18:20" x14ac:dyDescent="0.3">
      <c r="R13906" s="255"/>
      <c r="S13906" s="255"/>
      <c r="T13906" s="255"/>
    </row>
    <row r="13907" spans="18:20" x14ac:dyDescent="0.3">
      <c r="R13907" s="255"/>
      <c r="S13907" s="255"/>
      <c r="T13907" s="255"/>
    </row>
    <row r="13908" spans="18:20" x14ac:dyDescent="0.3">
      <c r="R13908" s="255"/>
      <c r="S13908" s="255"/>
      <c r="T13908" s="255"/>
    </row>
    <row r="13909" spans="18:20" x14ac:dyDescent="0.3">
      <c r="R13909" s="255"/>
      <c r="S13909" s="255"/>
      <c r="T13909" s="255"/>
    </row>
    <row r="13910" spans="18:20" x14ac:dyDescent="0.3">
      <c r="R13910" s="255"/>
      <c r="S13910" s="255"/>
      <c r="T13910" s="255"/>
    </row>
    <row r="13911" spans="18:20" x14ac:dyDescent="0.3">
      <c r="R13911" s="255"/>
      <c r="S13911" s="255"/>
      <c r="T13911" s="255"/>
    </row>
    <row r="13912" spans="18:20" x14ac:dyDescent="0.3">
      <c r="R13912" s="255"/>
      <c r="S13912" s="255"/>
      <c r="T13912" s="255"/>
    </row>
    <row r="13913" spans="18:20" x14ac:dyDescent="0.3">
      <c r="R13913" s="255"/>
      <c r="S13913" s="255"/>
      <c r="T13913" s="255"/>
    </row>
    <row r="13914" spans="18:20" x14ac:dyDescent="0.3">
      <c r="R13914" s="255"/>
      <c r="S13914" s="255"/>
      <c r="T13914" s="255"/>
    </row>
    <row r="13915" spans="18:20" x14ac:dyDescent="0.3">
      <c r="R13915" s="255"/>
      <c r="S13915" s="255"/>
      <c r="T13915" s="255"/>
    </row>
    <row r="13916" spans="18:20" x14ac:dyDescent="0.3">
      <c r="R13916" s="255"/>
      <c r="S13916" s="255"/>
      <c r="T13916" s="255"/>
    </row>
    <row r="13917" spans="18:20" x14ac:dyDescent="0.3">
      <c r="R13917" s="255"/>
      <c r="S13917" s="255"/>
      <c r="T13917" s="255"/>
    </row>
    <row r="13918" spans="18:20" x14ac:dyDescent="0.3">
      <c r="R13918" s="255"/>
      <c r="S13918" s="255"/>
      <c r="T13918" s="255"/>
    </row>
    <row r="13919" spans="18:20" x14ac:dyDescent="0.3">
      <c r="R13919" s="255"/>
      <c r="S13919" s="255"/>
      <c r="T13919" s="255"/>
    </row>
    <row r="13920" spans="18:20" x14ac:dyDescent="0.3">
      <c r="R13920" s="255"/>
      <c r="S13920" s="255"/>
      <c r="T13920" s="255"/>
    </row>
    <row r="13921" spans="18:20" x14ac:dyDescent="0.3">
      <c r="R13921" s="255"/>
      <c r="S13921" s="255"/>
      <c r="T13921" s="255"/>
    </row>
    <row r="13922" spans="18:20" x14ac:dyDescent="0.3">
      <c r="R13922" s="255"/>
      <c r="S13922" s="255"/>
      <c r="T13922" s="255"/>
    </row>
    <row r="13923" spans="18:20" x14ac:dyDescent="0.3">
      <c r="R13923" s="255"/>
      <c r="S13923" s="255"/>
      <c r="T13923" s="255"/>
    </row>
    <row r="13924" spans="18:20" x14ac:dyDescent="0.3">
      <c r="R13924" s="255"/>
      <c r="S13924" s="255"/>
      <c r="T13924" s="255"/>
    </row>
    <row r="13925" spans="18:20" x14ac:dyDescent="0.3">
      <c r="R13925" s="255"/>
      <c r="S13925" s="255"/>
      <c r="T13925" s="255"/>
    </row>
    <row r="13926" spans="18:20" x14ac:dyDescent="0.3">
      <c r="R13926" s="255"/>
      <c r="S13926" s="255"/>
      <c r="T13926" s="255"/>
    </row>
    <row r="13927" spans="18:20" x14ac:dyDescent="0.3">
      <c r="R13927" s="255"/>
      <c r="S13927" s="255"/>
      <c r="T13927" s="255"/>
    </row>
    <row r="13928" spans="18:20" x14ac:dyDescent="0.3">
      <c r="R13928" s="255"/>
      <c r="S13928" s="255"/>
      <c r="T13928" s="255"/>
    </row>
    <row r="13929" spans="18:20" x14ac:dyDescent="0.3">
      <c r="R13929" s="255"/>
      <c r="S13929" s="255"/>
      <c r="T13929" s="255"/>
    </row>
    <row r="13930" spans="18:20" x14ac:dyDescent="0.3">
      <c r="R13930" s="255"/>
      <c r="S13930" s="255"/>
      <c r="T13930" s="255"/>
    </row>
    <row r="13931" spans="18:20" x14ac:dyDescent="0.3">
      <c r="R13931" s="255"/>
      <c r="S13931" s="255"/>
      <c r="T13931" s="255"/>
    </row>
    <row r="13932" spans="18:20" x14ac:dyDescent="0.3">
      <c r="R13932" s="255"/>
      <c r="S13932" s="255"/>
      <c r="T13932" s="255"/>
    </row>
    <row r="13933" spans="18:20" x14ac:dyDescent="0.3">
      <c r="R13933" s="255"/>
      <c r="S13933" s="255"/>
      <c r="T13933" s="255"/>
    </row>
    <row r="13934" spans="18:20" x14ac:dyDescent="0.3">
      <c r="R13934" s="255"/>
      <c r="S13934" s="255"/>
      <c r="T13934" s="255"/>
    </row>
    <row r="13935" spans="18:20" x14ac:dyDescent="0.3">
      <c r="R13935" s="255"/>
      <c r="S13935" s="255"/>
      <c r="T13935" s="255"/>
    </row>
    <row r="13936" spans="18:20" x14ac:dyDescent="0.3">
      <c r="R13936" s="255"/>
      <c r="S13936" s="255"/>
      <c r="T13936" s="255"/>
    </row>
    <row r="13937" spans="18:20" x14ac:dyDescent="0.3">
      <c r="R13937" s="255"/>
      <c r="S13937" s="255"/>
      <c r="T13937" s="255"/>
    </row>
    <row r="13938" spans="18:20" x14ac:dyDescent="0.3">
      <c r="R13938" s="255"/>
      <c r="S13938" s="255"/>
      <c r="T13938" s="255"/>
    </row>
    <row r="13939" spans="18:20" x14ac:dyDescent="0.3">
      <c r="R13939" s="255"/>
      <c r="S13939" s="255"/>
      <c r="T13939" s="255"/>
    </row>
    <row r="13940" spans="18:20" x14ac:dyDescent="0.3">
      <c r="R13940" s="255"/>
      <c r="S13940" s="255"/>
      <c r="T13940" s="255"/>
    </row>
    <row r="13941" spans="18:20" x14ac:dyDescent="0.3">
      <c r="R13941" s="255"/>
      <c r="S13941" s="255"/>
      <c r="T13941" s="255"/>
    </row>
    <row r="13942" spans="18:20" x14ac:dyDescent="0.3">
      <c r="R13942" s="255"/>
      <c r="S13942" s="255"/>
      <c r="T13942" s="255"/>
    </row>
    <row r="13943" spans="18:20" x14ac:dyDescent="0.3">
      <c r="R13943" s="255"/>
      <c r="S13943" s="255"/>
      <c r="T13943" s="255"/>
    </row>
    <row r="13944" spans="18:20" x14ac:dyDescent="0.3">
      <c r="R13944" s="255"/>
      <c r="S13944" s="255"/>
      <c r="T13944" s="255"/>
    </row>
    <row r="13945" spans="18:20" x14ac:dyDescent="0.3">
      <c r="R13945" s="255"/>
      <c r="S13945" s="255"/>
      <c r="T13945" s="255"/>
    </row>
    <row r="13946" spans="18:20" x14ac:dyDescent="0.3">
      <c r="R13946" s="255"/>
      <c r="S13946" s="255"/>
      <c r="T13946" s="255"/>
    </row>
    <row r="13947" spans="18:20" x14ac:dyDescent="0.3">
      <c r="R13947" s="255"/>
      <c r="S13947" s="255"/>
      <c r="T13947" s="255"/>
    </row>
    <row r="13948" spans="18:20" x14ac:dyDescent="0.3">
      <c r="R13948" s="255"/>
      <c r="S13948" s="255"/>
      <c r="T13948" s="255"/>
    </row>
    <row r="13949" spans="18:20" x14ac:dyDescent="0.3">
      <c r="R13949" s="255"/>
      <c r="S13949" s="255"/>
      <c r="T13949" s="255"/>
    </row>
    <row r="13950" spans="18:20" x14ac:dyDescent="0.3">
      <c r="R13950" s="255"/>
      <c r="S13950" s="255"/>
      <c r="T13950" s="255"/>
    </row>
    <row r="13951" spans="18:20" x14ac:dyDescent="0.3">
      <c r="R13951" s="255"/>
      <c r="S13951" s="255"/>
      <c r="T13951" s="255"/>
    </row>
    <row r="13952" spans="18:20" x14ac:dyDescent="0.3">
      <c r="R13952" s="255"/>
      <c r="S13952" s="255"/>
      <c r="T13952" s="255"/>
    </row>
    <row r="13953" spans="18:20" x14ac:dyDescent="0.3">
      <c r="R13953" s="255"/>
      <c r="S13953" s="255"/>
      <c r="T13953" s="255"/>
    </row>
    <row r="13954" spans="18:20" x14ac:dyDescent="0.3">
      <c r="R13954" s="255"/>
      <c r="S13954" s="255"/>
      <c r="T13954" s="255"/>
    </row>
    <row r="13955" spans="18:20" x14ac:dyDescent="0.3">
      <c r="R13955" s="255"/>
      <c r="S13955" s="255"/>
      <c r="T13955" s="255"/>
    </row>
    <row r="13956" spans="18:20" x14ac:dyDescent="0.3">
      <c r="R13956" s="255"/>
      <c r="S13956" s="255"/>
      <c r="T13956" s="255"/>
    </row>
    <row r="13957" spans="18:20" x14ac:dyDescent="0.3">
      <c r="R13957" s="255"/>
      <c r="S13957" s="255"/>
      <c r="T13957" s="255"/>
    </row>
    <row r="13958" spans="18:20" x14ac:dyDescent="0.3">
      <c r="R13958" s="255"/>
      <c r="S13958" s="255"/>
      <c r="T13958" s="255"/>
    </row>
    <row r="13959" spans="18:20" x14ac:dyDescent="0.3">
      <c r="R13959" s="255"/>
      <c r="S13959" s="255"/>
      <c r="T13959" s="255"/>
    </row>
    <row r="13960" spans="18:20" x14ac:dyDescent="0.3">
      <c r="R13960" s="255"/>
      <c r="S13960" s="255"/>
      <c r="T13960" s="255"/>
    </row>
    <row r="13961" spans="18:20" x14ac:dyDescent="0.3">
      <c r="R13961" s="255"/>
      <c r="S13961" s="255"/>
      <c r="T13961" s="255"/>
    </row>
    <row r="13962" spans="18:20" x14ac:dyDescent="0.3">
      <c r="R13962" s="255"/>
      <c r="S13962" s="255"/>
      <c r="T13962" s="255"/>
    </row>
    <row r="13963" spans="18:20" x14ac:dyDescent="0.3">
      <c r="R13963" s="255"/>
      <c r="S13963" s="255"/>
      <c r="T13963" s="255"/>
    </row>
    <row r="13964" spans="18:20" x14ac:dyDescent="0.3">
      <c r="R13964" s="255"/>
      <c r="S13964" s="255"/>
      <c r="T13964" s="255"/>
    </row>
    <row r="13965" spans="18:20" x14ac:dyDescent="0.3">
      <c r="R13965" s="255"/>
      <c r="S13965" s="255"/>
      <c r="T13965" s="255"/>
    </row>
    <row r="13966" spans="18:20" x14ac:dyDescent="0.3">
      <c r="R13966" s="255"/>
      <c r="S13966" s="255"/>
      <c r="T13966" s="255"/>
    </row>
    <row r="13967" spans="18:20" x14ac:dyDescent="0.3">
      <c r="R13967" s="255"/>
      <c r="S13967" s="255"/>
      <c r="T13967" s="255"/>
    </row>
    <row r="13968" spans="18:20" x14ac:dyDescent="0.3">
      <c r="R13968" s="255"/>
      <c r="S13968" s="255"/>
      <c r="T13968" s="255"/>
    </row>
    <row r="13969" spans="18:20" x14ac:dyDescent="0.3">
      <c r="R13969" s="255"/>
      <c r="S13969" s="255"/>
      <c r="T13969" s="255"/>
    </row>
    <row r="13970" spans="18:20" x14ac:dyDescent="0.3">
      <c r="R13970" s="255"/>
      <c r="S13970" s="255"/>
      <c r="T13970" s="255"/>
    </row>
    <row r="13971" spans="18:20" x14ac:dyDescent="0.3">
      <c r="R13971" s="255"/>
      <c r="S13971" s="255"/>
      <c r="T13971" s="255"/>
    </row>
    <row r="13972" spans="18:20" x14ac:dyDescent="0.3">
      <c r="R13972" s="255"/>
      <c r="S13972" s="255"/>
      <c r="T13972" s="255"/>
    </row>
    <row r="13973" spans="18:20" x14ac:dyDescent="0.3">
      <c r="R13973" s="255"/>
      <c r="S13973" s="255"/>
      <c r="T13973" s="255"/>
    </row>
    <row r="13974" spans="18:20" x14ac:dyDescent="0.3">
      <c r="R13974" s="255"/>
      <c r="S13974" s="255"/>
      <c r="T13974" s="255"/>
    </row>
    <row r="13975" spans="18:20" x14ac:dyDescent="0.3">
      <c r="R13975" s="255"/>
      <c r="S13975" s="255"/>
      <c r="T13975" s="255"/>
    </row>
    <row r="13976" spans="18:20" x14ac:dyDescent="0.3">
      <c r="R13976" s="255"/>
      <c r="S13976" s="255"/>
      <c r="T13976" s="255"/>
    </row>
    <row r="13977" spans="18:20" x14ac:dyDescent="0.3">
      <c r="R13977" s="255"/>
      <c r="S13977" s="255"/>
      <c r="T13977" s="255"/>
    </row>
    <row r="13978" spans="18:20" x14ac:dyDescent="0.3">
      <c r="R13978" s="255"/>
      <c r="S13978" s="255"/>
      <c r="T13978" s="255"/>
    </row>
    <row r="13979" spans="18:20" x14ac:dyDescent="0.3">
      <c r="R13979" s="255"/>
      <c r="S13979" s="255"/>
      <c r="T13979" s="255"/>
    </row>
    <row r="13980" spans="18:20" x14ac:dyDescent="0.3">
      <c r="R13980" s="255"/>
      <c r="S13980" s="255"/>
      <c r="T13980" s="255"/>
    </row>
    <row r="13981" spans="18:20" x14ac:dyDescent="0.3">
      <c r="R13981" s="255"/>
      <c r="S13981" s="255"/>
      <c r="T13981" s="255"/>
    </row>
    <row r="13982" spans="18:20" x14ac:dyDescent="0.3">
      <c r="R13982" s="255"/>
      <c r="S13982" s="255"/>
      <c r="T13982" s="255"/>
    </row>
    <row r="13983" spans="18:20" x14ac:dyDescent="0.3">
      <c r="R13983" s="255"/>
      <c r="S13983" s="255"/>
      <c r="T13983" s="255"/>
    </row>
    <row r="13984" spans="18:20" x14ac:dyDescent="0.3">
      <c r="R13984" s="255"/>
      <c r="S13984" s="255"/>
      <c r="T13984" s="255"/>
    </row>
    <row r="13985" spans="18:20" x14ac:dyDescent="0.3">
      <c r="R13985" s="255"/>
      <c r="S13985" s="255"/>
      <c r="T13985" s="255"/>
    </row>
    <row r="13986" spans="18:20" x14ac:dyDescent="0.3">
      <c r="R13986" s="255"/>
      <c r="S13986" s="255"/>
      <c r="T13986" s="255"/>
    </row>
    <row r="13987" spans="18:20" x14ac:dyDescent="0.3">
      <c r="R13987" s="255"/>
      <c r="S13987" s="255"/>
      <c r="T13987" s="255"/>
    </row>
    <row r="13988" spans="18:20" x14ac:dyDescent="0.3">
      <c r="R13988" s="255"/>
      <c r="S13988" s="255"/>
      <c r="T13988" s="255"/>
    </row>
    <row r="13989" spans="18:20" x14ac:dyDescent="0.3">
      <c r="R13989" s="255"/>
      <c r="S13989" s="255"/>
      <c r="T13989" s="255"/>
    </row>
    <row r="13990" spans="18:20" x14ac:dyDescent="0.3">
      <c r="R13990" s="255"/>
      <c r="S13990" s="255"/>
      <c r="T13990" s="255"/>
    </row>
    <row r="13991" spans="18:20" x14ac:dyDescent="0.3">
      <c r="R13991" s="255"/>
      <c r="S13991" s="255"/>
      <c r="T13991" s="255"/>
    </row>
    <row r="13992" spans="18:20" x14ac:dyDescent="0.3">
      <c r="R13992" s="255"/>
      <c r="S13992" s="255"/>
      <c r="T13992" s="255"/>
    </row>
    <row r="13993" spans="18:20" x14ac:dyDescent="0.3">
      <c r="R13993" s="255"/>
      <c r="S13993" s="255"/>
      <c r="T13993" s="255"/>
    </row>
    <row r="13994" spans="18:20" x14ac:dyDescent="0.3">
      <c r="R13994" s="255"/>
      <c r="S13994" s="255"/>
      <c r="T13994" s="255"/>
    </row>
    <row r="13995" spans="18:20" x14ac:dyDescent="0.3">
      <c r="R13995" s="255"/>
      <c r="S13995" s="255"/>
      <c r="T13995" s="255"/>
    </row>
    <row r="13996" spans="18:20" x14ac:dyDescent="0.3">
      <c r="R13996" s="255"/>
      <c r="S13996" s="255"/>
      <c r="T13996" s="255"/>
    </row>
    <row r="13997" spans="18:20" x14ac:dyDescent="0.3">
      <c r="R13997" s="255"/>
      <c r="S13997" s="255"/>
      <c r="T13997" s="255"/>
    </row>
    <row r="13998" spans="18:20" x14ac:dyDescent="0.3">
      <c r="R13998" s="255"/>
      <c r="S13998" s="255"/>
      <c r="T13998" s="255"/>
    </row>
    <row r="13999" spans="18:20" x14ac:dyDescent="0.3">
      <c r="R13999" s="255"/>
      <c r="S13999" s="255"/>
      <c r="T13999" s="255"/>
    </row>
    <row r="14000" spans="18:20" x14ac:dyDescent="0.3">
      <c r="R14000" s="255"/>
      <c r="S14000" s="255"/>
      <c r="T14000" s="255"/>
    </row>
    <row r="14001" spans="18:20" x14ac:dyDescent="0.3">
      <c r="R14001" s="255"/>
      <c r="S14001" s="255"/>
      <c r="T14001" s="255"/>
    </row>
    <row r="14002" spans="18:20" x14ac:dyDescent="0.3">
      <c r="R14002" s="255"/>
      <c r="S14002" s="255"/>
      <c r="T14002" s="255"/>
    </row>
    <row r="14003" spans="18:20" x14ac:dyDescent="0.3">
      <c r="R14003" s="255"/>
      <c r="S14003" s="255"/>
      <c r="T14003" s="255"/>
    </row>
    <row r="14004" spans="18:20" x14ac:dyDescent="0.3">
      <c r="R14004" s="255"/>
      <c r="S14004" s="255"/>
      <c r="T14004" s="255"/>
    </row>
    <row r="14005" spans="18:20" x14ac:dyDescent="0.3">
      <c r="R14005" s="255"/>
      <c r="S14005" s="255"/>
      <c r="T14005" s="255"/>
    </row>
    <row r="14006" spans="18:20" x14ac:dyDescent="0.3">
      <c r="R14006" s="255"/>
      <c r="S14006" s="255"/>
      <c r="T14006" s="255"/>
    </row>
    <row r="14007" spans="18:20" x14ac:dyDescent="0.3">
      <c r="R14007" s="255"/>
      <c r="S14007" s="255"/>
      <c r="T14007" s="255"/>
    </row>
    <row r="14008" spans="18:20" x14ac:dyDescent="0.3">
      <c r="R14008" s="255"/>
      <c r="S14008" s="255"/>
      <c r="T14008" s="255"/>
    </row>
    <row r="14009" spans="18:20" x14ac:dyDescent="0.3">
      <c r="R14009" s="255"/>
      <c r="S14009" s="255"/>
      <c r="T14009" s="255"/>
    </row>
    <row r="14010" spans="18:20" x14ac:dyDescent="0.3">
      <c r="R14010" s="255"/>
      <c r="S14010" s="255"/>
      <c r="T14010" s="255"/>
    </row>
    <row r="14011" spans="18:20" x14ac:dyDescent="0.3">
      <c r="R14011" s="255"/>
      <c r="S14011" s="255"/>
      <c r="T14011" s="255"/>
    </row>
    <row r="14012" spans="18:20" x14ac:dyDescent="0.3">
      <c r="R14012" s="255"/>
      <c r="S14012" s="255"/>
      <c r="T14012" s="255"/>
    </row>
    <row r="14013" spans="18:20" x14ac:dyDescent="0.3">
      <c r="R14013" s="255"/>
      <c r="S14013" s="255"/>
      <c r="T14013" s="255"/>
    </row>
    <row r="14014" spans="18:20" x14ac:dyDescent="0.3">
      <c r="R14014" s="255"/>
      <c r="S14014" s="255"/>
      <c r="T14014" s="255"/>
    </row>
    <row r="14015" spans="18:20" x14ac:dyDescent="0.3">
      <c r="R14015" s="255"/>
      <c r="S14015" s="255"/>
      <c r="T14015" s="255"/>
    </row>
    <row r="14016" spans="18:20" x14ac:dyDescent="0.3">
      <c r="R14016" s="255"/>
      <c r="S14016" s="255"/>
      <c r="T14016" s="255"/>
    </row>
    <row r="14017" spans="18:20" x14ac:dyDescent="0.3">
      <c r="R14017" s="255"/>
      <c r="S14017" s="255"/>
      <c r="T14017" s="255"/>
    </row>
    <row r="14018" spans="18:20" x14ac:dyDescent="0.3">
      <c r="R14018" s="255"/>
      <c r="S14018" s="255"/>
      <c r="T14018" s="255"/>
    </row>
    <row r="14019" spans="18:20" x14ac:dyDescent="0.3">
      <c r="R14019" s="255"/>
      <c r="S14019" s="255"/>
      <c r="T14019" s="255"/>
    </row>
    <row r="14020" spans="18:20" x14ac:dyDescent="0.3">
      <c r="R14020" s="255"/>
      <c r="S14020" s="255"/>
      <c r="T14020" s="255"/>
    </row>
    <row r="14021" spans="18:20" x14ac:dyDescent="0.3">
      <c r="R14021" s="255"/>
      <c r="S14021" s="255"/>
      <c r="T14021" s="255"/>
    </row>
    <row r="14022" spans="18:20" x14ac:dyDescent="0.3">
      <c r="R14022" s="255"/>
      <c r="S14022" s="255"/>
      <c r="T14022" s="255"/>
    </row>
    <row r="14023" spans="18:20" x14ac:dyDescent="0.3">
      <c r="R14023" s="255"/>
      <c r="S14023" s="255"/>
      <c r="T14023" s="255"/>
    </row>
    <row r="14024" spans="18:20" x14ac:dyDescent="0.3">
      <c r="R14024" s="255"/>
      <c r="S14024" s="255"/>
      <c r="T14024" s="255"/>
    </row>
    <row r="14025" spans="18:20" x14ac:dyDescent="0.3">
      <c r="R14025" s="255"/>
      <c r="S14025" s="255"/>
      <c r="T14025" s="255"/>
    </row>
    <row r="14026" spans="18:20" x14ac:dyDescent="0.3">
      <c r="R14026" s="255"/>
      <c r="S14026" s="255"/>
      <c r="T14026" s="255"/>
    </row>
    <row r="14027" spans="18:20" x14ac:dyDescent="0.3">
      <c r="R14027" s="255"/>
      <c r="S14027" s="255"/>
      <c r="T14027" s="255"/>
    </row>
    <row r="14028" spans="18:20" x14ac:dyDescent="0.3">
      <c r="R14028" s="255"/>
      <c r="S14028" s="255"/>
      <c r="T14028" s="255"/>
    </row>
    <row r="14029" spans="18:20" x14ac:dyDescent="0.3">
      <c r="R14029" s="255"/>
      <c r="S14029" s="255"/>
      <c r="T14029" s="255"/>
    </row>
    <row r="14030" spans="18:20" x14ac:dyDescent="0.3">
      <c r="R14030" s="255"/>
      <c r="S14030" s="255"/>
      <c r="T14030" s="255"/>
    </row>
    <row r="14031" spans="18:20" x14ac:dyDescent="0.3">
      <c r="R14031" s="255"/>
      <c r="S14031" s="255"/>
      <c r="T14031" s="255"/>
    </row>
    <row r="14032" spans="18:20" x14ac:dyDescent="0.3">
      <c r="R14032" s="255"/>
      <c r="S14032" s="255"/>
      <c r="T14032" s="255"/>
    </row>
    <row r="14033" spans="18:20" x14ac:dyDescent="0.3">
      <c r="R14033" s="255"/>
      <c r="S14033" s="255"/>
      <c r="T14033" s="255"/>
    </row>
    <row r="14034" spans="18:20" x14ac:dyDescent="0.3">
      <c r="R14034" s="255"/>
      <c r="S14034" s="255"/>
      <c r="T14034" s="255"/>
    </row>
    <row r="14035" spans="18:20" x14ac:dyDescent="0.3">
      <c r="R14035" s="255"/>
      <c r="S14035" s="255"/>
      <c r="T14035" s="255"/>
    </row>
    <row r="14036" spans="18:20" x14ac:dyDescent="0.3">
      <c r="R14036" s="255"/>
      <c r="S14036" s="255"/>
      <c r="T14036" s="255"/>
    </row>
    <row r="14037" spans="18:20" x14ac:dyDescent="0.3">
      <c r="R14037" s="255"/>
      <c r="S14037" s="255"/>
      <c r="T14037" s="255"/>
    </row>
    <row r="14038" spans="18:20" x14ac:dyDescent="0.3">
      <c r="R14038" s="255"/>
      <c r="S14038" s="255"/>
      <c r="T14038" s="255"/>
    </row>
    <row r="14039" spans="18:20" x14ac:dyDescent="0.3">
      <c r="R14039" s="255"/>
      <c r="S14039" s="255"/>
      <c r="T14039" s="255"/>
    </row>
    <row r="14040" spans="18:20" x14ac:dyDescent="0.3">
      <c r="R14040" s="255"/>
      <c r="S14040" s="255"/>
      <c r="T14040" s="255"/>
    </row>
    <row r="14041" spans="18:20" x14ac:dyDescent="0.3">
      <c r="R14041" s="255"/>
      <c r="S14041" s="255"/>
      <c r="T14041" s="255"/>
    </row>
    <row r="14042" spans="18:20" x14ac:dyDescent="0.3">
      <c r="R14042" s="255"/>
      <c r="S14042" s="255"/>
      <c r="T14042" s="255"/>
    </row>
    <row r="14043" spans="18:20" x14ac:dyDescent="0.3">
      <c r="R14043" s="255"/>
      <c r="S14043" s="255"/>
      <c r="T14043" s="255"/>
    </row>
    <row r="14044" spans="18:20" x14ac:dyDescent="0.3">
      <c r="R14044" s="255"/>
      <c r="S14044" s="255"/>
      <c r="T14044" s="255"/>
    </row>
    <row r="14045" spans="18:20" x14ac:dyDescent="0.3">
      <c r="R14045" s="255"/>
      <c r="S14045" s="255"/>
      <c r="T14045" s="255"/>
    </row>
    <row r="14046" spans="18:20" x14ac:dyDescent="0.3">
      <c r="R14046" s="255"/>
      <c r="S14046" s="255"/>
      <c r="T14046" s="255"/>
    </row>
    <row r="14047" spans="18:20" x14ac:dyDescent="0.3">
      <c r="R14047" s="255"/>
      <c r="S14047" s="255"/>
      <c r="T14047" s="255"/>
    </row>
    <row r="14048" spans="18:20" x14ac:dyDescent="0.3">
      <c r="R14048" s="255"/>
      <c r="S14048" s="255"/>
      <c r="T14048" s="255"/>
    </row>
    <row r="14049" spans="18:20" x14ac:dyDescent="0.3">
      <c r="R14049" s="255"/>
      <c r="S14049" s="255"/>
      <c r="T14049" s="255"/>
    </row>
    <row r="14050" spans="18:20" x14ac:dyDescent="0.3">
      <c r="R14050" s="255"/>
      <c r="S14050" s="255"/>
      <c r="T14050" s="255"/>
    </row>
    <row r="14051" spans="18:20" x14ac:dyDescent="0.3">
      <c r="R14051" s="255"/>
      <c r="S14051" s="255"/>
      <c r="T14051" s="255"/>
    </row>
    <row r="14052" spans="18:20" x14ac:dyDescent="0.3">
      <c r="R14052" s="255"/>
      <c r="S14052" s="255"/>
      <c r="T14052" s="255"/>
    </row>
    <row r="14053" spans="18:20" x14ac:dyDescent="0.3">
      <c r="R14053" s="255"/>
      <c r="S14053" s="255"/>
      <c r="T14053" s="255"/>
    </row>
    <row r="14054" spans="18:20" x14ac:dyDescent="0.3">
      <c r="R14054" s="255"/>
      <c r="S14054" s="255"/>
      <c r="T14054" s="255"/>
    </row>
    <row r="14055" spans="18:20" x14ac:dyDescent="0.3">
      <c r="R14055" s="255"/>
      <c r="S14055" s="255"/>
      <c r="T14055" s="255"/>
    </row>
    <row r="14056" spans="18:20" x14ac:dyDescent="0.3">
      <c r="R14056" s="255"/>
      <c r="S14056" s="255"/>
      <c r="T14056" s="255"/>
    </row>
    <row r="14057" spans="18:20" x14ac:dyDescent="0.3">
      <c r="R14057" s="255"/>
      <c r="S14057" s="255"/>
      <c r="T14057" s="255"/>
    </row>
    <row r="14058" spans="18:20" x14ac:dyDescent="0.3">
      <c r="R14058" s="255"/>
      <c r="S14058" s="255"/>
      <c r="T14058" s="255"/>
    </row>
    <row r="14059" spans="18:20" x14ac:dyDescent="0.3">
      <c r="R14059" s="255"/>
      <c r="S14059" s="255"/>
      <c r="T14059" s="255"/>
    </row>
    <row r="14060" spans="18:20" x14ac:dyDescent="0.3">
      <c r="R14060" s="255"/>
      <c r="S14060" s="255"/>
      <c r="T14060" s="255"/>
    </row>
    <row r="14061" spans="18:20" x14ac:dyDescent="0.3">
      <c r="R14061" s="255"/>
      <c r="S14061" s="255"/>
      <c r="T14061" s="255"/>
    </row>
    <row r="14062" spans="18:20" x14ac:dyDescent="0.3">
      <c r="R14062" s="255"/>
      <c r="S14062" s="255"/>
      <c r="T14062" s="255"/>
    </row>
    <row r="14063" spans="18:20" x14ac:dyDescent="0.3">
      <c r="R14063" s="255"/>
      <c r="S14063" s="255"/>
      <c r="T14063" s="255"/>
    </row>
    <row r="14064" spans="18:20" x14ac:dyDescent="0.3">
      <c r="R14064" s="255"/>
      <c r="S14064" s="255"/>
      <c r="T14064" s="255"/>
    </row>
    <row r="14065" spans="18:20" x14ac:dyDescent="0.3">
      <c r="R14065" s="255"/>
      <c r="S14065" s="255"/>
      <c r="T14065" s="255"/>
    </row>
    <row r="14066" spans="18:20" x14ac:dyDescent="0.3">
      <c r="R14066" s="255"/>
      <c r="S14066" s="255"/>
      <c r="T14066" s="255"/>
    </row>
    <row r="14067" spans="18:20" x14ac:dyDescent="0.3">
      <c r="R14067" s="255"/>
      <c r="S14067" s="255"/>
      <c r="T14067" s="255"/>
    </row>
    <row r="14068" spans="18:20" x14ac:dyDescent="0.3">
      <c r="R14068" s="255"/>
      <c r="S14068" s="255"/>
      <c r="T14068" s="255"/>
    </row>
    <row r="14069" spans="18:20" x14ac:dyDescent="0.3">
      <c r="R14069" s="255"/>
      <c r="S14069" s="255"/>
      <c r="T14069" s="255"/>
    </row>
    <row r="14070" spans="18:20" x14ac:dyDescent="0.3">
      <c r="R14070" s="255"/>
      <c r="S14070" s="255"/>
      <c r="T14070" s="255"/>
    </row>
    <row r="14071" spans="18:20" x14ac:dyDescent="0.3">
      <c r="R14071" s="255"/>
      <c r="S14071" s="255"/>
      <c r="T14071" s="255"/>
    </row>
    <row r="14072" spans="18:20" x14ac:dyDescent="0.3">
      <c r="R14072" s="255"/>
      <c r="S14072" s="255"/>
      <c r="T14072" s="255"/>
    </row>
    <row r="14073" spans="18:20" x14ac:dyDescent="0.3">
      <c r="R14073" s="255"/>
      <c r="S14073" s="255"/>
      <c r="T14073" s="255"/>
    </row>
    <row r="14074" spans="18:20" x14ac:dyDescent="0.3">
      <c r="R14074" s="255"/>
      <c r="S14074" s="255"/>
      <c r="T14074" s="255"/>
    </row>
    <row r="14075" spans="18:20" x14ac:dyDescent="0.3">
      <c r="R14075" s="255"/>
      <c r="S14075" s="255"/>
      <c r="T14075" s="255"/>
    </row>
    <row r="14076" spans="18:20" x14ac:dyDescent="0.3">
      <c r="R14076" s="255"/>
      <c r="S14076" s="255"/>
      <c r="T14076" s="255"/>
    </row>
    <row r="14077" spans="18:20" x14ac:dyDescent="0.3">
      <c r="R14077" s="255"/>
      <c r="S14077" s="255"/>
      <c r="T14077" s="255"/>
    </row>
    <row r="14078" spans="18:20" x14ac:dyDescent="0.3">
      <c r="R14078" s="255"/>
      <c r="S14078" s="255"/>
      <c r="T14078" s="255"/>
    </row>
    <row r="14079" spans="18:20" x14ac:dyDescent="0.3">
      <c r="R14079" s="255"/>
      <c r="S14079" s="255"/>
      <c r="T14079" s="255"/>
    </row>
    <row r="14080" spans="18:20" x14ac:dyDescent="0.3">
      <c r="R14080" s="255"/>
      <c r="S14080" s="255"/>
      <c r="T14080" s="255"/>
    </row>
    <row r="14081" spans="18:20" x14ac:dyDescent="0.3">
      <c r="R14081" s="255"/>
      <c r="S14081" s="255"/>
      <c r="T14081" s="255"/>
    </row>
    <row r="14082" spans="18:20" x14ac:dyDescent="0.3">
      <c r="R14082" s="255"/>
      <c r="S14082" s="255"/>
      <c r="T14082" s="255"/>
    </row>
    <row r="14083" spans="18:20" x14ac:dyDescent="0.3">
      <c r="R14083" s="255"/>
      <c r="S14083" s="255"/>
      <c r="T14083" s="255"/>
    </row>
    <row r="14084" spans="18:20" x14ac:dyDescent="0.3">
      <c r="R14084" s="255"/>
      <c r="S14084" s="255"/>
      <c r="T14084" s="255"/>
    </row>
    <row r="14085" spans="18:20" x14ac:dyDescent="0.3">
      <c r="R14085" s="255"/>
      <c r="S14085" s="255"/>
      <c r="T14085" s="255"/>
    </row>
    <row r="14086" spans="18:20" x14ac:dyDescent="0.3">
      <c r="R14086" s="255"/>
      <c r="S14086" s="255"/>
      <c r="T14086" s="255"/>
    </row>
    <row r="14087" spans="18:20" x14ac:dyDescent="0.3">
      <c r="R14087" s="255"/>
      <c r="S14087" s="255"/>
      <c r="T14087" s="255"/>
    </row>
    <row r="14088" spans="18:20" x14ac:dyDescent="0.3">
      <c r="R14088" s="255"/>
      <c r="S14088" s="255"/>
      <c r="T14088" s="255"/>
    </row>
    <row r="14089" spans="18:20" x14ac:dyDescent="0.3">
      <c r="R14089" s="255"/>
      <c r="S14089" s="255"/>
      <c r="T14089" s="255"/>
    </row>
    <row r="14090" spans="18:20" x14ac:dyDescent="0.3">
      <c r="R14090" s="255"/>
      <c r="S14090" s="255"/>
      <c r="T14090" s="255"/>
    </row>
    <row r="14091" spans="18:20" x14ac:dyDescent="0.3">
      <c r="R14091" s="255"/>
      <c r="S14091" s="255"/>
      <c r="T14091" s="255"/>
    </row>
    <row r="14092" spans="18:20" x14ac:dyDescent="0.3">
      <c r="R14092" s="255"/>
      <c r="S14092" s="255"/>
      <c r="T14092" s="255"/>
    </row>
    <row r="14093" spans="18:20" x14ac:dyDescent="0.3">
      <c r="R14093" s="255"/>
      <c r="S14093" s="255"/>
      <c r="T14093" s="255"/>
    </row>
    <row r="14094" spans="18:20" x14ac:dyDescent="0.3">
      <c r="R14094" s="255"/>
      <c r="S14094" s="255"/>
      <c r="T14094" s="255"/>
    </row>
    <row r="14095" spans="18:20" x14ac:dyDescent="0.3">
      <c r="R14095" s="255"/>
      <c r="S14095" s="255"/>
      <c r="T14095" s="255"/>
    </row>
    <row r="14096" spans="18:20" x14ac:dyDescent="0.3">
      <c r="R14096" s="255"/>
      <c r="S14096" s="255"/>
      <c r="T14096" s="255"/>
    </row>
    <row r="14097" spans="18:20" x14ac:dyDescent="0.3">
      <c r="R14097" s="255"/>
      <c r="S14097" s="255"/>
      <c r="T14097" s="255"/>
    </row>
    <row r="14098" spans="18:20" x14ac:dyDescent="0.3">
      <c r="R14098" s="255"/>
      <c r="S14098" s="255"/>
      <c r="T14098" s="255"/>
    </row>
    <row r="14099" spans="18:20" x14ac:dyDescent="0.3">
      <c r="R14099" s="255"/>
      <c r="S14099" s="255"/>
      <c r="T14099" s="255"/>
    </row>
    <row r="14100" spans="18:20" x14ac:dyDescent="0.3">
      <c r="R14100" s="255"/>
      <c r="S14100" s="255"/>
      <c r="T14100" s="255"/>
    </row>
    <row r="14101" spans="18:20" x14ac:dyDescent="0.3">
      <c r="R14101" s="255"/>
      <c r="S14101" s="255"/>
      <c r="T14101" s="255"/>
    </row>
    <row r="14102" spans="18:20" x14ac:dyDescent="0.3">
      <c r="R14102" s="255"/>
      <c r="S14102" s="255"/>
      <c r="T14102" s="255"/>
    </row>
    <row r="14103" spans="18:20" x14ac:dyDescent="0.3">
      <c r="R14103" s="255"/>
      <c r="S14103" s="255"/>
      <c r="T14103" s="255"/>
    </row>
    <row r="14104" spans="18:20" x14ac:dyDescent="0.3">
      <c r="R14104" s="255"/>
      <c r="S14104" s="255"/>
      <c r="T14104" s="255"/>
    </row>
    <row r="14105" spans="18:20" x14ac:dyDescent="0.3">
      <c r="R14105" s="255"/>
      <c r="S14105" s="255"/>
      <c r="T14105" s="255"/>
    </row>
    <row r="14106" spans="18:20" x14ac:dyDescent="0.3">
      <c r="R14106" s="255"/>
      <c r="S14106" s="255"/>
      <c r="T14106" s="255"/>
    </row>
    <row r="14107" spans="18:20" x14ac:dyDescent="0.3">
      <c r="R14107" s="255"/>
      <c r="S14107" s="255"/>
      <c r="T14107" s="255"/>
    </row>
    <row r="14108" spans="18:20" x14ac:dyDescent="0.3">
      <c r="R14108" s="255"/>
      <c r="S14108" s="255"/>
      <c r="T14108" s="255"/>
    </row>
    <row r="14109" spans="18:20" x14ac:dyDescent="0.3">
      <c r="R14109" s="255"/>
      <c r="S14109" s="255"/>
      <c r="T14109" s="255"/>
    </row>
    <row r="14110" spans="18:20" x14ac:dyDescent="0.3">
      <c r="R14110" s="255"/>
      <c r="S14110" s="255"/>
      <c r="T14110" s="255"/>
    </row>
    <row r="14111" spans="18:20" x14ac:dyDescent="0.3">
      <c r="R14111" s="255"/>
      <c r="S14111" s="255"/>
      <c r="T14111" s="255"/>
    </row>
    <row r="14112" spans="18:20" x14ac:dyDescent="0.3">
      <c r="R14112" s="255"/>
      <c r="S14112" s="255"/>
      <c r="T14112" s="255"/>
    </row>
    <row r="14113" spans="18:20" x14ac:dyDescent="0.3">
      <c r="R14113" s="255"/>
      <c r="S14113" s="255"/>
      <c r="T14113" s="255"/>
    </row>
    <row r="14114" spans="18:20" x14ac:dyDescent="0.3">
      <c r="R14114" s="255"/>
      <c r="S14114" s="255"/>
      <c r="T14114" s="255"/>
    </row>
    <row r="14115" spans="18:20" x14ac:dyDescent="0.3">
      <c r="R14115" s="255"/>
      <c r="S14115" s="255"/>
      <c r="T14115" s="255"/>
    </row>
    <row r="14116" spans="18:20" x14ac:dyDescent="0.3">
      <c r="R14116" s="255"/>
      <c r="S14116" s="255"/>
      <c r="T14116" s="255"/>
    </row>
    <row r="14117" spans="18:20" x14ac:dyDescent="0.3">
      <c r="R14117" s="255"/>
      <c r="S14117" s="255"/>
      <c r="T14117" s="255"/>
    </row>
    <row r="14118" spans="18:20" x14ac:dyDescent="0.3">
      <c r="R14118" s="255"/>
      <c r="S14118" s="255"/>
      <c r="T14118" s="255"/>
    </row>
    <row r="14119" spans="18:20" x14ac:dyDescent="0.3">
      <c r="R14119" s="255"/>
      <c r="S14119" s="255"/>
      <c r="T14119" s="255"/>
    </row>
    <row r="14120" spans="18:20" x14ac:dyDescent="0.3">
      <c r="R14120" s="255"/>
      <c r="S14120" s="255"/>
      <c r="T14120" s="255"/>
    </row>
    <row r="14121" spans="18:20" x14ac:dyDescent="0.3">
      <c r="R14121" s="255"/>
      <c r="S14121" s="255"/>
      <c r="T14121" s="255"/>
    </row>
    <row r="14122" spans="18:20" x14ac:dyDescent="0.3">
      <c r="R14122" s="255"/>
      <c r="S14122" s="255"/>
      <c r="T14122" s="255"/>
    </row>
    <row r="14123" spans="18:20" x14ac:dyDescent="0.3">
      <c r="R14123" s="255"/>
      <c r="S14123" s="255"/>
      <c r="T14123" s="255"/>
    </row>
    <row r="14124" spans="18:20" x14ac:dyDescent="0.3">
      <c r="R14124" s="255"/>
      <c r="S14124" s="255"/>
      <c r="T14124" s="255"/>
    </row>
    <row r="14125" spans="18:20" x14ac:dyDescent="0.3">
      <c r="R14125" s="255"/>
      <c r="S14125" s="255"/>
      <c r="T14125" s="255"/>
    </row>
    <row r="14126" spans="18:20" x14ac:dyDescent="0.3">
      <c r="R14126" s="255"/>
      <c r="S14126" s="255"/>
      <c r="T14126" s="255"/>
    </row>
    <row r="14127" spans="18:20" x14ac:dyDescent="0.3">
      <c r="R14127" s="255"/>
      <c r="S14127" s="255"/>
      <c r="T14127" s="255"/>
    </row>
    <row r="14128" spans="18:20" x14ac:dyDescent="0.3">
      <c r="R14128" s="255"/>
      <c r="S14128" s="255"/>
      <c r="T14128" s="255"/>
    </row>
    <row r="14129" spans="18:20" x14ac:dyDescent="0.3">
      <c r="R14129" s="255"/>
      <c r="S14129" s="255"/>
      <c r="T14129" s="255"/>
    </row>
    <row r="14130" spans="18:20" x14ac:dyDescent="0.3">
      <c r="R14130" s="255"/>
      <c r="S14130" s="255"/>
      <c r="T14130" s="255"/>
    </row>
    <row r="14131" spans="18:20" x14ac:dyDescent="0.3">
      <c r="R14131" s="255"/>
      <c r="S14131" s="255"/>
      <c r="T14131" s="255"/>
    </row>
    <row r="14132" spans="18:20" x14ac:dyDescent="0.3">
      <c r="R14132" s="255"/>
      <c r="S14132" s="255"/>
      <c r="T14132" s="255"/>
    </row>
    <row r="14133" spans="18:20" x14ac:dyDescent="0.3">
      <c r="R14133" s="255"/>
      <c r="S14133" s="255"/>
      <c r="T14133" s="255"/>
    </row>
    <row r="14134" spans="18:20" x14ac:dyDescent="0.3">
      <c r="R14134" s="255"/>
      <c r="S14134" s="255"/>
      <c r="T14134" s="255"/>
    </row>
    <row r="14135" spans="18:20" x14ac:dyDescent="0.3">
      <c r="R14135" s="255"/>
      <c r="S14135" s="255"/>
      <c r="T14135" s="255"/>
    </row>
    <row r="14136" spans="18:20" x14ac:dyDescent="0.3">
      <c r="R14136" s="255"/>
      <c r="S14136" s="255"/>
      <c r="T14136" s="255"/>
    </row>
    <row r="14137" spans="18:20" x14ac:dyDescent="0.3">
      <c r="R14137" s="255"/>
      <c r="S14137" s="255"/>
      <c r="T14137" s="255"/>
    </row>
    <row r="14138" spans="18:20" x14ac:dyDescent="0.3">
      <c r="R14138" s="255"/>
      <c r="S14138" s="255"/>
      <c r="T14138" s="255"/>
    </row>
    <row r="14139" spans="18:20" x14ac:dyDescent="0.3">
      <c r="R14139" s="255"/>
      <c r="S14139" s="255"/>
      <c r="T14139" s="255"/>
    </row>
    <row r="14140" spans="18:20" x14ac:dyDescent="0.3">
      <c r="R14140" s="255"/>
      <c r="S14140" s="255"/>
      <c r="T14140" s="255"/>
    </row>
    <row r="14141" spans="18:20" x14ac:dyDescent="0.3">
      <c r="R14141" s="255"/>
      <c r="S14141" s="255"/>
      <c r="T14141" s="255"/>
    </row>
    <row r="14142" spans="18:20" x14ac:dyDescent="0.3">
      <c r="R14142" s="255"/>
      <c r="S14142" s="255"/>
      <c r="T14142" s="255"/>
    </row>
    <row r="14143" spans="18:20" x14ac:dyDescent="0.3">
      <c r="R14143" s="255"/>
      <c r="S14143" s="255"/>
      <c r="T14143" s="255"/>
    </row>
    <row r="14144" spans="18:20" x14ac:dyDescent="0.3">
      <c r="R14144" s="255"/>
      <c r="S14144" s="255"/>
      <c r="T14144" s="255"/>
    </row>
    <row r="14145" spans="18:20" x14ac:dyDescent="0.3">
      <c r="R14145" s="255"/>
      <c r="S14145" s="255"/>
      <c r="T14145" s="255"/>
    </row>
    <row r="14146" spans="18:20" x14ac:dyDescent="0.3">
      <c r="R14146" s="255"/>
      <c r="S14146" s="255"/>
      <c r="T14146" s="255"/>
    </row>
    <row r="14147" spans="18:20" x14ac:dyDescent="0.3">
      <c r="R14147" s="255"/>
      <c r="S14147" s="255"/>
      <c r="T14147" s="255"/>
    </row>
    <row r="14148" spans="18:20" x14ac:dyDescent="0.3">
      <c r="R14148" s="255"/>
      <c r="S14148" s="255"/>
      <c r="T14148" s="255"/>
    </row>
    <row r="14149" spans="18:20" x14ac:dyDescent="0.3">
      <c r="R14149" s="255"/>
      <c r="S14149" s="255"/>
      <c r="T14149" s="255"/>
    </row>
    <row r="14150" spans="18:20" x14ac:dyDescent="0.3">
      <c r="R14150" s="255"/>
      <c r="S14150" s="255"/>
      <c r="T14150" s="255"/>
    </row>
    <row r="14151" spans="18:20" x14ac:dyDescent="0.3">
      <c r="R14151" s="255"/>
      <c r="S14151" s="255"/>
      <c r="T14151" s="255"/>
    </row>
    <row r="14152" spans="18:20" x14ac:dyDescent="0.3">
      <c r="R14152" s="255"/>
      <c r="S14152" s="255"/>
      <c r="T14152" s="255"/>
    </row>
    <row r="14153" spans="18:20" x14ac:dyDescent="0.3">
      <c r="R14153" s="255"/>
      <c r="S14153" s="255"/>
      <c r="T14153" s="255"/>
    </row>
    <row r="14154" spans="18:20" x14ac:dyDescent="0.3">
      <c r="R14154" s="255"/>
      <c r="S14154" s="255"/>
      <c r="T14154" s="255"/>
    </row>
    <row r="14155" spans="18:20" x14ac:dyDescent="0.3">
      <c r="R14155" s="255"/>
      <c r="S14155" s="255"/>
      <c r="T14155" s="255"/>
    </row>
    <row r="14156" spans="18:20" x14ac:dyDescent="0.3">
      <c r="R14156" s="255"/>
      <c r="S14156" s="255"/>
      <c r="T14156" s="255"/>
    </row>
    <row r="14157" spans="18:20" x14ac:dyDescent="0.3">
      <c r="R14157" s="255"/>
      <c r="S14157" s="255"/>
      <c r="T14157" s="255"/>
    </row>
    <row r="14158" spans="18:20" x14ac:dyDescent="0.3">
      <c r="R14158" s="255"/>
      <c r="S14158" s="255"/>
      <c r="T14158" s="255"/>
    </row>
    <row r="14159" spans="18:20" x14ac:dyDescent="0.3">
      <c r="R14159" s="255"/>
      <c r="S14159" s="255"/>
      <c r="T14159" s="255"/>
    </row>
    <row r="14160" spans="18:20" x14ac:dyDescent="0.3">
      <c r="R14160" s="255"/>
      <c r="S14160" s="255"/>
      <c r="T14160" s="255"/>
    </row>
    <row r="14161" spans="18:20" x14ac:dyDescent="0.3">
      <c r="R14161" s="255"/>
      <c r="S14161" s="255"/>
      <c r="T14161" s="255"/>
    </row>
    <row r="14162" spans="18:20" x14ac:dyDescent="0.3">
      <c r="R14162" s="255"/>
      <c r="S14162" s="255"/>
      <c r="T14162" s="255"/>
    </row>
    <row r="14163" spans="18:20" x14ac:dyDescent="0.3">
      <c r="R14163" s="255"/>
      <c r="S14163" s="255"/>
      <c r="T14163" s="255"/>
    </row>
    <row r="14164" spans="18:20" x14ac:dyDescent="0.3">
      <c r="R14164" s="255"/>
      <c r="S14164" s="255"/>
      <c r="T14164" s="255"/>
    </row>
    <row r="14165" spans="18:20" x14ac:dyDescent="0.3">
      <c r="R14165" s="255"/>
      <c r="S14165" s="255"/>
      <c r="T14165" s="255"/>
    </row>
    <row r="14166" spans="18:20" x14ac:dyDescent="0.3">
      <c r="R14166" s="255"/>
      <c r="S14166" s="255"/>
      <c r="T14166" s="255"/>
    </row>
    <row r="14167" spans="18:20" x14ac:dyDescent="0.3">
      <c r="R14167" s="255"/>
      <c r="S14167" s="255"/>
      <c r="T14167" s="255"/>
    </row>
    <row r="14168" spans="18:20" x14ac:dyDescent="0.3">
      <c r="R14168" s="255"/>
      <c r="S14168" s="255"/>
      <c r="T14168" s="255"/>
    </row>
    <row r="14169" spans="18:20" x14ac:dyDescent="0.3">
      <c r="R14169" s="255"/>
      <c r="S14169" s="255"/>
      <c r="T14169" s="255"/>
    </row>
    <row r="14170" spans="18:20" x14ac:dyDescent="0.3">
      <c r="R14170" s="255"/>
      <c r="S14170" s="255"/>
      <c r="T14170" s="255"/>
    </row>
    <row r="14171" spans="18:20" x14ac:dyDescent="0.3">
      <c r="R14171" s="255"/>
      <c r="S14171" s="255"/>
      <c r="T14171" s="255"/>
    </row>
    <row r="14172" spans="18:20" x14ac:dyDescent="0.3">
      <c r="R14172" s="255"/>
      <c r="S14172" s="255"/>
      <c r="T14172" s="255"/>
    </row>
    <row r="14173" spans="18:20" x14ac:dyDescent="0.3">
      <c r="R14173" s="255"/>
      <c r="S14173" s="255"/>
      <c r="T14173" s="255"/>
    </row>
    <row r="14174" spans="18:20" x14ac:dyDescent="0.3">
      <c r="R14174" s="255"/>
      <c r="S14174" s="255"/>
      <c r="T14174" s="255"/>
    </row>
    <row r="14175" spans="18:20" x14ac:dyDescent="0.3">
      <c r="R14175" s="255"/>
      <c r="S14175" s="255"/>
      <c r="T14175" s="255"/>
    </row>
    <row r="14176" spans="18:20" x14ac:dyDescent="0.3">
      <c r="R14176" s="255"/>
      <c r="S14176" s="255"/>
      <c r="T14176" s="255"/>
    </row>
    <row r="14177" spans="18:20" x14ac:dyDescent="0.3">
      <c r="R14177" s="255"/>
      <c r="S14177" s="255"/>
      <c r="T14177" s="255"/>
    </row>
    <row r="14178" spans="18:20" x14ac:dyDescent="0.3">
      <c r="R14178" s="255"/>
      <c r="S14178" s="255"/>
      <c r="T14178" s="255"/>
    </row>
    <row r="14179" spans="18:20" x14ac:dyDescent="0.3">
      <c r="R14179" s="255"/>
      <c r="S14179" s="255"/>
      <c r="T14179" s="255"/>
    </row>
    <row r="14180" spans="18:20" x14ac:dyDescent="0.3">
      <c r="R14180" s="255"/>
      <c r="S14180" s="255"/>
      <c r="T14180" s="255"/>
    </row>
    <row r="14181" spans="18:20" x14ac:dyDescent="0.3">
      <c r="R14181" s="255"/>
      <c r="S14181" s="255"/>
      <c r="T14181" s="255"/>
    </row>
    <row r="14182" spans="18:20" x14ac:dyDescent="0.3">
      <c r="R14182" s="255"/>
      <c r="S14182" s="255"/>
      <c r="T14182" s="255"/>
    </row>
    <row r="14183" spans="18:20" x14ac:dyDescent="0.3">
      <c r="R14183" s="255"/>
      <c r="S14183" s="255"/>
      <c r="T14183" s="255"/>
    </row>
    <row r="14184" spans="18:20" x14ac:dyDescent="0.3">
      <c r="R14184" s="255"/>
      <c r="S14184" s="255"/>
      <c r="T14184" s="255"/>
    </row>
    <row r="14185" spans="18:20" x14ac:dyDescent="0.3">
      <c r="R14185" s="255"/>
      <c r="S14185" s="255"/>
      <c r="T14185" s="255"/>
    </row>
    <row r="14186" spans="18:20" x14ac:dyDescent="0.3">
      <c r="R14186" s="255"/>
      <c r="S14186" s="255"/>
      <c r="T14186" s="255"/>
    </row>
    <row r="14187" spans="18:20" x14ac:dyDescent="0.3">
      <c r="R14187" s="255"/>
      <c r="S14187" s="255"/>
      <c r="T14187" s="255"/>
    </row>
    <row r="14188" spans="18:20" x14ac:dyDescent="0.3">
      <c r="R14188" s="255"/>
      <c r="S14188" s="255"/>
      <c r="T14188" s="255"/>
    </row>
    <row r="14189" spans="18:20" x14ac:dyDescent="0.3">
      <c r="R14189" s="255"/>
      <c r="S14189" s="255"/>
      <c r="T14189" s="255"/>
    </row>
    <row r="14190" spans="18:20" x14ac:dyDescent="0.3">
      <c r="R14190" s="255"/>
      <c r="S14190" s="255"/>
      <c r="T14190" s="255"/>
    </row>
    <row r="14191" spans="18:20" x14ac:dyDescent="0.3">
      <c r="R14191" s="255"/>
      <c r="S14191" s="255"/>
      <c r="T14191" s="255"/>
    </row>
    <row r="14192" spans="18:20" x14ac:dyDescent="0.3">
      <c r="R14192" s="255"/>
      <c r="S14192" s="255"/>
      <c r="T14192" s="255"/>
    </row>
    <row r="14193" spans="18:20" x14ac:dyDescent="0.3">
      <c r="R14193" s="255"/>
      <c r="S14193" s="255"/>
      <c r="T14193" s="255"/>
    </row>
    <row r="14194" spans="18:20" x14ac:dyDescent="0.3">
      <c r="R14194" s="255"/>
      <c r="S14194" s="255"/>
      <c r="T14194" s="255"/>
    </row>
    <row r="14195" spans="18:20" x14ac:dyDescent="0.3">
      <c r="R14195" s="255"/>
      <c r="S14195" s="255"/>
      <c r="T14195" s="255"/>
    </row>
    <row r="14196" spans="18:20" x14ac:dyDescent="0.3">
      <c r="R14196" s="255"/>
      <c r="S14196" s="255"/>
      <c r="T14196" s="255"/>
    </row>
    <row r="14197" spans="18:20" x14ac:dyDescent="0.3">
      <c r="R14197" s="255"/>
      <c r="S14197" s="255"/>
      <c r="T14197" s="255"/>
    </row>
    <row r="14198" spans="18:20" x14ac:dyDescent="0.3">
      <c r="R14198" s="255"/>
      <c r="S14198" s="255"/>
      <c r="T14198" s="255"/>
    </row>
    <row r="14199" spans="18:20" x14ac:dyDescent="0.3">
      <c r="R14199" s="255"/>
      <c r="S14199" s="255"/>
      <c r="T14199" s="255"/>
    </row>
    <row r="14200" spans="18:20" x14ac:dyDescent="0.3">
      <c r="R14200" s="255"/>
      <c r="S14200" s="255"/>
      <c r="T14200" s="255"/>
    </row>
    <row r="14201" spans="18:20" x14ac:dyDescent="0.3">
      <c r="R14201" s="255"/>
      <c r="S14201" s="255"/>
      <c r="T14201" s="255"/>
    </row>
    <row r="14202" spans="18:20" x14ac:dyDescent="0.3">
      <c r="R14202" s="255"/>
      <c r="S14202" s="255"/>
      <c r="T14202" s="255"/>
    </row>
    <row r="14203" spans="18:20" x14ac:dyDescent="0.3">
      <c r="R14203" s="255"/>
      <c r="S14203" s="255"/>
      <c r="T14203" s="255"/>
    </row>
    <row r="14204" spans="18:20" x14ac:dyDescent="0.3">
      <c r="R14204" s="255"/>
      <c r="S14204" s="255"/>
      <c r="T14204" s="255"/>
    </row>
    <row r="14205" spans="18:20" x14ac:dyDescent="0.3">
      <c r="R14205" s="255"/>
      <c r="S14205" s="255"/>
      <c r="T14205" s="255"/>
    </row>
    <row r="14206" spans="18:20" x14ac:dyDescent="0.3">
      <c r="R14206" s="255"/>
      <c r="S14206" s="255"/>
      <c r="T14206" s="255"/>
    </row>
    <row r="14207" spans="18:20" x14ac:dyDescent="0.3">
      <c r="R14207" s="255"/>
      <c r="S14207" s="255"/>
      <c r="T14207" s="255"/>
    </row>
    <row r="14208" spans="18:20" x14ac:dyDescent="0.3">
      <c r="R14208" s="255"/>
      <c r="S14208" s="255"/>
      <c r="T14208" s="255"/>
    </row>
    <row r="14209" spans="18:20" x14ac:dyDescent="0.3">
      <c r="R14209" s="255"/>
      <c r="S14209" s="255"/>
      <c r="T14209" s="255"/>
    </row>
    <row r="14210" spans="18:20" x14ac:dyDescent="0.3">
      <c r="R14210" s="255"/>
      <c r="S14210" s="255"/>
      <c r="T14210" s="255"/>
    </row>
    <row r="14211" spans="18:20" x14ac:dyDescent="0.3">
      <c r="R14211" s="255"/>
      <c r="S14211" s="255"/>
      <c r="T14211" s="255"/>
    </row>
    <row r="14212" spans="18:20" x14ac:dyDescent="0.3">
      <c r="R14212" s="255"/>
      <c r="S14212" s="255"/>
      <c r="T14212" s="255"/>
    </row>
    <row r="14213" spans="18:20" x14ac:dyDescent="0.3">
      <c r="R14213" s="255"/>
      <c r="S14213" s="255"/>
      <c r="T14213" s="255"/>
    </row>
    <row r="14214" spans="18:20" x14ac:dyDescent="0.3">
      <c r="R14214" s="255"/>
      <c r="S14214" s="255"/>
      <c r="T14214" s="255"/>
    </row>
    <row r="14215" spans="18:20" x14ac:dyDescent="0.3">
      <c r="R14215" s="255"/>
      <c r="S14215" s="255"/>
      <c r="T14215" s="255"/>
    </row>
    <row r="14216" spans="18:20" x14ac:dyDescent="0.3">
      <c r="R14216" s="255"/>
      <c r="S14216" s="255"/>
      <c r="T14216" s="255"/>
    </row>
    <row r="14217" spans="18:20" x14ac:dyDescent="0.3">
      <c r="R14217" s="255"/>
      <c r="S14217" s="255"/>
      <c r="T14217" s="255"/>
    </row>
    <row r="14218" spans="18:20" x14ac:dyDescent="0.3">
      <c r="R14218" s="255"/>
      <c r="S14218" s="255"/>
      <c r="T14218" s="255"/>
    </row>
    <row r="14219" spans="18:20" x14ac:dyDescent="0.3">
      <c r="R14219" s="255"/>
      <c r="S14219" s="255"/>
      <c r="T14219" s="255"/>
    </row>
    <row r="14220" spans="18:20" x14ac:dyDescent="0.3">
      <c r="R14220" s="255"/>
      <c r="S14220" s="255"/>
      <c r="T14220" s="255"/>
    </row>
    <row r="14221" spans="18:20" x14ac:dyDescent="0.3">
      <c r="R14221" s="255"/>
      <c r="S14221" s="255"/>
      <c r="T14221" s="255"/>
    </row>
    <row r="14222" spans="18:20" x14ac:dyDescent="0.3">
      <c r="R14222" s="255"/>
      <c r="S14222" s="255"/>
      <c r="T14222" s="255"/>
    </row>
    <row r="14223" spans="18:20" x14ac:dyDescent="0.3">
      <c r="R14223" s="255"/>
      <c r="S14223" s="255"/>
      <c r="T14223" s="255"/>
    </row>
    <row r="14224" spans="18:20" x14ac:dyDescent="0.3">
      <c r="R14224" s="255"/>
      <c r="S14224" s="255"/>
      <c r="T14224" s="255"/>
    </row>
    <row r="14225" spans="18:20" x14ac:dyDescent="0.3">
      <c r="R14225" s="255"/>
      <c r="S14225" s="255"/>
      <c r="T14225" s="255"/>
    </row>
    <row r="14226" spans="18:20" x14ac:dyDescent="0.3">
      <c r="R14226" s="255"/>
      <c r="S14226" s="255"/>
      <c r="T14226" s="255"/>
    </row>
    <row r="14227" spans="18:20" x14ac:dyDescent="0.3">
      <c r="R14227" s="255"/>
      <c r="S14227" s="255"/>
      <c r="T14227" s="255"/>
    </row>
    <row r="14228" spans="18:20" x14ac:dyDescent="0.3">
      <c r="R14228" s="255"/>
      <c r="S14228" s="255"/>
      <c r="T14228" s="255"/>
    </row>
    <row r="14229" spans="18:20" x14ac:dyDescent="0.3">
      <c r="R14229" s="255"/>
      <c r="S14229" s="255"/>
      <c r="T14229" s="255"/>
    </row>
    <row r="14230" spans="18:20" x14ac:dyDescent="0.3">
      <c r="R14230" s="255"/>
      <c r="S14230" s="255"/>
      <c r="T14230" s="255"/>
    </row>
    <row r="14231" spans="18:20" x14ac:dyDescent="0.3">
      <c r="R14231" s="255"/>
      <c r="S14231" s="255"/>
      <c r="T14231" s="255"/>
    </row>
    <row r="14232" spans="18:20" x14ac:dyDescent="0.3">
      <c r="R14232" s="255"/>
      <c r="S14232" s="255"/>
      <c r="T14232" s="255"/>
    </row>
    <row r="14233" spans="18:20" x14ac:dyDescent="0.3">
      <c r="R14233" s="255"/>
      <c r="S14233" s="255"/>
      <c r="T14233" s="255"/>
    </row>
    <row r="14234" spans="18:20" x14ac:dyDescent="0.3">
      <c r="R14234" s="255"/>
      <c r="S14234" s="255"/>
      <c r="T14234" s="255"/>
    </row>
    <row r="14235" spans="18:20" x14ac:dyDescent="0.3">
      <c r="R14235" s="255"/>
      <c r="S14235" s="255"/>
      <c r="T14235" s="255"/>
    </row>
    <row r="14236" spans="18:20" x14ac:dyDescent="0.3">
      <c r="R14236" s="255"/>
      <c r="S14236" s="255"/>
      <c r="T14236" s="255"/>
    </row>
    <row r="14237" spans="18:20" x14ac:dyDescent="0.3">
      <c r="R14237" s="255"/>
      <c r="S14237" s="255"/>
      <c r="T14237" s="255"/>
    </row>
    <row r="14238" spans="18:20" x14ac:dyDescent="0.3">
      <c r="R14238" s="255"/>
      <c r="S14238" s="255"/>
      <c r="T14238" s="255"/>
    </row>
    <row r="14239" spans="18:20" x14ac:dyDescent="0.3">
      <c r="R14239" s="255"/>
      <c r="S14239" s="255"/>
      <c r="T14239" s="255"/>
    </row>
    <row r="14240" spans="18:20" x14ac:dyDescent="0.3">
      <c r="R14240" s="255"/>
      <c r="S14240" s="255"/>
      <c r="T14240" s="255"/>
    </row>
    <row r="14241" spans="18:20" x14ac:dyDescent="0.3">
      <c r="R14241" s="255"/>
      <c r="S14241" s="255"/>
      <c r="T14241" s="255"/>
    </row>
    <row r="14242" spans="18:20" x14ac:dyDescent="0.3">
      <c r="R14242" s="255"/>
      <c r="S14242" s="255"/>
      <c r="T14242" s="255"/>
    </row>
    <row r="14243" spans="18:20" x14ac:dyDescent="0.3">
      <c r="R14243" s="255"/>
      <c r="S14243" s="255"/>
      <c r="T14243" s="255"/>
    </row>
    <row r="14244" spans="18:20" x14ac:dyDescent="0.3">
      <c r="R14244" s="255"/>
      <c r="S14244" s="255"/>
      <c r="T14244" s="255"/>
    </row>
    <row r="14245" spans="18:20" x14ac:dyDescent="0.3">
      <c r="R14245" s="255"/>
      <c r="S14245" s="255"/>
      <c r="T14245" s="255"/>
    </row>
    <row r="14246" spans="18:20" x14ac:dyDescent="0.3">
      <c r="R14246" s="255"/>
      <c r="S14246" s="255"/>
      <c r="T14246" s="255"/>
    </row>
    <row r="14247" spans="18:20" x14ac:dyDescent="0.3">
      <c r="R14247" s="255"/>
      <c r="S14247" s="255"/>
      <c r="T14247" s="255"/>
    </row>
    <row r="14248" spans="18:20" x14ac:dyDescent="0.3">
      <c r="R14248" s="255"/>
      <c r="S14248" s="255"/>
      <c r="T14248" s="255"/>
    </row>
    <row r="14249" spans="18:20" x14ac:dyDescent="0.3">
      <c r="R14249" s="255"/>
      <c r="S14249" s="255"/>
      <c r="T14249" s="255"/>
    </row>
    <row r="14250" spans="18:20" x14ac:dyDescent="0.3">
      <c r="R14250" s="255"/>
      <c r="S14250" s="255"/>
      <c r="T14250" s="255"/>
    </row>
    <row r="14251" spans="18:20" x14ac:dyDescent="0.3">
      <c r="R14251" s="255"/>
      <c r="S14251" s="255"/>
      <c r="T14251" s="255"/>
    </row>
    <row r="14252" spans="18:20" x14ac:dyDescent="0.3">
      <c r="R14252" s="255"/>
      <c r="S14252" s="255"/>
      <c r="T14252" s="255"/>
    </row>
    <row r="14253" spans="18:20" x14ac:dyDescent="0.3">
      <c r="R14253" s="255"/>
      <c r="S14253" s="255"/>
      <c r="T14253" s="255"/>
    </row>
    <row r="14254" spans="18:20" x14ac:dyDescent="0.3">
      <c r="R14254" s="255"/>
      <c r="S14254" s="255"/>
      <c r="T14254" s="255"/>
    </row>
    <row r="14255" spans="18:20" x14ac:dyDescent="0.3">
      <c r="R14255" s="255"/>
      <c r="S14255" s="255"/>
      <c r="T14255" s="255"/>
    </row>
    <row r="14256" spans="18:20" x14ac:dyDescent="0.3">
      <c r="R14256" s="255"/>
      <c r="S14256" s="255"/>
      <c r="T14256" s="255"/>
    </row>
    <row r="14257" spans="18:20" x14ac:dyDescent="0.3">
      <c r="R14257" s="255"/>
      <c r="S14257" s="255"/>
      <c r="T14257" s="255"/>
    </row>
    <row r="14258" spans="18:20" x14ac:dyDescent="0.3">
      <c r="R14258" s="255"/>
      <c r="S14258" s="255"/>
      <c r="T14258" s="255"/>
    </row>
    <row r="14259" spans="18:20" x14ac:dyDescent="0.3">
      <c r="R14259" s="255"/>
      <c r="S14259" s="255"/>
      <c r="T14259" s="255"/>
    </row>
    <row r="14260" spans="18:20" x14ac:dyDescent="0.3">
      <c r="R14260" s="255"/>
      <c r="S14260" s="255"/>
      <c r="T14260" s="255"/>
    </row>
    <row r="14261" spans="18:20" x14ac:dyDescent="0.3">
      <c r="R14261" s="255"/>
      <c r="S14261" s="255"/>
      <c r="T14261" s="255"/>
    </row>
    <row r="14262" spans="18:20" x14ac:dyDescent="0.3">
      <c r="R14262" s="255"/>
      <c r="S14262" s="255"/>
      <c r="T14262" s="255"/>
    </row>
    <row r="14263" spans="18:20" x14ac:dyDescent="0.3">
      <c r="R14263" s="255"/>
      <c r="S14263" s="255"/>
      <c r="T14263" s="255"/>
    </row>
    <row r="14264" spans="18:20" x14ac:dyDescent="0.3">
      <c r="R14264" s="255"/>
      <c r="S14264" s="255"/>
      <c r="T14264" s="255"/>
    </row>
    <row r="14265" spans="18:20" x14ac:dyDescent="0.3">
      <c r="R14265" s="255"/>
      <c r="S14265" s="255"/>
      <c r="T14265" s="255"/>
    </row>
    <row r="14266" spans="18:20" x14ac:dyDescent="0.3">
      <c r="R14266" s="255"/>
      <c r="S14266" s="255"/>
      <c r="T14266" s="255"/>
    </row>
    <row r="14267" spans="18:20" x14ac:dyDescent="0.3">
      <c r="R14267" s="255"/>
      <c r="S14267" s="255"/>
      <c r="T14267" s="255"/>
    </row>
    <row r="14268" spans="18:20" x14ac:dyDescent="0.3">
      <c r="R14268" s="255"/>
      <c r="S14268" s="255"/>
      <c r="T14268" s="255"/>
    </row>
    <row r="14269" spans="18:20" x14ac:dyDescent="0.3">
      <c r="R14269" s="255"/>
      <c r="S14269" s="255"/>
      <c r="T14269" s="255"/>
    </row>
    <row r="14270" spans="18:20" x14ac:dyDescent="0.3">
      <c r="R14270" s="255"/>
      <c r="S14270" s="255"/>
      <c r="T14270" s="255"/>
    </row>
    <row r="14271" spans="18:20" x14ac:dyDescent="0.3">
      <c r="R14271" s="255"/>
      <c r="S14271" s="255"/>
      <c r="T14271" s="255"/>
    </row>
    <row r="14272" spans="18:20" x14ac:dyDescent="0.3">
      <c r="R14272" s="255"/>
      <c r="S14272" s="255"/>
      <c r="T14272" s="255"/>
    </row>
    <row r="14273" spans="18:20" x14ac:dyDescent="0.3">
      <c r="R14273" s="255"/>
      <c r="S14273" s="255"/>
      <c r="T14273" s="255"/>
    </row>
    <row r="14274" spans="18:20" x14ac:dyDescent="0.3">
      <c r="R14274" s="255"/>
      <c r="S14274" s="255"/>
      <c r="T14274" s="255"/>
    </row>
    <row r="14275" spans="18:20" x14ac:dyDescent="0.3">
      <c r="R14275" s="255"/>
      <c r="S14275" s="255"/>
      <c r="T14275" s="255"/>
    </row>
    <row r="14276" spans="18:20" x14ac:dyDescent="0.3">
      <c r="R14276" s="255"/>
      <c r="S14276" s="255"/>
      <c r="T14276" s="255"/>
    </row>
    <row r="14277" spans="18:20" x14ac:dyDescent="0.3">
      <c r="R14277" s="255"/>
      <c r="S14277" s="255"/>
      <c r="T14277" s="255"/>
    </row>
    <row r="14278" spans="18:20" x14ac:dyDescent="0.3">
      <c r="R14278" s="255"/>
      <c r="S14278" s="255"/>
      <c r="T14278" s="255"/>
    </row>
    <row r="14279" spans="18:20" x14ac:dyDescent="0.3">
      <c r="R14279" s="255"/>
      <c r="S14279" s="255"/>
      <c r="T14279" s="255"/>
    </row>
    <row r="14280" spans="18:20" x14ac:dyDescent="0.3">
      <c r="R14280" s="255"/>
      <c r="S14280" s="255"/>
      <c r="T14280" s="255"/>
    </row>
    <row r="14281" spans="18:20" x14ac:dyDescent="0.3">
      <c r="R14281" s="255"/>
      <c r="S14281" s="255"/>
      <c r="T14281" s="255"/>
    </row>
    <row r="14282" spans="18:20" x14ac:dyDescent="0.3">
      <c r="R14282" s="255"/>
      <c r="S14282" s="255"/>
      <c r="T14282" s="255"/>
    </row>
    <row r="14283" spans="18:20" x14ac:dyDescent="0.3">
      <c r="R14283" s="255"/>
      <c r="S14283" s="255"/>
      <c r="T14283" s="255"/>
    </row>
    <row r="14284" spans="18:20" x14ac:dyDescent="0.3">
      <c r="R14284" s="255"/>
      <c r="S14284" s="255"/>
      <c r="T14284" s="255"/>
    </row>
    <row r="14285" spans="18:20" x14ac:dyDescent="0.3">
      <c r="R14285" s="255"/>
      <c r="S14285" s="255"/>
      <c r="T14285" s="255"/>
    </row>
    <row r="14286" spans="18:20" x14ac:dyDescent="0.3">
      <c r="R14286" s="255"/>
      <c r="S14286" s="255"/>
      <c r="T14286" s="255"/>
    </row>
    <row r="14287" spans="18:20" x14ac:dyDescent="0.3">
      <c r="R14287" s="255"/>
      <c r="S14287" s="255"/>
      <c r="T14287" s="255"/>
    </row>
    <row r="14288" spans="18:20" x14ac:dyDescent="0.3">
      <c r="R14288" s="255"/>
      <c r="S14288" s="255"/>
      <c r="T14288" s="255"/>
    </row>
    <row r="14289" spans="18:20" x14ac:dyDescent="0.3">
      <c r="R14289" s="255"/>
      <c r="S14289" s="255"/>
      <c r="T14289" s="255"/>
    </row>
    <row r="14290" spans="18:20" x14ac:dyDescent="0.3">
      <c r="R14290" s="255"/>
      <c r="S14290" s="255"/>
      <c r="T14290" s="255"/>
    </row>
    <row r="14291" spans="18:20" x14ac:dyDescent="0.3">
      <c r="R14291" s="255"/>
      <c r="S14291" s="255"/>
      <c r="T14291" s="255"/>
    </row>
    <row r="14292" spans="18:20" x14ac:dyDescent="0.3">
      <c r="R14292" s="255"/>
      <c r="S14292" s="255"/>
      <c r="T14292" s="255"/>
    </row>
    <row r="14293" spans="18:20" x14ac:dyDescent="0.3">
      <c r="R14293" s="255"/>
      <c r="S14293" s="255"/>
      <c r="T14293" s="255"/>
    </row>
    <row r="14294" spans="18:20" x14ac:dyDescent="0.3">
      <c r="R14294" s="255"/>
      <c r="S14294" s="255"/>
      <c r="T14294" s="255"/>
    </row>
    <row r="14295" spans="18:20" x14ac:dyDescent="0.3">
      <c r="R14295" s="255"/>
      <c r="S14295" s="255"/>
      <c r="T14295" s="255"/>
    </row>
    <row r="14296" spans="18:20" x14ac:dyDescent="0.3">
      <c r="R14296" s="255"/>
      <c r="S14296" s="255"/>
      <c r="T14296" s="255"/>
    </row>
    <row r="14297" spans="18:20" x14ac:dyDescent="0.3">
      <c r="R14297" s="255"/>
      <c r="S14297" s="255"/>
      <c r="T14297" s="255"/>
    </row>
    <row r="14298" spans="18:20" x14ac:dyDescent="0.3">
      <c r="R14298" s="255"/>
      <c r="S14298" s="255"/>
      <c r="T14298" s="255"/>
    </row>
    <row r="14299" spans="18:20" x14ac:dyDescent="0.3">
      <c r="R14299" s="255"/>
      <c r="S14299" s="255"/>
      <c r="T14299" s="255"/>
    </row>
    <row r="14300" spans="18:20" x14ac:dyDescent="0.3">
      <c r="R14300" s="255"/>
      <c r="S14300" s="255"/>
      <c r="T14300" s="255"/>
    </row>
    <row r="14301" spans="18:20" x14ac:dyDescent="0.3">
      <c r="R14301" s="255"/>
      <c r="S14301" s="255"/>
      <c r="T14301" s="255"/>
    </row>
    <row r="14302" spans="18:20" x14ac:dyDescent="0.3">
      <c r="R14302" s="255"/>
      <c r="S14302" s="255"/>
      <c r="T14302" s="255"/>
    </row>
    <row r="14303" spans="18:20" x14ac:dyDescent="0.3">
      <c r="R14303" s="255"/>
      <c r="S14303" s="255"/>
      <c r="T14303" s="255"/>
    </row>
    <row r="14304" spans="18:20" x14ac:dyDescent="0.3">
      <c r="R14304" s="255"/>
      <c r="S14304" s="255"/>
      <c r="T14304" s="255"/>
    </row>
    <row r="14305" spans="18:20" x14ac:dyDescent="0.3">
      <c r="R14305" s="255"/>
      <c r="S14305" s="255"/>
      <c r="T14305" s="255"/>
    </row>
    <row r="14306" spans="18:20" x14ac:dyDescent="0.3">
      <c r="R14306" s="255"/>
      <c r="S14306" s="255"/>
      <c r="T14306" s="255"/>
    </row>
    <row r="14307" spans="18:20" x14ac:dyDescent="0.3">
      <c r="R14307" s="255"/>
      <c r="S14307" s="255"/>
      <c r="T14307" s="255"/>
    </row>
    <row r="14308" spans="18:20" x14ac:dyDescent="0.3">
      <c r="R14308" s="255"/>
      <c r="S14308" s="255"/>
      <c r="T14308" s="255"/>
    </row>
    <row r="14309" spans="18:20" x14ac:dyDescent="0.3">
      <c r="R14309" s="255"/>
      <c r="S14309" s="255"/>
      <c r="T14309" s="255"/>
    </row>
    <row r="14310" spans="18:20" x14ac:dyDescent="0.3">
      <c r="R14310" s="255"/>
      <c r="S14310" s="255"/>
      <c r="T14310" s="255"/>
    </row>
    <row r="14311" spans="18:20" x14ac:dyDescent="0.3">
      <c r="R14311" s="255"/>
      <c r="S14311" s="255"/>
      <c r="T14311" s="255"/>
    </row>
    <row r="14312" spans="18:20" x14ac:dyDescent="0.3">
      <c r="R14312" s="255"/>
      <c r="S14312" s="255"/>
      <c r="T14312" s="255"/>
    </row>
    <row r="14313" spans="18:20" x14ac:dyDescent="0.3">
      <c r="R14313" s="255"/>
      <c r="S14313" s="255"/>
      <c r="T14313" s="255"/>
    </row>
    <row r="14314" spans="18:20" x14ac:dyDescent="0.3">
      <c r="R14314" s="255"/>
      <c r="S14314" s="255"/>
      <c r="T14314" s="255"/>
    </row>
    <row r="14315" spans="18:20" x14ac:dyDescent="0.3">
      <c r="R14315" s="255"/>
      <c r="S14315" s="255"/>
      <c r="T14315" s="255"/>
    </row>
    <row r="14316" spans="18:20" x14ac:dyDescent="0.3">
      <c r="R14316" s="255"/>
      <c r="S14316" s="255"/>
      <c r="T14316" s="255"/>
    </row>
    <row r="14317" spans="18:20" x14ac:dyDescent="0.3">
      <c r="R14317" s="255"/>
      <c r="S14317" s="255"/>
      <c r="T14317" s="255"/>
    </row>
    <row r="14318" spans="18:20" x14ac:dyDescent="0.3">
      <c r="R14318" s="255"/>
      <c r="S14318" s="255"/>
      <c r="T14318" s="255"/>
    </row>
    <row r="14319" spans="18:20" x14ac:dyDescent="0.3">
      <c r="R14319" s="255"/>
      <c r="S14319" s="255"/>
      <c r="T14319" s="255"/>
    </row>
    <row r="14320" spans="18:20" x14ac:dyDescent="0.3">
      <c r="R14320" s="255"/>
      <c r="S14320" s="255"/>
      <c r="T14320" s="255"/>
    </row>
    <row r="14321" spans="18:20" x14ac:dyDescent="0.3">
      <c r="R14321" s="255"/>
      <c r="S14321" s="255"/>
      <c r="T14321" s="255"/>
    </row>
    <row r="14322" spans="18:20" x14ac:dyDescent="0.3">
      <c r="R14322" s="255"/>
      <c r="S14322" s="255"/>
      <c r="T14322" s="255"/>
    </row>
    <row r="14323" spans="18:20" x14ac:dyDescent="0.3">
      <c r="R14323" s="255"/>
      <c r="S14323" s="255"/>
      <c r="T14323" s="255"/>
    </row>
    <row r="14324" spans="18:20" x14ac:dyDescent="0.3">
      <c r="R14324" s="255"/>
      <c r="S14324" s="255"/>
      <c r="T14324" s="255"/>
    </row>
    <row r="14325" spans="18:20" x14ac:dyDescent="0.3">
      <c r="R14325" s="255"/>
      <c r="S14325" s="255"/>
      <c r="T14325" s="255"/>
    </row>
    <row r="14326" spans="18:20" x14ac:dyDescent="0.3">
      <c r="R14326" s="255"/>
      <c r="S14326" s="255"/>
      <c r="T14326" s="255"/>
    </row>
    <row r="14327" spans="18:20" x14ac:dyDescent="0.3">
      <c r="R14327" s="255"/>
      <c r="S14327" s="255"/>
      <c r="T14327" s="255"/>
    </row>
    <row r="14328" spans="18:20" x14ac:dyDescent="0.3">
      <c r="R14328" s="255"/>
      <c r="S14328" s="255"/>
      <c r="T14328" s="255"/>
    </row>
    <row r="14329" spans="18:20" x14ac:dyDescent="0.3">
      <c r="R14329" s="255"/>
      <c r="S14329" s="255"/>
      <c r="T14329" s="255"/>
    </row>
    <row r="14330" spans="18:20" x14ac:dyDescent="0.3">
      <c r="R14330" s="255"/>
      <c r="S14330" s="255"/>
      <c r="T14330" s="255"/>
    </row>
    <row r="14331" spans="18:20" x14ac:dyDescent="0.3">
      <c r="R14331" s="255"/>
      <c r="S14331" s="255"/>
      <c r="T14331" s="255"/>
    </row>
    <row r="14332" spans="18:20" x14ac:dyDescent="0.3">
      <c r="R14332" s="255"/>
      <c r="S14332" s="255"/>
      <c r="T14332" s="255"/>
    </row>
    <row r="14333" spans="18:20" x14ac:dyDescent="0.3">
      <c r="R14333" s="255"/>
      <c r="S14333" s="255"/>
      <c r="T14333" s="255"/>
    </row>
    <row r="14334" spans="18:20" x14ac:dyDescent="0.3">
      <c r="R14334" s="255"/>
      <c r="S14334" s="255"/>
      <c r="T14334" s="255"/>
    </row>
    <row r="14335" spans="18:20" x14ac:dyDescent="0.3">
      <c r="R14335" s="255"/>
      <c r="S14335" s="255"/>
      <c r="T14335" s="255"/>
    </row>
    <row r="14336" spans="18:20" x14ac:dyDescent="0.3">
      <c r="R14336" s="255"/>
      <c r="S14336" s="255"/>
      <c r="T14336" s="255"/>
    </row>
    <row r="14337" spans="18:20" x14ac:dyDescent="0.3">
      <c r="R14337" s="255"/>
      <c r="S14337" s="255"/>
      <c r="T14337" s="255"/>
    </row>
    <row r="14338" spans="18:20" x14ac:dyDescent="0.3">
      <c r="R14338" s="255"/>
      <c r="S14338" s="255"/>
      <c r="T14338" s="255"/>
    </row>
    <row r="14339" spans="18:20" x14ac:dyDescent="0.3">
      <c r="R14339" s="255"/>
      <c r="S14339" s="255"/>
      <c r="T14339" s="255"/>
    </row>
    <row r="14340" spans="18:20" x14ac:dyDescent="0.3">
      <c r="R14340" s="255"/>
      <c r="S14340" s="255"/>
      <c r="T14340" s="255"/>
    </row>
    <row r="14341" spans="18:20" x14ac:dyDescent="0.3">
      <c r="R14341" s="255"/>
      <c r="S14341" s="255"/>
      <c r="T14341" s="255"/>
    </row>
    <row r="14342" spans="18:20" x14ac:dyDescent="0.3">
      <c r="R14342" s="255"/>
      <c r="S14342" s="255"/>
      <c r="T14342" s="255"/>
    </row>
    <row r="14343" spans="18:20" x14ac:dyDescent="0.3">
      <c r="R14343" s="255"/>
      <c r="S14343" s="255"/>
      <c r="T14343" s="255"/>
    </row>
    <row r="14344" spans="18:20" x14ac:dyDescent="0.3">
      <c r="R14344" s="255"/>
      <c r="S14344" s="255"/>
      <c r="T14344" s="255"/>
    </row>
    <row r="14345" spans="18:20" x14ac:dyDescent="0.3">
      <c r="R14345" s="255"/>
      <c r="S14345" s="255"/>
      <c r="T14345" s="255"/>
    </row>
    <row r="14346" spans="18:20" x14ac:dyDescent="0.3">
      <c r="R14346" s="255"/>
      <c r="S14346" s="255"/>
      <c r="T14346" s="255"/>
    </row>
    <row r="14347" spans="18:20" x14ac:dyDescent="0.3">
      <c r="R14347" s="255"/>
      <c r="S14347" s="255"/>
      <c r="T14347" s="255"/>
    </row>
    <row r="14348" spans="18:20" x14ac:dyDescent="0.3">
      <c r="R14348" s="255"/>
      <c r="S14348" s="255"/>
      <c r="T14348" s="255"/>
    </row>
    <row r="14349" spans="18:20" x14ac:dyDescent="0.3">
      <c r="R14349" s="255"/>
      <c r="S14349" s="255"/>
      <c r="T14349" s="255"/>
    </row>
    <row r="14350" spans="18:20" x14ac:dyDescent="0.3">
      <c r="R14350" s="255"/>
      <c r="S14350" s="255"/>
      <c r="T14350" s="255"/>
    </row>
    <row r="14351" spans="18:20" x14ac:dyDescent="0.3">
      <c r="R14351" s="255"/>
      <c r="S14351" s="255"/>
      <c r="T14351" s="255"/>
    </row>
    <row r="14352" spans="18:20" x14ac:dyDescent="0.3">
      <c r="R14352" s="255"/>
      <c r="S14352" s="255"/>
      <c r="T14352" s="255"/>
    </row>
    <row r="14353" spans="18:20" x14ac:dyDescent="0.3">
      <c r="R14353" s="255"/>
      <c r="S14353" s="255"/>
      <c r="T14353" s="255"/>
    </row>
    <row r="14354" spans="18:20" x14ac:dyDescent="0.3">
      <c r="R14354" s="255"/>
      <c r="S14354" s="255"/>
      <c r="T14354" s="255"/>
    </row>
    <row r="14355" spans="18:20" x14ac:dyDescent="0.3">
      <c r="R14355" s="255"/>
      <c r="S14355" s="255"/>
      <c r="T14355" s="255"/>
    </row>
    <row r="14356" spans="18:20" x14ac:dyDescent="0.3">
      <c r="R14356" s="255"/>
      <c r="S14356" s="255"/>
      <c r="T14356" s="255"/>
    </row>
    <row r="14357" spans="18:20" x14ac:dyDescent="0.3">
      <c r="R14357" s="255"/>
      <c r="S14357" s="255"/>
      <c r="T14357" s="255"/>
    </row>
    <row r="14358" spans="18:20" x14ac:dyDescent="0.3">
      <c r="R14358" s="255"/>
      <c r="S14358" s="255"/>
      <c r="T14358" s="255"/>
    </row>
    <row r="14359" spans="18:20" x14ac:dyDescent="0.3">
      <c r="R14359" s="255"/>
      <c r="S14359" s="255"/>
      <c r="T14359" s="255"/>
    </row>
    <row r="14360" spans="18:20" x14ac:dyDescent="0.3">
      <c r="R14360" s="255"/>
      <c r="S14360" s="255"/>
      <c r="T14360" s="255"/>
    </row>
    <row r="14361" spans="18:20" x14ac:dyDescent="0.3">
      <c r="R14361" s="255"/>
      <c r="S14361" s="255"/>
      <c r="T14361" s="255"/>
    </row>
    <row r="14362" spans="18:20" x14ac:dyDescent="0.3">
      <c r="R14362" s="255"/>
      <c r="S14362" s="255"/>
      <c r="T14362" s="255"/>
    </row>
    <row r="14363" spans="18:20" x14ac:dyDescent="0.3">
      <c r="R14363" s="255"/>
      <c r="S14363" s="255"/>
      <c r="T14363" s="255"/>
    </row>
    <row r="14364" spans="18:20" x14ac:dyDescent="0.3">
      <c r="R14364" s="255"/>
      <c r="S14364" s="255"/>
      <c r="T14364" s="255"/>
    </row>
    <row r="14365" spans="18:20" x14ac:dyDescent="0.3">
      <c r="R14365" s="255"/>
      <c r="S14365" s="255"/>
      <c r="T14365" s="255"/>
    </row>
    <row r="14366" spans="18:20" x14ac:dyDescent="0.3">
      <c r="R14366" s="255"/>
      <c r="S14366" s="255"/>
      <c r="T14366" s="255"/>
    </row>
    <row r="14367" spans="18:20" x14ac:dyDescent="0.3">
      <c r="R14367" s="255"/>
      <c r="S14367" s="255"/>
      <c r="T14367" s="255"/>
    </row>
    <row r="14368" spans="18:20" x14ac:dyDescent="0.3">
      <c r="R14368" s="255"/>
      <c r="S14368" s="255"/>
      <c r="T14368" s="255"/>
    </row>
    <row r="14369" spans="18:20" x14ac:dyDescent="0.3">
      <c r="R14369" s="255"/>
      <c r="S14369" s="255"/>
      <c r="T14369" s="255"/>
    </row>
    <row r="14370" spans="18:20" x14ac:dyDescent="0.3">
      <c r="R14370" s="255"/>
      <c r="S14370" s="255"/>
      <c r="T14370" s="255"/>
    </row>
    <row r="14371" spans="18:20" x14ac:dyDescent="0.3">
      <c r="R14371" s="255"/>
      <c r="S14371" s="255"/>
      <c r="T14371" s="255"/>
    </row>
    <row r="14372" spans="18:20" x14ac:dyDescent="0.3">
      <c r="R14372" s="255"/>
      <c r="S14372" s="255"/>
      <c r="T14372" s="255"/>
    </row>
    <row r="14373" spans="18:20" x14ac:dyDescent="0.3">
      <c r="R14373" s="255"/>
      <c r="S14373" s="255"/>
      <c r="T14373" s="255"/>
    </row>
    <row r="14374" spans="18:20" x14ac:dyDescent="0.3">
      <c r="R14374" s="255"/>
      <c r="S14374" s="255"/>
      <c r="T14374" s="255"/>
    </row>
    <row r="14375" spans="18:20" x14ac:dyDescent="0.3">
      <c r="R14375" s="255"/>
      <c r="S14375" s="255"/>
      <c r="T14375" s="255"/>
    </row>
    <row r="14376" spans="18:20" x14ac:dyDescent="0.3">
      <c r="R14376" s="255"/>
      <c r="S14376" s="255"/>
      <c r="T14376" s="255"/>
    </row>
    <row r="14377" spans="18:20" x14ac:dyDescent="0.3">
      <c r="R14377" s="255"/>
      <c r="S14377" s="255"/>
      <c r="T14377" s="255"/>
    </row>
    <row r="14378" spans="18:20" x14ac:dyDescent="0.3">
      <c r="R14378" s="255"/>
      <c r="S14378" s="255"/>
      <c r="T14378" s="255"/>
    </row>
    <row r="14379" spans="18:20" x14ac:dyDescent="0.3">
      <c r="R14379" s="255"/>
      <c r="S14379" s="255"/>
      <c r="T14379" s="255"/>
    </row>
    <row r="14380" spans="18:20" x14ac:dyDescent="0.3">
      <c r="R14380" s="255"/>
      <c r="S14380" s="255"/>
      <c r="T14380" s="255"/>
    </row>
    <row r="14381" spans="18:20" x14ac:dyDescent="0.3">
      <c r="R14381" s="255"/>
      <c r="S14381" s="255"/>
      <c r="T14381" s="255"/>
    </row>
    <row r="14382" spans="18:20" x14ac:dyDescent="0.3">
      <c r="R14382" s="255"/>
      <c r="S14382" s="255"/>
      <c r="T14382" s="255"/>
    </row>
    <row r="14383" spans="18:20" x14ac:dyDescent="0.3">
      <c r="R14383" s="255"/>
      <c r="S14383" s="255"/>
      <c r="T14383" s="255"/>
    </row>
    <row r="14384" spans="18:20" x14ac:dyDescent="0.3">
      <c r="R14384" s="255"/>
      <c r="S14384" s="255"/>
      <c r="T14384" s="255"/>
    </row>
    <row r="14385" spans="18:20" x14ac:dyDescent="0.3">
      <c r="R14385" s="255"/>
      <c r="S14385" s="255"/>
      <c r="T14385" s="255"/>
    </row>
    <row r="14386" spans="18:20" x14ac:dyDescent="0.3">
      <c r="R14386" s="255"/>
      <c r="S14386" s="255"/>
      <c r="T14386" s="255"/>
    </row>
    <row r="14387" spans="18:20" x14ac:dyDescent="0.3">
      <c r="R14387" s="255"/>
      <c r="S14387" s="255"/>
      <c r="T14387" s="255"/>
    </row>
    <row r="14388" spans="18:20" x14ac:dyDescent="0.3">
      <c r="R14388" s="255"/>
      <c r="S14388" s="255"/>
      <c r="T14388" s="255"/>
    </row>
    <row r="14389" spans="18:20" x14ac:dyDescent="0.3">
      <c r="R14389" s="255"/>
      <c r="S14389" s="255"/>
      <c r="T14389" s="255"/>
    </row>
    <row r="14390" spans="18:20" x14ac:dyDescent="0.3">
      <c r="R14390" s="255"/>
      <c r="S14390" s="255"/>
      <c r="T14390" s="255"/>
    </row>
    <row r="14391" spans="18:20" x14ac:dyDescent="0.3">
      <c r="R14391" s="255"/>
      <c r="S14391" s="255"/>
      <c r="T14391" s="255"/>
    </row>
    <row r="14392" spans="18:20" x14ac:dyDescent="0.3">
      <c r="R14392" s="255"/>
      <c r="S14392" s="255"/>
      <c r="T14392" s="255"/>
    </row>
    <row r="14393" spans="18:20" x14ac:dyDescent="0.3">
      <c r="R14393" s="255"/>
      <c r="S14393" s="255"/>
      <c r="T14393" s="255"/>
    </row>
    <row r="14394" spans="18:20" x14ac:dyDescent="0.3">
      <c r="R14394" s="255"/>
      <c r="S14394" s="255"/>
      <c r="T14394" s="255"/>
    </row>
    <row r="14395" spans="18:20" x14ac:dyDescent="0.3">
      <c r="R14395" s="255"/>
      <c r="S14395" s="255"/>
      <c r="T14395" s="255"/>
    </row>
    <row r="14396" spans="18:20" x14ac:dyDescent="0.3">
      <c r="R14396" s="255"/>
      <c r="S14396" s="255"/>
      <c r="T14396" s="255"/>
    </row>
    <row r="14397" spans="18:20" x14ac:dyDescent="0.3">
      <c r="R14397" s="255"/>
      <c r="S14397" s="255"/>
      <c r="T14397" s="255"/>
    </row>
    <row r="14398" spans="18:20" x14ac:dyDescent="0.3">
      <c r="R14398" s="255"/>
      <c r="S14398" s="255"/>
      <c r="T14398" s="255"/>
    </row>
    <row r="14399" spans="18:20" x14ac:dyDescent="0.3">
      <c r="R14399" s="255"/>
      <c r="S14399" s="255"/>
      <c r="T14399" s="255"/>
    </row>
    <row r="14400" spans="18:20" x14ac:dyDescent="0.3">
      <c r="R14400" s="255"/>
      <c r="S14400" s="255"/>
      <c r="T14400" s="255"/>
    </row>
    <row r="14401" spans="18:20" x14ac:dyDescent="0.3">
      <c r="R14401" s="255"/>
      <c r="S14401" s="255"/>
      <c r="T14401" s="255"/>
    </row>
    <row r="14402" spans="18:20" x14ac:dyDescent="0.3">
      <c r="R14402" s="255"/>
      <c r="S14402" s="255"/>
      <c r="T14402" s="255"/>
    </row>
    <row r="14403" spans="18:20" x14ac:dyDescent="0.3">
      <c r="R14403" s="255"/>
      <c r="S14403" s="255"/>
      <c r="T14403" s="255"/>
    </row>
    <row r="14404" spans="18:20" x14ac:dyDescent="0.3">
      <c r="R14404" s="255"/>
      <c r="S14404" s="255"/>
      <c r="T14404" s="255"/>
    </row>
    <row r="14405" spans="18:20" x14ac:dyDescent="0.3">
      <c r="R14405" s="255"/>
      <c r="S14405" s="255"/>
      <c r="T14405" s="255"/>
    </row>
    <row r="14406" spans="18:20" x14ac:dyDescent="0.3">
      <c r="R14406" s="255"/>
      <c r="S14406" s="255"/>
      <c r="T14406" s="255"/>
    </row>
    <row r="14407" spans="18:20" x14ac:dyDescent="0.3">
      <c r="R14407" s="255"/>
      <c r="S14407" s="255"/>
      <c r="T14407" s="255"/>
    </row>
    <row r="14408" spans="18:20" x14ac:dyDescent="0.3">
      <c r="R14408" s="255"/>
      <c r="S14408" s="255"/>
      <c r="T14408" s="255"/>
    </row>
    <row r="14409" spans="18:20" x14ac:dyDescent="0.3">
      <c r="R14409" s="255"/>
      <c r="S14409" s="255"/>
      <c r="T14409" s="255"/>
    </row>
    <row r="14410" spans="18:20" x14ac:dyDescent="0.3">
      <c r="R14410" s="255"/>
      <c r="S14410" s="255"/>
      <c r="T14410" s="255"/>
    </row>
    <row r="14411" spans="18:20" x14ac:dyDescent="0.3">
      <c r="R14411" s="255"/>
      <c r="S14411" s="255"/>
      <c r="T14411" s="255"/>
    </row>
    <row r="14412" spans="18:20" x14ac:dyDescent="0.3">
      <c r="R14412" s="255"/>
      <c r="S14412" s="255"/>
      <c r="T14412" s="255"/>
    </row>
    <row r="14413" spans="18:20" x14ac:dyDescent="0.3">
      <c r="R14413" s="255"/>
      <c r="S14413" s="255"/>
      <c r="T14413" s="255"/>
    </row>
    <row r="14414" spans="18:20" x14ac:dyDescent="0.3">
      <c r="R14414" s="255"/>
      <c r="S14414" s="255"/>
      <c r="T14414" s="255"/>
    </row>
    <row r="14415" spans="18:20" x14ac:dyDescent="0.3">
      <c r="R14415" s="255"/>
      <c r="S14415" s="255"/>
      <c r="T14415" s="255"/>
    </row>
    <row r="14416" spans="18:20" x14ac:dyDescent="0.3">
      <c r="R14416" s="255"/>
      <c r="S14416" s="255"/>
      <c r="T14416" s="255"/>
    </row>
    <row r="14417" spans="18:20" x14ac:dyDescent="0.3">
      <c r="R14417" s="255"/>
      <c r="S14417" s="255"/>
      <c r="T14417" s="255"/>
    </row>
    <row r="14418" spans="18:20" x14ac:dyDescent="0.3">
      <c r="R14418" s="255"/>
      <c r="S14418" s="255"/>
      <c r="T14418" s="255"/>
    </row>
    <row r="14419" spans="18:20" x14ac:dyDescent="0.3">
      <c r="R14419" s="255"/>
      <c r="S14419" s="255"/>
      <c r="T14419" s="255"/>
    </row>
    <row r="14420" spans="18:20" x14ac:dyDescent="0.3">
      <c r="R14420" s="255"/>
      <c r="S14420" s="255"/>
      <c r="T14420" s="255"/>
    </row>
    <row r="14421" spans="18:20" x14ac:dyDescent="0.3">
      <c r="R14421" s="255"/>
      <c r="S14421" s="255"/>
      <c r="T14421" s="255"/>
    </row>
    <row r="14422" spans="18:20" x14ac:dyDescent="0.3">
      <c r="R14422" s="255"/>
      <c r="S14422" s="255"/>
      <c r="T14422" s="255"/>
    </row>
    <row r="14423" spans="18:20" x14ac:dyDescent="0.3">
      <c r="R14423" s="255"/>
      <c r="S14423" s="255"/>
      <c r="T14423" s="255"/>
    </row>
    <row r="14424" spans="18:20" x14ac:dyDescent="0.3">
      <c r="R14424" s="255"/>
      <c r="S14424" s="255"/>
      <c r="T14424" s="255"/>
    </row>
    <row r="14425" spans="18:20" x14ac:dyDescent="0.3">
      <c r="R14425" s="255"/>
      <c r="S14425" s="255"/>
      <c r="T14425" s="255"/>
    </row>
    <row r="14426" spans="18:20" x14ac:dyDescent="0.3">
      <c r="R14426" s="255"/>
      <c r="S14426" s="255"/>
      <c r="T14426" s="255"/>
    </row>
    <row r="14427" spans="18:20" x14ac:dyDescent="0.3">
      <c r="R14427" s="255"/>
      <c r="S14427" s="255"/>
      <c r="T14427" s="255"/>
    </row>
    <row r="14428" spans="18:20" x14ac:dyDescent="0.3">
      <c r="R14428" s="255"/>
      <c r="S14428" s="255"/>
      <c r="T14428" s="255"/>
    </row>
    <row r="14429" spans="18:20" x14ac:dyDescent="0.3">
      <c r="R14429" s="255"/>
      <c r="S14429" s="255"/>
      <c r="T14429" s="255"/>
    </row>
    <row r="14430" spans="18:20" x14ac:dyDescent="0.3">
      <c r="R14430" s="255"/>
      <c r="S14430" s="255"/>
      <c r="T14430" s="255"/>
    </row>
    <row r="14431" spans="18:20" x14ac:dyDescent="0.3">
      <c r="R14431" s="255"/>
      <c r="S14431" s="255"/>
      <c r="T14431" s="255"/>
    </row>
    <row r="14432" spans="18:20" x14ac:dyDescent="0.3">
      <c r="R14432" s="255"/>
      <c r="S14432" s="255"/>
      <c r="T14432" s="255"/>
    </row>
    <row r="14433" spans="18:20" x14ac:dyDescent="0.3">
      <c r="R14433" s="255"/>
      <c r="S14433" s="255"/>
      <c r="T14433" s="255"/>
    </row>
    <row r="14434" spans="18:20" x14ac:dyDescent="0.3">
      <c r="R14434" s="255"/>
      <c r="S14434" s="255"/>
      <c r="T14434" s="255"/>
    </row>
    <row r="14435" spans="18:20" x14ac:dyDescent="0.3">
      <c r="R14435" s="255"/>
      <c r="S14435" s="255"/>
      <c r="T14435" s="255"/>
    </row>
    <row r="14436" spans="18:20" x14ac:dyDescent="0.3">
      <c r="R14436" s="255"/>
      <c r="S14436" s="255"/>
      <c r="T14436" s="255"/>
    </row>
    <row r="14437" spans="18:20" x14ac:dyDescent="0.3">
      <c r="R14437" s="255"/>
      <c r="S14437" s="255"/>
      <c r="T14437" s="255"/>
    </row>
    <row r="14438" spans="18:20" x14ac:dyDescent="0.3">
      <c r="R14438" s="255"/>
      <c r="S14438" s="255"/>
      <c r="T14438" s="255"/>
    </row>
    <row r="14439" spans="18:20" x14ac:dyDescent="0.3">
      <c r="R14439" s="255"/>
      <c r="S14439" s="255"/>
      <c r="T14439" s="255"/>
    </row>
    <row r="14440" spans="18:20" x14ac:dyDescent="0.3">
      <c r="R14440" s="255"/>
      <c r="S14440" s="255"/>
      <c r="T14440" s="255"/>
    </row>
    <row r="14441" spans="18:20" x14ac:dyDescent="0.3">
      <c r="R14441" s="255"/>
      <c r="S14441" s="255"/>
      <c r="T14441" s="255"/>
    </row>
    <row r="14442" spans="18:20" x14ac:dyDescent="0.3">
      <c r="R14442" s="255"/>
      <c r="S14442" s="255"/>
      <c r="T14442" s="255"/>
    </row>
    <row r="14443" spans="18:20" x14ac:dyDescent="0.3">
      <c r="R14443" s="255"/>
      <c r="S14443" s="255"/>
      <c r="T14443" s="255"/>
    </row>
    <row r="14444" spans="18:20" x14ac:dyDescent="0.3">
      <c r="R14444" s="255"/>
      <c r="S14444" s="255"/>
      <c r="T14444" s="255"/>
    </row>
    <row r="14445" spans="18:20" x14ac:dyDescent="0.3">
      <c r="R14445" s="255"/>
      <c r="S14445" s="255"/>
      <c r="T14445" s="255"/>
    </row>
    <row r="14446" spans="18:20" x14ac:dyDescent="0.3">
      <c r="R14446" s="255"/>
      <c r="S14446" s="255"/>
      <c r="T14446" s="255"/>
    </row>
    <row r="14447" spans="18:20" x14ac:dyDescent="0.3">
      <c r="R14447" s="255"/>
      <c r="S14447" s="255"/>
      <c r="T14447" s="255"/>
    </row>
    <row r="14448" spans="18:20" x14ac:dyDescent="0.3">
      <c r="R14448" s="255"/>
      <c r="S14448" s="255"/>
      <c r="T14448" s="255"/>
    </row>
    <row r="14449" spans="18:20" x14ac:dyDescent="0.3">
      <c r="R14449" s="255"/>
      <c r="S14449" s="255"/>
      <c r="T14449" s="255"/>
    </row>
    <row r="14450" spans="18:20" x14ac:dyDescent="0.3">
      <c r="R14450" s="255"/>
      <c r="S14450" s="255"/>
      <c r="T14450" s="255"/>
    </row>
    <row r="14451" spans="18:20" x14ac:dyDescent="0.3">
      <c r="R14451" s="255"/>
      <c r="S14451" s="255"/>
      <c r="T14451" s="255"/>
    </row>
    <row r="14452" spans="18:20" x14ac:dyDescent="0.3">
      <c r="R14452" s="255"/>
      <c r="S14452" s="255"/>
      <c r="T14452" s="255"/>
    </row>
    <row r="14453" spans="18:20" x14ac:dyDescent="0.3">
      <c r="R14453" s="255"/>
      <c r="S14453" s="255"/>
      <c r="T14453" s="255"/>
    </row>
    <row r="14454" spans="18:20" x14ac:dyDescent="0.3">
      <c r="R14454" s="255"/>
      <c r="S14454" s="255"/>
      <c r="T14454" s="255"/>
    </row>
    <row r="14455" spans="18:20" x14ac:dyDescent="0.3">
      <c r="R14455" s="255"/>
      <c r="S14455" s="255"/>
      <c r="T14455" s="255"/>
    </row>
    <row r="14456" spans="18:20" x14ac:dyDescent="0.3">
      <c r="R14456" s="255"/>
      <c r="S14456" s="255"/>
      <c r="T14456" s="255"/>
    </row>
    <row r="14457" spans="18:20" x14ac:dyDescent="0.3">
      <c r="R14457" s="255"/>
      <c r="S14457" s="255"/>
      <c r="T14457" s="255"/>
    </row>
    <row r="14458" spans="18:20" x14ac:dyDescent="0.3">
      <c r="R14458" s="255"/>
      <c r="S14458" s="255"/>
      <c r="T14458" s="255"/>
    </row>
    <row r="14459" spans="18:20" x14ac:dyDescent="0.3">
      <c r="R14459" s="255"/>
      <c r="S14459" s="255"/>
      <c r="T14459" s="255"/>
    </row>
    <row r="14460" spans="18:20" x14ac:dyDescent="0.3">
      <c r="R14460" s="255"/>
      <c r="S14460" s="255"/>
      <c r="T14460" s="255"/>
    </row>
    <row r="14461" spans="18:20" x14ac:dyDescent="0.3">
      <c r="R14461" s="255"/>
      <c r="S14461" s="255"/>
      <c r="T14461" s="255"/>
    </row>
    <row r="14462" spans="18:20" x14ac:dyDescent="0.3">
      <c r="R14462" s="255"/>
      <c r="S14462" s="255"/>
      <c r="T14462" s="255"/>
    </row>
    <row r="14463" spans="18:20" x14ac:dyDescent="0.3">
      <c r="R14463" s="255"/>
      <c r="S14463" s="255"/>
      <c r="T14463" s="255"/>
    </row>
    <row r="14464" spans="18:20" x14ac:dyDescent="0.3">
      <c r="R14464" s="255"/>
      <c r="S14464" s="255"/>
      <c r="T14464" s="255"/>
    </row>
    <row r="14465" spans="18:20" x14ac:dyDescent="0.3">
      <c r="R14465" s="255"/>
      <c r="S14465" s="255"/>
      <c r="T14465" s="255"/>
    </row>
    <row r="14466" spans="18:20" x14ac:dyDescent="0.3">
      <c r="R14466" s="255"/>
      <c r="S14466" s="255"/>
      <c r="T14466" s="255"/>
    </row>
    <row r="14467" spans="18:20" x14ac:dyDescent="0.3">
      <c r="R14467" s="255"/>
      <c r="S14467" s="255"/>
      <c r="T14467" s="255"/>
    </row>
    <row r="14468" spans="18:20" x14ac:dyDescent="0.3">
      <c r="R14468" s="255"/>
      <c r="S14468" s="255"/>
      <c r="T14468" s="255"/>
    </row>
    <row r="14469" spans="18:20" x14ac:dyDescent="0.3">
      <c r="R14469" s="255"/>
      <c r="S14469" s="255"/>
      <c r="T14469" s="255"/>
    </row>
    <row r="14470" spans="18:20" x14ac:dyDescent="0.3">
      <c r="R14470" s="255"/>
      <c r="S14470" s="255"/>
      <c r="T14470" s="255"/>
    </row>
    <row r="14471" spans="18:20" x14ac:dyDescent="0.3">
      <c r="R14471" s="255"/>
      <c r="S14471" s="255"/>
      <c r="T14471" s="255"/>
    </row>
    <row r="14472" spans="18:20" x14ac:dyDescent="0.3">
      <c r="R14472" s="255"/>
      <c r="S14472" s="255"/>
      <c r="T14472" s="255"/>
    </row>
    <row r="14473" spans="18:20" x14ac:dyDescent="0.3">
      <c r="R14473" s="255"/>
      <c r="S14473" s="255"/>
      <c r="T14473" s="255"/>
    </row>
    <row r="14474" spans="18:20" x14ac:dyDescent="0.3">
      <c r="R14474" s="255"/>
      <c r="S14474" s="255"/>
      <c r="T14474" s="255"/>
    </row>
    <row r="14475" spans="18:20" x14ac:dyDescent="0.3">
      <c r="R14475" s="255"/>
      <c r="S14475" s="255"/>
      <c r="T14475" s="255"/>
    </row>
    <row r="14476" spans="18:20" x14ac:dyDescent="0.3">
      <c r="R14476" s="255"/>
      <c r="S14476" s="255"/>
      <c r="T14476" s="255"/>
    </row>
    <row r="14477" spans="18:20" x14ac:dyDescent="0.3">
      <c r="R14477" s="255"/>
      <c r="S14477" s="255"/>
      <c r="T14477" s="255"/>
    </row>
    <row r="14478" spans="18:20" x14ac:dyDescent="0.3">
      <c r="R14478" s="255"/>
      <c r="S14478" s="255"/>
      <c r="T14478" s="255"/>
    </row>
    <row r="14479" spans="18:20" x14ac:dyDescent="0.3">
      <c r="R14479" s="255"/>
      <c r="S14479" s="255"/>
      <c r="T14479" s="255"/>
    </row>
    <row r="14480" spans="18:20" x14ac:dyDescent="0.3">
      <c r="R14480" s="255"/>
      <c r="S14480" s="255"/>
      <c r="T14480" s="255"/>
    </row>
    <row r="14481" spans="18:20" x14ac:dyDescent="0.3">
      <c r="R14481" s="255"/>
      <c r="S14481" s="255"/>
      <c r="T14481" s="255"/>
    </row>
    <row r="14482" spans="18:20" x14ac:dyDescent="0.3">
      <c r="R14482" s="255"/>
      <c r="S14482" s="255"/>
      <c r="T14482" s="255"/>
    </row>
    <row r="14483" spans="18:20" x14ac:dyDescent="0.3">
      <c r="R14483" s="255"/>
      <c r="S14483" s="255"/>
      <c r="T14483" s="255"/>
    </row>
    <row r="14484" spans="18:20" x14ac:dyDescent="0.3">
      <c r="R14484" s="255"/>
      <c r="S14484" s="255"/>
      <c r="T14484" s="255"/>
    </row>
    <row r="14485" spans="18:20" x14ac:dyDescent="0.3">
      <c r="R14485" s="255"/>
      <c r="S14485" s="255"/>
      <c r="T14485" s="255"/>
    </row>
    <row r="14486" spans="18:20" x14ac:dyDescent="0.3">
      <c r="R14486" s="255"/>
      <c r="S14486" s="255"/>
      <c r="T14486" s="255"/>
    </row>
    <row r="14487" spans="18:20" x14ac:dyDescent="0.3">
      <c r="R14487" s="255"/>
      <c r="S14487" s="255"/>
      <c r="T14487" s="255"/>
    </row>
    <row r="14488" spans="18:20" x14ac:dyDescent="0.3">
      <c r="R14488" s="255"/>
      <c r="S14488" s="255"/>
      <c r="T14488" s="255"/>
    </row>
    <row r="14489" spans="18:20" x14ac:dyDescent="0.3">
      <c r="R14489" s="255"/>
      <c r="S14489" s="255"/>
      <c r="T14489" s="255"/>
    </row>
    <row r="14490" spans="18:20" x14ac:dyDescent="0.3">
      <c r="R14490" s="255"/>
      <c r="S14490" s="255"/>
      <c r="T14490" s="255"/>
    </row>
    <row r="14491" spans="18:20" x14ac:dyDescent="0.3">
      <c r="R14491" s="255"/>
      <c r="S14491" s="255"/>
      <c r="T14491" s="255"/>
    </row>
    <row r="14492" spans="18:20" x14ac:dyDescent="0.3">
      <c r="R14492" s="255"/>
      <c r="S14492" s="255"/>
      <c r="T14492" s="255"/>
    </row>
    <row r="14493" spans="18:20" x14ac:dyDescent="0.3">
      <c r="R14493" s="255"/>
      <c r="S14493" s="255"/>
      <c r="T14493" s="255"/>
    </row>
    <row r="14494" spans="18:20" x14ac:dyDescent="0.3">
      <c r="R14494" s="255"/>
      <c r="S14494" s="255"/>
      <c r="T14494" s="255"/>
    </row>
    <row r="14495" spans="18:20" x14ac:dyDescent="0.3">
      <c r="R14495" s="255"/>
      <c r="S14495" s="255"/>
      <c r="T14495" s="255"/>
    </row>
    <row r="14496" spans="18:20" x14ac:dyDescent="0.3">
      <c r="R14496" s="255"/>
      <c r="S14496" s="255"/>
      <c r="T14496" s="255"/>
    </row>
    <row r="14497" spans="18:20" x14ac:dyDescent="0.3">
      <c r="R14497" s="255"/>
      <c r="S14497" s="255"/>
      <c r="T14497" s="255"/>
    </row>
    <row r="14498" spans="18:20" x14ac:dyDescent="0.3">
      <c r="R14498" s="255"/>
      <c r="S14498" s="255"/>
      <c r="T14498" s="255"/>
    </row>
    <row r="14499" spans="18:20" x14ac:dyDescent="0.3">
      <c r="R14499" s="255"/>
      <c r="S14499" s="255"/>
      <c r="T14499" s="255"/>
    </row>
    <row r="14500" spans="18:20" x14ac:dyDescent="0.3">
      <c r="R14500" s="255"/>
      <c r="S14500" s="255"/>
      <c r="T14500" s="255"/>
    </row>
    <row r="14501" spans="18:20" x14ac:dyDescent="0.3">
      <c r="R14501" s="255"/>
      <c r="S14501" s="255"/>
      <c r="T14501" s="255"/>
    </row>
    <row r="14502" spans="18:20" x14ac:dyDescent="0.3">
      <c r="R14502" s="255"/>
      <c r="S14502" s="255"/>
      <c r="T14502" s="255"/>
    </row>
    <row r="14503" spans="18:20" x14ac:dyDescent="0.3">
      <c r="R14503" s="255"/>
      <c r="S14503" s="255"/>
      <c r="T14503" s="255"/>
    </row>
    <row r="14504" spans="18:20" x14ac:dyDescent="0.3">
      <c r="R14504" s="255"/>
      <c r="S14504" s="255"/>
      <c r="T14504" s="255"/>
    </row>
    <row r="14505" spans="18:20" x14ac:dyDescent="0.3">
      <c r="R14505" s="255"/>
      <c r="S14505" s="255"/>
      <c r="T14505" s="255"/>
    </row>
    <row r="14506" spans="18:20" x14ac:dyDescent="0.3">
      <c r="R14506" s="255"/>
      <c r="S14506" s="255"/>
      <c r="T14506" s="255"/>
    </row>
    <row r="14507" spans="18:20" x14ac:dyDescent="0.3">
      <c r="R14507" s="255"/>
      <c r="S14507" s="255"/>
      <c r="T14507" s="255"/>
    </row>
    <row r="14508" spans="18:20" x14ac:dyDescent="0.3">
      <c r="R14508" s="255"/>
      <c r="S14508" s="255"/>
      <c r="T14508" s="255"/>
    </row>
    <row r="14509" spans="18:20" x14ac:dyDescent="0.3">
      <c r="R14509" s="255"/>
      <c r="S14509" s="255"/>
      <c r="T14509" s="255"/>
    </row>
    <row r="14510" spans="18:20" x14ac:dyDescent="0.3">
      <c r="R14510" s="255"/>
      <c r="S14510" s="255"/>
      <c r="T14510" s="255"/>
    </row>
    <row r="14511" spans="18:20" x14ac:dyDescent="0.3">
      <c r="R14511" s="255"/>
      <c r="S14511" s="255"/>
      <c r="T14511" s="255"/>
    </row>
    <row r="14512" spans="18:20" x14ac:dyDescent="0.3">
      <c r="R14512" s="255"/>
      <c r="S14512" s="255"/>
      <c r="T14512" s="255"/>
    </row>
    <row r="14513" spans="18:20" x14ac:dyDescent="0.3">
      <c r="R14513" s="255"/>
      <c r="S14513" s="255"/>
      <c r="T14513" s="255"/>
    </row>
    <row r="14514" spans="18:20" x14ac:dyDescent="0.3">
      <c r="R14514" s="255"/>
      <c r="S14514" s="255"/>
      <c r="T14514" s="255"/>
    </row>
    <row r="14515" spans="18:20" x14ac:dyDescent="0.3">
      <c r="R14515" s="255"/>
      <c r="S14515" s="255"/>
      <c r="T14515" s="255"/>
    </row>
    <row r="14516" spans="18:20" x14ac:dyDescent="0.3">
      <c r="R14516" s="255"/>
      <c r="S14516" s="255"/>
      <c r="T14516" s="255"/>
    </row>
    <row r="14517" spans="18:20" x14ac:dyDescent="0.3">
      <c r="R14517" s="255"/>
      <c r="S14517" s="255"/>
      <c r="T14517" s="255"/>
    </row>
    <row r="14518" spans="18:20" x14ac:dyDescent="0.3">
      <c r="R14518" s="255"/>
      <c r="S14518" s="255"/>
      <c r="T14518" s="255"/>
    </row>
    <row r="14519" spans="18:20" x14ac:dyDescent="0.3">
      <c r="R14519" s="255"/>
      <c r="S14519" s="255"/>
      <c r="T14519" s="255"/>
    </row>
    <row r="14520" spans="18:20" x14ac:dyDescent="0.3">
      <c r="R14520" s="255"/>
      <c r="S14520" s="255"/>
      <c r="T14520" s="255"/>
    </row>
    <row r="14521" spans="18:20" x14ac:dyDescent="0.3">
      <c r="R14521" s="255"/>
      <c r="S14521" s="255"/>
      <c r="T14521" s="255"/>
    </row>
    <row r="14522" spans="18:20" x14ac:dyDescent="0.3">
      <c r="R14522" s="255"/>
      <c r="S14522" s="255"/>
      <c r="T14522" s="255"/>
    </row>
    <row r="14523" spans="18:20" x14ac:dyDescent="0.3">
      <c r="R14523" s="255"/>
      <c r="S14523" s="255"/>
      <c r="T14523" s="255"/>
    </row>
    <row r="14524" spans="18:20" x14ac:dyDescent="0.3">
      <c r="R14524" s="255"/>
      <c r="S14524" s="255"/>
      <c r="T14524" s="255"/>
    </row>
    <row r="14525" spans="18:20" x14ac:dyDescent="0.3">
      <c r="R14525" s="255"/>
      <c r="S14525" s="255"/>
      <c r="T14525" s="255"/>
    </row>
    <row r="14526" spans="18:20" x14ac:dyDescent="0.3">
      <c r="R14526" s="255"/>
      <c r="S14526" s="255"/>
      <c r="T14526" s="255"/>
    </row>
    <row r="14527" spans="18:20" x14ac:dyDescent="0.3">
      <c r="R14527" s="255"/>
      <c r="S14527" s="255"/>
      <c r="T14527" s="255"/>
    </row>
    <row r="14528" spans="18:20" x14ac:dyDescent="0.3">
      <c r="R14528" s="255"/>
      <c r="S14528" s="255"/>
      <c r="T14528" s="255"/>
    </row>
    <row r="14529" spans="18:20" x14ac:dyDescent="0.3">
      <c r="R14529" s="255"/>
      <c r="S14529" s="255"/>
      <c r="T14529" s="255"/>
    </row>
    <row r="14530" spans="18:20" x14ac:dyDescent="0.3">
      <c r="R14530" s="255"/>
      <c r="S14530" s="255"/>
      <c r="T14530" s="255"/>
    </row>
    <row r="14531" spans="18:20" x14ac:dyDescent="0.3">
      <c r="R14531" s="255"/>
      <c r="S14531" s="255"/>
      <c r="T14531" s="255"/>
    </row>
    <row r="14532" spans="18:20" x14ac:dyDescent="0.3">
      <c r="R14532" s="255"/>
      <c r="S14532" s="255"/>
      <c r="T14532" s="255"/>
    </row>
    <row r="14533" spans="18:20" x14ac:dyDescent="0.3">
      <c r="R14533" s="255"/>
      <c r="S14533" s="255"/>
      <c r="T14533" s="255"/>
    </row>
    <row r="14534" spans="18:20" x14ac:dyDescent="0.3">
      <c r="R14534" s="255"/>
      <c r="S14534" s="255"/>
      <c r="T14534" s="255"/>
    </row>
    <row r="14535" spans="18:20" x14ac:dyDescent="0.3">
      <c r="R14535" s="255"/>
      <c r="S14535" s="255"/>
      <c r="T14535" s="255"/>
    </row>
    <row r="14536" spans="18:20" x14ac:dyDescent="0.3">
      <c r="R14536" s="255"/>
      <c r="S14536" s="255"/>
      <c r="T14536" s="255"/>
    </row>
    <row r="14537" spans="18:20" x14ac:dyDescent="0.3">
      <c r="R14537" s="255"/>
      <c r="S14537" s="255"/>
      <c r="T14537" s="255"/>
    </row>
    <row r="14538" spans="18:20" x14ac:dyDescent="0.3">
      <c r="R14538" s="255"/>
      <c r="S14538" s="255"/>
      <c r="T14538" s="255"/>
    </row>
    <row r="14539" spans="18:20" x14ac:dyDescent="0.3">
      <c r="R14539" s="255"/>
      <c r="S14539" s="255"/>
      <c r="T14539" s="255"/>
    </row>
    <row r="14540" spans="18:20" x14ac:dyDescent="0.3">
      <c r="R14540" s="255"/>
      <c r="S14540" s="255"/>
      <c r="T14540" s="255"/>
    </row>
    <row r="14541" spans="18:20" x14ac:dyDescent="0.3">
      <c r="R14541" s="255"/>
      <c r="S14541" s="255"/>
      <c r="T14541" s="255"/>
    </row>
    <row r="14542" spans="18:20" x14ac:dyDescent="0.3">
      <c r="R14542" s="255"/>
      <c r="S14542" s="255"/>
      <c r="T14542" s="255"/>
    </row>
    <row r="14543" spans="18:20" x14ac:dyDescent="0.3">
      <c r="R14543" s="255"/>
      <c r="S14543" s="255"/>
      <c r="T14543" s="255"/>
    </row>
    <row r="14544" spans="18:20" x14ac:dyDescent="0.3">
      <c r="R14544" s="255"/>
      <c r="S14544" s="255"/>
      <c r="T14544" s="255"/>
    </row>
    <row r="14545" spans="18:20" x14ac:dyDescent="0.3">
      <c r="R14545" s="255"/>
      <c r="S14545" s="255"/>
      <c r="T14545" s="255"/>
    </row>
    <row r="14546" spans="18:20" x14ac:dyDescent="0.3">
      <c r="R14546" s="255"/>
      <c r="S14546" s="255"/>
      <c r="T14546" s="255"/>
    </row>
    <row r="14547" spans="18:20" x14ac:dyDescent="0.3">
      <c r="R14547" s="255"/>
      <c r="S14547" s="255"/>
      <c r="T14547" s="255"/>
    </row>
    <row r="14548" spans="18:20" x14ac:dyDescent="0.3">
      <c r="R14548" s="255"/>
      <c r="S14548" s="255"/>
      <c r="T14548" s="255"/>
    </row>
    <row r="14549" spans="18:20" x14ac:dyDescent="0.3">
      <c r="R14549" s="255"/>
      <c r="S14549" s="255"/>
      <c r="T14549" s="255"/>
    </row>
    <row r="14550" spans="18:20" x14ac:dyDescent="0.3">
      <c r="R14550" s="255"/>
      <c r="S14550" s="255"/>
      <c r="T14550" s="255"/>
    </row>
    <row r="14551" spans="18:20" x14ac:dyDescent="0.3">
      <c r="R14551" s="255"/>
      <c r="S14551" s="255"/>
      <c r="T14551" s="255"/>
    </row>
    <row r="14552" spans="18:20" x14ac:dyDescent="0.3">
      <c r="R14552" s="255"/>
      <c r="S14552" s="255"/>
      <c r="T14552" s="255"/>
    </row>
    <row r="14553" spans="18:20" x14ac:dyDescent="0.3">
      <c r="R14553" s="255"/>
      <c r="S14553" s="255"/>
      <c r="T14553" s="255"/>
    </row>
    <row r="14554" spans="18:20" x14ac:dyDescent="0.3">
      <c r="R14554" s="255"/>
      <c r="S14554" s="255"/>
      <c r="T14554" s="255"/>
    </row>
    <row r="14555" spans="18:20" x14ac:dyDescent="0.3">
      <c r="R14555" s="255"/>
      <c r="S14555" s="255"/>
      <c r="T14555" s="255"/>
    </row>
    <row r="14556" spans="18:20" x14ac:dyDescent="0.3">
      <c r="R14556" s="255"/>
      <c r="S14556" s="255"/>
      <c r="T14556" s="255"/>
    </row>
    <row r="14557" spans="18:20" x14ac:dyDescent="0.3">
      <c r="R14557" s="255"/>
      <c r="S14557" s="255"/>
      <c r="T14557" s="255"/>
    </row>
    <row r="14558" spans="18:20" x14ac:dyDescent="0.3">
      <c r="R14558" s="255"/>
      <c r="S14558" s="255"/>
      <c r="T14558" s="255"/>
    </row>
    <row r="14559" spans="18:20" x14ac:dyDescent="0.3">
      <c r="R14559" s="255"/>
      <c r="S14559" s="255"/>
      <c r="T14559" s="255"/>
    </row>
    <row r="14560" spans="18:20" x14ac:dyDescent="0.3">
      <c r="R14560" s="255"/>
      <c r="S14560" s="255"/>
      <c r="T14560" s="255"/>
    </row>
    <row r="14561" spans="18:20" x14ac:dyDescent="0.3">
      <c r="R14561" s="255"/>
      <c r="S14561" s="255"/>
      <c r="T14561" s="255"/>
    </row>
    <row r="14562" spans="18:20" x14ac:dyDescent="0.3">
      <c r="R14562" s="255"/>
      <c r="S14562" s="255"/>
      <c r="T14562" s="255"/>
    </row>
    <row r="14563" spans="18:20" x14ac:dyDescent="0.3">
      <c r="R14563" s="255"/>
      <c r="S14563" s="255"/>
      <c r="T14563" s="255"/>
    </row>
    <row r="14564" spans="18:20" x14ac:dyDescent="0.3">
      <c r="R14564" s="255"/>
      <c r="S14564" s="255"/>
      <c r="T14564" s="255"/>
    </row>
    <row r="14565" spans="18:20" x14ac:dyDescent="0.3">
      <c r="R14565" s="255"/>
      <c r="S14565" s="255"/>
      <c r="T14565" s="255"/>
    </row>
    <row r="14566" spans="18:20" x14ac:dyDescent="0.3">
      <c r="R14566" s="255"/>
      <c r="S14566" s="255"/>
      <c r="T14566" s="255"/>
    </row>
    <row r="14567" spans="18:20" x14ac:dyDescent="0.3">
      <c r="R14567" s="255"/>
      <c r="S14567" s="255"/>
      <c r="T14567" s="255"/>
    </row>
    <row r="14568" spans="18:20" x14ac:dyDescent="0.3">
      <c r="R14568" s="255"/>
      <c r="S14568" s="255"/>
      <c r="T14568" s="255"/>
    </row>
    <row r="14569" spans="18:20" x14ac:dyDescent="0.3">
      <c r="R14569" s="255"/>
      <c r="S14569" s="255"/>
      <c r="T14569" s="255"/>
    </row>
    <row r="14570" spans="18:20" x14ac:dyDescent="0.3">
      <c r="R14570" s="255"/>
      <c r="S14570" s="255"/>
      <c r="T14570" s="255"/>
    </row>
    <row r="14571" spans="18:20" x14ac:dyDescent="0.3">
      <c r="R14571" s="255"/>
      <c r="S14571" s="255"/>
      <c r="T14571" s="255"/>
    </row>
    <row r="14572" spans="18:20" x14ac:dyDescent="0.3">
      <c r="R14572" s="255"/>
      <c r="S14572" s="255"/>
      <c r="T14572" s="255"/>
    </row>
    <row r="14573" spans="18:20" x14ac:dyDescent="0.3">
      <c r="R14573" s="255"/>
      <c r="S14573" s="255"/>
      <c r="T14573" s="255"/>
    </row>
    <row r="14574" spans="18:20" x14ac:dyDescent="0.3">
      <c r="R14574" s="255"/>
      <c r="S14574" s="255"/>
      <c r="T14574" s="255"/>
    </row>
    <row r="14575" spans="18:20" x14ac:dyDescent="0.3">
      <c r="R14575" s="255"/>
      <c r="S14575" s="255"/>
      <c r="T14575" s="255"/>
    </row>
    <row r="14576" spans="18:20" x14ac:dyDescent="0.3">
      <c r="R14576" s="255"/>
      <c r="S14576" s="255"/>
      <c r="T14576" s="255"/>
    </row>
    <row r="14577" spans="18:20" x14ac:dyDescent="0.3">
      <c r="R14577" s="255"/>
      <c r="S14577" s="255"/>
      <c r="T14577" s="255"/>
    </row>
    <row r="14578" spans="18:20" x14ac:dyDescent="0.3">
      <c r="R14578" s="255"/>
      <c r="S14578" s="255"/>
      <c r="T14578" s="255"/>
    </row>
    <row r="14579" spans="18:20" x14ac:dyDescent="0.3">
      <c r="R14579" s="255"/>
      <c r="S14579" s="255"/>
      <c r="T14579" s="255"/>
    </row>
    <row r="14580" spans="18:20" x14ac:dyDescent="0.3">
      <c r="R14580" s="255"/>
      <c r="S14580" s="255"/>
      <c r="T14580" s="255"/>
    </row>
    <row r="14581" spans="18:20" x14ac:dyDescent="0.3">
      <c r="R14581" s="255"/>
      <c r="S14581" s="255"/>
      <c r="T14581" s="255"/>
    </row>
    <row r="14582" spans="18:20" x14ac:dyDescent="0.3">
      <c r="R14582" s="255"/>
      <c r="S14582" s="255"/>
      <c r="T14582" s="255"/>
    </row>
    <row r="14583" spans="18:20" x14ac:dyDescent="0.3">
      <c r="R14583" s="255"/>
      <c r="S14583" s="255"/>
      <c r="T14583" s="255"/>
    </row>
    <row r="14584" spans="18:20" x14ac:dyDescent="0.3">
      <c r="R14584" s="255"/>
      <c r="S14584" s="255"/>
      <c r="T14584" s="255"/>
    </row>
    <row r="14585" spans="18:20" x14ac:dyDescent="0.3">
      <c r="R14585" s="255"/>
      <c r="S14585" s="255"/>
      <c r="T14585" s="255"/>
    </row>
    <row r="14586" spans="18:20" x14ac:dyDescent="0.3">
      <c r="R14586" s="255"/>
      <c r="S14586" s="255"/>
      <c r="T14586" s="255"/>
    </row>
    <row r="14587" spans="18:20" x14ac:dyDescent="0.3">
      <c r="R14587" s="255"/>
      <c r="S14587" s="255"/>
      <c r="T14587" s="255"/>
    </row>
    <row r="14588" spans="18:20" x14ac:dyDescent="0.3">
      <c r="R14588" s="255"/>
      <c r="S14588" s="255"/>
      <c r="T14588" s="255"/>
    </row>
    <row r="14589" spans="18:20" x14ac:dyDescent="0.3">
      <c r="R14589" s="255"/>
      <c r="S14589" s="255"/>
      <c r="T14589" s="255"/>
    </row>
    <row r="14590" spans="18:20" x14ac:dyDescent="0.3">
      <c r="R14590" s="255"/>
      <c r="S14590" s="255"/>
      <c r="T14590" s="255"/>
    </row>
    <row r="14591" spans="18:20" x14ac:dyDescent="0.3">
      <c r="R14591" s="255"/>
      <c r="S14591" s="255"/>
      <c r="T14591" s="255"/>
    </row>
    <row r="14592" spans="18:20" x14ac:dyDescent="0.3">
      <c r="R14592" s="255"/>
      <c r="S14592" s="255"/>
      <c r="T14592" s="255"/>
    </row>
    <row r="14593" spans="18:20" x14ac:dyDescent="0.3">
      <c r="R14593" s="255"/>
      <c r="S14593" s="255"/>
      <c r="T14593" s="255"/>
    </row>
    <row r="14594" spans="18:20" x14ac:dyDescent="0.3">
      <c r="R14594" s="255"/>
      <c r="S14594" s="255"/>
      <c r="T14594" s="255"/>
    </row>
    <row r="14595" spans="18:20" x14ac:dyDescent="0.3">
      <c r="R14595" s="255"/>
      <c r="S14595" s="255"/>
      <c r="T14595" s="255"/>
    </row>
    <row r="14596" spans="18:20" x14ac:dyDescent="0.3">
      <c r="R14596" s="255"/>
      <c r="S14596" s="255"/>
      <c r="T14596" s="255"/>
    </row>
    <row r="14597" spans="18:20" x14ac:dyDescent="0.3">
      <c r="R14597" s="255"/>
      <c r="S14597" s="255"/>
      <c r="T14597" s="255"/>
    </row>
    <row r="14598" spans="18:20" x14ac:dyDescent="0.3">
      <c r="R14598" s="255"/>
      <c r="S14598" s="255"/>
      <c r="T14598" s="255"/>
    </row>
    <row r="14599" spans="18:20" x14ac:dyDescent="0.3">
      <c r="R14599" s="255"/>
      <c r="S14599" s="255"/>
      <c r="T14599" s="255"/>
    </row>
    <row r="14600" spans="18:20" x14ac:dyDescent="0.3">
      <c r="R14600" s="255"/>
      <c r="S14600" s="255"/>
      <c r="T14600" s="255"/>
    </row>
    <row r="14601" spans="18:20" x14ac:dyDescent="0.3">
      <c r="R14601" s="255"/>
      <c r="S14601" s="255"/>
      <c r="T14601" s="255"/>
    </row>
    <row r="14602" spans="18:20" x14ac:dyDescent="0.3">
      <c r="R14602" s="255"/>
      <c r="S14602" s="255"/>
      <c r="T14602" s="255"/>
    </row>
    <row r="14603" spans="18:20" x14ac:dyDescent="0.3">
      <c r="R14603" s="255"/>
      <c r="S14603" s="255"/>
      <c r="T14603" s="255"/>
    </row>
    <row r="14604" spans="18:20" x14ac:dyDescent="0.3">
      <c r="R14604" s="255"/>
      <c r="S14604" s="255"/>
      <c r="T14604" s="255"/>
    </row>
    <row r="14605" spans="18:20" x14ac:dyDescent="0.3">
      <c r="R14605" s="255"/>
      <c r="S14605" s="255"/>
      <c r="T14605" s="255"/>
    </row>
    <row r="14606" spans="18:20" x14ac:dyDescent="0.3">
      <c r="R14606" s="255"/>
      <c r="S14606" s="255"/>
      <c r="T14606" s="255"/>
    </row>
    <row r="14607" spans="18:20" x14ac:dyDescent="0.3">
      <c r="R14607" s="255"/>
      <c r="S14607" s="255"/>
      <c r="T14607" s="255"/>
    </row>
    <row r="14608" spans="18:20" x14ac:dyDescent="0.3">
      <c r="R14608" s="255"/>
      <c r="S14608" s="255"/>
      <c r="T14608" s="255"/>
    </row>
    <row r="14609" spans="18:20" x14ac:dyDescent="0.3">
      <c r="R14609" s="255"/>
      <c r="S14609" s="255"/>
      <c r="T14609" s="255"/>
    </row>
    <row r="14610" spans="18:20" x14ac:dyDescent="0.3">
      <c r="R14610" s="255"/>
      <c r="S14610" s="255"/>
      <c r="T14610" s="255"/>
    </row>
    <row r="14611" spans="18:20" x14ac:dyDescent="0.3">
      <c r="R14611" s="255"/>
      <c r="S14611" s="255"/>
      <c r="T14611" s="255"/>
    </row>
    <row r="14612" spans="18:20" x14ac:dyDescent="0.3">
      <c r="R14612" s="255"/>
      <c r="S14612" s="255"/>
      <c r="T14612" s="255"/>
    </row>
    <row r="14613" spans="18:20" x14ac:dyDescent="0.3">
      <c r="R14613" s="255"/>
      <c r="S14613" s="255"/>
      <c r="T14613" s="255"/>
    </row>
    <row r="14614" spans="18:20" x14ac:dyDescent="0.3">
      <c r="R14614" s="255"/>
      <c r="S14614" s="255"/>
      <c r="T14614" s="255"/>
    </row>
    <row r="14615" spans="18:20" x14ac:dyDescent="0.3">
      <c r="R14615" s="255"/>
      <c r="S14615" s="255"/>
      <c r="T14615" s="255"/>
    </row>
    <row r="14616" spans="18:20" x14ac:dyDescent="0.3">
      <c r="R14616" s="255"/>
      <c r="S14616" s="255"/>
      <c r="T14616" s="255"/>
    </row>
    <row r="14617" spans="18:20" x14ac:dyDescent="0.3">
      <c r="R14617" s="255"/>
      <c r="S14617" s="255"/>
      <c r="T14617" s="255"/>
    </row>
    <row r="14618" spans="18:20" x14ac:dyDescent="0.3">
      <c r="R14618" s="255"/>
      <c r="S14618" s="255"/>
      <c r="T14618" s="255"/>
    </row>
    <row r="14619" spans="18:20" x14ac:dyDescent="0.3">
      <c r="R14619" s="255"/>
      <c r="S14619" s="255"/>
      <c r="T14619" s="255"/>
    </row>
    <row r="14620" spans="18:20" x14ac:dyDescent="0.3">
      <c r="R14620" s="255"/>
      <c r="S14620" s="255"/>
      <c r="T14620" s="255"/>
    </row>
    <row r="14621" spans="18:20" x14ac:dyDescent="0.3">
      <c r="R14621" s="255"/>
      <c r="S14621" s="255"/>
      <c r="T14621" s="255"/>
    </row>
    <row r="14622" spans="18:20" x14ac:dyDescent="0.3">
      <c r="R14622" s="255"/>
      <c r="S14622" s="255"/>
      <c r="T14622" s="255"/>
    </row>
    <row r="14623" spans="18:20" x14ac:dyDescent="0.3">
      <c r="R14623" s="255"/>
      <c r="S14623" s="255"/>
      <c r="T14623" s="255"/>
    </row>
    <row r="14624" spans="18:20" x14ac:dyDescent="0.3">
      <c r="R14624" s="255"/>
      <c r="S14624" s="255"/>
      <c r="T14624" s="255"/>
    </row>
    <row r="14625" spans="18:20" x14ac:dyDescent="0.3">
      <c r="R14625" s="255"/>
      <c r="S14625" s="255"/>
      <c r="T14625" s="255"/>
    </row>
    <row r="14626" spans="18:20" x14ac:dyDescent="0.3">
      <c r="R14626" s="255"/>
      <c r="S14626" s="255"/>
      <c r="T14626" s="255"/>
    </row>
    <row r="14627" spans="18:20" x14ac:dyDescent="0.3">
      <c r="R14627" s="255"/>
      <c r="S14627" s="255"/>
      <c r="T14627" s="255"/>
    </row>
    <row r="14628" spans="18:20" x14ac:dyDescent="0.3">
      <c r="R14628" s="255"/>
      <c r="S14628" s="255"/>
      <c r="T14628" s="255"/>
    </row>
    <row r="14629" spans="18:20" x14ac:dyDescent="0.3">
      <c r="R14629" s="255"/>
      <c r="S14629" s="255"/>
      <c r="T14629" s="255"/>
    </row>
    <row r="14630" spans="18:20" x14ac:dyDescent="0.3">
      <c r="R14630" s="255"/>
      <c r="S14630" s="255"/>
      <c r="T14630" s="255"/>
    </row>
    <row r="14631" spans="18:20" x14ac:dyDescent="0.3">
      <c r="R14631" s="255"/>
      <c r="S14631" s="255"/>
      <c r="T14631" s="255"/>
    </row>
    <row r="14632" spans="18:20" x14ac:dyDescent="0.3">
      <c r="R14632" s="255"/>
      <c r="S14632" s="255"/>
      <c r="T14632" s="255"/>
    </row>
    <row r="14633" spans="18:20" x14ac:dyDescent="0.3">
      <c r="R14633" s="255"/>
      <c r="S14633" s="255"/>
      <c r="T14633" s="255"/>
    </row>
    <row r="14634" spans="18:20" x14ac:dyDescent="0.3">
      <c r="R14634" s="255"/>
      <c r="S14634" s="255"/>
      <c r="T14634" s="255"/>
    </row>
    <row r="14635" spans="18:20" x14ac:dyDescent="0.3">
      <c r="R14635" s="255"/>
      <c r="S14635" s="255"/>
      <c r="T14635" s="255"/>
    </row>
    <row r="14636" spans="18:20" x14ac:dyDescent="0.3">
      <c r="R14636" s="255"/>
      <c r="S14636" s="255"/>
      <c r="T14636" s="255"/>
    </row>
    <row r="14637" spans="18:20" x14ac:dyDescent="0.3">
      <c r="R14637" s="255"/>
      <c r="S14637" s="255"/>
      <c r="T14637" s="255"/>
    </row>
    <row r="14638" spans="18:20" x14ac:dyDescent="0.3">
      <c r="R14638" s="255"/>
      <c r="S14638" s="255"/>
      <c r="T14638" s="255"/>
    </row>
    <row r="14639" spans="18:20" x14ac:dyDescent="0.3">
      <c r="R14639" s="255"/>
      <c r="S14639" s="255"/>
      <c r="T14639" s="255"/>
    </row>
    <row r="14640" spans="18:20" x14ac:dyDescent="0.3">
      <c r="R14640" s="255"/>
      <c r="S14640" s="255"/>
      <c r="T14640" s="255"/>
    </row>
    <row r="14641" spans="18:20" x14ac:dyDescent="0.3">
      <c r="R14641" s="255"/>
      <c r="S14641" s="255"/>
      <c r="T14641" s="255"/>
    </row>
    <row r="14642" spans="18:20" x14ac:dyDescent="0.3">
      <c r="R14642" s="255"/>
      <c r="S14642" s="255"/>
      <c r="T14642" s="255"/>
    </row>
    <row r="14643" spans="18:20" x14ac:dyDescent="0.3">
      <c r="R14643" s="255"/>
      <c r="S14643" s="255"/>
      <c r="T14643" s="255"/>
    </row>
    <row r="14644" spans="18:20" x14ac:dyDescent="0.3">
      <c r="R14644" s="255"/>
      <c r="S14644" s="255"/>
      <c r="T14644" s="255"/>
    </row>
    <row r="14645" spans="18:20" x14ac:dyDescent="0.3">
      <c r="R14645" s="255"/>
      <c r="S14645" s="255"/>
      <c r="T14645" s="255"/>
    </row>
    <row r="14646" spans="18:20" x14ac:dyDescent="0.3">
      <c r="R14646" s="255"/>
      <c r="S14646" s="255"/>
      <c r="T14646" s="255"/>
    </row>
    <row r="14647" spans="18:20" x14ac:dyDescent="0.3">
      <c r="R14647" s="255"/>
      <c r="S14647" s="255"/>
      <c r="T14647" s="255"/>
    </row>
    <row r="14648" spans="18:20" x14ac:dyDescent="0.3">
      <c r="R14648" s="255"/>
      <c r="S14648" s="255"/>
      <c r="T14648" s="255"/>
    </row>
    <row r="14649" spans="18:20" x14ac:dyDescent="0.3">
      <c r="R14649" s="255"/>
      <c r="S14649" s="255"/>
      <c r="T14649" s="255"/>
    </row>
    <row r="14650" spans="18:20" x14ac:dyDescent="0.3">
      <c r="R14650" s="255"/>
      <c r="S14650" s="255"/>
      <c r="T14650" s="255"/>
    </row>
    <row r="14651" spans="18:20" x14ac:dyDescent="0.3">
      <c r="R14651" s="255"/>
      <c r="S14651" s="255"/>
      <c r="T14651" s="255"/>
    </row>
    <row r="14652" spans="18:20" x14ac:dyDescent="0.3">
      <c r="R14652" s="255"/>
      <c r="S14652" s="255"/>
      <c r="T14652" s="255"/>
    </row>
    <row r="14653" spans="18:20" x14ac:dyDescent="0.3">
      <c r="R14653" s="255"/>
      <c r="S14653" s="255"/>
      <c r="T14653" s="255"/>
    </row>
    <row r="14654" spans="18:20" x14ac:dyDescent="0.3">
      <c r="R14654" s="255"/>
      <c r="S14654" s="255"/>
      <c r="T14654" s="255"/>
    </row>
    <row r="14655" spans="18:20" x14ac:dyDescent="0.3">
      <c r="R14655" s="255"/>
      <c r="S14655" s="255"/>
      <c r="T14655" s="255"/>
    </row>
    <row r="14656" spans="18:20" x14ac:dyDescent="0.3">
      <c r="R14656" s="255"/>
      <c r="S14656" s="255"/>
      <c r="T14656" s="255"/>
    </row>
    <row r="14657" spans="18:20" x14ac:dyDescent="0.3">
      <c r="R14657" s="255"/>
      <c r="S14657" s="255"/>
      <c r="T14657" s="255"/>
    </row>
    <row r="14658" spans="18:20" x14ac:dyDescent="0.3">
      <c r="R14658" s="255"/>
      <c r="S14658" s="255"/>
      <c r="T14658" s="255"/>
    </row>
    <row r="14659" spans="18:20" x14ac:dyDescent="0.3">
      <c r="R14659" s="255"/>
      <c r="S14659" s="255"/>
      <c r="T14659" s="255"/>
    </row>
    <row r="14660" spans="18:20" x14ac:dyDescent="0.3">
      <c r="R14660" s="255"/>
      <c r="S14660" s="255"/>
      <c r="T14660" s="255"/>
    </row>
    <row r="14661" spans="18:20" x14ac:dyDescent="0.3">
      <c r="R14661" s="255"/>
      <c r="S14661" s="255"/>
      <c r="T14661" s="255"/>
    </row>
    <row r="14662" spans="18:20" x14ac:dyDescent="0.3">
      <c r="R14662" s="255"/>
      <c r="S14662" s="255"/>
      <c r="T14662" s="255"/>
    </row>
    <row r="14663" spans="18:20" x14ac:dyDescent="0.3">
      <c r="R14663" s="255"/>
      <c r="S14663" s="255"/>
      <c r="T14663" s="255"/>
    </row>
    <row r="14664" spans="18:20" x14ac:dyDescent="0.3">
      <c r="R14664" s="255"/>
      <c r="S14664" s="255"/>
      <c r="T14664" s="255"/>
    </row>
    <row r="14665" spans="18:20" x14ac:dyDescent="0.3">
      <c r="R14665" s="255"/>
      <c r="S14665" s="255"/>
      <c r="T14665" s="255"/>
    </row>
    <row r="14666" spans="18:20" x14ac:dyDescent="0.3">
      <c r="R14666" s="255"/>
      <c r="S14666" s="255"/>
      <c r="T14666" s="255"/>
    </row>
    <row r="14667" spans="18:20" x14ac:dyDescent="0.3">
      <c r="R14667" s="255"/>
      <c r="S14667" s="255"/>
      <c r="T14667" s="255"/>
    </row>
    <row r="14668" spans="18:20" x14ac:dyDescent="0.3">
      <c r="R14668" s="255"/>
      <c r="S14668" s="255"/>
      <c r="T14668" s="255"/>
    </row>
    <row r="14669" spans="18:20" x14ac:dyDescent="0.3">
      <c r="R14669" s="255"/>
      <c r="S14669" s="255"/>
      <c r="T14669" s="255"/>
    </row>
    <row r="14670" spans="18:20" x14ac:dyDescent="0.3">
      <c r="R14670" s="255"/>
      <c r="S14670" s="255"/>
      <c r="T14670" s="255"/>
    </row>
    <row r="14671" spans="18:20" x14ac:dyDescent="0.3">
      <c r="R14671" s="255"/>
      <c r="S14671" s="255"/>
      <c r="T14671" s="255"/>
    </row>
    <row r="14672" spans="18:20" x14ac:dyDescent="0.3">
      <c r="R14672" s="255"/>
      <c r="S14672" s="255"/>
      <c r="T14672" s="255"/>
    </row>
    <row r="14673" spans="18:20" x14ac:dyDescent="0.3">
      <c r="R14673" s="255"/>
      <c r="S14673" s="255"/>
      <c r="T14673" s="255"/>
    </row>
    <row r="14674" spans="18:20" x14ac:dyDescent="0.3">
      <c r="R14674" s="255"/>
      <c r="S14674" s="255"/>
      <c r="T14674" s="255"/>
    </row>
    <row r="14675" spans="18:20" x14ac:dyDescent="0.3">
      <c r="R14675" s="255"/>
      <c r="S14675" s="255"/>
      <c r="T14675" s="255"/>
    </row>
    <row r="14676" spans="18:20" x14ac:dyDescent="0.3">
      <c r="R14676" s="255"/>
      <c r="S14676" s="255"/>
      <c r="T14676" s="255"/>
    </row>
    <row r="14677" spans="18:20" x14ac:dyDescent="0.3">
      <c r="R14677" s="255"/>
      <c r="S14677" s="255"/>
      <c r="T14677" s="255"/>
    </row>
    <row r="14678" spans="18:20" x14ac:dyDescent="0.3">
      <c r="R14678" s="255"/>
      <c r="S14678" s="255"/>
      <c r="T14678" s="255"/>
    </row>
    <row r="14679" spans="18:20" x14ac:dyDescent="0.3">
      <c r="R14679" s="255"/>
      <c r="S14679" s="255"/>
      <c r="T14679" s="255"/>
    </row>
    <row r="14680" spans="18:20" x14ac:dyDescent="0.3">
      <c r="R14680" s="255"/>
      <c r="S14680" s="255"/>
      <c r="T14680" s="255"/>
    </row>
    <row r="14681" spans="18:20" x14ac:dyDescent="0.3">
      <c r="R14681" s="255"/>
      <c r="S14681" s="255"/>
      <c r="T14681" s="255"/>
    </row>
    <row r="14682" spans="18:20" x14ac:dyDescent="0.3">
      <c r="R14682" s="255"/>
      <c r="S14682" s="255"/>
      <c r="T14682" s="255"/>
    </row>
    <row r="14683" spans="18:20" x14ac:dyDescent="0.3">
      <c r="R14683" s="255"/>
      <c r="S14683" s="255"/>
      <c r="T14683" s="255"/>
    </row>
    <row r="14684" spans="18:20" x14ac:dyDescent="0.3">
      <c r="R14684" s="255"/>
      <c r="S14684" s="255"/>
      <c r="T14684" s="255"/>
    </row>
    <row r="14685" spans="18:20" x14ac:dyDescent="0.3">
      <c r="R14685" s="255"/>
      <c r="S14685" s="255"/>
      <c r="T14685" s="255"/>
    </row>
    <row r="14686" spans="18:20" x14ac:dyDescent="0.3">
      <c r="R14686" s="255"/>
      <c r="S14686" s="255"/>
      <c r="T14686" s="255"/>
    </row>
    <row r="14687" spans="18:20" x14ac:dyDescent="0.3">
      <c r="R14687" s="255"/>
      <c r="S14687" s="255"/>
      <c r="T14687" s="255"/>
    </row>
    <row r="14688" spans="18:20" x14ac:dyDescent="0.3">
      <c r="R14688" s="255"/>
      <c r="S14688" s="255"/>
      <c r="T14688" s="255"/>
    </row>
    <row r="14689" spans="18:20" x14ac:dyDescent="0.3">
      <c r="R14689" s="255"/>
      <c r="S14689" s="255"/>
      <c r="T14689" s="255"/>
    </row>
    <row r="14690" spans="18:20" x14ac:dyDescent="0.3">
      <c r="R14690" s="255"/>
      <c r="S14690" s="255"/>
      <c r="T14690" s="255"/>
    </row>
    <row r="14691" spans="18:20" x14ac:dyDescent="0.3">
      <c r="R14691" s="255"/>
      <c r="S14691" s="255"/>
      <c r="T14691" s="255"/>
    </row>
    <row r="14692" spans="18:20" x14ac:dyDescent="0.3">
      <c r="R14692" s="255"/>
      <c r="S14692" s="255"/>
      <c r="T14692" s="255"/>
    </row>
    <row r="14693" spans="18:20" x14ac:dyDescent="0.3">
      <c r="R14693" s="255"/>
      <c r="S14693" s="255"/>
      <c r="T14693" s="255"/>
    </row>
    <row r="14694" spans="18:20" x14ac:dyDescent="0.3">
      <c r="R14694" s="255"/>
      <c r="S14694" s="255"/>
      <c r="T14694" s="255"/>
    </row>
    <row r="14695" spans="18:20" x14ac:dyDescent="0.3">
      <c r="R14695" s="255"/>
      <c r="S14695" s="255"/>
      <c r="T14695" s="255"/>
    </row>
    <row r="14696" spans="18:20" x14ac:dyDescent="0.3">
      <c r="R14696" s="255"/>
      <c r="S14696" s="255"/>
      <c r="T14696" s="255"/>
    </row>
    <row r="14697" spans="18:20" x14ac:dyDescent="0.3">
      <c r="R14697" s="255"/>
      <c r="S14697" s="255"/>
      <c r="T14697" s="255"/>
    </row>
    <row r="14698" spans="18:20" x14ac:dyDescent="0.3">
      <c r="R14698" s="255"/>
      <c r="S14698" s="255"/>
      <c r="T14698" s="255"/>
    </row>
    <row r="14699" spans="18:20" x14ac:dyDescent="0.3">
      <c r="R14699" s="255"/>
      <c r="S14699" s="255"/>
      <c r="T14699" s="255"/>
    </row>
    <row r="14700" spans="18:20" x14ac:dyDescent="0.3">
      <c r="R14700" s="255"/>
      <c r="S14700" s="255"/>
      <c r="T14700" s="255"/>
    </row>
    <row r="14701" spans="18:20" x14ac:dyDescent="0.3">
      <c r="R14701" s="255"/>
      <c r="S14701" s="255"/>
      <c r="T14701" s="255"/>
    </row>
    <row r="14702" spans="18:20" x14ac:dyDescent="0.3">
      <c r="R14702" s="255"/>
      <c r="S14702" s="255"/>
      <c r="T14702" s="255"/>
    </row>
    <row r="14703" spans="18:20" x14ac:dyDescent="0.3">
      <c r="R14703" s="255"/>
      <c r="S14703" s="255"/>
      <c r="T14703" s="255"/>
    </row>
    <row r="14704" spans="18:20" x14ac:dyDescent="0.3">
      <c r="R14704" s="255"/>
      <c r="S14704" s="255"/>
      <c r="T14704" s="255"/>
    </row>
    <row r="14705" spans="18:20" x14ac:dyDescent="0.3">
      <c r="R14705" s="255"/>
      <c r="S14705" s="255"/>
      <c r="T14705" s="255"/>
    </row>
    <row r="14706" spans="18:20" x14ac:dyDescent="0.3">
      <c r="R14706" s="255"/>
      <c r="S14706" s="255"/>
      <c r="T14706" s="255"/>
    </row>
    <row r="14707" spans="18:20" x14ac:dyDescent="0.3">
      <c r="R14707" s="255"/>
      <c r="S14707" s="255"/>
      <c r="T14707" s="255"/>
    </row>
    <row r="14708" spans="18:20" x14ac:dyDescent="0.3">
      <c r="R14708" s="255"/>
      <c r="S14708" s="255"/>
      <c r="T14708" s="255"/>
    </row>
    <row r="14709" spans="18:20" x14ac:dyDescent="0.3">
      <c r="R14709" s="255"/>
      <c r="S14709" s="255"/>
      <c r="T14709" s="255"/>
    </row>
    <row r="14710" spans="18:20" x14ac:dyDescent="0.3">
      <c r="R14710" s="255"/>
      <c r="S14710" s="255"/>
      <c r="T14710" s="255"/>
    </row>
    <row r="14711" spans="18:20" x14ac:dyDescent="0.3">
      <c r="R14711" s="255"/>
      <c r="S14711" s="255"/>
      <c r="T14711" s="255"/>
    </row>
    <row r="14712" spans="18:20" x14ac:dyDescent="0.3">
      <c r="R14712" s="255"/>
      <c r="S14712" s="255"/>
      <c r="T14712" s="255"/>
    </row>
    <row r="14713" spans="18:20" x14ac:dyDescent="0.3">
      <c r="R14713" s="255"/>
      <c r="S14713" s="255"/>
      <c r="T14713" s="255"/>
    </row>
    <row r="14714" spans="18:20" x14ac:dyDescent="0.3">
      <c r="R14714" s="255"/>
      <c r="S14714" s="255"/>
      <c r="T14714" s="255"/>
    </row>
    <row r="14715" spans="18:20" x14ac:dyDescent="0.3">
      <c r="R14715" s="255"/>
      <c r="S14715" s="255"/>
      <c r="T14715" s="255"/>
    </row>
    <row r="14716" spans="18:20" x14ac:dyDescent="0.3">
      <c r="R14716" s="255"/>
      <c r="S14716" s="255"/>
      <c r="T14716" s="255"/>
    </row>
    <row r="14717" spans="18:20" x14ac:dyDescent="0.3">
      <c r="R14717" s="255"/>
      <c r="S14717" s="255"/>
      <c r="T14717" s="255"/>
    </row>
    <row r="14718" spans="18:20" x14ac:dyDescent="0.3">
      <c r="R14718" s="255"/>
      <c r="S14718" s="255"/>
      <c r="T14718" s="255"/>
    </row>
    <row r="14719" spans="18:20" x14ac:dyDescent="0.3">
      <c r="R14719" s="255"/>
      <c r="S14719" s="255"/>
      <c r="T14719" s="255"/>
    </row>
    <row r="14720" spans="18:20" x14ac:dyDescent="0.3">
      <c r="R14720" s="255"/>
      <c r="S14720" s="255"/>
      <c r="T14720" s="255"/>
    </row>
    <row r="14721" spans="18:20" x14ac:dyDescent="0.3">
      <c r="R14721" s="255"/>
      <c r="S14721" s="255"/>
      <c r="T14721" s="255"/>
    </row>
    <row r="14722" spans="18:20" x14ac:dyDescent="0.3">
      <c r="R14722" s="255"/>
      <c r="S14722" s="255"/>
      <c r="T14722" s="255"/>
    </row>
    <row r="14723" spans="18:20" x14ac:dyDescent="0.3">
      <c r="R14723" s="255"/>
      <c r="S14723" s="255"/>
      <c r="T14723" s="255"/>
    </row>
    <row r="14724" spans="18:20" x14ac:dyDescent="0.3">
      <c r="R14724" s="255"/>
      <c r="S14724" s="255"/>
      <c r="T14724" s="255"/>
    </row>
    <row r="14725" spans="18:20" x14ac:dyDescent="0.3">
      <c r="R14725" s="255"/>
      <c r="S14725" s="255"/>
      <c r="T14725" s="255"/>
    </row>
    <row r="14726" spans="18:20" x14ac:dyDescent="0.3">
      <c r="R14726" s="255"/>
      <c r="S14726" s="255"/>
      <c r="T14726" s="255"/>
    </row>
    <row r="14727" spans="18:20" x14ac:dyDescent="0.3">
      <c r="R14727" s="255"/>
      <c r="S14727" s="255"/>
      <c r="T14727" s="255"/>
    </row>
    <row r="14728" spans="18:20" x14ac:dyDescent="0.3">
      <c r="R14728" s="255"/>
      <c r="S14728" s="255"/>
      <c r="T14728" s="255"/>
    </row>
    <row r="14729" spans="18:20" x14ac:dyDescent="0.3">
      <c r="R14729" s="255"/>
      <c r="S14729" s="255"/>
      <c r="T14729" s="255"/>
    </row>
    <row r="14730" spans="18:20" x14ac:dyDescent="0.3">
      <c r="R14730" s="255"/>
      <c r="S14730" s="255"/>
      <c r="T14730" s="255"/>
    </row>
    <row r="14731" spans="18:20" x14ac:dyDescent="0.3">
      <c r="R14731" s="255"/>
      <c r="S14731" s="255"/>
      <c r="T14731" s="255"/>
    </row>
    <row r="14732" spans="18:20" x14ac:dyDescent="0.3">
      <c r="R14732" s="255"/>
      <c r="S14732" s="255"/>
      <c r="T14732" s="255"/>
    </row>
    <row r="14733" spans="18:20" x14ac:dyDescent="0.3">
      <c r="R14733" s="255"/>
      <c r="S14733" s="255"/>
      <c r="T14733" s="255"/>
    </row>
    <row r="14734" spans="18:20" x14ac:dyDescent="0.3">
      <c r="R14734" s="255"/>
      <c r="S14734" s="255"/>
      <c r="T14734" s="255"/>
    </row>
    <row r="14735" spans="18:20" x14ac:dyDescent="0.3">
      <c r="R14735" s="255"/>
      <c r="S14735" s="255"/>
      <c r="T14735" s="255"/>
    </row>
    <row r="14736" spans="18:20" x14ac:dyDescent="0.3">
      <c r="R14736" s="255"/>
      <c r="S14736" s="255"/>
      <c r="T14736" s="255"/>
    </row>
    <row r="14737" spans="18:20" x14ac:dyDescent="0.3">
      <c r="R14737" s="255"/>
      <c r="S14737" s="255"/>
      <c r="T14737" s="255"/>
    </row>
    <row r="14738" spans="18:20" x14ac:dyDescent="0.3">
      <c r="R14738" s="255"/>
      <c r="S14738" s="255"/>
      <c r="T14738" s="255"/>
    </row>
    <row r="14739" spans="18:20" x14ac:dyDescent="0.3">
      <c r="R14739" s="255"/>
      <c r="S14739" s="255"/>
      <c r="T14739" s="255"/>
    </row>
    <row r="14740" spans="18:20" x14ac:dyDescent="0.3">
      <c r="R14740" s="255"/>
      <c r="S14740" s="255"/>
      <c r="T14740" s="255"/>
    </row>
    <row r="14741" spans="18:20" x14ac:dyDescent="0.3">
      <c r="R14741" s="255"/>
      <c r="S14741" s="255"/>
      <c r="T14741" s="255"/>
    </row>
    <row r="14742" spans="18:20" x14ac:dyDescent="0.3">
      <c r="R14742" s="255"/>
      <c r="S14742" s="255"/>
      <c r="T14742" s="255"/>
    </row>
    <row r="14743" spans="18:20" x14ac:dyDescent="0.3">
      <c r="R14743" s="255"/>
      <c r="S14743" s="255"/>
      <c r="T14743" s="255"/>
    </row>
    <row r="14744" spans="18:20" x14ac:dyDescent="0.3">
      <c r="R14744" s="255"/>
      <c r="S14744" s="255"/>
      <c r="T14744" s="255"/>
    </row>
    <row r="14745" spans="18:20" x14ac:dyDescent="0.3">
      <c r="R14745" s="255"/>
      <c r="S14745" s="255"/>
      <c r="T14745" s="255"/>
    </row>
    <row r="14746" spans="18:20" x14ac:dyDescent="0.3">
      <c r="R14746" s="255"/>
      <c r="S14746" s="255"/>
      <c r="T14746" s="255"/>
    </row>
    <row r="14747" spans="18:20" x14ac:dyDescent="0.3">
      <c r="R14747" s="255"/>
      <c r="S14747" s="255"/>
      <c r="T14747" s="255"/>
    </row>
    <row r="14748" spans="18:20" x14ac:dyDescent="0.3">
      <c r="R14748" s="255"/>
      <c r="S14748" s="255"/>
      <c r="T14748" s="255"/>
    </row>
    <row r="14749" spans="18:20" x14ac:dyDescent="0.3">
      <c r="R14749" s="255"/>
      <c r="S14749" s="255"/>
      <c r="T14749" s="255"/>
    </row>
    <row r="14750" spans="18:20" x14ac:dyDescent="0.3">
      <c r="R14750" s="255"/>
      <c r="S14750" s="255"/>
      <c r="T14750" s="255"/>
    </row>
    <row r="14751" spans="18:20" x14ac:dyDescent="0.3">
      <c r="R14751" s="255"/>
      <c r="S14751" s="255"/>
      <c r="T14751" s="255"/>
    </row>
    <row r="14752" spans="18:20" x14ac:dyDescent="0.3">
      <c r="R14752" s="255"/>
      <c r="S14752" s="255"/>
      <c r="T14752" s="255"/>
    </row>
    <row r="14753" spans="18:20" x14ac:dyDescent="0.3">
      <c r="R14753" s="255"/>
      <c r="S14753" s="255"/>
      <c r="T14753" s="255"/>
    </row>
    <row r="14754" spans="18:20" x14ac:dyDescent="0.3">
      <c r="R14754" s="255"/>
      <c r="S14754" s="255"/>
      <c r="T14754" s="255"/>
    </row>
    <row r="14755" spans="18:20" x14ac:dyDescent="0.3">
      <c r="R14755" s="255"/>
      <c r="S14755" s="255"/>
      <c r="T14755" s="255"/>
    </row>
    <row r="14756" spans="18:20" x14ac:dyDescent="0.3">
      <c r="R14756" s="255"/>
      <c r="S14756" s="255"/>
      <c r="T14756" s="255"/>
    </row>
    <row r="14757" spans="18:20" x14ac:dyDescent="0.3">
      <c r="R14757" s="255"/>
      <c r="S14757" s="255"/>
      <c r="T14757" s="255"/>
    </row>
    <row r="14758" spans="18:20" x14ac:dyDescent="0.3">
      <c r="R14758" s="255"/>
      <c r="S14758" s="255"/>
      <c r="T14758" s="255"/>
    </row>
    <row r="14759" spans="18:20" x14ac:dyDescent="0.3">
      <c r="R14759" s="255"/>
      <c r="S14759" s="255"/>
      <c r="T14759" s="255"/>
    </row>
    <row r="14760" spans="18:20" x14ac:dyDescent="0.3">
      <c r="R14760" s="255"/>
      <c r="S14760" s="255"/>
      <c r="T14760" s="255"/>
    </row>
    <row r="14761" spans="18:20" x14ac:dyDescent="0.3">
      <c r="R14761" s="255"/>
      <c r="S14761" s="255"/>
      <c r="T14761" s="255"/>
    </row>
    <row r="14762" spans="18:20" x14ac:dyDescent="0.3">
      <c r="R14762" s="255"/>
      <c r="S14762" s="255"/>
      <c r="T14762" s="255"/>
    </row>
    <row r="14763" spans="18:20" x14ac:dyDescent="0.3">
      <c r="R14763" s="255"/>
      <c r="S14763" s="255"/>
      <c r="T14763" s="255"/>
    </row>
    <row r="14764" spans="18:20" x14ac:dyDescent="0.3">
      <c r="R14764" s="255"/>
      <c r="S14764" s="255"/>
      <c r="T14764" s="255"/>
    </row>
    <row r="14765" spans="18:20" x14ac:dyDescent="0.3">
      <c r="R14765" s="255"/>
      <c r="S14765" s="255"/>
      <c r="T14765" s="255"/>
    </row>
    <row r="14766" spans="18:20" x14ac:dyDescent="0.3">
      <c r="R14766" s="255"/>
      <c r="S14766" s="255"/>
      <c r="T14766" s="255"/>
    </row>
    <row r="14767" spans="18:20" x14ac:dyDescent="0.3">
      <c r="R14767" s="255"/>
      <c r="S14767" s="255"/>
      <c r="T14767" s="255"/>
    </row>
    <row r="14768" spans="18:20" x14ac:dyDescent="0.3">
      <c r="R14768" s="255"/>
      <c r="S14768" s="255"/>
      <c r="T14768" s="255"/>
    </row>
    <row r="14769" spans="18:20" x14ac:dyDescent="0.3">
      <c r="R14769" s="255"/>
      <c r="S14769" s="255"/>
      <c r="T14769" s="255"/>
    </row>
    <row r="14770" spans="18:20" x14ac:dyDescent="0.3">
      <c r="R14770" s="255"/>
      <c r="S14770" s="255"/>
      <c r="T14770" s="255"/>
    </row>
    <row r="14771" spans="18:20" x14ac:dyDescent="0.3">
      <c r="R14771" s="255"/>
      <c r="S14771" s="255"/>
      <c r="T14771" s="255"/>
    </row>
    <row r="14772" spans="18:20" x14ac:dyDescent="0.3">
      <c r="R14772" s="255"/>
      <c r="S14772" s="255"/>
      <c r="T14772" s="255"/>
    </row>
    <row r="14773" spans="18:20" x14ac:dyDescent="0.3">
      <c r="R14773" s="255"/>
      <c r="S14773" s="255"/>
      <c r="T14773" s="255"/>
    </row>
    <row r="14774" spans="18:20" x14ac:dyDescent="0.3">
      <c r="R14774" s="255"/>
      <c r="S14774" s="255"/>
      <c r="T14774" s="255"/>
    </row>
    <row r="14775" spans="18:20" x14ac:dyDescent="0.3">
      <c r="R14775" s="255"/>
      <c r="S14775" s="255"/>
      <c r="T14775" s="255"/>
    </row>
    <row r="14776" spans="18:20" x14ac:dyDescent="0.3">
      <c r="R14776" s="255"/>
      <c r="S14776" s="255"/>
      <c r="T14776" s="255"/>
    </row>
    <row r="14777" spans="18:20" x14ac:dyDescent="0.3">
      <c r="R14777" s="255"/>
      <c r="S14777" s="255"/>
      <c r="T14777" s="255"/>
    </row>
    <row r="14778" spans="18:20" x14ac:dyDescent="0.3">
      <c r="R14778" s="255"/>
      <c r="S14778" s="255"/>
      <c r="T14778" s="255"/>
    </row>
    <row r="14779" spans="18:20" x14ac:dyDescent="0.3">
      <c r="R14779" s="255"/>
      <c r="S14779" s="255"/>
      <c r="T14779" s="255"/>
    </row>
    <row r="14780" spans="18:20" x14ac:dyDescent="0.3">
      <c r="R14780" s="255"/>
      <c r="S14780" s="255"/>
      <c r="T14780" s="255"/>
    </row>
    <row r="14781" spans="18:20" x14ac:dyDescent="0.3">
      <c r="R14781" s="255"/>
      <c r="S14781" s="255"/>
      <c r="T14781" s="255"/>
    </row>
    <row r="14782" spans="18:20" x14ac:dyDescent="0.3">
      <c r="R14782" s="255"/>
      <c r="S14782" s="255"/>
      <c r="T14782" s="255"/>
    </row>
    <row r="14783" spans="18:20" x14ac:dyDescent="0.3">
      <c r="R14783" s="255"/>
      <c r="S14783" s="255"/>
      <c r="T14783" s="255"/>
    </row>
    <row r="14784" spans="18:20" x14ac:dyDescent="0.3">
      <c r="R14784" s="255"/>
      <c r="S14784" s="255"/>
      <c r="T14784" s="255"/>
    </row>
    <row r="14785" spans="18:20" x14ac:dyDescent="0.3">
      <c r="R14785" s="255"/>
      <c r="S14785" s="255"/>
      <c r="T14785" s="255"/>
    </row>
    <row r="14786" spans="18:20" x14ac:dyDescent="0.3">
      <c r="R14786" s="255"/>
      <c r="S14786" s="255"/>
      <c r="T14786" s="255"/>
    </row>
    <row r="14787" spans="18:20" x14ac:dyDescent="0.3">
      <c r="R14787" s="255"/>
      <c r="S14787" s="255"/>
      <c r="T14787" s="255"/>
    </row>
    <row r="14788" spans="18:20" x14ac:dyDescent="0.3">
      <c r="R14788" s="255"/>
      <c r="S14788" s="255"/>
      <c r="T14788" s="255"/>
    </row>
    <row r="14789" spans="18:20" x14ac:dyDescent="0.3">
      <c r="R14789" s="255"/>
      <c r="S14789" s="255"/>
      <c r="T14789" s="255"/>
    </row>
    <row r="14790" spans="18:20" x14ac:dyDescent="0.3">
      <c r="R14790" s="255"/>
      <c r="S14790" s="255"/>
      <c r="T14790" s="255"/>
    </row>
    <row r="14791" spans="18:20" x14ac:dyDescent="0.3">
      <c r="R14791" s="255"/>
      <c r="S14791" s="255"/>
      <c r="T14791" s="255"/>
    </row>
    <row r="14792" spans="18:20" x14ac:dyDescent="0.3">
      <c r="R14792" s="255"/>
      <c r="S14792" s="255"/>
      <c r="T14792" s="255"/>
    </row>
    <row r="14793" spans="18:20" x14ac:dyDescent="0.3">
      <c r="R14793" s="255"/>
      <c r="S14793" s="255"/>
      <c r="T14793" s="255"/>
    </row>
    <row r="14794" spans="18:20" x14ac:dyDescent="0.3">
      <c r="R14794" s="255"/>
      <c r="S14794" s="255"/>
      <c r="T14794" s="255"/>
    </row>
    <row r="14795" spans="18:20" x14ac:dyDescent="0.3">
      <c r="R14795" s="255"/>
      <c r="S14795" s="255"/>
      <c r="T14795" s="255"/>
    </row>
    <row r="14796" spans="18:20" x14ac:dyDescent="0.3">
      <c r="R14796" s="255"/>
      <c r="S14796" s="255"/>
      <c r="T14796" s="255"/>
    </row>
    <row r="14797" spans="18:20" x14ac:dyDescent="0.3">
      <c r="R14797" s="255"/>
      <c r="S14797" s="255"/>
      <c r="T14797" s="255"/>
    </row>
    <row r="14798" spans="18:20" x14ac:dyDescent="0.3">
      <c r="R14798" s="255"/>
      <c r="S14798" s="255"/>
      <c r="T14798" s="255"/>
    </row>
    <row r="14799" spans="18:20" x14ac:dyDescent="0.3">
      <c r="R14799" s="255"/>
      <c r="S14799" s="255"/>
      <c r="T14799" s="255"/>
    </row>
    <row r="14800" spans="18:20" x14ac:dyDescent="0.3">
      <c r="R14800" s="255"/>
      <c r="S14800" s="255"/>
      <c r="T14800" s="255"/>
    </row>
    <row r="14801" spans="18:20" x14ac:dyDescent="0.3">
      <c r="R14801" s="255"/>
      <c r="S14801" s="255"/>
      <c r="T14801" s="255"/>
    </row>
    <row r="14802" spans="18:20" x14ac:dyDescent="0.3">
      <c r="R14802" s="255"/>
      <c r="S14802" s="255"/>
      <c r="T14802" s="255"/>
    </row>
    <row r="14803" spans="18:20" x14ac:dyDescent="0.3">
      <c r="R14803" s="255"/>
      <c r="S14803" s="255"/>
      <c r="T14803" s="255"/>
    </row>
    <row r="14804" spans="18:20" x14ac:dyDescent="0.3">
      <c r="R14804" s="255"/>
      <c r="S14804" s="255"/>
      <c r="T14804" s="255"/>
    </row>
    <row r="14805" spans="18:20" x14ac:dyDescent="0.3">
      <c r="R14805" s="255"/>
      <c r="S14805" s="255"/>
      <c r="T14805" s="255"/>
    </row>
    <row r="14806" spans="18:20" x14ac:dyDescent="0.3">
      <c r="R14806" s="255"/>
      <c r="S14806" s="255"/>
      <c r="T14806" s="255"/>
    </row>
    <row r="14807" spans="18:20" x14ac:dyDescent="0.3">
      <c r="R14807" s="255"/>
      <c r="S14807" s="255"/>
      <c r="T14807" s="255"/>
    </row>
    <row r="14808" spans="18:20" x14ac:dyDescent="0.3">
      <c r="R14808" s="255"/>
      <c r="S14808" s="255"/>
      <c r="T14808" s="255"/>
    </row>
    <row r="14809" spans="18:20" x14ac:dyDescent="0.3">
      <c r="R14809" s="255"/>
      <c r="S14809" s="255"/>
      <c r="T14809" s="255"/>
    </row>
    <row r="14810" spans="18:20" x14ac:dyDescent="0.3">
      <c r="R14810" s="255"/>
      <c r="S14810" s="255"/>
      <c r="T14810" s="255"/>
    </row>
    <row r="14811" spans="18:20" x14ac:dyDescent="0.3">
      <c r="R14811" s="255"/>
      <c r="S14811" s="255"/>
      <c r="T14811" s="255"/>
    </row>
    <row r="14812" spans="18:20" x14ac:dyDescent="0.3">
      <c r="R14812" s="255"/>
      <c r="S14812" s="255"/>
      <c r="T14812" s="255"/>
    </row>
    <row r="14813" spans="18:20" x14ac:dyDescent="0.3">
      <c r="R14813" s="255"/>
      <c r="S14813" s="255"/>
      <c r="T14813" s="255"/>
    </row>
    <row r="14814" spans="18:20" x14ac:dyDescent="0.3">
      <c r="R14814" s="255"/>
      <c r="S14814" s="255"/>
      <c r="T14814" s="255"/>
    </row>
    <row r="14815" spans="18:20" x14ac:dyDescent="0.3">
      <c r="R14815" s="255"/>
      <c r="S14815" s="255"/>
      <c r="T14815" s="255"/>
    </row>
    <row r="14816" spans="18:20" x14ac:dyDescent="0.3">
      <c r="R14816" s="255"/>
      <c r="S14816" s="255"/>
      <c r="T14816" s="255"/>
    </row>
    <row r="14817" spans="18:20" x14ac:dyDescent="0.3">
      <c r="R14817" s="255"/>
      <c r="S14817" s="255"/>
      <c r="T14817" s="255"/>
    </row>
    <row r="14818" spans="18:20" x14ac:dyDescent="0.3">
      <c r="R14818" s="255"/>
      <c r="S14818" s="255"/>
      <c r="T14818" s="255"/>
    </row>
    <row r="14819" spans="18:20" x14ac:dyDescent="0.3">
      <c r="R14819" s="255"/>
      <c r="S14819" s="255"/>
      <c r="T14819" s="255"/>
    </row>
    <row r="14820" spans="18:20" x14ac:dyDescent="0.3">
      <c r="R14820" s="255"/>
      <c r="S14820" s="255"/>
      <c r="T14820" s="255"/>
    </row>
    <row r="14821" spans="18:20" x14ac:dyDescent="0.3">
      <c r="R14821" s="255"/>
      <c r="S14821" s="255"/>
      <c r="T14821" s="255"/>
    </row>
    <row r="14822" spans="18:20" x14ac:dyDescent="0.3">
      <c r="R14822" s="255"/>
      <c r="S14822" s="255"/>
      <c r="T14822" s="255"/>
    </row>
    <row r="14823" spans="18:20" x14ac:dyDescent="0.3">
      <c r="R14823" s="255"/>
      <c r="S14823" s="255"/>
      <c r="T14823" s="255"/>
    </row>
    <row r="14824" spans="18:20" x14ac:dyDescent="0.3">
      <c r="R14824" s="255"/>
      <c r="S14824" s="255"/>
      <c r="T14824" s="255"/>
    </row>
    <row r="14825" spans="18:20" x14ac:dyDescent="0.3">
      <c r="R14825" s="255"/>
      <c r="S14825" s="255"/>
      <c r="T14825" s="255"/>
    </row>
    <row r="14826" spans="18:20" x14ac:dyDescent="0.3">
      <c r="R14826" s="255"/>
      <c r="S14826" s="255"/>
      <c r="T14826" s="255"/>
    </row>
    <row r="14827" spans="18:20" x14ac:dyDescent="0.3">
      <c r="R14827" s="255"/>
      <c r="S14827" s="255"/>
      <c r="T14827" s="255"/>
    </row>
    <row r="14828" spans="18:20" x14ac:dyDescent="0.3">
      <c r="R14828" s="255"/>
      <c r="S14828" s="255"/>
      <c r="T14828" s="255"/>
    </row>
    <row r="14829" spans="18:20" x14ac:dyDescent="0.3">
      <c r="R14829" s="255"/>
      <c r="S14829" s="255"/>
      <c r="T14829" s="255"/>
    </row>
    <row r="14830" spans="18:20" x14ac:dyDescent="0.3">
      <c r="R14830" s="255"/>
      <c r="S14830" s="255"/>
      <c r="T14830" s="255"/>
    </row>
    <row r="14831" spans="18:20" x14ac:dyDescent="0.3">
      <c r="R14831" s="255"/>
      <c r="S14831" s="255"/>
      <c r="T14831" s="255"/>
    </row>
    <row r="14832" spans="18:20" x14ac:dyDescent="0.3">
      <c r="R14832" s="255"/>
      <c r="S14832" s="255"/>
      <c r="T14832" s="255"/>
    </row>
    <row r="14833" spans="18:20" x14ac:dyDescent="0.3">
      <c r="R14833" s="255"/>
      <c r="S14833" s="255"/>
      <c r="T14833" s="255"/>
    </row>
    <row r="14834" spans="18:20" x14ac:dyDescent="0.3">
      <c r="R14834" s="255"/>
      <c r="S14834" s="255"/>
      <c r="T14834" s="255"/>
    </row>
    <row r="14835" spans="18:20" x14ac:dyDescent="0.3">
      <c r="R14835" s="255"/>
      <c r="S14835" s="255"/>
      <c r="T14835" s="255"/>
    </row>
    <row r="14836" spans="18:20" x14ac:dyDescent="0.3">
      <c r="R14836" s="255"/>
      <c r="S14836" s="255"/>
      <c r="T14836" s="255"/>
    </row>
    <row r="14837" spans="18:20" x14ac:dyDescent="0.3">
      <c r="R14837" s="255"/>
      <c r="S14837" s="255"/>
      <c r="T14837" s="255"/>
    </row>
    <row r="14838" spans="18:20" x14ac:dyDescent="0.3">
      <c r="R14838" s="255"/>
      <c r="S14838" s="255"/>
      <c r="T14838" s="255"/>
    </row>
    <row r="14839" spans="18:20" x14ac:dyDescent="0.3">
      <c r="R14839" s="255"/>
      <c r="S14839" s="255"/>
      <c r="T14839" s="255"/>
    </row>
    <row r="14840" spans="18:20" x14ac:dyDescent="0.3">
      <c r="R14840" s="255"/>
      <c r="S14840" s="255"/>
      <c r="T14840" s="255"/>
    </row>
    <row r="14841" spans="18:20" x14ac:dyDescent="0.3">
      <c r="R14841" s="255"/>
      <c r="S14841" s="255"/>
      <c r="T14841" s="255"/>
    </row>
    <row r="14842" spans="18:20" x14ac:dyDescent="0.3">
      <c r="R14842" s="255"/>
      <c r="S14842" s="255"/>
      <c r="T14842" s="255"/>
    </row>
    <row r="14843" spans="18:20" x14ac:dyDescent="0.3">
      <c r="R14843" s="255"/>
      <c r="S14843" s="255"/>
      <c r="T14843" s="255"/>
    </row>
    <row r="14844" spans="18:20" x14ac:dyDescent="0.3">
      <c r="R14844" s="255"/>
      <c r="S14844" s="255"/>
      <c r="T14844" s="255"/>
    </row>
    <row r="14845" spans="18:20" x14ac:dyDescent="0.3">
      <c r="R14845" s="255"/>
      <c r="S14845" s="255"/>
      <c r="T14845" s="255"/>
    </row>
    <row r="14846" spans="18:20" x14ac:dyDescent="0.3">
      <c r="R14846" s="255"/>
      <c r="S14846" s="255"/>
      <c r="T14846" s="255"/>
    </row>
    <row r="14847" spans="18:20" x14ac:dyDescent="0.3">
      <c r="R14847" s="255"/>
      <c r="S14847" s="255"/>
      <c r="T14847" s="255"/>
    </row>
    <row r="14848" spans="18:20" x14ac:dyDescent="0.3">
      <c r="R14848" s="255"/>
      <c r="S14848" s="255"/>
      <c r="T14848" s="255"/>
    </row>
    <row r="14849" spans="18:20" x14ac:dyDescent="0.3">
      <c r="R14849" s="255"/>
      <c r="S14849" s="255"/>
      <c r="T14849" s="255"/>
    </row>
    <row r="14850" spans="18:20" x14ac:dyDescent="0.3">
      <c r="R14850" s="255"/>
      <c r="S14850" s="255"/>
      <c r="T14850" s="255"/>
    </row>
    <row r="14851" spans="18:20" x14ac:dyDescent="0.3">
      <c r="R14851" s="255"/>
      <c r="S14851" s="255"/>
      <c r="T14851" s="255"/>
    </row>
    <row r="14852" spans="18:20" x14ac:dyDescent="0.3">
      <c r="R14852" s="255"/>
      <c r="S14852" s="255"/>
      <c r="T14852" s="255"/>
    </row>
    <row r="14853" spans="18:20" x14ac:dyDescent="0.3">
      <c r="R14853" s="255"/>
      <c r="S14853" s="255"/>
      <c r="T14853" s="255"/>
    </row>
    <row r="14854" spans="18:20" x14ac:dyDescent="0.3">
      <c r="R14854" s="255"/>
      <c r="S14854" s="255"/>
      <c r="T14854" s="255"/>
    </row>
    <row r="14855" spans="18:20" x14ac:dyDescent="0.3">
      <c r="R14855" s="255"/>
      <c r="S14855" s="255"/>
      <c r="T14855" s="255"/>
    </row>
    <row r="14856" spans="18:20" x14ac:dyDescent="0.3">
      <c r="R14856" s="255"/>
      <c r="S14856" s="255"/>
      <c r="T14856" s="255"/>
    </row>
    <row r="14857" spans="18:20" x14ac:dyDescent="0.3">
      <c r="R14857" s="255"/>
      <c r="S14857" s="255"/>
      <c r="T14857" s="255"/>
    </row>
    <row r="14858" spans="18:20" x14ac:dyDescent="0.3">
      <c r="R14858" s="255"/>
      <c r="S14858" s="255"/>
      <c r="T14858" s="255"/>
    </row>
    <row r="14859" spans="18:20" x14ac:dyDescent="0.3">
      <c r="R14859" s="255"/>
      <c r="S14859" s="255"/>
      <c r="T14859" s="255"/>
    </row>
    <row r="14860" spans="18:20" x14ac:dyDescent="0.3">
      <c r="R14860" s="255"/>
      <c r="S14860" s="255"/>
      <c r="T14860" s="255"/>
    </row>
    <row r="14861" spans="18:20" x14ac:dyDescent="0.3">
      <c r="R14861" s="255"/>
      <c r="S14861" s="255"/>
      <c r="T14861" s="255"/>
    </row>
    <row r="14862" spans="18:20" x14ac:dyDescent="0.3">
      <c r="R14862" s="255"/>
      <c r="S14862" s="255"/>
      <c r="T14862" s="255"/>
    </row>
    <row r="14863" spans="18:20" x14ac:dyDescent="0.3">
      <c r="R14863" s="255"/>
      <c r="S14863" s="255"/>
      <c r="T14863" s="255"/>
    </row>
    <row r="14864" spans="18:20" x14ac:dyDescent="0.3">
      <c r="R14864" s="255"/>
      <c r="S14864" s="255"/>
      <c r="T14864" s="255"/>
    </row>
    <row r="14865" spans="18:20" x14ac:dyDescent="0.3">
      <c r="R14865" s="255"/>
      <c r="S14865" s="255"/>
      <c r="T14865" s="255"/>
    </row>
    <row r="14866" spans="18:20" x14ac:dyDescent="0.3">
      <c r="R14866" s="255"/>
      <c r="S14866" s="255"/>
      <c r="T14866" s="255"/>
    </row>
    <row r="14867" spans="18:20" x14ac:dyDescent="0.3">
      <c r="R14867" s="255"/>
      <c r="S14867" s="255"/>
      <c r="T14867" s="255"/>
    </row>
    <row r="14868" spans="18:20" x14ac:dyDescent="0.3">
      <c r="R14868" s="255"/>
      <c r="S14868" s="255"/>
      <c r="T14868" s="255"/>
    </row>
    <row r="14869" spans="18:20" x14ac:dyDescent="0.3">
      <c r="R14869" s="255"/>
      <c r="S14869" s="255"/>
      <c r="T14869" s="255"/>
    </row>
    <row r="14870" spans="18:20" x14ac:dyDescent="0.3">
      <c r="R14870" s="255"/>
      <c r="S14870" s="255"/>
      <c r="T14870" s="255"/>
    </row>
    <row r="14871" spans="18:20" x14ac:dyDescent="0.3">
      <c r="R14871" s="255"/>
      <c r="S14871" s="255"/>
      <c r="T14871" s="255"/>
    </row>
    <row r="14872" spans="18:20" x14ac:dyDescent="0.3">
      <c r="R14872" s="255"/>
      <c r="S14872" s="255"/>
      <c r="T14872" s="255"/>
    </row>
    <row r="14873" spans="18:20" x14ac:dyDescent="0.3">
      <c r="R14873" s="255"/>
      <c r="S14873" s="255"/>
      <c r="T14873" s="255"/>
    </row>
    <row r="14874" spans="18:20" x14ac:dyDescent="0.3">
      <c r="R14874" s="255"/>
      <c r="S14874" s="255"/>
      <c r="T14874" s="255"/>
    </row>
    <row r="14875" spans="18:20" x14ac:dyDescent="0.3">
      <c r="R14875" s="255"/>
      <c r="S14875" s="255"/>
      <c r="T14875" s="255"/>
    </row>
    <row r="14876" spans="18:20" x14ac:dyDescent="0.3">
      <c r="R14876" s="255"/>
      <c r="S14876" s="255"/>
      <c r="T14876" s="255"/>
    </row>
    <row r="14877" spans="18:20" x14ac:dyDescent="0.3">
      <c r="R14877" s="255"/>
      <c r="S14877" s="255"/>
      <c r="T14877" s="255"/>
    </row>
    <row r="14878" spans="18:20" x14ac:dyDescent="0.3">
      <c r="R14878" s="255"/>
      <c r="S14878" s="255"/>
      <c r="T14878" s="255"/>
    </row>
    <row r="14879" spans="18:20" x14ac:dyDescent="0.3">
      <c r="R14879" s="255"/>
      <c r="S14879" s="255"/>
      <c r="T14879" s="255"/>
    </row>
    <row r="14880" spans="18:20" x14ac:dyDescent="0.3">
      <c r="R14880" s="255"/>
      <c r="S14880" s="255"/>
      <c r="T14880" s="255"/>
    </row>
    <row r="14881" spans="18:20" x14ac:dyDescent="0.3">
      <c r="R14881" s="255"/>
      <c r="S14881" s="255"/>
      <c r="T14881" s="255"/>
    </row>
    <row r="14882" spans="18:20" x14ac:dyDescent="0.3">
      <c r="R14882" s="255"/>
      <c r="S14882" s="255"/>
      <c r="T14882" s="255"/>
    </row>
    <row r="14883" spans="18:20" x14ac:dyDescent="0.3">
      <c r="R14883" s="255"/>
      <c r="S14883" s="255"/>
      <c r="T14883" s="255"/>
    </row>
    <row r="14884" spans="18:20" x14ac:dyDescent="0.3">
      <c r="R14884" s="255"/>
      <c r="S14884" s="255"/>
      <c r="T14884" s="255"/>
    </row>
    <row r="14885" spans="18:20" x14ac:dyDescent="0.3">
      <c r="R14885" s="255"/>
      <c r="S14885" s="255"/>
      <c r="T14885" s="255"/>
    </row>
    <row r="14886" spans="18:20" x14ac:dyDescent="0.3">
      <c r="R14886" s="255"/>
      <c r="S14886" s="255"/>
      <c r="T14886" s="255"/>
    </row>
    <row r="14887" spans="18:20" x14ac:dyDescent="0.3">
      <c r="R14887" s="255"/>
      <c r="S14887" s="255"/>
      <c r="T14887" s="255"/>
    </row>
    <row r="14888" spans="18:20" x14ac:dyDescent="0.3">
      <c r="R14888" s="255"/>
      <c r="S14888" s="255"/>
      <c r="T14888" s="255"/>
    </row>
    <row r="14889" spans="18:20" x14ac:dyDescent="0.3">
      <c r="R14889" s="255"/>
      <c r="S14889" s="255"/>
      <c r="T14889" s="255"/>
    </row>
    <row r="14890" spans="18:20" x14ac:dyDescent="0.3">
      <c r="R14890" s="255"/>
      <c r="S14890" s="255"/>
      <c r="T14890" s="255"/>
    </row>
    <row r="14891" spans="18:20" x14ac:dyDescent="0.3">
      <c r="R14891" s="255"/>
      <c r="S14891" s="255"/>
      <c r="T14891" s="255"/>
    </row>
    <row r="14892" spans="18:20" x14ac:dyDescent="0.3">
      <c r="R14892" s="255"/>
      <c r="S14892" s="255"/>
      <c r="T14892" s="255"/>
    </row>
    <row r="14893" spans="18:20" x14ac:dyDescent="0.3">
      <c r="R14893" s="255"/>
      <c r="S14893" s="255"/>
      <c r="T14893" s="255"/>
    </row>
    <row r="14894" spans="18:20" x14ac:dyDescent="0.3">
      <c r="R14894" s="255"/>
      <c r="S14894" s="255"/>
      <c r="T14894" s="255"/>
    </row>
    <row r="14895" spans="18:20" x14ac:dyDescent="0.3">
      <c r="R14895" s="255"/>
      <c r="S14895" s="255"/>
      <c r="T14895" s="255"/>
    </row>
    <row r="14896" spans="18:20" x14ac:dyDescent="0.3">
      <c r="R14896" s="255"/>
      <c r="S14896" s="255"/>
      <c r="T14896" s="255"/>
    </row>
    <row r="14897" spans="18:20" x14ac:dyDescent="0.3">
      <c r="R14897" s="255"/>
      <c r="S14897" s="255"/>
      <c r="T14897" s="255"/>
    </row>
    <row r="14898" spans="18:20" x14ac:dyDescent="0.3">
      <c r="R14898" s="255"/>
      <c r="S14898" s="255"/>
      <c r="T14898" s="255"/>
    </row>
    <row r="14899" spans="18:20" x14ac:dyDescent="0.3">
      <c r="R14899" s="255"/>
      <c r="S14899" s="255"/>
      <c r="T14899" s="255"/>
    </row>
    <row r="14900" spans="18:20" x14ac:dyDescent="0.3">
      <c r="R14900" s="255"/>
      <c r="S14900" s="255"/>
      <c r="T14900" s="255"/>
    </row>
    <row r="14901" spans="18:20" x14ac:dyDescent="0.3">
      <c r="R14901" s="255"/>
      <c r="S14901" s="255"/>
      <c r="T14901" s="255"/>
    </row>
    <row r="14902" spans="18:20" x14ac:dyDescent="0.3">
      <c r="R14902" s="255"/>
      <c r="S14902" s="255"/>
      <c r="T14902" s="255"/>
    </row>
    <row r="14903" spans="18:20" x14ac:dyDescent="0.3">
      <c r="R14903" s="255"/>
      <c r="S14903" s="255"/>
      <c r="T14903" s="255"/>
    </row>
    <row r="14904" spans="18:20" x14ac:dyDescent="0.3">
      <c r="R14904" s="255"/>
      <c r="S14904" s="255"/>
      <c r="T14904" s="255"/>
    </row>
    <row r="14905" spans="18:20" x14ac:dyDescent="0.3">
      <c r="R14905" s="255"/>
      <c r="S14905" s="255"/>
      <c r="T14905" s="255"/>
    </row>
    <row r="14906" spans="18:20" x14ac:dyDescent="0.3">
      <c r="R14906" s="255"/>
      <c r="S14906" s="255"/>
      <c r="T14906" s="255"/>
    </row>
    <row r="14907" spans="18:20" x14ac:dyDescent="0.3">
      <c r="R14907" s="255"/>
      <c r="S14907" s="255"/>
      <c r="T14907" s="255"/>
    </row>
    <row r="14908" spans="18:20" x14ac:dyDescent="0.3">
      <c r="R14908" s="255"/>
      <c r="S14908" s="255"/>
      <c r="T14908" s="255"/>
    </row>
    <row r="14909" spans="18:20" x14ac:dyDescent="0.3">
      <c r="R14909" s="255"/>
      <c r="S14909" s="255"/>
      <c r="T14909" s="255"/>
    </row>
    <row r="14910" spans="18:20" x14ac:dyDescent="0.3">
      <c r="R14910" s="255"/>
      <c r="S14910" s="255"/>
      <c r="T14910" s="255"/>
    </row>
    <row r="14911" spans="18:20" x14ac:dyDescent="0.3">
      <c r="R14911" s="255"/>
      <c r="S14911" s="255"/>
      <c r="T14911" s="255"/>
    </row>
    <row r="14912" spans="18:20" x14ac:dyDescent="0.3">
      <c r="R14912" s="255"/>
      <c r="S14912" s="255"/>
      <c r="T14912" s="255"/>
    </row>
    <row r="14913" spans="18:20" x14ac:dyDescent="0.3">
      <c r="R14913" s="255"/>
      <c r="S14913" s="255"/>
      <c r="T14913" s="255"/>
    </row>
    <row r="14914" spans="18:20" x14ac:dyDescent="0.3">
      <c r="R14914" s="255"/>
      <c r="S14914" s="255"/>
      <c r="T14914" s="255"/>
    </row>
    <row r="14915" spans="18:20" x14ac:dyDescent="0.3">
      <c r="R14915" s="255"/>
      <c r="S14915" s="255"/>
      <c r="T14915" s="255"/>
    </row>
    <row r="14916" spans="18:20" x14ac:dyDescent="0.3">
      <c r="R14916" s="255"/>
      <c r="S14916" s="255"/>
      <c r="T14916" s="255"/>
    </row>
    <row r="14917" spans="18:20" x14ac:dyDescent="0.3">
      <c r="R14917" s="255"/>
      <c r="S14917" s="255"/>
      <c r="T14917" s="255"/>
    </row>
    <row r="14918" spans="18:20" x14ac:dyDescent="0.3">
      <c r="R14918" s="255"/>
      <c r="S14918" s="255"/>
      <c r="T14918" s="255"/>
    </row>
    <row r="14919" spans="18:20" x14ac:dyDescent="0.3">
      <c r="R14919" s="255"/>
      <c r="S14919" s="255"/>
      <c r="T14919" s="255"/>
    </row>
    <row r="14920" spans="18:20" x14ac:dyDescent="0.3">
      <c r="R14920" s="255"/>
      <c r="S14920" s="255"/>
      <c r="T14920" s="255"/>
    </row>
    <row r="14921" spans="18:20" x14ac:dyDescent="0.3">
      <c r="R14921" s="255"/>
      <c r="S14921" s="255"/>
      <c r="T14921" s="255"/>
    </row>
    <row r="14922" spans="18:20" x14ac:dyDescent="0.3">
      <c r="R14922" s="255"/>
      <c r="S14922" s="255"/>
      <c r="T14922" s="255"/>
    </row>
    <row r="14923" spans="18:20" x14ac:dyDescent="0.3">
      <c r="R14923" s="255"/>
      <c r="S14923" s="255"/>
      <c r="T14923" s="255"/>
    </row>
    <row r="14924" spans="18:20" x14ac:dyDescent="0.3">
      <c r="R14924" s="255"/>
      <c r="S14924" s="255"/>
      <c r="T14924" s="255"/>
    </row>
    <row r="14925" spans="18:20" x14ac:dyDescent="0.3">
      <c r="R14925" s="255"/>
      <c r="S14925" s="255"/>
      <c r="T14925" s="255"/>
    </row>
    <row r="14926" spans="18:20" x14ac:dyDescent="0.3">
      <c r="R14926" s="255"/>
      <c r="S14926" s="255"/>
      <c r="T14926" s="255"/>
    </row>
    <row r="14927" spans="18:20" x14ac:dyDescent="0.3">
      <c r="R14927" s="255"/>
      <c r="S14927" s="255"/>
      <c r="T14927" s="255"/>
    </row>
    <row r="14928" spans="18:20" x14ac:dyDescent="0.3">
      <c r="R14928" s="255"/>
      <c r="S14928" s="255"/>
      <c r="T14928" s="255"/>
    </row>
    <row r="14929" spans="18:20" x14ac:dyDescent="0.3">
      <c r="R14929" s="255"/>
      <c r="S14929" s="255"/>
      <c r="T14929" s="255"/>
    </row>
    <row r="14930" spans="18:20" x14ac:dyDescent="0.3">
      <c r="R14930" s="255"/>
      <c r="S14930" s="255"/>
      <c r="T14930" s="255"/>
    </row>
    <row r="14931" spans="18:20" x14ac:dyDescent="0.3">
      <c r="R14931" s="255"/>
      <c r="S14931" s="255"/>
      <c r="T14931" s="255"/>
    </row>
    <row r="14932" spans="18:20" x14ac:dyDescent="0.3">
      <c r="R14932" s="255"/>
      <c r="S14932" s="255"/>
      <c r="T14932" s="255"/>
    </row>
    <row r="14933" spans="18:20" x14ac:dyDescent="0.3">
      <c r="R14933" s="255"/>
      <c r="S14933" s="255"/>
      <c r="T14933" s="255"/>
    </row>
    <row r="14934" spans="18:20" x14ac:dyDescent="0.3">
      <c r="R14934" s="255"/>
      <c r="S14934" s="255"/>
      <c r="T14934" s="255"/>
    </row>
    <row r="14935" spans="18:20" x14ac:dyDescent="0.3">
      <c r="R14935" s="255"/>
      <c r="S14935" s="255"/>
      <c r="T14935" s="255"/>
    </row>
    <row r="14936" spans="18:20" x14ac:dyDescent="0.3">
      <c r="R14936" s="255"/>
      <c r="S14936" s="255"/>
      <c r="T14936" s="255"/>
    </row>
    <row r="14937" spans="18:20" x14ac:dyDescent="0.3">
      <c r="R14937" s="255"/>
      <c r="S14937" s="255"/>
      <c r="T14937" s="255"/>
    </row>
    <row r="14938" spans="18:20" x14ac:dyDescent="0.3">
      <c r="R14938" s="255"/>
      <c r="S14938" s="255"/>
      <c r="T14938" s="255"/>
    </row>
    <row r="14939" spans="18:20" x14ac:dyDescent="0.3">
      <c r="R14939" s="255"/>
      <c r="S14939" s="255"/>
      <c r="T14939" s="255"/>
    </row>
    <row r="14940" spans="18:20" x14ac:dyDescent="0.3">
      <c r="R14940" s="255"/>
      <c r="S14940" s="255"/>
      <c r="T14940" s="255"/>
    </row>
    <row r="14941" spans="18:20" x14ac:dyDescent="0.3">
      <c r="R14941" s="255"/>
      <c r="S14941" s="255"/>
      <c r="T14941" s="255"/>
    </row>
    <row r="14942" spans="18:20" x14ac:dyDescent="0.3">
      <c r="R14942" s="255"/>
      <c r="S14942" s="255"/>
      <c r="T14942" s="255"/>
    </row>
    <row r="14943" spans="18:20" x14ac:dyDescent="0.3">
      <c r="R14943" s="255"/>
      <c r="S14943" s="255"/>
      <c r="T14943" s="255"/>
    </row>
    <row r="14944" spans="18:20" x14ac:dyDescent="0.3">
      <c r="R14944" s="255"/>
      <c r="S14944" s="255"/>
      <c r="T14944" s="255"/>
    </row>
    <row r="14945" spans="18:20" x14ac:dyDescent="0.3">
      <c r="R14945" s="255"/>
      <c r="S14945" s="255"/>
      <c r="T14945" s="255"/>
    </row>
    <row r="14946" spans="18:20" x14ac:dyDescent="0.3">
      <c r="R14946" s="255"/>
      <c r="S14946" s="255"/>
      <c r="T14946" s="255"/>
    </row>
    <row r="14947" spans="18:20" x14ac:dyDescent="0.3">
      <c r="R14947" s="255"/>
      <c r="S14947" s="255"/>
      <c r="T14947" s="255"/>
    </row>
    <row r="14948" spans="18:20" x14ac:dyDescent="0.3">
      <c r="R14948" s="255"/>
      <c r="S14948" s="255"/>
      <c r="T14948" s="255"/>
    </row>
    <row r="14949" spans="18:20" x14ac:dyDescent="0.3">
      <c r="R14949" s="255"/>
      <c r="S14949" s="255"/>
      <c r="T14949" s="255"/>
    </row>
    <row r="14950" spans="18:20" x14ac:dyDescent="0.3">
      <c r="R14950" s="255"/>
      <c r="S14950" s="255"/>
      <c r="T14950" s="255"/>
    </row>
    <row r="14951" spans="18:20" x14ac:dyDescent="0.3">
      <c r="R14951" s="255"/>
      <c r="S14951" s="255"/>
      <c r="T14951" s="255"/>
    </row>
    <row r="14952" spans="18:20" x14ac:dyDescent="0.3">
      <c r="R14952" s="255"/>
      <c r="S14952" s="255"/>
      <c r="T14952" s="255"/>
    </row>
    <row r="14953" spans="18:20" x14ac:dyDescent="0.3">
      <c r="R14953" s="255"/>
      <c r="S14953" s="255"/>
      <c r="T14953" s="255"/>
    </row>
    <row r="14954" spans="18:20" x14ac:dyDescent="0.3">
      <c r="R14954" s="255"/>
      <c r="S14954" s="255"/>
      <c r="T14954" s="255"/>
    </row>
    <row r="14955" spans="18:20" x14ac:dyDescent="0.3">
      <c r="R14955" s="255"/>
      <c r="S14955" s="255"/>
      <c r="T14955" s="255"/>
    </row>
    <row r="14956" spans="18:20" x14ac:dyDescent="0.3">
      <c r="R14956" s="255"/>
      <c r="S14956" s="255"/>
      <c r="T14956" s="255"/>
    </row>
    <row r="14957" spans="18:20" x14ac:dyDescent="0.3">
      <c r="R14957" s="255"/>
      <c r="S14957" s="255"/>
      <c r="T14957" s="255"/>
    </row>
    <row r="14958" spans="18:20" x14ac:dyDescent="0.3">
      <c r="R14958" s="255"/>
      <c r="S14958" s="255"/>
      <c r="T14958" s="255"/>
    </row>
    <row r="14959" spans="18:20" x14ac:dyDescent="0.3">
      <c r="R14959" s="255"/>
      <c r="S14959" s="255"/>
      <c r="T14959" s="255"/>
    </row>
    <row r="14960" spans="18:20" x14ac:dyDescent="0.3">
      <c r="R14960" s="255"/>
      <c r="S14960" s="255"/>
      <c r="T14960" s="255"/>
    </row>
    <row r="14961" spans="18:20" x14ac:dyDescent="0.3">
      <c r="R14961" s="255"/>
      <c r="S14961" s="255"/>
      <c r="T14961" s="255"/>
    </row>
    <row r="14962" spans="18:20" x14ac:dyDescent="0.3">
      <c r="R14962" s="255"/>
      <c r="S14962" s="255"/>
      <c r="T14962" s="255"/>
    </row>
    <row r="14963" spans="18:20" x14ac:dyDescent="0.3">
      <c r="R14963" s="255"/>
      <c r="S14963" s="255"/>
      <c r="T14963" s="255"/>
    </row>
    <row r="14964" spans="18:20" x14ac:dyDescent="0.3">
      <c r="R14964" s="255"/>
      <c r="S14964" s="255"/>
      <c r="T14964" s="255"/>
    </row>
    <row r="14965" spans="18:20" x14ac:dyDescent="0.3">
      <c r="R14965" s="255"/>
      <c r="S14965" s="255"/>
      <c r="T14965" s="255"/>
    </row>
    <row r="14966" spans="18:20" x14ac:dyDescent="0.3">
      <c r="R14966" s="255"/>
      <c r="S14966" s="255"/>
      <c r="T14966" s="255"/>
    </row>
    <row r="14967" spans="18:20" x14ac:dyDescent="0.3">
      <c r="R14967" s="255"/>
      <c r="S14967" s="255"/>
      <c r="T14967" s="255"/>
    </row>
    <row r="14968" spans="18:20" x14ac:dyDescent="0.3">
      <c r="R14968" s="255"/>
      <c r="S14968" s="255"/>
      <c r="T14968" s="255"/>
    </row>
    <row r="14969" spans="18:20" x14ac:dyDescent="0.3">
      <c r="R14969" s="255"/>
      <c r="S14969" s="255"/>
      <c r="T14969" s="255"/>
    </row>
    <row r="14970" spans="18:20" x14ac:dyDescent="0.3">
      <c r="R14970" s="255"/>
      <c r="S14970" s="255"/>
      <c r="T14970" s="255"/>
    </row>
    <row r="14971" spans="18:20" x14ac:dyDescent="0.3">
      <c r="R14971" s="255"/>
      <c r="S14971" s="255"/>
      <c r="T14971" s="255"/>
    </row>
    <row r="14972" spans="18:20" x14ac:dyDescent="0.3">
      <c r="R14972" s="255"/>
      <c r="S14972" s="255"/>
      <c r="T14972" s="255"/>
    </row>
    <row r="14973" spans="18:20" x14ac:dyDescent="0.3">
      <c r="R14973" s="255"/>
      <c r="S14973" s="255"/>
      <c r="T14973" s="255"/>
    </row>
    <row r="14974" spans="18:20" x14ac:dyDescent="0.3">
      <c r="R14974" s="255"/>
      <c r="S14974" s="255"/>
      <c r="T14974" s="255"/>
    </row>
    <row r="14975" spans="18:20" x14ac:dyDescent="0.3">
      <c r="R14975" s="255"/>
      <c r="S14975" s="255"/>
      <c r="T14975" s="255"/>
    </row>
    <row r="14976" spans="18:20" x14ac:dyDescent="0.3">
      <c r="R14976" s="255"/>
      <c r="S14976" s="255"/>
      <c r="T14976" s="255"/>
    </row>
    <row r="14977" spans="18:20" x14ac:dyDescent="0.3">
      <c r="R14977" s="255"/>
      <c r="S14977" s="255"/>
      <c r="T14977" s="255"/>
    </row>
    <row r="14978" spans="18:20" x14ac:dyDescent="0.3">
      <c r="R14978" s="255"/>
      <c r="S14978" s="255"/>
      <c r="T14978" s="255"/>
    </row>
    <row r="14979" spans="18:20" x14ac:dyDescent="0.3">
      <c r="R14979" s="255"/>
      <c r="S14979" s="255"/>
      <c r="T14979" s="255"/>
    </row>
    <row r="14980" spans="18:20" x14ac:dyDescent="0.3">
      <c r="R14980" s="255"/>
      <c r="S14980" s="255"/>
      <c r="T14980" s="255"/>
    </row>
    <row r="14981" spans="18:20" x14ac:dyDescent="0.3">
      <c r="R14981" s="255"/>
      <c r="S14981" s="255"/>
      <c r="T14981" s="255"/>
    </row>
    <row r="14982" spans="18:20" x14ac:dyDescent="0.3">
      <c r="R14982" s="255"/>
      <c r="S14982" s="255"/>
      <c r="T14982" s="255"/>
    </row>
    <row r="14983" spans="18:20" x14ac:dyDescent="0.3">
      <c r="R14983" s="255"/>
      <c r="S14983" s="255"/>
      <c r="T14983" s="255"/>
    </row>
    <row r="14984" spans="18:20" x14ac:dyDescent="0.3">
      <c r="R14984" s="255"/>
      <c r="S14984" s="255"/>
      <c r="T14984" s="255"/>
    </row>
    <row r="14985" spans="18:20" x14ac:dyDescent="0.3">
      <c r="R14985" s="255"/>
      <c r="S14985" s="255"/>
      <c r="T14985" s="255"/>
    </row>
    <row r="14986" spans="18:20" x14ac:dyDescent="0.3">
      <c r="R14986" s="255"/>
      <c r="S14986" s="255"/>
      <c r="T14986" s="255"/>
    </row>
    <row r="14987" spans="18:20" x14ac:dyDescent="0.3">
      <c r="R14987" s="255"/>
      <c r="S14987" s="255"/>
      <c r="T14987" s="255"/>
    </row>
    <row r="14988" spans="18:20" x14ac:dyDescent="0.3">
      <c r="R14988" s="255"/>
      <c r="S14988" s="255"/>
      <c r="T14988" s="255"/>
    </row>
    <row r="14989" spans="18:20" x14ac:dyDescent="0.3">
      <c r="R14989" s="255"/>
      <c r="S14989" s="255"/>
      <c r="T14989" s="255"/>
    </row>
    <row r="14990" spans="18:20" x14ac:dyDescent="0.3">
      <c r="R14990" s="255"/>
      <c r="S14990" s="255"/>
      <c r="T14990" s="255"/>
    </row>
    <row r="14991" spans="18:20" x14ac:dyDescent="0.3">
      <c r="R14991" s="255"/>
      <c r="S14991" s="255"/>
      <c r="T14991" s="255"/>
    </row>
    <row r="14992" spans="18:20" x14ac:dyDescent="0.3">
      <c r="R14992" s="255"/>
      <c r="S14992" s="255"/>
      <c r="T14992" s="255"/>
    </row>
    <row r="14993" spans="18:20" x14ac:dyDescent="0.3">
      <c r="R14993" s="255"/>
      <c r="S14993" s="255"/>
      <c r="T14993" s="255"/>
    </row>
    <row r="14994" spans="18:20" x14ac:dyDescent="0.3">
      <c r="R14994" s="255"/>
      <c r="S14994" s="255"/>
      <c r="T14994" s="255"/>
    </row>
    <row r="14995" spans="18:20" x14ac:dyDescent="0.3">
      <c r="R14995" s="255"/>
      <c r="S14995" s="255"/>
      <c r="T14995" s="255"/>
    </row>
    <row r="14996" spans="18:20" x14ac:dyDescent="0.3">
      <c r="R14996" s="255"/>
      <c r="S14996" s="255"/>
      <c r="T14996" s="255"/>
    </row>
    <row r="14997" spans="18:20" x14ac:dyDescent="0.3">
      <c r="R14997" s="255"/>
      <c r="S14997" s="255"/>
      <c r="T14997" s="255"/>
    </row>
    <row r="14998" spans="18:20" x14ac:dyDescent="0.3">
      <c r="R14998" s="255"/>
      <c r="S14998" s="255"/>
      <c r="T14998" s="255"/>
    </row>
    <row r="14999" spans="18:20" x14ac:dyDescent="0.3">
      <c r="R14999" s="255"/>
      <c r="S14999" s="255"/>
      <c r="T14999" s="255"/>
    </row>
    <row r="15000" spans="18:20" x14ac:dyDescent="0.3">
      <c r="R15000" s="255"/>
      <c r="S15000" s="255"/>
      <c r="T15000" s="255"/>
    </row>
    <row r="15001" spans="18:20" x14ac:dyDescent="0.3">
      <c r="R15001" s="255"/>
      <c r="S15001" s="255"/>
      <c r="T15001" s="255"/>
    </row>
    <row r="15002" spans="18:20" x14ac:dyDescent="0.3">
      <c r="R15002" s="255"/>
      <c r="S15002" s="255"/>
      <c r="T15002" s="255"/>
    </row>
    <row r="15003" spans="18:20" x14ac:dyDescent="0.3">
      <c r="R15003" s="255"/>
      <c r="S15003" s="255"/>
      <c r="T15003" s="255"/>
    </row>
    <row r="15004" spans="18:20" x14ac:dyDescent="0.3">
      <c r="R15004" s="255"/>
      <c r="S15004" s="255"/>
      <c r="T15004" s="255"/>
    </row>
    <row r="15005" spans="18:20" x14ac:dyDescent="0.3">
      <c r="R15005" s="255"/>
      <c r="S15005" s="255"/>
      <c r="T15005" s="255"/>
    </row>
    <row r="15006" spans="18:20" x14ac:dyDescent="0.3">
      <c r="R15006" s="255"/>
      <c r="S15006" s="255"/>
      <c r="T15006" s="255"/>
    </row>
    <row r="15007" spans="18:20" x14ac:dyDescent="0.3">
      <c r="R15007" s="255"/>
      <c r="S15007" s="255"/>
      <c r="T15007" s="255"/>
    </row>
    <row r="15008" spans="18:20" x14ac:dyDescent="0.3">
      <c r="R15008" s="255"/>
      <c r="S15008" s="255"/>
      <c r="T15008" s="255"/>
    </row>
    <row r="15009" spans="18:20" x14ac:dyDescent="0.3">
      <c r="R15009" s="255"/>
      <c r="S15009" s="255"/>
      <c r="T15009" s="255"/>
    </row>
    <row r="15010" spans="18:20" x14ac:dyDescent="0.3">
      <c r="R15010" s="255"/>
      <c r="S15010" s="255"/>
      <c r="T15010" s="255"/>
    </row>
    <row r="15011" spans="18:20" x14ac:dyDescent="0.3">
      <c r="R15011" s="255"/>
      <c r="S15011" s="255"/>
      <c r="T15011" s="255"/>
    </row>
    <row r="15012" spans="18:20" x14ac:dyDescent="0.3">
      <c r="R15012" s="255"/>
      <c r="S15012" s="255"/>
      <c r="T15012" s="255"/>
    </row>
    <row r="15013" spans="18:20" x14ac:dyDescent="0.3">
      <c r="R15013" s="255"/>
      <c r="S15013" s="255"/>
      <c r="T15013" s="255"/>
    </row>
    <row r="15014" spans="18:20" x14ac:dyDescent="0.3">
      <c r="R15014" s="255"/>
      <c r="S15014" s="255"/>
      <c r="T15014" s="255"/>
    </row>
    <row r="15015" spans="18:20" x14ac:dyDescent="0.3">
      <c r="R15015" s="255"/>
      <c r="S15015" s="255"/>
      <c r="T15015" s="255"/>
    </row>
    <row r="15016" spans="18:20" x14ac:dyDescent="0.3">
      <c r="R15016" s="255"/>
      <c r="S15016" s="255"/>
      <c r="T15016" s="255"/>
    </row>
    <row r="15017" spans="18:20" x14ac:dyDescent="0.3">
      <c r="R15017" s="255"/>
      <c r="S15017" s="255"/>
      <c r="T15017" s="255"/>
    </row>
    <row r="15018" spans="18:20" x14ac:dyDescent="0.3">
      <c r="R15018" s="255"/>
      <c r="S15018" s="255"/>
      <c r="T15018" s="255"/>
    </row>
    <row r="15019" spans="18:20" x14ac:dyDescent="0.3">
      <c r="R15019" s="255"/>
      <c r="S15019" s="255"/>
      <c r="T15019" s="255"/>
    </row>
    <row r="15020" spans="18:20" x14ac:dyDescent="0.3">
      <c r="R15020" s="255"/>
      <c r="S15020" s="255"/>
      <c r="T15020" s="255"/>
    </row>
    <row r="15021" spans="18:20" x14ac:dyDescent="0.3">
      <c r="R15021" s="255"/>
      <c r="S15021" s="255"/>
      <c r="T15021" s="255"/>
    </row>
    <row r="15022" spans="18:20" x14ac:dyDescent="0.3">
      <c r="R15022" s="255"/>
      <c r="S15022" s="255"/>
      <c r="T15022" s="255"/>
    </row>
    <row r="15023" spans="18:20" x14ac:dyDescent="0.3">
      <c r="R15023" s="255"/>
      <c r="S15023" s="255"/>
      <c r="T15023" s="255"/>
    </row>
    <row r="15024" spans="18:20" x14ac:dyDescent="0.3">
      <c r="R15024" s="255"/>
      <c r="S15024" s="255"/>
      <c r="T15024" s="255"/>
    </row>
    <row r="15025" spans="18:20" x14ac:dyDescent="0.3">
      <c r="R15025" s="255"/>
      <c r="S15025" s="255"/>
      <c r="T15025" s="255"/>
    </row>
    <row r="15026" spans="18:20" x14ac:dyDescent="0.3">
      <c r="R15026" s="255"/>
      <c r="S15026" s="255"/>
      <c r="T15026" s="255"/>
    </row>
    <row r="15027" spans="18:20" x14ac:dyDescent="0.3">
      <c r="R15027" s="255"/>
      <c r="S15027" s="255"/>
      <c r="T15027" s="255"/>
    </row>
    <row r="15028" spans="18:20" x14ac:dyDescent="0.3">
      <c r="R15028" s="255"/>
      <c r="S15028" s="255"/>
      <c r="T15028" s="255"/>
    </row>
    <row r="15029" spans="18:20" x14ac:dyDescent="0.3">
      <c r="R15029" s="255"/>
      <c r="S15029" s="255"/>
      <c r="T15029" s="255"/>
    </row>
    <row r="15030" spans="18:20" x14ac:dyDescent="0.3">
      <c r="R15030" s="255"/>
      <c r="S15030" s="255"/>
      <c r="T15030" s="255"/>
    </row>
    <row r="15031" spans="18:20" x14ac:dyDescent="0.3">
      <c r="R15031" s="255"/>
      <c r="S15031" s="255"/>
      <c r="T15031" s="255"/>
    </row>
    <row r="15032" spans="18:20" x14ac:dyDescent="0.3">
      <c r="R15032" s="255"/>
      <c r="S15032" s="255"/>
      <c r="T15032" s="255"/>
    </row>
    <row r="15033" spans="18:20" x14ac:dyDescent="0.3">
      <c r="R15033" s="255"/>
      <c r="S15033" s="255"/>
      <c r="T15033" s="255"/>
    </row>
    <row r="15034" spans="18:20" x14ac:dyDescent="0.3">
      <c r="R15034" s="255"/>
      <c r="S15034" s="255"/>
      <c r="T15034" s="255"/>
    </row>
    <row r="15035" spans="18:20" x14ac:dyDescent="0.3">
      <c r="R15035" s="255"/>
      <c r="S15035" s="255"/>
      <c r="T15035" s="255"/>
    </row>
    <row r="15036" spans="18:20" x14ac:dyDescent="0.3">
      <c r="R15036" s="255"/>
      <c r="S15036" s="255"/>
      <c r="T15036" s="255"/>
    </row>
    <row r="15037" spans="18:20" x14ac:dyDescent="0.3">
      <c r="R15037" s="255"/>
      <c r="S15037" s="255"/>
      <c r="T15037" s="255"/>
    </row>
    <row r="15038" spans="18:20" x14ac:dyDescent="0.3">
      <c r="R15038" s="255"/>
      <c r="S15038" s="255"/>
      <c r="T15038" s="255"/>
    </row>
    <row r="15039" spans="18:20" x14ac:dyDescent="0.3">
      <c r="R15039" s="255"/>
      <c r="S15039" s="255"/>
      <c r="T15039" s="255"/>
    </row>
    <row r="15040" spans="18:20" x14ac:dyDescent="0.3">
      <c r="R15040" s="255"/>
      <c r="S15040" s="255"/>
      <c r="T15040" s="255"/>
    </row>
    <row r="15041" spans="18:20" x14ac:dyDescent="0.3">
      <c r="R15041" s="255"/>
      <c r="S15041" s="255"/>
      <c r="T15041" s="255"/>
    </row>
    <row r="15042" spans="18:20" x14ac:dyDescent="0.3">
      <c r="R15042" s="255"/>
      <c r="S15042" s="255"/>
      <c r="T15042" s="255"/>
    </row>
    <row r="15043" spans="18:20" x14ac:dyDescent="0.3">
      <c r="R15043" s="255"/>
      <c r="S15043" s="262"/>
      <c r="T15043" s="262"/>
    </row>
  </sheetData>
  <sortState xmlns:xlrd2="http://schemas.microsoft.com/office/spreadsheetml/2017/richdata2" ref="B73:F81">
    <sortCondition descending="1" ref="F73:F81"/>
  </sortState>
  <mergeCells count="14846">
    <mergeCell ref="R15002:T15002"/>
    <mergeCell ref="R15003:T15003"/>
    <mergeCell ref="R15004:T15004"/>
    <mergeCell ref="R15005:T15005"/>
    <mergeCell ref="R15006:T15006"/>
    <mergeCell ref="R14997:T14997"/>
    <mergeCell ref="R14998:T14998"/>
    <mergeCell ref="R14999:T14999"/>
    <mergeCell ref="R15000:T15000"/>
    <mergeCell ref="R15001:T15001"/>
    <mergeCell ref="R14992:T14992"/>
    <mergeCell ref="R14993:T14993"/>
    <mergeCell ref="R14994:T14994"/>
    <mergeCell ref="R14995:T14995"/>
    <mergeCell ref="R14996:T14996"/>
    <mergeCell ref="R14987:T14987"/>
    <mergeCell ref="R14988:T14988"/>
    <mergeCell ref="R15042:T15042"/>
    <mergeCell ref="R15043:T15043"/>
    <mergeCell ref="R15037:T15037"/>
    <mergeCell ref="R15038:T15038"/>
    <mergeCell ref="R15039:T15039"/>
    <mergeCell ref="R15040:T15040"/>
    <mergeCell ref="R15041:T15041"/>
    <mergeCell ref="R15032:T15032"/>
    <mergeCell ref="R15033:T15033"/>
    <mergeCell ref="R15034:T15034"/>
    <mergeCell ref="R15035:T15035"/>
    <mergeCell ref="R15036:T15036"/>
    <mergeCell ref="R15027:T15027"/>
    <mergeCell ref="R15028:T15028"/>
    <mergeCell ref="R15029:T15029"/>
    <mergeCell ref="R15030:T15030"/>
    <mergeCell ref="R15031:T15031"/>
    <mergeCell ref="R15022:T15022"/>
    <mergeCell ref="R15023:T15023"/>
    <mergeCell ref="R15024:T15024"/>
    <mergeCell ref="R15025:T15025"/>
    <mergeCell ref="R15026:T15026"/>
    <mergeCell ref="R15017:T15017"/>
    <mergeCell ref="R15018:T15018"/>
    <mergeCell ref="R15019:T15019"/>
    <mergeCell ref="R15020:T15020"/>
    <mergeCell ref="R15021:T15021"/>
    <mergeCell ref="R15012:T15012"/>
    <mergeCell ref="R15013:T15013"/>
    <mergeCell ref="R15014:T15014"/>
    <mergeCell ref="R15015:T15015"/>
    <mergeCell ref="R15016:T15016"/>
    <mergeCell ref="R15007:T15007"/>
    <mergeCell ref="R15008:T15008"/>
    <mergeCell ref="R15009:T15009"/>
    <mergeCell ref="R15010:T15010"/>
    <mergeCell ref="R15011:T15011"/>
    <mergeCell ref="R14989:T14989"/>
    <mergeCell ref="R14990:T14990"/>
    <mergeCell ref="R14991:T14991"/>
    <mergeCell ref="R14982:T14982"/>
    <mergeCell ref="R14983:T14983"/>
    <mergeCell ref="R14984:T14984"/>
    <mergeCell ref="R14985:T14985"/>
    <mergeCell ref="R14986:T14986"/>
    <mergeCell ref="R14977:T14977"/>
    <mergeCell ref="R14978:T14978"/>
    <mergeCell ref="R14979:T14979"/>
    <mergeCell ref="R14980:T14980"/>
    <mergeCell ref="R14981:T14981"/>
    <mergeCell ref="R14972:T14972"/>
    <mergeCell ref="R14973:T14973"/>
    <mergeCell ref="R14974:T14974"/>
    <mergeCell ref="R14975:T14975"/>
    <mergeCell ref="R14976:T14976"/>
    <mergeCell ref="R14967:T14967"/>
    <mergeCell ref="R14968:T14968"/>
    <mergeCell ref="R14969:T14969"/>
    <mergeCell ref="R14970:T14970"/>
    <mergeCell ref="R14971:T14971"/>
    <mergeCell ref="R14962:T14962"/>
    <mergeCell ref="R14963:T14963"/>
    <mergeCell ref="R14964:T14964"/>
    <mergeCell ref="R14965:T14965"/>
    <mergeCell ref="R14966:T14966"/>
    <mergeCell ref="R14957:T14957"/>
    <mergeCell ref="R14958:T14958"/>
    <mergeCell ref="R14959:T14959"/>
    <mergeCell ref="R14960:T14960"/>
    <mergeCell ref="R14961:T14961"/>
    <mergeCell ref="R14952:T14952"/>
    <mergeCell ref="R14953:T14953"/>
    <mergeCell ref="R14954:T14954"/>
    <mergeCell ref="R14955:T14955"/>
    <mergeCell ref="R14956:T14956"/>
    <mergeCell ref="R14947:T14947"/>
    <mergeCell ref="R14948:T14948"/>
    <mergeCell ref="R14949:T14949"/>
    <mergeCell ref="R14950:T14950"/>
    <mergeCell ref="R14951:T14951"/>
    <mergeCell ref="R14942:T14942"/>
    <mergeCell ref="R14943:T14943"/>
    <mergeCell ref="R14944:T14944"/>
    <mergeCell ref="R14945:T14945"/>
    <mergeCell ref="R14946:T14946"/>
    <mergeCell ref="R14937:T14937"/>
    <mergeCell ref="R14938:T14938"/>
    <mergeCell ref="R14939:T14939"/>
    <mergeCell ref="R14940:T14940"/>
    <mergeCell ref="R14941:T14941"/>
    <mergeCell ref="R14932:T14932"/>
    <mergeCell ref="R14933:T14933"/>
    <mergeCell ref="R14934:T14934"/>
    <mergeCell ref="R14935:T14935"/>
    <mergeCell ref="R14936:T14936"/>
    <mergeCell ref="R14927:T14927"/>
    <mergeCell ref="R14928:T14928"/>
    <mergeCell ref="R14929:T14929"/>
    <mergeCell ref="R14930:T14930"/>
    <mergeCell ref="R14931:T14931"/>
    <mergeCell ref="R14922:T14922"/>
    <mergeCell ref="R14923:T14923"/>
    <mergeCell ref="R14924:T14924"/>
    <mergeCell ref="R14925:T14925"/>
    <mergeCell ref="R14926:T14926"/>
    <mergeCell ref="R14917:T14917"/>
    <mergeCell ref="R14918:T14918"/>
    <mergeCell ref="R14919:T14919"/>
    <mergeCell ref="R14920:T14920"/>
    <mergeCell ref="R14921:T14921"/>
    <mergeCell ref="R14912:T14912"/>
    <mergeCell ref="R14913:T14913"/>
    <mergeCell ref="R14914:T14914"/>
    <mergeCell ref="R14915:T14915"/>
    <mergeCell ref="R14916:T14916"/>
    <mergeCell ref="R14907:T14907"/>
    <mergeCell ref="R14908:T14908"/>
    <mergeCell ref="R14909:T14909"/>
    <mergeCell ref="R14910:T14910"/>
    <mergeCell ref="R14911:T14911"/>
    <mergeCell ref="R14902:T14902"/>
    <mergeCell ref="R14903:T14903"/>
    <mergeCell ref="R14904:T14904"/>
    <mergeCell ref="R14905:T14905"/>
    <mergeCell ref="R14906:T14906"/>
    <mergeCell ref="R14897:T14897"/>
    <mergeCell ref="R14898:T14898"/>
    <mergeCell ref="R14899:T14899"/>
    <mergeCell ref="R14900:T14900"/>
    <mergeCell ref="R14901:T14901"/>
    <mergeCell ref="R14892:T14892"/>
    <mergeCell ref="R14893:T14893"/>
    <mergeCell ref="R14894:T14894"/>
    <mergeCell ref="R14895:T14895"/>
    <mergeCell ref="R14896:T14896"/>
    <mergeCell ref="R14887:T14887"/>
    <mergeCell ref="R14888:T14888"/>
    <mergeCell ref="R14889:T14889"/>
    <mergeCell ref="R14890:T14890"/>
    <mergeCell ref="R14891:T14891"/>
    <mergeCell ref="R14882:T14882"/>
    <mergeCell ref="R14883:T14883"/>
    <mergeCell ref="R14884:T14884"/>
    <mergeCell ref="R14885:T14885"/>
    <mergeCell ref="R14886:T14886"/>
    <mergeCell ref="R14877:T14877"/>
    <mergeCell ref="R14878:T14878"/>
    <mergeCell ref="R14879:T14879"/>
    <mergeCell ref="R14880:T14880"/>
    <mergeCell ref="R14881:T14881"/>
    <mergeCell ref="R14872:T14872"/>
    <mergeCell ref="R14873:T14873"/>
    <mergeCell ref="R14874:T14874"/>
    <mergeCell ref="R14875:T14875"/>
    <mergeCell ref="R14876:T14876"/>
    <mergeCell ref="R14867:T14867"/>
    <mergeCell ref="R14868:T14868"/>
    <mergeCell ref="R14869:T14869"/>
    <mergeCell ref="R14870:T14870"/>
    <mergeCell ref="R14871:T14871"/>
    <mergeCell ref="R14862:T14862"/>
    <mergeCell ref="R14863:T14863"/>
    <mergeCell ref="R14864:T14864"/>
    <mergeCell ref="R14865:T14865"/>
    <mergeCell ref="R14866:T14866"/>
    <mergeCell ref="R14857:T14857"/>
    <mergeCell ref="R14858:T14858"/>
    <mergeCell ref="R14859:T14859"/>
    <mergeCell ref="R14860:T14860"/>
    <mergeCell ref="R14861:T14861"/>
    <mergeCell ref="R14852:T14852"/>
    <mergeCell ref="R14853:T14853"/>
    <mergeCell ref="R14854:T14854"/>
    <mergeCell ref="R14855:T14855"/>
    <mergeCell ref="R14856:T14856"/>
    <mergeCell ref="R14847:T14847"/>
    <mergeCell ref="R14848:T14848"/>
    <mergeCell ref="R14849:T14849"/>
    <mergeCell ref="R14850:T14850"/>
    <mergeCell ref="R14851:T14851"/>
    <mergeCell ref="R14842:T14842"/>
    <mergeCell ref="R14843:T14843"/>
    <mergeCell ref="R14844:T14844"/>
    <mergeCell ref="R14845:T14845"/>
    <mergeCell ref="R14846:T14846"/>
    <mergeCell ref="R14837:T14837"/>
    <mergeCell ref="R14838:T14838"/>
    <mergeCell ref="R14839:T14839"/>
    <mergeCell ref="R14840:T14840"/>
    <mergeCell ref="R14841:T14841"/>
    <mergeCell ref="R14832:T14832"/>
    <mergeCell ref="R14833:T14833"/>
    <mergeCell ref="R14834:T14834"/>
    <mergeCell ref="R14835:T14835"/>
    <mergeCell ref="R14836:T14836"/>
    <mergeCell ref="R14827:T14827"/>
    <mergeCell ref="R14828:T14828"/>
    <mergeCell ref="R14829:T14829"/>
    <mergeCell ref="R14830:T14830"/>
    <mergeCell ref="R14831:T14831"/>
    <mergeCell ref="R14822:T14822"/>
    <mergeCell ref="R14823:T14823"/>
    <mergeCell ref="R14824:T14824"/>
    <mergeCell ref="R14825:T14825"/>
    <mergeCell ref="R14826:T14826"/>
    <mergeCell ref="R14817:T14817"/>
    <mergeCell ref="R14818:T14818"/>
    <mergeCell ref="R14819:T14819"/>
    <mergeCell ref="R14820:T14820"/>
    <mergeCell ref="R14821:T14821"/>
    <mergeCell ref="R14812:T14812"/>
    <mergeCell ref="R14813:T14813"/>
    <mergeCell ref="R14814:T14814"/>
    <mergeCell ref="R14815:T14815"/>
    <mergeCell ref="R14816:T14816"/>
    <mergeCell ref="R14807:T14807"/>
    <mergeCell ref="R14808:T14808"/>
    <mergeCell ref="R14809:T14809"/>
    <mergeCell ref="R14810:T14810"/>
    <mergeCell ref="R14811:T14811"/>
    <mergeCell ref="R14802:T14802"/>
    <mergeCell ref="R14803:T14803"/>
    <mergeCell ref="R14804:T14804"/>
    <mergeCell ref="R14805:T14805"/>
    <mergeCell ref="R14806:T14806"/>
    <mergeCell ref="R14797:T14797"/>
    <mergeCell ref="R14798:T14798"/>
    <mergeCell ref="R14799:T14799"/>
    <mergeCell ref="R14800:T14800"/>
    <mergeCell ref="R14801:T14801"/>
    <mergeCell ref="R14792:T14792"/>
    <mergeCell ref="R14793:T14793"/>
    <mergeCell ref="R14794:T14794"/>
    <mergeCell ref="R14795:T14795"/>
    <mergeCell ref="R14796:T14796"/>
    <mergeCell ref="R14787:T14787"/>
    <mergeCell ref="R14788:T14788"/>
    <mergeCell ref="R14789:T14789"/>
    <mergeCell ref="R14790:T14790"/>
    <mergeCell ref="R14791:T14791"/>
    <mergeCell ref="R14782:T14782"/>
    <mergeCell ref="R14783:T14783"/>
    <mergeCell ref="R14784:T14784"/>
    <mergeCell ref="R14785:T14785"/>
    <mergeCell ref="R14786:T14786"/>
    <mergeCell ref="R14777:T14777"/>
    <mergeCell ref="R14778:T14778"/>
    <mergeCell ref="R14779:T14779"/>
    <mergeCell ref="R14780:T14780"/>
    <mergeCell ref="R14781:T14781"/>
    <mergeCell ref="R14772:T14772"/>
    <mergeCell ref="R14773:T14773"/>
    <mergeCell ref="R14774:T14774"/>
    <mergeCell ref="R14775:T14775"/>
    <mergeCell ref="R14776:T14776"/>
    <mergeCell ref="R14767:T14767"/>
    <mergeCell ref="R14768:T14768"/>
    <mergeCell ref="R14769:T14769"/>
    <mergeCell ref="R14770:T14770"/>
    <mergeCell ref="R14771:T14771"/>
    <mergeCell ref="R14762:T14762"/>
    <mergeCell ref="R14763:T14763"/>
    <mergeCell ref="R14764:T14764"/>
    <mergeCell ref="R14765:T14765"/>
    <mergeCell ref="R14766:T14766"/>
    <mergeCell ref="R14757:T14757"/>
    <mergeCell ref="R14758:T14758"/>
    <mergeCell ref="R14759:T14759"/>
    <mergeCell ref="R14760:T14760"/>
    <mergeCell ref="R14761:T14761"/>
    <mergeCell ref="R14752:T14752"/>
    <mergeCell ref="R14753:T14753"/>
    <mergeCell ref="R14754:T14754"/>
    <mergeCell ref="R14755:T14755"/>
    <mergeCell ref="R14756:T14756"/>
    <mergeCell ref="R14747:T14747"/>
    <mergeCell ref="R14748:T14748"/>
    <mergeCell ref="R14749:T14749"/>
    <mergeCell ref="R14750:T14750"/>
    <mergeCell ref="R14751:T14751"/>
    <mergeCell ref="R14742:T14742"/>
    <mergeCell ref="R14743:T14743"/>
    <mergeCell ref="R14744:T14744"/>
    <mergeCell ref="R14745:T14745"/>
    <mergeCell ref="R14746:T14746"/>
    <mergeCell ref="R14737:T14737"/>
    <mergeCell ref="R14738:T14738"/>
    <mergeCell ref="R14739:T14739"/>
    <mergeCell ref="R14740:T14740"/>
    <mergeCell ref="R14741:T14741"/>
    <mergeCell ref="R14732:T14732"/>
    <mergeCell ref="R14733:T14733"/>
    <mergeCell ref="R14734:T14734"/>
    <mergeCell ref="R14735:T14735"/>
    <mergeCell ref="R14736:T14736"/>
    <mergeCell ref="R14727:T14727"/>
    <mergeCell ref="R14728:T14728"/>
    <mergeCell ref="R14729:T14729"/>
    <mergeCell ref="R14730:T14730"/>
    <mergeCell ref="R14731:T14731"/>
    <mergeCell ref="R14722:T14722"/>
    <mergeCell ref="R14723:T14723"/>
    <mergeCell ref="R14724:T14724"/>
    <mergeCell ref="R14725:T14725"/>
    <mergeCell ref="R14726:T14726"/>
    <mergeCell ref="R14717:T14717"/>
    <mergeCell ref="R14718:T14718"/>
    <mergeCell ref="R14719:T14719"/>
    <mergeCell ref="R14720:T14720"/>
    <mergeCell ref="R14721:T14721"/>
    <mergeCell ref="R14712:T14712"/>
    <mergeCell ref="R14713:T14713"/>
    <mergeCell ref="R14714:T14714"/>
    <mergeCell ref="R14715:T14715"/>
    <mergeCell ref="R14716:T14716"/>
    <mergeCell ref="R14707:T14707"/>
    <mergeCell ref="R14708:T14708"/>
    <mergeCell ref="R14709:T14709"/>
    <mergeCell ref="R14710:T14710"/>
    <mergeCell ref="R14711:T14711"/>
    <mergeCell ref="R14702:T14702"/>
    <mergeCell ref="R14703:T14703"/>
    <mergeCell ref="R14704:T14704"/>
    <mergeCell ref="R14705:T14705"/>
    <mergeCell ref="R14706:T14706"/>
    <mergeCell ref="R14697:T14697"/>
    <mergeCell ref="R14698:T14698"/>
    <mergeCell ref="R14699:T14699"/>
    <mergeCell ref="R14700:T14700"/>
    <mergeCell ref="R14701:T14701"/>
    <mergeCell ref="R14692:T14692"/>
    <mergeCell ref="R14693:T14693"/>
    <mergeCell ref="R14694:T14694"/>
    <mergeCell ref="R14695:T14695"/>
    <mergeCell ref="R14696:T14696"/>
    <mergeCell ref="R14687:T14687"/>
    <mergeCell ref="R14688:T14688"/>
    <mergeCell ref="R14689:T14689"/>
    <mergeCell ref="R14690:T14690"/>
    <mergeCell ref="R14691:T14691"/>
    <mergeCell ref="R14682:T14682"/>
    <mergeCell ref="R14683:T14683"/>
    <mergeCell ref="R14684:T14684"/>
    <mergeCell ref="R14685:T14685"/>
    <mergeCell ref="R14686:T14686"/>
    <mergeCell ref="R14677:T14677"/>
    <mergeCell ref="R14678:T14678"/>
    <mergeCell ref="R14679:T14679"/>
    <mergeCell ref="R14680:T14680"/>
    <mergeCell ref="R14681:T14681"/>
    <mergeCell ref="R14672:T14672"/>
    <mergeCell ref="R14673:T14673"/>
    <mergeCell ref="R14674:T14674"/>
    <mergeCell ref="R14675:T14675"/>
    <mergeCell ref="R14676:T14676"/>
    <mergeCell ref="R14667:T14667"/>
    <mergeCell ref="R14668:T14668"/>
    <mergeCell ref="R14669:T14669"/>
    <mergeCell ref="R14670:T14670"/>
    <mergeCell ref="R14671:T14671"/>
    <mergeCell ref="R14662:T14662"/>
    <mergeCell ref="R14663:T14663"/>
    <mergeCell ref="R14664:T14664"/>
    <mergeCell ref="R14665:T14665"/>
    <mergeCell ref="R14666:T14666"/>
    <mergeCell ref="R14657:T14657"/>
    <mergeCell ref="R14658:T14658"/>
    <mergeCell ref="R14659:T14659"/>
    <mergeCell ref="R14660:T14660"/>
    <mergeCell ref="R14661:T14661"/>
    <mergeCell ref="R14652:T14652"/>
    <mergeCell ref="R14653:T14653"/>
    <mergeCell ref="R14654:T14654"/>
    <mergeCell ref="R14655:T14655"/>
    <mergeCell ref="R14656:T14656"/>
    <mergeCell ref="R14647:T14647"/>
    <mergeCell ref="R14648:T14648"/>
    <mergeCell ref="R14649:T14649"/>
    <mergeCell ref="R14650:T14650"/>
    <mergeCell ref="R14651:T14651"/>
    <mergeCell ref="R14642:T14642"/>
    <mergeCell ref="R14643:T14643"/>
    <mergeCell ref="R14644:T14644"/>
    <mergeCell ref="R14645:T14645"/>
    <mergeCell ref="R14646:T14646"/>
    <mergeCell ref="R14637:T14637"/>
    <mergeCell ref="R14638:T14638"/>
    <mergeCell ref="R14639:T14639"/>
    <mergeCell ref="R14640:T14640"/>
    <mergeCell ref="R14641:T14641"/>
    <mergeCell ref="R14632:T14632"/>
    <mergeCell ref="R14633:T14633"/>
    <mergeCell ref="R14634:T14634"/>
    <mergeCell ref="R14635:T14635"/>
    <mergeCell ref="R14636:T14636"/>
    <mergeCell ref="R14627:T14627"/>
    <mergeCell ref="R14628:T14628"/>
    <mergeCell ref="R14629:T14629"/>
    <mergeCell ref="R14630:T14630"/>
    <mergeCell ref="R14631:T14631"/>
    <mergeCell ref="R14622:T14622"/>
    <mergeCell ref="R14623:T14623"/>
    <mergeCell ref="R14624:T14624"/>
    <mergeCell ref="R14625:T14625"/>
    <mergeCell ref="R14626:T14626"/>
    <mergeCell ref="R14617:T14617"/>
    <mergeCell ref="R14618:T14618"/>
    <mergeCell ref="R14619:T14619"/>
    <mergeCell ref="R14620:T14620"/>
    <mergeCell ref="R14621:T14621"/>
    <mergeCell ref="R14612:T14612"/>
    <mergeCell ref="R14613:T14613"/>
    <mergeCell ref="R14614:T14614"/>
    <mergeCell ref="R14615:T14615"/>
    <mergeCell ref="R14616:T14616"/>
    <mergeCell ref="R14607:T14607"/>
    <mergeCell ref="R14608:T14608"/>
    <mergeCell ref="R14609:T14609"/>
    <mergeCell ref="R14610:T14610"/>
    <mergeCell ref="R14611:T14611"/>
    <mergeCell ref="R14602:T14602"/>
    <mergeCell ref="R14603:T14603"/>
    <mergeCell ref="R14604:T14604"/>
    <mergeCell ref="R14605:T14605"/>
    <mergeCell ref="R14606:T14606"/>
    <mergeCell ref="R14597:T14597"/>
    <mergeCell ref="R14598:T14598"/>
    <mergeCell ref="R14599:T14599"/>
    <mergeCell ref="R14600:T14600"/>
    <mergeCell ref="R14601:T14601"/>
    <mergeCell ref="R14592:T14592"/>
    <mergeCell ref="R14593:T14593"/>
    <mergeCell ref="R14594:T14594"/>
    <mergeCell ref="R14595:T14595"/>
    <mergeCell ref="R14596:T14596"/>
    <mergeCell ref="R14587:T14587"/>
    <mergeCell ref="R14588:T14588"/>
    <mergeCell ref="R14589:T14589"/>
    <mergeCell ref="R14590:T14590"/>
    <mergeCell ref="R14591:T14591"/>
    <mergeCell ref="R14582:T14582"/>
    <mergeCell ref="R14583:T14583"/>
    <mergeCell ref="R14584:T14584"/>
    <mergeCell ref="R14585:T14585"/>
    <mergeCell ref="R14586:T14586"/>
    <mergeCell ref="R14577:T14577"/>
    <mergeCell ref="R14578:T14578"/>
    <mergeCell ref="R14579:T14579"/>
    <mergeCell ref="R14580:T14580"/>
    <mergeCell ref="R14581:T14581"/>
    <mergeCell ref="R14572:T14572"/>
    <mergeCell ref="R14573:T14573"/>
    <mergeCell ref="R14574:T14574"/>
    <mergeCell ref="R14575:T14575"/>
    <mergeCell ref="R14576:T14576"/>
    <mergeCell ref="R14567:T14567"/>
    <mergeCell ref="R14568:T14568"/>
    <mergeCell ref="R14569:T14569"/>
    <mergeCell ref="R14570:T14570"/>
    <mergeCell ref="R14571:T14571"/>
    <mergeCell ref="R14562:T14562"/>
    <mergeCell ref="R14563:T14563"/>
    <mergeCell ref="R14564:T14564"/>
    <mergeCell ref="R14565:T14565"/>
    <mergeCell ref="R14566:T14566"/>
    <mergeCell ref="R14557:T14557"/>
    <mergeCell ref="R14558:T14558"/>
    <mergeCell ref="R14559:T14559"/>
    <mergeCell ref="R14560:T14560"/>
    <mergeCell ref="R14561:T14561"/>
    <mergeCell ref="R14552:T14552"/>
    <mergeCell ref="R14553:T14553"/>
    <mergeCell ref="R14554:T14554"/>
    <mergeCell ref="R14555:T14555"/>
    <mergeCell ref="R14556:T14556"/>
    <mergeCell ref="R14547:T14547"/>
    <mergeCell ref="R14548:T14548"/>
    <mergeCell ref="R14549:T14549"/>
    <mergeCell ref="R14550:T14550"/>
    <mergeCell ref="R14551:T14551"/>
    <mergeCell ref="R14542:T14542"/>
    <mergeCell ref="R14543:T14543"/>
    <mergeCell ref="R14544:T14544"/>
    <mergeCell ref="R14545:T14545"/>
    <mergeCell ref="R14546:T14546"/>
    <mergeCell ref="R14537:T14537"/>
    <mergeCell ref="R14538:T14538"/>
    <mergeCell ref="R14539:T14539"/>
    <mergeCell ref="R14540:T14540"/>
    <mergeCell ref="R14541:T14541"/>
    <mergeCell ref="R14532:T14532"/>
    <mergeCell ref="R14533:T14533"/>
    <mergeCell ref="R14534:T14534"/>
    <mergeCell ref="R14535:T14535"/>
    <mergeCell ref="R14536:T14536"/>
    <mergeCell ref="R14527:T14527"/>
    <mergeCell ref="R14528:T14528"/>
    <mergeCell ref="R14529:T14529"/>
    <mergeCell ref="R14530:T14530"/>
    <mergeCell ref="R14531:T14531"/>
    <mergeCell ref="R14522:T14522"/>
    <mergeCell ref="R14523:T14523"/>
    <mergeCell ref="R14524:T14524"/>
    <mergeCell ref="R14525:T14525"/>
    <mergeCell ref="R14526:T14526"/>
    <mergeCell ref="R14517:T14517"/>
    <mergeCell ref="R14518:T14518"/>
    <mergeCell ref="R14519:T14519"/>
    <mergeCell ref="R14520:T14520"/>
    <mergeCell ref="R14521:T14521"/>
    <mergeCell ref="R14512:T14512"/>
    <mergeCell ref="R14513:T14513"/>
    <mergeCell ref="R14514:T14514"/>
    <mergeCell ref="R14515:T14515"/>
    <mergeCell ref="R14516:T14516"/>
    <mergeCell ref="R14507:T14507"/>
    <mergeCell ref="R14508:T14508"/>
    <mergeCell ref="R14509:T14509"/>
    <mergeCell ref="R14510:T14510"/>
    <mergeCell ref="R14511:T14511"/>
    <mergeCell ref="R14502:T14502"/>
    <mergeCell ref="R14503:T14503"/>
    <mergeCell ref="R14504:T14504"/>
    <mergeCell ref="R14505:T14505"/>
    <mergeCell ref="R14506:T14506"/>
    <mergeCell ref="R14497:T14497"/>
    <mergeCell ref="R14498:T14498"/>
    <mergeCell ref="R14499:T14499"/>
    <mergeCell ref="R14500:T14500"/>
    <mergeCell ref="R14501:T14501"/>
    <mergeCell ref="R14492:T14492"/>
    <mergeCell ref="R14493:T14493"/>
    <mergeCell ref="R14494:T14494"/>
    <mergeCell ref="R14495:T14495"/>
    <mergeCell ref="R14496:T14496"/>
    <mergeCell ref="R14487:T14487"/>
    <mergeCell ref="R14488:T14488"/>
    <mergeCell ref="R14489:T14489"/>
    <mergeCell ref="R14490:T14490"/>
    <mergeCell ref="R14491:T14491"/>
    <mergeCell ref="R14482:T14482"/>
    <mergeCell ref="R14483:T14483"/>
    <mergeCell ref="R14484:T14484"/>
    <mergeCell ref="R14485:T14485"/>
    <mergeCell ref="R14486:T14486"/>
    <mergeCell ref="R14477:T14477"/>
    <mergeCell ref="R14478:T14478"/>
    <mergeCell ref="R14479:T14479"/>
    <mergeCell ref="R14480:T14480"/>
    <mergeCell ref="R14481:T14481"/>
    <mergeCell ref="R14472:T14472"/>
    <mergeCell ref="R14473:T14473"/>
    <mergeCell ref="R14474:T14474"/>
    <mergeCell ref="R14475:T14475"/>
    <mergeCell ref="R14476:T14476"/>
    <mergeCell ref="R14467:T14467"/>
    <mergeCell ref="R14468:T14468"/>
    <mergeCell ref="R14469:T14469"/>
    <mergeCell ref="R14470:T14470"/>
    <mergeCell ref="R14471:T14471"/>
    <mergeCell ref="R14462:T14462"/>
    <mergeCell ref="R14463:T14463"/>
    <mergeCell ref="R14464:T14464"/>
    <mergeCell ref="R14465:T14465"/>
    <mergeCell ref="R14466:T14466"/>
    <mergeCell ref="R14457:T14457"/>
    <mergeCell ref="R14458:T14458"/>
    <mergeCell ref="R14459:T14459"/>
    <mergeCell ref="R14460:T14460"/>
    <mergeCell ref="R14461:T14461"/>
    <mergeCell ref="R14452:T14452"/>
    <mergeCell ref="R14453:T14453"/>
    <mergeCell ref="R14454:T14454"/>
    <mergeCell ref="R14455:T14455"/>
    <mergeCell ref="R14456:T14456"/>
    <mergeCell ref="R14447:T14447"/>
    <mergeCell ref="R14448:T14448"/>
    <mergeCell ref="R14449:T14449"/>
    <mergeCell ref="R14450:T14450"/>
    <mergeCell ref="R14451:T14451"/>
    <mergeCell ref="R14442:T14442"/>
    <mergeCell ref="R14443:T14443"/>
    <mergeCell ref="R14444:T14444"/>
    <mergeCell ref="R14445:T14445"/>
    <mergeCell ref="R14446:T14446"/>
    <mergeCell ref="R14437:T14437"/>
    <mergeCell ref="R14438:T14438"/>
    <mergeCell ref="R14439:T14439"/>
    <mergeCell ref="R14440:T14440"/>
    <mergeCell ref="R14441:T14441"/>
    <mergeCell ref="R14432:T14432"/>
    <mergeCell ref="R14433:T14433"/>
    <mergeCell ref="R14434:T14434"/>
    <mergeCell ref="R14435:T14435"/>
    <mergeCell ref="R14436:T14436"/>
    <mergeCell ref="R14427:T14427"/>
    <mergeCell ref="R14428:T14428"/>
    <mergeCell ref="R14429:T14429"/>
    <mergeCell ref="R14430:T14430"/>
    <mergeCell ref="R14431:T14431"/>
    <mergeCell ref="R14422:T14422"/>
    <mergeCell ref="R14423:T14423"/>
    <mergeCell ref="R14424:T14424"/>
    <mergeCell ref="R14425:T14425"/>
    <mergeCell ref="R14426:T14426"/>
    <mergeCell ref="R14417:T14417"/>
    <mergeCell ref="R14418:T14418"/>
    <mergeCell ref="R14419:T14419"/>
    <mergeCell ref="R14420:T14420"/>
    <mergeCell ref="R14421:T14421"/>
    <mergeCell ref="R14412:T14412"/>
    <mergeCell ref="R14413:T14413"/>
    <mergeCell ref="R14414:T14414"/>
    <mergeCell ref="R14415:T14415"/>
    <mergeCell ref="R14416:T14416"/>
    <mergeCell ref="R14407:T14407"/>
    <mergeCell ref="R14408:T14408"/>
    <mergeCell ref="R14409:T14409"/>
    <mergeCell ref="R14410:T14410"/>
    <mergeCell ref="R14411:T14411"/>
    <mergeCell ref="R14402:T14402"/>
    <mergeCell ref="R14403:T14403"/>
    <mergeCell ref="R14404:T14404"/>
    <mergeCell ref="R14405:T14405"/>
    <mergeCell ref="R14406:T14406"/>
    <mergeCell ref="R14397:T14397"/>
    <mergeCell ref="R14398:T14398"/>
    <mergeCell ref="R14399:T14399"/>
    <mergeCell ref="R14400:T14400"/>
    <mergeCell ref="R14401:T14401"/>
    <mergeCell ref="R14392:T14392"/>
    <mergeCell ref="R14393:T14393"/>
    <mergeCell ref="R14394:T14394"/>
    <mergeCell ref="R14395:T14395"/>
    <mergeCell ref="R14396:T14396"/>
    <mergeCell ref="R14387:T14387"/>
    <mergeCell ref="R14388:T14388"/>
    <mergeCell ref="R14389:T14389"/>
    <mergeCell ref="R14390:T14390"/>
    <mergeCell ref="R14391:T14391"/>
    <mergeCell ref="R14382:T14382"/>
    <mergeCell ref="R14383:T14383"/>
    <mergeCell ref="R14384:T14384"/>
    <mergeCell ref="R14385:T14385"/>
    <mergeCell ref="R14386:T14386"/>
    <mergeCell ref="R14377:T14377"/>
    <mergeCell ref="R14378:T14378"/>
    <mergeCell ref="R14379:T14379"/>
    <mergeCell ref="R14380:T14380"/>
    <mergeCell ref="R14381:T14381"/>
    <mergeCell ref="R14372:T14372"/>
    <mergeCell ref="R14373:T14373"/>
    <mergeCell ref="R14374:T14374"/>
    <mergeCell ref="R14375:T14375"/>
    <mergeCell ref="R14376:T14376"/>
    <mergeCell ref="R14367:T14367"/>
    <mergeCell ref="R14368:T14368"/>
    <mergeCell ref="R14369:T14369"/>
    <mergeCell ref="R14370:T14370"/>
    <mergeCell ref="R14371:T14371"/>
    <mergeCell ref="R14362:T14362"/>
    <mergeCell ref="R14363:T14363"/>
    <mergeCell ref="R14364:T14364"/>
    <mergeCell ref="R14365:T14365"/>
    <mergeCell ref="R14366:T14366"/>
    <mergeCell ref="R14357:T14357"/>
    <mergeCell ref="R14358:T14358"/>
    <mergeCell ref="R14359:T14359"/>
    <mergeCell ref="R14360:T14360"/>
    <mergeCell ref="R14361:T14361"/>
    <mergeCell ref="R14352:T14352"/>
    <mergeCell ref="R14353:T14353"/>
    <mergeCell ref="R14354:T14354"/>
    <mergeCell ref="R14355:T14355"/>
    <mergeCell ref="R14356:T14356"/>
    <mergeCell ref="R14347:T14347"/>
    <mergeCell ref="R14348:T14348"/>
    <mergeCell ref="R14349:T14349"/>
    <mergeCell ref="R14350:T14350"/>
    <mergeCell ref="R14351:T14351"/>
    <mergeCell ref="R14342:T14342"/>
    <mergeCell ref="R14343:T14343"/>
    <mergeCell ref="R14344:T14344"/>
    <mergeCell ref="R14345:T14345"/>
    <mergeCell ref="R14346:T14346"/>
    <mergeCell ref="R14337:T14337"/>
    <mergeCell ref="R14338:T14338"/>
    <mergeCell ref="R14339:T14339"/>
    <mergeCell ref="R14340:T14340"/>
    <mergeCell ref="R14341:T14341"/>
    <mergeCell ref="R14332:T14332"/>
    <mergeCell ref="R14333:T14333"/>
    <mergeCell ref="R14334:T14334"/>
    <mergeCell ref="R14335:T14335"/>
    <mergeCell ref="R14336:T14336"/>
    <mergeCell ref="R14327:T14327"/>
    <mergeCell ref="R14328:T14328"/>
    <mergeCell ref="R14329:T14329"/>
    <mergeCell ref="R14330:T14330"/>
    <mergeCell ref="R14331:T14331"/>
    <mergeCell ref="R14322:T14322"/>
    <mergeCell ref="R14323:T14323"/>
    <mergeCell ref="R14324:T14324"/>
    <mergeCell ref="R14325:T14325"/>
    <mergeCell ref="R14326:T14326"/>
    <mergeCell ref="R14317:T14317"/>
    <mergeCell ref="R14318:T14318"/>
    <mergeCell ref="R14319:T14319"/>
    <mergeCell ref="R14320:T14320"/>
    <mergeCell ref="R14321:T14321"/>
    <mergeCell ref="R14312:T14312"/>
    <mergeCell ref="R14313:T14313"/>
    <mergeCell ref="R14314:T14314"/>
    <mergeCell ref="R14315:T14315"/>
    <mergeCell ref="R14316:T14316"/>
    <mergeCell ref="R14307:T14307"/>
    <mergeCell ref="R14308:T14308"/>
    <mergeCell ref="R14309:T14309"/>
    <mergeCell ref="R14310:T14310"/>
    <mergeCell ref="R14311:T14311"/>
    <mergeCell ref="R14302:T14302"/>
    <mergeCell ref="R14303:T14303"/>
    <mergeCell ref="R14304:T14304"/>
    <mergeCell ref="R14305:T14305"/>
    <mergeCell ref="R14306:T14306"/>
    <mergeCell ref="R14297:T14297"/>
    <mergeCell ref="R14298:T14298"/>
    <mergeCell ref="R14299:T14299"/>
    <mergeCell ref="R14300:T14300"/>
    <mergeCell ref="R14301:T14301"/>
    <mergeCell ref="R14292:T14292"/>
    <mergeCell ref="R14293:T14293"/>
    <mergeCell ref="R14294:T14294"/>
    <mergeCell ref="R14295:T14295"/>
    <mergeCell ref="R14296:T14296"/>
    <mergeCell ref="R14287:T14287"/>
    <mergeCell ref="R14288:T14288"/>
    <mergeCell ref="R14289:T14289"/>
    <mergeCell ref="R14290:T14290"/>
    <mergeCell ref="R14291:T14291"/>
    <mergeCell ref="R14282:T14282"/>
    <mergeCell ref="R14283:T14283"/>
    <mergeCell ref="R14284:T14284"/>
    <mergeCell ref="R14285:T14285"/>
    <mergeCell ref="R14286:T14286"/>
    <mergeCell ref="R14277:T14277"/>
    <mergeCell ref="R14278:T14278"/>
    <mergeCell ref="R14279:T14279"/>
    <mergeCell ref="R14280:T14280"/>
    <mergeCell ref="R14281:T14281"/>
    <mergeCell ref="R14272:T14272"/>
    <mergeCell ref="R14273:T14273"/>
    <mergeCell ref="R14274:T14274"/>
    <mergeCell ref="R14275:T14275"/>
    <mergeCell ref="R14276:T14276"/>
    <mergeCell ref="R14267:T14267"/>
    <mergeCell ref="R14268:T14268"/>
    <mergeCell ref="R14269:T14269"/>
    <mergeCell ref="R14270:T14270"/>
    <mergeCell ref="R14271:T14271"/>
    <mergeCell ref="R14262:T14262"/>
    <mergeCell ref="R14263:T14263"/>
    <mergeCell ref="R14264:T14264"/>
    <mergeCell ref="R14265:T14265"/>
    <mergeCell ref="R14266:T14266"/>
    <mergeCell ref="R14257:T14257"/>
    <mergeCell ref="R14258:T14258"/>
    <mergeCell ref="R14259:T14259"/>
    <mergeCell ref="R14260:T14260"/>
    <mergeCell ref="R14261:T14261"/>
    <mergeCell ref="R14252:T14252"/>
    <mergeCell ref="R14253:T14253"/>
    <mergeCell ref="R14254:T14254"/>
    <mergeCell ref="R14255:T14255"/>
    <mergeCell ref="R14256:T14256"/>
    <mergeCell ref="R14247:T14247"/>
    <mergeCell ref="R14248:T14248"/>
    <mergeCell ref="R14249:T14249"/>
    <mergeCell ref="R14250:T14250"/>
    <mergeCell ref="R14251:T14251"/>
    <mergeCell ref="R14242:T14242"/>
    <mergeCell ref="R14243:T14243"/>
    <mergeCell ref="R14244:T14244"/>
    <mergeCell ref="R14245:T14245"/>
    <mergeCell ref="R14246:T14246"/>
    <mergeCell ref="R14237:T14237"/>
    <mergeCell ref="R14238:T14238"/>
    <mergeCell ref="R14239:T14239"/>
    <mergeCell ref="R14240:T14240"/>
    <mergeCell ref="R14241:T14241"/>
    <mergeCell ref="R14232:T14232"/>
    <mergeCell ref="R14233:T14233"/>
    <mergeCell ref="R14234:T14234"/>
    <mergeCell ref="R14235:T14235"/>
    <mergeCell ref="R14236:T14236"/>
    <mergeCell ref="R14227:T14227"/>
    <mergeCell ref="R14228:T14228"/>
    <mergeCell ref="R14229:T14229"/>
    <mergeCell ref="R14230:T14230"/>
    <mergeCell ref="R14231:T14231"/>
    <mergeCell ref="R14222:T14222"/>
    <mergeCell ref="R14223:T14223"/>
    <mergeCell ref="R14224:T14224"/>
    <mergeCell ref="R14225:T14225"/>
    <mergeCell ref="R14226:T14226"/>
    <mergeCell ref="R14217:T14217"/>
    <mergeCell ref="R14218:T14218"/>
    <mergeCell ref="R14219:T14219"/>
    <mergeCell ref="R14220:T14220"/>
    <mergeCell ref="R14221:T14221"/>
    <mergeCell ref="R14212:T14212"/>
    <mergeCell ref="R14213:T14213"/>
    <mergeCell ref="R14214:T14214"/>
    <mergeCell ref="R14215:T14215"/>
    <mergeCell ref="R14216:T14216"/>
    <mergeCell ref="R14207:T14207"/>
    <mergeCell ref="R14208:T14208"/>
    <mergeCell ref="R14209:T14209"/>
    <mergeCell ref="R14210:T14210"/>
    <mergeCell ref="R14211:T14211"/>
    <mergeCell ref="R14202:T14202"/>
    <mergeCell ref="R14203:T14203"/>
    <mergeCell ref="R14204:T14204"/>
    <mergeCell ref="R14205:T14205"/>
    <mergeCell ref="R14206:T14206"/>
    <mergeCell ref="R14197:T14197"/>
    <mergeCell ref="R14198:T14198"/>
    <mergeCell ref="R14199:T14199"/>
    <mergeCell ref="R14200:T14200"/>
    <mergeCell ref="R14201:T14201"/>
    <mergeCell ref="R14192:T14192"/>
    <mergeCell ref="R14193:T14193"/>
    <mergeCell ref="R14194:T14194"/>
    <mergeCell ref="R14195:T14195"/>
    <mergeCell ref="R14196:T14196"/>
    <mergeCell ref="R14187:T14187"/>
    <mergeCell ref="R14188:T14188"/>
    <mergeCell ref="R14189:T14189"/>
    <mergeCell ref="R14190:T14190"/>
    <mergeCell ref="R14191:T14191"/>
    <mergeCell ref="R14182:T14182"/>
    <mergeCell ref="R14183:T14183"/>
    <mergeCell ref="R14184:T14184"/>
    <mergeCell ref="R14185:T14185"/>
    <mergeCell ref="R14186:T14186"/>
    <mergeCell ref="R14177:T14177"/>
    <mergeCell ref="R14178:T14178"/>
    <mergeCell ref="R14179:T14179"/>
    <mergeCell ref="R14180:T14180"/>
    <mergeCell ref="R14181:T14181"/>
    <mergeCell ref="R14172:T14172"/>
    <mergeCell ref="R14173:T14173"/>
    <mergeCell ref="R14174:T14174"/>
    <mergeCell ref="R14175:T14175"/>
    <mergeCell ref="R14176:T14176"/>
    <mergeCell ref="R14167:T14167"/>
    <mergeCell ref="R14168:T14168"/>
    <mergeCell ref="R14169:T14169"/>
    <mergeCell ref="R14170:T14170"/>
    <mergeCell ref="R14171:T14171"/>
    <mergeCell ref="R14162:T14162"/>
    <mergeCell ref="R14163:T14163"/>
    <mergeCell ref="R14164:T14164"/>
    <mergeCell ref="R14165:T14165"/>
    <mergeCell ref="R14166:T14166"/>
    <mergeCell ref="R14157:T14157"/>
    <mergeCell ref="R14158:T14158"/>
    <mergeCell ref="R14159:T14159"/>
    <mergeCell ref="R14160:T14160"/>
    <mergeCell ref="R14161:T14161"/>
    <mergeCell ref="R14152:T14152"/>
    <mergeCell ref="R14153:T14153"/>
    <mergeCell ref="R14154:T14154"/>
    <mergeCell ref="R14155:T14155"/>
    <mergeCell ref="R14156:T14156"/>
    <mergeCell ref="R14147:T14147"/>
    <mergeCell ref="R14148:T14148"/>
    <mergeCell ref="R14149:T14149"/>
    <mergeCell ref="R14150:T14150"/>
    <mergeCell ref="R14151:T14151"/>
    <mergeCell ref="R14142:T14142"/>
    <mergeCell ref="R14143:T14143"/>
    <mergeCell ref="R14144:T14144"/>
    <mergeCell ref="R14145:T14145"/>
    <mergeCell ref="R14146:T14146"/>
    <mergeCell ref="R14137:T14137"/>
    <mergeCell ref="R14138:T14138"/>
    <mergeCell ref="R14139:T14139"/>
    <mergeCell ref="R14140:T14140"/>
    <mergeCell ref="R14141:T14141"/>
    <mergeCell ref="R14132:T14132"/>
    <mergeCell ref="R14133:T14133"/>
    <mergeCell ref="R14134:T14134"/>
    <mergeCell ref="R14135:T14135"/>
    <mergeCell ref="R14136:T14136"/>
    <mergeCell ref="R14127:T14127"/>
    <mergeCell ref="R14128:T14128"/>
    <mergeCell ref="R14129:T14129"/>
    <mergeCell ref="R14130:T14130"/>
    <mergeCell ref="R14131:T14131"/>
    <mergeCell ref="R14122:T14122"/>
    <mergeCell ref="R14123:T14123"/>
    <mergeCell ref="R14124:T14124"/>
    <mergeCell ref="R14125:T14125"/>
    <mergeCell ref="R14126:T14126"/>
    <mergeCell ref="R14117:T14117"/>
    <mergeCell ref="R14118:T14118"/>
    <mergeCell ref="R14119:T14119"/>
    <mergeCell ref="R14120:T14120"/>
    <mergeCell ref="R14121:T14121"/>
    <mergeCell ref="R14112:T14112"/>
    <mergeCell ref="R14113:T14113"/>
    <mergeCell ref="R14114:T14114"/>
    <mergeCell ref="R14115:T14115"/>
    <mergeCell ref="R14116:T14116"/>
    <mergeCell ref="R14107:T14107"/>
    <mergeCell ref="R14108:T14108"/>
    <mergeCell ref="R14109:T14109"/>
    <mergeCell ref="R14110:T14110"/>
    <mergeCell ref="R14111:T14111"/>
    <mergeCell ref="R14102:T14102"/>
    <mergeCell ref="R14103:T14103"/>
    <mergeCell ref="R14104:T14104"/>
    <mergeCell ref="R14105:T14105"/>
    <mergeCell ref="R14106:T14106"/>
    <mergeCell ref="R14097:T14097"/>
    <mergeCell ref="R14098:T14098"/>
    <mergeCell ref="R14099:T14099"/>
    <mergeCell ref="R14100:T14100"/>
    <mergeCell ref="R14101:T14101"/>
    <mergeCell ref="R14092:T14092"/>
    <mergeCell ref="R14093:T14093"/>
    <mergeCell ref="R14094:T14094"/>
    <mergeCell ref="R14095:T14095"/>
    <mergeCell ref="R14096:T14096"/>
    <mergeCell ref="R14087:T14087"/>
    <mergeCell ref="R14088:T14088"/>
    <mergeCell ref="R14089:T14089"/>
    <mergeCell ref="R14090:T14090"/>
    <mergeCell ref="R14091:T14091"/>
    <mergeCell ref="R14082:T14082"/>
    <mergeCell ref="R14083:T14083"/>
    <mergeCell ref="R14084:T14084"/>
    <mergeCell ref="R14085:T14085"/>
    <mergeCell ref="R14086:T14086"/>
    <mergeCell ref="R14077:T14077"/>
    <mergeCell ref="R14078:T14078"/>
    <mergeCell ref="R14079:T14079"/>
    <mergeCell ref="R14080:T14080"/>
    <mergeCell ref="R14081:T14081"/>
    <mergeCell ref="R14072:T14072"/>
    <mergeCell ref="R14073:T14073"/>
    <mergeCell ref="R14074:T14074"/>
    <mergeCell ref="R14075:T14075"/>
    <mergeCell ref="R14076:T14076"/>
    <mergeCell ref="R14067:T14067"/>
    <mergeCell ref="R14068:T14068"/>
    <mergeCell ref="R14069:T14069"/>
    <mergeCell ref="R14070:T14070"/>
    <mergeCell ref="R14071:T14071"/>
    <mergeCell ref="R14062:T14062"/>
    <mergeCell ref="R14063:T14063"/>
    <mergeCell ref="R14064:T14064"/>
    <mergeCell ref="R14065:T14065"/>
    <mergeCell ref="R14066:T14066"/>
    <mergeCell ref="R14057:T14057"/>
    <mergeCell ref="R14058:T14058"/>
    <mergeCell ref="R14059:T14059"/>
    <mergeCell ref="R14060:T14060"/>
    <mergeCell ref="R14061:T14061"/>
    <mergeCell ref="R14052:T14052"/>
    <mergeCell ref="R14053:T14053"/>
    <mergeCell ref="R14054:T14054"/>
    <mergeCell ref="R14055:T14055"/>
    <mergeCell ref="R14056:T14056"/>
    <mergeCell ref="R14047:T14047"/>
    <mergeCell ref="R14048:T14048"/>
    <mergeCell ref="R14049:T14049"/>
    <mergeCell ref="R14050:T14050"/>
    <mergeCell ref="R14051:T14051"/>
    <mergeCell ref="R14042:T14042"/>
    <mergeCell ref="R14043:T14043"/>
    <mergeCell ref="R14044:T14044"/>
    <mergeCell ref="R14045:T14045"/>
    <mergeCell ref="R14046:T14046"/>
    <mergeCell ref="R14037:T14037"/>
    <mergeCell ref="R14038:T14038"/>
    <mergeCell ref="R14039:T14039"/>
    <mergeCell ref="R14040:T14040"/>
    <mergeCell ref="R14041:T14041"/>
    <mergeCell ref="R14032:T14032"/>
    <mergeCell ref="R14033:T14033"/>
    <mergeCell ref="R14034:T14034"/>
    <mergeCell ref="R14035:T14035"/>
    <mergeCell ref="R14036:T14036"/>
    <mergeCell ref="R14027:T14027"/>
    <mergeCell ref="R14028:T14028"/>
    <mergeCell ref="R14029:T14029"/>
    <mergeCell ref="R14030:T14030"/>
    <mergeCell ref="R14031:T14031"/>
    <mergeCell ref="R14022:T14022"/>
    <mergeCell ref="R14023:T14023"/>
    <mergeCell ref="R14024:T14024"/>
    <mergeCell ref="R14025:T14025"/>
    <mergeCell ref="R14026:T14026"/>
    <mergeCell ref="R14017:T14017"/>
    <mergeCell ref="R14018:T14018"/>
    <mergeCell ref="R14019:T14019"/>
    <mergeCell ref="R14020:T14020"/>
    <mergeCell ref="R14021:T14021"/>
    <mergeCell ref="R14012:T14012"/>
    <mergeCell ref="R14013:T14013"/>
    <mergeCell ref="R14014:T14014"/>
    <mergeCell ref="R14015:T14015"/>
    <mergeCell ref="R14016:T14016"/>
    <mergeCell ref="R14007:T14007"/>
    <mergeCell ref="R14008:T14008"/>
    <mergeCell ref="R14009:T14009"/>
    <mergeCell ref="R14010:T14010"/>
    <mergeCell ref="R14011:T14011"/>
    <mergeCell ref="R14002:T14002"/>
    <mergeCell ref="R14003:T14003"/>
    <mergeCell ref="R14004:T14004"/>
    <mergeCell ref="R14005:T14005"/>
    <mergeCell ref="R14006:T14006"/>
    <mergeCell ref="R13997:T13997"/>
    <mergeCell ref="R13998:T13998"/>
    <mergeCell ref="R13999:T13999"/>
    <mergeCell ref="R14000:T14000"/>
    <mergeCell ref="R14001:T14001"/>
    <mergeCell ref="R13992:T13992"/>
    <mergeCell ref="R13993:T13993"/>
    <mergeCell ref="R13994:T13994"/>
    <mergeCell ref="R13995:T13995"/>
    <mergeCell ref="R13996:T13996"/>
    <mergeCell ref="R13987:T13987"/>
    <mergeCell ref="R13988:T13988"/>
    <mergeCell ref="R13989:T13989"/>
    <mergeCell ref="R13990:T13990"/>
    <mergeCell ref="R13991:T13991"/>
    <mergeCell ref="R13982:T13982"/>
    <mergeCell ref="R13983:T13983"/>
    <mergeCell ref="R13984:T13984"/>
    <mergeCell ref="R13985:T13985"/>
    <mergeCell ref="R13986:T13986"/>
    <mergeCell ref="R13977:T13977"/>
    <mergeCell ref="R13978:T13978"/>
    <mergeCell ref="R13979:T13979"/>
    <mergeCell ref="R13980:T13980"/>
    <mergeCell ref="R13981:T13981"/>
    <mergeCell ref="R13972:T13972"/>
    <mergeCell ref="R13973:T13973"/>
    <mergeCell ref="R13974:T13974"/>
    <mergeCell ref="R13975:T13975"/>
    <mergeCell ref="R13976:T13976"/>
    <mergeCell ref="R13967:T13967"/>
    <mergeCell ref="R13968:T13968"/>
    <mergeCell ref="R13969:T13969"/>
    <mergeCell ref="R13970:T13970"/>
    <mergeCell ref="R13971:T13971"/>
    <mergeCell ref="R13962:T13962"/>
    <mergeCell ref="R13963:T13963"/>
    <mergeCell ref="R13964:T13964"/>
    <mergeCell ref="R13965:T13965"/>
    <mergeCell ref="R13966:T13966"/>
    <mergeCell ref="R13957:T13957"/>
    <mergeCell ref="R13958:T13958"/>
    <mergeCell ref="R13959:T13959"/>
    <mergeCell ref="R13960:T13960"/>
    <mergeCell ref="R13961:T13961"/>
    <mergeCell ref="R13952:T13952"/>
    <mergeCell ref="R13953:T13953"/>
    <mergeCell ref="R13954:T13954"/>
    <mergeCell ref="R13955:T13955"/>
    <mergeCell ref="R13956:T13956"/>
    <mergeCell ref="R13947:T13947"/>
    <mergeCell ref="R13948:T13948"/>
    <mergeCell ref="R13949:T13949"/>
    <mergeCell ref="R13950:T13950"/>
    <mergeCell ref="R13951:T13951"/>
    <mergeCell ref="R13942:T13942"/>
    <mergeCell ref="R13943:T13943"/>
    <mergeCell ref="R13944:T13944"/>
    <mergeCell ref="R13945:T13945"/>
    <mergeCell ref="R13946:T13946"/>
    <mergeCell ref="R13937:T13937"/>
    <mergeCell ref="R13938:T13938"/>
    <mergeCell ref="R13939:T13939"/>
    <mergeCell ref="R13940:T13940"/>
    <mergeCell ref="R13941:T13941"/>
    <mergeCell ref="R13932:T13932"/>
    <mergeCell ref="R13933:T13933"/>
    <mergeCell ref="R13934:T13934"/>
    <mergeCell ref="R13935:T13935"/>
    <mergeCell ref="R13936:T13936"/>
    <mergeCell ref="R13927:T13927"/>
    <mergeCell ref="R13928:T13928"/>
    <mergeCell ref="R13929:T13929"/>
    <mergeCell ref="R13930:T13930"/>
    <mergeCell ref="R13931:T13931"/>
    <mergeCell ref="R13922:T13922"/>
    <mergeCell ref="R13923:T13923"/>
    <mergeCell ref="R13924:T13924"/>
    <mergeCell ref="R13925:T13925"/>
    <mergeCell ref="R13926:T13926"/>
    <mergeCell ref="R13917:T13917"/>
    <mergeCell ref="R13918:T13918"/>
    <mergeCell ref="R13919:T13919"/>
    <mergeCell ref="R13920:T13920"/>
    <mergeCell ref="R13921:T13921"/>
    <mergeCell ref="R13912:T13912"/>
    <mergeCell ref="R13913:T13913"/>
    <mergeCell ref="R13914:T13914"/>
    <mergeCell ref="R13915:T13915"/>
    <mergeCell ref="R13916:T13916"/>
    <mergeCell ref="R13907:T13907"/>
    <mergeCell ref="R13908:T13908"/>
    <mergeCell ref="R13909:T13909"/>
    <mergeCell ref="R13910:T13910"/>
    <mergeCell ref="R13911:T13911"/>
    <mergeCell ref="R13902:T13902"/>
    <mergeCell ref="R13903:T13903"/>
    <mergeCell ref="R13904:T13904"/>
    <mergeCell ref="R13905:T13905"/>
    <mergeCell ref="R13906:T13906"/>
    <mergeCell ref="R13897:T13897"/>
    <mergeCell ref="R13898:T13898"/>
    <mergeCell ref="R13899:T13899"/>
    <mergeCell ref="R13900:T13900"/>
    <mergeCell ref="R13901:T13901"/>
    <mergeCell ref="R13892:T13892"/>
    <mergeCell ref="R13893:T13893"/>
    <mergeCell ref="R13894:T13894"/>
    <mergeCell ref="R13895:T13895"/>
    <mergeCell ref="R13896:T13896"/>
    <mergeCell ref="R13887:T13887"/>
    <mergeCell ref="R13888:T13888"/>
    <mergeCell ref="R13889:T13889"/>
    <mergeCell ref="R13890:T13890"/>
    <mergeCell ref="R13891:T13891"/>
    <mergeCell ref="R13882:T13882"/>
    <mergeCell ref="R13883:T13883"/>
    <mergeCell ref="R13884:T13884"/>
    <mergeCell ref="R13885:T13885"/>
    <mergeCell ref="R13886:T13886"/>
    <mergeCell ref="R13877:T13877"/>
    <mergeCell ref="R13878:T13878"/>
    <mergeCell ref="R13879:T13879"/>
    <mergeCell ref="R13880:T13880"/>
    <mergeCell ref="R13881:T13881"/>
    <mergeCell ref="R13872:T13872"/>
    <mergeCell ref="R13873:T13873"/>
    <mergeCell ref="R13874:T13874"/>
    <mergeCell ref="R13875:T13875"/>
    <mergeCell ref="R13876:T13876"/>
    <mergeCell ref="R13867:T13867"/>
    <mergeCell ref="R13868:T13868"/>
    <mergeCell ref="R13869:T13869"/>
    <mergeCell ref="R13870:T13870"/>
    <mergeCell ref="R13871:T13871"/>
    <mergeCell ref="R13862:T13862"/>
    <mergeCell ref="R13863:T13863"/>
    <mergeCell ref="R13864:T13864"/>
    <mergeCell ref="R13865:T13865"/>
    <mergeCell ref="R13866:T13866"/>
    <mergeCell ref="R13857:T13857"/>
    <mergeCell ref="R13858:T13858"/>
    <mergeCell ref="R13859:T13859"/>
    <mergeCell ref="R13860:T13860"/>
    <mergeCell ref="R13861:T13861"/>
    <mergeCell ref="R13852:T13852"/>
    <mergeCell ref="R13853:T13853"/>
    <mergeCell ref="R13854:T13854"/>
    <mergeCell ref="R13855:T13855"/>
    <mergeCell ref="R13856:T13856"/>
    <mergeCell ref="R13847:T13847"/>
    <mergeCell ref="R13848:T13848"/>
    <mergeCell ref="R13849:T13849"/>
    <mergeCell ref="R13850:T13850"/>
    <mergeCell ref="R13851:T13851"/>
    <mergeCell ref="R13842:T13842"/>
    <mergeCell ref="R13843:T13843"/>
    <mergeCell ref="R13844:T13844"/>
    <mergeCell ref="R13845:T13845"/>
    <mergeCell ref="R13846:T13846"/>
    <mergeCell ref="R13837:T13837"/>
    <mergeCell ref="R13838:T13838"/>
    <mergeCell ref="R13839:T13839"/>
    <mergeCell ref="R13840:T13840"/>
    <mergeCell ref="R13841:T13841"/>
    <mergeCell ref="R13832:T13832"/>
    <mergeCell ref="R13833:T13833"/>
    <mergeCell ref="R13834:T13834"/>
    <mergeCell ref="R13835:T13835"/>
    <mergeCell ref="R13836:T13836"/>
    <mergeCell ref="R13827:T13827"/>
    <mergeCell ref="R13828:T13828"/>
    <mergeCell ref="R13829:T13829"/>
    <mergeCell ref="R13830:T13830"/>
    <mergeCell ref="R13831:T13831"/>
    <mergeCell ref="R13822:T13822"/>
    <mergeCell ref="R13823:T13823"/>
    <mergeCell ref="R13824:T13824"/>
    <mergeCell ref="R13825:T13825"/>
    <mergeCell ref="R13826:T13826"/>
    <mergeCell ref="R13817:T13817"/>
    <mergeCell ref="R13818:T13818"/>
    <mergeCell ref="R13819:T13819"/>
    <mergeCell ref="R13820:T13820"/>
    <mergeCell ref="R13821:T13821"/>
    <mergeCell ref="R13812:T13812"/>
    <mergeCell ref="R13813:T13813"/>
    <mergeCell ref="R13814:T13814"/>
    <mergeCell ref="R13815:T13815"/>
    <mergeCell ref="R13816:T13816"/>
    <mergeCell ref="R13807:T13807"/>
    <mergeCell ref="R13808:T13808"/>
    <mergeCell ref="R13809:T13809"/>
    <mergeCell ref="R13810:T13810"/>
    <mergeCell ref="R13811:T13811"/>
    <mergeCell ref="R13802:T13802"/>
    <mergeCell ref="R13803:T13803"/>
    <mergeCell ref="R13804:T13804"/>
    <mergeCell ref="R13805:T13805"/>
    <mergeCell ref="R13806:T13806"/>
    <mergeCell ref="R13797:T13797"/>
    <mergeCell ref="R13798:T13798"/>
    <mergeCell ref="R13799:T13799"/>
    <mergeCell ref="R13800:T13800"/>
    <mergeCell ref="R13801:T13801"/>
    <mergeCell ref="R13792:T13792"/>
    <mergeCell ref="R13793:T13793"/>
    <mergeCell ref="R13794:T13794"/>
    <mergeCell ref="R13795:T13795"/>
    <mergeCell ref="R13796:T13796"/>
    <mergeCell ref="R13787:T13787"/>
    <mergeCell ref="R13788:T13788"/>
    <mergeCell ref="R13789:T13789"/>
    <mergeCell ref="R13790:T13790"/>
    <mergeCell ref="R13791:T13791"/>
    <mergeCell ref="R13782:T13782"/>
    <mergeCell ref="R13783:T13783"/>
    <mergeCell ref="R13784:T13784"/>
    <mergeCell ref="R13785:T13785"/>
    <mergeCell ref="R13786:T13786"/>
    <mergeCell ref="R13777:T13777"/>
    <mergeCell ref="R13778:T13778"/>
    <mergeCell ref="R13779:T13779"/>
    <mergeCell ref="R13780:T13780"/>
    <mergeCell ref="R13781:T13781"/>
    <mergeCell ref="R13772:T13772"/>
    <mergeCell ref="R13773:T13773"/>
    <mergeCell ref="R13774:T13774"/>
    <mergeCell ref="R13775:T13775"/>
    <mergeCell ref="R13776:T13776"/>
    <mergeCell ref="R13767:T13767"/>
    <mergeCell ref="R13768:T13768"/>
    <mergeCell ref="R13769:T13769"/>
    <mergeCell ref="R13770:T13770"/>
    <mergeCell ref="R13771:T13771"/>
    <mergeCell ref="R13762:T13762"/>
    <mergeCell ref="R13763:T13763"/>
    <mergeCell ref="R13764:T13764"/>
    <mergeCell ref="R13765:T13765"/>
    <mergeCell ref="R13766:T13766"/>
    <mergeCell ref="R13757:T13757"/>
    <mergeCell ref="R13758:T13758"/>
    <mergeCell ref="R13759:T13759"/>
    <mergeCell ref="R13760:T13760"/>
    <mergeCell ref="R13761:T13761"/>
    <mergeCell ref="R13752:T13752"/>
    <mergeCell ref="R13753:T13753"/>
    <mergeCell ref="R13754:T13754"/>
    <mergeCell ref="R13755:T13755"/>
    <mergeCell ref="R13756:T13756"/>
    <mergeCell ref="R13747:T13747"/>
    <mergeCell ref="R13748:T13748"/>
    <mergeCell ref="R13749:T13749"/>
    <mergeCell ref="R13750:T13750"/>
    <mergeCell ref="R13751:T13751"/>
    <mergeCell ref="R13742:T13742"/>
    <mergeCell ref="R13743:T13743"/>
    <mergeCell ref="R13744:T13744"/>
    <mergeCell ref="R13745:T13745"/>
    <mergeCell ref="R13746:T13746"/>
    <mergeCell ref="R13737:T13737"/>
    <mergeCell ref="R13738:T13738"/>
    <mergeCell ref="R13739:T13739"/>
    <mergeCell ref="R13740:T13740"/>
    <mergeCell ref="R13741:T13741"/>
    <mergeCell ref="R13732:T13732"/>
    <mergeCell ref="R13733:T13733"/>
    <mergeCell ref="R13734:T13734"/>
    <mergeCell ref="R13735:T13735"/>
    <mergeCell ref="R13736:T13736"/>
    <mergeCell ref="R13727:T13727"/>
    <mergeCell ref="R13728:T13728"/>
    <mergeCell ref="R13729:T13729"/>
    <mergeCell ref="R13730:T13730"/>
    <mergeCell ref="R13731:T13731"/>
    <mergeCell ref="R13722:T13722"/>
    <mergeCell ref="R13723:T13723"/>
    <mergeCell ref="R13724:T13724"/>
    <mergeCell ref="R13725:T13725"/>
    <mergeCell ref="R13726:T13726"/>
    <mergeCell ref="R13717:T13717"/>
    <mergeCell ref="R13718:T13718"/>
    <mergeCell ref="R13719:T13719"/>
    <mergeCell ref="R13720:T13720"/>
    <mergeCell ref="R13721:T13721"/>
    <mergeCell ref="R13712:T13712"/>
    <mergeCell ref="R13713:T13713"/>
    <mergeCell ref="R13714:T13714"/>
    <mergeCell ref="R13715:T13715"/>
    <mergeCell ref="R13716:T13716"/>
    <mergeCell ref="R13707:T13707"/>
    <mergeCell ref="R13708:T13708"/>
    <mergeCell ref="R13709:T13709"/>
    <mergeCell ref="R13710:T13710"/>
    <mergeCell ref="R13711:T13711"/>
    <mergeCell ref="R13702:T13702"/>
    <mergeCell ref="R13703:T13703"/>
    <mergeCell ref="R13704:T13704"/>
    <mergeCell ref="R13705:T13705"/>
    <mergeCell ref="R13706:T13706"/>
    <mergeCell ref="R13697:T13697"/>
    <mergeCell ref="R13698:T13698"/>
    <mergeCell ref="R13699:T13699"/>
    <mergeCell ref="R13700:T13700"/>
    <mergeCell ref="R13701:T13701"/>
    <mergeCell ref="R13692:T13692"/>
    <mergeCell ref="R13693:T13693"/>
    <mergeCell ref="R13694:T13694"/>
    <mergeCell ref="R13695:T13695"/>
    <mergeCell ref="R13696:T13696"/>
    <mergeCell ref="R13687:T13687"/>
    <mergeCell ref="R13688:T13688"/>
    <mergeCell ref="R13689:T13689"/>
    <mergeCell ref="R13690:T13690"/>
    <mergeCell ref="R13691:T13691"/>
    <mergeCell ref="R13682:T13682"/>
    <mergeCell ref="R13683:T13683"/>
    <mergeCell ref="R13684:T13684"/>
    <mergeCell ref="R13685:T13685"/>
    <mergeCell ref="R13686:T13686"/>
    <mergeCell ref="R13677:T13677"/>
    <mergeCell ref="R13678:T13678"/>
    <mergeCell ref="R13679:T13679"/>
    <mergeCell ref="R13680:T13680"/>
    <mergeCell ref="R13681:T13681"/>
    <mergeCell ref="R13672:T13672"/>
    <mergeCell ref="R13673:T13673"/>
    <mergeCell ref="R13674:T13674"/>
    <mergeCell ref="R13675:T13675"/>
    <mergeCell ref="R13676:T13676"/>
    <mergeCell ref="R13667:T13667"/>
    <mergeCell ref="R13668:T13668"/>
    <mergeCell ref="R13669:T13669"/>
    <mergeCell ref="R13670:T13670"/>
    <mergeCell ref="R13671:T13671"/>
    <mergeCell ref="R13662:T13662"/>
    <mergeCell ref="R13663:T13663"/>
    <mergeCell ref="R13664:T13664"/>
    <mergeCell ref="R13665:T13665"/>
    <mergeCell ref="R13666:T13666"/>
    <mergeCell ref="R13657:T13657"/>
    <mergeCell ref="R13658:T13658"/>
    <mergeCell ref="R13659:T13659"/>
    <mergeCell ref="R13660:T13660"/>
    <mergeCell ref="R13661:T13661"/>
    <mergeCell ref="R13652:T13652"/>
    <mergeCell ref="R13653:T13653"/>
    <mergeCell ref="R13654:T13654"/>
    <mergeCell ref="R13655:T13655"/>
    <mergeCell ref="R13656:T13656"/>
    <mergeCell ref="R13647:T13647"/>
    <mergeCell ref="R13648:T13648"/>
    <mergeCell ref="R13649:T13649"/>
    <mergeCell ref="R13650:T13650"/>
    <mergeCell ref="R13651:T13651"/>
    <mergeCell ref="R13642:T13642"/>
    <mergeCell ref="R13643:T13643"/>
    <mergeCell ref="R13644:T13644"/>
    <mergeCell ref="R13645:T13645"/>
    <mergeCell ref="R13646:T13646"/>
    <mergeCell ref="R13637:T13637"/>
    <mergeCell ref="R13638:T13638"/>
    <mergeCell ref="R13639:T13639"/>
    <mergeCell ref="R13640:T13640"/>
    <mergeCell ref="R13641:T13641"/>
    <mergeCell ref="R13632:T13632"/>
    <mergeCell ref="R13633:T13633"/>
    <mergeCell ref="R13634:T13634"/>
    <mergeCell ref="R13635:T13635"/>
    <mergeCell ref="R13636:T13636"/>
    <mergeCell ref="R13627:T13627"/>
    <mergeCell ref="R13628:T13628"/>
    <mergeCell ref="R13629:T13629"/>
    <mergeCell ref="R13630:T13630"/>
    <mergeCell ref="R13631:T13631"/>
    <mergeCell ref="R13622:T13622"/>
    <mergeCell ref="R13623:T13623"/>
    <mergeCell ref="R13624:T13624"/>
    <mergeCell ref="R13625:T13625"/>
    <mergeCell ref="R13626:T13626"/>
    <mergeCell ref="R13617:T13617"/>
    <mergeCell ref="R13618:T13618"/>
    <mergeCell ref="R13619:T13619"/>
    <mergeCell ref="R13620:T13620"/>
    <mergeCell ref="R13621:T13621"/>
    <mergeCell ref="R13612:T13612"/>
    <mergeCell ref="R13613:T13613"/>
    <mergeCell ref="R13614:T13614"/>
    <mergeCell ref="R13615:T13615"/>
    <mergeCell ref="R13616:T13616"/>
    <mergeCell ref="R13607:T13607"/>
    <mergeCell ref="R13608:T13608"/>
    <mergeCell ref="R13609:T13609"/>
    <mergeCell ref="R13610:T13610"/>
    <mergeCell ref="R13611:T13611"/>
    <mergeCell ref="R13602:T13602"/>
    <mergeCell ref="R13603:T13603"/>
    <mergeCell ref="R13604:T13604"/>
    <mergeCell ref="R13605:T13605"/>
    <mergeCell ref="R13606:T13606"/>
    <mergeCell ref="R13597:T13597"/>
    <mergeCell ref="R13598:T13598"/>
    <mergeCell ref="R13599:T13599"/>
    <mergeCell ref="R13600:T13600"/>
    <mergeCell ref="R13601:T13601"/>
    <mergeCell ref="R13592:T13592"/>
    <mergeCell ref="R13593:T13593"/>
    <mergeCell ref="R13594:T13594"/>
    <mergeCell ref="R13595:T13595"/>
    <mergeCell ref="R13596:T13596"/>
    <mergeCell ref="R13587:T13587"/>
    <mergeCell ref="R13588:T13588"/>
    <mergeCell ref="R13589:T13589"/>
    <mergeCell ref="R13590:T13590"/>
    <mergeCell ref="R13591:T13591"/>
    <mergeCell ref="R13582:T13582"/>
    <mergeCell ref="R13583:T13583"/>
    <mergeCell ref="R13584:T13584"/>
    <mergeCell ref="R13585:T13585"/>
    <mergeCell ref="R13586:T13586"/>
    <mergeCell ref="R13577:T13577"/>
    <mergeCell ref="R13578:T13578"/>
    <mergeCell ref="R13579:T13579"/>
    <mergeCell ref="R13580:T13580"/>
    <mergeCell ref="R13581:T13581"/>
    <mergeCell ref="R13572:T13572"/>
    <mergeCell ref="R13573:T13573"/>
    <mergeCell ref="R13574:T13574"/>
    <mergeCell ref="R13575:T13575"/>
    <mergeCell ref="R13576:T13576"/>
    <mergeCell ref="R13567:T13567"/>
    <mergeCell ref="R13568:T13568"/>
    <mergeCell ref="R13569:T13569"/>
    <mergeCell ref="R13570:T13570"/>
    <mergeCell ref="R13571:T13571"/>
    <mergeCell ref="R13562:T13562"/>
    <mergeCell ref="R13563:T13563"/>
    <mergeCell ref="R13564:T13564"/>
    <mergeCell ref="R13565:T13565"/>
    <mergeCell ref="R13566:T13566"/>
    <mergeCell ref="R13557:T13557"/>
    <mergeCell ref="R13558:T13558"/>
    <mergeCell ref="R13559:T13559"/>
    <mergeCell ref="R13560:T13560"/>
    <mergeCell ref="R13561:T13561"/>
    <mergeCell ref="R13552:T13552"/>
    <mergeCell ref="R13553:T13553"/>
    <mergeCell ref="R13554:T13554"/>
    <mergeCell ref="R13555:T13555"/>
    <mergeCell ref="R13556:T13556"/>
    <mergeCell ref="R13547:T13547"/>
    <mergeCell ref="R13548:T13548"/>
    <mergeCell ref="R13549:T13549"/>
    <mergeCell ref="R13550:T13550"/>
    <mergeCell ref="R13551:T13551"/>
    <mergeCell ref="R13542:T13542"/>
    <mergeCell ref="R13543:T13543"/>
    <mergeCell ref="R13544:T13544"/>
    <mergeCell ref="R13545:T13545"/>
    <mergeCell ref="R13546:T13546"/>
    <mergeCell ref="R13537:T13537"/>
    <mergeCell ref="R13538:T13538"/>
    <mergeCell ref="R13539:T13539"/>
    <mergeCell ref="R13540:T13540"/>
    <mergeCell ref="R13541:T13541"/>
    <mergeCell ref="R13532:T13532"/>
    <mergeCell ref="R13533:T13533"/>
    <mergeCell ref="R13534:T13534"/>
    <mergeCell ref="R13535:T13535"/>
    <mergeCell ref="R13536:T13536"/>
    <mergeCell ref="R13527:T13527"/>
    <mergeCell ref="R13528:T13528"/>
    <mergeCell ref="R13529:T13529"/>
    <mergeCell ref="R13530:T13530"/>
    <mergeCell ref="R13531:T13531"/>
    <mergeCell ref="R13522:T13522"/>
    <mergeCell ref="R13523:T13523"/>
    <mergeCell ref="R13524:T13524"/>
    <mergeCell ref="R13525:T13525"/>
    <mergeCell ref="R13526:T13526"/>
    <mergeCell ref="R13517:T13517"/>
    <mergeCell ref="R13518:T13518"/>
    <mergeCell ref="R13519:T13519"/>
    <mergeCell ref="R13520:T13520"/>
    <mergeCell ref="R13521:T13521"/>
    <mergeCell ref="R13512:T13512"/>
    <mergeCell ref="R13513:T13513"/>
    <mergeCell ref="R13514:T13514"/>
    <mergeCell ref="R13515:T13515"/>
    <mergeCell ref="R13516:T13516"/>
    <mergeCell ref="R13507:T13507"/>
    <mergeCell ref="R13508:T13508"/>
    <mergeCell ref="R13509:T13509"/>
    <mergeCell ref="R13510:T13510"/>
    <mergeCell ref="R13511:T13511"/>
    <mergeCell ref="R13502:T13502"/>
    <mergeCell ref="R13503:T13503"/>
    <mergeCell ref="R13504:T13504"/>
    <mergeCell ref="R13505:T13505"/>
    <mergeCell ref="R13506:T13506"/>
    <mergeCell ref="R13497:T13497"/>
    <mergeCell ref="R13498:T13498"/>
    <mergeCell ref="R13499:T13499"/>
    <mergeCell ref="R13500:T13500"/>
    <mergeCell ref="R13501:T13501"/>
    <mergeCell ref="R13492:T13492"/>
    <mergeCell ref="R13493:T13493"/>
    <mergeCell ref="R13494:T13494"/>
    <mergeCell ref="R13495:T13495"/>
    <mergeCell ref="R13496:T13496"/>
    <mergeCell ref="R13487:T13487"/>
    <mergeCell ref="R13488:T13488"/>
    <mergeCell ref="R13489:T13489"/>
    <mergeCell ref="R13490:T13490"/>
    <mergeCell ref="R13491:T13491"/>
    <mergeCell ref="R13482:T13482"/>
    <mergeCell ref="R13483:T13483"/>
    <mergeCell ref="R13484:T13484"/>
    <mergeCell ref="R13485:T13485"/>
    <mergeCell ref="R13486:T13486"/>
    <mergeCell ref="R13477:T13477"/>
    <mergeCell ref="R13478:T13478"/>
    <mergeCell ref="R13479:T13479"/>
    <mergeCell ref="R13480:T13480"/>
    <mergeCell ref="R13481:T13481"/>
    <mergeCell ref="R13472:T13472"/>
    <mergeCell ref="R13473:T13473"/>
    <mergeCell ref="R13474:T13474"/>
    <mergeCell ref="R13475:T13475"/>
    <mergeCell ref="R13476:T13476"/>
    <mergeCell ref="R13467:T13467"/>
    <mergeCell ref="R13468:T13468"/>
    <mergeCell ref="R13469:T13469"/>
    <mergeCell ref="R13470:T13470"/>
    <mergeCell ref="R13471:T13471"/>
    <mergeCell ref="R13462:T13462"/>
    <mergeCell ref="R13463:T13463"/>
    <mergeCell ref="R13464:T13464"/>
    <mergeCell ref="R13465:T13465"/>
    <mergeCell ref="R13466:T13466"/>
    <mergeCell ref="R13457:T13457"/>
    <mergeCell ref="R13458:T13458"/>
    <mergeCell ref="R13459:T13459"/>
    <mergeCell ref="R13460:T13460"/>
    <mergeCell ref="R13461:T13461"/>
    <mergeCell ref="R13452:T13452"/>
    <mergeCell ref="R13453:T13453"/>
    <mergeCell ref="R13454:T13454"/>
    <mergeCell ref="R13455:T13455"/>
    <mergeCell ref="R13456:T13456"/>
    <mergeCell ref="R13447:T13447"/>
    <mergeCell ref="R13448:T13448"/>
    <mergeCell ref="R13449:T13449"/>
    <mergeCell ref="R13450:T13450"/>
    <mergeCell ref="R13451:T13451"/>
    <mergeCell ref="R13442:T13442"/>
    <mergeCell ref="R13443:T13443"/>
    <mergeCell ref="R13444:T13444"/>
    <mergeCell ref="R13445:T13445"/>
    <mergeCell ref="R13446:T13446"/>
    <mergeCell ref="R13437:T13437"/>
    <mergeCell ref="R13438:T13438"/>
    <mergeCell ref="R13439:T13439"/>
    <mergeCell ref="R13440:T13440"/>
    <mergeCell ref="R13441:T13441"/>
    <mergeCell ref="R13432:T13432"/>
    <mergeCell ref="R13433:T13433"/>
    <mergeCell ref="R13434:T13434"/>
    <mergeCell ref="R13435:T13435"/>
    <mergeCell ref="R13436:T13436"/>
    <mergeCell ref="R13427:T13427"/>
    <mergeCell ref="R13428:T13428"/>
    <mergeCell ref="R13429:T13429"/>
    <mergeCell ref="R13430:T13430"/>
    <mergeCell ref="R13431:T13431"/>
    <mergeCell ref="R13422:T13422"/>
    <mergeCell ref="R13423:T13423"/>
    <mergeCell ref="R13424:T13424"/>
    <mergeCell ref="R13425:T13425"/>
    <mergeCell ref="R13426:T13426"/>
    <mergeCell ref="R13417:T13417"/>
    <mergeCell ref="R13418:T13418"/>
    <mergeCell ref="R13419:T13419"/>
    <mergeCell ref="R13420:T13420"/>
    <mergeCell ref="R13421:T13421"/>
    <mergeCell ref="R13412:T13412"/>
    <mergeCell ref="R13413:T13413"/>
    <mergeCell ref="R13414:T13414"/>
    <mergeCell ref="R13415:T13415"/>
    <mergeCell ref="R13416:T13416"/>
    <mergeCell ref="R13407:T13407"/>
    <mergeCell ref="R13408:T13408"/>
    <mergeCell ref="R13409:T13409"/>
    <mergeCell ref="R13410:T13410"/>
    <mergeCell ref="R13411:T13411"/>
    <mergeCell ref="R13402:T13402"/>
    <mergeCell ref="R13403:T13403"/>
    <mergeCell ref="R13404:T13404"/>
    <mergeCell ref="R13405:T13405"/>
    <mergeCell ref="R13406:T13406"/>
    <mergeCell ref="R13397:T13397"/>
    <mergeCell ref="R13398:T13398"/>
    <mergeCell ref="R13399:T13399"/>
    <mergeCell ref="R13400:T13400"/>
    <mergeCell ref="R13401:T13401"/>
    <mergeCell ref="R13392:T13392"/>
    <mergeCell ref="R13393:T13393"/>
    <mergeCell ref="R13394:T13394"/>
    <mergeCell ref="R13395:T13395"/>
    <mergeCell ref="R13396:T13396"/>
    <mergeCell ref="R13387:T13387"/>
    <mergeCell ref="R13388:T13388"/>
    <mergeCell ref="R13389:T13389"/>
    <mergeCell ref="R13390:T13390"/>
    <mergeCell ref="R13391:T13391"/>
    <mergeCell ref="R13382:T13382"/>
    <mergeCell ref="R13383:T13383"/>
    <mergeCell ref="R13384:T13384"/>
    <mergeCell ref="R13385:T13385"/>
    <mergeCell ref="R13386:T13386"/>
    <mergeCell ref="R13377:T13377"/>
    <mergeCell ref="R13378:T13378"/>
    <mergeCell ref="R13379:T13379"/>
    <mergeCell ref="R13380:T13380"/>
    <mergeCell ref="R13381:T13381"/>
    <mergeCell ref="R13372:T13372"/>
    <mergeCell ref="R13373:T13373"/>
    <mergeCell ref="R13374:T13374"/>
    <mergeCell ref="R13375:T13375"/>
    <mergeCell ref="R13376:T13376"/>
    <mergeCell ref="R13367:T13367"/>
    <mergeCell ref="R13368:T13368"/>
    <mergeCell ref="R13369:T13369"/>
    <mergeCell ref="R13370:T13370"/>
    <mergeCell ref="R13371:T13371"/>
    <mergeCell ref="R13362:T13362"/>
    <mergeCell ref="R13363:T13363"/>
    <mergeCell ref="R13364:T13364"/>
    <mergeCell ref="R13365:T13365"/>
    <mergeCell ref="R13366:T13366"/>
    <mergeCell ref="R13357:T13357"/>
    <mergeCell ref="R13358:T13358"/>
    <mergeCell ref="R13359:T13359"/>
    <mergeCell ref="R13360:T13360"/>
    <mergeCell ref="R13361:T13361"/>
    <mergeCell ref="R13352:T13352"/>
    <mergeCell ref="R13353:T13353"/>
    <mergeCell ref="R13354:T13354"/>
    <mergeCell ref="R13355:T13355"/>
    <mergeCell ref="R13356:T13356"/>
    <mergeCell ref="R13347:T13347"/>
    <mergeCell ref="R13348:T13348"/>
    <mergeCell ref="R13349:T13349"/>
    <mergeCell ref="R13350:T13350"/>
    <mergeCell ref="R13351:T13351"/>
    <mergeCell ref="R13342:T13342"/>
    <mergeCell ref="R13343:T13343"/>
    <mergeCell ref="R13344:T13344"/>
    <mergeCell ref="R13345:T13345"/>
    <mergeCell ref="R13346:T13346"/>
    <mergeCell ref="R13337:T13337"/>
    <mergeCell ref="R13338:T13338"/>
    <mergeCell ref="R13339:T13339"/>
    <mergeCell ref="R13340:T13340"/>
    <mergeCell ref="R13341:T13341"/>
    <mergeCell ref="R13332:T13332"/>
    <mergeCell ref="R13333:T13333"/>
    <mergeCell ref="R13334:T13334"/>
    <mergeCell ref="R13335:T13335"/>
    <mergeCell ref="R13336:T13336"/>
    <mergeCell ref="R13327:T13327"/>
    <mergeCell ref="R13328:T13328"/>
    <mergeCell ref="R13329:T13329"/>
    <mergeCell ref="R13330:T13330"/>
    <mergeCell ref="R13331:T13331"/>
    <mergeCell ref="R13322:T13322"/>
    <mergeCell ref="R13323:T13323"/>
    <mergeCell ref="R13324:T13324"/>
    <mergeCell ref="R13325:T13325"/>
    <mergeCell ref="R13326:T13326"/>
    <mergeCell ref="R13317:T13317"/>
    <mergeCell ref="R13318:T13318"/>
    <mergeCell ref="R13319:T13319"/>
    <mergeCell ref="R13320:T13320"/>
    <mergeCell ref="R13321:T13321"/>
    <mergeCell ref="R13312:T13312"/>
    <mergeCell ref="R13313:T13313"/>
    <mergeCell ref="R13314:T13314"/>
    <mergeCell ref="R13315:T13315"/>
    <mergeCell ref="R13316:T13316"/>
    <mergeCell ref="R13307:T13307"/>
    <mergeCell ref="R13308:T13308"/>
    <mergeCell ref="R13309:T13309"/>
    <mergeCell ref="R13310:T13310"/>
    <mergeCell ref="R13311:T13311"/>
    <mergeCell ref="R13302:T13302"/>
    <mergeCell ref="R13303:T13303"/>
    <mergeCell ref="R13304:T13304"/>
    <mergeCell ref="R13305:T13305"/>
    <mergeCell ref="R13306:T13306"/>
    <mergeCell ref="R13297:T13297"/>
    <mergeCell ref="R13298:T13298"/>
    <mergeCell ref="R13299:T13299"/>
    <mergeCell ref="R13300:T13300"/>
    <mergeCell ref="R13301:T13301"/>
    <mergeCell ref="R13292:T13292"/>
    <mergeCell ref="R13293:T13293"/>
    <mergeCell ref="R13294:T13294"/>
    <mergeCell ref="R13295:T13295"/>
    <mergeCell ref="R13296:T13296"/>
    <mergeCell ref="R13287:T13287"/>
    <mergeCell ref="R13288:T13288"/>
    <mergeCell ref="R13289:T13289"/>
    <mergeCell ref="R13290:T13290"/>
    <mergeCell ref="R13291:T13291"/>
    <mergeCell ref="R13282:T13282"/>
    <mergeCell ref="R13283:T13283"/>
    <mergeCell ref="R13284:T13284"/>
    <mergeCell ref="R13285:T13285"/>
    <mergeCell ref="R13286:T13286"/>
    <mergeCell ref="R13277:T13277"/>
    <mergeCell ref="R13278:T13278"/>
    <mergeCell ref="R13279:T13279"/>
    <mergeCell ref="R13280:T13280"/>
    <mergeCell ref="R13281:T13281"/>
    <mergeCell ref="R13272:T13272"/>
    <mergeCell ref="R13273:T13273"/>
    <mergeCell ref="R13274:T13274"/>
    <mergeCell ref="R13275:T13275"/>
    <mergeCell ref="R13276:T13276"/>
    <mergeCell ref="R13267:T13267"/>
    <mergeCell ref="R13268:T13268"/>
    <mergeCell ref="R13269:T13269"/>
    <mergeCell ref="R13270:T13270"/>
    <mergeCell ref="R13271:T13271"/>
    <mergeCell ref="R13262:T13262"/>
    <mergeCell ref="R13263:T13263"/>
    <mergeCell ref="R13264:T13264"/>
    <mergeCell ref="R13265:T13265"/>
    <mergeCell ref="R13266:T13266"/>
    <mergeCell ref="R13257:T13257"/>
    <mergeCell ref="R13258:T13258"/>
    <mergeCell ref="R13259:T13259"/>
    <mergeCell ref="R13260:T13260"/>
    <mergeCell ref="R13261:T13261"/>
    <mergeCell ref="R13252:T13252"/>
    <mergeCell ref="R13253:T13253"/>
    <mergeCell ref="R13254:T13254"/>
    <mergeCell ref="R13255:T13255"/>
    <mergeCell ref="R13256:T13256"/>
    <mergeCell ref="R13247:T13247"/>
    <mergeCell ref="R13248:T13248"/>
    <mergeCell ref="R13249:T13249"/>
    <mergeCell ref="R13250:T13250"/>
    <mergeCell ref="R13251:T13251"/>
    <mergeCell ref="R13242:T13242"/>
    <mergeCell ref="R13243:T13243"/>
    <mergeCell ref="R13244:T13244"/>
    <mergeCell ref="R13245:T13245"/>
    <mergeCell ref="R13246:T13246"/>
    <mergeCell ref="R13237:T13237"/>
    <mergeCell ref="R13238:T13238"/>
    <mergeCell ref="R13239:T13239"/>
    <mergeCell ref="R13240:T13240"/>
    <mergeCell ref="R13241:T13241"/>
    <mergeCell ref="R13232:T13232"/>
    <mergeCell ref="R13233:T13233"/>
    <mergeCell ref="R13234:T13234"/>
    <mergeCell ref="R13235:T13235"/>
    <mergeCell ref="R13236:T13236"/>
    <mergeCell ref="R13227:T13227"/>
    <mergeCell ref="R13228:T13228"/>
    <mergeCell ref="R13229:T13229"/>
    <mergeCell ref="R13230:T13230"/>
    <mergeCell ref="R13231:T13231"/>
    <mergeCell ref="R13222:T13222"/>
    <mergeCell ref="R13223:T13223"/>
    <mergeCell ref="R13224:T13224"/>
    <mergeCell ref="R13225:T13225"/>
    <mergeCell ref="R13226:T13226"/>
    <mergeCell ref="R13217:T13217"/>
    <mergeCell ref="R13218:T13218"/>
    <mergeCell ref="R13219:T13219"/>
    <mergeCell ref="R13220:T13220"/>
    <mergeCell ref="R13221:T13221"/>
    <mergeCell ref="R13212:T13212"/>
    <mergeCell ref="R13213:T13213"/>
    <mergeCell ref="R13214:T13214"/>
    <mergeCell ref="R13215:T13215"/>
    <mergeCell ref="R13216:T13216"/>
    <mergeCell ref="R13207:T13207"/>
    <mergeCell ref="R13208:T13208"/>
    <mergeCell ref="R13209:T13209"/>
    <mergeCell ref="R13210:T13210"/>
    <mergeCell ref="R13211:T13211"/>
    <mergeCell ref="R13202:T13202"/>
    <mergeCell ref="R13203:T13203"/>
    <mergeCell ref="R13204:T13204"/>
    <mergeCell ref="R13205:T13205"/>
    <mergeCell ref="R13206:T13206"/>
    <mergeCell ref="R13197:T13197"/>
    <mergeCell ref="R13198:T13198"/>
    <mergeCell ref="R13199:T13199"/>
    <mergeCell ref="R13200:T13200"/>
    <mergeCell ref="R13201:T13201"/>
    <mergeCell ref="R13192:T13192"/>
    <mergeCell ref="R13193:T13193"/>
    <mergeCell ref="R13194:T13194"/>
    <mergeCell ref="R13195:T13195"/>
    <mergeCell ref="R13196:T13196"/>
    <mergeCell ref="R13187:T13187"/>
    <mergeCell ref="R13188:T13188"/>
    <mergeCell ref="R13189:T13189"/>
    <mergeCell ref="R13190:T13190"/>
    <mergeCell ref="R13191:T13191"/>
    <mergeCell ref="R13182:T13182"/>
    <mergeCell ref="R13183:T13183"/>
    <mergeCell ref="R13184:T13184"/>
    <mergeCell ref="R13185:T13185"/>
    <mergeCell ref="R13186:T13186"/>
    <mergeCell ref="R13177:T13177"/>
    <mergeCell ref="R13178:T13178"/>
    <mergeCell ref="R13179:T13179"/>
    <mergeCell ref="R13180:T13180"/>
    <mergeCell ref="R13181:T13181"/>
    <mergeCell ref="R13172:T13172"/>
    <mergeCell ref="R13173:T13173"/>
    <mergeCell ref="R13174:T13174"/>
    <mergeCell ref="R13175:T13175"/>
    <mergeCell ref="R13176:T13176"/>
    <mergeCell ref="R13167:T13167"/>
    <mergeCell ref="R13168:T13168"/>
    <mergeCell ref="R13169:T13169"/>
    <mergeCell ref="R13170:T13170"/>
    <mergeCell ref="R13171:T13171"/>
    <mergeCell ref="R13162:T13162"/>
    <mergeCell ref="R13163:T13163"/>
    <mergeCell ref="R13164:T13164"/>
    <mergeCell ref="R13165:T13165"/>
    <mergeCell ref="R13166:T13166"/>
    <mergeCell ref="R13157:T13157"/>
    <mergeCell ref="R13158:T13158"/>
    <mergeCell ref="R13159:T13159"/>
    <mergeCell ref="R13160:T13160"/>
    <mergeCell ref="R13161:T13161"/>
    <mergeCell ref="R13152:T13152"/>
    <mergeCell ref="R13153:T13153"/>
    <mergeCell ref="R13154:T13154"/>
    <mergeCell ref="R13155:T13155"/>
    <mergeCell ref="R13156:T13156"/>
    <mergeCell ref="R13147:T13147"/>
    <mergeCell ref="R13148:T13148"/>
    <mergeCell ref="R13149:T13149"/>
    <mergeCell ref="R13150:T13150"/>
    <mergeCell ref="R13151:T13151"/>
    <mergeCell ref="R13142:T13142"/>
    <mergeCell ref="R13143:T13143"/>
    <mergeCell ref="R13144:T13144"/>
    <mergeCell ref="R13145:T13145"/>
    <mergeCell ref="R13146:T13146"/>
    <mergeCell ref="R13137:T13137"/>
    <mergeCell ref="R13138:T13138"/>
    <mergeCell ref="R13139:T13139"/>
    <mergeCell ref="R13140:T13140"/>
    <mergeCell ref="R13141:T13141"/>
    <mergeCell ref="R13132:T13132"/>
    <mergeCell ref="R13133:T13133"/>
    <mergeCell ref="R13134:T13134"/>
    <mergeCell ref="R13135:T13135"/>
    <mergeCell ref="R13136:T13136"/>
    <mergeCell ref="R13127:T13127"/>
    <mergeCell ref="R13128:T13128"/>
    <mergeCell ref="R13129:T13129"/>
    <mergeCell ref="R13130:T13130"/>
    <mergeCell ref="R13131:T13131"/>
    <mergeCell ref="R13122:T13122"/>
    <mergeCell ref="R13123:T13123"/>
    <mergeCell ref="R13124:T13124"/>
    <mergeCell ref="R13125:T13125"/>
    <mergeCell ref="R13126:T13126"/>
    <mergeCell ref="R13117:T13117"/>
    <mergeCell ref="R13118:T13118"/>
    <mergeCell ref="R13119:T13119"/>
    <mergeCell ref="R13120:T13120"/>
    <mergeCell ref="R13121:T13121"/>
    <mergeCell ref="R13112:T13112"/>
    <mergeCell ref="R13113:T13113"/>
    <mergeCell ref="R13114:T13114"/>
    <mergeCell ref="R13115:T13115"/>
    <mergeCell ref="R13116:T13116"/>
    <mergeCell ref="R13107:T13107"/>
    <mergeCell ref="R13108:T13108"/>
    <mergeCell ref="R13109:T13109"/>
    <mergeCell ref="R13110:T13110"/>
    <mergeCell ref="R13111:T13111"/>
    <mergeCell ref="R13102:T13102"/>
    <mergeCell ref="R13103:T13103"/>
    <mergeCell ref="R13104:T13104"/>
    <mergeCell ref="R13105:T13105"/>
    <mergeCell ref="R13106:T13106"/>
    <mergeCell ref="R13097:T13097"/>
    <mergeCell ref="R13098:T13098"/>
    <mergeCell ref="R13099:T13099"/>
    <mergeCell ref="R13100:T13100"/>
    <mergeCell ref="R13101:T13101"/>
    <mergeCell ref="R13092:T13092"/>
    <mergeCell ref="R13093:T13093"/>
    <mergeCell ref="R13094:T13094"/>
    <mergeCell ref="R13095:T13095"/>
    <mergeCell ref="R13096:T13096"/>
    <mergeCell ref="R13087:T13087"/>
    <mergeCell ref="R13088:T13088"/>
    <mergeCell ref="R13089:T13089"/>
    <mergeCell ref="R13090:T13090"/>
    <mergeCell ref="R13091:T13091"/>
    <mergeCell ref="R13082:T13082"/>
    <mergeCell ref="R13083:T13083"/>
    <mergeCell ref="R13084:T13084"/>
    <mergeCell ref="R13085:T13085"/>
    <mergeCell ref="R13086:T13086"/>
    <mergeCell ref="R13077:T13077"/>
    <mergeCell ref="R13078:T13078"/>
    <mergeCell ref="R13079:T13079"/>
    <mergeCell ref="R13080:T13080"/>
    <mergeCell ref="R13081:T13081"/>
    <mergeCell ref="R13072:T13072"/>
    <mergeCell ref="R13073:T13073"/>
    <mergeCell ref="R13074:T13074"/>
    <mergeCell ref="R13075:T13075"/>
    <mergeCell ref="R13076:T13076"/>
    <mergeCell ref="R13067:T13067"/>
    <mergeCell ref="R13068:T13068"/>
    <mergeCell ref="R13069:T13069"/>
    <mergeCell ref="R13070:T13070"/>
    <mergeCell ref="R13071:T13071"/>
    <mergeCell ref="R13062:T13062"/>
    <mergeCell ref="R13063:T13063"/>
    <mergeCell ref="R13064:T13064"/>
    <mergeCell ref="R13065:T13065"/>
    <mergeCell ref="R13066:T13066"/>
    <mergeCell ref="R13057:T13057"/>
    <mergeCell ref="R13058:T13058"/>
    <mergeCell ref="R13059:T13059"/>
    <mergeCell ref="R13060:T13060"/>
    <mergeCell ref="R13061:T13061"/>
    <mergeCell ref="R13052:T13052"/>
    <mergeCell ref="R13053:T13053"/>
    <mergeCell ref="R13054:T13054"/>
    <mergeCell ref="R13055:T13055"/>
    <mergeCell ref="R13056:T13056"/>
    <mergeCell ref="R13047:T13047"/>
    <mergeCell ref="R13048:T13048"/>
    <mergeCell ref="R13049:T13049"/>
    <mergeCell ref="R13050:T13050"/>
    <mergeCell ref="R13051:T13051"/>
    <mergeCell ref="R13042:T13042"/>
    <mergeCell ref="R13043:T13043"/>
    <mergeCell ref="R13044:T13044"/>
    <mergeCell ref="R13045:T13045"/>
    <mergeCell ref="R13046:T13046"/>
    <mergeCell ref="R13037:T13037"/>
    <mergeCell ref="R13038:T13038"/>
    <mergeCell ref="R13039:T13039"/>
    <mergeCell ref="R13040:T13040"/>
    <mergeCell ref="R13041:T13041"/>
    <mergeCell ref="R13032:T13032"/>
    <mergeCell ref="R13033:T13033"/>
    <mergeCell ref="R13034:T13034"/>
    <mergeCell ref="R13035:T13035"/>
    <mergeCell ref="R13036:T13036"/>
    <mergeCell ref="R13027:T13027"/>
    <mergeCell ref="R13028:T13028"/>
    <mergeCell ref="R13029:T13029"/>
    <mergeCell ref="R13030:T13030"/>
    <mergeCell ref="R13031:T13031"/>
    <mergeCell ref="R13022:T13022"/>
    <mergeCell ref="R13023:T13023"/>
    <mergeCell ref="R13024:T13024"/>
    <mergeCell ref="R13025:T13025"/>
    <mergeCell ref="R13026:T13026"/>
    <mergeCell ref="R13017:T13017"/>
    <mergeCell ref="R13018:T13018"/>
    <mergeCell ref="R13019:T13019"/>
    <mergeCell ref="R13020:T13020"/>
    <mergeCell ref="R13021:T13021"/>
    <mergeCell ref="R13012:T13012"/>
    <mergeCell ref="R13013:T13013"/>
    <mergeCell ref="R13014:T13014"/>
    <mergeCell ref="R13015:T13015"/>
    <mergeCell ref="R13016:T13016"/>
    <mergeCell ref="R13007:T13007"/>
    <mergeCell ref="R13008:T13008"/>
    <mergeCell ref="R13009:T13009"/>
    <mergeCell ref="R13010:T13010"/>
    <mergeCell ref="R13011:T13011"/>
    <mergeCell ref="R13002:T13002"/>
    <mergeCell ref="R13003:T13003"/>
    <mergeCell ref="R13004:T13004"/>
    <mergeCell ref="R13005:T13005"/>
    <mergeCell ref="R13006:T13006"/>
    <mergeCell ref="R12997:T12997"/>
    <mergeCell ref="R12998:T12998"/>
    <mergeCell ref="R12999:T12999"/>
    <mergeCell ref="R13000:T13000"/>
    <mergeCell ref="R13001:T13001"/>
    <mergeCell ref="R12992:T12992"/>
    <mergeCell ref="R12993:T12993"/>
    <mergeCell ref="R12994:T12994"/>
    <mergeCell ref="R12995:T12995"/>
    <mergeCell ref="R12996:T12996"/>
    <mergeCell ref="R12987:T12987"/>
    <mergeCell ref="R12988:T12988"/>
    <mergeCell ref="R12989:T12989"/>
    <mergeCell ref="R12990:T12990"/>
    <mergeCell ref="R12991:T12991"/>
    <mergeCell ref="R12982:T12982"/>
    <mergeCell ref="R12983:T12983"/>
    <mergeCell ref="R12984:T12984"/>
    <mergeCell ref="R12985:T12985"/>
    <mergeCell ref="R12986:T12986"/>
    <mergeCell ref="R12977:T12977"/>
    <mergeCell ref="R12978:T12978"/>
    <mergeCell ref="R12979:T12979"/>
    <mergeCell ref="R12980:T12980"/>
    <mergeCell ref="R12981:T12981"/>
    <mergeCell ref="R12972:T12972"/>
    <mergeCell ref="R12973:T12973"/>
    <mergeCell ref="R12974:T12974"/>
    <mergeCell ref="R12975:T12975"/>
    <mergeCell ref="R12976:T12976"/>
    <mergeCell ref="R12967:T12967"/>
    <mergeCell ref="R12968:T12968"/>
    <mergeCell ref="R12969:T12969"/>
    <mergeCell ref="R12970:T12970"/>
    <mergeCell ref="R12971:T12971"/>
    <mergeCell ref="R12962:T12962"/>
    <mergeCell ref="R12963:T12963"/>
    <mergeCell ref="R12964:T12964"/>
    <mergeCell ref="R12965:T12965"/>
    <mergeCell ref="R12966:T12966"/>
    <mergeCell ref="R12957:T12957"/>
    <mergeCell ref="R12958:T12958"/>
    <mergeCell ref="R12959:T12959"/>
    <mergeCell ref="R12960:T12960"/>
    <mergeCell ref="R12961:T12961"/>
    <mergeCell ref="R12952:T12952"/>
    <mergeCell ref="R12953:T12953"/>
    <mergeCell ref="R12954:T12954"/>
    <mergeCell ref="R12955:T12955"/>
    <mergeCell ref="R12956:T12956"/>
    <mergeCell ref="R12947:T12947"/>
    <mergeCell ref="R12948:T12948"/>
    <mergeCell ref="R12949:T12949"/>
    <mergeCell ref="R12950:T12950"/>
    <mergeCell ref="R12951:T12951"/>
    <mergeCell ref="R12942:T12942"/>
    <mergeCell ref="R12943:T12943"/>
    <mergeCell ref="R12944:T12944"/>
    <mergeCell ref="R12945:T12945"/>
    <mergeCell ref="R12946:T12946"/>
    <mergeCell ref="R12937:T12937"/>
    <mergeCell ref="R12938:T12938"/>
    <mergeCell ref="R12939:T12939"/>
    <mergeCell ref="R12940:T12940"/>
    <mergeCell ref="R12941:T12941"/>
    <mergeCell ref="R12932:T12932"/>
    <mergeCell ref="R12933:T12933"/>
    <mergeCell ref="R12934:T12934"/>
    <mergeCell ref="R12935:T12935"/>
    <mergeCell ref="R12936:T12936"/>
    <mergeCell ref="R12927:T12927"/>
    <mergeCell ref="R12928:T12928"/>
    <mergeCell ref="R12929:T12929"/>
    <mergeCell ref="R12930:T12930"/>
    <mergeCell ref="R12931:T12931"/>
    <mergeCell ref="R12922:T12922"/>
    <mergeCell ref="R12923:T12923"/>
    <mergeCell ref="R12924:T12924"/>
    <mergeCell ref="R12925:T12925"/>
    <mergeCell ref="R12926:T12926"/>
    <mergeCell ref="R12917:T12917"/>
    <mergeCell ref="R12918:T12918"/>
    <mergeCell ref="R12919:T12919"/>
    <mergeCell ref="R12920:T12920"/>
    <mergeCell ref="R12921:T12921"/>
    <mergeCell ref="R12912:T12912"/>
    <mergeCell ref="R12913:T12913"/>
    <mergeCell ref="R12914:T12914"/>
    <mergeCell ref="R12915:T12915"/>
    <mergeCell ref="R12916:T12916"/>
    <mergeCell ref="R12907:T12907"/>
    <mergeCell ref="R12908:T12908"/>
    <mergeCell ref="R12909:T12909"/>
    <mergeCell ref="R12910:T12910"/>
    <mergeCell ref="R12911:T12911"/>
    <mergeCell ref="R12902:T12902"/>
    <mergeCell ref="R12903:T12903"/>
    <mergeCell ref="R12904:T12904"/>
    <mergeCell ref="R12905:T12905"/>
    <mergeCell ref="R12906:T12906"/>
    <mergeCell ref="R12897:T12897"/>
    <mergeCell ref="R12898:T12898"/>
    <mergeCell ref="R12899:T12899"/>
    <mergeCell ref="R12900:T12900"/>
    <mergeCell ref="R12901:T12901"/>
    <mergeCell ref="R12892:T12892"/>
    <mergeCell ref="R12893:T12893"/>
    <mergeCell ref="R12894:T12894"/>
    <mergeCell ref="R12895:T12895"/>
    <mergeCell ref="R12896:T12896"/>
    <mergeCell ref="R12887:T12887"/>
    <mergeCell ref="R12888:T12888"/>
    <mergeCell ref="R12889:T12889"/>
    <mergeCell ref="R12890:T12890"/>
    <mergeCell ref="R12891:T12891"/>
    <mergeCell ref="R12882:T12882"/>
    <mergeCell ref="R12883:T12883"/>
    <mergeCell ref="R12884:T12884"/>
    <mergeCell ref="R12885:T12885"/>
    <mergeCell ref="R12886:T12886"/>
    <mergeCell ref="R12877:T12877"/>
    <mergeCell ref="R12878:T12878"/>
    <mergeCell ref="R12879:T12879"/>
    <mergeCell ref="R12880:T12880"/>
    <mergeCell ref="R12881:T12881"/>
    <mergeCell ref="R12872:T12872"/>
    <mergeCell ref="R12873:T12873"/>
    <mergeCell ref="R12874:T12874"/>
    <mergeCell ref="R12875:T12875"/>
    <mergeCell ref="R12876:T12876"/>
    <mergeCell ref="R12867:T12867"/>
    <mergeCell ref="R12868:T12868"/>
    <mergeCell ref="R12869:T12869"/>
    <mergeCell ref="R12870:T12870"/>
    <mergeCell ref="R12871:T12871"/>
    <mergeCell ref="R12862:T12862"/>
    <mergeCell ref="R12863:T12863"/>
    <mergeCell ref="R12864:T12864"/>
    <mergeCell ref="R12865:T12865"/>
    <mergeCell ref="R12866:T12866"/>
    <mergeCell ref="R12857:T12857"/>
    <mergeCell ref="R12858:T12858"/>
    <mergeCell ref="R12859:T12859"/>
    <mergeCell ref="R12860:T12860"/>
    <mergeCell ref="R12861:T12861"/>
    <mergeCell ref="R12852:T12852"/>
    <mergeCell ref="R12853:T12853"/>
    <mergeCell ref="R12854:T12854"/>
    <mergeCell ref="R12855:T12855"/>
    <mergeCell ref="R12856:T12856"/>
    <mergeCell ref="R12847:T12847"/>
    <mergeCell ref="R12848:T12848"/>
    <mergeCell ref="R12849:T12849"/>
    <mergeCell ref="R12850:T12850"/>
    <mergeCell ref="R12851:T12851"/>
    <mergeCell ref="R12842:T12842"/>
    <mergeCell ref="R12843:T12843"/>
    <mergeCell ref="R12844:T12844"/>
    <mergeCell ref="R12845:T12845"/>
    <mergeCell ref="R12846:T12846"/>
    <mergeCell ref="R12837:T12837"/>
    <mergeCell ref="R12838:T12838"/>
    <mergeCell ref="R12839:T12839"/>
    <mergeCell ref="R12840:T12840"/>
    <mergeCell ref="R12841:T12841"/>
    <mergeCell ref="R12832:T12832"/>
    <mergeCell ref="R12833:T12833"/>
    <mergeCell ref="R12834:T12834"/>
    <mergeCell ref="R12835:T12835"/>
    <mergeCell ref="R12836:T12836"/>
    <mergeCell ref="R12827:T12827"/>
    <mergeCell ref="R12828:T12828"/>
    <mergeCell ref="R12829:T12829"/>
    <mergeCell ref="R12830:T12830"/>
    <mergeCell ref="R12831:T12831"/>
    <mergeCell ref="R12822:T12822"/>
    <mergeCell ref="R12823:T12823"/>
    <mergeCell ref="R12824:T12824"/>
    <mergeCell ref="R12825:T12825"/>
    <mergeCell ref="R12826:T12826"/>
    <mergeCell ref="R12817:T12817"/>
    <mergeCell ref="R12818:T12818"/>
    <mergeCell ref="R12819:T12819"/>
    <mergeCell ref="R12820:T12820"/>
    <mergeCell ref="R12821:T12821"/>
    <mergeCell ref="R12812:T12812"/>
    <mergeCell ref="R12813:T12813"/>
    <mergeCell ref="R12814:T12814"/>
    <mergeCell ref="R12815:T12815"/>
    <mergeCell ref="R12816:T12816"/>
    <mergeCell ref="R12807:T12807"/>
    <mergeCell ref="R12808:T12808"/>
    <mergeCell ref="R12809:T12809"/>
    <mergeCell ref="R12810:T12810"/>
    <mergeCell ref="R12811:T12811"/>
    <mergeCell ref="R12802:T12802"/>
    <mergeCell ref="R12803:T12803"/>
    <mergeCell ref="R12804:T12804"/>
    <mergeCell ref="R12805:T12805"/>
    <mergeCell ref="R12806:T12806"/>
    <mergeCell ref="R12797:T12797"/>
    <mergeCell ref="R12798:T12798"/>
    <mergeCell ref="R12799:T12799"/>
    <mergeCell ref="R12800:T12800"/>
    <mergeCell ref="R12801:T12801"/>
    <mergeCell ref="R12792:T12792"/>
    <mergeCell ref="R12793:T12793"/>
    <mergeCell ref="R12794:T12794"/>
    <mergeCell ref="R12795:T12795"/>
    <mergeCell ref="R12796:T12796"/>
    <mergeCell ref="R12787:T12787"/>
    <mergeCell ref="R12788:T12788"/>
    <mergeCell ref="R12789:T12789"/>
    <mergeCell ref="R12790:T12790"/>
    <mergeCell ref="R12791:T12791"/>
    <mergeCell ref="R12782:T12782"/>
    <mergeCell ref="R12783:T12783"/>
    <mergeCell ref="R12784:T12784"/>
    <mergeCell ref="R12785:T12785"/>
    <mergeCell ref="R12786:T12786"/>
    <mergeCell ref="R12777:T12777"/>
    <mergeCell ref="R12778:T12778"/>
    <mergeCell ref="R12779:T12779"/>
    <mergeCell ref="R12780:T12780"/>
    <mergeCell ref="R12781:T12781"/>
    <mergeCell ref="R12772:T12772"/>
    <mergeCell ref="R12773:T12773"/>
    <mergeCell ref="R12774:T12774"/>
    <mergeCell ref="R12775:T12775"/>
    <mergeCell ref="R12776:T12776"/>
    <mergeCell ref="R12767:T12767"/>
    <mergeCell ref="R12768:T12768"/>
    <mergeCell ref="R12769:T12769"/>
    <mergeCell ref="R12770:T12770"/>
    <mergeCell ref="R12771:T12771"/>
    <mergeCell ref="R12762:T12762"/>
    <mergeCell ref="R12763:T12763"/>
    <mergeCell ref="R12764:T12764"/>
    <mergeCell ref="R12765:T12765"/>
    <mergeCell ref="R12766:T12766"/>
    <mergeCell ref="R12757:T12757"/>
    <mergeCell ref="R12758:T12758"/>
    <mergeCell ref="R12759:T12759"/>
    <mergeCell ref="R12760:T12760"/>
    <mergeCell ref="R12761:T12761"/>
    <mergeCell ref="R12752:T12752"/>
    <mergeCell ref="R12753:T12753"/>
    <mergeCell ref="R12754:T12754"/>
    <mergeCell ref="R12755:T12755"/>
    <mergeCell ref="R12756:T12756"/>
    <mergeCell ref="R12747:T12747"/>
    <mergeCell ref="R12748:T12748"/>
    <mergeCell ref="R12749:T12749"/>
    <mergeCell ref="R12750:T12750"/>
    <mergeCell ref="R12751:T12751"/>
    <mergeCell ref="R12742:T12742"/>
    <mergeCell ref="R12743:T12743"/>
    <mergeCell ref="R12744:T12744"/>
    <mergeCell ref="R12745:T12745"/>
    <mergeCell ref="R12746:T12746"/>
    <mergeCell ref="R12737:T12737"/>
    <mergeCell ref="R12738:T12738"/>
    <mergeCell ref="R12739:T12739"/>
    <mergeCell ref="R12740:T12740"/>
    <mergeCell ref="R12741:T12741"/>
    <mergeCell ref="R12732:T12732"/>
    <mergeCell ref="R12733:T12733"/>
    <mergeCell ref="R12734:T12734"/>
    <mergeCell ref="R12735:T12735"/>
    <mergeCell ref="R12736:T12736"/>
    <mergeCell ref="R12727:T12727"/>
    <mergeCell ref="R12728:T12728"/>
    <mergeCell ref="R12729:T12729"/>
    <mergeCell ref="R12730:T12730"/>
    <mergeCell ref="R12731:T12731"/>
    <mergeCell ref="R12722:T12722"/>
    <mergeCell ref="R12723:T12723"/>
    <mergeCell ref="R12724:T12724"/>
    <mergeCell ref="R12725:T12725"/>
    <mergeCell ref="R12726:T12726"/>
    <mergeCell ref="R12717:T12717"/>
    <mergeCell ref="R12718:T12718"/>
    <mergeCell ref="R12719:T12719"/>
    <mergeCell ref="R12720:T12720"/>
    <mergeCell ref="R12721:T12721"/>
    <mergeCell ref="R12712:T12712"/>
    <mergeCell ref="R12713:T12713"/>
    <mergeCell ref="R12714:T12714"/>
    <mergeCell ref="R12715:T12715"/>
    <mergeCell ref="R12716:T12716"/>
    <mergeCell ref="R12707:T12707"/>
    <mergeCell ref="R12708:T12708"/>
    <mergeCell ref="R12709:T12709"/>
    <mergeCell ref="R12710:T12710"/>
    <mergeCell ref="R12711:T12711"/>
    <mergeCell ref="R12702:T12702"/>
    <mergeCell ref="R12703:T12703"/>
    <mergeCell ref="R12704:T12704"/>
    <mergeCell ref="R12705:T12705"/>
    <mergeCell ref="R12706:T12706"/>
    <mergeCell ref="R12697:T12697"/>
    <mergeCell ref="R12698:T12698"/>
    <mergeCell ref="R12699:T12699"/>
    <mergeCell ref="R12700:T12700"/>
    <mergeCell ref="R12701:T12701"/>
    <mergeCell ref="R12692:T12692"/>
    <mergeCell ref="R12693:T12693"/>
    <mergeCell ref="R12694:T12694"/>
    <mergeCell ref="R12695:T12695"/>
    <mergeCell ref="R12696:T12696"/>
    <mergeCell ref="R12687:T12687"/>
    <mergeCell ref="R12688:T12688"/>
    <mergeCell ref="R12689:T12689"/>
    <mergeCell ref="R12690:T12690"/>
    <mergeCell ref="R12691:T12691"/>
    <mergeCell ref="R12682:T12682"/>
    <mergeCell ref="R12683:T12683"/>
    <mergeCell ref="R12684:T12684"/>
    <mergeCell ref="R12685:T12685"/>
    <mergeCell ref="R12686:T12686"/>
    <mergeCell ref="R12677:T12677"/>
    <mergeCell ref="R12678:T12678"/>
    <mergeCell ref="R12679:T12679"/>
    <mergeCell ref="R12680:T12680"/>
    <mergeCell ref="R12681:T12681"/>
    <mergeCell ref="R12672:T12672"/>
    <mergeCell ref="R12673:T12673"/>
    <mergeCell ref="R12674:T12674"/>
    <mergeCell ref="R12675:T12675"/>
    <mergeCell ref="R12676:T12676"/>
    <mergeCell ref="R12667:T12667"/>
    <mergeCell ref="R12668:T12668"/>
    <mergeCell ref="R12669:T12669"/>
    <mergeCell ref="R12670:T12670"/>
    <mergeCell ref="R12671:T12671"/>
    <mergeCell ref="R12662:T12662"/>
    <mergeCell ref="R12663:T12663"/>
    <mergeCell ref="R12664:T12664"/>
    <mergeCell ref="R12665:T12665"/>
    <mergeCell ref="R12666:T12666"/>
    <mergeCell ref="R12657:T12657"/>
    <mergeCell ref="R12658:T12658"/>
    <mergeCell ref="R12659:T12659"/>
    <mergeCell ref="R12660:T12660"/>
    <mergeCell ref="R12661:T12661"/>
    <mergeCell ref="R12652:T12652"/>
    <mergeCell ref="R12653:T12653"/>
    <mergeCell ref="R12654:T12654"/>
    <mergeCell ref="R12655:T12655"/>
    <mergeCell ref="R12656:T12656"/>
    <mergeCell ref="R12647:T12647"/>
    <mergeCell ref="R12648:T12648"/>
    <mergeCell ref="R12649:T12649"/>
    <mergeCell ref="R12650:T12650"/>
    <mergeCell ref="R12651:T12651"/>
    <mergeCell ref="R12642:T12642"/>
    <mergeCell ref="R12643:T12643"/>
    <mergeCell ref="R12644:T12644"/>
    <mergeCell ref="R12645:T12645"/>
    <mergeCell ref="R12646:T12646"/>
    <mergeCell ref="R12637:T12637"/>
    <mergeCell ref="R12638:T12638"/>
    <mergeCell ref="R12639:T12639"/>
    <mergeCell ref="R12640:T12640"/>
    <mergeCell ref="R12641:T12641"/>
    <mergeCell ref="R12632:T12632"/>
    <mergeCell ref="R12633:T12633"/>
    <mergeCell ref="R12634:T12634"/>
    <mergeCell ref="R12635:T12635"/>
    <mergeCell ref="R12636:T12636"/>
    <mergeCell ref="R12627:T12627"/>
    <mergeCell ref="R12628:T12628"/>
    <mergeCell ref="R12629:T12629"/>
    <mergeCell ref="R12630:T12630"/>
    <mergeCell ref="R12631:T12631"/>
    <mergeCell ref="R12622:T12622"/>
    <mergeCell ref="R12623:T12623"/>
    <mergeCell ref="R12624:T12624"/>
    <mergeCell ref="R12625:T12625"/>
    <mergeCell ref="R12626:T12626"/>
    <mergeCell ref="R12617:T12617"/>
    <mergeCell ref="R12618:T12618"/>
    <mergeCell ref="R12619:T12619"/>
    <mergeCell ref="R12620:T12620"/>
    <mergeCell ref="R12621:T12621"/>
    <mergeCell ref="R12612:T12612"/>
    <mergeCell ref="R12613:T12613"/>
    <mergeCell ref="R12614:T12614"/>
    <mergeCell ref="R12615:T12615"/>
    <mergeCell ref="R12616:T12616"/>
    <mergeCell ref="R12607:T12607"/>
    <mergeCell ref="R12608:T12608"/>
    <mergeCell ref="R12609:T12609"/>
    <mergeCell ref="R12610:T12610"/>
    <mergeCell ref="R12611:T12611"/>
    <mergeCell ref="R12602:T12602"/>
    <mergeCell ref="R12603:T12603"/>
    <mergeCell ref="R12604:T12604"/>
    <mergeCell ref="R12605:T12605"/>
    <mergeCell ref="R12606:T12606"/>
    <mergeCell ref="R12597:T12597"/>
    <mergeCell ref="R12598:T12598"/>
    <mergeCell ref="R12599:T12599"/>
    <mergeCell ref="R12600:T12600"/>
    <mergeCell ref="R12601:T12601"/>
    <mergeCell ref="R12592:T12592"/>
    <mergeCell ref="R12593:T12593"/>
    <mergeCell ref="R12594:T12594"/>
    <mergeCell ref="R12595:T12595"/>
    <mergeCell ref="R12596:T12596"/>
    <mergeCell ref="R12587:T12587"/>
    <mergeCell ref="R12588:T12588"/>
    <mergeCell ref="R12589:T12589"/>
    <mergeCell ref="R12590:T12590"/>
    <mergeCell ref="R12591:T12591"/>
    <mergeCell ref="R12582:T12582"/>
    <mergeCell ref="R12583:T12583"/>
    <mergeCell ref="R12584:T12584"/>
    <mergeCell ref="R12585:T12585"/>
    <mergeCell ref="R12586:T12586"/>
    <mergeCell ref="R12577:T12577"/>
    <mergeCell ref="R12578:T12578"/>
    <mergeCell ref="R12579:T12579"/>
    <mergeCell ref="R12580:T12580"/>
    <mergeCell ref="R12581:T12581"/>
    <mergeCell ref="R12572:T12572"/>
    <mergeCell ref="R12573:T12573"/>
    <mergeCell ref="R12574:T12574"/>
    <mergeCell ref="R12575:T12575"/>
    <mergeCell ref="R12576:T12576"/>
    <mergeCell ref="R12567:T12567"/>
    <mergeCell ref="R12568:T12568"/>
    <mergeCell ref="R12569:T12569"/>
    <mergeCell ref="R12570:T12570"/>
    <mergeCell ref="R12571:T12571"/>
    <mergeCell ref="R12562:T12562"/>
    <mergeCell ref="R12563:T12563"/>
    <mergeCell ref="R12564:T12564"/>
    <mergeCell ref="R12565:T12565"/>
    <mergeCell ref="R12566:T12566"/>
    <mergeCell ref="R12557:T12557"/>
    <mergeCell ref="R12558:T12558"/>
    <mergeCell ref="R12559:T12559"/>
    <mergeCell ref="R12560:T12560"/>
    <mergeCell ref="R12561:T12561"/>
    <mergeCell ref="R12552:T12552"/>
    <mergeCell ref="R12553:T12553"/>
    <mergeCell ref="R12554:T12554"/>
    <mergeCell ref="R12555:T12555"/>
    <mergeCell ref="R12556:T12556"/>
    <mergeCell ref="R12547:T12547"/>
    <mergeCell ref="R12548:T12548"/>
    <mergeCell ref="R12549:T12549"/>
    <mergeCell ref="R12550:T12550"/>
    <mergeCell ref="R12551:T12551"/>
    <mergeCell ref="R12542:T12542"/>
    <mergeCell ref="R12543:T12543"/>
    <mergeCell ref="R12544:T12544"/>
    <mergeCell ref="R12545:T12545"/>
    <mergeCell ref="R12546:T12546"/>
    <mergeCell ref="R12537:T12537"/>
    <mergeCell ref="R12538:T12538"/>
    <mergeCell ref="R12539:T12539"/>
    <mergeCell ref="R12540:T12540"/>
    <mergeCell ref="R12541:T12541"/>
    <mergeCell ref="R12532:T12532"/>
    <mergeCell ref="R12533:T12533"/>
    <mergeCell ref="R12534:T12534"/>
    <mergeCell ref="R12535:T12535"/>
    <mergeCell ref="R12536:T12536"/>
    <mergeCell ref="R12527:T12527"/>
    <mergeCell ref="R12528:T12528"/>
    <mergeCell ref="R12529:T12529"/>
    <mergeCell ref="R12530:T12530"/>
    <mergeCell ref="R12531:T12531"/>
    <mergeCell ref="R12522:T12522"/>
    <mergeCell ref="R12523:T12523"/>
    <mergeCell ref="R12524:T12524"/>
    <mergeCell ref="R12525:T12525"/>
    <mergeCell ref="R12526:T12526"/>
    <mergeCell ref="R12517:T12517"/>
    <mergeCell ref="R12518:T12518"/>
    <mergeCell ref="R12519:T12519"/>
    <mergeCell ref="R12520:T12520"/>
    <mergeCell ref="R12521:T12521"/>
    <mergeCell ref="R12512:T12512"/>
    <mergeCell ref="R12513:T12513"/>
    <mergeCell ref="R12514:T12514"/>
    <mergeCell ref="R12515:T12515"/>
    <mergeCell ref="R12516:T12516"/>
    <mergeCell ref="R12507:T12507"/>
    <mergeCell ref="R12508:T12508"/>
    <mergeCell ref="R12509:T12509"/>
    <mergeCell ref="R12510:T12510"/>
    <mergeCell ref="R12511:T12511"/>
    <mergeCell ref="R12502:T12502"/>
    <mergeCell ref="R12503:T12503"/>
    <mergeCell ref="R12504:T12504"/>
    <mergeCell ref="R12505:T12505"/>
    <mergeCell ref="R12506:T12506"/>
    <mergeCell ref="R12497:T12497"/>
    <mergeCell ref="R12498:T12498"/>
    <mergeCell ref="R12499:T12499"/>
    <mergeCell ref="R12500:T12500"/>
    <mergeCell ref="R12501:T12501"/>
    <mergeCell ref="R12492:T12492"/>
    <mergeCell ref="R12493:T12493"/>
    <mergeCell ref="R12494:T12494"/>
    <mergeCell ref="R12495:T12495"/>
    <mergeCell ref="R12496:T12496"/>
    <mergeCell ref="R12487:T12487"/>
    <mergeCell ref="R12488:T12488"/>
    <mergeCell ref="R12489:T12489"/>
    <mergeCell ref="R12490:T12490"/>
    <mergeCell ref="R12491:T12491"/>
    <mergeCell ref="R12482:T12482"/>
    <mergeCell ref="R12483:T12483"/>
    <mergeCell ref="R12484:T12484"/>
    <mergeCell ref="R12485:T12485"/>
    <mergeCell ref="R12486:T12486"/>
    <mergeCell ref="R12477:T12477"/>
    <mergeCell ref="R12478:T12478"/>
    <mergeCell ref="R12479:T12479"/>
    <mergeCell ref="R12480:T12480"/>
    <mergeCell ref="R12481:T12481"/>
    <mergeCell ref="R12472:T12472"/>
    <mergeCell ref="R12473:T12473"/>
    <mergeCell ref="R12474:T12474"/>
    <mergeCell ref="R12475:T12475"/>
    <mergeCell ref="R12476:T12476"/>
    <mergeCell ref="R12467:T12467"/>
    <mergeCell ref="R12468:T12468"/>
    <mergeCell ref="R12469:T12469"/>
    <mergeCell ref="R12470:T12470"/>
    <mergeCell ref="R12471:T12471"/>
    <mergeCell ref="R12462:T12462"/>
    <mergeCell ref="R12463:T12463"/>
    <mergeCell ref="R12464:T12464"/>
    <mergeCell ref="R12465:T12465"/>
    <mergeCell ref="R12466:T12466"/>
    <mergeCell ref="R12457:T12457"/>
    <mergeCell ref="R12458:T12458"/>
    <mergeCell ref="R12459:T12459"/>
    <mergeCell ref="R12460:T12460"/>
    <mergeCell ref="R12461:T12461"/>
    <mergeCell ref="R12452:T12452"/>
    <mergeCell ref="R12453:T12453"/>
    <mergeCell ref="R12454:T12454"/>
    <mergeCell ref="R12455:T12455"/>
    <mergeCell ref="R12456:T12456"/>
    <mergeCell ref="R12447:T12447"/>
    <mergeCell ref="R12448:T12448"/>
    <mergeCell ref="R12449:T12449"/>
    <mergeCell ref="R12450:T12450"/>
    <mergeCell ref="R12451:T12451"/>
    <mergeCell ref="R12442:T12442"/>
    <mergeCell ref="R12443:T12443"/>
    <mergeCell ref="R12444:T12444"/>
    <mergeCell ref="R12445:T12445"/>
    <mergeCell ref="R12446:T12446"/>
    <mergeCell ref="R12437:T12437"/>
    <mergeCell ref="R12438:T12438"/>
    <mergeCell ref="R12439:T12439"/>
    <mergeCell ref="R12440:T12440"/>
    <mergeCell ref="R12441:T12441"/>
    <mergeCell ref="R12432:T12432"/>
    <mergeCell ref="R12433:T12433"/>
    <mergeCell ref="R12434:T12434"/>
    <mergeCell ref="R12435:T12435"/>
    <mergeCell ref="R12436:T12436"/>
    <mergeCell ref="R12427:T12427"/>
    <mergeCell ref="R12428:T12428"/>
    <mergeCell ref="R12429:T12429"/>
    <mergeCell ref="R12430:T12430"/>
    <mergeCell ref="R12431:T12431"/>
    <mergeCell ref="R12422:T12422"/>
    <mergeCell ref="R12423:T12423"/>
    <mergeCell ref="R12424:T12424"/>
    <mergeCell ref="R12425:T12425"/>
    <mergeCell ref="R12426:T12426"/>
    <mergeCell ref="R12417:T12417"/>
    <mergeCell ref="R12418:T12418"/>
    <mergeCell ref="R12419:T12419"/>
    <mergeCell ref="R12420:T12420"/>
    <mergeCell ref="R12421:T12421"/>
    <mergeCell ref="R12412:T12412"/>
    <mergeCell ref="R12413:T12413"/>
    <mergeCell ref="R12414:T12414"/>
    <mergeCell ref="R12415:T12415"/>
    <mergeCell ref="R12416:T12416"/>
    <mergeCell ref="R12407:T12407"/>
    <mergeCell ref="R12408:T12408"/>
    <mergeCell ref="R12409:T12409"/>
    <mergeCell ref="R12410:T12410"/>
    <mergeCell ref="R12411:T12411"/>
    <mergeCell ref="R12402:T12402"/>
    <mergeCell ref="R12403:T12403"/>
    <mergeCell ref="R12404:T12404"/>
    <mergeCell ref="R12405:T12405"/>
    <mergeCell ref="R12406:T12406"/>
    <mergeCell ref="R12397:T12397"/>
    <mergeCell ref="R12398:T12398"/>
    <mergeCell ref="R12399:T12399"/>
    <mergeCell ref="R12400:T12400"/>
    <mergeCell ref="R12401:T12401"/>
    <mergeCell ref="R12392:T12392"/>
    <mergeCell ref="R12393:T12393"/>
    <mergeCell ref="R12394:T12394"/>
    <mergeCell ref="R12395:T12395"/>
    <mergeCell ref="R12396:T12396"/>
    <mergeCell ref="R12387:T12387"/>
    <mergeCell ref="R12388:T12388"/>
    <mergeCell ref="R12389:T12389"/>
    <mergeCell ref="R12390:T12390"/>
    <mergeCell ref="R12391:T12391"/>
    <mergeCell ref="R12382:T12382"/>
    <mergeCell ref="R12383:T12383"/>
    <mergeCell ref="R12384:T12384"/>
    <mergeCell ref="R12385:T12385"/>
    <mergeCell ref="R12386:T12386"/>
    <mergeCell ref="R12377:T12377"/>
    <mergeCell ref="R12378:T12378"/>
    <mergeCell ref="R12379:T12379"/>
    <mergeCell ref="R12380:T12380"/>
    <mergeCell ref="R12381:T12381"/>
    <mergeCell ref="R12372:T12372"/>
    <mergeCell ref="R12373:T12373"/>
    <mergeCell ref="R12374:T12374"/>
    <mergeCell ref="R12375:T12375"/>
    <mergeCell ref="R12376:T12376"/>
    <mergeCell ref="R12367:T12367"/>
    <mergeCell ref="R12368:T12368"/>
    <mergeCell ref="R12369:T12369"/>
    <mergeCell ref="R12370:T12370"/>
    <mergeCell ref="R12371:T12371"/>
    <mergeCell ref="R12362:T12362"/>
    <mergeCell ref="R12363:T12363"/>
    <mergeCell ref="R12364:T12364"/>
    <mergeCell ref="R12365:T12365"/>
    <mergeCell ref="R12366:T12366"/>
    <mergeCell ref="R12357:T12357"/>
    <mergeCell ref="R12358:T12358"/>
    <mergeCell ref="R12359:T12359"/>
    <mergeCell ref="R12360:T12360"/>
    <mergeCell ref="R12361:T12361"/>
    <mergeCell ref="R12352:T12352"/>
    <mergeCell ref="R12353:T12353"/>
    <mergeCell ref="R12354:T12354"/>
    <mergeCell ref="R12355:T12355"/>
    <mergeCell ref="R12356:T12356"/>
    <mergeCell ref="R12347:T12347"/>
    <mergeCell ref="R12348:T12348"/>
    <mergeCell ref="R12349:T12349"/>
    <mergeCell ref="R12350:T12350"/>
    <mergeCell ref="R12351:T12351"/>
    <mergeCell ref="R12342:T12342"/>
    <mergeCell ref="R12343:T12343"/>
    <mergeCell ref="R12344:T12344"/>
    <mergeCell ref="R12345:T12345"/>
    <mergeCell ref="R12346:T12346"/>
    <mergeCell ref="R12337:T12337"/>
    <mergeCell ref="R12338:T12338"/>
    <mergeCell ref="R12339:T12339"/>
    <mergeCell ref="R12340:T12340"/>
    <mergeCell ref="R12341:T12341"/>
    <mergeCell ref="R12332:T12332"/>
    <mergeCell ref="R12333:T12333"/>
    <mergeCell ref="R12334:T12334"/>
    <mergeCell ref="R12335:T12335"/>
    <mergeCell ref="R12336:T12336"/>
    <mergeCell ref="R12327:T12327"/>
    <mergeCell ref="R12328:T12328"/>
    <mergeCell ref="R12329:T12329"/>
    <mergeCell ref="R12330:T12330"/>
    <mergeCell ref="R12331:T12331"/>
    <mergeCell ref="R12322:T12322"/>
    <mergeCell ref="R12323:T12323"/>
    <mergeCell ref="R12324:T12324"/>
    <mergeCell ref="R12325:T12325"/>
    <mergeCell ref="R12326:T12326"/>
    <mergeCell ref="R12317:T12317"/>
    <mergeCell ref="R12318:T12318"/>
    <mergeCell ref="R12319:T12319"/>
    <mergeCell ref="R12320:T12320"/>
    <mergeCell ref="R12321:T12321"/>
    <mergeCell ref="R12312:T12312"/>
    <mergeCell ref="R12313:T12313"/>
    <mergeCell ref="R12314:T12314"/>
    <mergeCell ref="R12315:T12315"/>
    <mergeCell ref="R12316:T12316"/>
    <mergeCell ref="R12307:T12307"/>
    <mergeCell ref="R12308:T12308"/>
    <mergeCell ref="R12309:T12309"/>
    <mergeCell ref="R12310:T12310"/>
    <mergeCell ref="R12311:T12311"/>
    <mergeCell ref="R12302:T12302"/>
    <mergeCell ref="R12303:T12303"/>
    <mergeCell ref="R12304:T12304"/>
    <mergeCell ref="R12305:T12305"/>
    <mergeCell ref="R12306:T12306"/>
    <mergeCell ref="R12297:T12297"/>
    <mergeCell ref="R12298:T12298"/>
    <mergeCell ref="R12299:T12299"/>
    <mergeCell ref="R12300:T12300"/>
    <mergeCell ref="R12301:T12301"/>
    <mergeCell ref="R12292:T12292"/>
    <mergeCell ref="R12293:T12293"/>
    <mergeCell ref="R12294:T12294"/>
    <mergeCell ref="R12295:T12295"/>
    <mergeCell ref="R12296:T12296"/>
    <mergeCell ref="R12287:T12287"/>
    <mergeCell ref="R12288:T12288"/>
    <mergeCell ref="R12289:T12289"/>
    <mergeCell ref="R12290:T12290"/>
    <mergeCell ref="R12291:T12291"/>
    <mergeCell ref="R12282:T12282"/>
    <mergeCell ref="R12283:T12283"/>
    <mergeCell ref="R12284:T12284"/>
    <mergeCell ref="R12285:T12285"/>
    <mergeCell ref="R12286:T12286"/>
    <mergeCell ref="R12277:T12277"/>
    <mergeCell ref="R12278:T12278"/>
    <mergeCell ref="R12279:T12279"/>
    <mergeCell ref="R12280:T12280"/>
    <mergeCell ref="R12281:T12281"/>
    <mergeCell ref="R12272:T12272"/>
    <mergeCell ref="R12273:T12273"/>
    <mergeCell ref="R12274:T12274"/>
    <mergeCell ref="R12275:T12275"/>
    <mergeCell ref="R12276:T12276"/>
    <mergeCell ref="R12267:T12267"/>
    <mergeCell ref="R12268:T12268"/>
    <mergeCell ref="R12269:T12269"/>
    <mergeCell ref="R12270:T12270"/>
    <mergeCell ref="R12271:T12271"/>
    <mergeCell ref="R12262:T12262"/>
    <mergeCell ref="R12263:T12263"/>
    <mergeCell ref="R12264:T12264"/>
    <mergeCell ref="R12265:T12265"/>
    <mergeCell ref="R12266:T12266"/>
    <mergeCell ref="R12257:T12257"/>
    <mergeCell ref="R12258:T12258"/>
    <mergeCell ref="R12259:T12259"/>
    <mergeCell ref="R12260:T12260"/>
    <mergeCell ref="R12261:T12261"/>
    <mergeCell ref="R12252:T12252"/>
    <mergeCell ref="R12253:T12253"/>
    <mergeCell ref="R12254:T12254"/>
    <mergeCell ref="R12255:T12255"/>
    <mergeCell ref="R12256:T12256"/>
    <mergeCell ref="R12247:T12247"/>
    <mergeCell ref="R12248:T12248"/>
    <mergeCell ref="R12249:T12249"/>
    <mergeCell ref="R12250:T12250"/>
    <mergeCell ref="R12251:T12251"/>
    <mergeCell ref="R12242:T12242"/>
    <mergeCell ref="R12243:T12243"/>
    <mergeCell ref="R12244:T12244"/>
    <mergeCell ref="R12245:T12245"/>
    <mergeCell ref="R12246:T12246"/>
    <mergeCell ref="R12237:T12237"/>
    <mergeCell ref="R12238:T12238"/>
    <mergeCell ref="R12239:T12239"/>
    <mergeCell ref="R12240:T12240"/>
    <mergeCell ref="R12241:T12241"/>
    <mergeCell ref="R12232:T12232"/>
    <mergeCell ref="R12233:T12233"/>
    <mergeCell ref="R12234:T12234"/>
    <mergeCell ref="R12235:T12235"/>
    <mergeCell ref="R12236:T12236"/>
    <mergeCell ref="R12227:T12227"/>
    <mergeCell ref="R12228:T12228"/>
    <mergeCell ref="R12229:T12229"/>
    <mergeCell ref="R12230:T12230"/>
    <mergeCell ref="R12231:T12231"/>
    <mergeCell ref="R12222:T12222"/>
    <mergeCell ref="R12223:T12223"/>
    <mergeCell ref="R12224:T12224"/>
    <mergeCell ref="R12225:T12225"/>
    <mergeCell ref="R12226:T12226"/>
    <mergeCell ref="R12217:T12217"/>
    <mergeCell ref="R12218:T12218"/>
    <mergeCell ref="R12219:T12219"/>
    <mergeCell ref="R12220:T12220"/>
    <mergeCell ref="R12221:T12221"/>
    <mergeCell ref="R12212:T12212"/>
    <mergeCell ref="R12213:T12213"/>
    <mergeCell ref="R12214:T12214"/>
    <mergeCell ref="R12215:T12215"/>
    <mergeCell ref="R12216:T12216"/>
    <mergeCell ref="R12207:T12207"/>
    <mergeCell ref="R12208:T12208"/>
    <mergeCell ref="R12209:T12209"/>
    <mergeCell ref="R12210:T12210"/>
    <mergeCell ref="R12211:T12211"/>
    <mergeCell ref="R12202:T12202"/>
    <mergeCell ref="R12203:T12203"/>
    <mergeCell ref="R12204:T12204"/>
    <mergeCell ref="R12205:T12205"/>
    <mergeCell ref="R12206:T12206"/>
    <mergeCell ref="R12197:T12197"/>
    <mergeCell ref="R12198:T12198"/>
    <mergeCell ref="R12199:T12199"/>
    <mergeCell ref="R12200:T12200"/>
    <mergeCell ref="R12201:T12201"/>
    <mergeCell ref="R12192:T12192"/>
    <mergeCell ref="R12193:T12193"/>
    <mergeCell ref="R12194:T12194"/>
    <mergeCell ref="R12195:T12195"/>
    <mergeCell ref="R12196:T12196"/>
    <mergeCell ref="R12187:T12187"/>
    <mergeCell ref="R12188:T12188"/>
    <mergeCell ref="R12189:T12189"/>
    <mergeCell ref="R12190:T12190"/>
    <mergeCell ref="R12191:T12191"/>
    <mergeCell ref="R12182:T12182"/>
    <mergeCell ref="R12183:T12183"/>
    <mergeCell ref="R12184:T12184"/>
    <mergeCell ref="R12185:T12185"/>
    <mergeCell ref="R12186:T12186"/>
    <mergeCell ref="R12177:T12177"/>
    <mergeCell ref="R12178:T12178"/>
    <mergeCell ref="R12179:T12179"/>
    <mergeCell ref="R12180:T12180"/>
    <mergeCell ref="R12181:T12181"/>
    <mergeCell ref="R12172:T12172"/>
    <mergeCell ref="R12173:T12173"/>
    <mergeCell ref="R12174:T12174"/>
    <mergeCell ref="R12175:T12175"/>
    <mergeCell ref="R12176:T12176"/>
    <mergeCell ref="R12167:T12167"/>
    <mergeCell ref="R12168:T12168"/>
    <mergeCell ref="R12169:T12169"/>
    <mergeCell ref="R12170:T12170"/>
    <mergeCell ref="R12171:T12171"/>
    <mergeCell ref="R12162:T12162"/>
    <mergeCell ref="R12163:T12163"/>
    <mergeCell ref="R12164:T12164"/>
    <mergeCell ref="R12165:T12165"/>
    <mergeCell ref="R12166:T12166"/>
    <mergeCell ref="R12157:T12157"/>
    <mergeCell ref="R12158:T12158"/>
    <mergeCell ref="R12159:T12159"/>
    <mergeCell ref="R12160:T12160"/>
    <mergeCell ref="R12161:T12161"/>
    <mergeCell ref="R12152:T12152"/>
    <mergeCell ref="R12153:T12153"/>
    <mergeCell ref="R12154:T12154"/>
    <mergeCell ref="R12155:T12155"/>
    <mergeCell ref="R12156:T12156"/>
    <mergeCell ref="R12147:T12147"/>
    <mergeCell ref="R12148:T12148"/>
    <mergeCell ref="R12149:T12149"/>
    <mergeCell ref="R12150:T12150"/>
    <mergeCell ref="R12151:T12151"/>
    <mergeCell ref="R12142:T12142"/>
    <mergeCell ref="R12143:T12143"/>
    <mergeCell ref="R12144:T12144"/>
    <mergeCell ref="R12145:T12145"/>
    <mergeCell ref="R12146:T12146"/>
    <mergeCell ref="R12137:T12137"/>
    <mergeCell ref="R12138:T12138"/>
    <mergeCell ref="R12139:T12139"/>
    <mergeCell ref="R12140:T12140"/>
    <mergeCell ref="R12141:T12141"/>
    <mergeCell ref="R12132:T12132"/>
    <mergeCell ref="R12133:T12133"/>
    <mergeCell ref="R12134:T12134"/>
    <mergeCell ref="R12135:T12135"/>
    <mergeCell ref="R12136:T12136"/>
    <mergeCell ref="R12127:T12127"/>
    <mergeCell ref="R12128:T12128"/>
    <mergeCell ref="R12129:T12129"/>
    <mergeCell ref="R12130:T12130"/>
    <mergeCell ref="R12131:T12131"/>
    <mergeCell ref="R12122:T12122"/>
    <mergeCell ref="R12123:T12123"/>
    <mergeCell ref="R12124:T12124"/>
    <mergeCell ref="R12125:T12125"/>
    <mergeCell ref="R12126:T12126"/>
    <mergeCell ref="R12117:T12117"/>
    <mergeCell ref="R12118:T12118"/>
    <mergeCell ref="R12119:T12119"/>
    <mergeCell ref="R12120:T12120"/>
    <mergeCell ref="R12121:T12121"/>
    <mergeCell ref="R12112:T12112"/>
    <mergeCell ref="R12113:T12113"/>
    <mergeCell ref="R12114:T12114"/>
    <mergeCell ref="R12115:T12115"/>
    <mergeCell ref="R12116:T12116"/>
    <mergeCell ref="R12107:T12107"/>
    <mergeCell ref="R12108:T12108"/>
    <mergeCell ref="R12109:T12109"/>
    <mergeCell ref="R12110:T12110"/>
    <mergeCell ref="R12111:T12111"/>
    <mergeCell ref="R12102:T12102"/>
    <mergeCell ref="R12103:T12103"/>
    <mergeCell ref="R12104:T12104"/>
    <mergeCell ref="R12105:T12105"/>
    <mergeCell ref="R12106:T12106"/>
    <mergeCell ref="R12097:T12097"/>
    <mergeCell ref="R12098:T12098"/>
    <mergeCell ref="R12099:T12099"/>
    <mergeCell ref="R12100:T12100"/>
    <mergeCell ref="R12101:T12101"/>
    <mergeCell ref="R12092:T12092"/>
    <mergeCell ref="R12093:T12093"/>
    <mergeCell ref="R12094:T12094"/>
    <mergeCell ref="R12095:T12095"/>
    <mergeCell ref="R12096:T12096"/>
    <mergeCell ref="R12087:T12087"/>
    <mergeCell ref="R12088:T12088"/>
    <mergeCell ref="R12089:T12089"/>
    <mergeCell ref="R12090:T12090"/>
    <mergeCell ref="R12091:T12091"/>
    <mergeCell ref="R12082:T12082"/>
    <mergeCell ref="R12083:T12083"/>
    <mergeCell ref="R12084:T12084"/>
    <mergeCell ref="R12085:T12085"/>
    <mergeCell ref="R12086:T12086"/>
    <mergeCell ref="R12077:T12077"/>
    <mergeCell ref="R12078:T12078"/>
    <mergeCell ref="R12079:T12079"/>
    <mergeCell ref="R12080:T12080"/>
    <mergeCell ref="R12081:T12081"/>
    <mergeCell ref="R12072:T12072"/>
    <mergeCell ref="R12073:T12073"/>
    <mergeCell ref="R12074:T12074"/>
    <mergeCell ref="R12075:T12075"/>
    <mergeCell ref="R12076:T12076"/>
    <mergeCell ref="R12067:T12067"/>
    <mergeCell ref="R12068:T12068"/>
    <mergeCell ref="R12069:T12069"/>
    <mergeCell ref="R12070:T12070"/>
    <mergeCell ref="R12071:T12071"/>
    <mergeCell ref="R12062:T12062"/>
    <mergeCell ref="R12063:T12063"/>
    <mergeCell ref="R12064:T12064"/>
    <mergeCell ref="R12065:T12065"/>
    <mergeCell ref="R12066:T12066"/>
    <mergeCell ref="R12057:T12057"/>
    <mergeCell ref="R12058:T12058"/>
    <mergeCell ref="R12059:T12059"/>
    <mergeCell ref="R12060:T12060"/>
    <mergeCell ref="R12061:T12061"/>
    <mergeCell ref="R12052:T12052"/>
    <mergeCell ref="R12053:T12053"/>
    <mergeCell ref="R12054:T12054"/>
    <mergeCell ref="R12055:T12055"/>
    <mergeCell ref="R12056:T12056"/>
    <mergeCell ref="R12047:T12047"/>
    <mergeCell ref="R12048:T12048"/>
    <mergeCell ref="R12049:T12049"/>
    <mergeCell ref="R12050:T12050"/>
    <mergeCell ref="R12051:T12051"/>
    <mergeCell ref="R12042:T12042"/>
    <mergeCell ref="R12043:T12043"/>
    <mergeCell ref="R12044:T12044"/>
    <mergeCell ref="R12045:T12045"/>
    <mergeCell ref="R12046:T12046"/>
    <mergeCell ref="R12037:T12037"/>
    <mergeCell ref="R12038:T12038"/>
    <mergeCell ref="R12039:T12039"/>
    <mergeCell ref="R12040:T12040"/>
    <mergeCell ref="R12041:T12041"/>
    <mergeCell ref="R12032:T12032"/>
    <mergeCell ref="R12033:T12033"/>
    <mergeCell ref="R12034:T12034"/>
    <mergeCell ref="R12035:T12035"/>
    <mergeCell ref="R12036:T12036"/>
    <mergeCell ref="R12027:T12027"/>
    <mergeCell ref="R12028:T12028"/>
    <mergeCell ref="R12029:T12029"/>
    <mergeCell ref="R12030:T12030"/>
    <mergeCell ref="R12031:T12031"/>
    <mergeCell ref="R12022:T12022"/>
    <mergeCell ref="R12023:T12023"/>
    <mergeCell ref="R12024:T12024"/>
    <mergeCell ref="R12025:T12025"/>
    <mergeCell ref="R12026:T12026"/>
    <mergeCell ref="R12017:T12017"/>
    <mergeCell ref="R12018:T12018"/>
    <mergeCell ref="R12019:T12019"/>
    <mergeCell ref="R12020:T12020"/>
    <mergeCell ref="R12021:T12021"/>
    <mergeCell ref="R12012:T12012"/>
    <mergeCell ref="R12013:T12013"/>
    <mergeCell ref="R12014:T12014"/>
    <mergeCell ref="R12015:T12015"/>
    <mergeCell ref="R12016:T12016"/>
    <mergeCell ref="R12007:T12007"/>
    <mergeCell ref="R12008:T12008"/>
    <mergeCell ref="R12009:T12009"/>
    <mergeCell ref="R12010:T12010"/>
    <mergeCell ref="R12011:T12011"/>
    <mergeCell ref="R12002:T12002"/>
    <mergeCell ref="R12003:T12003"/>
    <mergeCell ref="R12004:T12004"/>
    <mergeCell ref="R12005:T12005"/>
    <mergeCell ref="R12006:T12006"/>
    <mergeCell ref="R11997:T11997"/>
    <mergeCell ref="R11998:T11998"/>
    <mergeCell ref="R11999:T11999"/>
    <mergeCell ref="R12000:T12000"/>
    <mergeCell ref="R12001:T12001"/>
    <mergeCell ref="R11992:T11992"/>
    <mergeCell ref="R11993:T11993"/>
    <mergeCell ref="R11994:T11994"/>
    <mergeCell ref="R11995:T11995"/>
    <mergeCell ref="R11996:T11996"/>
    <mergeCell ref="R11987:T11987"/>
    <mergeCell ref="R11988:T11988"/>
    <mergeCell ref="R11989:T11989"/>
    <mergeCell ref="R11990:T11990"/>
    <mergeCell ref="R11991:T11991"/>
    <mergeCell ref="R11982:T11982"/>
    <mergeCell ref="R11983:T11983"/>
    <mergeCell ref="R11984:T11984"/>
    <mergeCell ref="R11985:T11985"/>
    <mergeCell ref="R11986:T11986"/>
    <mergeCell ref="R11977:T11977"/>
    <mergeCell ref="R11978:T11978"/>
    <mergeCell ref="R11979:T11979"/>
    <mergeCell ref="R11980:T11980"/>
    <mergeCell ref="R11981:T11981"/>
    <mergeCell ref="R11972:T11972"/>
    <mergeCell ref="R11973:T11973"/>
    <mergeCell ref="R11974:T11974"/>
    <mergeCell ref="R11975:T11975"/>
    <mergeCell ref="R11976:T11976"/>
    <mergeCell ref="R11967:T11967"/>
    <mergeCell ref="R11968:T11968"/>
    <mergeCell ref="R11969:T11969"/>
    <mergeCell ref="R11970:T11970"/>
    <mergeCell ref="R11971:T11971"/>
    <mergeCell ref="R11962:T11962"/>
    <mergeCell ref="R11963:T11963"/>
    <mergeCell ref="R11964:T11964"/>
    <mergeCell ref="R11965:T11965"/>
    <mergeCell ref="R11966:T11966"/>
    <mergeCell ref="R11957:T11957"/>
    <mergeCell ref="R11958:T11958"/>
    <mergeCell ref="R11959:T11959"/>
    <mergeCell ref="R11960:T11960"/>
    <mergeCell ref="R11961:T11961"/>
    <mergeCell ref="R11952:T11952"/>
    <mergeCell ref="R11953:T11953"/>
    <mergeCell ref="R11954:T11954"/>
    <mergeCell ref="R11955:T11955"/>
    <mergeCell ref="R11956:T11956"/>
    <mergeCell ref="R11947:T11947"/>
    <mergeCell ref="R11948:T11948"/>
    <mergeCell ref="R11949:T11949"/>
    <mergeCell ref="R11950:T11950"/>
    <mergeCell ref="R11951:T11951"/>
    <mergeCell ref="R11942:T11942"/>
    <mergeCell ref="R11943:T11943"/>
    <mergeCell ref="R11944:T11944"/>
    <mergeCell ref="R11945:T11945"/>
    <mergeCell ref="R11946:T11946"/>
    <mergeCell ref="R11937:T11937"/>
    <mergeCell ref="R11938:T11938"/>
    <mergeCell ref="R11939:T11939"/>
    <mergeCell ref="R11940:T11940"/>
    <mergeCell ref="R11941:T11941"/>
    <mergeCell ref="R11932:T11932"/>
    <mergeCell ref="R11933:T11933"/>
    <mergeCell ref="R11934:T11934"/>
    <mergeCell ref="R11935:T11935"/>
    <mergeCell ref="R11936:T11936"/>
    <mergeCell ref="R11927:T11927"/>
    <mergeCell ref="R11928:T11928"/>
    <mergeCell ref="R11929:T11929"/>
    <mergeCell ref="R11930:T11930"/>
    <mergeCell ref="R11931:T11931"/>
    <mergeCell ref="R11922:T11922"/>
    <mergeCell ref="R11923:T11923"/>
    <mergeCell ref="R11924:T11924"/>
    <mergeCell ref="R11925:T11925"/>
    <mergeCell ref="R11926:T11926"/>
    <mergeCell ref="R11917:T11917"/>
    <mergeCell ref="R11918:T11918"/>
    <mergeCell ref="R11919:T11919"/>
    <mergeCell ref="R11920:T11920"/>
    <mergeCell ref="R11921:T11921"/>
    <mergeCell ref="R11912:T11912"/>
    <mergeCell ref="R11913:T11913"/>
    <mergeCell ref="R11914:T11914"/>
    <mergeCell ref="R11915:T11915"/>
    <mergeCell ref="R11916:T11916"/>
    <mergeCell ref="R11907:T11907"/>
    <mergeCell ref="R11908:T11908"/>
    <mergeCell ref="R11909:T11909"/>
    <mergeCell ref="R11910:T11910"/>
    <mergeCell ref="R11911:T11911"/>
    <mergeCell ref="R11902:T11902"/>
    <mergeCell ref="R11903:T11903"/>
    <mergeCell ref="R11904:T11904"/>
    <mergeCell ref="R11905:T11905"/>
    <mergeCell ref="R11906:T11906"/>
    <mergeCell ref="R11897:T11897"/>
    <mergeCell ref="R11898:T11898"/>
    <mergeCell ref="R11899:T11899"/>
    <mergeCell ref="R11900:T11900"/>
    <mergeCell ref="R11901:T11901"/>
    <mergeCell ref="R11892:T11892"/>
    <mergeCell ref="R11893:T11893"/>
    <mergeCell ref="R11894:T11894"/>
    <mergeCell ref="R11895:T11895"/>
    <mergeCell ref="R11896:T11896"/>
    <mergeCell ref="R11887:T11887"/>
    <mergeCell ref="R11888:T11888"/>
    <mergeCell ref="R11889:T11889"/>
    <mergeCell ref="R11890:T11890"/>
    <mergeCell ref="R11891:T11891"/>
    <mergeCell ref="R11882:T11882"/>
    <mergeCell ref="R11883:T11883"/>
    <mergeCell ref="R11884:T11884"/>
    <mergeCell ref="R11885:T11885"/>
    <mergeCell ref="R11886:T11886"/>
    <mergeCell ref="R11877:T11877"/>
    <mergeCell ref="R11878:T11878"/>
    <mergeCell ref="R11879:T11879"/>
    <mergeCell ref="R11880:T11880"/>
    <mergeCell ref="R11881:T11881"/>
    <mergeCell ref="R11872:T11872"/>
    <mergeCell ref="R11873:T11873"/>
    <mergeCell ref="R11874:T11874"/>
    <mergeCell ref="R11875:T11875"/>
    <mergeCell ref="R11876:T11876"/>
    <mergeCell ref="R11867:T11867"/>
    <mergeCell ref="R11868:T11868"/>
    <mergeCell ref="R11869:T11869"/>
    <mergeCell ref="R11870:T11870"/>
    <mergeCell ref="R11871:T11871"/>
    <mergeCell ref="R11862:T11862"/>
    <mergeCell ref="R11863:T11863"/>
    <mergeCell ref="R11864:T11864"/>
    <mergeCell ref="R11865:T11865"/>
    <mergeCell ref="R11866:T11866"/>
    <mergeCell ref="R11857:T11857"/>
    <mergeCell ref="R11858:T11858"/>
    <mergeCell ref="R11859:T11859"/>
    <mergeCell ref="R11860:T11860"/>
    <mergeCell ref="R11861:T11861"/>
    <mergeCell ref="R11852:T11852"/>
    <mergeCell ref="R11853:T11853"/>
    <mergeCell ref="R11854:T11854"/>
    <mergeCell ref="R11855:T11855"/>
    <mergeCell ref="R11856:T11856"/>
    <mergeCell ref="R11847:T11847"/>
    <mergeCell ref="R11848:T11848"/>
    <mergeCell ref="R11849:T11849"/>
    <mergeCell ref="R11850:T11850"/>
    <mergeCell ref="R11851:T11851"/>
    <mergeCell ref="R11842:T11842"/>
    <mergeCell ref="R11843:T11843"/>
    <mergeCell ref="R11844:T11844"/>
    <mergeCell ref="R11845:T11845"/>
    <mergeCell ref="R11846:T11846"/>
    <mergeCell ref="R11837:T11837"/>
    <mergeCell ref="R11838:T11838"/>
    <mergeCell ref="R11839:T11839"/>
    <mergeCell ref="R11840:T11840"/>
    <mergeCell ref="R11841:T11841"/>
    <mergeCell ref="R11832:T11832"/>
    <mergeCell ref="R11833:T11833"/>
    <mergeCell ref="R11834:T11834"/>
    <mergeCell ref="R11835:T11835"/>
    <mergeCell ref="R11836:T11836"/>
    <mergeCell ref="R11827:T11827"/>
    <mergeCell ref="R11828:T11828"/>
    <mergeCell ref="R11829:T11829"/>
    <mergeCell ref="R11830:T11830"/>
    <mergeCell ref="R11831:T11831"/>
    <mergeCell ref="R11822:T11822"/>
    <mergeCell ref="R11823:T11823"/>
    <mergeCell ref="R11824:T11824"/>
    <mergeCell ref="R11825:T11825"/>
    <mergeCell ref="R11826:T11826"/>
    <mergeCell ref="R11817:T11817"/>
    <mergeCell ref="R11818:T11818"/>
    <mergeCell ref="R11819:T11819"/>
    <mergeCell ref="R11820:T11820"/>
    <mergeCell ref="R11821:T11821"/>
    <mergeCell ref="R11812:T11812"/>
    <mergeCell ref="R11813:T11813"/>
    <mergeCell ref="R11814:T11814"/>
    <mergeCell ref="R11815:T11815"/>
    <mergeCell ref="R11816:T11816"/>
    <mergeCell ref="R11807:T11807"/>
    <mergeCell ref="R11808:T11808"/>
    <mergeCell ref="R11809:T11809"/>
    <mergeCell ref="R11810:T11810"/>
    <mergeCell ref="R11811:T11811"/>
    <mergeCell ref="R11802:T11802"/>
    <mergeCell ref="R11803:T11803"/>
    <mergeCell ref="R11804:T11804"/>
    <mergeCell ref="R11805:T11805"/>
    <mergeCell ref="R11806:T11806"/>
    <mergeCell ref="R11797:T11797"/>
    <mergeCell ref="R11798:T11798"/>
    <mergeCell ref="R11799:T11799"/>
    <mergeCell ref="R11800:T11800"/>
    <mergeCell ref="R11801:T11801"/>
    <mergeCell ref="R11792:T11792"/>
    <mergeCell ref="R11793:T11793"/>
    <mergeCell ref="R11794:T11794"/>
    <mergeCell ref="R11795:T11795"/>
    <mergeCell ref="R11796:T11796"/>
    <mergeCell ref="R11787:T11787"/>
    <mergeCell ref="R11788:T11788"/>
    <mergeCell ref="R11789:T11789"/>
    <mergeCell ref="R11790:T11790"/>
    <mergeCell ref="R11791:T11791"/>
    <mergeCell ref="R11782:T11782"/>
    <mergeCell ref="R11783:T11783"/>
    <mergeCell ref="R11784:T11784"/>
    <mergeCell ref="R11785:T11785"/>
    <mergeCell ref="R11786:T11786"/>
    <mergeCell ref="R11777:T11777"/>
    <mergeCell ref="R11778:T11778"/>
    <mergeCell ref="R11779:T11779"/>
    <mergeCell ref="R11780:T11780"/>
    <mergeCell ref="R11781:T11781"/>
    <mergeCell ref="R11772:T11772"/>
    <mergeCell ref="R11773:T11773"/>
    <mergeCell ref="R11774:T11774"/>
    <mergeCell ref="R11775:T11775"/>
    <mergeCell ref="R11776:T11776"/>
    <mergeCell ref="R11767:T11767"/>
    <mergeCell ref="R11768:T11768"/>
    <mergeCell ref="R11769:T11769"/>
    <mergeCell ref="R11770:T11770"/>
    <mergeCell ref="R11771:T11771"/>
    <mergeCell ref="R11762:T11762"/>
    <mergeCell ref="R11763:T11763"/>
    <mergeCell ref="R11764:T11764"/>
    <mergeCell ref="R11765:T11765"/>
    <mergeCell ref="R11766:T11766"/>
    <mergeCell ref="R11757:T11757"/>
    <mergeCell ref="R11758:T11758"/>
    <mergeCell ref="R11759:T11759"/>
    <mergeCell ref="R11760:T11760"/>
    <mergeCell ref="R11761:T11761"/>
    <mergeCell ref="R11752:T11752"/>
    <mergeCell ref="R11753:T11753"/>
    <mergeCell ref="R11754:T11754"/>
    <mergeCell ref="R11755:T11755"/>
    <mergeCell ref="R11756:T11756"/>
    <mergeCell ref="R11747:T11747"/>
    <mergeCell ref="R11748:T11748"/>
    <mergeCell ref="R11749:T11749"/>
    <mergeCell ref="R11750:T11750"/>
    <mergeCell ref="R11751:T11751"/>
    <mergeCell ref="R11742:T11742"/>
    <mergeCell ref="R11743:T11743"/>
    <mergeCell ref="R11744:T11744"/>
    <mergeCell ref="R11745:T11745"/>
    <mergeCell ref="R11746:T11746"/>
    <mergeCell ref="R11737:T11737"/>
    <mergeCell ref="R11738:T11738"/>
    <mergeCell ref="R11739:T11739"/>
    <mergeCell ref="R11740:T11740"/>
    <mergeCell ref="R11741:T11741"/>
    <mergeCell ref="R11732:T11732"/>
    <mergeCell ref="R11733:T11733"/>
    <mergeCell ref="R11734:T11734"/>
    <mergeCell ref="R11735:T11735"/>
    <mergeCell ref="R11736:T11736"/>
    <mergeCell ref="R11727:T11727"/>
    <mergeCell ref="R11728:T11728"/>
    <mergeCell ref="R11729:T11729"/>
    <mergeCell ref="R11730:T11730"/>
    <mergeCell ref="R11731:T11731"/>
    <mergeCell ref="R11722:T11722"/>
    <mergeCell ref="R11723:T11723"/>
    <mergeCell ref="R11724:T11724"/>
    <mergeCell ref="R11725:T11725"/>
    <mergeCell ref="R11726:T11726"/>
    <mergeCell ref="R11717:T11717"/>
    <mergeCell ref="R11718:T11718"/>
    <mergeCell ref="R11719:T11719"/>
    <mergeCell ref="R11720:T11720"/>
    <mergeCell ref="R11721:T11721"/>
    <mergeCell ref="R11712:T11712"/>
    <mergeCell ref="R11713:T11713"/>
    <mergeCell ref="R11714:T11714"/>
    <mergeCell ref="R11715:T11715"/>
    <mergeCell ref="R11716:T11716"/>
    <mergeCell ref="R11707:T11707"/>
    <mergeCell ref="R11708:T11708"/>
    <mergeCell ref="R11709:T11709"/>
    <mergeCell ref="R11710:T11710"/>
    <mergeCell ref="R11711:T11711"/>
    <mergeCell ref="R11702:T11702"/>
    <mergeCell ref="R11703:T11703"/>
    <mergeCell ref="R11704:T11704"/>
    <mergeCell ref="R11705:T11705"/>
    <mergeCell ref="R11706:T11706"/>
    <mergeCell ref="R11697:T11697"/>
    <mergeCell ref="R11698:T11698"/>
    <mergeCell ref="R11699:T11699"/>
    <mergeCell ref="R11700:T11700"/>
    <mergeCell ref="R11701:T11701"/>
    <mergeCell ref="R11692:T11692"/>
    <mergeCell ref="R11693:T11693"/>
    <mergeCell ref="R11694:T11694"/>
    <mergeCell ref="R11695:T11695"/>
    <mergeCell ref="R11696:T11696"/>
    <mergeCell ref="R11687:T11687"/>
    <mergeCell ref="R11688:T11688"/>
    <mergeCell ref="R11689:T11689"/>
    <mergeCell ref="R11690:T11690"/>
    <mergeCell ref="R11691:T11691"/>
    <mergeCell ref="R11682:T11682"/>
    <mergeCell ref="R11683:T11683"/>
    <mergeCell ref="R11684:T11684"/>
    <mergeCell ref="R11685:T11685"/>
    <mergeCell ref="R11686:T11686"/>
    <mergeCell ref="R11677:T11677"/>
    <mergeCell ref="R11678:T11678"/>
    <mergeCell ref="R11679:T11679"/>
    <mergeCell ref="R11680:T11680"/>
    <mergeCell ref="R11681:T11681"/>
    <mergeCell ref="R11672:T11672"/>
    <mergeCell ref="R11673:T11673"/>
    <mergeCell ref="R11674:T11674"/>
    <mergeCell ref="R11675:T11675"/>
    <mergeCell ref="R11676:T11676"/>
    <mergeCell ref="R11667:T11667"/>
    <mergeCell ref="R11668:T11668"/>
    <mergeCell ref="R11669:T11669"/>
    <mergeCell ref="R11670:T11670"/>
    <mergeCell ref="R11671:T11671"/>
    <mergeCell ref="R11662:T11662"/>
    <mergeCell ref="R11663:T11663"/>
    <mergeCell ref="R11664:T11664"/>
    <mergeCell ref="R11665:T11665"/>
    <mergeCell ref="R11666:T11666"/>
    <mergeCell ref="R11657:T11657"/>
    <mergeCell ref="R11658:T11658"/>
    <mergeCell ref="R11659:T11659"/>
    <mergeCell ref="R11660:T11660"/>
    <mergeCell ref="R11661:T11661"/>
    <mergeCell ref="R11652:T11652"/>
    <mergeCell ref="R11653:T11653"/>
    <mergeCell ref="R11654:T11654"/>
    <mergeCell ref="R11655:T11655"/>
    <mergeCell ref="R11656:T11656"/>
    <mergeCell ref="R11647:T11647"/>
    <mergeCell ref="R11648:T11648"/>
    <mergeCell ref="R11649:T11649"/>
    <mergeCell ref="R11650:T11650"/>
    <mergeCell ref="R11651:T11651"/>
    <mergeCell ref="R11642:T11642"/>
    <mergeCell ref="R11643:T11643"/>
    <mergeCell ref="R11644:T11644"/>
    <mergeCell ref="R11645:T11645"/>
    <mergeCell ref="R11646:T11646"/>
    <mergeCell ref="R11637:T11637"/>
    <mergeCell ref="R11638:T11638"/>
    <mergeCell ref="R11639:T11639"/>
    <mergeCell ref="R11640:T11640"/>
    <mergeCell ref="R11641:T11641"/>
    <mergeCell ref="R11632:T11632"/>
    <mergeCell ref="R11633:T11633"/>
    <mergeCell ref="R11634:T11634"/>
    <mergeCell ref="R11635:T11635"/>
    <mergeCell ref="R11636:T11636"/>
    <mergeCell ref="R11627:T11627"/>
    <mergeCell ref="R11628:T11628"/>
    <mergeCell ref="R11629:T11629"/>
    <mergeCell ref="R11630:T11630"/>
    <mergeCell ref="R11631:T11631"/>
    <mergeCell ref="R11622:T11622"/>
    <mergeCell ref="R11623:T11623"/>
    <mergeCell ref="R11624:T11624"/>
    <mergeCell ref="R11625:T11625"/>
    <mergeCell ref="R11626:T11626"/>
    <mergeCell ref="R11617:T11617"/>
    <mergeCell ref="R11618:T11618"/>
    <mergeCell ref="R11619:T11619"/>
    <mergeCell ref="R11620:T11620"/>
    <mergeCell ref="R11621:T11621"/>
    <mergeCell ref="R11612:T11612"/>
    <mergeCell ref="R11613:T11613"/>
    <mergeCell ref="R11614:T11614"/>
    <mergeCell ref="R11615:T11615"/>
    <mergeCell ref="R11616:T11616"/>
    <mergeCell ref="R11607:T11607"/>
    <mergeCell ref="R11608:T11608"/>
    <mergeCell ref="R11609:T11609"/>
    <mergeCell ref="R11610:T11610"/>
    <mergeCell ref="R11611:T11611"/>
    <mergeCell ref="R11602:T11602"/>
    <mergeCell ref="R11603:T11603"/>
    <mergeCell ref="R11604:T11604"/>
    <mergeCell ref="R11605:T11605"/>
    <mergeCell ref="R11606:T11606"/>
    <mergeCell ref="R11597:T11597"/>
    <mergeCell ref="R11598:T11598"/>
    <mergeCell ref="R11599:T11599"/>
    <mergeCell ref="R11600:T11600"/>
    <mergeCell ref="R11601:T11601"/>
    <mergeCell ref="R11592:T11592"/>
    <mergeCell ref="R11593:T11593"/>
    <mergeCell ref="R11594:T11594"/>
    <mergeCell ref="R11595:T11595"/>
    <mergeCell ref="R11596:T11596"/>
    <mergeCell ref="R11587:T11587"/>
    <mergeCell ref="R11588:T11588"/>
    <mergeCell ref="R11589:T11589"/>
    <mergeCell ref="R11590:T11590"/>
    <mergeCell ref="R11591:T11591"/>
    <mergeCell ref="R11582:T11582"/>
    <mergeCell ref="R11583:T11583"/>
    <mergeCell ref="R11584:T11584"/>
    <mergeCell ref="R11585:T11585"/>
    <mergeCell ref="R11586:T11586"/>
    <mergeCell ref="R11577:T11577"/>
    <mergeCell ref="R11578:T11578"/>
    <mergeCell ref="R11579:T11579"/>
    <mergeCell ref="R11580:T11580"/>
    <mergeCell ref="R11581:T11581"/>
    <mergeCell ref="R11572:T11572"/>
    <mergeCell ref="R11573:T11573"/>
    <mergeCell ref="R11574:T11574"/>
    <mergeCell ref="R11575:T11575"/>
    <mergeCell ref="R11576:T11576"/>
    <mergeCell ref="R11567:T11567"/>
    <mergeCell ref="R11568:T11568"/>
    <mergeCell ref="R11569:T11569"/>
    <mergeCell ref="R11570:T11570"/>
    <mergeCell ref="R11571:T11571"/>
    <mergeCell ref="R11562:T11562"/>
    <mergeCell ref="R11563:T11563"/>
    <mergeCell ref="R11564:T11564"/>
    <mergeCell ref="R11565:T11565"/>
    <mergeCell ref="R11566:T11566"/>
    <mergeCell ref="R11557:T11557"/>
    <mergeCell ref="R11558:T11558"/>
    <mergeCell ref="R11559:T11559"/>
    <mergeCell ref="R11560:T11560"/>
    <mergeCell ref="R11561:T11561"/>
    <mergeCell ref="R11552:T11552"/>
    <mergeCell ref="R11553:T11553"/>
    <mergeCell ref="R11554:T11554"/>
    <mergeCell ref="R11555:T11555"/>
    <mergeCell ref="R11556:T11556"/>
    <mergeCell ref="R11547:T11547"/>
    <mergeCell ref="R11548:T11548"/>
    <mergeCell ref="R11549:T11549"/>
    <mergeCell ref="R11550:T11550"/>
    <mergeCell ref="R11551:T11551"/>
    <mergeCell ref="R11542:T11542"/>
    <mergeCell ref="R11543:T11543"/>
    <mergeCell ref="R11544:T11544"/>
    <mergeCell ref="R11545:T11545"/>
    <mergeCell ref="R11546:T11546"/>
    <mergeCell ref="R11537:T11537"/>
    <mergeCell ref="R11538:T11538"/>
    <mergeCell ref="R11539:T11539"/>
    <mergeCell ref="R11540:T11540"/>
    <mergeCell ref="R11541:T11541"/>
    <mergeCell ref="R11532:T11532"/>
    <mergeCell ref="R11533:T11533"/>
    <mergeCell ref="R11534:T11534"/>
    <mergeCell ref="R11535:T11535"/>
    <mergeCell ref="R11536:T11536"/>
    <mergeCell ref="R11527:T11527"/>
    <mergeCell ref="R11528:T11528"/>
    <mergeCell ref="R11529:T11529"/>
    <mergeCell ref="R11530:T11530"/>
    <mergeCell ref="R11531:T11531"/>
    <mergeCell ref="R11522:T11522"/>
    <mergeCell ref="R11523:T11523"/>
    <mergeCell ref="R11524:T11524"/>
    <mergeCell ref="R11525:T11525"/>
    <mergeCell ref="R11526:T11526"/>
    <mergeCell ref="R11517:T11517"/>
    <mergeCell ref="R11518:T11518"/>
    <mergeCell ref="R11519:T11519"/>
    <mergeCell ref="R11520:T11520"/>
    <mergeCell ref="R11521:T11521"/>
    <mergeCell ref="R11512:T11512"/>
    <mergeCell ref="R11513:T11513"/>
    <mergeCell ref="R11514:T11514"/>
    <mergeCell ref="R11515:T11515"/>
    <mergeCell ref="R11516:T11516"/>
    <mergeCell ref="R11507:T11507"/>
    <mergeCell ref="R11508:T11508"/>
    <mergeCell ref="R11509:T11509"/>
    <mergeCell ref="R11510:T11510"/>
    <mergeCell ref="R11511:T11511"/>
    <mergeCell ref="R11502:T11502"/>
    <mergeCell ref="R11503:T11503"/>
    <mergeCell ref="R11504:T11504"/>
    <mergeCell ref="R11505:T11505"/>
    <mergeCell ref="R11506:T11506"/>
    <mergeCell ref="R11497:T11497"/>
    <mergeCell ref="R11498:T11498"/>
    <mergeCell ref="R11499:T11499"/>
    <mergeCell ref="R11500:T11500"/>
    <mergeCell ref="R11501:T11501"/>
    <mergeCell ref="R11492:T11492"/>
    <mergeCell ref="R11493:T11493"/>
    <mergeCell ref="R11494:T11494"/>
    <mergeCell ref="R11495:T11495"/>
    <mergeCell ref="R11496:T11496"/>
    <mergeCell ref="R11487:T11487"/>
    <mergeCell ref="R11488:T11488"/>
    <mergeCell ref="R11489:T11489"/>
    <mergeCell ref="R11490:T11490"/>
    <mergeCell ref="R11491:T11491"/>
    <mergeCell ref="R11482:T11482"/>
    <mergeCell ref="R11483:T11483"/>
    <mergeCell ref="R11484:T11484"/>
    <mergeCell ref="R11485:T11485"/>
    <mergeCell ref="R11486:T11486"/>
    <mergeCell ref="R11477:T11477"/>
    <mergeCell ref="R11478:T11478"/>
    <mergeCell ref="R11479:T11479"/>
    <mergeCell ref="R11480:T11480"/>
    <mergeCell ref="R11481:T11481"/>
    <mergeCell ref="R11472:T11472"/>
    <mergeCell ref="R11473:T11473"/>
    <mergeCell ref="R11474:T11474"/>
    <mergeCell ref="R11475:T11475"/>
    <mergeCell ref="R11476:T11476"/>
    <mergeCell ref="R11467:T11467"/>
    <mergeCell ref="R11468:T11468"/>
    <mergeCell ref="R11469:T11469"/>
    <mergeCell ref="R11470:T11470"/>
    <mergeCell ref="R11471:T11471"/>
    <mergeCell ref="R11462:T11462"/>
    <mergeCell ref="R11463:T11463"/>
    <mergeCell ref="R11464:T11464"/>
    <mergeCell ref="R11465:T11465"/>
    <mergeCell ref="R11466:T11466"/>
    <mergeCell ref="R11457:T11457"/>
    <mergeCell ref="R11458:T11458"/>
    <mergeCell ref="R11459:T11459"/>
    <mergeCell ref="R11460:T11460"/>
    <mergeCell ref="R11461:T11461"/>
    <mergeCell ref="R11452:T11452"/>
    <mergeCell ref="R11453:T11453"/>
    <mergeCell ref="R11454:T11454"/>
    <mergeCell ref="R11455:T11455"/>
    <mergeCell ref="R11456:T11456"/>
    <mergeCell ref="R11447:T11447"/>
    <mergeCell ref="R11448:T11448"/>
    <mergeCell ref="R11449:T11449"/>
    <mergeCell ref="R11450:T11450"/>
    <mergeCell ref="R11451:T11451"/>
    <mergeCell ref="R11442:T11442"/>
    <mergeCell ref="R11443:T11443"/>
    <mergeCell ref="R11444:T11444"/>
    <mergeCell ref="R11445:T11445"/>
    <mergeCell ref="R11446:T11446"/>
    <mergeCell ref="R11437:T11437"/>
    <mergeCell ref="R11438:T11438"/>
    <mergeCell ref="R11439:T11439"/>
    <mergeCell ref="R11440:T11440"/>
    <mergeCell ref="R11441:T11441"/>
    <mergeCell ref="R11432:T11432"/>
    <mergeCell ref="R11433:T11433"/>
    <mergeCell ref="R11434:T11434"/>
    <mergeCell ref="R11435:T11435"/>
    <mergeCell ref="R11436:T11436"/>
    <mergeCell ref="R11427:T11427"/>
    <mergeCell ref="R11428:T11428"/>
    <mergeCell ref="R11429:T11429"/>
    <mergeCell ref="R11430:T11430"/>
    <mergeCell ref="R11431:T11431"/>
    <mergeCell ref="R11422:T11422"/>
    <mergeCell ref="R11423:T11423"/>
    <mergeCell ref="R11424:T11424"/>
    <mergeCell ref="R11425:T11425"/>
    <mergeCell ref="R11426:T11426"/>
    <mergeCell ref="R11417:T11417"/>
    <mergeCell ref="R11418:T11418"/>
    <mergeCell ref="R11419:T11419"/>
    <mergeCell ref="R11420:T11420"/>
    <mergeCell ref="R11421:T11421"/>
    <mergeCell ref="R11412:T11412"/>
    <mergeCell ref="R11413:T11413"/>
    <mergeCell ref="R11414:T11414"/>
    <mergeCell ref="R11415:T11415"/>
    <mergeCell ref="R11416:T11416"/>
    <mergeCell ref="R11407:T11407"/>
    <mergeCell ref="R11408:T11408"/>
    <mergeCell ref="R11409:T11409"/>
    <mergeCell ref="R11410:T11410"/>
    <mergeCell ref="R11411:T11411"/>
    <mergeCell ref="R11402:T11402"/>
    <mergeCell ref="R11403:T11403"/>
    <mergeCell ref="R11404:T11404"/>
    <mergeCell ref="R11405:T11405"/>
    <mergeCell ref="R11406:T11406"/>
    <mergeCell ref="R11397:T11397"/>
    <mergeCell ref="R11398:T11398"/>
    <mergeCell ref="R11399:T11399"/>
    <mergeCell ref="R11400:T11400"/>
    <mergeCell ref="R11401:T11401"/>
    <mergeCell ref="R11392:T11392"/>
    <mergeCell ref="R11393:T11393"/>
    <mergeCell ref="R11394:T11394"/>
    <mergeCell ref="R11395:T11395"/>
    <mergeCell ref="R11396:T11396"/>
    <mergeCell ref="R11387:T11387"/>
    <mergeCell ref="R11388:T11388"/>
    <mergeCell ref="R11389:T11389"/>
    <mergeCell ref="R11390:T11390"/>
    <mergeCell ref="R11391:T11391"/>
    <mergeCell ref="R11382:T11382"/>
    <mergeCell ref="R11383:T11383"/>
    <mergeCell ref="R11384:T11384"/>
    <mergeCell ref="R11385:T11385"/>
    <mergeCell ref="R11386:T11386"/>
    <mergeCell ref="R11377:T11377"/>
    <mergeCell ref="R11378:T11378"/>
    <mergeCell ref="R11379:T11379"/>
    <mergeCell ref="R11380:T11380"/>
    <mergeCell ref="R11381:T11381"/>
    <mergeCell ref="R11372:T11372"/>
    <mergeCell ref="R11373:T11373"/>
    <mergeCell ref="R11374:T11374"/>
    <mergeCell ref="R11375:T11375"/>
    <mergeCell ref="R11376:T11376"/>
    <mergeCell ref="R11367:T11367"/>
    <mergeCell ref="R11368:T11368"/>
    <mergeCell ref="R11369:T11369"/>
    <mergeCell ref="R11370:T11370"/>
    <mergeCell ref="R11371:T11371"/>
    <mergeCell ref="R11362:T11362"/>
    <mergeCell ref="R11363:T11363"/>
    <mergeCell ref="R11364:T11364"/>
    <mergeCell ref="R11365:T11365"/>
    <mergeCell ref="R11366:T11366"/>
    <mergeCell ref="R11357:T11357"/>
    <mergeCell ref="R11358:T11358"/>
    <mergeCell ref="R11359:T11359"/>
    <mergeCell ref="R11360:T11360"/>
    <mergeCell ref="R11361:T11361"/>
    <mergeCell ref="R11352:T11352"/>
    <mergeCell ref="R11353:T11353"/>
    <mergeCell ref="R11354:T11354"/>
    <mergeCell ref="R11355:T11355"/>
    <mergeCell ref="R11356:T11356"/>
    <mergeCell ref="R11347:T11347"/>
    <mergeCell ref="R11348:T11348"/>
    <mergeCell ref="R11349:T11349"/>
    <mergeCell ref="R11350:T11350"/>
    <mergeCell ref="R11351:T11351"/>
    <mergeCell ref="R11342:T11342"/>
    <mergeCell ref="R11343:T11343"/>
    <mergeCell ref="R11344:T11344"/>
    <mergeCell ref="R11345:T11345"/>
    <mergeCell ref="R11346:T11346"/>
    <mergeCell ref="R11337:T11337"/>
    <mergeCell ref="R11338:T11338"/>
    <mergeCell ref="R11339:T11339"/>
    <mergeCell ref="R11340:T11340"/>
    <mergeCell ref="R11341:T11341"/>
    <mergeCell ref="R11332:T11332"/>
    <mergeCell ref="R11333:T11333"/>
    <mergeCell ref="R11334:T11334"/>
    <mergeCell ref="R11335:T11335"/>
    <mergeCell ref="R11336:T11336"/>
    <mergeCell ref="R11327:T11327"/>
    <mergeCell ref="R11328:T11328"/>
    <mergeCell ref="R11329:T11329"/>
    <mergeCell ref="R11330:T11330"/>
    <mergeCell ref="R11331:T11331"/>
    <mergeCell ref="R11322:T11322"/>
    <mergeCell ref="R11323:T11323"/>
    <mergeCell ref="R11324:T11324"/>
    <mergeCell ref="R11325:T11325"/>
    <mergeCell ref="R11326:T11326"/>
    <mergeCell ref="R11317:T11317"/>
    <mergeCell ref="R11318:T11318"/>
    <mergeCell ref="R11319:T11319"/>
    <mergeCell ref="R11320:T11320"/>
    <mergeCell ref="R11321:T11321"/>
    <mergeCell ref="R11312:T11312"/>
    <mergeCell ref="R11313:T11313"/>
    <mergeCell ref="R11314:T11314"/>
    <mergeCell ref="R11315:T11315"/>
    <mergeCell ref="R11316:T11316"/>
    <mergeCell ref="R11307:T11307"/>
    <mergeCell ref="R11308:T11308"/>
    <mergeCell ref="R11309:T11309"/>
    <mergeCell ref="R11310:T11310"/>
    <mergeCell ref="R11311:T11311"/>
    <mergeCell ref="R11302:T11302"/>
    <mergeCell ref="R11303:T11303"/>
    <mergeCell ref="R11304:T11304"/>
    <mergeCell ref="R11305:T11305"/>
    <mergeCell ref="R11306:T11306"/>
    <mergeCell ref="R11297:T11297"/>
    <mergeCell ref="R11298:T11298"/>
    <mergeCell ref="R11299:T11299"/>
    <mergeCell ref="R11300:T11300"/>
    <mergeCell ref="R11301:T11301"/>
    <mergeCell ref="R11292:T11292"/>
    <mergeCell ref="R11293:T11293"/>
    <mergeCell ref="R11294:T11294"/>
    <mergeCell ref="R11295:T11295"/>
    <mergeCell ref="R11296:T11296"/>
    <mergeCell ref="R11287:T11287"/>
    <mergeCell ref="R11288:T11288"/>
    <mergeCell ref="R11289:T11289"/>
    <mergeCell ref="R11290:T11290"/>
    <mergeCell ref="R11291:T11291"/>
    <mergeCell ref="R11282:T11282"/>
    <mergeCell ref="R11283:T11283"/>
    <mergeCell ref="R11284:T11284"/>
    <mergeCell ref="R11285:T11285"/>
    <mergeCell ref="R11286:T11286"/>
    <mergeCell ref="R11277:T11277"/>
    <mergeCell ref="R11278:T11278"/>
    <mergeCell ref="R11279:T11279"/>
    <mergeCell ref="R11280:T11280"/>
    <mergeCell ref="R11281:T11281"/>
    <mergeCell ref="R11272:T11272"/>
    <mergeCell ref="R11273:T11273"/>
    <mergeCell ref="R11274:T11274"/>
    <mergeCell ref="R11275:T11275"/>
    <mergeCell ref="R11276:T11276"/>
    <mergeCell ref="R11267:T11267"/>
    <mergeCell ref="R11268:T11268"/>
    <mergeCell ref="R11269:T11269"/>
    <mergeCell ref="R11270:T11270"/>
    <mergeCell ref="R11271:T11271"/>
    <mergeCell ref="R11262:T11262"/>
    <mergeCell ref="R11263:T11263"/>
    <mergeCell ref="R11264:T11264"/>
    <mergeCell ref="R11265:T11265"/>
    <mergeCell ref="R11266:T11266"/>
    <mergeCell ref="R11257:T11257"/>
    <mergeCell ref="R11258:T11258"/>
    <mergeCell ref="R11259:T11259"/>
    <mergeCell ref="R11260:T11260"/>
    <mergeCell ref="R11261:T11261"/>
    <mergeCell ref="R11252:T11252"/>
    <mergeCell ref="R11253:T11253"/>
    <mergeCell ref="R11254:T11254"/>
    <mergeCell ref="R11255:T11255"/>
    <mergeCell ref="R11256:T11256"/>
    <mergeCell ref="R11247:T11247"/>
    <mergeCell ref="R11248:T11248"/>
    <mergeCell ref="R11249:T11249"/>
    <mergeCell ref="R11250:T11250"/>
    <mergeCell ref="R11251:T11251"/>
    <mergeCell ref="R11242:T11242"/>
    <mergeCell ref="R11243:T11243"/>
    <mergeCell ref="R11244:T11244"/>
    <mergeCell ref="R11245:T11245"/>
    <mergeCell ref="R11246:T11246"/>
    <mergeCell ref="R11237:T11237"/>
    <mergeCell ref="R11238:T11238"/>
    <mergeCell ref="R11239:T11239"/>
    <mergeCell ref="R11240:T11240"/>
    <mergeCell ref="R11241:T11241"/>
    <mergeCell ref="R11232:T11232"/>
    <mergeCell ref="R11233:T11233"/>
    <mergeCell ref="R11234:T11234"/>
    <mergeCell ref="R11235:T11235"/>
    <mergeCell ref="R11236:T11236"/>
    <mergeCell ref="R11227:T11227"/>
    <mergeCell ref="R11228:T11228"/>
    <mergeCell ref="R11229:T11229"/>
    <mergeCell ref="R11230:T11230"/>
    <mergeCell ref="R11231:T11231"/>
    <mergeCell ref="R11222:T11222"/>
    <mergeCell ref="R11223:T11223"/>
    <mergeCell ref="R11224:T11224"/>
    <mergeCell ref="R11225:T11225"/>
    <mergeCell ref="R11226:T11226"/>
    <mergeCell ref="R11217:T11217"/>
    <mergeCell ref="R11218:T11218"/>
    <mergeCell ref="R11219:T11219"/>
    <mergeCell ref="R11220:T11220"/>
    <mergeCell ref="R11221:T11221"/>
    <mergeCell ref="R11212:T11212"/>
    <mergeCell ref="R11213:T11213"/>
    <mergeCell ref="R11214:T11214"/>
    <mergeCell ref="R11215:T11215"/>
    <mergeCell ref="R11216:T11216"/>
    <mergeCell ref="R11207:T11207"/>
    <mergeCell ref="R11208:T11208"/>
    <mergeCell ref="R11209:T11209"/>
    <mergeCell ref="R11210:T11210"/>
    <mergeCell ref="R11211:T11211"/>
    <mergeCell ref="R11202:T11202"/>
    <mergeCell ref="R11203:T11203"/>
    <mergeCell ref="R11204:T11204"/>
    <mergeCell ref="R11205:T11205"/>
    <mergeCell ref="R11206:T11206"/>
    <mergeCell ref="R11197:T11197"/>
    <mergeCell ref="R11198:T11198"/>
    <mergeCell ref="R11199:T11199"/>
    <mergeCell ref="R11200:T11200"/>
    <mergeCell ref="R11201:T11201"/>
    <mergeCell ref="R11192:T11192"/>
    <mergeCell ref="R11193:T11193"/>
    <mergeCell ref="R11194:T11194"/>
    <mergeCell ref="R11195:T11195"/>
    <mergeCell ref="R11196:T11196"/>
    <mergeCell ref="R11187:T11187"/>
    <mergeCell ref="R11188:T11188"/>
    <mergeCell ref="R11189:T11189"/>
    <mergeCell ref="R11190:T11190"/>
    <mergeCell ref="R11191:T11191"/>
    <mergeCell ref="R11182:T11182"/>
    <mergeCell ref="R11183:T11183"/>
    <mergeCell ref="R11184:T11184"/>
    <mergeCell ref="R11185:T11185"/>
    <mergeCell ref="R11186:T11186"/>
    <mergeCell ref="R11177:T11177"/>
    <mergeCell ref="R11178:T11178"/>
    <mergeCell ref="R11179:T11179"/>
    <mergeCell ref="R11180:T11180"/>
    <mergeCell ref="R11181:T11181"/>
    <mergeCell ref="R11172:T11172"/>
    <mergeCell ref="R11173:T11173"/>
    <mergeCell ref="R11174:T11174"/>
    <mergeCell ref="R11175:T11175"/>
    <mergeCell ref="R11176:T11176"/>
    <mergeCell ref="R11167:T11167"/>
    <mergeCell ref="R11168:T11168"/>
    <mergeCell ref="R11169:T11169"/>
    <mergeCell ref="R11170:T11170"/>
    <mergeCell ref="R11171:T11171"/>
    <mergeCell ref="R11162:T11162"/>
    <mergeCell ref="R11163:T11163"/>
    <mergeCell ref="R11164:T11164"/>
    <mergeCell ref="R11165:T11165"/>
    <mergeCell ref="R11166:T11166"/>
    <mergeCell ref="R11157:T11157"/>
    <mergeCell ref="R11158:T11158"/>
    <mergeCell ref="R11159:T11159"/>
    <mergeCell ref="R11160:T11160"/>
    <mergeCell ref="R11161:T11161"/>
    <mergeCell ref="R11152:T11152"/>
    <mergeCell ref="R11153:T11153"/>
    <mergeCell ref="R11154:T11154"/>
    <mergeCell ref="R11155:T11155"/>
    <mergeCell ref="R11156:T11156"/>
    <mergeCell ref="R11147:T11147"/>
    <mergeCell ref="R11148:T11148"/>
    <mergeCell ref="R11149:T11149"/>
    <mergeCell ref="R11150:T11150"/>
    <mergeCell ref="R11151:T11151"/>
    <mergeCell ref="R11142:T11142"/>
    <mergeCell ref="R11143:T11143"/>
    <mergeCell ref="R11144:T11144"/>
    <mergeCell ref="R11145:T11145"/>
    <mergeCell ref="R11146:T11146"/>
    <mergeCell ref="R11137:T11137"/>
    <mergeCell ref="R11138:T11138"/>
    <mergeCell ref="R11139:T11139"/>
    <mergeCell ref="R11140:T11140"/>
    <mergeCell ref="R11141:T11141"/>
    <mergeCell ref="R11132:T11132"/>
    <mergeCell ref="R11133:T11133"/>
    <mergeCell ref="R11134:T11134"/>
    <mergeCell ref="R11135:T11135"/>
    <mergeCell ref="R11136:T11136"/>
    <mergeCell ref="R11127:T11127"/>
    <mergeCell ref="R11128:T11128"/>
    <mergeCell ref="R11129:T11129"/>
    <mergeCell ref="R11130:T11130"/>
    <mergeCell ref="R11131:T11131"/>
    <mergeCell ref="R11122:T11122"/>
    <mergeCell ref="R11123:T11123"/>
    <mergeCell ref="R11124:T11124"/>
    <mergeCell ref="R11125:T11125"/>
    <mergeCell ref="R11126:T11126"/>
    <mergeCell ref="R11117:T11117"/>
    <mergeCell ref="R11118:T11118"/>
    <mergeCell ref="R11119:T11119"/>
    <mergeCell ref="R11120:T11120"/>
    <mergeCell ref="R11121:T11121"/>
    <mergeCell ref="R11112:T11112"/>
    <mergeCell ref="R11113:T11113"/>
    <mergeCell ref="R11114:T11114"/>
    <mergeCell ref="R11115:T11115"/>
    <mergeCell ref="R11116:T11116"/>
    <mergeCell ref="R11107:T11107"/>
    <mergeCell ref="R11108:T11108"/>
    <mergeCell ref="R11109:T11109"/>
    <mergeCell ref="R11110:T11110"/>
    <mergeCell ref="R11111:T11111"/>
    <mergeCell ref="R11102:T11102"/>
    <mergeCell ref="R11103:T11103"/>
    <mergeCell ref="R11104:T11104"/>
    <mergeCell ref="R11105:T11105"/>
    <mergeCell ref="R11106:T11106"/>
    <mergeCell ref="R11097:T11097"/>
    <mergeCell ref="R11098:T11098"/>
    <mergeCell ref="R11099:T11099"/>
    <mergeCell ref="R11100:T11100"/>
    <mergeCell ref="R11101:T11101"/>
    <mergeCell ref="R11092:T11092"/>
    <mergeCell ref="R11093:T11093"/>
    <mergeCell ref="R11094:T11094"/>
    <mergeCell ref="R11095:T11095"/>
    <mergeCell ref="R11096:T11096"/>
    <mergeCell ref="R11087:T11087"/>
    <mergeCell ref="R11088:T11088"/>
    <mergeCell ref="R11089:T11089"/>
    <mergeCell ref="R11090:T11090"/>
    <mergeCell ref="R11091:T11091"/>
    <mergeCell ref="R11082:T11082"/>
    <mergeCell ref="R11083:T11083"/>
    <mergeCell ref="R11084:T11084"/>
    <mergeCell ref="R11085:T11085"/>
    <mergeCell ref="R11086:T11086"/>
    <mergeCell ref="R11077:T11077"/>
    <mergeCell ref="R11078:T11078"/>
    <mergeCell ref="R11079:T11079"/>
    <mergeCell ref="R11080:T11080"/>
    <mergeCell ref="R11081:T11081"/>
    <mergeCell ref="R11072:T11072"/>
    <mergeCell ref="R11073:T11073"/>
    <mergeCell ref="R11074:T11074"/>
    <mergeCell ref="R11075:T11075"/>
    <mergeCell ref="R11076:T11076"/>
    <mergeCell ref="R11067:T11067"/>
    <mergeCell ref="R11068:T11068"/>
    <mergeCell ref="R11069:T11069"/>
    <mergeCell ref="R11070:T11070"/>
    <mergeCell ref="R11071:T11071"/>
    <mergeCell ref="R11062:T11062"/>
    <mergeCell ref="R11063:T11063"/>
    <mergeCell ref="R11064:T11064"/>
    <mergeCell ref="R11065:T11065"/>
    <mergeCell ref="R11066:T11066"/>
    <mergeCell ref="R11057:T11057"/>
    <mergeCell ref="R11058:T11058"/>
    <mergeCell ref="R11059:T11059"/>
    <mergeCell ref="R11060:T11060"/>
    <mergeCell ref="R11061:T11061"/>
    <mergeCell ref="R11052:T11052"/>
    <mergeCell ref="R11053:T11053"/>
    <mergeCell ref="R11054:T11054"/>
    <mergeCell ref="R11055:T11055"/>
    <mergeCell ref="R11056:T11056"/>
    <mergeCell ref="R11047:T11047"/>
    <mergeCell ref="R11048:T11048"/>
    <mergeCell ref="R11049:T11049"/>
    <mergeCell ref="R11050:T11050"/>
    <mergeCell ref="R11051:T11051"/>
    <mergeCell ref="R11042:T11042"/>
    <mergeCell ref="R11043:T11043"/>
    <mergeCell ref="R11044:T11044"/>
    <mergeCell ref="R11045:T11045"/>
    <mergeCell ref="R11046:T11046"/>
    <mergeCell ref="R11037:T11037"/>
    <mergeCell ref="R11038:T11038"/>
    <mergeCell ref="R11039:T11039"/>
    <mergeCell ref="R11040:T11040"/>
    <mergeCell ref="R11041:T11041"/>
    <mergeCell ref="R11032:T11032"/>
    <mergeCell ref="R11033:T11033"/>
    <mergeCell ref="R11034:T11034"/>
    <mergeCell ref="R11035:T11035"/>
    <mergeCell ref="R11036:T11036"/>
    <mergeCell ref="R11027:T11027"/>
    <mergeCell ref="R11028:T11028"/>
    <mergeCell ref="R11029:T11029"/>
    <mergeCell ref="R11030:T11030"/>
    <mergeCell ref="R11031:T11031"/>
    <mergeCell ref="R11022:T11022"/>
    <mergeCell ref="R11023:T11023"/>
    <mergeCell ref="R11024:T11024"/>
    <mergeCell ref="R11025:T11025"/>
    <mergeCell ref="R11026:T11026"/>
    <mergeCell ref="R11017:T11017"/>
    <mergeCell ref="R11018:T11018"/>
    <mergeCell ref="R11019:T11019"/>
    <mergeCell ref="R11020:T11020"/>
    <mergeCell ref="R11021:T11021"/>
    <mergeCell ref="R11012:T11012"/>
    <mergeCell ref="R11013:T11013"/>
    <mergeCell ref="R11014:T11014"/>
    <mergeCell ref="R11015:T11015"/>
    <mergeCell ref="R11016:T11016"/>
    <mergeCell ref="R11007:T11007"/>
    <mergeCell ref="R11008:T11008"/>
    <mergeCell ref="R11009:T11009"/>
    <mergeCell ref="R11010:T11010"/>
    <mergeCell ref="R11011:T11011"/>
    <mergeCell ref="R11002:T11002"/>
    <mergeCell ref="R11003:T11003"/>
    <mergeCell ref="R11004:T11004"/>
    <mergeCell ref="R11005:T11005"/>
    <mergeCell ref="R11006:T11006"/>
    <mergeCell ref="R10997:T10997"/>
    <mergeCell ref="R10998:T10998"/>
    <mergeCell ref="R10999:T10999"/>
    <mergeCell ref="R11000:T11000"/>
    <mergeCell ref="R11001:T11001"/>
    <mergeCell ref="R10992:T10992"/>
    <mergeCell ref="R10993:T10993"/>
    <mergeCell ref="R10994:T10994"/>
    <mergeCell ref="R10995:T10995"/>
    <mergeCell ref="R10996:T10996"/>
    <mergeCell ref="R10987:T10987"/>
    <mergeCell ref="R10988:T10988"/>
    <mergeCell ref="R10989:T10989"/>
    <mergeCell ref="R10990:T10990"/>
    <mergeCell ref="R10991:T10991"/>
    <mergeCell ref="R10982:T10982"/>
    <mergeCell ref="R10983:T10983"/>
    <mergeCell ref="R10984:T10984"/>
    <mergeCell ref="R10985:T10985"/>
    <mergeCell ref="R10986:T10986"/>
    <mergeCell ref="R10977:T10977"/>
    <mergeCell ref="R10978:T10978"/>
    <mergeCell ref="R10979:T10979"/>
    <mergeCell ref="R10980:T10980"/>
    <mergeCell ref="R10981:T10981"/>
    <mergeCell ref="R10972:T10972"/>
    <mergeCell ref="R10973:T10973"/>
    <mergeCell ref="R10974:T10974"/>
    <mergeCell ref="R10975:T10975"/>
    <mergeCell ref="R10976:T10976"/>
    <mergeCell ref="R10967:T10967"/>
    <mergeCell ref="R10968:T10968"/>
    <mergeCell ref="R10969:T10969"/>
    <mergeCell ref="R10970:T10970"/>
    <mergeCell ref="R10971:T10971"/>
    <mergeCell ref="R10962:T10962"/>
    <mergeCell ref="R10963:T10963"/>
    <mergeCell ref="R10964:T10964"/>
    <mergeCell ref="R10965:T10965"/>
    <mergeCell ref="R10966:T10966"/>
    <mergeCell ref="R10957:T10957"/>
    <mergeCell ref="R10958:T10958"/>
    <mergeCell ref="R10959:T10959"/>
    <mergeCell ref="R10960:T10960"/>
    <mergeCell ref="R10961:T10961"/>
    <mergeCell ref="R10952:T10952"/>
    <mergeCell ref="R10953:T10953"/>
    <mergeCell ref="R10954:T10954"/>
    <mergeCell ref="R10955:T10955"/>
    <mergeCell ref="R10956:T10956"/>
    <mergeCell ref="R10947:T10947"/>
    <mergeCell ref="R10948:T10948"/>
    <mergeCell ref="R10949:T10949"/>
    <mergeCell ref="R10950:T10950"/>
    <mergeCell ref="R10951:T10951"/>
    <mergeCell ref="R10942:T10942"/>
    <mergeCell ref="R10943:T10943"/>
    <mergeCell ref="R10944:T10944"/>
    <mergeCell ref="R10945:T10945"/>
    <mergeCell ref="R10946:T10946"/>
    <mergeCell ref="R10937:T10937"/>
    <mergeCell ref="R10938:T10938"/>
    <mergeCell ref="R10939:T10939"/>
    <mergeCell ref="R10940:T10940"/>
    <mergeCell ref="R10941:T10941"/>
    <mergeCell ref="R10932:T10932"/>
    <mergeCell ref="R10933:T10933"/>
    <mergeCell ref="R10934:T10934"/>
    <mergeCell ref="R10935:T10935"/>
    <mergeCell ref="R10936:T10936"/>
    <mergeCell ref="R10927:T10927"/>
    <mergeCell ref="R10928:T10928"/>
    <mergeCell ref="R10929:T10929"/>
    <mergeCell ref="R10930:T10930"/>
    <mergeCell ref="R10931:T10931"/>
    <mergeCell ref="R10922:T10922"/>
    <mergeCell ref="R10923:T10923"/>
    <mergeCell ref="R10924:T10924"/>
    <mergeCell ref="R10925:T10925"/>
    <mergeCell ref="R10926:T10926"/>
    <mergeCell ref="R10917:T10917"/>
    <mergeCell ref="R10918:T10918"/>
    <mergeCell ref="R10919:T10919"/>
    <mergeCell ref="R10920:T10920"/>
    <mergeCell ref="R10921:T10921"/>
    <mergeCell ref="R10912:T10912"/>
    <mergeCell ref="R10913:T10913"/>
    <mergeCell ref="R10914:T10914"/>
    <mergeCell ref="R10915:T10915"/>
    <mergeCell ref="R10916:T10916"/>
    <mergeCell ref="R10907:T10907"/>
    <mergeCell ref="R10908:T10908"/>
    <mergeCell ref="R10909:T10909"/>
    <mergeCell ref="R10910:T10910"/>
    <mergeCell ref="R10911:T10911"/>
    <mergeCell ref="R10902:T10902"/>
    <mergeCell ref="R10903:T10903"/>
    <mergeCell ref="R10904:T10904"/>
    <mergeCell ref="R10905:T10905"/>
    <mergeCell ref="R10906:T10906"/>
    <mergeCell ref="R10897:T10897"/>
    <mergeCell ref="R10898:T10898"/>
    <mergeCell ref="R10899:T10899"/>
    <mergeCell ref="R10900:T10900"/>
    <mergeCell ref="R10901:T10901"/>
    <mergeCell ref="R10892:T10892"/>
    <mergeCell ref="R10893:T10893"/>
    <mergeCell ref="R10894:T10894"/>
    <mergeCell ref="R10895:T10895"/>
    <mergeCell ref="R10896:T10896"/>
    <mergeCell ref="R10887:T10887"/>
    <mergeCell ref="R10888:T10888"/>
    <mergeCell ref="R10889:T10889"/>
    <mergeCell ref="R10890:T10890"/>
    <mergeCell ref="R10891:T10891"/>
    <mergeCell ref="R10882:T10882"/>
    <mergeCell ref="R10883:T10883"/>
    <mergeCell ref="R10884:T10884"/>
    <mergeCell ref="R10885:T10885"/>
    <mergeCell ref="R10886:T10886"/>
    <mergeCell ref="R10877:T10877"/>
    <mergeCell ref="R10878:T10878"/>
    <mergeCell ref="R10879:T10879"/>
    <mergeCell ref="R10880:T10880"/>
    <mergeCell ref="R10881:T10881"/>
    <mergeCell ref="R10872:T10872"/>
    <mergeCell ref="R10873:T10873"/>
    <mergeCell ref="R10874:T10874"/>
    <mergeCell ref="R10875:T10875"/>
    <mergeCell ref="R10876:T10876"/>
    <mergeCell ref="R10867:T10867"/>
    <mergeCell ref="R10868:T10868"/>
    <mergeCell ref="R10869:T10869"/>
    <mergeCell ref="R10870:T10870"/>
    <mergeCell ref="R10871:T10871"/>
    <mergeCell ref="R10862:T10862"/>
    <mergeCell ref="R10863:T10863"/>
    <mergeCell ref="R10864:T10864"/>
    <mergeCell ref="R10865:T10865"/>
    <mergeCell ref="R10866:T10866"/>
    <mergeCell ref="R10857:T10857"/>
    <mergeCell ref="R10858:T10858"/>
    <mergeCell ref="R10859:T10859"/>
    <mergeCell ref="R10860:T10860"/>
    <mergeCell ref="R10861:T10861"/>
    <mergeCell ref="R10852:T10852"/>
    <mergeCell ref="R10853:T10853"/>
    <mergeCell ref="R10854:T10854"/>
    <mergeCell ref="R10855:T10855"/>
    <mergeCell ref="R10856:T10856"/>
    <mergeCell ref="R10847:T10847"/>
    <mergeCell ref="R10848:T10848"/>
    <mergeCell ref="R10849:T10849"/>
    <mergeCell ref="R10850:T10850"/>
    <mergeCell ref="R10851:T10851"/>
    <mergeCell ref="R10842:T10842"/>
    <mergeCell ref="R10843:T10843"/>
    <mergeCell ref="R10844:T10844"/>
    <mergeCell ref="R10845:T10845"/>
    <mergeCell ref="R10846:T10846"/>
    <mergeCell ref="R10837:T10837"/>
    <mergeCell ref="R10838:T10838"/>
    <mergeCell ref="R10839:T10839"/>
    <mergeCell ref="R10840:T10840"/>
    <mergeCell ref="R10841:T10841"/>
    <mergeCell ref="R10832:T10832"/>
    <mergeCell ref="R10833:T10833"/>
    <mergeCell ref="R10834:T10834"/>
    <mergeCell ref="R10835:T10835"/>
    <mergeCell ref="R10836:T10836"/>
    <mergeCell ref="R10827:T10827"/>
    <mergeCell ref="R10828:T10828"/>
    <mergeCell ref="R10829:T10829"/>
    <mergeCell ref="R10830:T10830"/>
    <mergeCell ref="R10831:T10831"/>
    <mergeCell ref="R10822:T10822"/>
    <mergeCell ref="R10823:T10823"/>
    <mergeCell ref="R10824:T10824"/>
    <mergeCell ref="R10825:T10825"/>
    <mergeCell ref="R10826:T10826"/>
    <mergeCell ref="R10817:T10817"/>
    <mergeCell ref="R10818:T10818"/>
    <mergeCell ref="R10819:T10819"/>
    <mergeCell ref="R10820:T10820"/>
    <mergeCell ref="R10821:T10821"/>
    <mergeCell ref="R10812:T10812"/>
    <mergeCell ref="R10813:T10813"/>
    <mergeCell ref="R10814:T10814"/>
    <mergeCell ref="R10815:T10815"/>
    <mergeCell ref="R10816:T10816"/>
    <mergeCell ref="R10807:T10807"/>
    <mergeCell ref="R10808:T10808"/>
    <mergeCell ref="R10809:T10809"/>
    <mergeCell ref="R10810:T10810"/>
    <mergeCell ref="R10811:T10811"/>
    <mergeCell ref="R10802:T10802"/>
    <mergeCell ref="R10803:T10803"/>
    <mergeCell ref="R10804:T10804"/>
    <mergeCell ref="R10805:T10805"/>
    <mergeCell ref="R10806:T10806"/>
    <mergeCell ref="R10797:T10797"/>
    <mergeCell ref="R10798:T10798"/>
    <mergeCell ref="R10799:T10799"/>
    <mergeCell ref="R10800:T10800"/>
    <mergeCell ref="R10801:T10801"/>
    <mergeCell ref="R10792:T10792"/>
    <mergeCell ref="R10793:T10793"/>
    <mergeCell ref="R10794:T10794"/>
    <mergeCell ref="R10795:T10795"/>
    <mergeCell ref="R10796:T10796"/>
    <mergeCell ref="R10787:T10787"/>
    <mergeCell ref="R10788:T10788"/>
    <mergeCell ref="R10789:T10789"/>
    <mergeCell ref="R10790:T10790"/>
    <mergeCell ref="R10791:T10791"/>
    <mergeCell ref="R10782:T10782"/>
    <mergeCell ref="R10783:T10783"/>
    <mergeCell ref="R10784:T10784"/>
    <mergeCell ref="R10785:T10785"/>
    <mergeCell ref="R10786:T10786"/>
    <mergeCell ref="R10777:T10777"/>
    <mergeCell ref="R10778:T10778"/>
    <mergeCell ref="R10779:T10779"/>
    <mergeCell ref="R10780:T10780"/>
    <mergeCell ref="R10781:T10781"/>
    <mergeCell ref="R10772:T10772"/>
    <mergeCell ref="R10773:T10773"/>
    <mergeCell ref="R10774:T10774"/>
    <mergeCell ref="R10775:T10775"/>
    <mergeCell ref="R10776:T10776"/>
    <mergeCell ref="R10767:T10767"/>
    <mergeCell ref="R10768:T10768"/>
    <mergeCell ref="R10769:T10769"/>
    <mergeCell ref="R10770:T10770"/>
    <mergeCell ref="R10771:T10771"/>
    <mergeCell ref="R10762:T10762"/>
    <mergeCell ref="R10763:T10763"/>
    <mergeCell ref="R10764:T10764"/>
    <mergeCell ref="R10765:T10765"/>
    <mergeCell ref="R10766:T10766"/>
    <mergeCell ref="R10757:T10757"/>
    <mergeCell ref="R10758:T10758"/>
    <mergeCell ref="R10759:T10759"/>
    <mergeCell ref="R10760:T10760"/>
    <mergeCell ref="R10761:T10761"/>
    <mergeCell ref="R10752:T10752"/>
    <mergeCell ref="R10753:T10753"/>
    <mergeCell ref="R10754:T10754"/>
    <mergeCell ref="R10755:T10755"/>
    <mergeCell ref="R10756:T10756"/>
    <mergeCell ref="R10747:T10747"/>
    <mergeCell ref="R10748:T10748"/>
    <mergeCell ref="R10749:T10749"/>
    <mergeCell ref="R10750:T10750"/>
    <mergeCell ref="R10751:T10751"/>
    <mergeCell ref="R10742:T10742"/>
    <mergeCell ref="R10743:T10743"/>
    <mergeCell ref="R10744:T10744"/>
    <mergeCell ref="R10745:T10745"/>
    <mergeCell ref="R10746:T10746"/>
    <mergeCell ref="R10737:T10737"/>
    <mergeCell ref="R10738:T10738"/>
    <mergeCell ref="R10739:T10739"/>
    <mergeCell ref="R10740:T10740"/>
    <mergeCell ref="R10741:T10741"/>
    <mergeCell ref="R10732:T10732"/>
    <mergeCell ref="R10733:T10733"/>
    <mergeCell ref="R10734:T10734"/>
    <mergeCell ref="R10735:T10735"/>
    <mergeCell ref="R10736:T10736"/>
    <mergeCell ref="R10727:T10727"/>
    <mergeCell ref="R10728:T10728"/>
    <mergeCell ref="R10729:T10729"/>
    <mergeCell ref="R10730:T10730"/>
    <mergeCell ref="R10731:T10731"/>
    <mergeCell ref="R10722:T10722"/>
    <mergeCell ref="R10723:T10723"/>
    <mergeCell ref="R10724:T10724"/>
    <mergeCell ref="R10725:T10725"/>
    <mergeCell ref="R10726:T10726"/>
    <mergeCell ref="R10717:T10717"/>
    <mergeCell ref="R10718:T10718"/>
    <mergeCell ref="R10719:T10719"/>
    <mergeCell ref="R10720:T10720"/>
    <mergeCell ref="R10721:T10721"/>
    <mergeCell ref="R10712:T10712"/>
    <mergeCell ref="R10713:T10713"/>
    <mergeCell ref="R10714:T10714"/>
    <mergeCell ref="R10715:T10715"/>
    <mergeCell ref="R10716:T10716"/>
    <mergeCell ref="R10707:T10707"/>
    <mergeCell ref="R10708:T10708"/>
    <mergeCell ref="R10709:T10709"/>
    <mergeCell ref="R10710:T10710"/>
    <mergeCell ref="R10711:T10711"/>
    <mergeCell ref="R10702:T10702"/>
    <mergeCell ref="R10703:T10703"/>
    <mergeCell ref="R10704:T10704"/>
    <mergeCell ref="R10705:T10705"/>
    <mergeCell ref="R10706:T10706"/>
    <mergeCell ref="R10697:T10697"/>
    <mergeCell ref="R10698:T10698"/>
    <mergeCell ref="R10699:T10699"/>
    <mergeCell ref="R10700:T10700"/>
    <mergeCell ref="R10701:T10701"/>
    <mergeCell ref="R10692:T10692"/>
    <mergeCell ref="R10693:T10693"/>
    <mergeCell ref="R10694:T10694"/>
    <mergeCell ref="R10695:T10695"/>
    <mergeCell ref="R10696:T10696"/>
    <mergeCell ref="R10687:T10687"/>
    <mergeCell ref="R10688:T10688"/>
    <mergeCell ref="R10689:T10689"/>
    <mergeCell ref="R10690:T10690"/>
    <mergeCell ref="R10691:T10691"/>
    <mergeCell ref="R10682:T10682"/>
    <mergeCell ref="R10683:T10683"/>
    <mergeCell ref="R10684:T10684"/>
    <mergeCell ref="R10685:T10685"/>
    <mergeCell ref="R10686:T10686"/>
    <mergeCell ref="R10677:T10677"/>
    <mergeCell ref="R10678:T10678"/>
    <mergeCell ref="R10679:T10679"/>
    <mergeCell ref="R10680:T10680"/>
    <mergeCell ref="R10681:T10681"/>
    <mergeCell ref="R10672:T10672"/>
    <mergeCell ref="R10673:T10673"/>
    <mergeCell ref="R10674:T10674"/>
    <mergeCell ref="R10675:T10675"/>
    <mergeCell ref="R10676:T10676"/>
    <mergeCell ref="R10667:T10667"/>
    <mergeCell ref="R10668:T10668"/>
    <mergeCell ref="R10669:T10669"/>
    <mergeCell ref="R10670:T10670"/>
    <mergeCell ref="R10671:T10671"/>
    <mergeCell ref="R10662:T10662"/>
    <mergeCell ref="R10663:T10663"/>
    <mergeCell ref="R10664:T10664"/>
    <mergeCell ref="R10665:T10665"/>
    <mergeCell ref="R10666:T10666"/>
    <mergeCell ref="R10657:T10657"/>
    <mergeCell ref="R10658:T10658"/>
    <mergeCell ref="R10659:T10659"/>
    <mergeCell ref="R10660:T10660"/>
    <mergeCell ref="R10661:T10661"/>
    <mergeCell ref="R10652:T10652"/>
    <mergeCell ref="R10653:T10653"/>
    <mergeCell ref="R10654:T10654"/>
    <mergeCell ref="R10655:T10655"/>
    <mergeCell ref="R10656:T10656"/>
    <mergeCell ref="R10647:T10647"/>
    <mergeCell ref="R10648:T10648"/>
    <mergeCell ref="R10649:T10649"/>
    <mergeCell ref="R10650:T10650"/>
    <mergeCell ref="R10651:T10651"/>
    <mergeCell ref="R10642:T10642"/>
    <mergeCell ref="R10643:T10643"/>
    <mergeCell ref="R10644:T10644"/>
    <mergeCell ref="R10645:T10645"/>
    <mergeCell ref="R10646:T10646"/>
    <mergeCell ref="R10637:T10637"/>
    <mergeCell ref="R10638:T10638"/>
    <mergeCell ref="R10639:T10639"/>
    <mergeCell ref="R10640:T10640"/>
    <mergeCell ref="R10641:T10641"/>
    <mergeCell ref="R10632:T10632"/>
    <mergeCell ref="R10633:T10633"/>
    <mergeCell ref="R10634:T10634"/>
    <mergeCell ref="R10635:T10635"/>
    <mergeCell ref="R10636:T10636"/>
    <mergeCell ref="R10627:T10627"/>
    <mergeCell ref="R10628:T10628"/>
    <mergeCell ref="R10629:T10629"/>
    <mergeCell ref="R10630:T10630"/>
    <mergeCell ref="R10631:T10631"/>
    <mergeCell ref="R10622:T10622"/>
    <mergeCell ref="R10623:T10623"/>
    <mergeCell ref="R10624:T10624"/>
    <mergeCell ref="R10625:T10625"/>
    <mergeCell ref="R10626:T10626"/>
    <mergeCell ref="R10617:T10617"/>
    <mergeCell ref="R10618:T10618"/>
    <mergeCell ref="R10619:T10619"/>
    <mergeCell ref="R10620:T10620"/>
    <mergeCell ref="R10621:T10621"/>
    <mergeCell ref="R10612:T10612"/>
    <mergeCell ref="R10613:T10613"/>
    <mergeCell ref="R10614:T10614"/>
    <mergeCell ref="R10615:T10615"/>
    <mergeCell ref="R10616:T10616"/>
    <mergeCell ref="R10607:T10607"/>
    <mergeCell ref="R10608:T10608"/>
    <mergeCell ref="R10609:T10609"/>
    <mergeCell ref="R10610:T10610"/>
    <mergeCell ref="R10611:T10611"/>
    <mergeCell ref="R10602:T10602"/>
    <mergeCell ref="R10603:T10603"/>
    <mergeCell ref="R10604:T10604"/>
    <mergeCell ref="R10605:T10605"/>
    <mergeCell ref="R10606:T10606"/>
    <mergeCell ref="R10597:T10597"/>
    <mergeCell ref="R10598:T10598"/>
    <mergeCell ref="R10599:T10599"/>
    <mergeCell ref="R10600:T10600"/>
    <mergeCell ref="R10601:T10601"/>
    <mergeCell ref="R10592:T10592"/>
    <mergeCell ref="R10593:T10593"/>
    <mergeCell ref="R10594:T10594"/>
    <mergeCell ref="R10595:T10595"/>
    <mergeCell ref="R10596:T10596"/>
    <mergeCell ref="R10587:T10587"/>
    <mergeCell ref="R10588:T10588"/>
    <mergeCell ref="R10589:T10589"/>
    <mergeCell ref="R10590:T10590"/>
    <mergeCell ref="R10591:T10591"/>
    <mergeCell ref="R10582:T10582"/>
    <mergeCell ref="R10583:T10583"/>
    <mergeCell ref="R10584:T10584"/>
    <mergeCell ref="R10585:T10585"/>
    <mergeCell ref="R10586:T10586"/>
    <mergeCell ref="R10577:T10577"/>
    <mergeCell ref="R10578:T10578"/>
    <mergeCell ref="R10579:T10579"/>
    <mergeCell ref="R10580:T10580"/>
    <mergeCell ref="R10581:T10581"/>
    <mergeCell ref="R10572:T10572"/>
    <mergeCell ref="R10573:T10573"/>
    <mergeCell ref="R10574:T10574"/>
    <mergeCell ref="R10575:T10575"/>
    <mergeCell ref="R10576:T10576"/>
    <mergeCell ref="R10567:T10567"/>
    <mergeCell ref="R10568:T10568"/>
    <mergeCell ref="R10569:T10569"/>
    <mergeCell ref="R10570:T10570"/>
    <mergeCell ref="R10571:T10571"/>
    <mergeCell ref="R10562:T10562"/>
    <mergeCell ref="R10563:T10563"/>
    <mergeCell ref="R10564:T10564"/>
    <mergeCell ref="R10565:T10565"/>
    <mergeCell ref="R10566:T10566"/>
    <mergeCell ref="R10557:T10557"/>
    <mergeCell ref="R10558:T10558"/>
    <mergeCell ref="R10559:T10559"/>
    <mergeCell ref="R10560:T10560"/>
    <mergeCell ref="R10561:T10561"/>
    <mergeCell ref="R10552:T10552"/>
    <mergeCell ref="R10553:T10553"/>
    <mergeCell ref="R10554:T10554"/>
    <mergeCell ref="R10555:T10555"/>
    <mergeCell ref="R10556:T10556"/>
    <mergeCell ref="R10547:T10547"/>
    <mergeCell ref="R10548:T10548"/>
    <mergeCell ref="R10549:T10549"/>
    <mergeCell ref="R10550:T10550"/>
    <mergeCell ref="R10551:T10551"/>
    <mergeCell ref="R10542:T10542"/>
    <mergeCell ref="R10543:T10543"/>
    <mergeCell ref="R10544:T10544"/>
    <mergeCell ref="R10545:T10545"/>
    <mergeCell ref="R10546:T10546"/>
    <mergeCell ref="R10537:T10537"/>
    <mergeCell ref="R10538:T10538"/>
    <mergeCell ref="R10539:T10539"/>
    <mergeCell ref="R10540:T10540"/>
    <mergeCell ref="R10541:T10541"/>
    <mergeCell ref="R10532:T10532"/>
    <mergeCell ref="R10533:T10533"/>
    <mergeCell ref="R10534:T10534"/>
    <mergeCell ref="R10535:T10535"/>
    <mergeCell ref="R10536:T10536"/>
    <mergeCell ref="R10527:T10527"/>
    <mergeCell ref="R10528:T10528"/>
    <mergeCell ref="R10529:T10529"/>
    <mergeCell ref="R10530:T10530"/>
    <mergeCell ref="R10531:T10531"/>
    <mergeCell ref="R10522:T10522"/>
    <mergeCell ref="R10523:T10523"/>
    <mergeCell ref="R10524:T10524"/>
    <mergeCell ref="R10525:T10525"/>
    <mergeCell ref="R10526:T10526"/>
    <mergeCell ref="R10517:T10517"/>
    <mergeCell ref="R10518:T10518"/>
    <mergeCell ref="R10519:T10519"/>
    <mergeCell ref="R10520:T10520"/>
    <mergeCell ref="R10521:T10521"/>
    <mergeCell ref="R10512:T10512"/>
    <mergeCell ref="R10513:T10513"/>
    <mergeCell ref="R10514:T10514"/>
    <mergeCell ref="R10515:T10515"/>
    <mergeCell ref="R10516:T10516"/>
    <mergeCell ref="R10507:T10507"/>
    <mergeCell ref="R10508:T10508"/>
    <mergeCell ref="R10509:T10509"/>
    <mergeCell ref="R10510:T10510"/>
    <mergeCell ref="R10511:T10511"/>
    <mergeCell ref="R10502:T10502"/>
    <mergeCell ref="R10503:T10503"/>
    <mergeCell ref="R10504:T10504"/>
    <mergeCell ref="R10505:T10505"/>
    <mergeCell ref="R10506:T10506"/>
    <mergeCell ref="R10497:T10497"/>
    <mergeCell ref="R10498:T10498"/>
    <mergeCell ref="R10499:T10499"/>
    <mergeCell ref="R10500:T10500"/>
    <mergeCell ref="R10501:T10501"/>
    <mergeCell ref="R10492:T10492"/>
    <mergeCell ref="R10493:T10493"/>
    <mergeCell ref="R10494:T10494"/>
    <mergeCell ref="R10495:T10495"/>
    <mergeCell ref="R10496:T10496"/>
    <mergeCell ref="R10487:T10487"/>
    <mergeCell ref="R10488:T10488"/>
    <mergeCell ref="R10489:T10489"/>
    <mergeCell ref="R10490:T10490"/>
    <mergeCell ref="R10491:T10491"/>
    <mergeCell ref="R10482:T10482"/>
    <mergeCell ref="R10483:T10483"/>
    <mergeCell ref="R10484:T10484"/>
    <mergeCell ref="R10485:T10485"/>
    <mergeCell ref="R10486:T10486"/>
    <mergeCell ref="R10477:T10477"/>
    <mergeCell ref="R10478:T10478"/>
    <mergeCell ref="R10479:T10479"/>
    <mergeCell ref="R10480:T10480"/>
    <mergeCell ref="R10481:T10481"/>
    <mergeCell ref="R10472:T10472"/>
    <mergeCell ref="R10473:T10473"/>
    <mergeCell ref="R10474:T10474"/>
    <mergeCell ref="R10475:T10475"/>
    <mergeCell ref="R10476:T10476"/>
    <mergeCell ref="R10467:T10467"/>
    <mergeCell ref="R10468:T10468"/>
    <mergeCell ref="R10469:T10469"/>
    <mergeCell ref="R10470:T10470"/>
    <mergeCell ref="R10471:T10471"/>
    <mergeCell ref="R10462:T10462"/>
    <mergeCell ref="R10463:T10463"/>
    <mergeCell ref="R10464:T10464"/>
    <mergeCell ref="R10465:T10465"/>
    <mergeCell ref="R10466:T10466"/>
    <mergeCell ref="R10457:T10457"/>
    <mergeCell ref="R10458:T10458"/>
    <mergeCell ref="R10459:T10459"/>
    <mergeCell ref="R10460:T10460"/>
    <mergeCell ref="R10461:T10461"/>
    <mergeCell ref="R10452:T10452"/>
    <mergeCell ref="R10453:T10453"/>
    <mergeCell ref="R10454:T10454"/>
    <mergeCell ref="R10455:T10455"/>
    <mergeCell ref="R10456:T10456"/>
    <mergeCell ref="R10447:T10447"/>
    <mergeCell ref="R10448:T10448"/>
    <mergeCell ref="R10449:T10449"/>
    <mergeCell ref="R10450:T10450"/>
    <mergeCell ref="R10451:T10451"/>
    <mergeCell ref="R10442:T10442"/>
    <mergeCell ref="R10443:T10443"/>
    <mergeCell ref="R10444:T10444"/>
    <mergeCell ref="R10445:T10445"/>
    <mergeCell ref="R10446:T10446"/>
    <mergeCell ref="R10437:T10437"/>
    <mergeCell ref="R10438:T10438"/>
    <mergeCell ref="R10439:T10439"/>
    <mergeCell ref="R10440:T10440"/>
    <mergeCell ref="R10441:T10441"/>
    <mergeCell ref="R10432:T10432"/>
    <mergeCell ref="R10433:T10433"/>
    <mergeCell ref="R10434:T10434"/>
    <mergeCell ref="R10435:T10435"/>
    <mergeCell ref="R10436:T10436"/>
    <mergeCell ref="R10427:T10427"/>
    <mergeCell ref="R10428:T10428"/>
    <mergeCell ref="R10429:T10429"/>
    <mergeCell ref="R10430:T10430"/>
    <mergeCell ref="R10431:T10431"/>
    <mergeCell ref="R10422:T10422"/>
    <mergeCell ref="R10423:T10423"/>
    <mergeCell ref="R10424:T10424"/>
    <mergeCell ref="R10425:T10425"/>
    <mergeCell ref="R10426:T10426"/>
    <mergeCell ref="R10417:T10417"/>
    <mergeCell ref="R10418:T10418"/>
    <mergeCell ref="R10419:T10419"/>
    <mergeCell ref="R10420:T10420"/>
    <mergeCell ref="R10421:T10421"/>
    <mergeCell ref="R10412:T10412"/>
    <mergeCell ref="R10413:T10413"/>
    <mergeCell ref="R10414:T10414"/>
    <mergeCell ref="R10415:T10415"/>
    <mergeCell ref="R10416:T10416"/>
    <mergeCell ref="R10407:T10407"/>
    <mergeCell ref="R10408:T10408"/>
    <mergeCell ref="R10409:T10409"/>
    <mergeCell ref="R10410:T10410"/>
    <mergeCell ref="R10411:T10411"/>
    <mergeCell ref="R10402:T10402"/>
    <mergeCell ref="R10403:T10403"/>
    <mergeCell ref="R10404:T10404"/>
    <mergeCell ref="R10405:T10405"/>
    <mergeCell ref="R10406:T10406"/>
    <mergeCell ref="R10397:T10397"/>
    <mergeCell ref="R10398:T10398"/>
    <mergeCell ref="R10399:T10399"/>
    <mergeCell ref="R10400:T10400"/>
    <mergeCell ref="R10401:T10401"/>
    <mergeCell ref="R10392:T10392"/>
    <mergeCell ref="R10393:T10393"/>
    <mergeCell ref="R10394:T10394"/>
    <mergeCell ref="R10395:T10395"/>
    <mergeCell ref="R10396:T10396"/>
    <mergeCell ref="R10387:T10387"/>
    <mergeCell ref="R10388:T10388"/>
    <mergeCell ref="R10389:T10389"/>
    <mergeCell ref="R10390:T10390"/>
    <mergeCell ref="R10391:T10391"/>
    <mergeCell ref="R10382:T10382"/>
    <mergeCell ref="R10383:T10383"/>
    <mergeCell ref="R10384:T10384"/>
    <mergeCell ref="R10385:T10385"/>
    <mergeCell ref="R10386:T10386"/>
    <mergeCell ref="R10377:T10377"/>
    <mergeCell ref="R10378:T10378"/>
    <mergeCell ref="R10379:T10379"/>
    <mergeCell ref="R10380:T10380"/>
    <mergeCell ref="R10381:T10381"/>
    <mergeCell ref="R10372:T10372"/>
    <mergeCell ref="R10373:T10373"/>
    <mergeCell ref="R10374:T10374"/>
    <mergeCell ref="R10375:T10375"/>
    <mergeCell ref="R10376:T10376"/>
    <mergeCell ref="R10367:T10367"/>
    <mergeCell ref="R10368:T10368"/>
    <mergeCell ref="R10369:T10369"/>
    <mergeCell ref="R10370:T10370"/>
    <mergeCell ref="R10371:T10371"/>
    <mergeCell ref="R10362:T10362"/>
    <mergeCell ref="R10363:T10363"/>
    <mergeCell ref="R10364:T10364"/>
    <mergeCell ref="R10365:T10365"/>
    <mergeCell ref="R10366:T10366"/>
    <mergeCell ref="R10357:T10357"/>
    <mergeCell ref="R10358:T10358"/>
    <mergeCell ref="R10359:T10359"/>
    <mergeCell ref="R10360:T10360"/>
    <mergeCell ref="R10361:T10361"/>
    <mergeCell ref="R10352:T10352"/>
    <mergeCell ref="R10353:T10353"/>
    <mergeCell ref="R10354:T10354"/>
    <mergeCell ref="R10355:T10355"/>
    <mergeCell ref="R10356:T10356"/>
    <mergeCell ref="R10347:T10347"/>
    <mergeCell ref="R10348:T10348"/>
    <mergeCell ref="R10349:T10349"/>
    <mergeCell ref="R10350:T10350"/>
    <mergeCell ref="R10351:T10351"/>
    <mergeCell ref="R10342:T10342"/>
    <mergeCell ref="R10343:T10343"/>
    <mergeCell ref="R10344:T10344"/>
    <mergeCell ref="R10345:T10345"/>
    <mergeCell ref="R10346:T10346"/>
    <mergeCell ref="R10337:T10337"/>
    <mergeCell ref="R10338:T10338"/>
    <mergeCell ref="R10339:T10339"/>
    <mergeCell ref="R10340:T10340"/>
    <mergeCell ref="R10341:T10341"/>
    <mergeCell ref="R10332:T10332"/>
    <mergeCell ref="R10333:T10333"/>
    <mergeCell ref="R10334:T10334"/>
    <mergeCell ref="R10335:T10335"/>
    <mergeCell ref="R10336:T10336"/>
    <mergeCell ref="R10327:T10327"/>
    <mergeCell ref="R10328:T10328"/>
    <mergeCell ref="R10329:T10329"/>
    <mergeCell ref="R10330:T10330"/>
    <mergeCell ref="R10331:T10331"/>
    <mergeCell ref="R10322:T10322"/>
    <mergeCell ref="R10323:T10323"/>
    <mergeCell ref="R10324:T10324"/>
    <mergeCell ref="R10325:T10325"/>
    <mergeCell ref="R10326:T10326"/>
    <mergeCell ref="R10317:T10317"/>
    <mergeCell ref="R10318:T10318"/>
    <mergeCell ref="R10319:T10319"/>
    <mergeCell ref="R10320:T10320"/>
    <mergeCell ref="R10321:T10321"/>
    <mergeCell ref="R10312:T10312"/>
    <mergeCell ref="R10313:T10313"/>
    <mergeCell ref="R10314:T10314"/>
    <mergeCell ref="R10315:T10315"/>
    <mergeCell ref="R10316:T10316"/>
    <mergeCell ref="R10307:T10307"/>
    <mergeCell ref="R10308:T10308"/>
    <mergeCell ref="R10309:T10309"/>
    <mergeCell ref="R10310:T10310"/>
    <mergeCell ref="R10311:T10311"/>
    <mergeCell ref="R10302:T10302"/>
    <mergeCell ref="R10303:T10303"/>
    <mergeCell ref="R10304:T10304"/>
    <mergeCell ref="R10305:T10305"/>
    <mergeCell ref="R10306:T10306"/>
    <mergeCell ref="R10297:T10297"/>
    <mergeCell ref="R10298:T10298"/>
    <mergeCell ref="R10299:T10299"/>
    <mergeCell ref="R10300:T10300"/>
    <mergeCell ref="R10301:T10301"/>
    <mergeCell ref="R10292:T10292"/>
    <mergeCell ref="R10293:T10293"/>
    <mergeCell ref="R10294:T10294"/>
    <mergeCell ref="R10295:T10295"/>
    <mergeCell ref="R10296:T10296"/>
    <mergeCell ref="R10287:T10287"/>
    <mergeCell ref="R10288:T10288"/>
    <mergeCell ref="R10289:T10289"/>
    <mergeCell ref="R10290:T10290"/>
    <mergeCell ref="R10291:T10291"/>
    <mergeCell ref="R10282:T10282"/>
    <mergeCell ref="R10283:T10283"/>
    <mergeCell ref="R10284:T10284"/>
    <mergeCell ref="R10285:T10285"/>
    <mergeCell ref="R10286:T10286"/>
    <mergeCell ref="R10277:T10277"/>
    <mergeCell ref="R10278:T10278"/>
    <mergeCell ref="R10279:T10279"/>
    <mergeCell ref="R10280:T10280"/>
    <mergeCell ref="R10281:T10281"/>
    <mergeCell ref="R10272:T10272"/>
    <mergeCell ref="R10273:T10273"/>
    <mergeCell ref="R10274:T10274"/>
    <mergeCell ref="R10275:T10275"/>
    <mergeCell ref="R10276:T10276"/>
    <mergeCell ref="R10267:T10267"/>
    <mergeCell ref="R10268:T10268"/>
    <mergeCell ref="R10269:T10269"/>
    <mergeCell ref="R10270:T10270"/>
    <mergeCell ref="R10271:T10271"/>
    <mergeCell ref="R10262:T10262"/>
    <mergeCell ref="R10263:T10263"/>
    <mergeCell ref="R10264:T10264"/>
    <mergeCell ref="R10265:T10265"/>
    <mergeCell ref="R10266:T10266"/>
    <mergeCell ref="R10257:T10257"/>
    <mergeCell ref="R10258:T10258"/>
    <mergeCell ref="R10259:T10259"/>
    <mergeCell ref="R10260:T10260"/>
    <mergeCell ref="R10261:T10261"/>
    <mergeCell ref="R10252:T10252"/>
    <mergeCell ref="R10253:T10253"/>
    <mergeCell ref="R10254:T10254"/>
    <mergeCell ref="R10255:T10255"/>
    <mergeCell ref="R10256:T10256"/>
    <mergeCell ref="R10247:T10247"/>
    <mergeCell ref="R10248:T10248"/>
    <mergeCell ref="R10249:T10249"/>
    <mergeCell ref="R10250:T10250"/>
    <mergeCell ref="R10251:T10251"/>
    <mergeCell ref="R10242:T10242"/>
    <mergeCell ref="R10243:T10243"/>
    <mergeCell ref="R10244:T10244"/>
    <mergeCell ref="R10245:T10245"/>
    <mergeCell ref="R10246:T10246"/>
    <mergeCell ref="R10237:T10237"/>
    <mergeCell ref="R10238:T10238"/>
    <mergeCell ref="R10239:T10239"/>
    <mergeCell ref="R10240:T10240"/>
    <mergeCell ref="R10241:T10241"/>
    <mergeCell ref="R10232:T10232"/>
    <mergeCell ref="R10233:T10233"/>
    <mergeCell ref="R10234:T10234"/>
    <mergeCell ref="R10235:T10235"/>
    <mergeCell ref="R10236:T10236"/>
    <mergeCell ref="R10227:T10227"/>
    <mergeCell ref="R10228:T10228"/>
    <mergeCell ref="R10229:T10229"/>
    <mergeCell ref="R10230:T10230"/>
    <mergeCell ref="R10231:T10231"/>
    <mergeCell ref="R10222:T10222"/>
    <mergeCell ref="R10223:T10223"/>
    <mergeCell ref="R10224:T10224"/>
    <mergeCell ref="R10225:T10225"/>
    <mergeCell ref="R10226:T10226"/>
    <mergeCell ref="R10217:T10217"/>
    <mergeCell ref="R10218:T10218"/>
    <mergeCell ref="R10219:T10219"/>
    <mergeCell ref="R10220:T10220"/>
    <mergeCell ref="R10221:T10221"/>
    <mergeCell ref="R10212:T10212"/>
    <mergeCell ref="R10213:T10213"/>
    <mergeCell ref="R10214:T10214"/>
    <mergeCell ref="R10215:T10215"/>
    <mergeCell ref="R10216:T10216"/>
    <mergeCell ref="R10207:T10207"/>
    <mergeCell ref="R10208:T10208"/>
    <mergeCell ref="R10209:T10209"/>
    <mergeCell ref="R10210:T10210"/>
    <mergeCell ref="R10211:T10211"/>
    <mergeCell ref="R10202:T10202"/>
    <mergeCell ref="R10203:T10203"/>
    <mergeCell ref="R10204:T10204"/>
    <mergeCell ref="R10205:T10205"/>
    <mergeCell ref="R10206:T10206"/>
    <mergeCell ref="R10197:T10197"/>
    <mergeCell ref="R10198:T10198"/>
    <mergeCell ref="R10199:T10199"/>
    <mergeCell ref="R10200:T10200"/>
    <mergeCell ref="R10201:T10201"/>
    <mergeCell ref="R10192:T10192"/>
    <mergeCell ref="R10193:T10193"/>
    <mergeCell ref="R10194:T10194"/>
    <mergeCell ref="R10195:T10195"/>
    <mergeCell ref="R10196:T10196"/>
    <mergeCell ref="R10187:T10187"/>
    <mergeCell ref="R10188:T10188"/>
    <mergeCell ref="R10189:T10189"/>
    <mergeCell ref="R10190:T10190"/>
    <mergeCell ref="R10191:T10191"/>
    <mergeCell ref="R10182:T10182"/>
    <mergeCell ref="R10183:T10183"/>
    <mergeCell ref="R10184:T10184"/>
    <mergeCell ref="R10185:T10185"/>
    <mergeCell ref="R10186:T10186"/>
    <mergeCell ref="R10177:T10177"/>
    <mergeCell ref="R10178:T10178"/>
    <mergeCell ref="R10179:T10179"/>
    <mergeCell ref="R10180:T10180"/>
    <mergeCell ref="R10181:T10181"/>
    <mergeCell ref="R10172:T10172"/>
    <mergeCell ref="R10173:T10173"/>
    <mergeCell ref="R10174:T10174"/>
    <mergeCell ref="R10175:T10175"/>
    <mergeCell ref="R10176:T10176"/>
    <mergeCell ref="R10167:T10167"/>
    <mergeCell ref="R10168:T10168"/>
    <mergeCell ref="R10169:T10169"/>
    <mergeCell ref="R10170:T10170"/>
    <mergeCell ref="R10171:T10171"/>
    <mergeCell ref="R10162:T10162"/>
    <mergeCell ref="R10163:T10163"/>
    <mergeCell ref="R10164:T10164"/>
    <mergeCell ref="R10165:T10165"/>
    <mergeCell ref="R10166:T10166"/>
    <mergeCell ref="R10157:T10157"/>
    <mergeCell ref="R10158:T10158"/>
    <mergeCell ref="R10159:T10159"/>
    <mergeCell ref="R10160:T10160"/>
    <mergeCell ref="R10161:T10161"/>
    <mergeCell ref="R10152:T10152"/>
    <mergeCell ref="R10153:T10153"/>
    <mergeCell ref="R10154:T10154"/>
    <mergeCell ref="R10155:T10155"/>
    <mergeCell ref="R10156:T10156"/>
    <mergeCell ref="R10147:T10147"/>
    <mergeCell ref="R10148:T10148"/>
    <mergeCell ref="R10149:T10149"/>
    <mergeCell ref="R10150:T10150"/>
    <mergeCell ref="R10151:T10151"/>
    <mergeCell ref="R10142:T10142"/>
    <mergeCell ref="R10143:T10143"/>
    <mergeCell ref="R10144:T10144"/>
    <mergeCell ref="R10145:T10145"/>
    <mergeCell ref="R10146:T10146"/>
    <mergeCell ref="R10137:T10137"/>
    <mergeCell ref="R10138:T10138"/>
    <mergeCell ref="R10139:T10139"/>
    <mergeCell ref="R10140:T10140"/>
    <mergeCell ref="R10141:T10141"/>
    <mergeCell ref="R10132:T10132"/>
    <mergeCell ref="R10133:T10133"/>
    <mergeCell ref="R10134:T10134"/>
    <mergeCell ref="R10135:T10135"/>
    <mergeCell ref="R10136:T10136"/>
    <mergeCell ref="R10127:T10127"/>
    <mergeCell ref="R10128:T10128"/>
    <mergeCell ref="R10129:T10129"/>
    <mergeCell ref="R10130:T10130"/>
    <mergeCell ref="R10131:T10131"/>
    <mergeCell ref="R10122:T10122"/>
    <mergeCell ref="R10123:T10123"/>
    <mergeCell ref="R10124:T10124"/>
    <mergeCell ref="R10125:T10125"/>
    <mergeCell ref="R10126:T10126"/>
    <mergeCell ref="R10117:T10117"/>
    <mergeCell ref="R10118:T10118"/>
    <mergeCell ref="R10119:T10119"/>
    <mergeCell ref="R10120:T10120"/>
    <mergeCell ref="R10121:T10121"/>
    <mergeCell ref="R10112:T10112"/>
    <mergeCell ref="R10113:T10113"/>
    <mergeCell ref="R10114:T10114"/>
    <mergeCell ref="R10115:T10115"/>
    <mergeCell ref="R10116:T10116"/>
    <mergeCell ref="R10107:T10107"/>
    <mergeCell ref="R10108:T10108"/>
    <mergeCell ref="R10109:T10109"/>
    <mergeCell ref="R10110:T10110"/>
    <mergeCell ref="R10111:T10111"/>
    <mergeCell ref="R10102:T10102"/>
    <mergeCell ref="R10103:T10103"/>
    <mergeCell ref="R10104:T10104"/>
    <mergeCell ref="R10105:T10105"/>
    <mergeCell ref="R10106:T10106"/>
    <mergeCell ref="R10097:T10097"/>
    <mergeCell ref="R10098:T10098"/>
    <mergeCell ref="R10099:T10099"/>
    <mergeCell ref="R10100:T10100"/>
    <mergeCell ref="R10101:T10101"/>
    <mergeCell ref="R10092:T10092"/>
    <mergeCell ref="R10093:T10093"/>
    <mergeCell ref="R10094:T10094"/>
    <mergeCell ref="R10095:T10095"/>
    <mergeCell ref="R10096:T10096"/>
    <mergeCell ref="R10087:T10087"/>
    <mergeCell ref="R10088:T10088"/>
    <mergeCell ref="R10089:T10089"/>
    <mergeCell ref="R10090:T10090"/>
    <mergeCell ref="R10091:T10091"/>
    <mergeCell ref="R10082:T10082"/>
    <mergeCell ref="R10083:T10083"/>
    <mergeCell ref="R10084:T10084"/>
    <mergeCell ref="R10085:T10085"/>
    <mergeCell ref="R10086:T10086"/>
    <mergeCell ref="R10077:T10077"/>
    <mergeCell ref="R10078:T10078"/>
    <mergeCell ref="R10079:T10079"/>
    <mergeCell ref="R10080:T10080"/>
    <mergeCell ref="R10081:T10081"/>
    <mergeCell ref="R10072:T10072"/>
    <mergeCell ref="R10073:T10073"/>
    <mergeCell ref="R10074:T10074"/>
    <mergeCell ref="R10075:T10075"/>
    <mergeCell ref="R10076:T10076"/>
    <mergeCell ref="R10067:T10067"/>
    <mergeCell ref="R10068:T10068"/>
    <mergeCell ref="R10069:T10069"/>
    <mergeCell ref="R10070:T10070"/>
    <mergeCell ref="R10071:T10071"/>
    <mergeCell ref="R10062:T10062"/>
    <mergeCell ref="R10063:T10063"/>
    <mergeCell ref="R10064:T10064"/>
    <mergeCell ref="R10065:T10065"/>
    <mergeCell ref="R10066:T10066"/>
    <mergeCell ref="R10057:T10057"/>
    <mergeCell ref="R10058:T10058"/>
    <mergeCell ref="R10059:T10059"/>
    <mergeCell ref="R10060:T10060"/>
    <mergeCell ref="R10061:T10061"/>
    <mergeCell ref="R10052:T10052"/>
    <mergeCell ref="R10053:T10053"/>
    <mergeCell ref="R10054:T10054"/>
    <mergeCell ref="R10055:T10055"/>
    <mergeCell ref="R10056:T10056"/>
    <mergeCell ref="R10047:T10047"/>
    <mergeCell ref="R10048:T10048"/>
    <mergeCell ref="R10049:T10049"/>
    <mergeCell ref="R10050:T10050"/>
    <mergeCell ref="R10051:T10051"/>
    <mergeCell ref="R10042:T10042"/>
    <mergeCell ref="R10043:T10043"/>
    <mergeCell ref="R10044:T10044"/>
    <mergeCell ref="R10045:T10045"/>
    <mergeCell ref="R10046:T10046"/>
    <mergeCell ref="R10037:T10037"/>
    <mergeCell ref="R10038:T10038"/>
    <mergeCell ref="R10039:T10039"/>
    <mergeCell ref="R10040:T10040"/>
    <mergeCell ref="R10041:T10041"/>
    <mergeCell ref="R10032:T10032"/>
    <mergeCell ref="R10033:T10033"/>
    <mergeCell ref="R10034:T10034"/>
    <mergeCell ref="R10035:T10035"/>
    <mergeCell ref="R10036:T10036"/>
    <mergeCell ref="R10027:T10027"/>
    <mergeCell ref="R10028:T10028"/>
    <mergeCell ref="R10029:T10029"/>
    <mergeCell ref="R10030:T10030"/>
    <mergeCell ref="R10031:T10031"/>
    <mergeCell ref="R10022:T10022"/>
    <mergeCell ref="R10023:T10023"/>
    <mergeCell ref="R10024:T10024"/>
    <mergeCell ref="R10025:T10025"/>
    <mergeCell ref="R10026:T10026"/>
    <mergeCell ref="R10017:T10017"/>
    <mergeCell ref="R10018:T10018"/>
    <mergeCell ref="R10019:T10019"/>
    <mergeCell ref="R10020:T10020"/>
    <mergeCell ref="R10021:T10021"/>
    <mergeCell ref="R10012:T10012"/>
    <mergeCell ref="R10013:T10013"/>
    <mergeCell ref="R10014:T10014"/>
    <mergeCell ref="R10015:T10015"/>
    <mergeCell ref="R10016:T10016"/>
    <mergeCell ref="R10007:T10007"/>
    <mergeCell ref="R10008:T10008"/>
    <mergeCell ref="R10009:T10009"/>
    <mergeCell ref="R10010:T10010"/>
    <mergeCell ref="R10011:T10011"/>
    <mergeCell ref="R10002:T10002"/>
    <mergeCell ref="R10003:T10003"/>
    <mergeCell ref="R10004:T10004"/>
    <mergeCell ref="R10005:T10005"/>
    <mergeCell ref="R10006:T10006"/>
    <mergeCell ref="R9997:T9997"/>
    <mergeCell ref="R9998:T9998"/>
    <mergeCell ref="R9999:T9999"/>
    <mergeCell ref="R10000:T10000"/>
    <mergeCell ref="R10001:T10001"/>
    <mergeCell ref="R9992:T9992"/>
    <mergeCell ref="R9993:T9993"/>
    <mergeCell ref="R9994:T9994"/>
    <mergeCell ref="R9995:T9995"/>
    <mergeCell ref="R9996:T9996"/>
    <mergeCell ref="R9987:T9987"/>
    <mergeCell ref="R9988:T9988"/>
    <mergeCell ref="R9989:T9989"/>
    <mergeCell ref="R9990:T9990"/>
    <mergeCell ref="R9991:T9991"/>
    <mergeCell ref="R9982:T9982"/>
    <mergeCell ref="R9983:T9983"/>
    <mergeCell ref="R9984:T9984"/>
    <mergeCell ref="R9985:T9985"/>
    <mergeCell ref="R9986:T9986"/>
    <mergeCell ref="R9977:T9977"/>
    <mergeCell ref="R9978:T9978"/>
    <mergeCell ref="R9979:T9979"/>
    <mergeCell ref="R9980:T9980"/>
    <mergeCell ref="R9981:T9981"/>
    <mergeCell ref="R9972:T9972"/>
    <mergeCell ref="R9973:T9973"/>
    <mergeCell ref="R9974:T9974"/>
    <mergeCell ref="R9975:T9975"/>
    <mergeCell ref="R9976:T9976"/>
    <mergeCell ref="R9967:T9967"/>
    <mergeCell ref="R9968:T9968"/>
    <mergeCell ref="R9969:T9969"/>
    <mergeCell ref="R9970:T9970"/>
    <mergeCell ref="R9971:T9971"/>
    <mergeCell ref="R9962:T9962"/>
    <mergeCell ref="R9963:T9963"/>
    <mergeCell ref="R9964:T9964"/>
    <mergeCell ref="R9965:T9965"/>
    <mergeCell ref="R9966:T9966"/>
    <mergeCell ref="R9957:T9957"/>
    <mergeCell ref="R9958:T9958"/>
    <mergeCell ref="R9959:T9959"/>
    <mergeCell ref="R9960:T9960"/>
    <mergeCell ref="R9961:T9961"/>
    <mergeCell ref="R9952:T9952"/>
    <mergeCell ref="R9953:T9953"/>
    <mergeCell ref="R9954:T9954"/>
    <mergeCell ref="R9955:T9955"/>
    <mergeCell ref="R9956:T9956"/>
    <mergeCell ref="R9947:T9947"/>
    <mergeCell ref="R9948:T9948"/>
    <mergeCell ref="R9949:T9949"/>
    <mergeCell ref="R9950:T9950"/>
    <mergeCell ref="R9951:T9951"/>
    <mergeCell ref="R9942:T9942"/>
    <mergeCell ref="R9943:T9943"/>
    <mergeCell ref="R9944:T9944"/>
    <mergeCell ref="R9945:T9945"/>
    <mergeCell ref="R9946:T9946"/>
    <mergeCell ref="R9937:T9937"/>
    <mergeCell ref="R9938:T9938"/>
    <mergeCell ref="R9939:T9939"/>
    <mergeCell ref="R9940:T9940"/>
    <mergeCell ref="R9941:T9941"/>
    <mergeCell ref="R9932:T9932"/>
    <mergeCell ref="R9933:T9933"/>
    <mergeCell ref="R9934:T9934"/>
    <mergeCell ref="R9935:T9935"/>
    <mergeCell ref="R9936:T9936"/>
    <mergeCell ref="R9927:T9927"/>
    <mergeCell ref="R9928:T9928"/>
    <mergeCell ref="R9929:T9929"/>
    <mergeCell ref="R9930:T9930"/>
    <mergeCell ref="R9931:T9931"/>
    <mergeCell ref="R9922:T9922"/>
    <mergeCell ref="R9923:T9923"/>
    <mergeCell ref="R9924:T9924"/>
    <mergeCell ref="R9925:T9925"/>
    <mergeCell ref="R9926:T9926"/>
    <mergeCell ref="R9917:T9917"/>
    <mergeCell ref="R9918:T9918"/>
    <mergeCell ref="R9919:T9919"/>
    <mergeCell ref="R9920:T9920"/>
    <mergeCell ref="R9921:T9921"/>
    <mergeCell ref="R9912:T9912"/>
    <mergeCell ref="R9913:T9913"/>
    <mergeCell ref="R9914:T9914"/>
    <mergeCell ref="R9915:T9915"/>
    <mergeCell ref="R9916:T9916"/>
    <mergeCell ref="R9907:T9907"/>
    <mergeCell ref="R9908:T9908"/>
    <mergeCell ref="R9909:T9909"/>
    <mergeCell ref="R9910:T9910"/>
    <mergeCell ref="R9911:T9911"/>
    <mergeCell ref="R9902:T9902"/>
    <mergeCell ref="R9903:T9903"/>
    <mergeCell ref="R9904:T9904"/>
    <mergeCell ref="R9905:T9905"/>
    <mergeCell ref="R9906:T9906"/>
    <mergeCell ref="R9897:T9897"/>
    <mergeCell ref="R9898:T9898"/>
    <mergeCell ref="R9899:T9899"/>
    <mergeCell ref="R9900:T9900"/>
    <mergeCell ref="R9901:T9901"/>
    <mergeCell ref="R9892:T9892"/>
    <mergeCell ref="R9893:T9893"/>
    <mergeCell ref="R9894:T9894"/>
    <mergeCell ref="R9895:T9895"/>
    <mergeCell ref="R9896:T9896"/>
    <mergeCell ref="R9887:T9887"/>
    <mergeCell ref="R9888:T9888"/>
    <mergeCell ref="R9889:T9889"/>
    <mergeCell ref="R9890:T9890"/>
    <mergeCell ref="R9891:T9891"/>
    <mergeCell ref="R9882:T9882"/>
    <mergeCell ref="R9883:T9883"/>
    <mergeCell ref="R9884:T9884"/>
    <mergeCell ref="R9885:T9885"/>
    <mergeCell ref="R9886:T9886"/>
    <mergeCell ref="R9877:T9877"/>
    <mergeCell ref="R9878:T9878"/>
    <mergeCell ref="R9879:T9879"/>
    <mergeCell ref="R9880:T9880"/>
    <mergeCell ref="R9881:T9881"/>
    <mergeCell ref="R9872:T9872"/>
    <mergeCell ref="R9873:T9873"/>
    <mergeCell ref="R9874:T9874"/>
    <mergeCell ref="R9875:T9875"/>
    <mergeCell ref="R9876:T9876"/>
    <mergeCell ref="R9867:T9867"/>
    <mergeCell ref="R9868:T9868"/>
    <mergeCell ref="R9869:T9869"/>
    <mergeCell ref="R9870:T9870"/>
    <mergeCell ref="R9871:T9871"/>
    <mergeCell ref="R9862:T9862"/>
    <mergeCell ref="R9863:T9863"/>
    <mergeCell ref="R9864:T9864"/>
    <mergeCell ref="R9865:T9865"/>
    <mergeCell ref="R9866:T9866"/>
    <mergeCell ref="R9857:T9857"/>
    <mergeCell ref="R9858:T9858"/>
    <mergeCell ref="R9859:T9859"/>
    <mergeCell ref="R9860:T9860"/>
    <mergeCell ref="R9861:T9861"/>
    <mergeCell ref="R9852:T9852"/>
    <mergeCell ref="R9853:T9853"/>
    <mergeCell ref="R9854:T9854"/>
    <mergeCell ref="R9855:T9855"/>
    <mergeCell ref="R9856:T9856"/>
    <mergeCell ref="R9847:T9847"/>
    <mergeCell ref="R9848:T9848"/>
    <mergeCell ref="R9849:T9849"/>
    <mergeCell ref="R9850:T9850"/>
    <mergeCell ref="R9851:T9851"/>
    <mergeCell ref="R9842:T9842"/>
    <mergeCell ref="R9843:T9843"/>
    <mergeCell ref="R9844:T9844"/>
    <mergeCell ref="R9845:T9845"/>
    <mergeCell ref="R9846:T9846"/>
    <mergeCell ref="R9837:T9837"/>
    <mergeCell ref="R9838:T9838"/>
    <mergeCell ref="R9839:T9839"/>
    <mergeCell ref="R9840:T9840"/>
    <mergeCell ref="R9841:T9841"/>
    <mergeCell ref="R9832:T9832"/>
    <mergeCell ref="R9833:T9833"/>
    <mergeCell ref="R9834:T9834"/>
    <mergeCell ref="R9835:T9835"/>
    <mergeCell ref="R9836:T9836"/>
    <mergeCell ref="R9827:T9827"/>
    <mergeCell ref="R9828:T9828"/>
    <mergeCell ref="R9829:T9829"/>
    <mergeCell ref="R9830:T9830"/>
    <mergeCell ref="R9831:T9831"/>
    <mergeCell ref="R9822:T9822"/>
    <mergeCell ref="R9823:T9823"/>
    <mergeCell ref="R9824:T9824"/>
    <mergeCell ref="R9825:T9825"/>
    <mergeCell ref="R9826:T9826"/>
    <mergeCell ref="R9817:T9817"/>
    <mergeCell ref="R9818:T9818"/>
    <mergeCell ref="R9819:T9819"/>
    <mergeCell ref="R9820:T9820"/>
    <mergeCell ref="R9821:T9821"/>
    <mergeCell ref="R9812:T9812"/>
    <mergeCell ref="R9813:T9813"/>
    <mergeCell ref="R9814:T9814"/>
    <mergeCell ref="R9815:T9815"/>
    <mergeCell ref="R9816:T9816"/>
    <mergeCell ref="R9807:T9807"/>
    <mergeCell ref="R9808:T9808"/>
    <mergeCell ref="R9809:T9809"/>
    <mergeCell ref="R9810:T9810"/>
    <mergeCell ref="R9811:T9811"/>
    <mergeCell ref="R9802:T9802"/>
    <mergeCell ref="R9803:T9803"/>
    <mergeCell ref="R9804:T9804"/>
    <mergeCell ref="R9805:T9805"/>
    <mergeCell ref="R9806:T9806"/>
    <mergeCell ref="R9797:T9797"/>
    <mergeCell ref="R9798:T9798"/>
    <mergeCell ref="R9799:T9799"/>
    <mergeCell ref="R9800:T9800"/>
    <mergeCell ref="R9801:T9801"/>
    <mergeCell ref="R9792:T9792"/>
    <mergeCell ref="R9793:T9793"/>
    <mergeCell ref="R9794:T9794"/>
    <mergeCell ref="R9795:T9795"/>
    <mergeCell ref="R9796:T9796"/>
    <mergeCell ref="R9787:T9787"/>
    <mergeCell ref="R9788:T9788"/>
    <mergeCell ref="R9789:T9789"/>
    <mergeCell ref="R9790:T9790"/>
    <mergeCell ref="R9791:T9791"/>
    <mergeCell ref="R9782:T9782"/>
    <mergeCell ref="R9783:T9783"/>
    <mergeCell ref="R9784:T9784"/>
    <mergeCell ref="R9785:T9785"/>
    <mergeCell ref="R9786:T9786"/>
    <mergeCell ref="R9777:T9777"/>
    <mergeCell ref="R9778:T9778"/>
    <mergeCell ref="R9779:T9779"/>
    <mergeCell ref="R9780:T9780"/>
    <mergeCell ref="R9781:T9781"/>
    <mergeCell ref="R9772:T9772"/>
    <mergeCell ref="R9773:T9773"/>
    <mergeCell ref="R9774:T9774"/>
    <mergeCell ref="R9775:T9775"/>
    <mergeCell ref="R9776:T9776"/>
    <mergeCell ref="R9767:T9767"/>
    <mergeCell ref="R9768:T9768"/>
    <mergeCell ref="R9769:T9769"/>
    <mergeCell ref="R9770:T9770"/>
    <mergeCell ref="R9771:T9771"/>
    <mergeCell ref="R9762:T9762"/>
    <mergeCell ref="R9763:T9763"/>
    <mergeCell ref="R9764:T9764"/>
    <mergeCell ref="R9765:T9765"/>
    <mergeCell ref="R9766:T9766"/>
    <mergeCell ref="R9757:T9757"/>
    <mergeCell ref="R9758:T9758"/>
    <mergeCell ref="R9759:T9759"/>
    <mergeCell ref="R9760:T9760"/>
    <mergeCell ref="R9761:T9761"/>
    <mergeCell ref="R9752:T9752"/>
    <mergeCell ref="R9753:T9753"/>
    <mergeCell ref="R9754:T9754"/>
    <mergeCell ref="R9755:T9755"/>
    <mergeCell ref="R9756:T9756"/>
    <mergeCell ref="R9747:T9747"/>
    <mergeCell ref="R9748:T9748"/>
    <mergeCell ref="R9749:T9749"/>
    <mergeCell ref="R9750:T9750"/>
    <mergeCell ref="R9751:T9751"/>
    <mergeCell ref="R9742:T9742"/>
    <mergeCell ref="R9743:T9743"/>
    <mergeCell ref="R9744:T9744"/>
    <mergeCell ref="R9745:T9745"/>
    <mergeCell ref="R9746:T9746"/>
    <mergeCell ref="R9737:T9737"/>
    <mergeCell ref="R9738:T9738"/>
    <mergeCell ref="R9739:T9739"/>
    <mergeCell ref="R9740:T9740"/>
    <mergeCell ref="R9741:T9741"/>
    <mergeCell ref="R9732:T9732"/>
    <mergeCell ref="R9733:T9733"/>
    <mergeCell ref="R9734:T9734"/>
    <mergeCell ref="R9735:T9735"/>
    <mergeCell ref="R9736:T9736"/>
    <mergeCell ref="R9727:T9727"/>
    <mergeCell ref="R9728:T9728"/>
    <mergeCell ref="R9729:T9729"/>
    <mergeCell ref="R9730:T9730"/>
    <mergeCell ref="R9731:T9731"/>
    <mergeCell ref="R9722:T9722"/>
    <mergeCell ref="R9723:T9723"/>
    <mergeCell ref="R9724:T9724"/>
    <mergeCell ref="R9725:T9725"/>
    <mergeCell ref="R9726:T9726"/>
    <mergeCell ref="R9717:T9717"/>
    <mergeCell ref="R9718:T9718"/>
    <mergeCell ref="R9719:T9719"/>
    <mergeCell ref="R9720:T9720"/>
    <mergeCell ref="R9721:T9721"/>
    <mergeCell ref="R9712:T9712"/>
    <mergeCell ref="R9713:T9713"/>
    <mergeCell ref="R9714:T9714"/>
    <mergeCell ref="R9715:T9715"/>
    <mergeCell ref="R9716:T9716"/>
    <mergeCell ref="R9707:T9707"/>
    <mergeCell ref="R9708:T9708"/>
    <mergeCell ref="R9709:T9709"/>
    <mergeCell ref="R9710:T9710"/>
    <mergeCell ref="R9711:T9711"/>
    <mergeCell ref="R9702:T9702"/>
    <mergeCell ref="R9703:T9703"/>
    <mergeCell ref="R9704:T9704"/>
    <mergeCell ref="R9705:T9705"/>
    <mergeCell ref="R9706:T9706"/>
    <mergeCell ref="R9697:T9697"/>
    <mergeCell ref="R9698:T9698"/>
    <mergeCell ref="R9699:T9699"/>
    <mergeCell ref="R9700:T9700"/>
    <mergeCell ref="R9701:T9701"/>
    <mergeCell ref="R9692:T9692"/>
    <mergeCell ref="R9693:T9693"/>
    <mergeCell ref="R9694:T9694"/>
    <mergeCell ref="R9695:T9695"/>
    <mergeCell ref="R9696:T9696"/>
    <mergeCell ref="R9687:T9687"/>
    <mergeCell ref="R9688:T9688"/>
    <mergeCell ref="R9689:T9689"/>
    <mergeCell ref="R9690:T9690"/>
    <mergeCell ref="R9691:T9691"/>
    <mergeCell ref="R9682:T9682"/>
    <mergeCell ref="R9683:T9683"/>
    <mergeCell ref="R9684:T9684"/>
    <mergeCell ref="R9685:T9685"/>
    <mergeCell ref="R9686:T9686"/>
    <mergeCell ref="R9677:T9677"/>
    <mergeCell ref="R9678:T9678"/>
    <mergeCell ref="R9679:T9679"/>
    <mergeCell ref="R9680:T9680"/>
    <mergeCell ref="R9681:T9681"/>
    <mergeCell ref="R9672:T9672"/>
    <mergeCell ref="R9673:T9673"/>
    <mergeCell ref="R9674:T9674"/>
    <mergeCell ref="R9675:T9675"/>
    <mergeCell ref="R9676:T9676"/>
    <mergeCell ref="R9667:T9667"/>
    <mergeCell ref="R9668:T9668"/>
    <mergeCell ref="R9669:T9669"/>
    <mergeCell ref="R9670:T9670"/>
    <mergeCell ref="R9671:T9671"/>
    <mergeCell ref="R9662:T9662"/>
    <mergeCell ref="R9663:T9663"/>
    <mergeCell ref="R9664:T9664"/>
    <mergeCell ref="R9665:T9665"/>
    <mergeCell ref="R9666:T9666"/>
    <mergeCell ref="R9657:T9657"/>
    <mergeCell ref="R9658:T9658"/>
    <mergeCell ref="R9659:T9659"/>
    <mergeCell ref="R9660:T9660"/>
    <mergeCell ref="R9661:T9661"/>
    <mergeCell ref="R9652:T9652"/>
    <mergeCell ref="R9653:T9653"/>
    <mergeCell ref="R9654:T9654"/>
    <mergeCell ref="R9655:T9655"/>
    <mergeCell ref="R9656:T9656"/>
    <mergeCell ref="R9647:T9647"/>
    <mergeCell ref="R9648:T9648"/>
    <mergeCell ref="R9649:T9649"/>
    <mergeCell ref="R9650:T9650"/>
    <mergeCell ref="R9651:T9651"/>
    <mergeCell ref="R9642:T9642"/>
    <mergeCell ref="R9643:T9643"/>
    <mergeCell ref="R9644:T9644"/>
    <mergeCell ref="R9645:T9645"/>
    <mergeCell ref="R9646:T9646"/>
    <mergeCell ref="R9637:T9637"/>
    <mergeCell ref="R9638:T9638"/>
    <mergeCell ref="R9639:T9639"/>
    <mergeCell ref="R9640:T9640"/>
    <mergeCell ref="R9641:T9641"/>
    <mergeCell ref="R9632:T9632"/>
    <mergeCell ref="R9633:T9633"/>
    <mergeCell ref="R9634:T9634"/>
    <mergeCell ref="R9635:T9635"/>
    <mergeCell ref="R9636:T9636"/>
    <mergeCell ref="R9627:T9627"/>
    <mergeCell ref="R9628:T9628"/>
    <mergeCell ref="R9629:T9629"/>
    <mergeCell ref="R9630:T9630"/>
    <mergeCell ref="R9631:T9631"/>
    <mergeCell ref="R9622:T9622"/>
    <mergeCell ref="R9623:T9623"/>
    <mergeCell ref="R9624:T9624"/>
    <mergeCell ref="R9625:T9625"/>
    <mergeCell ref="R9626:T9626"/>
    <mergeCell ref="R9617:T9617"/>
    <mergeCell ref="R9618:T9618"/>
    <mergeCell ref="R9619:T9619"/>
    <mergeCell ref="R9620:T9620"/>
    <mergeCell ref="R9621:T9621"/>
    <mergeCell ref="R9612:T9612"/>
    <mergeCell ref="R9613:T9613"/>
    <mergeCell ref="R9614:T9614"/>
    <mergeCell ref="R9615:T9615"/>
    <mergeCell ref="R9616:T9616"/>
    <mergeCell ref="R9607:T9607"/>
    <mergeCell ref="R9608:T9608"/>
    <mergeCell ref="R9609:T9609"/>
    <mergeCell ref="R9610:T9610"/>
    <mergeCell ref="R9611:T9611"/>
    <mergeCell ref="R9602:T9602"/>
    <mergeCell ref="R9603:T9603"/>
    <mergeCell ref="R9604:T9604"/>
    <mergeCell ref="R9605:T9605"/>
    <mergeCell ref="R9606:T9606"/>
    <mergeCell ref="R9597:T9597"/>
    <mergeCell ref="R9598:T9598"/>
    <mergeCell ref="R9599:T9599"/>
    <mergeCell ref="R9600:T9600"/>
    <mergeCell ref="R9601:T9601"/>
    <mergeCell ref="R9592:T9592"/>
    <mergeCell ref="R9593:T9593"/>
    <mergeCell ref="R9594:T9594"/>
    <mergeCell ref="R9595:T9595"/>
    <mergeCell ref="R9596:T9596"/>
    <mergeCell ref="R9587:T9587"/>
    <mergeCell ref="R9588:T9588"/>
    <mergeCell ref="R9589:T9589"/>
    <mergeCell ref="R9590:T9590"/>
    <mergeCell ref="R9591:T9591"/>
    <mergeCell ref="R9582:T9582"/>
    <mergeCell ref="R9583:T9583"/>
    <mergeCell ref="R9584:T9584"/>
    <mergeCell ref="R9585:T9585"/>
    <mergeCell ref="R9586:T9586"/>
    <mergeCell ref="R9577:T9577"/>
    <mergeCell ref="R9578:T9578"/>
    <mergeCell ref="R9579:T9579"/>
    <mergeCell ref="R9580:T9580"/>
    <mergeCell ref="R9581:T9581"/>
    <mergeCell ref="R9572:T9572"/>
    <mergeCell ref="R9573:T9573"/>
    <mergeCell ref="R9574:T9574"/>
    <mergeCell ref="R9575:T9575"/>
    <mergeCell ref="R9576:T9576"/>
    <mergeCell ref="R9567:T9567"/>
    <mergeCell ref="R9568:T9568"/>
    <mergeCell ref="R9569:T9569"/>
    <mergeCell ref="R9570:T9570"/>
    <mergeCell ref="R9571:T9571"/>
    <mergeCell ref="R9562:T9562"/>
    <mergeCell ref="R9563:T9563"/>
    <mergeCell ref="R9564:T9564"/>
    <mergeCell ref="R9565:T9565"/>
    <mergeCell ref="R9566:T9566"/>
    <mergeCell ref="R9557:T9557"/>
    <mergeCell ref="R9558:T9558"/>
    <mergeCell ref="R9559:T9559"/>
    <mergeCell ref="R9560:T9560"/>
    <mergeCell ref="R9561:T9561"/>
    <mergeCell ref="R9552:T9552"/>
    <mergeCell ref="R9553:T9553"/>
    <mergeCell ref="R9554:T9554"/>
    <mergeCell ref="R9555:T9555"/>
    <mergeCell ref="R9556:T9556"/>
    <mergeCell ref="R9547:T9547"/>
    <mergeCell ref="R9548:T9548"/>
    <mergeCell ref="R9549:T9549"/>
    <mergeCell ref="R9550:T9550"/>
    <mergeCell ref="R9551:T9551"/>
    <mergeCell ref="R9542:T9542"/>
    <mergeCell ref="R9543:T9543"/>
    <mergeCell ref="R9544:T9544"/>
    <mergeCell ref="R9545:T9545"/>
    <mergeCell ref="R9546:T9546"/>
    <mergeCell ref="R9537:T9537"/>
    <mergeCell ref="R9538:T9538"/>
    <mergeCell ref="R9539:T9539"/>
    <mergeCell ref="R9540:T9540"/>
    <mergeCell ref="R9541:T9541"/>
    <mergeCell ref="R9532:T9532"/>
    <mergeCell ref="R9533:T9533"/>
    <mergeCell ref="R9534:T9534"/>
    <mergeCell ref="R9535:T9535"/>
    <mergeCell ref="R9536:T9536"/>
    <mergeCell ref="R9527:T9527"/>
    <mergeCell ref="R9528:T9528"/>
    <mergeCell ref="R9529:T9529"/>
    <mergeCell ref="R9530:T9530"/>
    <mergeCell ref="R9531:T9531"/>
    <mergeCell ref="R9522:T9522"/>
    <mergeCell ref="R9523:T9523"/>
    <mergeCell ref="R9524:T9524"/>
    <mergeCell ref="R9525:T9525"/>
    <mergeCell ref="R9526:T9526"/>
    <mergeCell ref="R9517:T9517"/>
    <mergeCell ref="R9518:T9518"/>
    <mergeCell ref="R9519:T9519"/>
    <mergeCell ref="R9520:T9520"/>
    <mergeCell ref="R9521:T9521"/>
    <mergeCell ref="R9512:T9512"/>
    <mergeCell ref="R9513:T9513"/>
    <mergeCell ref="R9514:T9514"/>
    <mergeCell ref="R9515:T9515"/>
    <mergeCell ref="R9516:T9516"/>
    <mergeCell ref="R9507:T9507"/>
    <mergeCell ref="R9508:T9508"/>
    <mergeCell ref="R9509:T9509"/>
    <mergeCell ref="R9510:T9510"/>
    <mergeCell ref="R9511:T9511"/>
    <mergeCell ref="R9502:T9502"/>
    <mergeCell ref="R9503:T9503"/>
    <mergeCell ref="R9504:T9504"/>
    <mergeCell ref="R9505:T9505"/>
    <mergeCell ref="R9506:T9506"/>
    <mergeCell ref="R9497:T9497"/>
    <mergeCell ref="R9498:T9498"/>
    <mergeCell ref="R9499:T9499"/>
    <mergeCell ref="R9500:T9500"/>
    <mergeCell ref="R9501:T9501"/>
    <mergeCell ref="R9492:T9492"/>
    <mergeCell ref="R9493:T9493"/>
    <mergeCell ref="R9494:T9494"/>
    <mergeCell ref="R9495:T9495"/>
    <mergeCell ref="R9496:T9496"/>
    <mergeCell ref="R9487:T9487"/>
    <mergeCell ref="R9488:T9488"/>
    <mergeCell ref="R9489:T9489"/>
    <mergeCell ref="R9490:T9490"/>
    <mergeCell ref="R9491:T9491"/>
    <mergeCell ref="R9482:T9482"/>
    <mergeCell ref="R9483:T9483"/>
    <mergeCell ref="R9484:T9484"/>
    <mergeCell ref="R9485:T9485"/>
    <mergeCell ref="R9486:T9486"/>
    <mergeCell ref="R9477:T9477"/>
    <mergeCell ref="R9478:T9478"/>
    <mergeCell ref="R9479:T9479"/>
    <mergeCell ref="R9480:T9480"/>
    <mergeCell ref="R9481:T9481"/>
    <mergeCell ref="R9472:T9472"/>
    <mergeCell ref="R9473:T9473"/>
    <mergeCell ref="R9474:T9474"/>
    <mergeCell ref="R9475:T9475"/>
    <mergeCell ref="R9476:T9476"/>
    <mergeCell ref="R9467:T9467"/>
    <mergeCell ref="R9468:T9468"/>
    <mergeCell ref="R9469:T9469"/>
    <mergeCell ref="R9470:T9470"/>
    <mergeCell ref="R9471:T9471"/>
    <mergeCell ref="R9462:T9462"/>
    <mergeCell ref="R9463:T9463"/>
    <mergeCell ref="R9464:T9464"/>
    <mergeCell ref="R9465:T9465"/>
    <mergeCell ref="R9466:T9466"/>
    <mergeCell ref="R9457:T9457"/>
    <mergeCell ref="R9458:T9458"/>
    <mergeCell ref="R9459:T9459"/>
    <mergeCell ref="R9460:T9460"/>
    <mergeCell ref="R9461:T9461"/>
    <mergeCell ref="R9452:T9452"/>
    <mergeCell ref="R9453:T9453"/>
    <mergeCell ref="R9454:T9454"/>
    <mergeCell ref="R9455:T9455"/>
    <mergeCell ref="R9456:T9456"/>
    <mergeCell ref="R9447:T9447"/>
    <mergeCell ref="R9448:T9448"/>
    <mergeCell ref="R9449:T9449"/>
    <mergeCell ref="R9450:T9450"/>
    <mergeCell ref="R9451:T9451"/>
    <mergeCell ref="R9442:T9442"/>
    <mergeCell ref="R9443:T9443"/>
    <mergeCell ref="R9444:T9444"/>
    <mergeCell ref="R9445:T9445"/>
    <mergeCell ref="R9446:T9446"/>
    <mergeCell ref="R9437:T9437"/>
    <mergeCell ref="R9438:T9438"/>
    <mergeCell ref="R9439:T9439"/>
    <mergeCell ref="R9440:T9440"/>
    <mergeCell ref="R9441:T9441"/>
    <mergeCell ref="R9432:T9432"/>
    <mergeCell ref="R9433:T9433"/>
    <mergeCell ref="R9434:T9434"/>
    <mergeCell ref="R9435:T9435"/>
    <mergeCell ref="R9436:T9436"/>
    <mergeCell ref="R9427:T9427"/>
    <mergeCell ref="R9428:T9428"/>
    <mergeCell ref="R9429:T9429"/>
    <mergeCell ref="R9430:T9430"/>
    <mergeCell ref="R9431:T9431"/>
    <mergeCell ref="R9422:T9422"/>
    <mergeCell ref="R9423:T9423"/>
    <mergeCell ref="R9424:T9424"/>
    <mergeCell ref="R9425:T9425"/>
    <mergeCell ref="R9426:T9426"/>
    <mergeCell ref="R9417:T9417"/>
    <mergeCell ref="R9418:T9418"/>
    <mergeCell ref="R9419:T9419"/>
    <mergeCell ref="R9420:T9420"/>
    <mergeCell ref="R9421:T9421"/>
    <mergeCell ref="R9412:T9412"/>
    <mergeCell ref="R9413:T9413"/>
    <mergeCell ref="R9414:T9414"/>
    <mergeCell ref="R9415:T9415"/>
    <mergeCell ref="R9416:T9416"/>
    <mergeCell ref="R9407:T9407"/>
    <mergeCell ref="R9408:T9408"/>
    <mergeCell ref="R9409:T9409"/>
    <mergeCell ref="R9410:T9410"/>
    <mergeCell ref="R9411:T9411"/>
    <mergeCell ref="R9402:T9402"/>
    <mergeCell ref="R9403:T9403"/>
    <mergeCell ref="R9404:T9404"/>
    <mergeCell ref="R9405:T9405"/>
    <mergeCell ref="R9406:T9406"/>
    <mergeCell ref="R9397:T9397"/>
    <mergeCell ref="R9398:T9398"/>
    <mergeCell ref="R9399:T9399"/>
    <mergeCell ref="R9400:T9400"/>
    <mergeCell ref="R9401:T9401"/>
    <mergeCell ref="R9392:T9392"/>
    <mergeCell ref="R9393:T9393"/>
    <mergeCell ref="R9394:T9394"/>
    <mergeCell ref="R9395:T9395"/>
    <mergeCell ref="R9396:T9396"/>
    <mergeCell ref="R9387:T9387"/>
    <mergeCell ref="R9388:T9388"/>
    <mergeCell ref="R9389:T9389"/>
    <mergeCell ref="R9390:T9390"/>
    <mergeCell ref="R9391:T9391"/>
    <mergeCell ref="R9382:T9382"/>
    <mergeCell ref="R9383:T9383"/>
    <mergeCell ref="R9384:T9384"/>
    <mergeCell ref="R9385:T9385"/>
    <mergeCell ref="R9386:T9386"/>
    <mergeCell ref="R9377:T9377"/>
    <mergeCell ref="R9378:T9378"/>
    <mergeCell ref="R9379:T9379"/>
    <mergeCell ref="R9380:T9380"/>
    <mergeCell ref="R9381:T9381"/>
    <mergeCell ref="R9372:T9372"/>
    <mergeCell ref="R9373:T9373"/>
    <mergeCell ref="R9374:T9374"/>
    <mergeCell ref="R9375:T9375"/>
    <mergeCell ref="R9376:T9376"/>
    <mergeCell ref="R9367:T9367"/>
    <mergeCell ref="R9368:T9368"/>
    <mergeCell ref="R9369:T9369"/>
    <mergeCell ref="R9370:T9370"/>
    <mergeCell ref="R9371:T9371"/>
    <mergeCell ref="R9362:T9362"/>
    <mergeCell ref="R9363:T9363"/>
    <mergeCell ref="R9364:T9364"/>
    <mergeCell ref="R9365:T9365"/>
    <mergeCell ref="R9366:T9366"/>
    <mergeCell ref="R9357:T9357"/>
    <mergeCell ref="R9358:T9358"/>
    <mergeCell ref="R9359:T9359"/>
    <mergeCell ref="R9360:T9360"/>
    <mergeCell ref="R9361:T9361"/>
    <mergeCell ref="R9352:T9352"/>
    <mergeCell ref="R9353:T9353"/>
    <mergeCell ref="R9354:T9354"/>
    <mergeCell ref="R9355:T9355"/>
    <mergeCell ref="R9356:T9356"/>
    <mergeCell ref="R9347:T9347"/>
    <mergeCell ref="R9348:T9348"/>
    <mergeCell ref="R9349:T9349"/>
    <mergeCell ref="R9350:T9350"/>
    <mergeCell ref="R9351:T9351"/>
    <mergeCell ref="R9342:T9342"/>
    <mergeCell ref="R9343:T9343"/>
    <mergeCell ref="R9344:T9344"/>
    <mergeCell ref="R9345:T9345"/>
    <mergeCell ref="R9346:T9346"/>
    <mergeCell ref="R9337:T9337"/>
    <mergeCell ref="R9338:T9338"/>
    <mergeCell ref="R9339:T9339"/>
    <mergeCell ref="R9340:T9340"/>
    <mergeCell ref="R9341:T9341"/>
    <mergeCell ref="R9332:T9332"/>
    <mergeCell ref="R9333:T9333"/>
    <mergeCell ref="R9334:T9334"/>
    <mergeCell ref="R9335:T9335"/>
    <mergeCell ref="R9336:T9336"/>
    <mergeCell ref="R9327:T9327"/>
    <mergeCell ref="R9328:T9328"/>
    <mergeCell ref="R9329:T9329"/>
    <mergeCell ref="R9330:T9330"/>
    <mergeCell ref="R9331:T9331"/>
    <mergeCell ref="R9322:T9322"/>
    <mergeCell ref="R9323:T9323"/>
    <mergeCell ref="R9324:T9324"/>
    <mergeCell ref="R9325:T9325"/>
    <mergeCell ref="R9326:T9326"/>
    <mergeCell ref="R9317:T9317"/>
    <mergeCell ref="R9318:T9318"/>
    <mergeCell ref="R9319:T9319"/>
    <mergeCell ref="R9320:T9320"/>
    <mergeCell ref="R9321:T9321"/>
    <mergeCell ref="R9312:T9312"/>
    <mergeCell ref="R9313:T9313"/>
    <mergeCell ref="R9314:T9314"/>
    <mergeCell ref="R9315:T9315"/>
    <mergeCell ref="R9316:T9316"/>
    <mergeCell ref="R9307:T9307"/>
    <mergeCell ref="R9308:T9308"/>
    <mergeCell ref="R9309:T9309"/>
    <mergeCell ref="R9310:T9310"/>
    <mergeCell ref="R9311:T9311"/>
    <mergeCell ref="R9302:T9302"/>
    <mergeCell ref="R9303:T9303"/>
    <mergeCell ref="R9304:T9304"/>
    <mergeCell ref="R9305:T9305"/>
    <mergeCell ref="R9306:T9306"/>
    <mergeCell ref="R9297:T9297"/>
    <mergeCell ref="R9298:T9298"/>
    <mergeCell ref="R9299:T9299"/>
    <mergeCell ref="R9300:T9300"/>
    <mergeCell ref="R9301:T9301"/>
    <mergeCell ref="R9292:T9292"/>
    <mergeCell ref="R9293:T9293"/>
    <mergeCell ref="R9294:T9294"/>
    <mergeCell ref="R9295:T9295"/>
    <mergeCell ref="R9296:T9296"/>
    <mergeCell ref="R9287:T9287"/>
    <mergeCell ref="R9288:T9288"/>
    <mergeCell ref="R9289:T9289"/>
    <mergeCell ref="R9290:T9290"/>
    <mergeCell ref="R9291:T9291"/>
    <mergeCell ref="R9282:T9282"/>
    <mergeCell ref="R9283:T9283"/>
    <mergeCell ref="R9284:T9284"/>
    <mergeCell ref="R9285:T9285"/>
    <mergeCell ref="R9286:T9286"/>
    <mergeCell ref="R9277:T9277"/>
    <mergeCell ref="R9278:T9278"/>
    <mergeCell ref="R9279:T9279"/>
    <mergeCell ref="R9280:T9280"/>
    <mergeCell ref="R9281:T9281"/>
    <mergeCell ref="R9272:T9272"/>
    <mergeCell ref="R9273:T9273"/>
    <mergeCell ref="R9274:T9274"/>
    <mergeCell ref="R9275:T9275"/>
    <mergeCell ref="R9276:T9276"/>
    <mergeCell ref="R9267:T9267"/>
    <mergeCell ref="R9268:T9268"/>
    <mergeCell ref="R9269:T9269"/>
    <mergeCell ref="R9270:T9270"/>
    <mergeCell ref="R9271:T9271"/>
    <mergeCell ref="R9262:T9262"/>
    <mergeCell ref="R9263:T9263"/>
    <mergeCell ref="R9264:T9264"/>
    <mergeCell ref="R9265:T9265"/>
    <mergeCell ref="R9266:T9266"/>
    <mergeCell ref="R9257:T9257"/>
    <mergeCell ref="R9258:T9258"/>
    <mergeCell ref="R9259:T9259"/>
    <mergeCell ref="R9260:T9260"/>
    <mergeCell ref="R9261:T9261"/>
    <mergeCell ref="R9252:T9252"/>
    <mergeCell ref="R9253:T9253"/>
    <mergeCell ref="R9254:T9254"/>
    <mergeCell ref="R9255:T9255"/>
    <mergeCell ref="R9256:T9256"/>
    <mergeCell ref="R9247:T9247"/>
    <mergeCell ref="R9248:T9248"/>
    <mergeCell ref="R9249:T9249"/>
    <mergeCell ref="R9250:T9250"/>
    <mergeCell ref="R9251:T9251"/>
    <mergeCell ref="R9242:T9242"/>
    <mergeCell ref="R9243:T9243"/>
    <mergeCell ref="R9244:T9244"/>
    <mergeCell ref="R9245:T9245"/>
    <mergeCell ref="R9246:T9246"/>
    <mergeCell ref="R9237:T9237"/>
    <mergeCell ref="R9238:T9238"/>
    <mergeCell ref="R9239:T9239"/>
    <mergeCell ref="R9240:T9240"/>
    <mergeCell ref="R9241:T9241"/>
    <mergeCell ref="R9232:T9232"/>
    <mergeCell ref="R9233:T9233"/>
    <mergeCell ref="R9234:T9234"/>
    <mergeCell ref="R9235:T9235"/>
    <mergeCell ref="R9236:T9236"/>
    <mergeCell ref="R9227:T9227"/>
    <mergeCell ref="R9228:T9228"/>
    <mergeCell ref="R9229:T9229"/>
    <mergeCell ref="R9230:T9230"/>
    <mergeCell ref="R9231:T9231"/>
    <mergeCell ref="R9222:T9222"/>
    <mergeCell ref="R9223:T9223"/>
    <mergeCell ref="R9224:T9224"/>
    <mergeCell ref="R9225:T9225"/>
    <mergeCell ref="R9226:T9226"/>
    <mergeCell ref="R9217:T9217"/>
    <mergeCell ref="R9218:T9218"/>
    <mergeCell ref="R9219:T9219"/>
    <mergeCell ref="R9220:T9220"/>
    <mergeCell ref="R9221:T9221"/>
    <mergeCell ref="R9212:T9212"/>
    <mergeCell ref="R9213:T9213"/>
    <mergeCell ref="R9214:T9214"/>
    <mergeCell ref="R9215:T9215"/>
    <mergeCell ref="R9216:T9216"/>
    <mergeCell ref="R9207:T9207"/>
    <mergeCell ref="R9208:T9208"/>
    <mergeCell ref="R9209:T9209"/>
    <mergeCell ref="R9210:T9210"/>
    <mergeCell ref="R9211:T9211"/>
    <mergeCell ref="R9202:T9202"/>
    <mergeCell ref="R9203:T9203"/>
    <mergeCell ref="R9204:T9204"/>
    <mergeCell ref="R9205:T9205"/>
    <mergeCell ref="R9206:T9206"/>
    <mergeCell ref="R9197:T9197"/>
    <mergeCell ref="R9198:T9198"/>
    <mergeCell ref="R9199:T9199"/>
    <mergeCell ref="R9200:T9200"/>
    <mergeCell ref="R9201:T9201"/>
    <mergeCell ref="R9192:T9192"/>
    <mergeCell ref="R9193:T9193"/>
    <mergeCell ref="R9194:T9194"/>
    <mergeCell ref="R9195:T9195"/>
    <mergeCell ref="R9196:T9196"/>
    <mergeCell ref="R9187:T9187"/>
    <mergeCell ref="R9188:T9188"/>
    <mergeCell ref="R9189:T9189"/>
    <mergeCell ref="R9190:T9190"/>
    <mergeCell ref="R9191:T9191"/>
    <mergeCell ref="R9182:T9182"/>
    <mergeCell ref="R9183:T9183"/>
    <mergeCell ref="R9184:T9184"/>
    <mergeCell ref="R9185:T9185"/>
    <mergeCell ref="R9186:T9186"/>
    <mergeCell ref="R9177:T9177"/>
    <mergeCell ref="R9178:T9178"/>
    <mergeCell ref="R9179:T9179"/>
    <mergeCell ref="R9180:T9180"/>
    <mergeCell ref="R9181:T9181"/>
    <mergeCell ref="R9172:T9172"/>
    <mergeCell ref="R9173:T9173"/>
    <mergeCell ref="R9174:T9174"/>
    <mergeCell ref="R9175:T9175"/>
    <mergeCell ref="R9176:T9176"/>
    <mergeCell ref="R9167:T9167"/>
    <mergeCell ref="R9168:T9168"/>
    <mergeCell ref="R9169:T9169"/>
    <mergeCell ref="R9170:T9170"/>
    <mergeCell ref="R9171:T9171"/>
    <mergeCell ref="R9162:T9162"/>
    <mergeCell ref="R9163:T9163"/>
    <mergeCell ref="R9164:T9164"/>
    <mergeCell ref="R9165:T9165"/>
    <mergeCell ref="R9166:T9166"/>
    <mergeCell ref="R9157:T9157"/>
    <mergeCell ref="R9158:T9158"/>
    <mergeCell ref="R9159:T9159"/>
    <mergeCell ref="R9160:T9160"/>
    <mergeCell ref="R9161:T9161"/>
    <mergeCell ref="R9152:T9152"/>
    <mergeCell ref="R9153:T9153"/>
    <mergeCell ref="R9154:T9154"/>
    <mergeCell ref="R9155:T9155"/>
    <mergeCell ref="R9156:T9156"/>
    <mergeCell ref="R9147:T9147"/>
    <mergeCell ref="R9148:T9148"/>
    <mergeCell ref="R9149:T9149"/>
    <mergeCell ref="R9150:T9150"/>
    <mergeCell ref="R9151:T9151"/>
    <mergeCell ref="R9142:T9142"/>
    <mergeCell ref="R9143:T9143"/>
    <mergeCell ref="R9144:T9144"/>
    <mergeCell ref="R9145:T9145"/>
    <mergeCell ref="R9146:T9146"/>
    <mergeCell ref="R9137:T9137"/>
    <mergeCell ref="R9138:T9138"/>
    <mergeCell ref="R9139:T9139"/>
    <mergeCell ref="R9140:T9140"/>
    <mergeCell ref="R9141:T9141"/>
    <mergeCell ref="R9132:T9132"/>
    <mergeCell ref="R9133:T9133"/>
    <mergeCell ref="R9134:T9134"/>
    <mergeCell ref="R9135:T9135"/>
    <mergeCell ref="R9136:T9136"/>
    <mergeCell ref="R9127:T9127"/>
    <mergeCell ref="R9128:T9128"/>
    <mergeCell ref="R9129:T9129"/>
    <mergeCell ref="R9130:T9130"/>
    <mergeCell ref="R9131:T9131"/>
    <mergeCell ref="R9122:T9122"/>
    <mergeCell ref="R9123:T9123"/>
    <mergeCell ref="R9124:T9124"/>
    <mergeCell ref="R9125:T9125"/>
    <mergeCell ref="R9126:T9126"/>
    <mergeCell ref="R9117:T9117"/>
    <mergeCell ref="R9118:T9118"/>
    <mergeCell ref="R9119:T9119"/>
    <mergeCell ref="R9120:T9120"/>
    <mergeCell ref="R9121:T9121"/>
    <mergeCell ref="R9112:T9112"/>
    <mergeCell ref="R9113:T9113"/>
    <mergeCell ref="R9114:T9114"/>
    <mergeCell ref="R9115:T9115"/>
    <mergeCell ref="R9116:T9116"/>
    <mergeCell ref="R9107:T9107"/>
    <mergeCell ref="R9108:T9108"/>
    <mergeCell ref="R9109:T9109"/>
    <mergeCell ref="R9110:T9110"/>
    <mergeCell ref="R9111:T9111"/>
    <mergeCell ref="R9102:T9102"/>
    <mergeCell ref="R9103:T9103"/>
    <mergeCell ref="R9104:T9104"/>
    <mergeCell ref="R9105:T9105"/>
    <mergeCell ref="R9106:T9106"/>
    <mergeCell ref="R9097:T9097"/>
    <mergeCell ref="R9098:T9098"/>
    <mergeCell ref="R9099:T9099"/>
    <mergeCell ref="R9100:T9100"/>
    <mergeCell ref="R9101:T9101"/>
    <mergeCell ref="R9092:T9092"/>
    <mergeCell ref="R9093:T9093"/>
    <mergeCell ref="R9094:T9094"/>
    <mergeCell ref="R9095:T9095"/>
    <mergeCell ref="R9096:T9096"/>
    <mergeCell ref="R9087:T9087"/>
    <mergeCell ref="R9088:T9088"/>
    <mergeCell ref="R9089:T9089"/>
    <mergeCell ref="R9090:T9090"/>
    <mergeCell ref="R9091:T9091"/>
    <mergeCell ref="R9082:T9082"/>
    <mergeCell ref="R9083:T9083"/>
    <mergeCell ref="R9084:T9084"/>
    <mergeCell ref="R9085:T9085"/>
    <mergeCell ref="R9086:T9086"/>
    <mergeCell ref="R9077:T9077"/>
    <mergeCell ref="R9078:T9078"/>
    <mergeCell ref="R9079:T9079"/>
    <mergeCell ref="R9080:T9080"/>
    <mergeCell ref="R9081:T9081"/>
    <mergeCell ref="R9072:T9072"/>
    <mergeCell ref="R9073:T9073"/>
    <mergeCell ref="R9074:T9074"/>
    <mergeCell ref="R9075:T9075"/>
    <mergeCell ref="R9076:T9076"/>
    <mergeCell ref="R9067:T9067"/>
    <mergeCell ref="R9068:T9068"/>
    <mergeCell ref="R9069:T9069"/>
    <mergeCell ref="R9070:T9070"/>
    <mergeCell ref="R9071:T9071"/>
    <mergeCell ref="R9062:T9062"/>
    <mergeCell ref="R9063:T9063"/>
    <mergeCell ref="R9064:T9064"/>
    <mergeCell ref="R9065:T9065"/>
    <mergeCell ref="R9066:T9066"/>
    <mergeCell ref="R9057:T9057"/>
    <mergeCell ref="R9058:T9058"/>
    <mergeCell ref="R9059:T9059"/>
    <mergeCell ref="R9060:T9060"/>
    <mergeCell ref="R9061:T9061"/>
    <mergeCell ref="R9052:T9052"/>
    <mergeCell ref="R9053:T9053"/>
    <mergeCell ref="R9054:T9054"/>
    <mergeCell ref="R9055:T9055"/>
    <mergeCell ref="R9056:T9056"/>
    <mergeCell ref="R9047:T9047"/>
    <mergeCell ref="R9048:T9048"/>
    <mergeCell ref="R9049:T9049"/>
    <mergeCell ref="R9050:T9050"/>
    <mergeCell ref="R9051:T9051"/>
    <mergeCell ref="R9042:T9042"/>
    <mergeCell ref="R9043:T9043"/>
    <mergeCell ref="R9044:T9044"/>
    <mergeCell ref="R9045:T9045"/>
    <mergeCell ref="R9046:T9046"/>
    <mergeCell ref="R9037:T9037"/>
    <mergeCell ref="R9038:T9038"/>
    <mergeCell ref="R9039:T9039"/>
    <mergeCell ref="R9040:T9040"/>
    <mergeCell ref="R9041:T9041"/>
    <mergeCell ref="R9032:T9032"/>
    <mergeCell ref="R9033:T9033"/>
    <mergeCell ref="R9034:T9034"/>
    <mergeCell ref="R9035:T9035"/>
    <mergeCell ref="R9036:T9036"/>
    <mergeCell ref="R9027:T9027"/>
    <mergeCell ref="R9028:T9028"/>
    <mergeCell ref="R9029:T9029"/>
    <mergeCell ref="R9030:T9030"/>
    <mergeCell ref="R9031:T9031"/>
    <mergeCell ref="R9022:T9022"/>
    <mergeCell ref="R9023:T9023"/>
    <mergeCell ref="R9024:T9024"/>
    <mergeCell ref="R9025:T9025"/>
    <mergeCell ref="R9026:T9026"/>
    <mergeCell ref="R9017:T9017"/>
    <mergeCell ref="R9018:T9018"/>
    <mergeCell ref="R9019:T9019"/>
    <mergeCell ref="R9020:T9020"/>
    <mergeCell ref="R9021:T9021"/>
    <mergeCell ref="R9012:T9012"/>
    <mergeCell ref="R9013:T9013"/>
    <mergeCell ref="R9014:T9014"/>
    <mergeCell ref="R9015:T9015"/>
    <mergeCell ref="R9016:T9016"/>
    <mergeCell ref="R9007:T9007"/>
    <mergeCell ref="R9008:T9008"/>
    <mergeCell ref="R9009:T9009"/>
    <mergeCell ref="R9010:T9010"/>
    <mergeCell ref="R9011:T9011"/>
    <mergeCell ref="R9002:T9002"/>
    <mergeCell ref="R9003:T9003"/>
    <mergeCell ref="R9004:T9004"/>
    <mergeCell ref="R9005:T9005"/>
    <mergeCell ref="R9006:T9006"/>
    <mergeCell ref="R8997:T8997"/>
    <mergeCell ref="R8998:T8998"/>
    <mergeCell ref="R8999:T8999"/>
    <mergeCell ref="R9000:T9000"/>
    <mergeCell ref="R9001:T9001"/>
    <mergeCell ref="R8992:T8992"/>
    <mergeCell ref="R8993:T8993"/>
    <mergeCell ref="R8994:T8994"/>
    <mergeCell ref="R8995:T8995"/>
    <mergeCell ref="R8996:T8996"/>
    <mergeCell ref="R8987:T8987"/>
    <mergeCell ref="R8988:T8988"/>
    <mergeCell ref="R8989:T8989"/>
    <mergeCell ref="R8990:T8990"/>
    <mergeCell ref="R8991:T8991"/>
    <mergeCell ref="R8982:T8982"/>
    <mergeCell ref="R8983:T8983"/>
    <mergeCell ref="R8984:T8984"/>
    <mergeCell ref="R8985:T8985"/>
    <mergeCell ref="R8986:T8986"/>
    <mergeCell ref="R8977:T8977"/>
    <mergeCell ref="R8978:T8978"/>
    <mergeCell ref="R8979:T8979"/>
    <mergeCell ref="R8980:T8980"/>
    <mergeCell ref="R8981:T8981"/>
    <mergeCell ref="R8972:T8972"/>
    <mergeCell ref="R8973:T8973"/>
    <mergeCell ref="R8974:T8974"/>
    <mergeCell ref="R8975:T8975"/>
    <mergeCell ref="R8976:T8976"/>
    <mergeCell ref="R8967:T8967"/>
    <mergeCell ref="R8968:T8968"/>
    <mergeCell ref="R8969:T8969"/>
    <mergeCell ref="R8970:T8970"/>
    <mergeCell ref="R8971:T8971"/>
    <mergeCell ref="R8962:T8962"/>
    <mergeCell ref="R8963:T8963"/>
    <mergeCell ref="R8964:T8964"/>
    <mergeCell ref="R8965:T8965"/>
    <mergeCell ref="R8966:T8966"/>
    <mergeCell ref="R8957:T8957"/>
    <mergeCell ref="R8958:T8958"/>
    <mergeCell ref="R8959:T8959"/>
    <mergeCell ref="R8960:T8960"/>
    <mergeCell ref="R8961:T8961"/>
    <mergeCell ref="R8952:T8952"/>
    <mergeCell ref="R8953:T8953"/>
    <mergeCell ref="R8954:T8954"/>
    <mergeCell ref="R8955:T8955"/>
    <mergeCell ref="R8956:T8956"/>
    <mergeCell ref="R8947:T8947"/>
    <mergeCell ref="R8948:T8948"/>
    <mergeCell ref="R8949:T8949"/>
    <mergeCell ref="R8950:T8950"/>
    <mergeCell ref="R8951:T8951"/>
    <mergeCell ref="R8942:T8942"/>
    <mergeCell ref="R8943:T8943"/>
    <mergeCell ref="R8944:T8944"/>
    <mergeCell ref="R8945:T8945"/>
    <mergeCell ref="R8946:T8946"/>
    <mergeCell ref="R8937:T8937"/>
    <mergeCell ref="R8938:T8938"/>
    <mergeCell ref="R8939:T8939"/>
    <mergeCell ref="R8940:T8940"/>
    <mergeCell ref="R8941:T8941"/>
    <mergeCell ref="R8932:T8932"/>
    <mergeCell ref="R8933:T8933"/>
    <mergeCell ref="R8934:T8934"/>
    <mergeCell ref="R8935:T8935"/>
    <mergeCell ref="R8936:T8936"/>
    <mergeCell ref="R8927:T8927"/>
    <mergeCell ref="R8928:T8928"/>
    <mergeCell ref="R8929:T8929"/>
    <mergeCell ref="R8930:T8930"/>
    <mergeCell ref="R8931:T8931"/>
    <mergeCell ref="R8922:T8922"/>
    <mergeCell ref="R8923:T8923"/>
    <mergeCell ref="R8924:T8924"/>
    <mergeCell ref="R8925:T8925"/>
    <mergeCell ref="R8926:T8926"/>
    <mergeCell ref="R8917:T8917"/>
    <mergeCell ref="R8918:T8918"/>
    <mergeCell ref="R8919:T8919"/>
    <mergeCell ref="R8920:T8920"/>
    <mergeCell ref="R8921:T8921"/>
    <mergeCell ref="R8912:T8912"/>
    <mergeCell ref="R8913:T8913"/>
    <mergeCell ref="R8914:T8914"/>
    <mergeCell ref="R8915:T8915"/>
    <mergeCell ref="R8916:T8916"/>
    <mergeCell ref="R8907:T8907"/>
    <mergeCell ref="R8908:T8908"/>
    <mergeCell ref="R8909:T8909"/>
    <mergeCell ref="R8910:T8910"/>
    <mergeCell ref="R8911:T8911"/>
    <mergeCell ref="R8902:T8902"/>
    <mergeCell ref="R8903:T8903"/>
    <mergeCell ref="R8904:T8904"/>
    <mergeCell ref="R8905:T8905"/>
    <mergeCell ref="R8906:T8906"/>
    <mergeCell ref="R8897:T8897"/>
    <mergeCell ref="R8898:T8898"/>
    <mergeCell ref="R8899:T8899"/>
    <mergeCell ref="R8900:T8900"/>
    <mergeCell ref="R8901:T8901"/>
    <mergeCell ref="R8892:T8892"/>
    <mergeCell ref="R8893:T8893"/>
    <mergeCell ref="R8894:T8894"/>
    <mergeCell ref="R8895:T8895"/>
    <mergeCell ref="R8896:T8896"/>
    <mergeCell ref="R8887:T8887"/>
    <mergeCell ref="R8888:T8888"/>
    <mergeCell ref="R8889:T8889"/>
    <mergeCell ref="R8890:T8890"/>
    <mergeCell ref="R8891:T8891"/>
    <mergeCell ref="R8882:T8882"/>
    <mergeCell ref="R8883:T8883"/>
    <mergeCell ref="R8884:T8884"/>
    <mergeCell ref="R8885:T8885"/>
    <mergeCell ref="R8886:T8886"/>
    <mergeCell ref="R8877:T8877"/>
    <mergeCell ref="R8878:T8878"/>
    <mergeCell ref="R8879:T8879"/>
    <mergeCell ref="R8880:T8880"/>
    <mergeCell ref="R8881:T8881"/>
    <mergeCell ref="R8872:T8872"/>
    <mergeCell ref="R8873:T8873"/>
    <mergeCell ref="R8874:T8874"/>
    <mergeCell ref="R8875:T8875"/>
    <mergeCell ref="R8876:T8876"/>
    <mergeCell ref="R8867:T8867"/>
    <mergeCell ref="R8868:T8868"/>
    <mergeCell ref="R8869:T8869"/>
    <mergeCell ref="R8870:T8870"/>
    <mergeCell ref="R8871:T8871"/>
    <mergeCell ref="R8862:T8862"/>
    <mergeCell ref="R8863:T8863"/>
    <mergeCell ref="R8864:T8864"/>
    <mergeCell ref="R8865:T8865"/>
    <mergeCell ref="R8866:T8866"/>
    <mergeCell ref="R8857:T8857"/>
    <mergeCell ref="R8858:T8858"/>
    <mergeCell ref="R8859:T8859"/>
    <mergeCell ref="R8860:T8860"/>
    <mergeCell ref="R8861:T8861"/>
    <mergeCell ref="R8852:T8852"/>
    <mergeCell ref="R8853:T8853"/>
    <mergeCell ref="R8854:T8854"/>
    <mergeCell ref="R8855:T8855"/>
    <mergeCell ref="R8856:T8856"/>
    <mergeCell ref="R8847:T8847"/>
    <mergeCell ref="R8848:T8848"/>
    <mergeCell ref="R8849:T8849"/>
    <mergeCell ref="R8850:T8850"/>
    <mergeCell ref="R8851:T8851"/>
    <mergeCell ref="R8842:T8842"/>
    <mergeCell ref="R8843:T8843"/>
    <mergeCell ref="R8844:T8844"/>
    <mergeCell ref="R8845:T8845"/>
    <mergeCell ref="R8846:T8846"/>
    <mergeCell ref="R8837:T8837"/>
    <mergeCell ref="R8838:T8838"/>
    <mergeCell ref="R8839:T8839"/>
    <mergeCell ref="R8840:T8840"/>
    <mergeCell ref="R8841:T8841"/>
    <mergeCell ref="R8832:T8832"/>
    <mergeCell ref="R8833:T8833"/>
    <mergeCell ref="R8834:T8834"/>
    <mergeCell ref="R8835:T8835"/>
    <mergeCell ref="R8836:T8836"/>
    <mergeCell ref="R8827:T8827"/>
    <mergeCell ref="R8828:T8828"/>
    <mergeCell ref="R8829:T8829"/>
    <mergeCell ref="R8830:T8830"/>
    <mergeCell ref="R8831:T8831"/>
    <mergeCell ref="R8822:T8822"/>
    <mergeCell ref="R8823:T8823"/>
    <mergeCell ref="R8824:T8824"/>
    <mergeCell ref="R8825:T8825"/>
    <mergeCell ref="R8826:T8826"/>
    <mergeCell ref="R8817:T8817"/>
    <mergeCell ref="R8818:T8818"/>
    <mergeCell ref="R8819:T8819"/>
    <mergeCell ref="R8820:T8820"/>
    <mergeCell ref="R8821:T8821"/>
    <mergeCell ref="R8812:T8812"/>
    <mergeCell ref="R8813:T8813"/>
    <mergeCell ref="R8814:T8814"/>
    <mergeCell ref="R8815:T8815"/>
    <mergeCell ref="R8816:T8816"/>
    <mergeCell ref="R8807:T8807"/>
    <mergeCell ref="R8808:T8808"/>
    <mergeCell ref="R8809:T8809"/>
    <mergeCell ref="R8810:T8810"/>
    <mergeCell ref="R8811:T8811"/>
    <mergeCell ref="R8802:T8802"/>
    <mergeCell ref="R8803:T8803"/>
    <mergeCell ref="R8804:T8804"/>
    <mergeCell ref="R8805:T8805"/>
    <mergeCell ref="R8806:T8806"/>
    <mergeCell ref="R8797:T8797"/>
    <mergeCell ref="R8798:T8798"/>
    <mergeCell ref="R8799:T8799"/>
    <mergeCell ref="R8800:T8800"/>
    <mergeCell ref="R8801:T8801"/>
    <mergeCell ref="R8792:T8792"/>
    <mergeCell ref="R8793:T8793"/>
    <mergeCell ref="R8794:T8794"/>
    <mergeCell ref="R8795:T8795"/>
    <mergeCell ref="R8796:T8796"/>
    <mergeCell ref="R8787:T8787"/>
    <mergeCell ref="R8788:T8788"/>
    <mergeCell ref="R8789:T8789"/>
    <mergeCell ref="R8790:T8790"/>
    <mergeCell ref="R8791:T8791"/>
    <mergeCell ref="R8782:T8782"/>
    <mergeCell ref="R8783:T8783"/>
    <mergeCell ref="R8784:T8784"/>
    <mergeCell ref="R8785:T8785"/>
    <mergeCell ref="R8786:T8786"/>
    <mergeCell ref="R8777:T8777"/>
    <mergeCell ref="R8778:T8778"/>
    <mergeCell ref="R8779:T8779"/>
    <mergeCell ref="R8780:T8780"/>
    <mergeCell ref="R8781:T8781"/>
    <mergeCell ref="R8772:T8772"/>
    <mergeCell ref="R8773:T8773"/>
    <mergeCell ref="R8774:T8774"/>
    <mergeCell ref="R8775:T8775"/>
    <mergeCell ref="R8776:T8776"/>
    <mergeCell ref="R8767:T8767"/>
    <mergeCell ref="R8768:T8768"/>
    <mergeCell ref="R8769:T8769"/>
    <mergeCell ref="R8770:T8770"/>
    <mergeCell ref="R8771:T8771"/>
    <mergeCell ref="R8762:T8762"/>
    <mergeCell ref="R8763:T8763"/>
    <mergeCell ref="R8764:T8764"/>
    <mergeCell ref="R8765:T8765"/>
    <mergeCell ref="R8766:T8766"/>
    <mergeCell ref="R8757:T8757"/>
    <mergeCell ref="R8758:T8758"/>
    <mergeCell ref="R8759:T8759"/>
    <mergeCell ref="R8760:T8760"/>
    <mergeCell ref="R8761:T8761"/>
    <mergeCell ref="R8752:T8752"/>
    <mergeCell ref="R8753:T8753"/>
    <mergeCell ref="R8754:T8754"/>
    <mergeCell ref="R8755:T8755"/>
    <mergeCell ref="R8756:T8756"/>
    <mergeCell ref="R8747:T8747"/>
    <mergeCell ref="R8748:T8748"/>
    <mergeCell ref="R8749:T8749"/>
    <mergeCell ref="R8750:T8750"/>
    <mergeCell ref="R8751:T8751"/>
    <mergeCell ref="R8742:T8742"/>
    <mergeCell ref="R8743:T8743"/>
    <mergeCell ref="R8744:T8744"/>
    <mergeCell ref="R8745:T8745"/>
    <mergeCell ref="R8746:T8746"/>
    <mergeCell ref="R8737:T8737"/>
    <mergeCell ref="R8738:T8738"/>
    <mergeCell ref="R8739:T8739"/>
    <mergeCell ref="R8740:T8740"/>
    <mergeCell ref="R8741:T8741"/>
    <mergeCell ref="R8732:T8732"/>
    <mergeCell ref="R8733:T8733"/>
    <mergeCell ref="R8734:T8734"/>
    <mergeCell ref="R8735:T8735"/>
    <mergeCell ref="R8736:T8736"/>
    <mergeCell ref="R8727:T8727"/>
    <mergeCell ref="R8728:T8728"/>
    <mergeCell ref="R8729:T8729"/>
    <mergeCell ref="R8730:T8730"/>
    <mergeCell ref="R8731:T8731"/>
    <mergeCell ref="R8722:T8722"/>
    <mergeCell ref="R8723:T8723"/>
    <mergeCell ref="R8724:T8724"/>
    <mergeCell ref="R8725:T8725"/>
    <mergeCell ref="R8726:T8726"/>
    <mergeCell ref="R8717:T8717"/>
    <mergeCell ref="R8718:T8718"/>
    <mergeCell ref="R8719:T8719"/>
    <mergeCell ref="R8720:T8720"/>
    <mergeCell ref="R8721:T8721"/>
    <mergeCell ref="R8712:T8712"/>
    <mergeCell ref="R8713:T8713"/>
    <mergeCell ref="R8714:T8714"/>
    <mergeCell ref="R8715:T8715"/>
    <mergeCell ref="R8716:T8716"/>
    <mergeCell ref="R8707:T8707"/>
    <mergeCell ref="R8708:T8708"/>
    <mergeCell ref="R8709:T8709"/>
    <mergeCell ref="R8710:T8710"/>
    <mergeCell ref="R8711:T8711"/>
    <mergeCell ref="R8702:T8702"/>
    <mergeCell ref="R8703:T8703"/>
    <mergeCell ref="R8704:T8704"/>
    <mergeCell ref="R8705:T8705"/>
    <mergeCell ref="R8706:T8706"/>
    <mergeCell ref="R8697:T8697"/>
    <mergeCell ref="R8698:T8698"/>
    <mergeCell ref="R8699:T8699"/>
    <mergeCell ref="R8700:T8700"/>
    <mergeCell ref="R8701:T8701"/>
    <mergeCell ref="R8692:T8692"/>
    <mergeCell ref="R8693:T8693"/>
    <mergeCell ref="R8694:T8694"/>
    <mergeCell ref="R8695:T8695"/>
    <mergeCell ref="R8696:T8696"/>
    <mergeCell ref="R8687:T8687"/>
    <mergeCell ref="R8688:T8688"/>
    <mergeCell ref="R8689:T8689"/>
    <mergeCell ref="R8690:T8690"/>
    <mergeCell ref="R8691:T8691"/>
    <mergeCell ref="R8682:T8682"/>
    <mergeCell ref="R8683:T8683"/>
    <mergeCell ref="R8684:T8684"/>
    <mergeCell ref="R8685:T8685"/>
    <mergeCell ref="R8686:T8686"/>
    <mergeCell ref="R8677:T8677"/>
    <mergeCell ref="R8678:T8678"/>
    <mergeCell ref="R8679:T8679"/>
    <mergeCell ref="R8680:T8680"/>
    <mergeCell ref="R8681:T8681"/>
    <mergeCell ref="R8672:T8672"/>
    <mergeCell ref="R8673:T8673"/>
    <mergeCell ref="R8674:T8674"/>
    <mergeCell ref="R8675:T8675"/>
    <mergeCell ref="R8676:T8676"/>
    <mergeCell ref="R8667:T8667"/>
    <mergeCell ref="R8668:T8668"/>
    <mergeCell ref="R8669:T8669"/>
    <mergeCell ref="R8670:T8670"/>
    <mergeCell ref="R8671:T8671"/>
    <mergeCell ref="R8662:T8662"/>
    <mergeCell ref="R8663:T8663"/>
    <mergeCell ref="R8664:T8664"/>
    <mergeCell ref="R8665:T8665"/>
    <mergeCell ref="R8666:T8666"/>
    <mergeCell ref="R8657:T8657"/>
    <mergeCell ref="R8658:T8658"/>
    <mergeCell ref="R8659:T8659"/>
    <mergeCell ref="R8660:T8660"/>
    <mergeCell ref="R8661:T8661"/>
    <mergeCell ref="R8652:T8652"/>
    <mergeCell ref="R8653:T8653"/>
    <mergeCell ref="R8654:T8654"/>
    <mergeCell ref="R8655:T8655"/>
    <mergeCell ref="R8656:T8656"/>
    <mergeCell ref="R8647:T8647"/>
    <mergeCell ref="R8648:T8648"/>
    <mergeCell ref="R8649:T8649"/>
    <mergeCell ref="R8650:T8650"/>
    <mergeCell ref="R8651:T8651"/>
    <mergeCell ref="R8642:T8642"/>
    <mergeCell ref="R8643:T8643"/>
    <mergeCell ref="R8644:T8644"/>
    <mergeCell ref="R8645:T8645"/>
    <mergeCell ref="R8646:T8646"/>
    <mergeCell ref="R8637:T8637"/>
    <mergeCell ref="R8638:T8638"/>
    <mergeCell ref="R8639:T8639"/>
    <mergeCell ref="R8640:T8640"/>
    <mergeCell ref="R8641:T8641"/>
    <mergeCell ref="R8632:T8632"/>
    <mergeCell ref="R8633:T8633"/>
    <mergeCell ref="R8634:T8634"/>
    <mergeCell ref="R8635:T8635"/>
    <mergeCell ref="R8636:T8636"/>
    <mergeCell ref="R8627:T8627"/>
    <mergeCell ref="R8628:T8628"/>
    <mergeCell ref="R8629:T8629"/>
    <mergeCell ref="R8630:T8630"/>
    <mergeCell ref="R8631:T8631"/>
    <mergeCell ref="R8622:T8622"/>
    <mergeCell ref="R8623:T8623"/>
    <mergeCell ref="R8624:T8624"/>
    <mergeCell ref="R8625:T8625"/>
    <mergeCell ref="R8626:T8626"/>
    <mergeCell ref="R8617:T8617"/>
    <mergeCell ref="R8618:T8618"/>
    <mergeCell ref="R8619:T8619"/>
    <mergeCell ref="R8620:T8620"/>
    <mergeCell ref="R8621:T8621"/>
    <mergeCell ref="R8612:T8612"/>
    <mergeCell ref="R8613:T8613"/>
    <mergeCell ref="R8614:T8614"/>
    <mergeCell ref="R8615:T8615"/>
    <mergeCell ref="R8616:T8616"/>
    <mergeCell ref="R8607:T8607"/>
    <mergeCell ref="R8608:T8608"/>
    <mergeCell ref="R8609:T8609"/>
    <mergeCell ref="R8610:T8610"/>
    <mergeCell ref="R8611:T8611"/>
    <mergeCell ref="R8602:T8602"/>
    <mergeCell ref="R8603:T8603"/>
    <mergeCell ref="R8604:T8604"/>
    <mergeCell ref="R8605:T8605"/>
    <mergeCell ref="R8606:T8606"/>
    <mergeCell ref="R8597:T8597"/>
    <mergeCell ref="R8598:T8598"/>
    <mergeCell ref="R8599:T8599"/>
    <mergeCell ref="R8600:T8600"/>
    <mergeCell ref="R8601:T8601"/>
    <mergeCell ref="R8592:T8592"/>
    <mergeCell ref="R8593:T8593"/>
    <mergeCell ref="R8594:T8594"/>
    <mergeCell ref="R8595:T8595"/>
    <mergeCell ref="R8596:T8596"/>
    <mergeCell ref="R8587:T8587"/>
    <mergeCell ref="R8588:T8588"/>
    <mergeCell ref="R8589:T8589"/>
    <mergeCell ref="R8590:T8590"/>
    <mergeCell ref="R8591:T8591"/>
    <mergeCell ref="R8582:T8582"/>
    <mergeCell ref="R8583:T8583"/>
    <mergeCell ref="R8584:T8584"/>
    <mergeCell ref="R8585:T8585"/>
    <mergeCell ref="R8586:T8586"/>
    <mergeCell ref="R8577:T8577"/>
    <mergeCell ref="R8578:T8578"/>
    <mergeCell ref="R8579:T8579"/>
    <mergeCell ref="R8580:T8580"/>
    <mergeCell ref="R8581:T8581"/>
    <mergeCell ref="R8572:T8572"/>
    <mergeCell ref="R8573:T8573"/>
    <mergeCell ref="R8574:T8574"/>
    <mergeCell ref="R8575:T8575"/>
    <mergeCell ref="R8576:T8576"/>
    <mergeCell ref="R8567:T8567"/>
    <mergeCell ref="R8568:T8568"/>
    <mergeCell ref="R8569:T8569"/>
    <mergeCell ref="R8570:T8570"/>
    <mergeCell ref="R8571:T8571"/>
    <mergeCell ref="R8562:T8562"/>
    <mergeCell ref="R8563:T8563"/>
    <mergeCell ref="R8564:T8564"/>
    <mergeCell ref="R8565:T8565"/>
    <mergeCell ref="R8566:T8566"/>
    <mergeCell ref="R8557:T8557"/>
    <mergeCell ref="R8558:T8558"/>
    <mergeCell ref="R8559:T8559"/>
    <mergeCell ref="R8560:T8560"/>
    <mergeCell ref="R8561:T8561"/>
    <mergeCell ref="R8552:T8552"/>
    <mergeCell ref="R8553:T8553"/>
    <mergeCell ref="R8554:T8554"/>
    <mergeCell ref="R8555:T8555"/>
    <mergeCell ref="R8556:T8556"/>
    <mergeCell ref="R8547:T8547"/>
    <mergeCell ref="R8548:T8548"/>
    <mergeCell ref="R8549:T8549"/>
    <mergeCell ref="R8550:T8550"/>
    <mergeCell ref="R8551:T8551"/>
    <mergeCell ref="R8542:T8542"/>
    <mergeCell ref="R8543:T8543"/>
    <mergeCell ref="R8544:T8544"/>
    <mergeCell ref="R8545:T8545"/>
    <mergeCell ref="R8546:T8546"/>
    <mergeCell ref="R8537:T8537"/>
    <mergeCell ref="R8538:T8538"/>
    <mergeCell ref="R8539:T8539"/>
    <mergeCell ref="R8540:T8540"/>
    <mergeCell ref="R8541:T8541"/>
    <mergeCell ref="R8532:T8532"/>
    <mergeCell ref="R8533:T8533"/>
    <mergeCell ref="R8534:T8534"/>
    <mergeCell ref="R8535:T8535"/>
    <mergeCell ref="R8536:T8536"/>
    <mergeCell ref="R8527:T8527"/>
    <mergeCell ref="R8528:T8528"/>
    <mergeCell ref="R8529:T8529"/>
    <mergeCell ref="R8530:T8530"/>
    <mergeCell ref="R8531:T8531"/>
    <mergeCell ref="R8522:T8522"/>
    <mergeCell ref="R8523:T8523"/>
    <mergeCell ref="R8524:T8524"/>
    <mergeCell ref="R8525:T8525"/>
    <mergeCell ref="R8526:T8526"/>
    <mergeCell ref="R8517:T8517"/>
    <mergeCell ref="R8518:T8518"/>
    <mergeCell ref="R8519:T8519"/>
    <mergeCell ref="R8520:T8520"/>
    <mergeCell ref="R8521:T8521"/>
    <mergeCell ref="R8512:T8512"/>
    <mergeCell ref="R8513:T8513"/>
    <mergeCell ref="R8514:T8514"/>
    <mergeCell ref="R8515:T8515"/>
    <mergeCell ref="R8516:T8516"/>
    <mergeCell ref="R8507:T8507"/>
    <mergeCell ref="R8508:T8508"/>
    <mergeCell ref="R8509:T8509"/>
    <mergeCell ref="R8510:T8510"/>
    <mergeCell ref="R8511:T8511"/>
    <mergeCell ref="R8502:T8502"/>
    <mergeCell ref="R8503:T8503"/>
    <mergeCell ref="R8504:T8504"/>
    <mergeCell ref="R8505:T8505"/>
    <mergeCell ref="R8506:T8506"/>
    <mergeCell ref="R8497:T8497"/>
    <mergeCell ref="R8498:T8498"/>
    <mergeCell ref="R8499:T8499"/>
    <mergeCell ref="R8500:T8500"/>
    <mergeCell ref="R8501:T8501"/>
    <mergeCell ref="R8492:T8492"/>
    <mergeCell ref="R8493:T8493"/>
    <mergeCell ref="R8494:T8494"/>
    <mergeCell ref="R8495:T8495"/>
    <mergeCell ref="R8496:T8496"/>
    <mergeCell ref="R8487:T8487"/>
    <mergeCell ref="R8488:T8488"/>
    <mergeCell ref="R8489:T8489"/>
    <mergeCell ref="R8490:T8490"/>
    <mergeCell ref="R8491:T8491"/>
    <mergeCell ref="R8482:T8482"/>
    <mergeCell ref="R8483:T8483"/>
    <mergeCell ref="R8484:T8484"/>
    <mergeCell ref="R8485:T8485"/>
    <mergeCell ref="R8486:T8486"/>
    <mergeCell ref="R8477:T8477"/>
    <mergeCell ref="R8478:T8478"/>
    <mergeCell ref="R8479:T8479"/>
    <mergeCell ref="R8480:T8480"/>
    <mergeCell ref="R8481:T8481"/>
    <mergeCell ref="R8472:T8472"/>
    <mergeCell ref="R8473:T8473"/>
    <mergeCell ref="R8474:T8474"/>
    <mergeCell ref="R8475:T8475"/>
    <mergeCell ref="R8476:T8476"/>
    <mergeCell ref="R8467:T8467"/>
    <mergeCell ref="R8468:T8468"/>
    <mergeCell ref="R8469:T8469"/>
    <mergeCell ref="R8470:T8470"/>
    <mergeCell ref="R8471:T8471"/>
    <mergeCell ref="R8462:T8462"/>
    <mergeCell ref="R8463:T8463"/>
    <mergeCell ref="R8464:T8464"/>
    <mergeCell ref="R8465:T8465"/>
    <mergeCell ref="R8466:T8466"/>
    <mergeCell ref="R8457:T8457"/>
    <mergeCell ref="R8458:T8458"/>
    <mergeCell ref="R8459:T8459"/>
    <mergeCell ref="R8460:T8460"/>
    <mergeCell ref="R8461:T8461"/>
    <mergeCell ref="R8452:T8452"/>
    <mergeCell ref="R8453:T8453"/>
    <mergeCell ref="R8454:T8454"/>
    <mergeCell ref="R8455:T8455"/>
    <mergeCell ref="R8456:T8456"/>
    <mergeCell ref="R8447:T8447"/>
    <mergeCell ref="R8448:T8448"/>
    <mergeCell ref="R8449:T8449"/>
    <mergeCell ref="R8450:T8450"/>
    <mergeCell ref="R8451:T8451"/>
    <mergeCell ref="R8442:T8442"/>
    <mergeCell ref="R8443:T8443"/>
    <mergeCell ref="R8444:T8444"/>
    <mergeCell ref="R8445:T8445"/>
    <mergeCell ref="R8446:T8446"/>
    <mergeCell ref="R8437:T8437"/>
    <mergeCell ref="R8438:T8438"/>
    <mergeCell ref="R8439:T8439"/>
    <mergeCell ref="R8440:T8440"/>
    <mergeCell ref="R8441:T8441"/>
    <mergeCell ref="R8432:T8432"/>
    <mergeCell ref="R8433:T8433"/>
    <mergeCell ref="R8434:T8434"/>
    <mergeCell ref="R8435:T8435"/>
    <mergeCell ref="R8436:T8436"/>
    <mergeCell ref="R8427:T8427"/>
    <mergeCell ref="R8428:T8428"/>
    <mergeCell ref="R8429:T8429"/>
    <mergeCell ref="R8430:T8430"/>
    <mergeCell ref="R8431:T8431"/>
    <mergeCell ref="R8422:T8422"/>
    <mergeCell ref="R8423:T8423"/>
    <mergeCell ref="R8424:T8424"/>
    <mergeCell ref="R8425:T8425"/>
    <mergeCell ref="R8426:T8426"/>
    <mergeCell ref="R8417:T8417"/>
    <mergeCell ref="R8418:T8418"/>
    <mergeCell ref="R8419:T8419"/>
    <mergeCell ref="R8420:T8420"/>
    <mergeCell ref="R8421:T8421"/>
    <mergeCell ref="R8412:T8412"/>
    <mergeCell ref="R8413:T8413"/>
    <mergeCell ref="R8414:T8414"/>
    <mergeCell ref="R8415:T8415"/>
    <mergeCell ref="R8416:T8416"/>
    <mergeCell ref="R8407:T8407"/>
    <mergeCell ref="R8408:T8408"/>
    <mergeCell ref="R8409:T8409"/>
    <mergeCell ref="R8410:T8410"/>
    <mergeCell ref="R8411:T8411"/>
    <mergeCell ref="R8402:T8402"/>
    <mergeCell ref="R8403:T8403"/>
    <mergeCell ref="R8404:T8404"/>
    <mergeCell ref="R8405:T8405"/>
    <mergeCell ref="R8406:T8406"/>
    <mergeCell ref="R8397:T8397"/>
    <mergeCell ref="R8398:T8398"/>
    <mergeCell ref="R8399:T8399"/>
    <mergeCell ref="R8400:T8400"/>
    <mergeCell ref="R8401:T8401"/>
    <mergeCell ref="R8392:T8392"/>
    <mergeCell ref="R8393:T8393"/>
    <mergeCell ref="R8394:T8394"/>
    <mergeCell ref="R8395:T8395"/>
    <mergeCell ref="R8396:T8396"/>
    <mergeCell ref="R8387:T8387"/>
    <mergeCell ref="R8388:T8388"/>
    <mergeCell ref="R8389:T8389"/>
    <mergeCell ref="R8390:T8390"/>
    <mergeCell ref="R8391:T8391"/>
    <mergeCell ref="R8382:T8382"/>
    <mergeCell ref="R8383:T8383"/>
    <mergeCell ref="R8384:T8384"/>
    <mergeCell ref="R8385:T8385"/>
    <mergeCell ref="R8386:T8386"/>
    <mergeCell ref="R8377:T8377"/>
    <mergeCell ref="R8378:T8378"/>
    <mergeCell ref="R8379:T8379"/>
    <mergeCell ref="R8380:T8380"/>
    <mergeCell ref="R8381:T8381"/>
    <mergeCell ref="R8372:T8372"/>
    <mergeCell ref="R8373:T8373"/>
    <mergeCell ref="R8374:T8374"/>
    <mergeCell ref="R8375:T8375"/>
    <mergeCell ref="R8376:T8376"/>
    <mergeCell ref="R8367:T8367"/>
    <mergeCell ref="R8368:T8368"/>
    <mergeCell ref="R8369:T8369"/>
    <mergeCell ref="R8370:T8370"/>
    <mergeCell ref="R8371:T8371"/>
    <mergeCell ref="R8362:T8362"/>
    <mergeCell ref="R8363:T8363"/>
    <mergeCell ref="R8364:T8364"/>
    <mergeCell ref="R8365:T8365"/>
    <mergeCell ref="R8366:T8366"/>
    <mergeCell ref="R8357:T8357"/>
    <mergeCell ref="R8358:T8358"/>
    <mergeCell ref="R8359:T8359"/>
    <mergeCell ref="R8360:T8360"/>
    <mergeCell ref="R8361:T8361"/>
    <mergeCell ref="R8352:T8352"/>
    <mergeCell ref="R8353:T8353"/>
    <mergeCell ref="R8354:T8354"/>
    <mergeCell ref="R8355:T8355"/>
    <mergeCell ref="R8356:T8356"/>
    <mergeCell ref="R8347:T8347"/>
    <mergeCell ref="R8348:T8348"/>
    <mergeCell ref="R8349:T8349"/>
    <mergeCell ref="R8350:T8350"/>
    <mergeCell ref="R8351:T8351"/>
    <mergeCell ref="R8342:T8342"/>
    <mergeCell ref="R8343:T8343"/>
    <mergeCell ref="R8344:T8344"/>
    <mergeCell ref="R8345:T8345"/>
    <mergeCell ref="R8346:T8346"/>
    <mergeCell ref="R8337:T8337"/>
    <mergeCell ref="R8338:T8338"/>
    <mergeCell ref="R8339:T8339"/>
    <mergeCell ref="R8340:T8340"/>
    <mergeCell ref="R8341:T8341"/>
    <mergeCell ref="R8332:T8332"/>
    <mergeCell ref="R8333:T8333"/>
    <mergeCell ref="R8334:T8334"/>
    <mergeCell ref="R8335:T8335"/>
    <mergeCell ref="R8336:T8336"/>
    <mergeCell ref="R8327:T8327"/>
    <mergeCell ref="R8328:T8328"/>
    <mergeCell ref="R8329:T8329"/>
    <mergeCell ref="R8330:T8330"/>
    <mergeCell ref="R8331:T8331"/>
    <mergeCell ref="R8322:T8322"/>
    <mergeCell ref="R8323:T8323"/>
    <mergeCell ref="R8324:T8324"/>
    <mergeCell ref="R8325:T8325"/>
    <mergeCell ref="R8326:T8326"/>
    <mergeCell ref="R8317:T8317"/>
    <mergeCell ref="R8318:T8318"/>
    <mergeCell ref="R8319:T8319"/>
    <mergeCell ref="R8320:T8320"/>
    <mergeCell ref="R8321:T8321"/>
    <mergeCell ref="R8312:T8312"/>
    <mergeCell ref="R8313:T8313"/>
    <mergeCell ref="R8314:T8314"/>
    <mergeCell ref="R8315:T8315"/>
    <mergeCell ref="R8316:T8316"/>
    <mergeCell ref="R8307:T8307"/>
    <mergeCell ref="R8308:T8308"/>
    <mergeCell ref="R8309:T8309"/>
    <mergeCell ref="R8310:T8310"/>
    <mergeCell ref="R8311:T8311"/>
    <mergeCell ref="R8302:T8302"/>
    <mergeCell ref="R8303:T8303"/>
    <mergeCell ref="R8304:T8304"/>
    <mergeCell ref="R8305:T8305"/>
    <mergeCell ref="R8306:T8306"/>
    <mergeCell ref="R8297:T8297"/>
    <mergeCell ref="R8298:T8298"/>
    <mergeCell ref="R8299:T8299"/>
    <mergeCell ref="R8300:T8300"/>
    <mergeCell ref="R8301:T8301"/>
    <mergeCell ref="R8292:T8292"/>
    <mergeCell ref="R8293:T8293"/>
    <mergeCell ref="R8294:T8294"/>
    <mergeCell ref="R8295:T8295"/>
    <mergeCell ref="R8296:T8296"/>
    <mergeCell ref="R8287:T8287"/>
    <mergeCell ref="R8288:T8288"/>
    <mergeCell ref="R8289:T8289"/>
    <mergeCell ref="R8290:T8290"/>
    <mergeCell ref="R8291:T8291"/>
    <mergeCell ref="R8282:T8282"/>
    <mergeCell ref="R8283:T8283"/>
    <mergeCell ref="R8284:T8284"/>
    <mergeCell ref="R8285:T8285"/>
    <mergeCell ref="R8286:T8286"/>
    <mergeCell ref="R8277:T8277"/>
    <mergeCell ref="R8278:T8278"/>
    <mergeCell ref="R8279:T8279"/>
    <mergeCell ref="R8280:T8280"/>
    <mergeCell ref="R8281:T8281"/>
    <mergeCell ref="R8272:T8272"/>
    <mergeCell ref="R8273:T8273"/>
    <mergeCell ref="R8274:T8274"/>
    <mergeCell ref="R8275:T8275"/>
    <mergeCell ref="R8276:T8276"/>
    <mergeCell ref="R8267:T8267"/>
    <mergeCell ref="R8268:T8268"/>
    <mergeCell ref="R8269:T8269"/>
    <mergeCell ref="R8270:T8270"/>
    <mergeCell ref="R8271:T8271"/>
    <mergeCell ref="R8262:T8262"/>
    <mergeCell ref="R8263:T8263"/>
    <mergeCell ref="R8264:T8264"/>
    <mergeCell ref="R8265:T8265"/>
    <mergeCell ref="R8266:T8266"/>
    <mergeCell ref="R8257:T8257"/>
    <mergeCell ref="R8258:T8258"/>
    <mergeCell ref="R8259:T8259"/>
    <mergeCell ref="R8260:T8260"/>
    <mergeCell ref="R8261:T8261"/>
    <mergeCell ref="R8252:T8252"/>
    <mergeCell ref="R8253:T8253"/>
    <mergeCell ref="R8254:T8254"/>
    <mergeCell ref="R8255:T8255"/>
    <mergeCell ref="R8256:T8256"/>
    <mergeCell ref="R8247:T8247"/>
    <mergeCell ref="R8248:T8248"/>
    <mergeCell ref="R8249:T8249"/>
    <mergeCell ref="R8250:T8250"/>
    <mergeCell ref="R8251:T8251"/>
    <mergeCell ref="R8242:T8242"/>
    <mergeCell ref="R8243:T8243"/>
    <mergeCell ref="R8244:T8244"/>
    <mergeCell ref="R8245:T8245"/>
    <mergeCell ref="R8246:T8246"/>
    <mergeCell ref="R8237:T8237"/>
    <mergeCell ref="R8238:T8238"/>
    <mergeCell ref="R8239:T8239"/>
    <mergeCell ref="R8240:T8240"/>
    <mergeCell ref="R8241:T8241"/>
    <mergeCell ref="R8232:T8232"/>
    <mergeCell ref="R8233:T8233"/>
    <mergeCell ref="R8234:T8234"/>
    <mergeCell ref="R8235:T8235"/>
    <mergeCell ref="R8236:T8236"/>
    <mergeCell ref="R8227:T8227"/>
    <mergeCell ref="R8228:T8228"/>
    <mergeCell ref="R8229:T8229"/>
    <mergeCell ref="R8230:T8230"/>
    <mergeCell ref="R8231:T8231"/>
    <mergeCell ref="R8222:T8222"/>
    <mergeCell ref="R8223:T8223"/>
    <mergeCell ref="R8224:T8224"/>
    <mergeCell ref="R8225:T8225"/>
    <mergeCell ref="R8226:T8226"/>
    <mergeCell ref="R8217:T8217"/>
    <mergeCell ref="R8218:T8218"/>
    <mergeCell ref="R8219:T8219"/>
    <mergeCell ref="R8220:T8220"/>
    <mergeCell ref="R8221:T8221"/>
    <mergeCell ref="R8212:T8212"/>
    <mergeCell ref="R8213:T8213"/>
    <mergeCell ref="R8214:T8214"/>
    <mergeCell ref="R8215:T8215"/>
    <mergeCell ref="R8216:T8216"/>
    <mergeCell ref="R8207:T8207"/>
    <mergeCell ref="R8208:T8208"/>
    <mergeCell ref="R8209:T8209"/>
    <mergeCell ref="R8210:T8210"/>
    <mergeCell ref="R8211:T8211"/>
    <mergeCell ref="R8202:T8202"/>
    <mergeCell ref="R8203:T8203"/>
    <mergeCell ref="R8204:T8204"/>
    <mergeCell ref="R8205:T8205"/>
    <mergeCell ref="R8206:T8206"/>
    <mergeCell ref="R8197:T8197"/>
    <mergeCell ref="R8198:T8198"/>
    <mergeCell ref="R8199:T8199"/>
    <mergeCell ref="R8200:T8200"/>
    <mergeCell ref="R8201:T8201"/>
    <mergeCell ref="R8192:T8192"/>
    <mergeCell ref="R8193:T8193"/>
    <mergeCell ref="R8194:T8194"/>
    <mergeCell ref="R8195:T8195"/>
    <mergeCell ref="R8196:T8196"/>
    <mergeCell ref="R8187:T8187"/>
    <mergeCell ref="R8188:T8188"/>
    <mergeCell ref="R8189:T8189"/>
    <mergeCell ref="R8190:T8190"/>
    <mergeCell ref="R8191:T8191"/>
    <mergeCell ref="R8182:T8182"/>
    <mergeCell ref="R8183:T8183"/>
    <mergeCell ref="R8184:T8184"/>
    <mergeCell ref="R8185:T8185"/>
    <mergeCell ref="R8186:T8186"/>
    <mergeCell ref="R8177:T8177"/>
    <mergeCell ref="R8178:T8178"/>
    <mergeCell ref="R8179:T8179"/>
    <mergeCell ref="R8180:T8180"/>
    <mergeCell ref="R8181:T8181"/>
    <mergeCell ref="R8172:T8172"/>
    <mergeCell ref="R8173:T8173"/>
    <mergeCell ref="R8174:T8174"/>
    <mergeCell ref="R8175:T8175"/>
    <mergeCell ref="R8176:T8176"/>
    <mergeCell ref="R8167:T8167"/>
    <mergeCell ref="R8168:T8168"/>
    <mergeCell ref="R8169:T8169"/>
    <mergeCell ref="R8170:T8170"/>
    <mergeCell ref="R8171:T8171"/>
    <mergeCell ref="R8162:T8162"/>
    <mergeCell ref="R8163:T8163"/>
    <mergeCell ref="R8164:T8164"/>
    <mergeCell ref="R8165:T8165"/>
    <mergeCell ref="R8166:T8166"/>
    <mergeCell ref="R8157:T8157"/>
    <mergeCell ref="R8158:T8158"/>
    <mergeCell ref="R8159:T8159"/>
    <mergeCell ref="R8160:T8160"/>
    <mergeCell ref="R8161:T8161"/>
    <mergeCell ref="R8152:T8152"/>
    <mergeCell ref="R8153:T8153"/>
    <mergeCell ref="R8154:T8154"/>
    <mergeCell ref="R8155:T8155"/>
    <mergeCell ref="R8156:T8156"/>
    <mergeCell ref="R8147:T8147"/>
    <mergeCell ref="R8148:T8148"/>
    <mergeCell ref="R8149:T8149"/>
    <mergeCell ref="R8150:T8150"/>
    <mergeCell ref="R8151:T8151"/>
    <mergeCell ref="R8142:T8142"/>
    <mergeCell ref="R8143:T8143"/>
    <mergeCell ref="R8144:T8144"/>
    <mergeCell ref="R8145:T8145"/>
    <mergeCell ref="R8146:T8146"/>
    <mergeCell ref="R8137:T8137"/>
    <mergeCell ref="R8138:T8138"/>
    <mergeCell ref="R8139:T8139"/>
    <mergeCell ref="R8140:T8140"/>
    <mergeCell ref="R8141:T8141"/>
    <mergeCell ref="R8132:T8132"/>
    <mergeCell ref="R8133:T8133"/>
    <mergeCell ref="R8134:T8134"/>
    <mergeCell ref="R8135:T8135"/>
    <mergeCell ref="R8136:T8136"/>
    <mergeCell ref="R8127:T8127"/>
    <mergeCell ref="R8128:T8128"/>
    <mergeCell ref="R8129:T8129"/>
    <mergeCell ref="R8130:T8130"/>
    <mergeCell ref="R8131:T8131"/>
    <mergeCell ref="R8122:T8122"/>
    <mergeCell ref="R8123:T8123"/>
    <mergeCell ref="R8124:T8124"/>
    <mergeCell ref="R8125:T8125"/>
    <mergeCell ref="R8126:T8126"/>
    <mergeCell ref="R8117:T8117"/>
    <mergeCell ref="R8118:T8118"/>
    <mergeCell ref="R8119:T8119"/>
    <mergeCell ref="R8120:T8120"/>
    <mergeCell ref="R8121:T8121"/>
    <mergeCell ref="R8112:T8112"/>
    <mergeCell ref="R8113:T8113"/>
    <mergeCell ref="R8114:T8114"/>
    <mergeCell ref="R8115:T8115"/>
    <mergeCell ref="R8116:T8116"/>
    <mergeCell ref="R8107:T8107"/>
    <mergeCell ref="R8108:T8108"/>
    <mergeCell ref="R8109:T8109"/>
    <mergeCell ref="R8110:T8110"/>
    <mergeCell ref="R8111:T8111"/>
    <mergeCell ref="R8102:T8102"/>
    <mergeCell ref="R8103:T8103"/>
    <mergeCell ref="R8104:T8104"/>
    <mergeCell ref="R8105:T8105"/>
    <mergeCell ref="R8106:T8106"/>
    <mergeCell ref="R8097:T8097"/>
    <mergeCell ref="R8098:T8098"/>
    <mergeCell ref="R8099:T8099"/>
    <mergeCell ref="R8100:T8100"/>
    <mergeCell ref="R8101:T8101"/>
    <mergeCell ref="R8092:T8092"/>
    <mergeCell ref="R8093:T8093"/>
    <mergeCell ref="R8094:T8094"/>
    <mergeCell ref="R8095:T8095"/>
    <mergeCell ref="R8096:T8096"/>
    <mergeCell ref="R8087:T8087"/>
    <mergeCell ref="R8088:T8088"/>
    <mergeCell ref="R8089:T8089"/>
    <mergeCell ref="R8090:T8090"/>
    <mergeCell ref="R8091:T8091"/>
    <mergeCell ref="R8082:T8082"/>
    <mergeCell ref="R8083:T8083"/>
    <mergeCell ref="R8084:T8084"/>
    <mergeCell ref="R8085:T8085"/>
    <mergeCell ref="R8086:T8086"/>
    <mergeCell ref="R8077:T8077"/>
    <mergeCell ref="R8078:T8078"/>
    <mergeCell ref="R8079:T8079"/>
    <mergeCell ref="R8080:T8080"/>
    <mergeCell ref="R8081:T8081"/>
    <mergeCell ref="R8072:T8072"/>
    <mergeCell ref="R8073:T8073"/>
    <mergeCell ref="R8074:T8074"/>
    <mergeCell ref="R8075:T8075"/>
    <mergeCell ref="R8076:T8076"/>
    <mergeCell ref="R8067:T8067"/>
    <mergeCell ref="R8068:T8068"/>
    <mergeCell ref="R8069:T8069"/>
    <mergeCell ref="R8070:T8070"/>
    <mergeCell ref="R8071:T8071"/>
    <mergeCell ref="R8062:T8062"/>
    <mergeCell ref="R8063:T8063"/>
    <mergeCell ref="R8064:T8064"/>
    <mergeCell ref="R8065:T8065"/>
    <mergeCell ref="R8066:T8066"/>
    <mergeCell ref="R8057:T8057"/>
    <mergeCell ref="R8058:T8058"/>
    <mergeCell ref="R8059:T8059"/>
    <mergeCell ref="R8060:T8060"/>
    <mergeCell ref="R8061:T8061"/>
    <mergeCell ref="R8052:T8052"/>
    <mergeCell ref="R8053:T8053"/>
    <mergeCell ref="R8054:T8054"/>
    <mergeCell ref="R8055:T8055"/>
    <mergeCell ref="R8056:T8056"/>
    <mergeCell ref="R8047:T8047"/>
    <mergeCell ref="R8048:T8048"/>
    <mergeCell ref="R8049:T8049"/>
    <mergeCell ref="R8050:T8050"/>
    <mergeCell ref="R8051:T8051"/>
    <mergeCell ref="R8042:T8042"/>
    <mergeCell ref="R8043:T8043"/>
    <mergeCell ref="R8044:T8044"/>
    <mergeCell ref="R8045:T8045"/>
    <mergeCell ref="R8046:T8046"/>
    <mergeCell ref="R8037:T8037"/>
    <mergeCell ref="R8038:T8038"/>
    <mergeCell ref="R8039:T8039"/>
    <mergeCell ref="R8040:T8040"/>
    <mergeCell ref="R8041:T8041"/>
    <mergeCell ref="R8032:T8032"/>
    <mergeCell ref="R8033:T8033"/>
    <mergeCell ref="R8034:T8034"/>
    <mergeCell ref="R8035:T8035"/>
    <mergeCell ref="R8036:T8036"/>
    <mergeCell ref="R8027:T8027"/>
    <mergeCell ref="R8028:T8028"/>
    <mergeCell ref="R8029:T8029"/>
    <mergeCell ref="R8030:T8030"/>
    <mergeCell ref="R8031:T8031"/>
    <mergeCell ref="R8022:T8022"/>
    <mergeCell ref="R8023:T8023"/>
    <mergeCell ref="R8024:T8024"/>
    <mergeCell ref="R8025:T8025"/>
    <mergeCell ref="R8026:T8026"/>
    <mergeCell ref="R8017:T8017"/>
    <mergeCell ref="R8018:T8018"/>
    <mergeCell ref="R8019:T8019"/>
    <mergeCell ref="R8020:T8020"/>
    <mergeCell ref="R8021:T8021"/>
    <mergeCell ref="R8012:T8012"/>
    <mergeCell ref="R8013:T8013"/>
    <mergeCell ref="R8014:T8014"/>
    <mergeCell ref="R8015:T8015"/>
    <mergeCell ref="R8016:T8016"/>
    <mergeCell ref="R8007:T8007"/>
    <mergeCell ref="R8008:T8008"/>
    <mergeCell ref="R8009:T8009"/>
    <mergeCell ref="R8010:T8010"/>
    <mergeCell ref="R8011:T8011"/>
    <mergeCell ref="R8002:T8002"/>
    <mergeCell ref="R8003:T8003"/>
    <mergeCell ref="R8004:T8004"/>
    <mergeCell ref="R8005:T8005"/>
    <mergeCell ref="R8006:T8006"/>
    <mergeCell ref="R7997:T7997"/>
    <mergeCell ref="R7998:T7998"/>
    <mergeCell ref="R7999:T7999"/>
    <mergeCell ref="R8000:T8000"/>
    <mergeCell ref="R8001:T8001"/>
    <mergeCell ref="R7992:T7992"/>
    <mergeCell ref="R7993:T7993"/>
    <mergeCell ref="R7994:T7994"/>
    <mergeCell ref="R7995:T7995"/>
    <mergeCell ref="R7996:T7996"/>
    <mergeCell ref="R7987:T7987"/>
    <mergeCell ref="R7988:T7988"/>
    <mergeCell ref="R7989:T7989"/>
    <mergeCell ref="R7990:T7990"/>
    <mergeCell ref="R7991:T7991"/>
    <mergeCell ref="R7982:T7982"/>
    <mergeCell ref="R7983:T7983"/>
    <mergeCell ref="R7984:T7984"/>
    <mergeCell ref="R7985:T7985"/>
    <mergeCell ref="R7986:T7986"/>
    <mergeCell ref="R7977:T7977"/>
    <mergeCell ref="R7978:T7978"/>
    <mergeCell ref="R7979:T7979"/>
    <mergeCell ref="R7980:T7980"/>
    <mergeCell ref="R7981:T7981"/>
    <mergeCell ref="R7972:T7972"/>
    <mergeCell ref="R7973:T7973"/>
    <mergeCell ref="R7974:T7974"/>
    <mergeCell ref="R7975:T7975"/>
    <mergeCell ref="R7976:T7976"/>
    <mergeCell ref="R7967:T7967"/>
    <mergeCell ref="R7968:T7968"/>
    <mergeCell ref="R7969:T7969"/>
    <mergeCell ref="R7970:T7970"/>
    <mergeCell ref="R7971:T7971"/>
    <mergeCell ref="R7962:T7962"/>
    <mergeCell ref="R7963:T7963"/>
    <mergeCell ref="R7964:T7964"/>
    <mergeCell ref="R7965:T7965"/>
    <mergeCell ref="R7966:T7966"/>
    <mergeCell ref="R7957:T7957"/>
    <mergeCell ref="R7958:T7958"/>
    <mergeCell ref="R7959:T7959"/>
    <mergeCell ref="R7960:T7960"/>
    <mergeCell ref="R7961:T7961"/>
    <mergeCell ref="R7952:T7952"/>
    <mergeCell ref="R7953:T7953"/>
    <mergeCell ref="R7954:T7954"/>
    <mergeCell ref="R7955:T7955"/>
    <mergeCell ref="R7956:T7956"/>
    <mergeCell ref="R7947:T7947"/>
    <mergeCell ref="R7948:T7948"/>
    <mergeCell ref="R7949:T7949"/>
    <mergeCell ref="R7950:T7950"/>
    <mergeCell ref="R7951:T7951"/>
    <mergeCell ref="R7942:T7942"/>
    <mergeCell ref="R7943:T7943"/>
    <mergeCell ref="R7944:T7944"/>
    <mergeCell ref="R7945:T7945"/>
    <mergeCell ref="R7946:T7946"/>
    <mergeCell ref="R7937:T7937"/>
    <mergeCell ref="R7938:T7938"/>
    <mergeCell ref="R7939:T7939"/>
    <mergeCell ref="R7940:T7940"/>
    <mergeCell ref="R7941:T7941"/>
    <mergeCell ref="R7932:T7932"/>
    <mergeCell ref="R7933:T7933"/>
    <mergeCell ref="R7934:T7934"/>
    <mergeCell ref="R7935:T7935"/>
    <mergeCell ref="R7936:T7936"/>
    <mergeCell ref="R7927:T7927"/>
    <mergeCell ref="R7928:T7928"/>
    <mergeCell ref="R7929:T7929"/>
    <mergeCell ref="R7930:T7930"/>
    <mergeCell ref="R7931:T7931"/>
    <mergeCell ref="R7922:T7922"/>
    <mergeCell ref="R7923:T7923"/>
    <mergeCell ref="R7924:T7924"/>
    <mergeCell ref="R7925:T7925"/>
    <mergeCell ref="R7926:T7926"/>
    <mergeCell ref="R7917:T7917"/>
    <mergeCell ref="R7918:T7918"/>
    <mergeCell ref="R7919:T7919"/>
    <mergeCell ref="R7920:T7920"/>
    <mergeCell ref="R7921:T7921"/>
    <mergeCell ref="R7912:T7912"/>
    <mergeCell ref="R7913:T7913"/>
    <mergeCell ref="R7914:T7914"/>
    <mergeCell ref="R7915:T7915"/>
    <mergeCell ref="R7916:T7916"/>
    <mergeCell ref="R7907:T7907"/>
    <mergeCell ref="R7908:T7908"/>
    <mergeCell ref="R7909:T7909"/>
    <mergeCell ref="R7910:T7910"/>
    <mergeCell ref="R7911:T7911"/>
    <mergeCell ref="R7902:T7902"/>
    <mergeCell ref="R7903:T7903"/>
    <mergeCell ref="R7904:T7904"/>
    <mergeCell ref="R7905:T7905"/>
    <mergeCell ref="R7906:T7906"/>
    <mergeCell ref="R7897:T7897"/>
    <mergeCell ref="R7898:T7898"/>
    <mergeCell ref="R7899:T7899"/>
    <mergeCell ref="R7900:T7900"/>
    <mergeCell ref="R7901:T7901"/>
    <mergeCell ref="R7892:T7892"/>
    <mergeCell ref="R7893:T7893"/>
    <mergeCell ref="R7894:T7894"/>
    <mergeCell ref="R7895:T7895"/>
    <mergeCell ref="R7896:T7896"/>
    <mergeCell ref="R7887:T7887"/>
    <mergeCell ref="R7888:T7888"/>
    <mergeCell ref="R7889:T7889"/>
    <mergeCell ref="R7890:T7890"/>
    <mergeCell ref="R7891:T7891"/>
    <mergeCell ref="R7882:T7882"/>
    <mergeCell ref="R7883:T7883"/>
    <mergeCell ref="R7884:T7884"/>
    <mergeCell ref="R7885:T7885"/>
    <mergeCell ref="R7886:T7886"/>
    <mergeCell ref="R7877:T7877"/>
    <mergeCell ref="R7878:T7878"/>
    <mergeCell ref="R7879:T7879"/>
    <mergeCell ref="R7880:T7880"/>
    <mergeCell ref="R7881:T7881"/>
    <mergeCell ref="R7872:T7872"/>
    <mergeCell ref="R7873:T7873"/>
    <mergeCell ref="R7874:T7874"/>
    <mergeCell ref="R7875:T7875"/>
    <mergeCell ref="R7876:T7876"/>
    <mergeCell ref="R7867:T7867"/>
    <mergeCell ref="R7868:T7868"/>
    <mergeCell ref="R7869:T7869"/>
    <mergeCell ref="R7870:T7870"/>
    <mergeCell ref="R7871:T7871"/>
    <mergeCell ref="R7862:T7862"/>
    <mergeCell ref="R7863:T7863"/>
    <mergeCell ref="R7864:T7864"/>
    <mergeCell ref="R7865:T7865"/>
    <mergeCell ref="R7866:T7866"/>
    <mergeCell ref="R7857:T7857"/>
    <mergeCell ref="R7858:T7858"/>
    <mergeCell ref="R7859:T7859"/>
    <mergeCell ref="R7860:T7860"/>
    <mergeCell ref="R7861:T7861"/>
    <mergeCell ref="R7852:T7852"/>
    <mergeCell ref="R7853:T7853"/>
    <mergeCell ref="R7854:T7854"/>
    <mergeCell ref="R7855:T7855"/>
    <mergeCell ref="R7856:T7856"/>
    <mergeCell ref="R7847:T7847"/>
    <mergeCell ref="R7848:T7848"/>
    <mergeCell ref="R7849:T7849"/>
    <mergeCell ref="R7850:T7850"/>
    <mergeCell ref="R7851:T7851"/>
    <mergeCell ref="R7842:T7842"/>
    <mergeCell ref="R7843:T7843"/>
    <mergeCell ref="R7844:T7844"/>
    <mergeCell ref="R7845:T7845"/>
    <mergeCell ref="R7846:T7846"/>
    <mergeCell ref="R7837:T7837"/>
    <mergeCell ref="R7838:T7838"/>
    <mergeCell ref="R7839:T7839"/>
    <mergeCell ref="R7840:T7840"/>
    <mergeCell ref="R7841:T7841"/>
    <mergeCell ref="R7832:T7832"/>
    <mergeCell ref="R7833:T7833"/>
    <mergeCell ref="R7834:T7834"/>
    <mergeCell ref="R7835:T7835"/>
    <mergeCell ref="R7836:T7836"/>
    <mergeCell ref="R7827:T7827"/>
    <mergeCell ref="R7828:T7828"/>
    <mergeCell ref="R7829:T7829"/>
    <mergeCell ref="R7830:T7830"/>
    <mergeCell ref="R7831:T7831"/>
    <mergeCell ref="R7822:T7822"/>
    <mergeCell ref="R7823:T7823"/>
    <mergeCell ref="R7824:T7824"/>
    <mergeCell ref="R7825:T7825"/>
    <mergeCell ref="R7826:T7826"/>
    <mergeCell ref="R7817:T7817"/>
    <mergeCell ref="R7818:T7818"/>
    <mergeCell ref="R7819:T7819"/>
    <mergeCell ref="R7820:T7820"/>
    <mergeCell ref="R7821:T7821"/>
    <mergeCell ref="R7812:T7812"/>
    <mergeCell ref="R7813:T7813"/>
    <mergeCell ref="R7814:T7814"/>
    <mergeCell ref="R7815:T7815"/>
    <mergeCell ref="R7816:T7816"/>
    <mergeCell ref="R7807:T7807"/>
    <mergeCell ref="R7808:T7808"/>
    <mergeCell ref="R7809:T7809"/>
    <mergeCell ref="R7810:T7810"/>
    <mergeCell ref="R7811:T7811"/>
    <mergeCell ref="R7802:T7802"/>
    <mergeCell ref="R7803:T7803"/>
    <mergeCell ref="R7804:T7804"/>
    <mergeCell ref="R7805:T7805"/>
    <mergeCell ref="R7806:T7806"/>
    <mergeCell ref="R7797:T7797"/>
    <mergeCell ref="R7798:T7798"/>
    <mergeCell ref="R7799:T7799"/>
    <mergeCell ref="R7800:T7800"/>
    <mergeCell ref="R7801:T7801"/>
    <mergeCell ref="R7792:T7792"/>
    <mergeCell ref="R7793:T7793"/>
    <mergeCell ref="R7794:T7794"/>
    <mergeCell ref="R7795:T7795"/>
    <mergeCell ref="R7796:T7796"/>
    <mergeCell ref="R7787:T7787"/>
    <mergeCell ref="R7788:T7788"/>
    <mergeCell ref="R7789:T7789"/>
    <mergeCell ref="R7790:T7790"/>
    <mergeCell ref="R7791:T7791"/>
    <mergeCell ref="R7782:T7782"/>
    <mergeCell ref="R7783:T7783"/>
    <mergeCell ref="R7784:T7784"/>
    <mergeCell ref="R7785:T7785"/>
    <mergeCell ref="R7786:T7786"/>
    <mergeCell ref="R7777:T7777"/>
    <mergeCell ref="R7778:T7778"/>
    <mergeCell ref="R7779:T7779"/>
    <mergeCell ref="R7780:T7780"/>
    <mergeCell ref="R7781:T7781"/>
    <mergeCell ref="R7772:T7772"/>
    <mergeCell ref="R7773:T7773"/>
    <mergeCell ref="R7774:T7774"/>
    <mergeCell ref="R7775:T7775"/>
    <mergeCell ref="R7776:T7776"/>
    <mergeCell ref="R7767:T7767"/>
    <mergeCell ref="R7768:T7768"/>
    <mergeCell ref="R7769:T7769"/>
    <mergeCell ref="R7770:T7770"/>
    <mergeCell ref="R7771:T7771"/>
    <mergeCell ref="R7762:T7762"/>
    <mergeCell ref="R7763:T7763"/>
    <mergeCell ref="R7764:T7764"/>
    <mergeCell ref="R7765:T7765"/>
    <mergeCell ref="R7766:T7766"/>
    <mergeCell ref="R7757:T7757"/>
    <mergeCell ref="R7758:T7758"/>
    <mergeCell ref="R7759:T7759"/>
    <mergeCell ref="R7760:T7760"/>
    <mergeCell ref="R7761:T7761"/>
    <mergeCell ref="R7752:T7752"/>
    <mergeCell ref="R7753:T7753"/>
    <mergeCell ref="R7754:T7754"/>
    <mergeCell ref="R7755:T7755"/>
    <mergeCell ref="R7756:T7756"/>
    <mergeCell ref="R7747:T7747"/>
    <mergeCell ref="R7748:T7748"/>
    <mergeCell ref="R7749:T7749"/>
    <mergeCell ref="R7750:T7750"/>
    <mergeCell ref="R7751:T7751"/>
    <mergeCell ref="R7742:T7742"/>
    <mergeCell ref="R7743:T7743"/>
    <mergeCell ref="R7744:T7744"/>
    <mergeCell ref="R7745:T7745"/>
    <mergeCell ref="R7746:T7746"/>
    <mergeCell ref="R7737:T7737"/>
    <mergeCell ref="R7738:T7738"/>
    <mergeCell ref="R7739:T7739"/>
    <mergeCell ref="R7740:T7740"/>
    <mergeCell ref="R7741:T7741"/>
    <mergeCell ref="R7732:T7732"/>
    <mergeCell ref="R7733:T7733"/>
    <mergeCell ref="R7734:T7734"/>
    <mergeCell ref="R7735:T7735"/>
    <mergeCell ref="R7736:T7736"/>
    <mergeCell ref="R7727:T7727"/>
    <mergeCell ref="R7728:T7728"/>
    <mergeCell ref="R7729:T7729"/>
    <mergeCell ref="R7730:T7730"/>
    <mergeCell ref="R7731:T7731"/>
    <mergeCell ref="R7722:T7722"/>
    <mergeCell ref="R7723:T7723"/>
    <mergeCell ref="R7724:T7724"/>
    <mergeCell ref="R7725:T7725"/>
    <mergeCell ref="R7726:T7726"/>
    <mergeCell ref="R7717:T7717"/>
    <mergeCell ref="R7718:T7718"/>
    <mergeCell ref="R7719:T7719"/>
    <mergeCell ref="R7720:T7720"/>
    <mergeCell ref="R7721:T7721"/>
    <mergeCell ref="R7712:T7712"/>
    <mergeCell ref="R7713:T7713"/>
    <mergeCell ref="R7714:T7714"/>
    <mergeCell ref="R7715:T7715"/>
    <mergeCell ref="R7716:T7716"/>
    <mergeCell ref="R7707:T7707"/>
    <mergeCell ref="R7708:T7708"/>
    <mergeCell ref="R7709:T7709"/>
    <mergeCell ref="R7710:T7710"/>
    <mergeCell ref="R7711:T7711"/>
    <mergeCell ref="R7702:T7702"/>
    <mergeCell ref="R7703:T7703"/>
    <mergeCell ref="R7704:T7704"/>
    <mergeCell ref="R7705:T7705"/>
    <mergeCell ref="R7706:T7706"/>
    <mergeCell ref="R7697:T7697"/>
    <mergeCell ref="R7698:T7698"/>
    <mergeCell ref="R7699:T7699"/>
    <mergeCell ref="R7700:T7700"/>
    <mergeCell ref="R7701:T7701"/>
    <mergeCell ref="R7692:T7692"/>
    <mergeCell ref="R7693:T7693"/>
    <mergeCell ref="R7694:T7694"/>
    <mergeCell ref="R7695:T7695"/>
    <mergeCell ref="R7696:T7696"/>
    <mergeCell ref="R7687:T7687"/>
    <mergeCell ref="R7688:T7688"/>
    <mergeCell ref="R7689:T7689"/>
    <mergeCell ref="R7690:T7690"/>
    <mergeCell ref="R7691:T7691"/>
    <mergeCell ref="R7682:T7682"/>
    <mergeCell ref="R7683:T7683"/>
    <mergeCell ref="R7684:T7684"/>
    <mergeCell ref="R7685:T7685"/>
    <mergeCell ref="R7686:T7686"/>
    <mergeCell ref="R7677:T7677"/>
    <mergeCell ref="R7678:T7678"/>
    <mergeCell ref="R7679:T7679"/>
    <mergeCell ref="R7680:T7680"/>
    <mergeCell ref="R7681:T7681"/>
    <mergeCell ref="R7672:T7672"/>
    <mergeCell ref="R7673:T7673"/>
    <mergeCell ref="R7674:T7674"/>
    <mergeCell ref="R7675:T7675"/>
    <mergeCell ref="R7676:T7676"/>
    <mergeCell ref="R7667:T7667"/>
    <mergeCell ref="R7668:T7668"/>
    <mergeCell ref="R7669:T7669"/>
    <mergeCell ref="R7670:T7670"/>
    <mergeCell ref="R7671:T7671"/>
    <mergeCell ref="R7662:T7662"/>
    <mergeCell ref="R7663:T7663"/>
    <mergeCell ref="R7664:T7664"/>
    <mergeCell ref="R7665:T7665"/>
    <mergeCell ref="R7666:T7666"/>
    <mergeCell ref="R7657:T7657"/>
    <mergeCell ref="R7658:T7658"/>
    <mergeCell ref="R7659:T7659"/>
    <mergeCell ref="R7660:T7660"/>
    <mergeCell ref="R7661:T7661"/>
    <mergeCell ref="R7652:T7652"/>
    <mergeCell ref="R7653:T7653"/>
    <mergeCell ref="R7654:T7654"/>
    <mergeCell ref="R7655:T7655"/>
    <mergeCell ref="R7656:T7656"/>
    <mergeCell ref="R7647:T7647"/>
    <mergeCell ref="R7648:T7648"/>
    <mergeCell ref="R7649:T7649"/>
    <mergeCell ref="R7650:T7650"/>
    <mergeCell ref="R7651:T7651"/>
    <mergeCell ref="R7642:T7642"/>
    <mergeCell ref="R7643:T7643"/>
    <mergeCell ref="R7644:T7644"/>
    <mergeCell ref="R7645:T7645"/>
    <mergeCell ref="R7646:T7646"/>
    <mergeCell ref="R7637:T7637"/>
    <mergeCell ref="R7638:T7638"/>
    <mergeCell ref="R7639:T7639"/>
    <mergeCell ref="R7640:T7640"/>
    <mergeCell ref="R7641:T7641"/>
    <mergeCell ref="R7632:T7632"/>
    <mergeCell ref="R7633:T7633"/>
    <mergeCell ref="R7634:T7634"/>
    <mergeCell ref="R7635:T7635"/>
    <mergeCell ref="R7636:T7636"/>
    <mergeCell ref="R7627:T7627"/>
    <mergeCell ref="R7628:T7628"/>
    <mergeCell ref="R7629:T7629"/>
    <mergeCell ref="R7630:T7630"/>
    <mergeCell ref="R7631:T7631"/>
    <mergeCell ref="R7622:T7622"/>
    <mergeCell ref="R7623:T7623"/>
    <mergeCell ref="R7624:T7624"/>
    <mergeCell ref="R7625:T7625"/>
    <mergeCell ref="R7626:T7626"/>
    <mergeCell ref="R7617:T7617"/>
    <mergeCell ref="R7618:T7618"/>
    <mergeCell ref="R7619:T7619"/>
    <mergeCell ref="R7620:T7620"/>
    <mergeCell ref="R7621:T7621"/>
    <mergeCell ref="R7612:T7612"/>
    <mergeCell ref="R7613:T7613"/>
    <mergeCell ref="R7614:T7614"/>
    <mergeCell ref="R7615:T7615"/>
    <mergeCell ref="R7616:T7616"/>
    <mergeCell ref="R7607:T7607"/>
    <mergeCell ref="R7608:T7608"/>
    <mergeCell ref="R7609:T7609"/>
    <mergeCell ref="R7610:T7610"/>
    <mergeCell ref="R7611:T7611"/>
    <mergeCell ref="R7602:T7602"/>
    <mergeCell ref="R7603:T7603"/>
    <mergeCell ref="R7604:T7604"/>
    <mergeCell ref="R7605:T7605"/>
    <mergeCell ref="R7606:T7606"/>
    <mergeCell ref="R7597:T7597"/>
    <mergeCell ref="R7598:T7598"/>
    <mergeCell ref="R7599:T7599"/>
    <mergeCell ref="R7600:T7600"/>
    <mergeCell ref="R7601:T7601"/>
    <mergeCell ref="R7592:T7592"/>
    <mergeCell ref="R7593:T7593"/>
    <mergeCell ref="R7594:T7594"/>
    <mergeCell ref="R7595:T7595"/>
    <mergeCell ref="R7596:T7596"/>
    <mergeCell ref="R7587:T7587"/>
    <mergeCell ref="R7588:T7588"/>
    <mergeCell ref="R7589:T7589"/>
    <mergeCell ref="R7590:T7590"/>
    <mergeCell ref="R7591:T7591"/>
    <mergeCell ref="R7582:T7582"/>
    <mergeCell ref="R7583:T7583"/>
    <mergeCell ref="R7584:T7584"/>
    <mergeCell ref="R7585:T7585"/>
    <mergeCell ref="R7586:T7586"/>
    <mergeCell ref="R7577:T7577"/>
    <mergeCell ref="R7578:T7578"/>
    <mergeCell ref="R7579:T7579"/>
    <mergeCell ref="R7580:T7580"/>
    <mergeCell ref="R7581:T7581"/>
    <mergeCell ref="R7572:T7572"/>
    <mergeCell ref="R7573:T7573"/>
    <mergeCell ref="R7574:T7574"/>
    <mergeCell ref="R7575:T7575"/>
    <mergeCell ref="R7576:T7576"/>
    <mergeCell ref="R7567:T7567"/>
    <mergeCell ref="R7568:T7568"/>
    <mergeCell ref="R7569:T7569"/>
    <mergeCell ref="R7570:T7570"/>
    <mergeCell ref="R7571:T7571"/>
    <mergeCell ref="R7562:T7562"/>
    <mergeCell ref="R7563:T7563"/>
    <mergeCell ref="R7564:T7564"/>
    <mergeCell ref="R7565:T7565"/>
    <mergeCell ref="R7566:T7566"/>
    <mergeCell ref="R7557:T7557"/>
    <mergeCell ref="R7558:T7558"/>
    <mergeCell ref="R7559:T7559"/>
    <mergeCell ref="R7560:T7560"/>
    <mergeCell ref="R7561:T7561"/>
    <mergeCell ref="R7552:T7552"/>
    <mergeCell ref="R7553:T7553"/>
    <mergeCell ref="R7554:T7554"/>
    <mergeCell ref="R7555:T7555"/>
    <mergeCell ref="R7556:T7556"/>
    <mergeCell ref="R7547:T7547"/>
    <mergeCell ref="R7548:T7548"/>
    <mergeCell ref="R7549:T7549"/>
    <mergeCell ref="R7550:T7550"/>
    <mergeCell ref="R7551:T7551"/>
    <mergeCell ref="R7542:T7542"/>
    <mergeCell ref="R7543:T7543"/>
    <mergeCell ref="R7544:T7544"/>
    <mergeCell ref="R7545:T7545"/>
    <mergeCell ref="R7546:T7546"/>
    <mergeCell ref="R7537:T7537"/>
    <mergeCell ref="R7538:T7538"/>
    <mergeCell ref="R7539:T7539"/>
    <mergeCell ref="R7540:T7540"/>
    <mergeCell ref="R7541:T7541"/>
    <mergeCell ref="R7532:T7532"/>
    <mergeCell ref="R7533:T7533"/>
    <mergeCell ref="R7534:T7534"/>
    <mergeCell ref="R7535:T7535"/>
    <mergeCell ref="R7536:T7536"/>
    <mergeCell ref="R7527:T7527"/>
    <mergeCell ref="R7528:T7528"/>
    <mergeCell ref="R7529:T7529"/>
    <mergeCell ref="R7530:T7530"/>
    <mergeCell ref="R7531:T7531"/>
    <mergeCell ref="R7522:T7522"/>
    <mergeCell ref="R7523:T7523"/>
    <mergeCell ref="R7524:T7524"/>
    <mergeCell ref="R7525:T7525"/>
    <mergeCell ref="R7526:T7526"/>
    <mergeCell ref="R7517:T7517"/>
    <mergeCell ref="R7518:T7518"/>
    <mergeCell ref="R7519:T7519"/>
    <mergeCell ref="R7520:T7520"/>
    <mergeCell ref="R7521:T7521"/>
    <mergeCell ref="R7512:T7512"/>
    <mergeCell ref="R7513:T7513"/>
    <mergeCell ref="R7514:T7514"/>
    <mergeCell ref="R7515:T7515"/>
    <mergeCell ref="R7516:T7516"/>
    <mergeCell ref="R7507:T7507"/>
    <mergeCell ref="R7508:T7508"/>
    <mergeCell ref="R7509:T7509"/>
    <mergeCell ref="R7510:T7510"/>
    <mergeCell ref="R7511:T7511"/>
    <mergeCell ref="R7502:T7502"/>
    <mergeCell ref="R7503:T7503"/>
    <mergeCell ref="R7504:T7504"/>
    <mergeCell ref="R7505:T7505"/>
    <mergeCell ref="R7506:T7506"/>
    <mergeCell ref="R7497:T7497"/>
    <mergeCell ref="R7498:T7498"/>
    <mergeCell ref="R7499:T7499"/>
    <mergeCell ref="R7500:T7500"/>
    <mergeCell ref="R7501:T7501"/>
    <mergeCell ref="R7492:T7492"/>
    <mergeCell ref="R7493:T7493"/>
    <mergeCell ref="R7494:T7494"/>
    <mergeCell ref="R7495:T7495"/>
    <mergeCell ref="R7496:T7496"/>
    <mergeCell ref="R7487:T7487"/>
    <mergeCell ref="R7488:T7488"/>
    <mergeCell ref="R7489:T7489"/>
    <mergeCell ref="R7490:T7490"/>
    <mergeCell ref="R7491:T7491"/>
    <mergeCell ref="R7482:T7482"/>
    <mergeCell ref="R7483:T7483"/>
    <mergeCell ref="R7484:T7484"/>
    <mergeCell ref="R7485:T7485"/>
    <mergeCell ref="R7486:T7486"/>
    <mergeCell ref="R7477:T7477"/>
    <mergeCell ref="R7478:T7478"/>
    <mergeCell ref="R7479:T7479"/>
    <mergeCell ref="R7480:T7480"/>
    <mergeCell ref="R7481:T7481"/>
    <mergeCell ref="R7472:T7472"/>
    <mergeCell ref="R7473:T7473"/>
    <mergeCell ref="R7474:T7474"/>
    <mergeCell ref="R7475:T7475"/>
    <mergeCell ref="R7476:T7476"/>
    <mergeCell ref="R7467:T7467"/>
    <mergeCell ref="R7468:T7468"/>
    <mergeCell ref="R7469:T7469"/>
    <mergeCell ref="R7470:T7470"/>
    <mergeCell ref="R7471:T7471"/>
    <mergeCell ref="R7462:T7462"/>
    <mergeCell ref="R7463:T7463"/>
    <mergeCell ref="R7464:T7464"/>
    <mergeCell ref="R7465:T7465"/>
    <mergeCell ref="R7466:T7466"/>
    <mergeCell ref="R7457:T7457"/>
    <mergeCell ref="R7458:T7458"/>
    <mergeCell ref="R7459:T7459"/>
    <mergeCell ref="R7460:T7460"/>
    <mergeCell ref="R7461:T7461"/>
    <mergeCell ref="R7452:T7452"/>
    <mergeCell ref="R7453:T7453"/>
    <mergeCell ref="R7454:T7454"/>
    <mergeCell ref="R7455:T7455"/>
    <mergeCell ref="R7456:T7456"/>
    <mergeCell ref="R7447:T7447"/>
    <mergeCell ref="R7448:T7448"/>
    <mergeCell ref="R7449:T7449"/>
    <mergeCell ref="R7450:T7450"/>
    <mergeCell ref="R7451:T7451"/>
    <mergeCell ref="R7442:T7442"/>
    <mergeCell ref="R7443:T7443"/>
    <mergeCell ref="R7444:T7444"/>
    <mergeCell ref="R7445:T7445"/>
    <mergeCell ref="R7446:T7446"/>
    <mergeCell ref="R7437:T7437"/>
    <mergeCell ref="R7438:T7438"/>
    <mergeCell ref="R7439:T7439"/>
    <mergeCell ref="R7440:T7440"/>
    <mergeCell ref="R7441:T7441"/>
    <mergeCell ref="R7432:T7432"/>
    <mergeCell ref="R7433:T7433"/>
    <mergeCell ref="R7434:T7434"/>
    <mergeCell ref="R7435:T7435"/>
    <mergeCell ref="R7436:T7436"/>
    <mergeCell ref="R7427:T7427"/>
    <mergeCell ref="R7428:T7428"/>
    <mergeCell ref="R7429:T7429"/>
    <mergeCell ref="R7430:T7430"/>
    <mergeCell ref="R7431:T7431"/>
    <mergeCell ref="R7422:T7422"/>
    <mergeCell ref="R7423:T7423"/>
    <mergeCell ref="R7424:T7424"/>
    <mergeCell ref="R7425:T7425"/>
    <mergeCell ref="R7426:T7426"/>
    <mergeCell ref="R7417:T7417"/>
    <mergeCell ref="R7418:T7418"/>
    <mergeCell ref="R7419:T7419"/>
    <mergeCell ref="R7420:T7420"/>
    <mergeCell ref="R7421:T7421"/>
    <mergeCell ref="R7412:T7412"/>
    <mergeCell ref="R7413:T7413"/>
    <mergeCell ref="R7414:T7414"/>
    <mergeCell ref="R7415:T7415"/>
    <mergeCell ref="R7416:T7416"/>
    <mergeCell ref="R7407:T7407"/>
    <mergeCell ref="R7408:T7408"/>
    <mergeCell ref="R7409:T7409"/>
    <mergeCell ref="R7410:T7410"/>
    <mergeCell ref="R7411:T7411"/>
    <mergeCell ref="R7402:T7402"/>
    <mergeCell ref="R7403:T7403"/>
    <mergeCell ref="R7404:T7404"/>
    <mergeCell ref="R7405:T7405"/>
    <mergeCell ref="R7406:T7406"/>
    <mergeCell ref="R7397:T7397"/>
    <mergeCell ref="R7398:T7398"/>
    <mergeCell ref="R7399:T7399"/>
    <mergeCell ref="R7400:T7400"/>
    <mergeCell ref="R7401:T7401"/>
    <mergeCell ref="R7392:T7392"/>
    <mergeCell ref="R7393:T7393"/>
    <mergeCell ref="R7394:T7394"/>
    <mergeCell ref="R7395:T7395"/>
    <mergeCell ref="R7396:T7396"/>
    <mergeCell ref="R7387:T7387"/>
    <mergeCell ref="R7388:T7388"/>
    <mergeCell ref="R7389:T7389"/>
    <mergeCell ref="R7390:T7390"/>
    <mergeCell ref="R7391:T7391"/>
    <mergeCell ref="R7382:T7382"/>
    <mergeCell ref="R7383:T7383"/>
    <mergeCell ref="R7384:T7384"/>
    <mergeCell ref="R7385:T7385"/>
    <mergeCell ref="R7386:T7386"/>
    <mergeCell ref="R7377:T7377"/>
    <mergeCell ref="R7378:T7378"/>
    <mergeCell ref="R7379:T7379"/>
    <mergeCell ref="R7380:T7380"/>
    <mergeCell ref="R7381:T7381"/>
    <mergeCell ref="R7372:T7372"/>
    <mergeCell ref="R7373:T7373"/>
    <mergeCell ref="R7374:T7374"/>
    <mergeCell ref="R7375:T7375"/>
    <mergeCell ref="R7376:T7376"/>
    <mergeCell ref="R7367:T7367"/>
    <mergeCell ref="R7368:T7368"/>
    <mergeCell ref="R7369:T7369"/>
    <mergeCell ref="R7370:T7370"/>
    <mergeCell ref="R7371:T7371"/>
    <mergeCell ref="R7362:T7362"/>
    <mergeCell ref="R7363:T7363"/>
    <mergeCell ref="R7364:T7364"/>
    <mergeCell ref="R7365:T7365"/>
    <mergeCell ref="R7366:T7366"/>
    <mergeCell ref="R7357:T7357"/>
    <mergeCell ref="R7358:T7358"/>
    <mergeCell ref="R7359:T7359"/>
    <mergeCell ref="R7360:T7360"/>
    <mergeCell ref="R7361:T7361"/>
    <mergeCell ref="R7352:T7352"/>
    <mergeCell ref="R7353:T7353"/>
    <mergeCell ref="R7354:T7354"/>
    <mergeCell ref="R7355:T7355"/>
    <mergeCell ref="R7356:T7356"/>
    <mergeCell ref="R7347:T7347"/>
    <mergeCell ref="R7348:T7348"/>
    <mergeCell ref="R7349:T7349"/>
    <mergeCell ref="R7350:T7350"/>
    <mergeCell ref="R7351:T7351"/>
    <mergeCell ref="R7342:T7342"/>
    <mergeCell ref="R7343:T7343"/>
    <mergeCell ref="R7344:T7344"/>
    <mergeCell ref="R7345:T7345"/>
    <mergeCell ref="R7346:T7346"/>
    <mergeCell ref="R7337:T7337"/>
    <mergeCell ref="R7338:T7338"/>
    <mergeCell ref="R7339:T7339"/>
    <mergeCell ref="R7340:T7340"/>
    <mergeCell ref="R7341:T7341"/>
    <mergeCell ref="R7332:T7332"/>
    <mergeCell ref="R7333:T7333"/>
    <mergeCell ref="R7334:T7334"/>
    <mergeCell ref="R7335:T7335"/>
    <mergeCell ref="R7336:T7336"/>
    <mergeCell ref="R7327:T7327"/>
    <mergeCell ref="R7328:T7328"/>
    <mergeCell ref="R7329:T7329"/>
    <mergeCell ref="R7330:T7330"/>
    <mergeCell ref="R7331:T7331"/>
    <mergeCell ref="R7322:T7322"/>
    <mergeCell ref="R7323:T7323"/>
    <mergeCell ref="R7324:T7324"/>
    <mergeCell ref="R7325:T7325"/>
    <mergeCell ref="R7326:T7326"/>
    <mergeCell ref="R7317:T7317"/>
    <mergeCell ref="R7318:T7318"/>
    <mergeCell ref="R7319:T7319"/>
    <mergeCell ref="R7320:T7320"/>
    <mergeCell ref="R7321:T7321"/>
    <mergeCell ref="R7312:T7312"/>
    <mergeCell ref="R7313:T7313"/>
    <mergeCell ref="R7314:T7314"/>
    <mergeCell ref="R7315:T7315"/>
    <mergeCell ref="R7316:T7316"/>
    <mergeCell ref="R7307:T7307"/>
    <mergeCell ref="R7308:T7308"/>
    <mergeCell ref="R7309:T7309"/>
    <mergeCell ref="R7310:T7310"/>
    <mergeCell ref="R7311:T7311"/>
    <mergeCell ref="R7302:T7302"/>
    <mergeCell ref="R7303:T7303"/>
    <mergeCell ref="R7304:T7304"/>
    <mergeCell ref="R7305:T7305"/>
    <mergeCell ref="R7306:T7306"/>
    <mergeCell ref="R7297:T7297"/>
    <mergeCell ref="R7298:T7298"/>
    <mergeCell ref="R7299:T7299"/>
    <mergeCell ref="R7300:T7300"/>
    <mergeCell ref="R7301:T7301"/>
    <mergeCell ref="R7292:T7292"/>
    <mergeCell ref="R7293:T7293"/>
    <mergeCell ref="R7294:T7294"/>
    <mergeCell ref="R7295:T7295"/>
    <mergeCell ref="R7296:T7296"/>
    <mergeCell ref="R7287:T7287"/>
    <mergeCell ref="R7288:T7288"/>
    <mergeCell ref="R7289:T7289"/>
    <mergeCell ref="R7290:T7290"/>
    <mergeCell ref="R7291:T7291"/>
    <mergeCell ref="R7282:T7282"/>
    <mergeCell ref="R7283:T7283"/>
    <mergeCell ref="R7284:T7284"/>
    <mergeCell ref="R7285:T7285"/>
    <mergeCell ref="R7286:T7286"/>
    <mergeCell ref="R7277:T7277"/>
    <mergeCell ref="R7278:T7278"/>
    <mergeCell ref="R7279:T7279"/>
    <mergeCell ref="R7280:T7280"/>
    <mergeCell ref="R7281:T7281"/>
    <mergeCell ref="R7272:T7272"/>
    <mergeCell ref="R7273:T7273"/>
    <mergeCell ref="R7274:T7274"/>
    <mergeCell ref="R7275:T7275"/>
    <mergeCell ref="R7276:T7276"/>
    <mergeCell ref="R7267:T7267"/>
    <mergeCell ref="R7268:T7268"/>
    <mergeCell ref="R7269:T7269"/>
    <mergeCell ref="R7270:T7270"/>
    <mergeCell ref="R7271:T7271"/>
    <mergeCell ref="R7262:T7262"/>
    <mergeCell ref="R7263:T7263"/>
    <mergeCell ref="R7264:T7264"/>
    <mergeCell ref="R7265:T7265"/>
    <mergeCell ref="R7266:T7266"/>
    <mergeCell ref="R7257:T7257"/>
    <mergeCell ref="R7258:T7258"/>
    <mergeCell ref="R7259:T7259"/>
    <mergeCell ref="R7260:T7260"/>
    <mergeCell ref="R7261:T7261"/>
    <mergeCell ref="R7252:T7252"/>
    <mergeCell ref="R7253:T7253"/>
    <mergeCell ref="R7254:T7254"/>
    <mergeCell ref="R7255:T7255"/>
    <mergeCell ref="R7256:T7256"/>
    <mergeCell ref="R7247:T7247"/>
    <mergeCell ref="R7248:T7248"/>
    <mergeCell ref="R7249:T7249"/>
    <mergeCell ref="R7250:T7250"/>
    <mergeCell ref="R7251:T7251"/>
    <mergeCell ref="R7242:T7242"/>
    <mergeCell ref="R7243:T7243"/>
    <mergeCell ref="R7244:T7244"/>
    <mergeCell ref="R7245:T7245"/>
    <mergeCell ref="R7246:T7246"/>
    <mergeCell ref="R7237:T7237"/>
    <mergeCell ref="R7238:T7238"/>
    <mergeCell ref="R7239:T7239"/>
    <mergeCell ref="R7240:T7240"/>
    <mergeCell ref="R7241:T7241"/>
    <mergeCell ref="R7232:T7232"/>
    <mergeCell ref="R7233:T7233"/>
    <mergeCell ref="R7234:T7234"/>
    <mergeCell ref="R7235:T7235"/>
    <mergeCell ref="R7236:T7236"/>
    <mergeCell ref="R7227:T7227"/>
    <mergeCell ref="R7228:T7228"/>
    <mergeCell ref="R7229:T7229"/>
    <mergeCell ref="R7230:T7230"/>
    <mergeCell ref="R7231:T7231"/>
    <mergeCell ref="R7222:T7222"/>
    <mergeCell ref="R7223:T7223"/>
    <mergeCell ref="R7224:T7224"/>
    <mergeCell ref="R7225:T7225"/>
    <mergeCell ref="R7226:T7226"/>
    <mergeCell ref="R7217:T7217"/>
    <mergeCell ref="R7218:T7218"/>
    <mergeCell ref="R7219:T7219"/>
    <mergeCell ref="R7220:T7220"/>
    <mergeCell ref="R7221:T7221"/>
    <mergeCell ref="R7212:T7212"/>
    <mergeCell ref="R7213:T7213"/>
    <mergeCell ref="R7214:T7214"/>
    <mergeCell ref="R7215:T7215"/>
    <mergeCell ref="R7216:T7216"/>
    <mergeCell ref="R7207:T7207"/>
    <mergeCell ref="R7208:T7208"/>
    <mergeCell ref="R7209:T7209"/>
    <mergeCell ref="R7210:T7210"/>
    <mergeCell ref="R7211:T7211"/>
    <mergeCell ref="R7202:T7202"/>
    <mergeCell ref="R7203:T7203"/>
    <mergeCell ref="R7204:T7204"/>
    <mergeCell ref="R7205:T7205"/>
    <mergeCell ref="R7206:T7206"/>
    <mergeCell ref="R7197:T7197"/>
    <mergeCell ref="R7198:T7198"/>
    <mergeCell ref="R7199:T7199"/>
    <mergeCell ref="R7200:T7200"/>
    <mergeCell ref="R7201:T7201"/>
    <mergeCell ref="R7192:T7192"/>
    <mergeCell ref="R7193:T7193"/>
    <mergeCell ref="R7194:T7194"/>
    <mergeCell ref="R7195:T7195"/>
    <mergeCell ref="R7196:T7196"/>
    <mergeCell ref="R7187:T7187"/>
    <mergeCell ref="R7188:T7188"/>
    <mergeCell ref="R7189:T7189"/>
    <mergeCell ref="R7190:T7190"/>
    <mergeCell ref="R7191:T7191"/>
    <mergeCell ref="R7182:T7182"/>
    <mergeCell ref="R7183:T7183"/>
    <mergeCell ref="R7184:T7184"/>
    <mergeCell ref="R7185:T7185"/>
    <mergeCell ref="R7186:T7186"/>
    <mergeCell ref="R7177:T7177"/>
    <mergeCell ref="R7178:T7178"/>
    <mergeCell ref="R7179:T7179"/>
    <mergeCell ref="R7180:T7180"/>
    <mergeCell ref="R7181:T7181"/>
    <mergeCell ref="R7172:T7172"/>
    <mergeCell ref="R7173:T7173"/>
    <mergeCell ref="R7174:T7174"/>
    <mergeCell ref="R7175:T7175"/>
    <mergeCell ref="R7176:T7176"/>
    <mergeCell ref="R7167:T7167"/>
    <mergeCell ref="R7168:T7168"/>
    <mergeCell ref="R7169:T7169"/>
    <mergeCell ref="R7170:T7170"/>
    <mergeCell ref="R7171:T7171"/>
    <mergeCell ref="R7162:T7162"/>
    <mergeCell ref="R7163:T7163"/>
    <mergeCell ref="R7164:T7164"/>
    <mergeCell ref="R7165:T7165"/>
    <mergeCell ref="R7166:T7166"/>
    <mergeCell ref="R7157:T7157"/>
    <mergeCell ref="R7158:T7158"/>
    <mergeCell ref="R7159:T7159"/>
    <mergeCell ref="R7160:T7160"/>
    <mergeCell ref="R7161:T7161"/>
    <mergeCell ref="R7152:T7152"/>
    <mergeCell ref="R7153:T7153"/>
    <mergeCell ref="R7154:T7154"/>
    <mergeCell ref="R7155:T7155"/>
    <mergeCell ref="R7156:T7156"/>
    <mergeCell ref="R7147:T7147"/>
    <mergeCell ref="R7148:T7148"/>
    <mergeCell ref="R7149:T7149"/>
    <mergeCell ref="R7150:T7150"/>
    <mergeCell ref="R7151:T7151"/>
    <mergeCell ref="R7142:T7142"/>
    <mergeCell ref="R7143:T7143"/>
    <mergeCell ref="R7144:T7144"/>
    <mergeCell ref="R7145:T7145"/>
    <mergeCell ref="R7146:T7146"/>
    <mergeCell ref="R7137:T7137"/>
    <mergeCell ref="R7138:T7138"/>
    <mergeCell ref="R7139:T7139"/>
    <mergeCell ref="R7140:T7140"/>
    <mergeCell ref="R7141:T7141"/>
    <mergeCell ref="R7132:T7132"/>
    <mergeCell ref="R7133:T7133"/>
    <mergeCell ref="R7134:T7134"/>
    <mergeCell ref="R7135:T7135"/>
    <mergeCell ref="R7136:T7136"/>
    <mergeCell ref="R7127:T7127"/>
    <mergeCell ref="R7128:T7128"/>
    <mergeCell ref="R7129:T7129"/>
    <mergeCell ref="R7130:T7130"/>
    <mergeCell ref="R7131:T7131"/>
    <mergeCell ref="R7122:T7122"/>
    <mergeCell ref="R7123:T7123"/>
    <mergeCell ref="R7124:T7124"/>
    <mergeCell ref="R7125:T7125"/>
    <mergeCell ref="R7126:T7126"/>
    <mergeCell ref="R7117:T7117"/>
    <mergeCell ref="R7118:T7118"/>
    <mergeCell ref="R7119:T7119"/>
    <mergeCell ref="R7120:T7120"/>
    <mergeCell ref="R7121:T7121"/>
    <mergeCell ref="R7112:T7112"/>
    <mergeCell ref="R7113:T7113"/>
    <mergeCell ref="R7114:T7114"/>
    <mergeCell ref="R7115:T7115"/>
    <mergeCell ref="R7116:T7116"/>
    <mergeCell ref="R7107:T7107"/>
    <mergeCell ref="R7108:T7108"/>
    <mergeCell ref="R7109:T7109"/>
    <mergeCell ref="R7110:T7110"/>
    <mergeCell ref="R7111:T7111"/>
    <mergeCell ref="R7102:T7102"/>
    <mergeCell ref="R7103:T7103"/>
    <mergeCell ref="R7104:T7104"/>
    <mergeCell ref="R7105:T7105"/>
    <mergeCell ref="R7106:T7106"/>
    <mergeCell ref="R7097:T7097"/>
    <mergeCell ref="R7098:T7098"/>
    <mergeCell ref="R7099:T7099"/>
    <mergeCell ref="R7100:T7100"/>
    <mergeCell ref="R7101:T7101"/>
    <mergeCell ref="R7092:T7092"/>
    <mergeCell ref="R7093:T7093"/>
    <mergeCell ref="R7094:T7094"/>
    <mergeCell ref="R7095:T7095"/>
    <mergeCell ref="R7096:T7096"/>
    <mergeCell ref="R7087:T7087"/>
    <mergeCell ref="R7088:T7088"/>
    <mergeCell ref="R7089:T7089"/>
    <mergeCell ref="R7090:T7090"/>
    <mergeCell ref="R7091:T7091"/>
    <mergeCell ref="R7082:T7082"/>
    <mergeCell ref="R7083:T7083"/>
    <mergeCell ref="R7084:T7084"/>
    <mergeCell ref="R7085:T7085"/>
    <mergeCell ref="R7086:T7086"/>
    <mergeCell ref="R7077:T7077"/>
    <mergeCell ref="R7078:T7078"/>
    <mergeCell ref="R7079:T7079"/>
    <mergeCell ref="R7080:T7080"/>
    <mergeCell ref="R7081:T7081"/>
    <mergeCell ref="R7072:T7072"/>
    <mergeCell ref="R7073:T7073"/>
    <mergeCell ref="R7074:T7074"/>
    <mergeCell ref="R7075:T7075"/>
    <mergeCell ref="R7076:T7076"/>
    <mergeCell ref="R7067:T7067"/>
    <mergeCell ref="R7068:T7068"/>
    <mergeCell ref="R7069:T7069"/>
    <mergeCell ref="R7070:T7070"/>
    <mergeCell ref="R7071:T7071"/>
    <mergeCell ref="R7062:T7062"/>
    <mergeCell ref="R7063:T7063"/>
    <mergeCell ref="R7064:T7064"/>
    <mergeCell ref="R7065:T7065"/>
    <mergeCell ref="R7066:T7066"/>
    <mergeCell ref="R7057:T7057"/>
    <mergeCell ref="R7058:T7058"/>
    <mergeCell ref="R7059:T7059"/>
    <mergeCell ref="R7060:T7060"/>
    <mergeCell ref="R7061:T7061"/>
    <mergeCell ref="R7052:T7052"/>
    <mergeCell ref="R7053:T7053"/>
    <mergeCell ref="R7054:T7054"/>
    <mergeCell ref="R7055:T7055"/>
    <mergeCell ref="R7056:T7056"/>
    <mergeCell ref="R7047:T7047"/>
    <mergeCell ref="R7048:T7048"/>
    <mergeCell ref="R7049:T7049"/>
    <mergeCell ref="R7050:T7050"/>
    <mergeCell ref="R7051:T7051"/>
    <mergeCell ref="R7042:T7042"/>
    <mergeCell ref="R7043:T7043"/>
    <mergeCell ref="R7044:T7044"/>
    <mergeCell ref="R7045:T7045"/>
    <mergeCell ref="R7046:T7046"/>
    <mergeCell ref="R7037:T7037"/>
    <mergeCell ref="R7038:T7038"/>
    <mergeCell ref="R7039:T7039"/>
    <mergeCell ref="R7040:T7040"/>
    <mergeCell ref="R7041:T7041"/>
    <mergeCell ref="R7032:T7032"/>
    <mergeCell ref="R7033:T7033"/>
    <mergeCell ref="R7034:T7034"/>
    <mergeCell ref="R7035:T7035"/>
    <mergeCell ref="R7036:T7036"/>
    <mergeCell ref="R7027:T7027"/>
    <mergeCell ref="R7028:T7028"/>
    <mergeCell ref="R7029:T7029"/>
    <mergeCell ref="R7030:T7030"/>
    <mergeCell ref="R7031:T7031"/>
    <mergeCell ref="R7022:T7022"/>
    <mergeCell ref="R7023:T7023"/>
    <mergeCell ref="R7024:T7024"/>
    <mergeCell ref="R7025:T7025"/>
    <mergeCell ref="R7026:T7026"/>
    <mergeCell ref="R7017:T7017"/>
    <mergeCell ref="R7018:T7018"/>
    <mergeCell ref="R7019:T7019"/>
    <mergeCell ref="R7020:T7020"/>
    <mergeCell ref="R7021:T7021"/>
    <mergeCell ref="R7012:T7012"/>
    <mergeCell ref="R7013:T7013"/>
    <mergeCell ref="R7014:T7014"/>
    <mergeCell ref="R7015:T7015"/>
    <mergeCell ref="R7016:T7016"/>
    <mergeCell ref="R7007:T7007"/>
    <mergeCell ref="R7008:T7008"/>
    <mergeCell ref="R7009:T7009"/>
    <mergeCell ref="R7010:T7010"/>
    <mergeCell ref="R7011:T7011"/>
    <mergeCell ref="R7002:T7002"/>
    <mergeCell ref="R7003:T7003"/>
    <mergeCell ref="R7004:T7004"/>
    <mergeCell ref="R7005:T7005"/>
    <mergeCell ref="R7006:T7006"/>
    <mergeCell ref="R6997:T6997"/>
    <mergeCell ref="R6998:T6998"/>
    <mergeCell ref="R6999:T6999"/>
    <mergeCell ref="R7000:T7000"/>
    <mergeCell ref="R7001:T7001"/>
    <mergeCell ref="R6992:T6992"/>
    <mergeCell ref="R6993:T6993"/>
    <mergeCell ref="R6994:T6994"/>
    <mergeCell ref="R6995:T6995"/>
    <mergeCell ref="R6996:T6996"/>
    <mergeCell ref="R6987:T6987"/>
    <mergeCell ref="R6988:T6988"/>
    <mergeCell ref="R6989:T6989"/>
    <mergeCell ref="R6990:T6990"/>
    <mergeCell ref="R6991:T6991"/>
    <mergeCell ref="R6982:T6982"/>
    <mergeCell ref="R6983:T6983"/>
    <mergeCell ref="R6984:T6984"/>
    <mergeCell ref="R6985:T6985"/>
    <mergeCell ref="R6986:T6986"/>
    <mergeCell ref="R6977:T6977"/>
    <mergeCell ref="R6978:T6978"/>
    <mergeCell ref="R6979:T6979"/>
    <mergeCell ref="R6980:T6980"/>
    <mergeCell ref="R6981:T6981"/>
    <mergeCell ref="R6972:T6972"/>
    <mergeCell ref="R6973:T6973"/>
    <mergeCell ref="R6974:T6974"/>
    <mergeCell ref="R6975:T6975"/>
    <mergeCell ref="R6976:T6976"/>
    <mergeCell ref="R6967:T6967"/>
    <mergeCell ref="R6968:T6968"/>
    <mergeCell ref="R6969:T6969"/>
    <mergeCell ref="R6970:T6970"/>
    <mergeCell ref="R6971:T6971"/>
    <mergeCell ref="R6962:T6962"/>
    <mergeCell ref="R6963:T6963"/>
    <mergeCell ref="R6964:T6964"/>
    <mergeCell ref="R6965:T6965"/>
    <mergeCell ref="R6966:T6966"/>
    <mergeCell ref="R6957:T6957"/>
    <mergeCell ref="R6958:T6958"/>
    <mergeCell ref="R6959:T6959"/>
    <mergeCell ref="R6960:T6960"/>
    <mergeCell ref="R6961:T6961"/>
    <mergeCell ref="R6952:T6952"/>
    <mergeCell ref="R6953:T6953"/>
    <mergeCell ref="R6954:T6954"/>
    <mergeCell ref="R6955:T6955"/>
    <mergeCell ref="R6956:T6956"/>
    <mergeCell ref="R6947:T6947"/>
    <mergeCell ref="R6948:T6948"/>
    <mergeCell ref="R6949:T6949"/>
    <mergeCell ref="R6950:T6950"/>
    <mergeCell ref="R6951:T6951"/>
    <mergeCell ref="R6942:T6942"/>
    <mergeCell ref="R6943:T6943"/>
    <mergeCell ref="R6944:T6944"/>
    <mergeCell ref="R6945:T6945"/>
    <mergeCell ref="R6946:T6946"/>
    <mergeCell ref="R6937:T6937"/>
    <mergeCell ref="R6938:T6938"/>
    <mergeCell ref="R6939:T6939"/>
    <mergeCell ref="R6940:T6940"/>
    <mergeCell ref="R6941:T6941"/>
    <mergeCell ref="R6932:T6932"/>
    <mergeCell ref="R6933:T6933"/>
    <mergeCell ref="R6934:T6934"/>
    <mergeCell ref="R6935:T6935"/>
    <mergeCell ref="R6936:T6936"/>
    <mergeCell ref="R6927:T6927"/>
    <mergeCell ref="R6928:T6928"/>
    <mergeCell ref="R6929:T6929"/>
    <mergeCell ref="R6930:T6930"/>
    <mergeCell ref="R6931:T6931"/>
    <mergeCell ref="R6922:T6922"/>
    <mergeCell ref="R6923:T6923"/>
    <mergeCell ref="R6924:T6924"/>
    <mergeCell ref="R6925:T6925"/>
    <mergeCell ref="R6926:T6926"/>
    <mergeCell ref="R6917:T6917"/>
    <mergeCell ref="R6918:T6918"/>
    <mergeCell ref="R6919:T6919"/>
    <mergeCell ref="R6920:T6920"/>
    <mergeCell ref="R6921:T6921"/>
    <mergeCell ref="R6912:T6912"/>
    <mergeCell ref="R6913:T6913"/>
    <mergeCell ref="R6914:T6914"/>
    <mergeCell ref="R6915:T6915"/>
    <mergeCell ref="R6916:T6916"/>
    <mergeCell ref="R6907:T6907"/>
    <mergeCell ref="R6908:T6908"/>
    <mergeCell ref="R6909:T6909"/>
    <mergeCell ref="R6910:T6910"/>
    <mergeCell ref="R6911:T6911"/>
    <mergeCell ref="R6902:T6902"/>
    <mergeCell ref="R6903:T6903"/>
    <mergeCell ref="R6904:T6904"/>
    <mergeCell ref="R6905:T6905"/>
    <mergeCell ref="R6906:T6906"/>
    <mergeCell ref="R6897:T6897"/>
    <mergeCell ref="R6898:T6898"/>
    <mergeCell ref="R6899:T6899"/>
    <mergeCell ref="R6900:T6900"/>
    <mergeCell ref="R6901:T6901"/>
    <mergeCell ref="R6892:T6892"/>
    <mergeCell ref="R6893:T6893"/>
    <mergeCell ref="R6894:T6894"/>
    <mergeCell ref="R6895:T6895"/>
    <mergeCell ref="R6896:T6896"/>
    <mergeCell ref="R6887:T6887"/>
    <mergeCell ref="R6888:T6888"/>
    <mergeCell ref="R6889:T6889"/>
    <mergeCell ref="R6890:T6890"/>
    <mergeCell ref="R6891:T6891"/>
    <mergeCell ref="R6882:T6882"/>
    <mergeCell ref="R6883:T6883"/>
    <mergeCell ref="R6884:T6884"/>
    <mergeCell ref="R6885:T6885"/>
    <mergeCell ref="R6886:T6886"/>
    <mergeCell ref="R6877:T6877"/>
    <mergeCell ref="R6878:T6878"/>
    <mergeCell ref="R6879:T6879"/>
    <mergeCell ref="R6880:T6880"/>
    <mergeCell ref="R6881:T6881"/>
    <mergeCell ref="R6872:T6872"/>
    <mergeCell ref="R6873:T6873"/>
    <mergeCell ref="R6874:T6874"/>
    <mergeCell ref="R6875:T6875"/>
    <mergeCell ref="R6876:T6876"/>
    <mergeCell ref="R6867:T6867"/>
    <mergeCell ref="R6868:T6868"/>
    <mergeCell ref="R6869:T6869"/>
    <mergeCell ref="R6870:T6870"/>
    <mergeCell ref="R6871:T6871"/>
    <mergeCell ref="R6862:T6862"/>
    <mergeCell ref="R6863:T6863"/>
    <mergeCell ref="R6864:T6864"/>
    <mergeCell ref="R6865:T6865"/>
    <mergeCell ref="R6866:T6866"/>
    <mergeCell ref="R6857:T6857"/>
    <mergeCell ref="R6858:T6858"/>
    <mergeCell ref="R6859:T6859"/>
    <mergeCell ref="R6860:T6860"/>
    <mergeCell ref="R6861:T6861"/>
    <mergeCell ref="R6852:T6852"/>
    <mergeCell ref="R6853:T6853"/>
    <mergeCell ref="R6854:T6854"/>
    <mergeCell ref="R6855:T6855"/>
    <mergeCell ref="R6856:T6856"/>
    <mergeCell ref="R6847:T6847"/>
    <mergeCell ref="R6848:T6848"/>
    <mergeCell ref="R6849:T6849"/>
    <mergeCell ref="R6850:T6850"/>
    <mergeCell ref="R6851:T6851"/>
    <mergeCell ref="R6842:T6842"/>
    <mergeCell ref="R6843:T6843"/>
    <mergeCell ref="R6844:T6844"/>
    <mergeCell ref="R6845:T6845"/>
    <mergeCell ref="R6846:T6846"/>
    <mergeCell ref="R6837:T6837"/>
    <mergeCell ref="R6838:T6838"/>
    <mergeCell ref="R6839:T6839"/>
    <mergeCell ref="R6840:T6840"/>
    <mergeCell ref="R6841:T6841"/>
    <mergeCell ref="R6832:T6832"/>
    <mergeCell ref="R6833:T6833"/>
    <mergeCell ref="R6834:T6834"/>
    <mergeCell ref="R6835:T6835"/>
    <mergeCell ref="R6836:T6836"/>
    <mergeCell ref="R6827:T6827"/>
    <mergeCell ref="R6828:T6828"/>
    <mergeCell ref="R6829:T6829"/>
    <mergeCell ref="R6830:T6830"/>
    <mergeCell ref="R6831:T6831"/>
    <mergeCell ref="R6822:T6822"/>
    <mergeCell ref="R6823:T6823"/>
    <mergeCell ref="R6824:T6824"/>
    <mergeCell ref="R6825:T6825"/>
    <mergeCell ref="R6826:T6826"/>
    <mergeCell ref="R6817:T6817"/>
    <mergeCell ref="R6818:T6818"/>
    <mergeCell ref="R6819:T6819"/>
    <mergeCell ref="R6820:T6820"/>
    <mergeCell ref="R6821:T6821"/>
    <mergeCell ref="R6812:T6812"/>
    <mergeCell ref="R6813:T6813"/>
    <mergeCell ref="R6814:T6814"/>
    <mergeCell ref="R6815:T6815"/>
    <mergeCell ref="R6816:T6816"/>
    <mergeCell ref="R6807:T6807"/>
    <mergeCell ref="R6808:T6808"/>
    <mergeCell ref="R6809:T6809"/>
    <mergeCell ref="R6810:T6810"/>
    <mergeCell ref="R6811:T6811"/>
    <mergeCell ref="R6802:T6802"/>
    <mergeCell ref="R6803:T6803"/>
    <mergeCell ref="R6804:T6804"/>
    <mergeCell ref="R6805:T6805"/>
    <mergeCell ref="R6806:T6806"/>
    <mergeCell ref="R6797:T6797"/>
    <mergeCell ref="R6798:T6798"/>
    <mergeCell ref="R6799:T6799"/>
    <mergeCell ref="R6800:T6800"/>
    <mergeCell ref="R6801:T6801"/>
    <mergeCell ref="R6792:T6792"/>
    <mergeCell ref="R6793:T6793"/>
    <mergeCell ref="R6794:T6794"/>
    <mergeCell ref="R6795:T6795"/>
    <mergeCell ref="R6796:T6796"/>
    <mergeCell ref="R6787:T6787"/>
    <mergeCell ref="R6788:T6788"/>
    <mergeCell ref="R6789:T6789"/>
    <mergeCell ref="R6790:T6790"/>
    <mergeCell ref="R6791:T6791"/>
    <mergeCell ref="R6782:T6782"/>
    <mergeCell ref="R6783:T6783"/>
    <mergeCell ref="R6784:T6784"/>
    <mergeCell ref="R6785:T6785"/>
    <mergeCell ref="R6786:T6786"/>
    <mergeCell ref="R6777:T6777"/>
    <mergeCell ref="R6778:T6778"/>
    <mergeCell ref="R6779:T6779"/>
    <mergeCell ref="R6780:T6780"/>
    <mergeCell ref="R6781:T6781"/>
    <mergeCell ref="R6772:T6772"/>
    <mergeCell ref="R6773:T6773"/>
    <mergeCell ref="R6774:T6774"/>
    <mergeCell ref="R6775:T6775"/>
    <mergeCell ref="R6776:T6776"/>
    <mergeCell ref="R6767:T6767"/>
    <mergeCell ref="R6768:T6768"/>
    <mergeCell ref="R6769:T6769"/>
    <mergeCell ref="R6770:T6770"/>
    <mergeCell ref="R6771:T6771"/>
    <mergeCell ref="R6762:T6762"/>
    <mergeCell ref="R6763:T6763"/>
    <mergeCell ref="R6764:T6764"/>
    <mergeCell ref="R6765:T6765"/>
    <mergeCell ref="R6766:T6766"/>
    <mergeCell ref="R6757:T6757"/>
    <mergeCell ref="R6758:T6758"/>
    <mergeCell ref="R6759:T6759"/>
    <mergeCell ref="R6760:T6760"/>
    <mergeCell ref="R6761:T6761"/>
    <mergeCell ref="R6752:T6752"/>
    <mergeCell ref="R6753:T6753"/>
    <mergeCell ref="R6754:T6754"/>
    <mergeCell ref="R6755:T6755"/>
    <mergeCell ref="R6756:T6756"/>
    <mergeCell ref="R6747:T6747"/>
    <mergeCell ref="R6748:T6748"/>
    <mergeCell ref="R6749:T6749"/>
    <mergeCell ref="R6750:T6750"/>
    <mergeCell ref="R6751:T6751"/>
    <mergeCell ref="R6742:T6742"/>
    <mergeCell ref="R6743:T6743"/>
    <mergeCell ref="R6744:T6744"/>
    <mergeCell ref="R6745:T6745"/>
    <mergeCell ref="R6746:T6746"/>
    <mergeCell ref="R6737:T6737"/>
    <mergeCell ref="R6738:T6738"/>
    <mergeCell ref="R6739:T6739"/>
    <mergeCell ref="R6740:T6740"/>
    <mergeCell ref="R6741:T6741"/>
    <mergeCell ref="R6732:T6732"/>
    <mergeCell ref="R6733:T6733"/>
    <mergeCell ref="R6734:T6734"/>
    <mergeCell ref="R6735:T6735"/>
    <mergeCell ref="R6736:T6736"/>
    <mergeCell ref="R6727:T6727"/>
    <mergeCell ref="R6728:T6728"/>
    <mergeCell ref="R6729:T6729"/>
    <mergeCell ref="R6730:T6730"/>
    <mergeCell ref="R6731:T6731"/>
    <mergeCell ref="R6722:T6722"/>
    <mergeCell ref="R6723:T6723"/>
    <mergeCell ref="R6724:T6724"/>
    <mergeCell ref="R6725:T6725"/>
    <mergeCell ref="R6726:T6726"/>
    <mergeCell ref="R6717:T6717"/>
    <mergeCell ref="R6718:T6718"/>
    <mergeCell ref="R6719:T6719"/>
    <mergeCell ref="R6720:T6720"/>
    <mergeCell ref="R6721:T6721"/>
    <mergeCell ref="R6712:T6712"/>
    <mergeCell ref="R6713:T6713"/>
    <mergeCell ref="R6714:T6714"/>
    <mergeCell ref="R6715:T6715"/>
    <mergeCell ref="R6716:T6716"/>
    <mergeCell ref="R6707:T6707"/>
    <mergeCell ref="R6708:T6708"/>
    <mergeCell ref="R6709:T6709"/>
    <mergeCell ref="R6710:T6710"/>
    <mergeCell ref="R6711:T6711"/>
    <mergeCell ref="R6702:T6702"/>
    <mergeCell ref="R6703:T6703"/>
    <mergeCell ref="R6704:T6704"/>
    <mergeCell ref="R6705:T6705"/>
    <mergeCell ref="R6706:T6706"/>
    <mergeCell ref="R6697:T6697"/>
    <mergeCell ref="R6698:T6698"/>
    <mergeCell ref="R6699:T6699"/>
    <mergeCell ref="R6700:T6700"/>
    <mergeCell ref="R6701:T6701"/>
    <mergeCell ref="R6692:T6692"/>
    <mergeCell ref="R6693:T6693"/>
    <mergeCell ref="R6694:T6694"/>
    <mergeCell ref="R6695:T6695"/>
    <mergeCell ref="R6696:T6696"/>
    <mergeCell ref="R6687:T6687"/>
    <mergeCell ref="R6688:T6688"/>
    <mergeCell ref="R6689:T6689"/>
    <mergeCell ref="R6690:T6690"/>
    <mergeCell ref="R6691:T6691"/>
    <mergeCell ref="R6682:T6682"/>
    <mergeCell ref="R6683:T6683"/>
    <mergeCell ref="R6684:T6684"/>
    <mergeCell ref="R6685:T6685"/>
    <mergeCell ref="R6686:T6686"/>
    <mergeCell ref="R6677:T6677"/>
    <mergeCell ref="R6678:T6678"/>
    <mergeCell ref="R6679:T6679"/>
    <mergeCell ref="R6680:T6680"/>
    <mergeCell ref="R6681:T6681"/>
    <mergeCell ref="R6672:T6672"/>
    <mergeCell ref="R6673:T6673"/>
    <mergeCell ref="R6674:T6674"/>
    <mergeCell ref="R6675:T6675"/>
    <mergeCell ref="R6676:T6676"/>
    <mergeCell ref="R6667:T6667"/>
    <mergeCell ref="R6668:T6668"/>
    <mergeCell ref="R6669:T6669"/>
    <mergeCell ref="R6670:T6670"/>
    <mergeCell ref="R6671:T6671"/>
    <mergeCell ref="R6662:T6662"/>
    <mergeCell ref="R6663:T6663"/>
    <mergeCell ref="R6664:T6664"/>
    <mergeCell ref="R6665:T6665"/>
    <mergeCell ref="R6666:T6666"/>
    <mergeCell ref="R6657:T6657"/>
    <mergeCell ref="R6658:T6658"/>
    <mergeCell ref="R6659:T6659"/>
    <mergeCell ref="R6660:T6660"/>
    <mergeCell ref="R6661:T6661"/>
    <mergeCell ref="R6652:T6652"/>
    <mergeCell ref="R6653:T6653"/>
    <mergeCell ref="R6654:T6654"/>
    <mergeCell ref="R6655:T6655"/>
    <mergeCell ref="R6656:T6656"/>
    <mergeCell ref="R6647:T6647"/>
    <mergeCell ref="R6648:T6648"/>
    <mergeCell ref="R6649:T6649"/>
    <mergeCell ref="R6650:T6650"/>
    <mergeCell ref="R6651:T6651"/>
    <mergeCell ref="R6642:T6642"/>
    <mergeCell ref="R6643:T6643"/>
    <mergeCell ref="R6644:T6644"/>
    <mergeCell ref="R6645:T6645"/>
    <mergeCell ref="R6646:T6646"/>
    <mergeCell ref="R6637:T6637"/>
    <mergeCell ref="R6638:T6638"/>
    <mergeCell ref="R6639:T6639"/>
    <mergeCell ref="R6640:T6640"/>
    <mergeCell ref="R6641:T6641"/>
    <mergeCell ref="R6632:T6632"/>
    <mergeCell ref="R6633:T6633"/>
    <mergeCell ref="R6634:T6634"/>
    <mergeCell ref="R6635:T6635"/>
    <mergeCell ref="R6636:T6636"/>
    <mergeCell ref="R6627:T6627"/>
    <mergeCell ref="R6628:T6628"/>
    <mergeCell ref="R6629:T6629"/>
    <mergeCell ref="R6630:T6630"/>
    <mergeCell ref="R6631:T6631"/>
    <mergeCell ref="R6622:T6622"/>
    <mergeCell ref="R6623:T6623"/>
    <mergeCell ref="R6624:T6624"/>
    <mergeCell ref="R6625:T6625"/>
    <mergeCell ref="R6626:T6626"/>
    <mergeCell ref="R6617:T6617"/>
    <mergeCell ref="R6618:T6618"/>
    <mergeCell ref="R6619:T6619"/>
    <mergeCell ref="R6620:T6620"/>
    <mergeCell ref="R6621:T6621"/>
    <mergeCell ref="R6612:T6612"/>
    <mergeCell ref="R6613:T6613"/>
    <mergeCell ref="R6614:T6614"/>
    <mergeCell ref="R6615:T6615"/>
    <mergeCell ref="R6616:T6616"/>
    <mergeCell ref="R6607:T6607"/>
    <mergeCell ref="R6608:T6608"/>
    <mergeCell ref="R6609:T6609"/>
    <mergeCell ref="R6610:T6610"/>
    <mergeCell ref="R6611:T6611"/>
    <mergeCell ref="R6602:T6602"/>
    <mergeCell ref="R6603:T6603"/>
    <mergeCell ref="R6604:T6604"/>
    <mergeCell ref="R6605:T6605"/>
    <mergeCell ref="R6606:T6606"/>
    <mergeCell ref="R6597:T6597"/>
    <mergeCell ref="R6598:T6598"/>
    <mergeCell ref="R6599:T6599"/>
    <mergeCell ref="R6600:T6600"/>
    <mergeCell ref="R6601:T6601"/>
    <mergeCell ref="R6592:T6592"/>
    <mergeCell ref="R6593:T6593"/>
    <mergeCell ref="R6594:T6594"/>
    <mergeCell ref="R6595:T6595"/>
    <mergeCell ref="R6596:T6596"/>
    <mergeCell ref="R6587:T6587"/>
    <mergeCell ref="R6588:T6588"/>
    <mergeCell ref="R6589:T6589"/>
    <mergeCell ref="R6590:T6590"/>
    <mergeCell ref="R6591:T6591"/>
    <mergeCell ref="R6582:T6582"/>
    <mergeCell ref="R6583:T6583"/>
    <mergeCell ref="R6584:T6584"/>
    <mergeCell ref="R6585:T6585"/>
    <mergeCell ref="R6586:T6586"/>
    <mergeCell ref="R6577:T6577"/>
    <mergeCell ref="R6578:T6578"/>
    <mergeCell ref="R6579:T6579"/>
    <mergeCell ref="R6580:T6580"/>
    <mergeCell ref="R6581:T6581"/>
    <mergeCell ref="R6572:T6572"/>
    <mergeCell ref="R6573:T6573"/>
    <mergeCell ref="R6574:T6574"/>
    <mergeCell ref="R6575:T6575"/>
    <mergeCell ref="R6576:T6576"/>
    <mergeCell ref="R6567:T6567"/>
    <mergeCell ref="R6568:T6568"/>
    <mergeCell ref="R6569:T6569"/>
    <mergeCell ref="R6570:T6570"/>
    <mergeCell ref="R6571:T6571"/>
    <mergeCell ref="R6562:T6562"/>
    <mergeCell ref="R6563:T6563"/>
    <mergeCell ref="R6564:T6564"/>
    <mergeCell ref="R6565:T6565"/>
    <mergeCell ref="R6566:T6566"/>
    <mergeCell ref="R6557:T6557"/>
    <mergeCell ref="R6558:T6558"/>
    <mergeCell ref="R6559:T6559"/>
    <mergeCell ref="R6560:T6560"/>
    <mergeCell ref="R6561:T6561"/>
    <mergeCell ref="R6552:T6552"/>
    <mergeCell ref="R6553:T6553"/>
    <mergeCell ref="R6554:T6554"/>
    <mergeCell ref="R6555:T6555"/>
    <mergeCell ref="R6556:T6556"/>
    <mergeCell ref="R6547:T6547"/>
    <mergeCell ref="R6548:T6548"/>
    <mergeCell ref="R6549:T6549"/>
    <mergeCell ref="R6550:T6550"/>
    <mergeCell ref="R6551:T6551"/>
    <mergeCell ref="R6542:T6542"/>
    <mergeCell ref="R6543:T6543"/>
    <mergeCell ref="R6544:T6544"/>
    <mergeCell ref="R6545:T6545"/>
    <mergeCell ref="R6546:T6546"/>
    <mergeCell ref="R6537:T6537"/>
    <mergeCell ref="R6538:T6538"/>
    <mergeCell ref="R6539:T6539"/>
    <mergeCell ref="R6540:T6540"/>
    <mergeCell ref="R6541:T6541"/>
    <mergeCell ref="R6532:T6532"/>
    <mergeCell ref="R6533:T6533"/>
    <mergeCell ref="R6534:T6534"/>
    <mergeCell ref="R6535:T6535"/>
    <mergeCell ref="R6536:T6536"/>
    <mergeCell ref="R6527:T6527"/>
    <mergeCell ref="R6528:T6528"/>
    <mergeCell ref="R6529:T6529"/>
    <mergeCell ref="R6530:T6530"/>
    <mergeCell ref="R6531:T6531"/>
    <mergeCell ref="R6522:T6522"/>
    <mergeCell ref="R6523:T6523"/>
    <mergeCell ref="R6524:T6524"/>
    <mergeCell ref="R6525:T6525"/>
    <mergeCell ref="R6526:T6526"/>
    <mergeCell ref="R6517:T6517"/>
    <mergeCell ref="R6518:T6518"/>
    <mergeCell ref="R6519:T6519"/>
    <mergeCell ref="R6520:T6520"/>
    <mergeCell ref="R6521:T6521"/>
    <mergeCell ref="R6512:T6512"/>
    <mergeCell ref="R6513:T6513"/>
    <mergeCell ref="R6514:T6514"/>
    <mergeCell ref="R6515:T6515"/>
    <mergeCell ref="R6516:T6516"/>
    <mergeCell ref="R6507:T6507"/>
    <mergeCell ref="R6508:T6508"/>
    <mergeCell ref="R6509:T6509"/>
    <mergeCell ref="R6510:T6510"/>
    <mergeCell ref="R6511:T6511"/>
    <mergeCell ref="R6502:T6502"/>
    <mergeCell ref="R6503:T6503"/>
    <mergeCell ref="R6504:T6504"/>
    <mergeCell ref="R6505:T6505"/>
    <mergeCell ref="R6506:T6506"/>
    <mergeCell ref="R6497:T6497"/>
    <mergeCell ref="R6498:T6498"/>
    <mergeCell ref="R6499:T6499"/>
    <mergeCell ref="R6500:T6500"/>
    <mergeCell ref="R6501:T6501"/>
    <mergeCell ref="R6492:T6492"/>
    <mergeCell ref="R6493:T6493"/>
    <mergeCell ref="R6494:T6494"/>
    <mergeCell ref="R6495:T6495"/>
    <mergeCell ref="R6496:T6496"/>
    <mergeCell ref="R6487:T6487"/>
    <mergeCell ref="R6488:T6488"/>
    <mergeCell ref="R6489:T6489"/>
    <mergeCell ref="R6490:T6490"/>
    <mergeCell ref="R6491:T6491"/>
    <mergeCell ref="R6482:T6482"/>
    <mergeCell ref="R6483:T6483"/>
    <mergeCell ref="R6484:T6484"/>
    <mergeCell ref="R6485:T6485"/>
    <mergeCell ref="R6486:T6486"/>
    <mergeCell ref="R6477:T6477"/>
    <mergeCell ref="R6478:T6478"/>
    <mergeCell ref="R6479:T6479"/>
    <mergeCell ref="R6480:T6480"/>
    <mergeCell ref="R6481:T6481"/>
    <mergeCell ref="R6472:T6472"/>
    <mergeCell ref="R6473:T6473"/>
    <mergeCell ref="R6474:T6474"/>
    <mergeCell ref="R6475:T6475"/>
    <mergeCell ref="R6476:T6476"/>
    <mergeCell ref="R6467:T6467"/>
    <mergeCell ref="R6468:T6468"/>
    <mergeCell ref="R6469:T6469"/>
    <mergeCell ref="R6470:T6470"/>
    <mergeCell ref="R6471:T6471"/>
    <mergeCell ref="R6462:T6462"/>
    <mergeCell ref="R6463:T6463"/>
    <mergeCell ref="R6464:T6464"/>
    <mergeCell ref="R6465:T6465"/>
    <mergeCell ref="R6466:T6466"/>
    <mergeCell ref="R6457:T6457"/>
    <mergeCell ref="R6458:T6458"/>
    <mergeCell ref="R6459:T6459"/>
    <mergeCell ref="R6460:T6460"/>
    <mergeCell ref="R6461:T6461"/>
    <mergeCell ref="R6452:T6452"/>
    <mergeCell ref="R6453:T6453"/>
    <mergeCell ref="R6454:T6454"/>
    <mergeCell ref="R6455:T6455"/>
    <mergeCell ref="R6456:T6456"/>
    <mergeCell ref="R6447:T6447"/>
    <mergeCell ref="R6448:T6448"/>
    <mergeCell ref="R6449:T6449"/>
    <mergeCell ref="R6450:T6450"/>
    <mergeCell ref="R6451:T6451"/>
    <mergeCell ref="R6442:T6442"/>
    <mergeCell ref="R6443:T6443"/>
    <mergeCell ref="R6444:T6444"/>
    <mergeCell ref="R6445:T6445"/>
    <mergeCell ref="R6446:T6446"/>
    <mergeCell ref="R6437:T6437"/>
    <mergeCell ref="R6438:T6438"/>
    <mergeCell ref="R6439:T6439"/>
    <mergeCell ref="R6440:T6440"/>
    <mergeCell ref="R6441:T6441"/>
    <mergeCell ref="R6432:T6432"/>
    <mergeCell ref="R6433:T6433"/>
    <mergeCell ref="R6434:T6434"/>
    <mergeCell ref="R6435:T6435"/>
    <mergeCell ref="R6436:T6436"/>
    <mergeCell ref="R6427:T6427"/>
    <mergeCell ref="R6428:T6428"/>
    <mergeCell ref="R6429:T6429"/>
    <mergeCell ref="R6430:T6430"/>
    <mergeCell ref="R6431:T6431"/>
    <mergeCell ref="R6422:T6422"/>
    <mergeCell ref="R6423:T6423"/>
    <mergeCell ref="R6424:T6424"/>
    <mergeCell ref="R6425:T6425"/>
    <mergeCell ref="R6426:T6426"/>
    <mergeCell ref="R6417:T6417"/>
    <mergeCell ref="R6418:T6418"/>
    <mergeCell ref="R6419:T6419"/>
    <mergeCell ref="R6420:T6420"/>
    <mergeCell ref="R6421:T6421"/>
    <mergeCell ref="R6412:T6412"/>
    <mergeCell ref="R6413:T6413"/>
    <mergeCell ref="R6414:T6414"/>
    <mergeCell ref="R6415:T6415"/>
    <mergeCell ref="R6416:T6416"/>
    <mergeCell ref="R6407:T6407"/>
    <mergeCell ref="R6408:T6408"/>
    <mergeCell ref="R6409:T6409"/>
    <mergeCell ref="R6410:T6410"/>
    <mergeCell ref="R6411:T6411"/>
    <mergeCell ref="R6402:T6402"/>
    <mergeCell ref="R6403:T6403"/>
    <mergeCell ref="R6404:T6404"/>
    <mergeCell ref="R6405:T6405"/>
    <mergeCell ref="R6406:T6406"/>
    <mergeCell ref="R6397:T6397"/>
    <mergeCell ref="R6398:T6398"/>
    <mergeCell ref="R6399:T6399"/>
    <mergeCell ref="R6400:T6400"/>
    <mergeCell ref="R6401:T6401"/>
    <mergeCell ref="R6392:T6392"/>
    <mergeCell ref="R6393:T6393"/>
    <mergeCell ref="R6394:T6394"/>
    <mergeCell ref="R6395:T6395"/>
    <mergeCell ref="R6396:T6396"/>
    <mergeCell ref="R6387:T6387"/>
    <mergeCell ref="R6388:T6388"/>
    <mergeCell ref="R6389:T6389"/>
    <mergeCell ref="R6390:T6390"/>
    <mergeCell ref="R6391:T6391"/>
    <mergeCell ref="R6382:T6382"/>
    <mergeCell ref="R6383:T6383"/>
    <mergeCell ref="R6384:T6384"/>
    <mergeCell ref="R6385:T6385"/>
    <mergeCell ref="R6386:T6386"/>
    <mergeCell ref="R6377:T6377"/>
    <mergeCell ref="R6378:T6378"/>
    <mergeCell ref="R6379:T6379"/>
    <mergeCell ref="R6380:T6380"/>
    <mergeCell ref="R6381:T6381"/>
    <mergeCell ref="R6372:T6372"/>
    <mergeCell ref="R6373:T6373"/>
    <mergeCell ref="R6374:T6374"/>
    <mergeCell ref="R6375:T6375"/>
    <mergeCell ref="R6376:T6376"/>
    <mergeCell ref="R6367:T6367"/>
    <mergeCell ref="R6368:T6368"/>
    <mergeCell ref="R6369:T6369"/>
    <mergeCell ref="R6370:T6370"/>
    <mergeCell ref="R6371:T6371"/>
    <mergeCell ref="R6362:T6362"/>
    <mergeCell ref="R6363:T6363"/>
    <mergeCell ref="R6364:T6364"/>
    <mergeCell ref="R6365:T6365"/>
    <mergeCell ref="R6366:T6366"/>
    <mergeCell ref="R6357:T6357"/>
    <mergeCell ref="R6358:T6358"/>
    <mergeCell ref="R6359:T6359"/>
    <mergeCell ref="R6360:T6360"/>
    <mergeCell ref="R6361:T6361"/>
    <mergeCell ref="R6352:T6352"/>
    <mergeCell ref="R6353:T6353"/>
    <mergeCell ref="R6354:T6354"/>
    <mergeCell ref="R6355:T6355"/>
    <mergeCell ref="R6356:T6356"/>
    <mergeCell ref="R6347:T6347"/>
    <mergeCell ref="R6348:T6348"/>
    <mergeCell ref="R6349:T6349"/>
    <mergeCell ref="R6350:T6350"/>
    <mergeCell ref="R6351:T6351"/>
    <mergeCell ref="R6342:T6342"/>
    <mergeCell ref="R6343:T6343"/>
    <mergeCell ref="R6344:T6344"/>
    <mergeCell ref="R6345:T6345"/>
    <mergeCell ref="R6346:T6346"/>
    <mergeCell ref="R6337:T6337"/>
    <mergeCell ref="R6338:T6338"/>
    <mergeCell ref="R6339:T6339"/>
    <mergeCell ref="R6340:T6340"/>
    <mergeCell ref="R6341:T6341"/>
    <mergeCell ref="R6332:T6332"/>
    <mergeCell ref="R6333:T6333"/>
    <mergeCell ref="R6334:T6334"/>
    <mergeCell ref="R6335:T6335"/>
    <mergeCell ref="R6336:T6336"/>
    <mergeCell ref="R6327:T6327"/>
    <mergeCell ref="R6328:T6328"/>
    <mergeCell ref="R6329:T6329"/>
    <mergeCell ref="R6330:T6330"/>
    <mergeCell ref="R6331:T6331"/>
    <mergeCell ref="R6322:T6322"/>
    <mergeCell ref="R6323:T6323"/>
    <mergeCell ref="R6324:T6324"/>
    <mergeCell ref="R6325:T6325"/>
    <mergeCell ref="R6326:T6326"/>
    <mergeCell ref="R6317:T6317"/>
    <mergeCell ref="R6318:T6318"/>
    <mergeCell ref="R6319:T6319"/>
    <mergeCell ref="R6320:T6320"/>
    <mergeCell ref="R6321:T6321"/>
    <mergeCell ref="R6312:T6312"/>
    <mergeCell ref="R6313:T6313"/>
    <mergeCell ref="R6314:T6314"/>
    <mergeCell ref="R6315:T6315"/>
    <mergeCell ref="R6316:T6316"/>
    <mergeCell ref="R6307:T6307"/>
    <mergeCell ref="R6308:T6308"/>
    <mergeCell ref="R6309:T6309"/>
    <mergeCell ref="R6310:T6310"/>
    <mergeCell ref="R6311:T6311"/>
    <mergeCell ref="R6302:T6302"/>
    <mergeCell ref="R6303:T6303"/>
    <mergeCell ref="R6304:T6304"/>
    <mergeCell ref="R6305:T6305"/>
    <mergeCell ref="R6306:T6306"/>
    <mergeCell ref="R6297:T6297"/>
    <mergeCell ref="R6298:T6298"/>
    <mergeCell ref="R6299:T6299"/>
    <mergeCell ref="R6300:T6300"/>
    <mergeCell ref="R6301:T6301"/>
    <mergeCell ref="R6292:T6292"/>
    <mergeCell ref="R6293:T6293"/>
    <mergeCell ref="R6294:T6294"/>
    <mergeCell ref="R6295:T6295"/>
    <mergeCell ref="R6296:T6296"/>
    <mergeCell ref="R6287:T6287"/>
    <mergeCell ref="R6288:T6288"/>
    <mergeCell ref="R6289:T6289"/>
    <mergeCell ref="R6290:T6290"/>
    <mergeCell ref="R6291:T6291"/>
    <mergeCell ref="R6282:T6282"/>
    <mergeCell ref="R6283:T6283"/>
    <mergeCell ref="R6284:T6284"/>
    <mergeCell ref="R6285:T6285"/>
    <mergeCell ref="R6286:T6286"/>
    <mergeCell ref="R6277:T6277"/>
    <mergeCell ref="R6278:T6278"/>
    <mergeCell ref="R6279:T6279"/>
    <mergeCell ref="R6280:T6280"/>
    <mergeCell ref="R6281:T6281"/>
    <mergeCell ref="R6272:T6272"/>
    <mergeCell ref="R6273:T6273"/>
    <mergeCell ref="R6274:T6274"/>
    <mergeCell ref="R6275:T6275"/>
    <mergeCell ref="R6276:T6276"/>
    <mergeCell ref="R6267:T6267"/>
    <mergeCell ref="R6268:T6268"/>
    <mergeCell ref="R6269:T6269"/>
    <mergeCell ref="R6270:T6270"/>
    <mergeCell ref="R6271:T6271"/>
    <mergeCell ref="R6262:T6262"/>
    <mergeCell ref="R6263:T6263"/>
    <mergeCell ref="R6264:T6264"/>
    <mergeCell ref="R6265:T6265"/>
    <mergeCell ref="R6266:T6266"/>
    <mergeCell ref="R6257:T6257"/>
    <mergeCell ref="R6258:T6258"/>
    <mergeCell ref="R6259:T6259"/>
    <mergeCell ref="R6260:T6260"/>
    <mergeCell ref="R6261:T6261"/>
    <mergeCell ref="R6252:T6252"/>
    <mergeCell ref="R6253:T6253"/>
    <mergeCell ref="R6254:T6254"/>
    <mergeCell ref="R6255:T6255"/>
    <mergeCell ref="R6256:T6256"/>
    <mergeCell ref="R6247:T6247"/>
    <mergeCell ref="R6248:T6248"/>
    <mergeCell ref="R6249:T6249"/>
    <mergeCell ref="R6250:T6250"/>
    <mergeCell ref="R6251:T6251"/>
    <mergeCell ref="R6242:T6242"/>
    <mergeCell ref="R6243:T6243"/>
    <mergeCell ref="R6244:T6244"/>
    <mergeCell ref="R6245:T6245"/>
    <mergeCell ref="R6246:T6246"/>
    <mergeCell ref="R6237:T6237"/>
    <mergeCell ref="R6238:T6238"/>
    <mergeCell ref="R6239:T6239"/>
    <mergeCell ref="R6240:T6240"/>
    <mergeCell ref="R6241:T6241"/>
    <mergeCell ref="R6232:T6232"/>
    <mergeCell ref="R6233:T6233"/>
    <mergeCell ref="R6234:T6234"/>
    <mergeCell ref="R6235:T6235"/>
    <mergeCell ref="R6236:T6236"/>
    <mergeCell ref="R6227:T6227"/>
    <mergeCell ref="R6228:T6228"/>
    <mergeCell ref="R6229:T6229"/>
    <mergeCell ref="R6230:T6230"/>
    <mergeCell ref="R6231:T6231"/>
    <mergeCell ref="R6222:T6222"/>
    <mergeCell ref="R6223:T6223"/>
    <mergeCell ref="R6224:T6224"/>
    <mergeCell ref="R6225:T6225"/>
    <mergeCell ref="R6226:T6226"/>
    <mergeCell ref="R6217:T6217"/>
    <mergeCell ref="R6218:T6218"/>
    <mergeCell ref="R6219:T6219"/>
    <mergeCell ref="R6220:T6220"/>
    <mergeCell ref="R6221:T6221"/>
    <mergeCell ref="R6212:T6212"/>
    <mergeCell ref="R6213:T6213"/>
    <mergeCell ref="R6214:T6214"/>
    <mergeCell ref="R6215:T6215"/>
    <mergeCell ref="R6216:T6216"/>
    <mergeCell ref="R6207:T6207"/>
    <mergeCell ref="R6208:T6208"/>
    <mergeCell ref="R6209:T6209"/>
    <mergeCell ref="R6210:T6210"/>
    <mergeCell ref="R6211:T6211"/>
    <mergeCell ref="R6202:T6202"/>
    <mergeCell ref="R6203:T6203"/>
    <mergeCell ref="R6204:T6204"/>
    <mergeCell ref="R6205:T6205"/>
    <mergeCell ref="R6206:T6206"/>
    <mergeCell ref="R6197:T6197"/>
    <mergeCell ref="R6198:T6198"/>
    <mergeCell ref="R6199:T6199"/>
    <mergeCell ref="R6200:T6200"/>
    <mergeCell ref="R6201:T6201"/>
    <mergeCell ref="R6192:T6192"/>
    <mergeCell ref="R6193:T6193"/>
    <mergeCell ref="R6194:T6194"/>
    <mergeCell ref="R6195:T6195"/>
    <mergeCell ref="R6196:T6196"/>
    <mergeCell ref="R6187:T6187"/>
    <mergeCell ref="R6188:T6188"/>
    <mergeCell ref="R6189:T6189"/>
    <mergeCell ref="R6190:T6190"/>
    <mergeCell ref="R6191:T6191"/>
    <mergeCell ref="R6182:T6182"/>
    <mergeCell ref="R6183:T6183"/>
    <mergeCell ref="R6184:T6184"/>
    <mergeCell ref="R6185:T6185"/>
    <mergeCell ref="R6186:T6186"/>
    <mergeCell ref="R6177:T6177"/>
    <mergeCell ref="R6178:T6178"/>
    <mergeCell ref="R6179:T6179"/>
    <mergeCell ref="R6180:T6180"/>
    <mergeCell ref="R6181:T6181"/>
    <mergeCell ref="R6172:T6172"/>
    <mergeCell ref="R6173:T6173"/>
    <mergeCell ref="R6174:T6174"/>
    <mergeCell ref="R6175:T6175"/>
    <mergeCell ref="R6176:T6176"/>
    <mergeCell ref="R6167:T6167"/>
    <mergeCell ref="R6168:T6168"/>
    <mergeCell ref="R6169:T6169"/>
    <mergeCell ref="R6170:T6170"/>
    <mergeCell ref="R6171:T6171"/>
    <mergeCell ref="R6162:T6162"/>
    <mergeCell ref="R6163:T6163"/>
    <mergeCell ref="R6164:T6164"/>
    <mergeCell ref="R6165:T6165"/>
    <mergeCell ref="R6166:T6166"/>
    <mergeCell ref="R6157:T6157"/>
    <mergeCell ref="R6158:T6158"/>
    <mergeCell ref="R6159:T6159"/>
    <mergeCell ref="R6160:T6160"/>
    <mergeCell ref="R6161:T6161"/>
    <mergeCell ref="R6152:T6152"/>
    <mergeCell ref="R6153:T6153"/>
    <mergeCell ref="R6154:T6154"/>
    <mergeCell ref="R6155:T6155"/>
    <mergeCell ref="R6156:T6156"/>
    <mergeCell ref="R6147:T6147"/>
    <mergeCell ref="R6148:T6148"/>
    <mergeCell ref="R6149:T6149"/>
    <mergeCell ref="R6150:T6150"/>
    <mergeCell ref="R6151:T6151"/>
    <mergeCell ref="R6142:T6142"/>
    <mergeCell ref="R6143:T6143"/>
    <mergeCell ref="R6144:T6144"/>
    <mergeCell ref="R6145:T6145"/>
    <mergeCell ref="R6146:T6146"/>
    <mergeCell ref="R6137:T6137"/>
    <mergeCell ref="R6138:T6138"/>
    <mergeCell ref="R6139:T6139"/>
    <mergeCell ref="R6140:T6140"/>
    <mergeCell ref="R6141:T6141"/>
    <mergeCell ref="R6132:T6132"/>
    <mergeCell ref="R6133:T6133"/>
    <mergeCell ref="R6134:T6134"/>
    <mergeCell ref="R6135:T6135"/>
    <mergeCell ref="R6136:T6136"/>
    <mergeCell ref="R6127:T6127"/>
    <mergeCell ref="R6128:T6128"/>
    <mergeCell ref="R6129:T6129"/>
    <mergeCell ref="R6130:T6130"/>
    <mergeCell ref="R6131:T6131"/>
    <mergeCell ref="R6122:T6122"/>
    <mergeCell ref="R6123:T6123"/>
    <mergeCell ref="R6124:T6124"/>
    <mergeCell ref="R6125:T6125"/>
    <mergeCell ref="R6126:T6126"/>
    <mergeCell ref="R6117:T6117"/>
    <mergeCell ref="R6118:T6118"/>
    <mergeCell ref="R6119:T6119"/>
    <mergeCell ref="R6120:T6120"/>
    <mergeCell ref="R6121:T6121"/>
    <mergeCell ref="R6112:T6112"/>
    <mergeCell ref="R6113:T6113"/>
    <mergeCell ref="R6114:T6114"/>
    <mergeCell ref="R6115:T6115"/>
    <mergeCell ref="R6116:T6116"/>
    <mergeCell ref="R6107:T6107"/>
    <mergeCell ref="R6108:T6108"/>
    <mergeCell ref="R6109:T6109"/>
    <mergeCell ref="R6110:T6110"/>
    <mergeCell ref="R6111:T6111"/>
    <mergeCell ref="R6102:T6102"/>
    <mergeCell ref="R6103:T6103"/>
    <mergeCell ref="R6104:T6104"/>
    <mergeCell ref="R6105:T6105"/>
    <mergeCell ref="R6106:T6106"/>
    <mergeCell ref="R6097:T6097"/>
    <mergeCell ref="R6098:T6098"/>
    <mergeCell ref="R6099:T6099"/>
    <mergeCell ref="R6100:T6100"/>
    <mergeCell ref="R6101:T6101"/>
    <mergeCell ref="R6092:T6092"/>
    <mergeCell ref="R6093:T6093"/>
    <mergeCell ref="R6094:T6094"/>
    <mergeCell ref="R6095:T6095"/>
    <mergeCell ref="R6096:T6096"/>
    <mergeCell ref="R6087:T6087"/>
    <mergeCell ref="R6088:T6088"/>
    <mergeCell ref="R6089:T6089"/>
    <mergeCell ref="R6090:T6090"/>
    <mergeCell ref="R6091:T6091"/>
    <mergeCell ref="R6082:T6082"/>
    <mergeCell ref="R6083:T6083"/>
    <mergeCell ref="R6084:T6084"/>
    <mergeCell ref="R6085:T6085"/>
    <mergeCell ref="R6086:T6086"/>
    <mergeCell ref="R6077:T6077"/>
    <mergeCell ref="R6078:T6078"/>
    <mergeCell ref="R6079:T6079"/>
    <mergeCell ref="R6080:T6080"/>
    <mergeCell ref="R6081:T6081"/>
    <mergeCell ref="R6072:T6072"/>
    <mergeCell ref="R6073:T6073"/>
    <mergeCell ref="R6074:T6074"/>
    <mergeCell ref="R6075:T6075"/>
    <mergeCell ref="R6076:T6076"/>
    <mergeCell ref="R6067:T6067"/>
    <mergeCell ref="R6068:T6068"/>
    <mergeCell ref="R6069:T6069"/>
    <mergeCell ref="R6070:T6070"/>
    <mergeCell ref="R6071:T6071"/>
    <mergeCell ref="R6062:T6062"/>
    <mergeCell ref="R6063:T6063"/>
    <mergeCell ref="R6064:T6064"/>
    <mergeCell ref="R6065:T6065"/>
    <mergeCell ref="R6066:T6066"/>
    <mergeCell ref="R6057:T6057"/>
    <mergeCell ref="R6058:T6058"/>
    <mergeCell ref="R6059:T6059"/>
    <mergeCell ref="R6060:T6060"/>
    <mergeCell ref="R6061:T6061"/>
    <mergeCell ref="R6052:T6052"/>
    <mergeCell ref="R6053:T6053"/>
    <mergeCell ref="R6054:T6054"/>
    <mergeCell ref="R6055:T6055"/>
    <mergeCell ref="R6056:T6056"/>
    <mergeCell ref="R6047:T6047"/>
    <mergeCell ref="R6048:T6048"/>
    <mergeCell ref="R6049:T6049"/>
    <mergeCell ref="R6050:T6050"/>
    <mergeCell ref="R6051:T6051"/>
    <mergeCell ref="R6042:T6042"/>
    <mergeCell ref="R6043:T6043"/>
    <mergeCell ref="R6044:T6044"/>
    <mergeCell ref="R6045:T6045"/>
    <mergeCell ref="R6046:T6046"/>
    <mergeCell ref="R6037:T6037"/>
    <mergeCell ref="R6038:T6038"/>
    <mergeCell ref="R6039:T6039"/>
    <mergeCell ref="R6040:T6040"/>
    <mergeCell ref="R6041:T6041"/>
    <mergeCell ref="R6032:T6032"/>
    <mergeCell ref="R6033:T6033"/>
    <mergeCell ref="R6034:T6034"/>
    <mergeCell ref="R6035:T6035"/>
    <mergeCell ref="R6036:T6036"/>
    <mergeCell ref="R6027:T6027"/>
    <mergeCell ref="R6028:T6028"/>
    <mergeCell ref="R6029:T6029"/>
    <mergeCell ref="R6030:T6030"/>
    <mergeCell ref="R6031:T6031"/>
    <mergeCell ref="R6022:T6022"/>
    <mergeCell ref="R6023:T6023"/>
    <mergeCell ref="R6024:T6024"/>
    <mergeCell ref="R6025:T6025"/>
    <mergeCell ref="R6026:T6026"/>
    <mergeCell ref="R6017:T6017"/>
    <mergeCell ref="R6018:T6018"/>
    <mergeCell ref="R6019:T6019"/>
    <mergeCell ref="R6020:T6020"/>
    <mergeCell ref="R6021:T6021"/>
    <mergeCell ref="R6012:T6012"/>
    <mergeCell ref="R6013:T6013"/>
    <mergeCell ref="R6014:T6014"/>
    <mergeCell ref="R6015:T6015"/>
    <mergeCell ref="R6016:T6016"/>
    <mergeCell ref="R6007:T6007"/>
    <mergeCell ref="R6008:T6008"/>
    <mergeCell ref="R6009:T6009"/>
    <mergeCell ref="R6010:T6010"/>
    <mergeCell ref="R6011:T6011"/>
    <mergeCell ref="R6002:T6002"/>
    <mergeCell ref="R6003:T6003"/>
    <mergeCell ref="R6004:T6004"/>
    <mergeCell ref="R6005:T6005"/>
    <mergeCell ref="R6006:T6006"/>
    <mergeCell ref="R5997:T5997"/>
    <mergeCell ref="R5998:T5998"/>
    <mergeCell ref="R5999:T5999"/>
    <mergeCell ref="R6000:T6000"/>
    <mergeCell ref="R6001:T6001"/>
    <mergeCell ref="R5992:T5992"/>
    <mergeCell ref="R5993:T5993"/>
    <mergeCell ref="R5994:T5994"/>
    <mergeCell ref="R5995:T5995"/>
    <mergeCell ref="R5996:T5996"/>
    <mergeCell ref="R5987:T5987"/>
    <mergeCell ref="R5988:T5988"/>
    <mergeCell ref="R5989:T5989"/>
    <mergeCell ref="R5990:T5990"/>
    <mergeCell ref="R5991:T5991"/>
    <mergeCell ref="R5982:T5982"/>
    <mergeCell ref="R5983:T5983"/>
    <mergeCell ref="R5984:T5984"/>
    <mergeCell ref="R5985:T5985"/>
    <mergeCell ref="R5986:T5986"/>
    <mergeCell ref="R5977:T5977"/>
    <mergeCell ref="R5978:T5978"/>
    <mergeCell ref="R5979:T5979"/>
    <mergeCell ref="R5980:T5980"/>
    <mergeCell ref="R5981:T5981"/>
    <mergeCell ref="R5972:T5972"/>
    <mergeCell ref="R5973:T5973"/>
    <mergeCell ref="R5974:T5974"/>
    <mergeCell ref="R5975:T5975"/>
    <mergeCell ref="R5976:T5976"/>
    <mergeCell ref="R5967:T5967"/>
    <mergeCell ref="R5968:T5968"/>
    <mergeCell ref="R5969:T5969"/>
    <mergeCell ref="R5970:T5970"/>
    <mergeCell ref="R5971:T5971"/>
    <mergeCell ref="R5962:T5962"/>
    <mergeCell ref="R5963:T5963"/>
    <mergeCell ref="R5964:T5964"/>
    <mergeCell ref="R5965:T5965"/>
    <mergeCell ref="R5966:T5966"/>
    <mergeCell ref="R5957:T5957"/>
    <mergeCell ref="R5958:T5958"/>
    <mergeCell ref="R5959:T5959"/>
    <mergeCell ref="R5960:T5960"/>
    <mergeCell ref="R5961:T5961"/>
    <mergeCell ref="R5952:T5952"/>
    <mergeCell ref="R5953:T5953"/>
    <mergeCell ref="R5954:T5954"/>
    <mergeCell ref="R5955:T5955"/>
    <mergeCell ref="R5956:T5956"/>
    <mergeCell ref="R5947:T5947"/>
    <mergeCell ref="R5948:T5948"/>
    <mergeCell ref="R5949:T5949"/>
    <mergeCell ref="R5950:T5950"/>
    <mergeCell ref="R5951:T5951"/>
    <mergeCell ref="R5942:T5942"/>
    <mergeCell ref="R5943:T5943"/>
    <mergeCell ref="R5944:T5944"/>
    <mergeCell ref="R5945:T5945"/>
    <mergeCell ref="R5946:T5946"/>
    <mergeCell ref="R5937:T5937"/>
    <mergeCell ref="R5938:T5938"/>
    <mergeCell ref="R5939:T5939"/>
    <mergeCell ref="R5940:T5940"/>
    <mergeCell ref="R5941:T5941"/>
    <mergeCell ref="R5932:T5932"/>
    <mergeCell ref="R5933:T5933"/>
    <mergeCell ref="R5934:T5934"/>
    <mergeCell ref="R5935:T5935"/>
    <mergeCell ref="R5936:T5936"/>
    <mergeCell ref="R5927:T5927"/>
    <mergeCell ref="R5928:T5928"/>
    <mergeCell ref="R5929:T5929"/>
    <mergeCell ref="R5930:T5930"/>
    <mergeCell ref="R5931:T5931"/>
    <mergeCell ref="R5922:T5922"/>
    <mergeCell ref="R5923:T5923"/>
    <mergeCell ref="R5924:T5924"/>
    <mergeCell ref="R5925:T5925"/>
    <mergeCell ref="R5926:T5926"/>
    <mergeCell ref="R5917:T5917"/>
    <mergeCell ref="R5918:T5918"/>
    <mergeCell ref="R5919:T5919"/>
    <mergeCell ref="R5920:T5920"/>
    <mergeCell ref="R5921:T5921"/>
    <mergeCell ref="R5912:T5912"/>
    <mergeCell ref="R5913:T5913"/>
    <mergeCell ref="R5914:T5914"/>
    <mergeCell ref="R5915:T5915"/>
    <mergeCell ref="R5916:T5916"/>
    <mergeCell ref="R5907:T5907"/>
    <mergeCell ref="R5908:T5908"/>
    <mergeCell ref="R5909:T5909"/>
    <mergeCell ref="R5910:T5910"/>
    <mergeCell ref="R5911:T5911"/>
    <mergeCell ref="R5902:T5902"/>
    <mergeCell ref="R5903:T5903"/>
    <mergeCell ref="R5904:T5904"/>
    <mergeCell ref="R5905:T5905"/>
    <mergeCell ref="R5906:T5906"/>
    <mergeCell ref="R5897:T5897"/>
    <mergeCell ref="R5898:T5898"/>
    <mergeCell ref="R5899:T5899"/>
    <mergeCell ref="R5900:T5900"/>
    <mergeCell ref="R5901:T5901"/>
    <mergeCell ref="R5892:T5892"/>
    <mergeCell ref="R5893:T5893"/>
    <mergeCell ref="R5894:T5894"/>
    <mergeCell ref="R5895:T5895"/>
    <mergeCell ref="R5896:T5896"/>
    <mergeCell ref="R5887:T5887"/>
    <mergeCell ref="R5888:T5888"/>
    <mergeCell ref="R5889:T5889"/>
    <mergeCell ref="R5890:T5890"/>
    <mergeCell ref="R5891:T5891"/>
    <mergeCell ref="R5882:T5882"/>
    <mergeCell ref="R5883:T5883"/>
    <mergeCell ref="R5884:T5884"/>
    <mergeCell ref="R5885:T5885"/>
    <mergeCell ref="R5886:T5886"/>
    <mergeCell ref="R5877:T5877"/>
    <mergeCell ref="R5878:T5878"/>
    <mergeCell ref="R5879:T5879"/>
    <mergeCell ref="R5880:T5880"/>
    <mergeCell ref="R5881:T5881"/>
    <mergeCell ref="R5872:T5872"/>
    <mergeCell ref="R5873:T5873"/>
    <mergeCell ref="R5874:T5874"/>
    <mergeCell ref="R5875:T5875"/>
    <mergeCell ref="R5876:T5876"/>
    <mergeCell ref="R5867:T5867"/>
    <mergeCell ref="R5868:T5868"/>
    <mergeCell ref="R5869:T5869"/>
    <mergeCell ref="R5870:T5870"/>
    <mergeCell ref="R5871:T5871"/>
    <mergeCell ref="R5862:T5862"/>
    <mergeCell ref="R5863:T5863"/>
    <mergeCell ref="R5864:T5864"/>
    <mergeCell ref="R5865:T5865"/>
    <mergeCell ref="R5866:T5866"/>
    <mergeCell ref="R5857:T5857"/>
    <mergeCell ref="R5858:T5858"/>
    <mergeCell ref="R5859:T5859"/>
    <mergeCell ref="R5860:T5860"/>
    <mergeCell ref="R5861:T5861"/>
    <mergeCell ref="R5852:T5852"/>
    <mergeCell ref="R5853:T5853"/>
    <mergeCell ref="R5854:T5854"/>
    <mergeCell ref="R5855:T5855"/>
    <mergeCell ref="R5856:T5856"/>
    <mergeCell ref="R5847:T5847"/>
    <mergeCell ref="R5848:T5848"/>
    <mergeCell ref="R5849:T5849"/>
    <mergeCell ref="R5850:T5850"/>
    <mergeCell ref="R5851:T5851"/>
    <mergeCell ref="R5842:T5842"/>
    <mergeCell ref="R5843:T5843"/>
    <mergeCell ref="R5844:T5844"/>
    <mergeCell ref="R5845:T5845"/>
    <mergeCell ref="R5846:T5846"/>
    <mergeCell ref="R5837:T5837"/>
    <mergeCell ref="R5838:T5838"/>
    <mergeCell ref="R5839:T5839"/>
    <mergeCell ref="R5840:T5840"/>
    <mergeCell ref="R5841:T5841"/>
    <mergeCell ref="R5832:T5832"/>
    <mergeCell ref="R5833:T5833"/>
    <mergeCell ref="R5834:T5834"/>
    <mergeCell ref="R5835:T5835"/>
    <mergeCell ref="R5836:T5836"/>
    <mergeCell ref="R5827:T5827"/>
    <mergeCell ref="R5828:T5828"/>
    <mergeCell ref="R5829:T5829"/>
    <mergeCell ref="R5830:T5830"/>
    <mergeCell ref="R5831:T5831"/>
    <mergeCell ref="R5822:T5822"/>
    <mergeCell ref="R5823:T5823"/>
    <mergeCell ref="R5824:T5824"/>
    <mergeCell ref="R5825:T5825"/>
    <mergeCell ref="R5826:T5826"/>
    <mergeCell ref="R5817:T5817"/>
    <mergeCell ref="R5818:T5818"/>
    <mergeCell ref="R5819:T5819"/>
    <mergeCell ref="R5820:T5820"/>
    <mergeCell ref="R5821:T5821"/>
    <mergeCell ref="R5812:T5812"/>
    <mergeCell ref="R5813:T5813"/>
    <mergeCell ref="R5814:T5814"/>
    <mergeCell ref="R5815:T5815"/>
    <mergeCell ref="R5816:T5816"/>
    <mergeCell ref="R5807:T5807"/>
    <mergeCell ref="R5808:T5808"/>
    <mergeCell ref="R5809:T5809"/>
    <mergeCell ref="R5810:T5810"/>
    <mergeCell ref="R5811:T5811"/>
    <mergeCell ref="R5802:T5802"/>
    <mergeCell ref="R5803:T5803"/>
    <mergeCell ref="R5804:T5804"/>
    <mergeCell ref="R5805:T5805"/>
    <mergeCell ref="R5806:T5806"/>
    <mergeCell ref="R5797:T5797"/>
    <mergeCell ref="R5798:T5798"/>
    <mergeCell ref="R5799:T5799"/>
    <mergeCell ref="R5800:T5800"/>
    <mergeCell ref="R5801:T5801"/>
    <mergeCell ref="R5792:T5792"/>
    <mergeCell ref="R5793:T5793"/>
    <mergeCell ref="R5794:T5794"/>
    <mergeCell ref="R5795:T5795"/>
    <mergeCell ref="R5796:T5796"/>
    <mergeCell ref="R5787:T5787"/>
    <mergeCell ref="R5788:T5788"/>
    <mergeCell ref="R5789:T5789"/>
    <mergeCell ref="R5790:T5790"/>
    <mergeCell ref="R5791:T5791"/>
    <mergeCell ref="R5782:T5782"/>
    <mergeCell ref="R5783:T5783"/>
    <mergeCell ref="R5784:T5784"/>
    <mergeCell ref="R5785:T5785"/>
    <mergeCell ref="R5786:T5786"/>
    <mergeCell ref="R5777:T5777"/>
    <mergeCell ref="R5778:T5778"/>
    <mergeCell ref="R5779:T5779"/>
    <mergeCell ref="R5780:T5780"/>
    <mergeCell ref="R5781:T5781"/>
    <mergeCell ref="R5772:T5772"/>
    <mergeCell ref="R5773:T5773"/>
    <mergeCell ref="R5774:T5774"/>
    <mergeCell ref="R5775:T5775"/>
    <mergeCell ref="R5776:T5776"/>
    <mergeCell ref="R5767:T5767"/>
    <mergeCell ref="R5768:T5768"/>
    <mergeCell ref="R5769:T5769"/>
    <mergeCell ref="R5770:T5770"/>
    <mergeCell ref="R5771:T5771"/>
    <mergeCell ref="R5762:T5762"/>
    <mergeCell ref="R5763:T5763"/>
    <mergeCell ref="R5764:T5764"/>
    <mergeCell ref="R5765:T5765"/>
    <mergeCell ref="R5766:T5766"/>
    <mergeCell ref="R5757:T5757"/>
    <mergeCell ref="R5758:T5758"/>
    <mergeCell ref="R5759:T5759"/>
    <mergeCell ref="R5760:T5760"/>
    <mergeCell ref="R5761:T5761"/>
    <mergeCell ref="R5752:T5752"/>
    <mergeCell ref="R5753:T5753"/>
    <mergeCell ref="R5754:T5754"/>
    <mergeCell ref="R5755:T5755"/>
    <mergeCell ref="R5756:T5756"/>
    <mergeCell ref="R5747:T5747"/>
    <mergeCell ref="R5748:T5748"/>
    <mergeCell ref="R5749:T5749"/>
    <mergeCell ref="R5750:T5750"/>
    <mergeCell ref="R5751:T5751"/>
    <mergeCell ref="R5742:T5742"/>
    <mergeCell ref="R5743:T5743"/>
    <mergeCell ref="R5744:T5744"/>
    <mergeCell ref="R5745:T5745"/>
    <mergeCell ref="R5746:T5746"/>
    <mergeCell ref="R5737:T5737"/>
    <mergeCell ref="R5738:T5738"/>
    <mergeCell ref="R5739:T5739"/>
    <mergeCell ref="R5740:T5740"/>
    <mergeCell ref="R5741:T5741"/>
    <mergeCell ref="R5732:T5732"/>
    <mergeCell ref="R5733:T5733"/>
    <mergeCell ref="R5734:T5734"/>
    <mergeCell ref="R5735:T5735"/>
    <mergeCell ref="R5736:T5736"/>
    <mergeCell ref="R5727:T5727"/>
    <mergeCell ref="R5728:T5728"/>
    <mergeCell ref="R5729:T5729"/>
    <mergeCell ref="R5730:T5730"/>
    <mergeCell ref="R5731:T5731"/>
    <mergeCell ref="R5722:T5722"/>
    <mergeCell ref="R5723:T5723"/>
    <mergeCell ref="R5724:T5724"/>
    <mergeCell ref="R5725:T5725"/>
    <mergeCell ref="R5726:T5726"/>
    <mergeCell ref="R5717:T5717"/>
    <mergeCell ref="R5718:T5718"/>
    <mergeCell ref="R5719:T5719"/>
    <mergeCell ref="R5720:T5720"/>
    <mergeCell ref="R5721:T5721"/>
    <mergeCell ref="R5712:T5712"/>
    <mergeCell ref="R5713:T5713"/>
    <mergeCell ref="R5714:T5714"/>
    <mergeCell ref="R5715:T5715"/>
    <mergeCell ref="R5716:T5716"/>
    <mergeCell ref="R5707:T5707"/>
    <mergeCell ref="R5708:T5708"/>
    <mergeCell ref="R5709:T5709"/>
    <mergeCell ref="R5710:T5710"/>
    <mergeCell ref="R5711:T5711"/>
    <mergeCell ref="R5702:T5702"/>
    <mergeCell ref="R5703:T5703"/>
    <mergeCell ref="R5704:T5704"/>
    <mergeCell ref="R5705:T5705"/>
    <mergeCell ref="R5706:T5706"/>
    <mergeCell ref="R5697:T5697"/>
    <mergeCell ref="R5698:T5698"/>
    <mergeCell ref="R5699:T5699"/>
    <mergeCell ref="R5700:T5700"/>
    <mergeCell ref="R5701:T5701"/>
    <mergeCell ref="R5692:T5692"/>
    <mergeCell ref="R5693:T5693"/>
    <mergeCell ref="R5694:T5694"/>
    <mergeCell ref="R5695:T5695"/>
    <mergeCell ref="R5696:T5696"/>
    <mergeCell ref="R5687:T5687"/>
    <mergeCell ref="R5688:T5688"/>
    <mergeCell ref="R5689:T5689"/>
    <mergeCell ref="R5690:T5690"/>
    <mergeCell ref="R5691:T5691"/>
    <mergeCell ref="R5682:T5682"/>
    <mergeCell ref="R5683:T5683"/>
    <mergeCell ref="R5684:T5684"/>
    <mergeCell ref="R5685:T5685"/>
    <mergeCell ref="R5686:T5686"/>
    <mergeCell ref="R5677:T5677"/>
    <mergeCell ref="R5678:T5678"/>
    <mergeCell ref="R5679:T5679"/>
    <mergeCell ref="R5680:T5680"/>
    <mergeCell ref="R5681:T5681"/>
    <mergeCell ref="R5672:T5672"/>
    <mergeCell ref="R5673:T5673"/>
    <mergeCell ref="R5674:T5674"/>
    <mergeCell ref="R5675:T5675"/>
    <mergeCell ref="R5676:T5676"/>
    <mergeCell ref="R5667:T5667"/>
    <mergeCell ref="R5668:T5668"/>
    <mergeCell ref="R5669:T5669"/>
    <mergeCell ref="R5670:T5670"/>
    <mergeCell ref="R5671:T5671"/>
    <mergeCell ref="R5662:T5662"/>
    <mergeCell ref="R5663:T5663"/>
    <mergeCell ref="R5664:T5664"/>
    <mergeCell ref="R5665:T5665"/>
    <mergeCell ref="R5666:T5666"/>
    <mergeCell ref="R5657:T5657"/>
    <mergeCell ref="R5658:T5658"/>
    <mergeCell ref="R5659:T5659"/>
    <mergeCell ref="R5660:T5660"/>
    <mergeCell ref="R5661:T5661"/>
    <mergeCell ref="R5652:T5652"/>
    <mergeCell ref="R5653:T5653"/>
    <mergeCell ref="R5654:T5654"/>
    <mergeCell ref="R5655:T5655"/>
    <mergeCell ref="R5656:T5656"/>
    <mergeCell ref="R5647:T5647"/>
    <mergeCell ref="R5648:T5648"/>
    <mergeCell ref="R5649:T5649"/>
    <mergeCell ref="R5650:T5650"/>
    <mergeCell ref="R5651:T5651"/>
    <mergeCell ref="R5642:T5642"/>
    <mergeCell ref="R5643:T5643"/>
    <mergeCell ref="R5644:T5644"/>
    <mergeCell ref="R5645:T5645"/>
    <mergeCell ref="R5646:T5646"/>
    <mergeCell ref="R5637:T5637"/>
    <mergeCell ref="R5638:T5638"/>
    <mergeCell ref="R5639:T5639"/>
    <mergeCell ref="R5640:T5640"/>
    <mergeCell ref="R5641:T5641"/>
    <mergeCell ref="R5632:T5632"/>
    <mergeCell ref="R5633:T5633"/>
    <mergeCell ref="R5634:T5634"/>
    <mergeCell ref="R5635:T5635"/>
    <mergeCell ref="R5636:T5636"/>
    <mergeCell ref="R5627:T5627"/>
    <mergeCell ref="R5628:T5628"/>
    <mergeCell ref="R5629:T5629"/>
    <mergeCell ref="R5630:T5630"/>
    <mergeCell ref="R5631:T5631"/>
    <mergeCell ref="R5622:T5622"/>
    <mergeCell ref="R5623:T5623"/>
    <mergeCell ref="R5624:T5624"/>
    <mergeCell ref="R5625:T5625"/>
    <mergeCell ref="R5626:T5626"/>
    <mergeCell ref="R5617:T5617"/>
    <mergeCell ref="R5618:T5618"/>
    <mergeCell ref="R5619:T5619"/>
    <mergeCell ref="R5620:T5620"/>
    <mergeCell ref="R5621:T5621"/>
    <mergeCell ref="R5612:T5612"/>
    <mergeCell ref="R5613:T5613"/>
    <mergeCell ref="R5614:T5614"/>
    <mergeCell ref="R5615:T5615"/>
    <mergeCell ref="R5616:T5616"/>
    <mergeCell ref="R5607:T5607"/>
    <mergeCell ref="R5608:T5608"/>
    <mergeCell ref="R5609:T5609"/>
    <mergeCell ref="R5610:T5610"/>
    <mergeCell ref="R5611:T5611"/>
    <mergeCell ref="R5602:T5602"/>
    <mergeCell ref="R5603:T5603"/>
    <mergeCell ref="R5604:T5604"/>
    <mergeCell ref="R5605:T5605"/>
    <mergeCell ref="R5606:T5606"/>
    <mergeCell ref="R5597:T5597"/>
    <mergeCell ref="R5598:T5598"/>
    <mergeCell ref="R5599:T5599"/>
    <mergeCell ref="R5600:T5600"/>
    <mergeCell ref="R5601:T5601"/>
    <mergeCell ref="R5592:T5592"/>
    <mergeCell ref="R5593:T5593"/>
    <mergeCell ref="R5594:T5594"/>
    <mergeCell ref="R5595:T5595"/>
    <mergeCell ref="R5596:T5596"/>
    <mergeCell ref="R5587:T5587"/>
    <mergeCell ref="R5588:T5588"/>
    <mergeCell ref="R5589:T5589"/>
    <mergeCell ref="R5590:T5590"/>
    <mergeCell ref="R5591:T5591"/>
    <mergeCell ref="R5582:T5582"/>
    <mergeCell ref="R5583:T5583"/>
    <mergeCell ref="R5584:T5584"/>
    <mergeCell ref="R5585:T5585"/>
    <mergeCell ref="R5586:T5586"/>
    <mergeCell ref="R5577:T5577"/>
    <mergeCell ref="R5578:T5578"/>
    <mergeCell ref="R5579:T5579"/>
    <mergeCell ref="R5580:T5580"/>
    <mergeCell ref="R5581:T5581"/>
    <mergeCell ref="R5572:T5572"/>
    <mergeCell ref="R5573:T5573"/>
    <mergeCell ref="R5574:T5574"/>
    <mergeCell ref="R5575:T5575"/>
    <mergeCell ref="R5576:T5576"/>
    <mergeCell ref="R5567:T5567"/>
    <mergeCell ref="R5568:T5568"/>
    <mergeCell ref="R5569:T5569"/>
    <mergeCell ref="R5570:T5570"/>
    <mergeCell ref="R5571:T5571"/>
    <mergeCell ref="R5562:T5562"/>
    <mergeCell ref="R5563:T5563"/>
    <mergeCell ref="R5564:T5564"/>
    <mergeCell ref="R5565:T5565"/>
    <mergeCell ref="R5566:T5566"/>
    <mergeCell ref="R5557:T5557"/>
    <mergeCell ref="R5558:T5558"/>
    <mergeCell ref="R5559:T5559"/>
    <mergeCell ref="R5560:T5560"/>
    <mergeCell ref="R5561:T5561"/>
    <mergeCell ref="R5552:T5552"/>
    <mergeCell ref="R5553:T5553"/>
    <mergeCell ref="R5554:T5554"/>
    <mergeCell ref="R5555:T5555"/>
    <mergeCell ref="R5556:T5556"/>
    <mergeCell ref="R5547:T5547"/>
    <mergeCell ref="R5548:T5548"/>
    <mergeCell ref="R5549:T5549"/>
    <mergeCell ref="R5550:T5550"/>
    <mergeCell ref="R5551:T5551"/>
    <mergeCell ref="R5542:T5542"/>
    <mergeCell ref="R5543:T5543"/>
    <mergeCell ref="R5544:T5544"/>
    <mergeCell ref="R5545:T5545"/>
    <mergeCell ref="R5546:T5546"/>
    <mergeCell ref="R5537:T5537"/>
    <mergeCell ref="R5538:T5538"/>
    <mergeCell ref="R5539:T5539"/>
    <mergeCell ref="R5540:T5540"/>
    <mergeCell ref="R5541:T5541"/>
    <mergeCell ref="R5532:T5532"/>
    <mergeCell ref="R5533:T5533"/>
    <mergeCell ref="R5534:T5534"/>
    <mergeCell ref="R5535:T5535"/>
    <mergeCell ref="R5536:T5536"/>
    <mergeCell ref="R5527:T5527"/>
    <mergeCell ref="R5528:T5528"/>
    <mergeCell ref="R5529:T5529"/>
    <mergeCell ref="R5530:T5530"/>
    <mergeCell ref="R5531:T5531"/>
    <mergeCell ref="R5522:T5522"/>
    <mergeCell ref="R5523:T5523"/>
    <mergeCell ref="R5524:T5524"/>
    <mergeCell ref="R5525:T5525"/>
    <mergeCell ref="R5526:T5526"/>
    <mergeCell ref="R5517:T5517"/>
    <mergeCell ref="R5518:T5518"/>
    <mergeCell ref="R5519:T5519"/>
    <mergeCell ref="R5520:T5520"/>
    <mergeCell ref="R5521:T5521"/>
    <mergeCell ref="R5512:T5512"/>
    <mergeCell ref="R5513:T5513"/>
    <mergeCell ref="R5514:T5514"/>
    <mergeCell ref="R5515:T5515"/>
    <mergeCell ref="R5516:T5516"/>
    <mergeCell ref="R5507:T5507"/>
    <mergeCell ref="R5508:T5508"/>
    <mergeCell ref="R5509:T5509"/>
    <mergeCell ref="R5510:T5510"/>
    <mergeCell ref="R5511:T5511"/>
    <mergeCell ref="R5502:T5502"/>
    <mergeCell ref="R5503:T5503"/>
    <mergeCell ref="R5504:T5504"/>
    <mergeCell ref="R5505:T5505"/>
    <mergeCell ref="R5506:T5506"/>
    <mergeCell ref="R5497:T5497"/>
    <mergeCell ref="R5498:T5498"/>
    <mergeCell ref="R5499:T5499"/>
    <mergeCell ref="R5500:T5500"/>
    <mergeCell ref="R5501:T5501"/>
    <mergeCell ref="R5492:T5492"/>
    <mergeCell ref="R5493:T5493"/>
    <mergeCell ref="R5494:T5494"/>
    <mergeCell ref="R5495:T5495"/>
    <mergeCell ref="R5496:T5496"/>
    <mergeCell ref="R5487:T5487"/>
    <mergeCell ref="R5488:T5488"/>
    <mergeCell ref="R5489:T5489"/>
    <mergeCell ref="R5490:T5490"/>
    <mergeCell ref="R5491:T5491"/>
    <mergeCell ref="R5482:T5482"/>
    <mergeCell ref="R5483:T5483"/>
    <mergeCell ref="R5484:T5484"/>
    <mergeCell ref="R5485:T5485"/>
    <mergeCell ref="R5486:T5486"/>
    <mergeCell ref="R5477:T5477"/>
    <mergeCell ref="R5478:T5478"/>
    <mergeCell ref="R5479:T5479"/>
    <mergeCell ref="R5480:T5480"/>
    <mergeCell ref="R5481:T5481"/>
    <mergeCell ref="R5472:T5472"/>
    <mergeCell ref="R5473:T5473"/>
    <mergeCell ref="R5474:T5474"/>
    <mergeCell ref="R5475:T5475"/>
    <mergeCell ref="R5476:T5476"/>
    <mergeCell ref="R5467:T5467"/>
    <mergeCell ref="R5468:T5468"/>
    <mergeCell ref="R5469:T5469"/>
    <mergeCell ref="R5470:T5470"/>
    <mergeCell ref="R5471:T5471"/>
    <mergeCell ref="R5462:T5462"/>
    <mergeCell ref="R5463:T5463"/>
    <mergeCell ref="R5464:T5464"/>
    <mergeCell ref="R5465:T5465"/>
    <mergeCell ref="R5466:T5466"/>
    <mergeCell ref="R5457:T5457"/>
    <mergeCell ref="R5458:T5458"/>
    <mergeCell ref="R5459:T5459"/>
    <mergeCell ref="R5460:T5460"/>
    <mergeCell ref="R5461:T5461"/>
    <mergeCell ref="R5452:T5452"/>
    <mergeCell ref="R5453:T5453"/>
    <mergeCell ref="R5454:T5454"/>
    <mergeCell ref="R5455:T5455"/>
    <mergeCell ref="R5456:T5456"/>
    <mergeCell ref="R5447:T5447"/>
    <mergeCell ref="R5448:T5448"/>
    <mergeCell ref="R5449:T5449"/>
    <mergeCell ref="R5450:T5450"/>
    <mergeCell ref="R5451:T5451"/>
    <mergeCell ref="R5442:T5442"/>
    <mergeCell ref="R5443:T5443"/>
    <mergeCell ref="R5444:T5444"/>
    <mergeCell ref="R5445:T5445"/>
    <mergeCell ref="R5446:T5446"/>
    <mergeCell ref="R5437:T5437"/>
    <mergeCell ref="R5438:T5438"/>
    <mergeCell ref="R5439:T5439"/>
    <mergeCell ref="R5440:T5440"/>
    <mergeCell ref="R5441:T5441"/>
    <mergeCell ref="R5432:T5432"/>
    <mergeCell ref="R5433:T5433"/>
    <mergeCell ref="R5434:T5434"/>
    <mergeCell ref="R5435:T5435"/>
    <mergeCell ref="R5436:T5436"/>
    <mergeCell ref="R5427:T5427"/>
    <mergeCell ref="R5428:T5428"/>
    <mergeCell ref="R5429:T5429"/>
    <mergeCell ref="R5430:T5430"/>
    <mergeCell ref="R5431:T5431"/>
    <mergeCell ref="R5422:T5422"/>
    <mergeCell ref="R5423:T5423"/>
    <mergeCell ref="R5424:T5424"/>
    <mergeCell ref="R5425:T5425"/>
    <mergeCell ref="R5426:T5426"/>
    <mergeCell ref="R5417:T5417"/>
    <mergeCell ref="R5418:T5418"/>
    <mergeCell ref="R5419:T5419"/>
    <mergeCell ref="R5420:T5420"/>
    <mergeCell ref="R5421:T5421"/>
    <mergeCell ref="R5412:T5412"/>
    <mergeCell ref="R5413:T5413"/>
    <mergeCell ref="R5414:T5414"/>
    <mergeCell ref="R5415:T5415"/>
    <mergeCell ref="R5416:T5416"/>
    <mergeCell ref="R5407:T5407"/>
    <mergeCell ref="R5408:T5408"/>
    <mergeCell ref="R5409:T5409"/>
    <mergeCell ref="R5410:T5410"/>
    <mergeCell ref="R5411:T5411"/>
    <mergeCell ref="R5402:T5402"/>
    <mergeCell ref="R5403:T5403"/>
    <mergeCell ref="R5404:T5404"/>
    <mergeCell ref="R5405:T5405"/>
    <mergeCell ref="R5406:T5406"/>
    <mergeCell ref="R5397:T5397"/>
    <mergeCell ref="R5398:T5398"/>
    <mergeCell ref="R5399:T5399"/>
    <mergeCell ref="R5400:T5400"/>
    <mergeCell ref="R5401:T5401"/>
    <mergeCell ref="R5392:T5392"/>
    <mergeCell ref="R5393:T5393"/>
    <mergeCell ref="R5394:T5394"/>
    <mergeCell ref="R5395:T5395"/>
    <mergeCell ref="R5396:T5396"/>
    <mergeCell ref="R5387:T5387"/>
    <mergeCell ref="R5388:T5388"/>
    <mergeCell ref="R5389:T5389"/>
    <mergeCell ref="R5390:T5390"/>
    <mergeCell ref="R5391:T5391"/>
    <mergeCell ref="R5382:T5382"/>
    <mergeCell ref="R5383:T5383"/>
    <mergeCell ref="R5384:T5384"/>
    <mergeCell ref="R5385:T5385"/>
    <mergeCell ref="R5386:T5386"/>
    <mergeCell ref="R5377:T5377"/>
    <mergeCell ref="R5378:T5378"/>
    <mergeCell ref="R5379:T5379"/>
    <mergeCell ref="R5380:T5380"/>
    <mergeCell ref="R5381:T5381"/>
    <mergeCell ref="R5372:T5372"/>
    <mergeCell ref="R5373:T5373"/>
    <mergeCell ref="R5374:T5374"/>
    <mergeCell ref="R5375:T5375"/>
    <mergeCell ref="R5376:T5376"/>
    <mergeCell ref="R5367:T5367"/>
    <mergeCell ref="R5368:T5368"/>
    <mergeCell ref="R5369:T5369"/>
    <mergeCell ref="R5370:T5370"/>
    <mergeCell ref="R5371:T5371"/>
    <mergeCell ref="R5362:T5362"/>
    <mergeCell ref="R5363:T5363"/>
    <mergeCell ref="R5364:T5364"/>
    <mergeCell ref="R5365:T5365"/>
    <mergeCell ref="R5366:T5366"/>
    <mergeCell ref="R5357:T5357"/>
    <mergeCell ref="R5358:T5358"/>
    <mergeCell ref="R5359:T5359"/>
    <mergeCell ref="R5360:T5360"/>
    <mergeCell ref="R5361:T5361"/>
    <mergeCell ref="R5352:T5352"/>
    <mergeCell ref="R5353:T5353"/>
    <mergeCell ref="R5354:T5354"/>
    <mergeCell ref="R5355:T5355"/>
    <mergeCell ref="R5356:T5356"/>
    <mergeCell ref="R5347:T5347"/>
    <mergeCell ref="R5348:T5348"/>
    <mergeCell ref="R5349:T5349"/>
    <mergeCell ref="R5350:T5350"/>
    <mergeCell ref="R5351:T5351"/>
    <mergeCell ref="R5342:T5342"/>
    <mergeCell ref="R5343:T5343"/>
    <mergeCell ref="R5344:T5344"/>
    <mergeCell ref="R5345:T5345"/>
    <mergeCell ref="R5346:T5346"/>
    <mergeCell ref="R5337:T5337"/>
    <mergeCell ref="R5338:T5338"/>
    <mergeCell ref="R5339:T5339"/>
    <mergeCell ref="R5340:T5340"/>
    <mergeCell ref="R5341:T5341"/>
    <mergeCell ref="R5332:T5332"/>
    <mergeCell ref="R5333:T5333"/>
    <mergeCell ref="R5334:T5334"/>
    <mergeCell ref="R5335:T5335"/>
    <mergeCell ref="R5336:T5336"/>
    <mergeCell ref="R5327:T5327"/>
    <mergeCell ref="R5328:T5328"/>
    <mergeCell ref="R5329:T5329"/>
    <mergeCell ref="R5330:T5330"/>
    <mergeCell ref="R5331:T5331"/>
    <mergeCell ref="R5322:T5322"/>
    <mergeCell ref="R5323:T5323"/>
    <mergeCell ref="R5324:T5324"/>
    <mergeCell ref="R5325:T5325"/>
    <mergeCell ref="R5326:T5326"/>
    <mergeCell ref="R5317:T5317"/>
    <mergeCell ref="R5318:T5318"/>
    <mergeCell ref="R5319:T5319"/>
    <mergeCell ref="R5320:T5320"/>
    <mergeCell ref="R5321:T5321"/>
    <mergeCell ref="R5312:T5312"/>
    <mergeCell ref="R5313:T5313"/>
    <mergeCell ref="R5314:T5314"/>
    <mergeCell ref="R5315:T5315"/>
    <mergeCell ref="R5316:T5316"/>
    <mergeCell ref="R5307:T5307"/>
    <mergeCell ref="R5308:T5308"/>
    <mergeCell ref="R5309:T5309"/>
    <mergeCell ref="R5310:T5310"/>
    <mergeCell ref="R5311:T5311"/>
    <mergeCell ref="R5302:T5302"/>
    <mergeCell ref="R5303:T5303"/>
    <mergeCell ref="R5304:T5304"/>
    <mergeCell ref="R5305:T5305"/>
    <mergeCell ref="R5306:T5306"/>
    <mergeCell ref="R5297:T5297"/>
    <mergeCell ref="R5298:T5298"/>
    <mergeCell ref="R5299:T5299"/>
    <mergeCell ref="R5300:T5300"/>
    <mergeCell ref="R5301:T5301"/>
    <mergeCell ref="R5292:T5292"/>
    <mergeCell ref="R5293:T5293"/>
    <mergeCell ref="R5294:T5294"/>
    <mergeCell ref="R5295:T5295"/>
    <mergeCell ref="R5296:T5296"/>
    <mergeCell ref="R5287:T5287"/>
    <mergeCell ref="R5288:T5288"/>
    <mergeCell ref="R5289:T5289"/>
    <mergeCell ref="R5290:T5290"/>
    <mergeCell ref="R5291:T5291"/>
    <mergeCell ref="R5282:T5282"/>
    <mergeCell ref="R5283:T5283"/>
    <mergeCell ref="R5284:T5284"/>
    <mergeCell ref="R5285:T5285"/>
    <mergeCell ref="R5286:T5286"/>
    <mergeCell ref="R5277:T5277"/>
    <mergeCell ref="R5278:T5278"/>
    <mergeCell ref="R5279:T5279"/>
    <mergeCell ref="R5280:T5280"/>
    <mergeCell ref="R5281:T5281"/>
    <mergeCell ref="R5272:T5272"/>
    <mergeCell ref="R5273:T5273"/>
    <mergeCell ref="R5274:T5274"/>
    <mergeCell ref="R5275:T5275"/>
    <mergeCell ref="R5276:T5276"/>
    <mergeCell ref="R5267:T5267"/>
    <mergeCell ref="R5268:T5268"/>
    <mergeCell ref="R5269:T5269"/>
    <mergeCell ref="R5270:T5270"/>
    <mergeCell ref="R5271:T5271"/>
    <mergeCell ref="R5262:T5262"/>
    <mergeCell ref="R5263:T5263"/>
    <mergeCell ref="R5264:T5264"/>
    <mergeCell ref="R5265:T5265"/>
    <mergeCell ref="R5266:T5266"/>
    <mergeCell ref="R5257:T5257"/>
    <mergeCell ref="R5258:T5258"/>
    <mergeCell ref="R5259:T5259"/>
    <mergeCell ref="R5260:T5260"/>
    <mergeCell ref="R5261:T5261"/>
    <mergeCell ref="R5252:T5252"/>
    <mergeCell ref="R5253:T5253"/>
    <mergeCell ref="R5254:T5254"/>
    <mergeCell ref="R5255:T5255"/>
    <mergeCell ref="R5256:T5256"/>
    <mergeCell ref="R5247:T5247"/>
    <mergeCell ref="R5248:T5248"/>
    <mergeCell ref="R5249:T5249"/>
    <mergeCell ref="R5250:T5250"/>
    <mergeCell ref="R5251:T5251"/>
    <mergeCell ref="R5242:T5242"/>
    <mergeCell ref="R5243:T5243"/>
    <mergeCell ref="R5244:T5244"/>
    <mergeCell ref="R5245:T5245"/>
    <mergeCell ref="R5246:T5246"/>
    <mergeCell ref="R5237:T5237"/>
    <mergeCell ref="R5238:T5238"/>
    <mergeCell ref="R5239:T5239"/>
    <mergeCell ref="R5240:T5240"/>
    <mergeCell ref="R5241:T5241"/>
    <mergeCell ref="R5232:T5232"/>
    <mergeCell ref="R5233:T5233"/>
    <mergeCell ref="R5234:T5234"/>
    <mergeCell ref="R5235:T5235"/>
    <mergeCell ref="R5236:T5236"/>
    <mergeCell ref="R5227:T5227"/>
    <mergeCell ref="R5228:T5228"/>
    <mergeCell ref="R5229:T5229"/>
    <mergeCell ref="R5230:T5230"/>
    <mergeCell ref="R5231:T5231"/>
    <mergeCell ref="R5222:T5222"/>
    <mergeCell ref="R5223:T5223"/>
    <mergeCell ref="R5224:T5224"/>
    <mergeCell ref="R5225:T5225"/>
    <mergeCell ref="R5226:T5226"/>
    <mergeCell ref="R5217:T5217"/>
    <mergeCell ref="R5218:T5218"/>
    <mergeCell ref="R5219:T5219"/>
    <mergeCell ref="R5220:T5220"/>
    <mergeCell ref="R5221:T5221"/>
    <mergeCell ref="R5212:T5212"/>
    <mergeCell ref="R5213:T5213"/>
    <mergeCell ref="R5214:T5214"/>
    <mergeCell ref="R5215:T5215"/>
    <mergeCell ref="R5216:T5216"/>
    <mergeCell ref="R5207:T5207"/>
    <mergeCell ref="R5208:T5208"/>
    <mergeCell ref="R5209:T5209"/>
    <mergeCell ref="R5210:T5210"/>
    <mergeCell ref="R5211:T5211"/>
    <mergeCell ref="R5202:T5202"/>
    <mergeCell ref="R5203:T5203"/>
    <mergeCell ref="R5204:T5204"/>
    <mergeCell ref="R5205:T5205"/>
    <mergeCell ref="R5206:T5206"/>
    <mergeCell ref="R5197:T5197"/>
    <mergeCell ref="R5198:T5198"/>
    <mergeCell ref="R5199:T5199"/>
    <mergeCell ref="R5200:T5200"/>
    <mergeCell ref="R5201:T5201"/>
    <mergeCell ref="R5192:T5192"/>
    <mergeCell ref="R5193:T5193"/>
    <mergeCell ref="R5194:T5194"/>
    <mergeCell ref="R5195:T5195"/>
    <mergeCell ref="R5196:T5196"/>
    <mergeCell ref="R5187:T5187"/>
    <mergeCell ref="R5188:T5188"/>
    <mergeCell ref="R5189:T5189"/>
    <mergeCell ref="R5190:T5190"/>
    <mergeCell ref="R5191:T5191"/>
    <mergeCell ref="R5182:T5182"/>
    <mergeCell ref="R5183:T5183"/>
    <mergeCell ref="R5184:T5184"/>
    <mergeCell ref="R5185:T5185"/>
    <mergeCell ref="R5186:T5186"/>
    <mergeCell ref="R5177:T5177"/>
    <mergeCell ref="R5178:T5178"/>
    <mergeCell ref="R5179:T5179"/>
    <mergeCell ref="R5180:T5180"/>
    <mergeCell ref="R5181:T5181"/>
    <mergeCell ref="R5172:T5172"/>
    <mergeCell ref="R5173:T5173"/>
    <mergeCell ref="R5174:T5174"/>
    <mergeCell ref="R5175:T5175"/>
    <mergeCell ref="R5176:T5176"/>
    <mergeCell ref="R5167:T5167"/>
    <mergeCell ref="R5168:T5168"/>
    <mergeCell ref="R5169:T5169"/>
    <mergeCell ref="R5170:T5170"/>
    <mergeCell ref="R5171:T5171"/>
    <mergeCell ref="R5162:T5162"/>
    <mergeCell ref="R5163:T5163"/>
    <mergeCell ref="R5164:T5164"/>
    <mergeCell ref="R5165:T5165"/>
    <mergeCell ref="R5166:T5166"/>
    <mergeCell ref="R5157:T5157"/>
    <mergeCell ref="R5158:T5158"/>
    <mergeCell ref="R5159:T5159"/>
    <mergeCell ref="R5160:T5160"/>
    <mergeCell ref="R5161:T5161"/>
    <mergeCell ref="R5152:T5152"/>
    <mergeCell ref="R5153:T5153"/>
    <mergeCell ref="R5154:T5154"/>
    <mergeCell ref="R5155:T5155"/>
    <mergeCell ref="R5156:T5156"/>
    <mergeCell ref="R5147:T5147"/>
    <mergeCell ref="R5148:T5148"/>
    <mergeCell ref="R5149:T5149"/>
    <mergeCell ref="R5150:T5150"/>
    <mergeCell ref="R5151:T5151"/>
    <mergeCell ref="R5142:T5142"/>
    <mergeCell ref="R5143:T5143"/>
    <mergeCell ref="R5144:T5144"/>
    <mergeCell ref="R5145:T5145"/>
    <mergeCell ref="R5146:T5146"/>
    <mergeCell ref="R5137:T5137"/>
    <mergeCell ref="R5138:T5138"/>
    <mergeCell ref="R5139:T5139"/>
    <mergeCell ref="R5140:T5140"/>
    <mergeCell ref="R5141:T5141"/>
    <mergeCell ref="R5132:T5132"/>
    <mergeCell ref="R5133:T5133"/>
    <mergeCell ref="R5134:T5134"/>
    <mergeCell ref="R5135:T5135"/>
    <mergeCell ref="R5136:T5136"/>
    <mergeCell ref="R5127:T5127"/>
    <mergeCell ref="R5128:T5128"/>
    <mergeCell ref="R5129:T5129"/>
    <mergeCell ref="R5130:T5130"/>
    <mergeCell ref="R5131:T5131"/>
    <mergeCell ref="R5122:T5122"/>
    <mergeCell ref="R5123:T5123"/>
    <mergeCell ref="R5124:T5124"/>
    <mergeCell ref="R5125:T5125"/>
    <mergeCell ref="R5126:T5126"/>
    <mergeCell ref="R5117:T5117"/>
    <mergeCell ref="R5118:T5118"/>
    <mergeCell ref="R5119:T5119"/>
    <mergeCell ref="R5120:T5120"/>
    <mergeCell ref="R5121:T5121"/>
    <mergeCell ref="R5112:T5112"/>
    <mergeCell ref="R5113:T5113"/>
    <mergeCell ref="R5114:T5114"/>
    <mergeCell ref="R5115:T5115"/>
    <mergeCell ref="R5116:T5116"/>
    <mergeCell ref="R5107:T5107"/>
    <mergeCell ref="R5108:T5108"/>
    <mergeCell ref="R5109:T5109"/>
    <mergeCell ref="R5110:T5110"/>
    <mergeCell ref="R5111:T5111"/>
    <mergeCell ref="R5102:T5102"/>
    <mergeCell ref="R5103:T5103"/>
    <mergeCell ref="R5104:T5104"/>
    <mergeCell ref="R5105:T5105"/>
    <mergeCell ref="R5106:T5106"/>
    <mergeCell ref="R5097:T5097"/>
    <mergeCell ref="R5098:T5098"/>
    <mergeCell ref="R5099:T5099"/>
    <mergeCell ref="R5100:T5100"/>
    <mergeCell ref="R5101:T5101"/>
    <mergeCell ref="R5092:T5092"/>
    <mergeCell ref="R5093:T5093"/>
    <mergeCell ref="R5094:T5094"/>
    <mergeCell ref="R5095:T5095"/>
    <mergeCell ref="R5096:T5096"/>
    <mergeCell ref="R5087:T5087"/>
    <mergeCell ref="R5088:T5088"/>
    <mergeCell ref="R5089:T5089"/>
    <mergeCell ref="R5090:T5090"/>
    <mergeCell ref="R5091:T5091"/>
    <mergeCell ref="R5082:T5082"/>
    <mergeCell ref="R5083:T5083"/>
    <mergeCell ref="R5084:T5084"/>
    <mergeCell ref="R5085:T5085"/>
    <mergeCell ref="R5086:T5086"/>
    <mergeCell ref="R5077:T5077"/>
    <mergeCell ref="R5078:T5078"/>
    <mergeCell ref="R5079:T5079"/>
    <mergeCell ref="R5080:T5080"/>
    <mergeCell ref="R5081:T5081"/>
    <mergeCell ref="R5072:T5072"/>
    <mergeCell ref="R5073:T5073"/>
    <mergeCell ref="R5074:T5074"/>
    <mergeCell ref="R5075:T5075"/>
    <mergeCell ref="R5076:T5076"/>
    <mergeCell ref="R5067:T5067"/>
    <mergeCell ref="R5068:T5068"/>
    <mergeCell ref="R5069:T5069"/>
    <mergeCell ref="R5070:T5070"/>
    <mergeCell ref="R5071:T5071"/>
    <mergeCell ref="R5062:T5062"/>
    <mergeCell ref="R5063:T5063"/>
    <mergeCell ref="R5064:T5064"/>
    <mergeCell ref="R5065:T5065"/>
    <mergeCell ref="R5066:T5066"/>
    <mergeCell ref="R5057:T5057"/>
    <mergeCell ref="R5058:T5058"/>
    <mergeCell ref="R5059:T5059"/>
    <mergeCell ref="R5060:T5060"/>
    <mergeCell ref="R5061:T5061"/>
    <mergeCell ref="R5052:T5052"/>
    <mergeCell ref="R5053:T5053"/>
    <mergeCell ref="R5054:T5054"/>
    <mergeCell ref="R5055:T5055"/>
    <mergeCell ref="R5056:T5056"/>
    <mergeCell ref="R5047:T5047"/>
    <mergeCell ref="R5048:T5048"/>
    <mergeCell ref="R5049:T5049"/>
    <mergeCell ref="R5050:T5050"/>
    <mergeCell ref="R5051:T5051"/>
    <mergeCell ref="R5042:T5042"/>
    <mergeCell ref="R5043:T5043"/>
    <mergeCell ref="R5044:T5044"/>
    <mergeCell ref="R5045:T5045"/>
    <mergeCell ref="R5046:T5046"/>
    <mergeCell ref="R5037:T5037"/>
    <mergeCell ref="R5038:T5038"/>
    <mergeCell ref="R5039:T5039"/>
    <mergeCell ref="R5040:T5040"/>
    <mergeCell ref="R5041:T5041"/>
    <mergeCell ref="R5032:T5032"/>
    <mergeCell ref="R5033:T5033"/>
    <mergeCell ref="R5034:T5034"/>
    <mergeCell ref="R5035:T5035"/>
    <mergeCell ref="R5036:T5036"/>
    <mergeCell ref="R5027:T5027"/>
    <mergeCell ref="R5028:T5028"/>
    <mergeCell ref="R5029:T5029"/>
    <mergeCell ref="R5030:T5030"/>
    <mergeCell ref="R5031:T5031"/>
    <mergeCell ref="R5022:T5022"/>
    <mergeCell ref="R5023:T5023"/>
    <mergeCell ref="R5024:T5024"/>
    <mergeCell ref="R5025:T5025"/>
    <mergeCell ref="R5026:T5026"/>
    <mergeCell ref="R5017:T5017"/>
    <mergeCell ref="R5018:T5018"/>
    <mergeCell ref="R5019:T5019"/>
    <mergeCell ref="R5020:T5020"/>
    <mergeCell ref="R5021:T5021"/>
    <mergeCell ref="R5012:T5012"/>
    <mergeCell ref="R5013:T5013"/>
    <mergeCell ref="R5014:T5014"/>
    <mergeCell ref="R5015:T5015"/>
    <mergeCell ref="R5016:T5016"/>
    <mergeCell ref="R5007:T5007"/>
    <mergeCell ref="R5008:T5008"/>
    <mergeCell ref="R5009:T5009"/>
    <mergeCell ref="R5010:T5010"/>
    <mergeCell ref="R5011:T5011"/>
    <mergeCell ref="R5002:T5002"/>
    <mergeCell ref="R5003:T5003"/>
    <mergeCell ref="R5004:T5004"/>
    <mergeCell ref="R5005:T5005"/>
    <mergeCell ref="R5006:T5006"/>
    <mergeCell ref="R4997:T4997"/>
    <mergeCell ref="R4998:T4998"/>
    <mergeCell ref="R4999:T4999"/>
    <mergeCell ref="R5000:T5000"/>
    <mergeCell ref="R5001:T5001"/>
    <mergeCell ref="R4992:T4992"/>
    <mergeCell ref="R4993:T4993"/>
    <mergeCell ref="R4994:T4994"/>
    <mergeCell ref="R4995:T4995"/>
    <mergeCell ref="R4996:T4996"/>
    <mergeCell ref="R4987:T4987"/>
    <mergeCell ref="R4988:T4988"/>
    <mergeCell ref="R4989:T4989"/>
    <mergeCell ref="R4990:T4990"/>
    <mergeCell ref="R4991:T4991"/>
    <mergeCell ref="R4982:T4982"/>
    <mergeCell ref="R4983:T4983"/>
    <mergeCell ref="R4984:T4984"/>
    <mergeCell ref="R4985:T4985"/>
    <mergeCell ref="R4986:T4986"/>
    <mergeCell ref="R4977:T4977"/>
    <mergeCell ref="R4978:T4978"/>
    <mergeCell ref="R4979:T4979"/>
    <mergeCell ref="R4980:T4980"/>
    <mergeCell ref="R4981:T4981"/>
    <mergeCell ref="R4972:T4972"/>
    <mergeCell ref="R4973:T4973"/>
    <mergeCell ref="R4974:T4974"/>
    <mergeCell ref="R4975:T4975"/>
    <mergeCell ref="R4976:T4976"/>
    <mergeCell ref="R4967:T4967"/>
    <mergeCell ref="R4968:T4968"/>
    <mergeCell ref="R4969:T4969"/>
    <mergeCell ref="R4970:T4970"/>
    <mergeCell ref="R4971:T4971"/>
    <mergeCell ref="R4962:T4962"/>
    <mergeCell ref="R4963:T4963"/>
    <mergeCell ref="R4964:T4964"/>
    <mergeCell ref="R4965:T4965"/>
    <mergeCell ref="R4966:T4966"/>
    <mergeCell ref="R4957:T4957"/>
    <mergeCell ref="R4958:T4958"/>
    <mergeCell ref="R4959:T4959"/>
    <mergeCell ref="R4960:T4960"/>
    <mergeCell ref="R4961:T4961"/>
    <mergeCell ref="R4952:T4952"/>
    <mergeCell ref="R4953:T4953"/>
    <mergeCell ref="R4954:T4954"/>
    <mergeCell ref="R4955:T4955"/>
    <mergeCell ref="R4956:T4956"/>
    <mergeCell ref="R4947:T4947"/>
    <mergeCell ref="R4948:T4948"/>
    <mergeCell ref="R4949:T4949"/>
    <mergeCell ref="R4950:T4950"/>
    <mergeCell ref="R4951:T4951"/>
    <mergeCell ref="R4942:T4942"/>
    <mergeCell ref="R4943:T4943"/>
    <mergeCell ref="R4944:T4944"/>
    <mergeCell ref="R4945:T4945"/>
    <mergeCell ref="R4946:T4946"/>
    <mergeCell ref="R4937:T4937"/>
    <mergeCell ref="R4938:T4938"/>
    <mergeCell ref="R4939:T4939"/>
    <mergeCell ref="R4940:T4940"/>
    <mergeCell ref="R4941:T4941"/>
    <mergeCell ref="R4932:T4932"/>
    <mergeCell ref="R4933:T4933"/>
    <mergeCell ref="R4934:T4934"/>
    <mergeCell ref="R4935:T4935"/>
    <mergeCell ref="R4936:T4936"/>
    <mergeCell ref="R4927:T4927"/>
    <mergeCell ref="R4928:T4928"/>
    <mergeCell ref="R4929:T4929"/>
    <mergeCell ref="R4930:T4930"/>
    <mergeCell ref="R4931:T4931"/>
    <mergeCell ref="R4922:T4922"/>
    <mergeCell ref="R4923:T4923"/>
    <mergeCell ref="R4924:T4924"/>
    <mergeCell ref="R4925:T4925"/>
    <mergeCell ref="R4926:T4926"/>
    <mergeCell ref="R4917:T4917"/>
    <mergeCell ref="R4918:T4918"/>
    <mergeCell ref="R4919:T4919"/>
    <mergeCell ref="R4920:T4920"/>
    <mergeCell ref="R4921:T4921"/>
    <mergeCell ref="R4912:T4912"/>
    <mergeCell ref="R4913:T4913"/>
    <mergeCell ref="R4914:T4914"/>
    <mergeCell ref="R4915:T4915"/>
    <mergeCell ref="R4916:T4916"/>
    <mergeCell ref="R4907:T4907"/>
    <mergeCell ref="R4908:T4908"/>
    <mergeCell ref="R4909:T4909"/>
    <mergeCell ref="R4910:T4910"/>
    <mergeCell ref="R4911:T4911"/>
    <mergeCell ref="R4902:T4902"/>
    <mergeCell ref="R4903:T4903"/>
    <mergeCell ref="R4904:T4904"/>
    <mergeCell ref="R4905:T4905"/>
    <mergeCell ref="R4906:T4906"/>
    <mergeCell ref="R4897:T4897"/>
    <mergeCell ref="R4898:T4898"/>
    <mergeCell ref="R4899:T4899"/>
    <mergeCell ref="R4900:T4900"/>
    <mergeCell ref="R4901:T4901"/>
    <mergeCell ref="R4892:T4892"/>
    <mergeCell ref="R4893:T4893"/>
    <mergeCell ref="R4894:T4894"/>
    <mergeCell ref="R4895:T4895"/>
    <mergeCell ref="R4896:T4896"/>
    <mergeCell ref="R4887:T4887"/>
    <mergeCell ref="R4888:T4888"/>
    <mergeCell ref="R4889:T4889"/>
    <mergeCell ref="R4890:T4890"/>
    <mergeCell ref="R4891:T4891"/>
    <mergeCell ref="R4882:T4882"/>
    <mergeCell ref="R4883:T4883"/>
    <mergeCell ref="R4884:T4884"/>
    <mergeCell ref="R4885:T4885"/>
    <mergeCell ref="R4886:T4886"/>
    <mergeCell ref="R4877:T4877"/>
    <mergeCell ref="R4878:T4878"/>
    <mergeCell ref="R4879:T4879"/>
    <mergeCell ref="R4880:T4880"/>
    <mergeCell ref="R4881:T4881"/>
    <mergeCell ref="R4872:T4872"/>
    <mergeCell ref="R4873:T4873"/>
    <mergeCell ref="R4874:T4874"/>
    <mergeCell ref="R4875:T4875"/>
    <mergeCell ref="R4876:T4876"/>
    <mergeCell ref="R4867:T4867"/>
    <mergeCell ref="R4868:T4868"/>
    <mergeCell ref="R4869:T4869"/>
    <mergeCell ref="R4870:T4870"/>
    <mergeCell ref="R4871:T4871"/>
    <mergeCell ref="R4862:T4862"/>
    <mergeCell ref="R4863:T4863"/>
    <mergeCell ref="R4864:T4864"/>
    <mergeCell ref="R4865:T4865"/>
    <mergeCell ref="R4866:T4866"/>
    <mergeCell ref="R4857:T4857"/>
    <mergeCell ref="R4858:T4858"/>
    <mergeCell ref="R4859:T4859"/>
    <mergeCell ref="R4860:T4860"/>
    <mergeCell ref="R4861:T4861"/>
    <mergeCell ref="R4852:T4852"/>
    <mergeCell ref="R4853:T4853"/>
    <mergeCell ref="R4854:T4854"/>
    <mergeCell ref="R4855:T4855"/>
    <mergeCell ref="R4856:T4856"/>
    <mergeCell ref="R4847:T4847"/>
    <mergeCell ref="R4848:T4848"/>
    <mergeCell ref="R4849:T4849"/>
    <mergeCell ref="R4850:T4850"/>
    <mergeCell ref="R4851:T4851"/>
    <mergeCell ref="R4842:T4842"/>
    <mergeCell ref="R4843:T4843"/>
    <mergeCell ref="R4844:T4844"/>
    <mergeCell ref="R4845:T4845"/>
    <mergeCell ref="R4846:T4846"/>
    <mergeCell ref="R4837:T4837"/>
    <mergeCell ref="R4838:T4838"/>
    <mergeCell ref="R4839:T4839"/>
    <mergeCell ref="R4840:T4840"/>
    <mergeCell ref="R4841:T4841"/>
    <mergeCell ref="R4832:T4832"/>
    <mergeCell ref="R4833:T4833"/>
    <mergeCell ref="R4834:T4834"/>
    <mergeCell ref="R4835:T4835"/>
    <mergeCell ref="R4836:T4836"/>
    <mergeCell ref="R4827:T4827"/>
    <mergeCell ref="R4828:T4828"/>
    <mergeCell ref="R4829:T4829"/>
    <mergeCell ref="R4830:T4830"/>
    <mergeCell ref="R4831:T4831"/>
    <mergeCell ref="R4822:T4822"/>
    <mergeCell ref="R4823:T4823"/>
    <mergeCell ref="R4824:T4824"/>
    <mergeCell ref="R4825:T4825"/>
    <mergeCell ref="R4826:T4826"/>
    <mergeCell ref="R4817:T4817"/>
    <mergeCell ref="R4818:T4818"/>
    <mergeCell ref="R4819:T4819"/>
    <mergeCell ref="R4820:T4820"/>
    <mergeCell ref="R4821:T4821"/>
    <mergeCell ref="R4812:T4812"/>
    <mergeCell ref="R4813:T4813"/>
    <mergeCell ref="R4814:T4814"/>
    <mergeCell ref="R4815:T4815"/>
    <mergeCell ref="R4816:T4816"/>
    <mergeCell ref="R4807:T4807"/>
    <mergeCell ref="R4808:T4808"/>
    <mergeCell ref="R4809:T4809"/>
    <mergeCell ref="R4810:T4810"/>
    <mergeCell ref="R4811:T4811"/>
    <mergeCell ref="R4802:T4802"/>
    <mergeCell ref="R4803:T4803"/>
    <mergeCell ref="R4804:T4804"/>
    <mergeCell ref="R4805:T4805"/>
    <mergeCell ref="R4806:T4806"/>
    <mergeCell ref="R4797:T4797"/>
    <mergeCell ref="R4798:T4798"/>
    <mergeCell ref="R4799:T4799"/>
    <mergeCell ref="R4800:T4800"/>
    <mergeCell ref="R4801:T4801"/>
    <mergeCell ref="R4792:T4792"/>
    <mergeCell ref="R4793:T4793"/>
    <mergeCell ref="R4794:T4794"/>
    <mergeCell ref="R4795:T4795"/>
    <mergeCell ref="R4796:T4796"/>
    <mergeCell ref="R4787:T4787"/>
    <mergeCell ref="R4788:T4788"/>
    <mergeCell ref="R4789:T4789"/>
    <mergeCell ref="R4790:T4790"/>
    <mergeCell ref="R4791:T4791"/>
    <mergeCell ref="R4782:T4782"/>
    <mergeCell ref="R4783:T4783"/>
    <mergeCell ref="R4784:T4784"/>
    <mergeCell ref="R4785:T4785"/>
    <mergeCell ref="R4786:T4786"/>
    <mergeCell ref="R4777:T4777"/>
    <mergeCell ref="R4778:T4778"/>
    <mergeCell ref="R4779:T4779"/>
    <mergeCell ref="R4780:T4780"/>
    <mergeCell ref="R4781:T4781"/>
    <mergeCell ref="R4772:T4772"/>
    <mergeCell ref="R4773:T4773"/>
    <mergeCell ref="R4774:T4774"/>
    <mergeCell ref="R4775:T4775"/>
    <mergeCell ref="R4776:T4776"/>
    <mergeCell ref="R4767:T4767"/>
    <mergeCell ref="R4768:T4768"/>
    <mergeCell ref="R4769:T4769"/>
    <mergeCell ref="R4770:T4770"/>
    <mergeCell ref="R4771:T4771"/>
    <mergeCell ref="R4762:T4762"/>
    <mergeCell ref="R4763:T4763"/>
    <mergeCell ref="R4764:T4764"/>
    <mergeCell ref="R4765:T4765"/>
    <mergeCell ref="R4766:T4766"/>
    <mergeCell ref="R4757:T4757"/>
    <mergeCell ref="R4758:T4758"/>
    <mergeCell ref="R4759:T4759"/>
    <mergeCell ref="R4760:T4760"/>
    <mergeCell ref="R4761:T4761"/>
    <mergeCell ref="R4752:T4752"/>
    <mergeCell ref="R4753:T4753"/>
    <mergeCell ref="R4754:T4754"/>
    <mergeCell ref="R4755:T4755"/>
    <mergeCell ref="R4756:T4756"/>
    <mergeCell ref="R4747:T4747"/>
    <mergeCell ref="R4748:T4748"/>
    <mergeCell ref="R4749:T4749"/>
    <mergeCell ref="R4750:T4750"/>
    <mergeCell ref="R4751:T4751"/>
    <mergeCell ref="R4742:T4742"/>
    <mergeCell ref="R4743:T4743"/>
    <mergeCell ref="R4744:T4744"/>
    <mergeCell ref="R4745:T4745"/>
    <mergeCell ref="R4746:T4746"/>
    <mergeCell ref="R4737:T4737"/>
    <mergeCell ref="R4738:T4738"/>
    <mergeCell ref="R4739:T4739"/>
    <mergeCell ref="R4740:T4740"/>
    <mergeCell ref="R4741:T4741"/>
    <mergeCell ref="R4732:T4732"/>
    <mergeCell ref="R4733:T4733"/>
    <mergeCell ref="R4734:T4734"/>
    <mergeCell ref="R4735:T4735"/>
    <mergeCell ref="R4736:T4736"/>
    <mergeCell ref="R4727:T4727"/>
    <mergeCell ref="R4728:T4728"/>
    <mergeCell ref="R4729:T4729"/>
    <mergeCell ref="R4730:T4730"/>
    <mergeCell ref="R4731:T4731"/>
    <mergeCell ref="R4722:T4722"/>
    <mergeCell ref="R4723:T4723"/>
    <mergeCell ref="R4724:T4724"/>
    <mergeCell ref="R4725:T4725"/>
    <mergeCell ref="R4726:T4726"/>
    <mergeCell ref="R4717:T4717"/>
    <mergeCell ref="R4718:T4718"/>
    <mergeCell ref="R4719:T4719"/>
    <mergeCell ref="R4720:T4720"/>
    <mergeCell ref="R4721:T4721"/>
    <mergeCell ref="R4712:T4712"/>
    <mergeCell ref="R4713:T4713"/>
    <mergeCell ref="R4714:T4714"/>
    <mergeCell ref="R4715:T4715"/>
    <mergeCell ref="R4716:T4716"/>
    <mergeCell ref="R4707:T4707"/>
    <mergeCell ref="R4708:T4708"/>
    <mergeCell ref="R4709:T4709"/>
    <mergeCell ref="R4710:T4710"/>
    <mergeCell ref="R4711:T4711"/>
    <mergeCell ref="R4702:T4702"/>
    <mergeCell ref="R4703:T4703"/>
    <mergeCell ref="R4704:T4704"/>
    <mergeCell ref="R4705:T4705"/>
    <mergeCell ref="R4706:T4706"/>
    <mergeCell ref="R4697:T4697"/>
    <mergeCell ref="R4698:T4698"/>
    <mergeCell ref="R4699:T4699"/>
    <mergeCell ref="R4700:T4700"/>
    <mergeCell ref="R4701:T4701"/>
    <mergeCell ref="R4692:T4692"/>
    <mergeCell ref="R4693:T4693"/>
    <mergeCell ref="R4694:T4694"/>
    <mergeCell ref="R4695:T4695"/>
    <mergeCell ref="R4696:T4696"/>
    <mergeCell ref="R4687:T4687"/>
    <mergeCell ref="R4688:T4688"/>
    <mergeCell ref="R4689:T4689"/>
    <mergeCell ref="R4690:T4690"/>
    <mergeCell ref="R4691:T4691"/>
    <mergeCell ref="R4682:T4682"/>
    <mergeCell ref="R4683:T4683"/>
    <mergeCell ref="R4684:T4684"/>
    <mergeCell ref="R4685:T4685"/>
    <mergeCell ref="R4686:T4686"/>
    <mergeCell ref="R4677:T4677"/>
    <mergeCell ref="R4678:T4678"/>
    <mergeCell ref="R4679:T4679"/>
    <mergeCell ref="R4680:T4680"/>
    <mergeCell ref="R4681:T4681"/>
    <mergeCell ref="R4672:T4672"/>
    <mergeCell ref="R4673:T4673"/>
    <mergeCell ref="R4674:T4674"/>
    <mergeCell ref="R4675:T4675"/>
    <mergeCell ref="R4676:T4676"/>
    <mergeCell ref="R4667:T4667"/>
    <mergeCell ref="R4668:T4668"/>
    <mergeCell ref="R4669:T4669"/>
    <mergeCell ref="R4670:T4670"/>
    <mergeCell ref="R4671:T4671"/>
    <mergeCell ref="R4662:T4662"/>
    <mergeCell ref="R4663:T4663"/>
    <mergeCell ref="R4664:T4664"/>
    <mergeCell ref="R4665:T4665"/>
    <mergeCell ref="R4666:T4666"/>
    <mergeCell ref="R4657:T4657"/>
    <mergeCell ref="R4658:T4658"/>
    <mergeCell ref="R4659:T4659"/>
    <mergeCell ref="R4660:T4660"/>
    <mergeCell ref="R4661:T4661"/>
    <mergeCell ref="R4652:T4652"/>
    <mergeCell ref="R4653:T4653"/>
    <mergeCell ref="R4654:T4654"/>
    <mergeCell ref="R4655:T4655"/>
    <mergeCell ref="R4656:T4656"/>
    <mergeCell ref="R4647:T4647"/>
    <mergeCell ref="R4648:T4648"/>
    <mergeCell ref="R4649:T4649"/>
    <mergeCell ref="R4650:T4650"/>
    <mergeCell ref="R4651:T4651"/>
    <mergeCell ref="R4642:T4642"/>
    <mergeCell ref="R4643:T4643"/>
    <mergeCell ref="R4644:T4644"/>
    <mergeCell ref="R4645:T4645"/>
    <mergeCell ref="R4646:T4646"/>
    <mergeCell ref="R4637:T4637"/>
    <mergeCell ref="R4638:T4638"/>
    <mergeCell ref="R4639:T4639"/>
    <mergeCell ref="R4640:T4640"/>
    <mergeCell ref="R4641:T4641"/>
    <mergeCell ref="R4632:T4632"/>
    <mergeCell ref="R4633:T4633"/>
    <mergeCell ref="R4634:T4634"/>
    <mergeCell ref="R4635:T4635"/>
    <mergeCell ref="R4636:T4636"/>
    <mergeCell ref="R4627:T4627"/>
    <mergeCell ref="R4628:T4628"/>
    <mergeCell ref="R4629:T4629"/>
    <mergeCell ref="R4630:T4630"/>
    <mergeCell ref="R4631:T4631"/>
    <mergeCell ref="R4622:T4622"/>
    <mergeCell ref="R4623:T4623"/>
    <mergeCell ref="R4624:T4624"/>
    <mergeCell ref="R4625:T4625"/>
    <mergeCell ref="R4626:T4626"/>
    <mergeCell ref="R4617:T4617"/>
    <mergeCell ref="R4618:T4618"/>
    <mergeCell ref="R4619:T4619"/>
    <mergeCell ref="R4620:T4620"/>
    <mergeCell ref="R4621:T4621"/>
    <mergeCell ref="R4612:T4612"/>
    <mergeCell ref="R4613:T4613"/>
    <mergeCell ref="R4614:T4614"/>
    <mergeCell ref="R4615:T4615"/>
    <mergeCell ref="R4616:T4616"/>
    <mergeCell ref="R4607:T4607"/>
    <mergeCell ref="R4608:T4608"/>
    <mergeCell ref="R4609:T4609"/>
    <mergeCell ref="R4610:T4610"/>
    <mergeCell ref="R4611:T4611"/>
    <mergeCell ref="R4602:T4602"/>
    <mergeCell ref="R4603:T4603"/>
    <mergeCell ref="R4604:T4604"/>
    <mergeCell ref="R4605:T4605"/>
    <mergeCell ref="R4606:T4606"/>
    <mergeCell ref="R4597:T4597"/>
    <mergeCell ref="R4598:T4598"/>
    <mergeCell ref="R4599:T4599"/>
    <mergeCell ref="R4600:T4600"/>
    <mergeCell ref="R4601:T4601"/>
    <mergeCell ref="R4592:T4592"/>
    <mergeCell ref="R4593:T4593"/>
    <mergeCell ref="R4594:T4594"/>
    <mergeCell ref="R4595:T4595"/>
    <mergeCell ref="R4596:T4596"/>
    <mergeCell ref="R4587:T4587"/>
    <mergeCell ref="R4588:T4588"/>
    <mergeCell ref="R4589:T4589"/>
    <mergeCell ref="R4590:T4590"/>
    <mergeCell ref="R4591:T4591"/>
    <mergeCell ref="R4582:T4582"/>
    <mergeCell ref="R4583:T4583"/>
    <mergeCell ref="R4584:T4584"/>
    <mergeCell ref="R4585:T4585"/>
    <mergeCell ref="R4586:T4586"/>
    <mergeCell ref="R4577:T4577"/>
    <mergeCell ref="R4578:T4578"/>
    <mergeCell ref="R4579:T4579"/>
    <mergeCell ref="R4580:T4580"/>
    <mergeCell ref="R4581:T4581"/>
    <mergeCell ref="R4572:T4572"/>
    <mergeCell ref="R4573:T4573"/>
    <mergeCell ref="R4574:T4574"/>
    <mergeCell ref="R4575:T4575"/>
    <mergeCell ref="R4576:T4576"/>
    <mergeCell ref="R4567:T4567"/>
    <mergeCell ref="R4568:T4568"/>
    <mergeCell ref="R4569:T4569"/>
    <mergeCell ref="R4570:T4570"/>
    <mergeCell ref="R4571:T4571"/>
    <mergeCell ref="R4562:T4562"/>
    <mergeCell ref="R4563:T4563"/>
    <mergeCell ref="R4564:T4564"/>
    <mergeCell ref="R4565:T4565"/>
    <mergeCell ref="R4566:T4566"/>
    <mergeCell ref="R4557:T4557"/>
    <mergeCell ref="R4558:T4558"/>
    <mergeCell ref="R4559:T4559"/>
    <mergeCell ref="R4560:T4560"/>
    <mergeCell ref="R4561:T4561"/>
    <mergeCell ref="R4552:T4552"/>
    <mergeCell ref="R4553:T4553"/>
    <mergeCell ref="R4554:T4554"/>
    <mergeCell ref="R4555:T4555"/>
    <mergeCell ref="R4556:T4556"/>
    <mergeCell ref="R4547:T4547"/>
    <mergeCell ref="R4548:T4548"/>
    <mergeCell ref="R4549:T4549"/>
    <mergeCell ref="R4550:T4550"/>
    <mergeCell ref="R4551:T4551"/>
    <mergeCell ref="R4542:T4542"/>
    <mergeCell ref="R4543:T4543"/>
    <mergeCell ref="R4544:T4544"/>
    <mergeCell ref="R4545:T4545"/>
    <mergeCell ref="R4546:T4546"/>
    <mergeCell ref="R4537:T4537"/>
    <mergeCell ref="R4538:T4538"/>
    <mergeCell ref="R4539:T4539"/>
    <mergeCell ref="R4540:T4540"/>
    <mergeCell ref="R4541:T4541"/>
    <mergeCell ref="R4532:T4532"/>
    <mergeCell ref="R4533:T4533"/>
    <mergeCell ref="R4534:T4534"/>
    <mergeCell ref="R4535:T4535"/>
    <mergeCell ref="R4536:T4536"/>
    <mergeCell ref="R4527:T4527"/>
    <mergeCell ref="R4528:T4528"/>
    <mergeCell ref="R4529:T4529"/>
    <mergeCell ref="R4530:T4530"/>
    <mergeCell ref="R4531:T4531"/>
    <mergeCell ref="R4522:T4522"/>
    <mergeCell ref="R4523:T4523"/>
    <mergeCell ref="R4524:T4524"/>
    <mergeCell ref="R4525:T4525"/>
    <mergeCell ref="R4526:T4526"/>
    <mergeCell ref="R4517:T4517"/>
    <mergeCell ref="R4518:T4518"/>
    <mergeCell ref="R4519:T4519"/>
    <mergeCell ref="R4520:T4520"/>
    <mergeCell ref="R4521:T4521"/>
    <mergeCell ref="R4512:T4512"/>
    <mergeCell ref="R4513:T4513"/>
    <mergeCell ref="R4514:T4514"/>
    <mergeCell ref="R4515:T4515"/>
    <mergeCell ref="R4516:T4516"/>
    <mergeCell ref="R4507:T4507"/>
    <mergeCell ref="R4508:T4508"/>
    <mergeCell ref="R4509:T4509"/>
    <mergeCell ref="R4510:T4510"/>
    <mergeCell ref="R4511:T4511"/>
    <mergeCell ref="R4502:T4502"/>
    <mergeCell ref="R4503:T4503"/>
    <mergeCell ref="R4504:T4504"/>
    <mergeCell ref="R4505:T4505"/>
    <mergeCell ref="R4506:T4506"/>
    <mergeCell ref="R4497:T4497"/>
    <mergeCell ref="R4498:T4498"/>
    <mergeCell ref="R4499:T4499"/>
    <mergeCell ref="R4500:T4500"/>
    <mergeCell ref="R4501:T4501"/>
    <mergeCell ref="R4492:T4492"/>
    <mergeCell ref="R4493:T4493"/>
    <mergeCell ref="R4494:T4494"/>
    <mergeCell ref="R4495:T4495"/>
    <mergeCell ref="R4496:T4496"/>
    <mergeCell ref="R4487:T4487"/>
    <mergeCell ref="R4488:T4488"/>
    <mergeCell ref="R4489:T4489"/>
    <mergeCell ref="R4490:T4490"/>
    <mergeCell ref="R4491:T4491"/>
    <mergeCell ref="R4482:T4482"/>
    <mergeCell ref="R4483:T4483"/>
    <mergeCell ref="R4484:T4484"/>
    <mergeCell ref="R4485:T4485"/>
    <mergeCell ref="R4486:T4486"/>
    <mergeCell ref="R4477:T4477"/>
    <mergeCell ref="R4478:T4478"/>
    <mergeCell ref="R4479:T4479"/>
    <mergeCell ref="R4480:T4480"/>
    <mergeCell ref="R4481:T4481"/>
    <mergeCell ref="R4472:T4472"/>
    <mergeCell ref="R4473:T4473"/>
    <mergeCell ref="R4474:T4474"/>
    <mergeCell ref="R4475:T4475"/>
    <mergeCell ref="R4476:T4476"/>
    <mergeCell ref="R4467:T4467"/>
    <mergeCell ref="R4468:T4468"/>
    <mergeCell ref="R4469:T4469"/>
    <mergeCell ref="R4470:T4470"/>
    <mergeCell ref="R4471:T4471"/>
    <mergeCell ref="R4462:T4462"/>
    <mergeCell ref="R4463:T4463"/>
    <mergeCell ref="R4464:T4464"/>
    <mergeCell ref="R4465:T4465"/>
    <mergeCell ref="R4466:T4466"/>
    <mergeCell ref="R4457:T4457"/>
    <mergeCell ref="R4458:T4458"/>
    <mergeCell ref="R4459:T4459"/>
    <mergeCell ref="R4460:T4460"/>
    <mergeCell ref="R4461:T4461"/>
    <mergeCell ref="R4452:T4452"/>
    <mergeCell ref="R4453:T4453"/>
    <mergeCell ref="R4454:T4454"/>
    <mergeCell ref="R4455:T4455"/>
    <mergeCell ref="R4456:T4456"/>
    <mergeCell ref="R4447:T4447"/>
    <mergeCell ref="R4448:T4448"/>
    <mergeCell ref="R4449:T4449"/>
    <mergeCell ref="R4450:T4450"/>
    <mergeCell ref="R4451:T4451"/>
    <mergeCell ref="R4442:T4442"/>
    <mergeCell ref="R4443:T4443"/>
    <mergeCell ref="R4444:T4444"/>
    <mergeCell ref="R4445:T4445"/>
    <mergeCell ref="R4446:T4446"/>
    <mergeCell ref="R4437:T4437"/>
    <mergeCell ref="R4438:T4438"/>
    <mergeCell ref="R4439:T4439"/>
    <mergeCell ref="R4440:T4440"/>
    <mergeCell ref="R4441:T4441"/>
    <mergeCell ref="R4432:T4432"/>
    <mergeCell ref="R4433:T4433"/>
    <mergeCell ref="R4434:T4434"/>
    <mergeCell ref="R4435:T4435"/>
    <mergeCell ref="R4436:T4436"/>
    <mergeCell ref="R4427:T4427"/>
    <mergeCell ref="R4428:T4428"/>
    <mergeCell ref="R4429:T4429"/>
    <mergeCell ref="R4430:T4430"/>
    <mergeCell ref="R4431:T4431"/>
    <mergeCell ref="R4422:T4422"/>
    <mergeCell ref="R4423:T4423"/>
    <mergeCell ref="R4424:T4424"/>
    <mergeCell ref="R4425:T4425"/>
    <mergeCell ref="R4426:T4426"/>
    <mergeCell ref="R4417:T4417"/>
    <mergeCell ref="R4418:T4418"/>
    <mergeCell ref="R4419:T4419"/>
    <mergeCell ref="R4420:T4420"/>
    <mergeCell ref="R4421:T4421"/>
    <mergeCell ref="R4412:T4412"/>
    <mergeCell ref="R4413:T4413"/>
    <mergeCell ref="R4414:T4414"/>
    <mergeCell ref="R4415:T4415"/>
    <mergeCell ref="R4416:T4416"/>
    <mergeCell ref="R4407:T4407"/>
    <mergeCell ref="R4408:T4408"/>
    <mergeCell ref="R4409:T4409"/>
    <mergeCell ref="R4410:T4410"/>
    <mergeCell ref="R4411:T4411"/>
    <mergeCell ref="R4402:T4402"/>
    <mergeCell ref="R4403:T4403"/>
    <mergeCell ref="R4404:T4404"/>
    <mergeCell ref="R4405:T4405"/>
    <mergeCell ref="R4406:T4406"/>
    <mergeCell ref="R4397:T4397"/>
    <mergeCell ref="R4398:T4398"/>
    <mergeCell ref="R4399:T4399"/>
    <mergeCell ref="R4400:T4400"/>
    <mergeCell ref="R4401:T4401"/>
    <mergeCell ref="R4392:T4392"/>
    <mergeCell ref="R4393:T4393"/>
    <mergeCell ref="R4394:T4394"/>
    <mergeCell ref="R4395:T4395"/>
    <mergeCell ref="R4396:T4396"/>
    <mergeCell ref="R4387:T4387"/>
    <mergeCell ref="R4388:T4388"/>
    <mergeCell ref="R4389:T4389"/>
    <mergeCell ref="R4390:T4390"/>
    <mergeCell ref="R4391:T4391"/>
    <mergeCell ref="R4382:T4382"/>
    <mergeCell ref="R4383:T4383"/>
    <mergeCell ref="R4384:T4384"/>
    <mergeCell ref="R4385:T4385"/>
    <mergeCell ref="R4386:T4386"/>
    <mergeCell ref="R4377:T4377"/>
    <mergeCell ref="R4378:T4378"/>
    <mergeCell ref="R4379:T4379"/>
    <mergeCell ref="R4380:T4380"/>
    <mergeCell ref="R4381:T4381"/>
    <mergeCell ref="R4372:T4372"/>
    <mergeCell ref="R4373:T4373"/>
    <mergeCell ref="R4374:T4374"/>
    <mergeCell ref="R4375:T4375"/>
    <mergeCell ref="R4376:T4376"/>
    <mergeCell ref="R4367:T4367"/>
    <mergeCell ref="R4368:T4368"/>
    <mergeCell ref="R4369:T4369"/>
    <mergeCell ref="R4370:T4370"/>
    <mergeCell ref="R4371:T4371"/>
    <mergeCell ref="R4362:T4362"/>
    <mergeCell ref="R4363:T4363"/>
    <mergeCell ref="R4364:T4364"/>
    <mergeCell ref="R4365:T4365"/>
    <mergeCell ref="R4366:T4366"/>
    <mergeCell ref="R4357:T4357"/>
    <mergeCell ref="R4358:T4358"/>
    <mergeCell ref="R4359:T4359"/>
    <mergeCell ref="R4360:T4360"/>
    <mergeCell ref="R4361:T4361"/>
    <mergeCell ref="R4352:T4352"/>
    <mergeCell ref="R4353:T4353"/>
    <mergeCell ref="R4354:T4354"/>
    <mergeCell ref="R4355:T4355"/>
    <mergeCell ref="R4356:T4356"/>
    <mergeCell ref="R4347:T4347"/>
    <mergeCell ref="R4348:T4348"/>
    <mergeCell ref="R4349:T4349"/>
    <mergeCell ref="R4350:T4350"/>
    <mergeCell ref="R4351:T4351"/>
    <mergeCell ref="R4342:T4342"/>
    <mergeCell ref="R4343:T4343"/>
    <mergeCell ref="R4344:T4344"/>
    <mergeCell ref="R4345:T4345"/>
    <mergeCell ref="R4346:T4346"/>
    <mergeCell ref="R4337:T4337"/>
    <mergeCell ref="R4338:T4338"/>
    <mergeCell ref="R4339:T4339"/>
    <mergeCell ref="R4340:T4340"/>
    <mergeCell ref="R4341:T4341"/>
    <mergeCell ref="R4332:T4332"/>
    <mergeCell ref="R4333:T4333"/>
    <mergeCell ref="R4334:T4334"/>
    <mergeCell ref="R4335:T4335"/>
    <mergeCell ref="R4336:T4336"/>
    <mergeCell ref="R4327:T4327"/>
    <mergeCell ref="R4328:T4328"/>
    <mergeCell ref="R4329:T4329"/>
    <mergeCell ref="R4330:T4330"/>
    <mergeCell ref="R4331:T4331"/>
    <mergeCell ref="R4322:T4322"/>
    <mergeCell ref="R4323:T4323"/>
    <mergeCell ref="R4324:T4324"/>
    <mergeCell ref="R4325:T4325"/>
    <mergeCell ref="R4326:T4326"/>
    <mergeCell ref="R4317:T4317"/>
    <mergeCell ref="R4318:T4318"/>
    <mergeCell ref="R4319:T4319"/>
    <mergeCell ref="R4320:T4320"/>
    <mergeCell ref="R4321:T4321"/>
    <mergeCell ref="R4312:T4312"/>
    <mergeCell ref="R4313:T4313"/>
    <mergeCell ref="R4314:T4314"/>
    <mergeCell ref="R4315:T4315"/>
    <mergeCell ref="R4316:T4316"/>
    <mergeCell ref="R4307:T4307"/>
    <mergeCell ref="R4308:T4308"/>
    <mergeCell ref="R4309:T4309"/>
    <mergeCell ref="R4310:T4310"/>
    <mergeCell ref="R4311:T4311"/>
    <mergeCell ref="R4302:T4302"/>
    <mergeCell ref="R4303:T4303"/>
    <mergeCell ref="R4304:T4304"/>
    <mergeCell ref="R4305:T4305"/>
    <mergeCell ref="R4306:T4306"/>
    <mergeCell ref="R4297:T4297"/>
    <mergeCell ref="R4298:T4298"/>
    <mergeCell ref="R4299:T4299"/>
    <mergeCell ref="R4300:T4300"/>
    <mergeCell ref="R4301:T4301"/>
    <mergeCell ref="R4292:T4292"/>
    <mergeCell ref="R4293:T4293"/>
    <mergeCell ref="R4294:T4294"/>
    <mergeCell ref="R4295:T4295"/>
    <mergeCell ref="R4296:T4296"/>
    <mergeCell ref="R4287:T4287"/>
    <mergeCell ref="R4288:T4288"/>
    <mergeCell ref="R4289:T4289"/>
    <mergeCell ref="R4290:T4290"/>
    <mergeCell ref="R4291:T4291"/>
    <mergeCell ref="R4282:T4282"/>
    <mergeCell ref="R4283:T4283"/>
    <mergeCell ref="R4284:T4284"/>
    <mergeCell ref="R4285:T4285"/>
    <mergeCell ref="R4286:T4286"/>
    <mergeCell ref="R4277:T4277"/>
    <mergeCell ref="R4278:T4278"/>
    <mergeCell ref="R4279:T4279"/>
    <mergeCell ref="R4280:T4280"/>
    <mergeCell ref="R4281:T4281"/>
    <mergeCell ref="R4272:T4272"/>
    <mergeCell ref="R4273:T4273"/>
    <mergeCell ref="R4274:T4274"/>
    <mergeCell ref="R4275:T4275"/>
    <mergeCell ref="R4276:T4276"/>
    <mergeCell ref="R4267:T4267"/>
    <mergeCell ref="R4268:T4268"/>
    <mergeCell ref="R4269:T4269"/>
    <mergeCell ref="R4270:T4270"/>
    <mergeCell ref="R4271:T4271"/>
    <mergeCell ref="R4262:T4262"/>
    <mergeCell ref="R4263:T4263"/>
    <mergeCell ref="R4264:T4264"/>
    <mergeCell ref="R4265:T4265"/>
    <mergeCell ref="R4266:T4266"/>
    <mergeCell ref="R4257:T4257"/>
    <mergeCell ref="R4258:T4258"/>
    <mergeCell ref="R4259:T4259"/>
    <mergeCell ref="R4260:T4260"/>
    <mergeCell ref="R4261:T4261"/>
    <mergeCell ref="R4252:T4252"/>
    <mergeCell ref="R4253:T4253"/>
    <mergeCell ref="R4254:T4254"/>
    <mergeCell ref="R4255:T4255"/>
    <mergeCell ref="R4256:T4256"/>
    <mergeCell ref="R4247:T4247"/>
    <mergeCell ref="R4248:T4248"/>
    <mergeCell ref="R4249:T4249"/>
    <mergeCell ref="R4250:T4250"/>
    <mergeCell ref="R4251:T4251"/>
    <mergeCell ref="R4242:T4242"/>
    <mergeCell ref="R4243:T4243"/>
    <mergeCell ref="R4244:T4244"/>
    <mergeCell ref="R4245:T4245"/>
    <mergeCell ref="R4246:T4246"/>
    <mergeCell ref="R4237:T4237"/>
    <mergeCell ref="R4238:T4238"/>
    <mergeCell ref="R4239:T4239"/>
    <mergeCell ref="R4240:T4240"/>
    <mergeCell ref="R4241:T4241"/>
    <mergeCell ref="R4232:T4232"/>
    <mergeCell ref="R4233:T4233"/>
    <mergeCell ref="R4234:T4234"/>
    <mergeCell ref="R4235:T4235"/>
    <mergeCell ref="R4236:T4236"/>
    <mergeCell ref="R4227:T4227"/>
    <mergeCell ref="R4228:T4228"/>
    <mergeCell ref="R4229:T4229"/>
    <mergeCell ref="R4230:T4230"/>
    <mergeCell ref="R4231:T4231"/>
    <mergeCell ref="R4222:T4222"/>
    <mergeCell ref="R4223:T4223"/>
    <mergeCell ref="R4224:T4224"/>
    <mergeCell ref="R4225:T4225"/>
    <mergeCell ref="R4226:T4226"/>
    <mergeCell ref="R4217:T4217"/>
    <mergeCell ref="R4218:T4218"/>
    <mergeCell ref="R4219:T4219"/>
    <mergeCell ref="R4220:T4220"/>
    <mergeCell ref="R4221:T4221"/>
    <mergeCell ref="R4212:T4212"/>
    <mergeCell ref="R4213:T4213"/>
    <mergeCell ref="R4214:T4214"/>
    <mergeCell ref="R4215:T4215"/>
    <mergeCell ref="R4216:T4216"/>
    <mergeCell ref="R4207:T4207"/>
    <mergeCell ref="R4208:T4208"/>
    <mergeCell ref="R4209:T4209"/>
    <mergeCell ref="R4210:T4210"/>
    <mergeCell ref="R4211:T4211"/>
    <mergeCell ref="R4202:T4202"/>
    <mergeCell ref="R4203:T4203"/>
    <mergeCell ref="R4204:T4204"/>
    <mergeCell ref="R4205:T4205"/>
    <mergeCell ref="R4206:T4206"/>
    <mergeCell ref="R4197:T4197"/>
    <mergeCell ref="R4198:T4198"/>
    <mergeCell ref="R4199:T4199"/>
    <mergeCell ref="R4200:T4200"/>
    <mergeCell ref="R4201:T4201"/>
    <mergeCell ref="R4192:T4192"/>
    <mergeCell ref="R4193:T4193"/>
    <mergeCell ref="R4194:T4194"/>
    <mergeCell ref="R4195:T4195"/>
    <mergeCell ref="R4196:T4196"/>
    <mergeCell ref="R4187:T4187"/>
    <mergeCell ref="R4188:T4188"/>
    <mergeCell ref="R4189:T4189"/>
    <mergeCell ref="R4190:T4190"/>
    <mergeCell ref="R4191:T4191"/>
    <mergeCell ref="R4182:T4182"/>
    <mergeCell ref="R4183:T4183"/>
    <mergeCell ref="R4184:T4184"/>
    <mergeCell ref="R4185:T4185"/>
    <mergeCell ref="R4186:T4186"/>
    <mergeCell ref="R4177:T4177"/>
    <mergeCell ref="R4178:T4178"/>
    <mergeCell ref="R4179:T4179"/>
    <mergeCell ref="R4180:T4180"/>
    <mergeCell ref="R4181:T4181"/>
    <mergeCell ref="R4172:T4172"/>
    <mergeCell ref="R4173:T4173"/>
    <mergeCell ref="R4174:T4174"/>
    <mergeCell ref="R4175:T4175"/>
    <mergeCell ref="R4176:T4176"/>
    <mergeCell ref="R4167:T4167"/>
    <mergeCell ref="R4168:T4168"/>
    <mergeCell ref="R4169:T4169"/>
    <mergeCell ref="R4170:T4170"/>
    <mergeCell ref="R4171:T4171"/>
    <mergeCell ref="R4162:T4162"/>
    <mergeCell ref="R4163:T4163"/>
    <mergeCell ref="R4164:T4164"/>
    <mergeCell ref="R4165:T4165"/>
    <mergeCell ref="R4166:T4166"/>
    <mergeCell ref="R4157:T4157"/>
    <mergeCell ref="R4158:T4158"/>
    <mergeCell ref="R4159:T4159"/>
    <mergeCell ref="R4160:T4160"/>
    <mergeCell ref="R4161:T4161"/>
    <mergeCell ref="R4152:T4152"/>
    <mergeCell ref="R4153:T4153"/>
    <mergeCell ref="R4154:T4154"/>
    <mergeCell ref="R4155:T4155"/>
    <mergeCell ref="R4156:T4156"/>
    <mergeCell ref="R4147:T4147"/>
    <mergeCell ref="R4148:T4148"/>
    <mergeCell ref="R4149:T4149"/>
    <mergeCell ref="R4150:T4150"/>
    <mergeCell ref="R4151:T4151"/>
    <mergeCell ref="R4142:T4142"/>
    <mergeCell ref="R4143:T4143"/>
    <mergeCell ref="R4144:T4144"/>
    <mergeCell ref="R4145:T4145"/>
    <mergeCell ref="R4146:T4146"/>
    <mergeCell ref="R4137:T4137"/>
    <mergeCell ref="R4138:T4138"/>
    <mergeCell ref="R4139:T4139"/>
    <mergeCell ref="R4140:T4140"/>
    <mergeCell ref="R4141:T4141"/>
    <mergeCell ref="R4132:T4132"/>
    <mergeCell ref="R4133:T4133"/>
    <mergeCell ref="R4134:T4134"/>
    <mergeCell ref="R4135:T4135"/>
    <mergeCell ref="R4136:T4136"/>
    <mergeCell ref="R4127:T4127"/>
    <mergeCell ref="R4128:T4128"/>
    <mergeCell ref="R4129:T4129"/>
    <mergeCell ref="R4130:T4130"/>
    <mergeCell ref="R4131:T4131"/>
    <mergeCell ref="R4122:T4122"/>
    <mergeCell ref="R4123:T4123"/>
    <mergeCell ref="R4124:T4124"/>
    <mergeCell ref="R4125:T4125"/>
    <mergeCell ref="R4126:T4126"/>
    <mergeCell ref="R4117:T4117"/>
    <mergeCell ref="R4118:T4118"/>
    <mergeCell ref="R4119:T4119"/>
    <mergeCell ref="R4120:T4120"/>
    <mergeCell ref="R4121:T4121"/>
    <mergeCell ref="R4112:T4112"/>
    <mergeCell ref="R4113:T4113"/>
    <mergeCell ref="R4114:T4114"/>
    <mergeCell ref="R4115:T4115"/>
    <mergeCell ref="R4116:T4116"/>
    <mergeCell ref="R4107:T4107"/>
    <mergeCell ref="R4108:T4108"/>
    <mergeCell ref="R4109:T4109"/>
    <mergeCell ref="R4110:T4110"/>
    <mergeCell ref="R4111:T4111"/>
    <mergeCell ref="R4102:T4102"/>
    <mergeCell ref="R4103:T4103"/>
    <mergeCell ref="R4104:T4104"/>
    <mergeCell ref="R4105:T4105"/>
    <mergeCell ref="R4106:T4106"/>
    <mergeCell ref="R4097:T4097"/>
    <mergeCell ref="R4098:T4098"/>
    <mergeCell ref="R4099:T4099"/>
    <mergeCell ref="R4100:T4100"/>
    <mergeCell ref="R4101:T4101"/>
    <mergeCell ref="R4092:T4092"/>
    <mergeCell ref="R4093:T4093"/>
    <mergeCell ref="R4094:T4094"/>
    <mergeCell ref="R4095:T4095"/>
    <mergeCell ref="R4096:T4096"/>
    <mergeCell ref="R4087:T4087"/>
    <mergeCell ref="R4088:T4088"/>
    <mergeCell ref="R4089:T4089"/>
    <mergeCell ref="R4090:T4090"/>
    <mergeCell ref="R4091:T4091"/>
    <mergeCell ref="R4082:T4082"/>
    <mergeCell ref="R4083:T4083"/>
    <mergeCell ref="R4084:T4084"/>
    <mergeCell ref="R4085:T4085"/>
    <mergeCell ref="R4086:T4086"/>
    <mergeCell ref="R4077:T4077"/>
    <mergeCell ref="R4078:T4078"/>
    <mergeCell ref="R4079:T4079"/>
    <mergeCell ref="R4080:T4080"/>
    <mergeCell ref="R4081:T4081"/>
    <mergeCell ref="R4072:T4072"/>
    <mergeCell ref="R4073:T4073"/>
    <mergeCell ref="R4074:T4074"/>
    <mergeCell ref="R4075:T4075"/>
    <mergeCell ref="R4076:T4076"/>
    <mergeCell ref="R4067:T4067"/>
    <mergeCell ref="R4068:T4068"/>
    <mergeCell ref="R4069:T4069"/>
    <mergeCell ref="R4070:T4070"/>
    <mergeCell ref="R4071:T4071"/>
    <mergeCell ref="R4062:T4062"/>
    <mergeCell ref="R4063:T4063"/>
    <mergeCell ref="R4064:T4064"/>
    <mergeCell ref="R4065:T4065"/>
    <mergeCell ref="R4066:T4066"/>
    <mergeCell ref="R4057:T4057"/>
    <mergeCell ref="R4058:T4058"/>
    <mergeCell ref="R4059:T4059"/>
    <mergeCell ref="R4060:T4060"/>
    <mergeCell ref="R4061:T4061"/>
    <mergeCell ref="R4052:T4052"/>
    <mergeCell ref="R4053:T4053"/>
    <mergeCell ref="R4054:T4054"/>
    <mergeCell ref="R4055:T4055"/>
    <mergeCell ref="R4056:T4056"/>
    <mergeCell ref="R4047:T4047"/>
    <mergeCell ref="R4048:T4048"/>
    <mergeCell ref="R4049:T4049"/>
    <mergeCell ref="R4050:T4050"/>
    <mergeCell ref="R4051:T4051"/>
    <mergeCell ref="R4042:T4042"/>
    <mergeCell ref="R4043:T4043"/>
    <mergeCell ref="R4044:T4044"/>
    <mergeCell ref="R4045:T4045"/>
    <mergeCell ref="R4046:T4046"/>
    <mergeCell ref="R4037:T4037"/>
    <mergeCell ref="R4038:T4038"/>
    <mergeCell ref="R4039:T4039"/>
    <mergeCell ref="R4040:T4040"/>
    <mergeCell ref="R4041:T4041"/>
    <mergeCell ref="R4032:T4032"/>
    <mergeCell ref="R4033:T4033"/>
    <mergeCell ref="R4034:T4034"/>
    <mergeCell ref="R4035:T4035"/>
    <mergeCell ref="R4036:T4036"/>
    <mergeCell ref="R4027:T4027"/>
    <mergeCell ref="R4028:T4028"/>
    <mergeCell ref="R4029:T4029"/>
    <mergeCell ref="R4030:T4030"/>
    <mergeCell ref="R4031:T4031"/>
    <mergeCell ref="R4022:T4022"/>
    <mergeCell ref="R4023:T4023"/>
    <mergeCell ref="R4024:T4024"/>
    <mergeCell ref="R4025:T4025"/>
    <mergeCell ref="R4026:T4026"/>
    <mergeCell ref="R4017:T4017"/>
    <mergeCell ref="R4018:T4018"/>
    <mergeCell ref="R4019:T4019"/>
    <mergeCell ref="R4020:T4020"/>
    <mergeCell ref="R4021:T4021"/>
    <mergeCell ref="R4012:T4012"/>
    <mergeCell ref="R4013:T4013"/>
    <mergeCell ref="R4014:T4014"/>
    <mergeCell ref="R4015:T4015"/>
    <mergeCell ref="R4016:T4016"/>
    <mergeCell ref="R4007:T4007"/>
    <mergeCell ref="R4008:T4008"/>
    <mergeCell ref="R4009:T4009"/>
    <mergeCell ref="R4010:T4010"/>
    <mergeCell ref="R4011:T4011"/>
    <mergeCell ref="R4002:T4002"/>
    <mergeCell ref="R4003:T4003"/>
    <mergeCell ref="R4004:T4004"/>
    <mergeCell ref="R4005:T4005"/>
    <mergeCell ref="R4006:T4006"/>
    <mergeCell ref="R3997:T3997"/>
    <mergeCell ref="R3998:T3998"/>
    <mergeCell ref="R3999:T3999"/>
    <mergeCell ref="R4000:T4000"/>
    <mergeCell ref="R4001:T4001"/>
    <mergeCell ref="R3992:T3992"/>
    <mergeCell ref="R3993:T3993"/>
    <mergeCell ref="R3994:T3994"/>
    <mergeCell ref="R3995:T3995"/>
    <mergeCell ref="R3996:T3996"/>
    <mergeCell ref="R3987:T3987"/>
    <mergeCell ref="R3988:T3988"/>
    <mergeCell ref="R3989:T3989"/>
    <mergeCell ref="R3990:T3990"/>
    <mergeCell ref="R3991:T3991"/>
    <mergeCell ref="R3982:T3982"/>
    <mergeCell ref="R3983:T3983"/>
    <mergeCell ref="R3984:T3984"/>
    <mergeCell ref="R3985:T3985"/>
    <mergeCell ref="R3986:T3986"/>
    <mergeCell ref="R3977:T3977"/>
    <mergeCell ref="R3978:T3978"/>
    <mergeCell ref="R3979:T3979"/>
    <mergeCell ref="R3980:T3980"/>
    <mergeCell ref="R3981:T3981"/>
    <mergeCell ref="R3972:T3972"/>
    <mergeCell ref="R3973:T3973"/>
    <mergeCell ref="R3974:T3974"/>
    <mergeCell ref="R3975:T3975"/>
    <mergeCell ref="R3976:T3976"/>
    <mergeCell ref="R3967:T3967"/>
    <mergeCell ref="R3968:T3968"/>
    <mergeCell ref="R3969:T3969"/>
    <mergeCell ref="R3970:T3970"/>
    <mergeCell ref="R3971:T3971"/>
    <mergeCell ref="R3962:T3962"/>
    <mergeCell ref="R3963:T3963"/>
    <mergeCell ref="R3964:T3964"/>
    <mergeCell ref="R3965:T3965"/>
    <mergeCell ref="R3966:T3966"/>
    <mergeCell ref="R3957:T3957"/>
    <mergeCell ref="R3958:T3958"/>
    <mergeCell ref="R3959:T3959"/>
    <mergeCell ref="R3960:T3960"/>
    <mergeCell ref="R3961:T3961"/>
    <mergeCell ref="R3952:T3952"/>
    <mergeCell ref="R3953:T3953"/>
    <mergeCell ref="R3954:T3954"/>
    <mergeCell ref="R3955:T3955"/>
    <mergeCell ref="R3956:T3956"/>
    <mergeCell ref="R3947:T3947"/>
    <mergeCell ref="R3948:T3948"/>
    <mergeCell ref="R3949:T3949"/>
    <mergeCell ref="R3950:T3950"/>
    <mergeCell ref="R3951:T3951"/>
    <mergeCell ref="R3942:T3942"/>
    <mergeCell ref="R3943:T3943"/>
    <mergeCell ref="R3944:T3944"/>
    <mergeCell ref="R3945:T3945"/>
    <mergeCell ref="R3946:T3946"/>
    <mergeCell ref="R3937:T3937"/>
    <mergeCell ref="R3938:T3938"/>
    <mergeCell ref="R3939:T3939"/>
    <mergeCell ref="R3940:T3940"/>
    <mergeCell ref="R3941:T3941"/>
    <mergeCell ref="R3932:T3932"/>
    <mergeCell ref="R3933:T3933"/>
    <mergeCell ref="R3934:T3934"/>
    <mergeCell ref="R3935:T3935"/>
    <mergeCell ref="R3936:T3936"/>
    <mergeCell ref="R3927:T3927"/>
    <mergeCell ref="R3928:T3928"/>
    <mergeCell ref="R3929:T3929"/>
    <mergeCell ref="R3930:T3930"/>
    <mergeCell ref="R3931:T3931"/>
    <mergeCell ref="R3922:T3922"/>
    <mergeCell ref="R3923:T3923"/>
    <mergeCell ref="R3924:T3924"/>
    <mergeCell ref="R3925:T3925"/>
    <mergeCell ref="R3926:T3926"/>
    <mergeCell ref="R3917:T3917"/>
    <mergeCell ref="R3918:T3918"/>
    <mergeCell ref="R3919:T3919"/>
    <mergeCell ref="R3920:T3920"/>
    <mergeCell ref="R3921:T3921"/>
    <mergeCell ref="R3912:T3912"/>
    <mergeCell ref="R3913:T3913"/>
    <mergeCell ref="R3914:T3914"/>
    <mergeCell ref="R3915:T3915"/>
    <mergeCell ref="R3916:T3916"/>
    <mergeCell ref="R3907:T3907"/>
    <mergeCell ref="R3908:T3908"/>
    <mergeCell ref="R3909:T3909"/>
    <mergeCell ref="R3910:T3910"/>
    <mergeCell ref="R3911:T3911"/>
    <mergeCell ref="R3902:T3902"/>
    <mergeCell ref="R3903:T3903"/>
    <mergeCell ref="R3904:T3904"/>
    <mergeCell ref="R3905:T3905"/>
    <mergeCell ref="R3906:T3906"/>
    <mergeCell ref="R3897:T3897"/>
    <mergeCell ref="R3898:T3898"/>
    <mergeCell ref="R3899:T3899"/>
    <mergeCell ref="R3900:T3900"/>
    <mergeCell ref="R3901:T3901"/>
    <mergeCell ref="R3892:T3892"/>
    <mergeCell ref="R3893:T3893"/>
    <mergeCell ref="R3894:T3894"/>
    <mergeCell ref="R3895:T3895"/>
    <mergeCell ref="R3896:T3896"/>
    <mergeCell ref="R3887:T3887"/>
    <mergeCell ref="R3888:T3888"/>
    <mergeCell ref="R3889:T3889"/>
    <mergeCell ref="R3890:T3890"/>
    <mergeCell ref="R3891:T3891"/>
    <mergeCell ref="R3882:T3882"/>
    <mergeCell ref="R3883:T3883"/>
    <mergeCell ref="R3884:T3884"/>
    <mergeCell ref="R3885:T3885"/>
    <mergeCell ref="R3886:T3886"/>
    <mergeCell ref="R3877:T3877"/>
    <mergeCell ref="R3878:T3878"/>
    <mergeCell ref="R3879:T3879"/>
    <mergeCell ref="R3880:T3880"/>
    <mergeCell ref="R3881:T3881"/>
    <mergeCell ref="R3872:T3872"/>
    <mergeCell ref="R3873:T3873"/>
    <mergeCell ref="R3874:T3874"/>
    <mergeCell ref="R3875:T3875"/>
    <mergeCell ref="R3876:T3876"/>
    <mergeCell ref="R3867:T3867"/>
    <mergeCell ref="R3868:T3868"/>
    <mergeCell ref="R3869:T3869"/>
    <mergeCell ref="R3870:T3870"/>
    <mergeCell ref="R3871:T3871"/>
    <mergeCell ref="R3862:T3862"/>
    <mergeCell ref="R3863:T3863"/>
    <mergeCell ref="R3864:T3864"/>
    <mergeCell ref="R3865:T3865"/>
    <mergeCell ref="R3866:T3866"/>
    <mergeCell ref="R3857:T3857"/>
    <mergeCell ref="R3858:T3858"/>
    <mergeCell ref="R3859:T3859"/>
    <mergeCell ref="R3860:T3860"/>
    <mergeCell ref="R3861:T3861"/>
    <mergeCell ref="R3852:T3852"/>
    <mergeCell ref="R3853:T3853"/>
    <mergeCell ref="R3854:T3854"/>
    <mergeCell ref="R3855:T3855"/>
    <mergeCell ref="R3856:T3856"/>
    <mergeCell ref="R3847:T3847"/>
    <mergeCell ref="R3848:T3848"/>
    <mergeCell ref="R3849:T3849"/>
    <mergeCell ref="R3850:T3850"/>
    <mergeCell ref="R3851:T3851"/>
    <mergeCell ref="R3842:T3842"/>
    <mergeCell ref="R3843:T3843"/>
    <mergeCell ref="R3844:T3844"/>
    <mergeCell ref="R3845:T3845"/>
    <mergeCell ref="R3846:T3846"/>
    <mergeCell ref="R3837:T3837"/>
    <mergeCell ref="R3838:T3838"/>
    <mergeCell ref="R3839:T3839"/>
    <mergeCell ref="R3840:T3840"/>
    <mergeCell ref="R3841:T3841"/>
    <mergeCell ref="R3832:T3832"/>
    <mergeCell ref="R3833:T3833"/>
    <mergeCell ref="R3834:T3834"/>
    <mergeCell ref="R3835:T3835"/>
    <mergeCell ref="R3836:T3836"/>
    <mergeCell ref="R3827:T3827"/>
    <mergeCell ref="R3828:T3828"/>
    <mergeCell ref="R3829:T3829"/>
    <mergeCell ref="R3830:T3830"/>
    <mergeCell ref="R3831:T3831"/>
    <mergeCell ref="R3822:T3822"/>
    <mergeCell ref="R3823:T3823"/>
    <mergeCell ref="R3824:T3824"/>
    <mergeCell ref="R3825:T3825"/>
    <mergeCell ref="R3826:T3826"/>
    <mergeCell ref="R3817:T3817"/>
    <mergeCell ref="R3818:T3818"/>
    <mergeCell ref="R3819:T3819"/>
    <mergeCell ref="R3820:T3820"/>
    <mergeCell ref="R3821:T3821"/>
    <mergeCell ref="R3812:T3812"/>
    <mergeCell ref="R3813:T3813"/>
    <mergeCell ref="R3814:T3814"/>
    <mergeCell ref="R3815:T3815"/>
    <mergeCell ref="R3816:T3816"/>
    <mergeCell ref="R3807:T3807"/>
    <mergeCell ref="R3808:T3808"/>
    <mergeCell ref="R3809:T3809"/>
    <mergeCell ref="R3810:T3810"/>
    <mergeCell ref="R3811:T3811"/>
    <mergeCell ref="R3802:T3802"/>
    <mergeCell ref="R3803:T3803"/>
    <mergeCell ref="R3804:T3804"/>
    <mergeCell ref="R3805:T3805"/>
    <mergeCell ref="R3806:T3806"/>
    <mergeCell ref="R3797:T3797"/>
    <mergeCell ref="R3798:T3798"/>
    <mergeCell ref="R3799:T3799"/>
    <mergeCell ref="R3800:T3800"/>
    <mergeCell ref="R3801:T3801"/>
    <mergeCell ref="R3792:T3792"/>
    <mergeCell ref="R3793:T3793"/>
    <mergeCell ref="R3794:T3794"/>
    <mergeCell ref="R3795:T3795"/>
    <mergeCell ref="R3796:T3796"/>
    <mergeCell ref="R3787:T3787"/>
    <mergeCell ref="R3788:T3788"/>
    <mergeCell ref="R3789:T3789"/>
    <mergeCell ref="R3790:T3790"/>
    <mergeCell ref="R3791:T3791"/>
    <mergeCell ref="R3782:T3782"/>
    <mergeCell ref="R3783:T3783"/>
    <mergeCell ref="R3784:T3784"/>
    <mergeCell ref="R3785:T3785"/>
    <mergeCell ref="R3786:T3786"/>
    <mergeCell ref="R3777:T3777"/>
    <mergeCell ref="R3778:T3778"/>
    <mergeCell ref="R3779:T3779"/>
    <mergeCell ref="R3780:T3780"/>
    <mergeCell ref="R3781:T3781"/>
    <mergeCell ref="R3772:T3772"/>
    <mergeCell ref="R3773:T3773"/>
    <mergeCell ref="R3774:T3774"/>
    <mergeCell ref="R3775:T3775"/>
    <mergeCell ref="R3776:T3776"/>
    <mergeCell ref="R3767:T3767"/>
    <mergeCell ref="R3768:T3768"/>
    <mergeCell ref="R3769:T3769"/>
    <mergeCell ref="R3770:T3770"/>
    <mergeCell ref="R3771:T3771"/>
    <mergeCell ref="R3762:T3762"/>
    <mergeCell ref="R3763:T3763"/>
    <mergeCell ref="R3764:T3764"/>
    <mergeCell ref="R3765:T3765"/>
    <mergeCell ref="R3766:T3766"/>
    <mergeCell ref="R3757:T3757"/>
    <mergeCell ref="R3758:T3758"/>
    <mergeCell ref="R3759:T3759"/>
    <mergeCell ref="R3760:T3760"/>
    <mergeCell ref="R3761:T3761"/>
    <mergeCell ref="R3752:T3752"/>
    <mergeCell ref="R3753:T3753"/>
    <mergeCell ref="R3754:T3754"/>
    <mergeCell ref="R3755:T3755"/>
    <mergeCell ref="R3756:T3756"/>
    <mergeCell ref="R3747:T3747"/>
    <mergeCell ref="R3748:T3748"/>
    <mergeCell ref="R3749:T3749"/>
    <mergeCell ref="R3750:T3750"/>
    <mergeCell ref="R3751:T3751"/>
    <mergeCell ref="R3742:T3742"/>
    <mergeCell ref="R3743:T3743"/>
    <mergeCell ref="R3744:T3744"/>
    <mergeCell ref="R3745:T3745"/>
    <mergeCell ref="R3746:T3746"/>
    <mergeCell ref="R3737:T3737"/>
    <mergeCell ref="R3738:T3738"/>
    <mergeCell ref="R3739:T3739"/>
    <mergeCell ref="R3740:T3740"/>
    <mergeCell ref="R3741:T3741"/>
    <mergeCell ref="R3732:T3732"/>
    <mergeCell ref="R3733:T3733"/>
    <mergeCell ref="R3734:T3734"/>
    <mergeCell ref="R3735:T3735"/>
    <mergeCell ref="R3736:T3736"/>
    <mergeCell ref="R3727:T3727"/>
    <mergeCell ref="R3728:T3728"/>
    <mergeCell ref="R3729:T3729"/>
    <mergeCell ref="R3730:T3730"/>
    <mergeCell ref="R3731:T3731"/>
    <mergeCell ref="R3722:T3722"/>
    <mergeCell ref="R3723:T3723"/>
    <mergeCell ref="R3724:T3724"/>
    <mergeCell ref="R3725:T3725"/>
    <mergeCell ref="R3726:T3726"/>
    <mergeCell ref="R3717:T3717"/>
    <mergeCell ref="R3718:T3718"/>
    <mergeCell ref="R3719:T3719"/>
    <mergeCell ref="R3720:T3720"/>
    <mergeCell ref="R3721:T3721"/>
    <mergeCell ref="R3712:T3712"/>
    <mergeCell ref="R3713:T3713"/>
    <mergeCell ref="R3714:T3714"/>
    <mergeCell ref="R3715:T3715"/>
    <mergeCell ref="R3716:T3716"/>
    <mergeCell ref="R3707:T3707"/>
    <mergeCell ref="R3708:T3708"/>
    <mergeCell ref="R3709:T3709"/>
    <mergeCell ref="R3710:T3710"/>
    <mergeCell ref="R3711:T3711"/>
    <mergeCell ref="R3702:T3702"/>
    <mergeCell ref="R3703:T3703"/>
    <mergeCell ref="R3704:T3704"/>
    <mergeCell ref="R3705:T3705"/>
    <mergeCell ref="R3706:T3706"/>
    <mergeCell ref="R3697:T3697"/>
    <mergeCell ref="R3698:T3698"/>
    <mergeCell ref="R3699:T3699"/>
    <mergeCell ref="R3700:T3700"/>
    <mergeCell ref="R3701:T3701"/>
    <mergeCell ref="R3692:T3692"/>
    <mergeCell ref="R3693:T3693"/>
    <mergeCell ref="R3694:T3694"/>
    <mergeCell ref="R3695:T3695"/>
    <mergeCell ref="R3696:T3696"/>
    <mergeCell ref="R3687:T3687"/>
    <mergeCell ref="R3688:T3688"/>
    <mergeCell ref="R3689:T3689"/>
    <mergeCell ref="R3690:T3690"/>
    <mergeCell ref="R3691:T3691"/>
    <mergeCell ref="R3682:T3682"/>
    <mergeCell ref="R3683:T3683"/>
    <mergeCell ref="R3684:T3684"/>
    <mergeCell ref="R3685:T3685"/>
    <mergeCell ref="R3686:T3686"/>
    <mergeCell ref="R3677:T3677"/>
    <mergeCell ref="R3678:T3678"/>
    <mergeCell ref="R3679:T3679"/>
    <mergeCell ref="R3680:T3680"/>
    <mergeCell ref="R3681:T3681"/>
    <mergeCell ref="R3672:T3672"/>
    <mergeCell ref="R3673:T3673"/>
    <mergeCell ref="R3674:T3674"/>
    <mergeCell ref="R3675:T3675"/>
    <mergeCell ref="R3676:T3676"/>
    <mergeCell ref="R3667:T3667"/>
    <mergeCell ref="R3668:T3668"/>
    <mergeCell ref="R3669:T3669"/>
    <mergeCell ref="R3670:T3670"/>
    <mergeCell ref="R3671:T3671"/>
    <mergeCell ref="R3662:T3662"/>
    <mergeCell ref="R3663:T3663"/>
    <mergeCell ref="R3664:T3664"/>
    <mergeCell ref="R3665:T3665"/>
    <mergeCell ref="R3666:T3666"/>
    <mergeCell ref="R3657:T3657"/>
    <mergeCell ref="R3658:T3658"/>
    <mergeCell ref="R3659:T3659"/>
    <mergeCell ref="R3660:T3660"/>
    <mergeCell ref="R3661:T3661"/>
    <mergeCell ref="R3652:T3652"/>
    <mergeCell ref="R3653:T3653"/>
    <mergeCell ref="R3654:T3654"/>
    <mergeCell ref="R3655:T3655"/>
    <mergeCell ref="R3656:T3656"/>
    <mergeCell ref="R3647:T3647"/>
    <mergeCell ref="R3648:T3648"/>
    <mergeCell ref="R3649:T3649"/>
    <mergeCell ref="R3650:T3650"/>
    <mergeCell ref="R3651:T3651"/>
    <mergeCell ref="R3642:T3642"/>
    <mergeCell ref="R3643:T3643"/>
    <mergeCell ref="R3644:T3644"/>
    <mergeCell ref="R3645:T3645"/>
    <mergeCell ref="R3646:T3646"/>
    <mergeCell ref="R3637:T3637"/>
    <mergeCell ref="R3638:T3638"/>
    <mergeCell ref="R3639:T3639"/>
    <mergeCell ref="R3640:T3640"/>
    <mergeCell ref="R3641:T3641"/>
    <mergeCell ref="R3632:T3632"/>
    <mergeCell ref="R3633:T3633"/>
    <mergeCell ref="R3634:T3634"/>
    <mergeCell ref="R3635:T3635"/>
    <mergeCell ref="R3636:T3636"/>
    <mergeCell ref="R3627:T3627"/>
    <mergeCell ref="R3628:T3628"/>
    <mergeCell ref="R3629:T3629"/>
    <mergeCell ref="R3630:T3630"/>
    <mergeCell ref="R3631:T3631"/>
    <mergeCell ref="R3622:T3622"/>
    <mergeCell ref="R3623:T3623"/>
    <mergeCell ref="R3624:T3624"/>
    <mergeCell ref="R3625:T3625"/>
    <mergeCell ref="R3626:T3626"/>
    <mergeCell ref="R3617:T3617"/>
    <mergeCell ref="R3618:T3618"/>
    <mergeCell ref="R3619:T3619"/>
    <mergeCell ref="R3620:T3620"/>
    <mergeCell ref="R3621:T3621"/>
    <mergeCell ref="R3612:T3612"/>
    <mergeCell ref="R3613:T3613"/>
    <mergeCell ref="R3614:T3614"/>
    <mergeCell ref="R3615:T3615"/>
    <mergeCell ref="R3616:T3616"/>
    <mergeCell ref="R3607:T3607"/>
    <mergeCell ref="R3608:T3608"/>
    <mergeCell ref="R3609:T3609"/>
    <mergeCell ref="R3610:T3610"/>
    <mergeCell ref="R3611:T3611"/>
    <mergeCell ref="R3602:T3602"/>
    <mergeCell ref="R3603:T3603"/>
    <mergeCell ref="R3604:T3604"/>
    <mergeCell ref="R3605:T3605"/>
    <mergeCell ref="R3606:T3606"/>
    <mergeCell ref="R3597:T3597"/>
    <mergeCell ref="R3598:T3598"/>
    <mergeCell ref="R3599:T3599"/>
    <mergeCell ref="R3600:T3600"/>
    <mergeCell ref="R3601:T3601"/>
    <mergeCell ref="R3592:T3592"/>
    <mergeCell ref="R3593:T3593"/>
    <mergeCell ref="R3594:T3594"/>
    <mergeCell ref="R3595:T3595"/>
    <mergeCell ref="R3596:T3596"/>
    <mergeCell ref="R3587:T3587"/>
    <mergeCell ref="R3588:T3588"/>
    <mergeCell ref="R3589:T3589"/>
    <mergeCell ref="R3590:T3590"/>
    <mergeCell ref="R3591:T3591"/>
    <mergeCell ref="R3582:T3582"/>
    <mergeCell ref="R3583:T3583"/>
    <mergeCell ref="R3584:T3584"/>
    <mergeCell ref="R3585:T3585"/>
    <mergeCell ref="R3586:T3586"/>
    <mergeCell ref="R3577:T3577"/>
    <mergeCell ref="R3578:T3578"/>
    <mergeCell ref="R3579:T3579"/>
    <mergeCell ref="R3580:T3580"/>
    <mergeCell ref="R3581:T3581"/>
    <mergeCell ref="R3572:T3572"/>
    <mergeCell ref="R3573:T3573"/>
    <mergeCell ref="R3574:T3574"/>
    <mergeCell ref="R3575:T3575"/>
    <mergeCell ref="R3576:T3576"/>
    <mergeCell ref="R3567:T3567"/>
    <mergeCell ref="R3568:T3568"/>
    <mergeCell ref="R3569:T3569"/>
    <mergeCell ref="R3570:T3570"/>
    <mergeCell ref="R3571:T3571"/>
    <mergeCell ref="R3562:T3562"/>
    <mergeCell ref="R3563:T3563"/>
    <mergeCell ref="R3564:T3564"/>
    <mergeCell ref="R3565:T3565"/>
    <mergeCell ref="R3566:T3566"/>
    <mergeCell ref="R3557:T3557"/>
    <mergeCell ref="R3558:T3558"/>
    <mergeCell ref="R3559:T3559"/>
    <mergeCell ref="R3560:T3560"/>
    <mergeCell ref="R3561:T3561"/>
    <mergeCell ref="R3552:T3552"/>
    <mergeCell ref="R3553:T3553"/>
    <mergeCell ref="R3554:T3554"/>
    <mergeCell ref="R3555:T3555"/>
    <mergeCell ref="R3556:T3556"/>
    <mergeCell ref="R3547:T3547"/>
    <mergeCell ref="R3548:T3548"/>
    <mergeCell ref="R3549:T3549"/>
    <mergeCell ref="R3550:T3550"/>
    <mergeCell ref="R3551:T3551"/>
    <mergeCell ref="R3542:T3542"/>
    <mergeCell ref="R3543:T3543"/>
    <mergeCell ref="R3544:T3544"/>
    <mergeCell ref="R3545:T3545"/>
    <mergeCell ref="R3546:T3546"/>
    <mergeCell ref="R3537:T3537"/>
    <mergeCell ref="R3538:T3538"/>
    <mergeCell ref="R3539:T3539"/>
    <mergeCell ref="R3540:T3540"/>
    <mergeCell ref="R3541:T3541"/>
    <mergeCell ref="R3532:T3532"/>
    <mergeCell ref="R3533:T3533"/>
    <mergeCell ref="R3534:T3534"/>
    <mergeCell ref="R3535:T3535"/>
    <mergeCell ref="R3536:T3536"/>
    <mergeCell ref="R3527:T3527"/>
    <mergeCell ref="R3528:T3528"/>
    <mergeCell ref="R3529:T3529"/>
    <mergeCell ref="R3530:T3530"/>
    <mergeCell ref="R3531:T3531"/>
    <mergeCell ref="R3522:T3522"/>
    <mergeCell ref="R3523:T3523"/>
    <mergeCell ref="R3524:T3524"/>
    <mergeCell ref="R3525:T3525"/>
    <mergeCell ref="R3526:T3526"/>
    <mergeCell ref="R3517:T3517"/>
    <mergeCell ref="R3518:T3518"/>
    <mergeCell ref="R3519:T3519"/>
    <mergeCell ref="R3520:T3520"/>
    <mergeCell ref="R3521:T3521"/>
    <mergeCell ref="R3512:T3512"/>
    <mergeCell ref="R3513:T3513"/>
    <mergeCell ref="R3514:T3514"/>
    <mergeCell ref="R3515:T3515"/>
    <mergeCell ref="R3516:T3516"/>
    <mergeCell ref="R3507:T3507"/>
    <mergeCell ref="R3508:T3508"/>
    <mergeCell ref="R3509:T3509"/>
    <mergeCell ref="R3510:T3510"/>
    <mergeCell ref="R3511:T3511"/>
    <mergeCell ref="R3502:T3502"/>
    <mergeCell ref="R3503:T3503"/>
    <mergeCell ref="R3504:T3504"/>
    <mergeCell ref="R3505:T3505"/>
    <mergeCell ref="R3506:T3506"/>
    <mergeCell ref="R3497:T3497"/>
    <mergeCell ref="R3498:T3498"/>
    <mergeCell ref="R3499:T3499"/>
    <mergeCell ref="R3500:T3500"/>
    <mergeCell ref="R3501:T3501"/>
    <mergeCell ref="R3492:T3492"/>
    <mergeCell ref="R3493:T3493"/>
    <mergeCell ref="R3494:T3494"/>
    <mergeCell ref="R3495:T3495"/>
    <mergeCell ref="R3496:T3496"/>
    <mergeCell ref="R3487:T3487"/>
    <mergeCell ref="R3488:T3488"/>
    <mergeCell ref="R3489:T3489"/>
    <mergeCell ref="R3490:T3490"/>
    <mergeCell ref="R3491:T3491"/>
    <mergeCell ref="R3482:T3482"/>
    <mergeCell ref="R3483:T3483"/>
    <mergeCell ref="R3484:T3484"/>
    <mergeCell ref="R3485:T3485"/>
    <mergeCell ref="R3486:T3486"/>
    <mergeCell ref="R3477:T3477"/>
    <mergeCell ref="R3478:T3478"/>
    <mergeCell ref="R3479:T3479"/>
    <mergeCell ref="R3480:T3480"/>
    <mergeCell ref="R3481:T3481"/>
    <mergeCell ref="R3472:T3472"/>
    <mergeCell ref="R3473:T3473"/>
    <mergeCell ref="R3474:T3474"/>
    <mergeCell ref="R3475:T3475"/>
    <mergeCell ref="R3476:T3476"/>
    <mergeCell ref="R3467:T3467"/>
    <mergeCell ref="R3468:T3468"/>
    <mergeCell ref="R3469:T3469"/>
    <mergeCell ref="R3470:T3470"/>
    <mergeCell ref="R3471:T3471"/>
    <mergeCell ref="R3462:T3462"/>
    <mergeCell ref="R3463:T3463"/>
    <mergeCell ref="R3464:T3464"/>
    <mergeCell ref="R3465:T3465"/>
    <mergeCell ref="R3466:T3466"/>
    <mergeCell ref="R3457:T3457"/>
    <mergeCell ref="R3458:T3458"/>
    <mergeCell ref="R3459:T3459"/>
    <mergeCell ref="R3460:T3460"/>
    <mergeCell ref="R3461:T3461"/>
    <mergeCell ref="R3452:T3452"/>
    <mergeCell ref="R3453:T3453"/>
    <mergeCell ref="R3454:T3454"/>
    <mergeCell ref="R3455:T3455"/>
    <mergeCell ref="R3456:T3456"/>
    <mergeCell ref="R3447:T3447"/>
    <mergeCell ref="R3448:T3448"/>
    <mergeCell ref="R3449:T3449"/>
    <mergeCell ref="R3450:T3450"/>
    <mergeCell ref="R3451:T3451"/>
    <mergeCell ref="R3442:T3442"/>
    <mergeCell ref="R3443:T3443"/>
    <mergeCell ref="R3444:T3444"/>
    <mergeCell ref="R3445:T3445"/>
    <mergeCell ref="R3446:T3446"/>
    <mergeCell ref="R3437:T3437"/>
    <mergeCell ref="R3438:T3438"/>
    <mergeCell ref="R3439:T3439"/>
    <mergeCell ref="R3440:T3440"/>
    <mergeCell ref="R3441:T3441"/>
    <mergeCell ref="R3432:T3432"/>
    <mergeCell ref="R3433:T3433"/>
    <mergeCell ref="R3434:T3434"/>
    <mergeCell ref="R3435:T3435"/>
    <mergeCell ref="R3436:T3436"/>
    <mergeCell ref="R3427:T3427"/>
    <mergeCell ref="R3428:T3428"/>
    <mergeCell ref="R3429:T3429"/>
    <mergeCell ref="R3430:T3430"/>
    <mergeCell ref="R3431:T3431"/>
    <mergeCell ref="R3422:T3422"/>
    <mergeCell ref="R3423:T3423"/>
    <mergeCell ref="R3424:T3424"/>
    <mergeCell ref="R3425:T3425"/>
    <mergeCell ref="R3426:T3426"/>
    <mergeCell ref="R3417:T3417"/>
    <mergeCell ref="R3418:T3418"/>
    <mergeCell ref="R3419:T3419"/>
    <mergeCell ref="R3420:T3420"/>
    <mergeCell ref="R3421:T3421"/>
    <mergeCell ref="R3412:T3412"/>
    <mergeCell ref="R3413:T3413"/>
    <mergeCell ref="R3414:T3414"/>
    <mergeCell ref="R3415:T3415"/>
    <mergeCell ref="R3416:T3416"/>
    <mergeCell ref="R3407:T3407"/>
    <mergeCell ref="R3408:T3408"/>
    <mergeCell ref="R3409:T3409"/>
    <mergeCell ref="R3410:T3410"/>
    <mergeCell ref="R3411:T3411"/>
    <mergeCell ref="R3402:T3402"/>
    <mergeCell ref="R3403:T3403"/>
    <mergeCell ref="R3404:T3404"/>
    <mergeCell ref="R3405:T3405"/>
    <mergeCell ref="R3406:T3406"/>
    <mergeCell ref="R3397:T3397"/>
    <mergeCell ref="R3398:T3398"/>
    <mergeCell ref="R3399:T3399"/>
    <mergeCell ref="R3400:T3400"/>
    <mergeCell ref="R3401:T3401"/>
    <mergeCell ref="R3392:T3392"/>
    <mergeCell ref="R3393:T3393"/>
    <mergeCell ref="R3394:T3394"/>
    <mergeCell ref="R3395:T3395"/>
    <mergeCell ref="R3396:T3396"/>
    <mergeCell ref="R3387:T3387"/>
    <mergeCell ref="R3388:T3388"/>
    <mergeCell ref="R3389:T3389"/>
    <mergeCell ref="R3390:T3390"/>
    <mergeCell ref="R3391:T3391"/>
    <mergeCell ref="R3382:T3382"/>
    <mergeCell ref="R3383:T3383"/>
    <mergeCell ref="R3384:T3384"/>
    <mergeCell ref="R3385:T3385"/>
    <mergeCell ref="R3386:T3386"/>
    <mergeCell ref="R3377:T3377"/>
    <mergeCell ref="R3378:T3378"/>
    <mergeCell ref="R3379:T3379"/>
    <mergeCell ref="R3380:T3380"/>
    <mergeCell ref="R3381:T3381"/>
    <mergeCell ref="R3372:T3372"/>
    <mergeCell ref="R3373:T3373"/>
    <mergeCell ref="R3374:T3374"/>
    <mergeCell ref="R3375:T3375"/>
    <mergeCell ref="R3376:T3376"/>
    <mergeCell ref="R3367:T3367"/>
    <mergeCell ref="R3368:T3368"/>
    <mergeCell ref="R3369:T3369"/>
    <mergeCell ref="R3370:T3370"/>
    <mergeCell ref="R3371:T3371"/>
    <mergeCell ref="R3362:T3362"/>
    <mergeCell ref="R3363:T3363"/>
    <mergeCell ref="R3364:T3364"/>
    <mergeCell ref="R3365:T3365"/>
    <mergeCell ref="R3366:T3366"/>
    <mergeCell ref="R3357:T3357"/>
    <mergeCell ref="R3358:T3358"/>
    <mergeCell ref="R3359:T3359"/>
    <mergeCell ref="R3360:T3360"/>
    <mergeCell ref="R3361:T3361"/>
    <mergeCell ref="R3352:T3352"/>
    <mergeCell ref="R3353:T3353"/>
    <mergeCell ref="R3354:T3354"/>
    <mergeCell ref="R3355:T3355"/>
    <mergeCell ref="R3356:T3356"/>
    <mergeCell ref="R3347:T3347"/>
    <mergeCell ref="R3348:T3348"/>
    <mergeCell ref="R3349:T3349"/>
    <mergeCell ref="R3350:T3350"/>
    <mergeCell ref="R3351:T3351"/>
    <mergeCell ref="R3342:T3342"/>
    <mergeCell ref="R3343:T3343"/>
    <mergeCell ref="R3344:T3344"/>
    <mergeCell ref="R3345:T3345"/>
    <mergeCell ref="R3346:T3346"/>
    <mergeCell ref="R3337:T3337"/>
    <mergeCell ref="R3338:T3338"/>
    <mergeCell ref="R3339:T3339"/>
    <mergeCell ref="R3340:T3340"/>
    <mergeCell ref="R3341:T3341"/>
    <mergeCell ref="R3332:T3332"/>
    <mergeCell ref="R3333:T3333"/>
    <mergeCell ref="R3334:T3334"/>
    <mergeCell ref="R3335:T3335"/>
    <mergeCell ref="R3336:T3336"/>
    <mergeCell ref="R3327:T3327"/>
    <mergeCell ref="R3328:T3328"/>
    <mergeCell ref="R3329:T3329"/>
    <mergeCell ref="R3330:T3330"/>
    <mergeCell ref="R3331:T3331"/>
    <mergeCell ref="R3322:T3322"/>
    <mergeCell ref="R3323:T3323"/>
    <mergeCell ref="R3324:T3324"/>
    <mergeCell ref="R3325:T3325"/>
    <mergeCell ref="R3326:T3326"/>
    <mergeCell ref="R3317:T3317"/>
    <mergeCell ref="R3318:T3318"/>
    <mergeCell ref="R3319:T3319"/>
    <mergeCell ref="R3320:T3320"/>
    <mergeCell ref="R3321:T3321"/>
    <mergeCell ref="R3312:T3312"/>
    <mergeCell ref="R3313:T3313"/>
    <mergeCell ref="R3314:T3314"/>
    <mergeCell ref="R3315:T3315"/>
    <mergeCell ref="R3316:T3316"/>
    <mergeCell ref="R3307:T3307"/>
    <mergeCell ref="R3308:T3308"/>
    <mergeCell ref="R3309:T3309"/>
    <mergeCell ref="R3310:T3310"/>
    <mergeCell ref="R3311:T3311"/>
    <mergeCell ref="R3302:T3302"/>
    <mergeCell ref="R3303:T3303"/>
    <mergeCell ref="R3304:T3304"/>
    <mergeCell ref="R3305:T3305"/>
    <mergeCell ref="R3306:T3306"/>
    <mergeCell ref="R3297:T3297"/>
    <mergeCell ref="R3298:T3298"/>
    <mergeCell ref="R3299:T3299"/>
    <mergeCell ref="R3300:T3300"/>
    <mergeCell ref="R3301:T3301"/>
    <mergeCell ref="R3292:T3292"/>
    <mergeCell ref="R3293:T3293"/>
    <mergeCell ref="R3294:T3294"/>
    <mergeCell ref="R3295:T3295"/>
    <mergeCell ref="R3296:T3296"/>
    <mergeCell ref="R3287:T3287"/>
    <mergeCell ref="R3288:T3288"/>
    <mergeCell ref="R3289:T3289"/>
    <mergeCell ref="R3290:T3290"/>
    <mergeCell ref="R3291:T3291"/>
    <mergeCell ref="R3282:T3282"/>
    <mergeCell ref="R3283:T3283"/>
    <mergeCell ref="R3284:T3284"/>
    <mergeCell ref="R3285:T3285"/>
    <mergeCell ref="R3286:T3286"/>
    <mergeCell ref="R3277:T3277"/>
    <mergeCell ref="R3278:T3278"/>
    <mergeCell ref="R3279:T3279"/>
    <mergeCell ref="R3280:T3280"/>
    <mergeCell ref="R3281:T3281"/>
    <mergeCell ref="R3272:T3272"/>
    <mergeCell ref="R3273:T3273"/>
    <mergeCell ref="R3274:T3274"/>
    <mergeCell ref="R3275:T3275"/>
    <mergeCell ref="R3276:T3276"/>
    <mergeCell ref="R3267:T3267"/>
    <mergeCell ref="R3268:T3268"/>
    <mergeCell ref="R3269:T3269"/>
    <mergeCell ref="R3270:T3270"/>
    <mergeCell ref="R3271:T3271"/>
    <mergeCell ref="R3262:T3262"/>
    <mergeCell ref="R3263:T3263"/>
    <mergeCell ref="R3264:T3264"/>
    <mergeCell ref="R3265:T3265"/>
    <mergeCell ref="R3266:T3266"/>
    <mergeCell ref="R3257:T3257"/>
    <mergeCell ref="R3258:T3258"/>
    <mergeCell ref="R3259:T3259"/>
    <mergeCell ref="R3260:T3260"/>
    <mergeCell ref="R3261:T3261"/>
    <mergeCell ref="R3252:T3252"/>
    <mergeCell ref="R3253:T3253"/>
    <mergeCell ref="R3254:T3254"/>
    <mergeCell ref="R3255:T3255"/>
    <mergeCell ref="R3256:T3256"/>
    <mergeCell ref="R3247:T3247"/>
    <mergeCell ref="R3248:T3248"/>
    <mergeCell ref="R3249:T3249"/>
    <mergeCell ref="R3250:T3250"/>
    <mergeCell ref="R3251:T3251"/>
    <mergeCell ref="R3242:T3242"/>
    <mergeCell ref="R3243:T3243"/>
    <mergeCell ref="R3244:T3244"/>
    <mergeCell ref="R3245:T3245"/>
    <mergeCell ref="R3246:T3246"/>
    <mergeCell ref="R3237:T3237"/>
    <mergeCell ref="R3238:T3238"/>
    <mergeCell ref="R3239:T3239"/>
    <mergeCell ref="R3240:T3240"/>
    <mergeCell ref="R3241:T3241"/>
    <mergeCell ref="R3232:T3232"/>
    <mergeCell ref="R3233:T3233"/>
    <mergeCell ref="R3234:T3234"/>
    <mergeCell ref="R3235:T3235"/>
    <mergeCell ref="R3236:T3236"/>
    <mergeCell ref="R3227:T3227"/>
    <mergeCell ref="R3228:T3228"/>
    <mergeCell ref="R3229:T3229"/>
    <mergeCell ref="R3230:T3230"/>
    <mergeCell ref="R3231:T3231"/>
    <mergeCell ref="R3222:T3222"/>
    <mergeCell ref="R3223:T3223"/>
    <mergeCell ref="R3224:T3224"/>
    <mergeCell ref="R3225:T3225"/>
    <mergeCell ref="R3226:T3226"/>
    <mergeCell ref="R3217:T3217"/>
    <mergeCell ref="R3218:T3218"/>
    <mergeCell ref="R3219:T3219"/>
    <mergeCell ref="R3220:T3220"/>
    <mergeCell ref="R3221:T3221"/>
    <mergeCell ref="R3212:T3212"/>
    <mergeCell ref="R3213:T3213"/>
    <mergeCell ref="R3214:T3214"/>
    <mergeCell ref="R3215:T3215"/>
    <mergeCell ref="R3216:T3216"/>
    <mergeCell ref="R3207:T3207"/>
    <mergeCell ref="R3208:T3208"/>
    <mergeCell ref="R3209:T3209"/>
    <mergeCell ref="R3210:T3210"/>
    <mergeCell ref="R3211:T3211"/>
    <mergeCell ref="R3202:T3202"/>
    <mergeCell ref="R3203:T3203"/>
    <mergeCell ref="R3204:T3204"/>
    <mergeCell ref="R3205:T3205"/>
    <mergeCell ref="R3206:T3206"/>
    <mergeCell ref="R3197:T3197"/>
    <mergeCell ref="R3198:T3198"/>
    <mergeCell ref="R3199:T3199"/>
    <mergeCell ref="R3200:T3200"/>
    <mergeCell ref="R3201:T3201"/>
    <mergeCell ref="R3192:T3192"/>
    <mergeCell ref="R3193:T3193"/>
    <mergeCell ref="R3194:T3194"/>
    <mergeCell ref="R3195:T3195"/>
    <mergeCell ref="R3196:T3196"/>
    <mergeCell ref="R3187:T3187"/>
    <mergeCell ref="R3188:T3188"/>
    <mergeCell ref="R3189:T3189"/>
    <mergeCell ref="R3190:T3190"/>
    <mergeCell ref="R3191:T3191"/>
    <mergeCell ref="R3182:T3182"/>
    <mergeCell ref="R3183:T3183"/>
    <mergeCell ref="R3184:T3184"/>
    <mergeCell ref="R3185:T3185"/>
    <mergeCell ref="R3186:T3186"/>
    <mergeCell ref="R3177:T3177"/>
    <mergeCell ref="R3178:T3178"/>
    <mergeCell ref="R3179:T3179"/>
    <mergeCell ref="R3180:T3180"/>
    <mergeCell ref="R3181:T3181"/>
    <mergeCell ref="R3172:T3172"/>
    <mergeCell ref="R3173:T3173"/>
    <mergeCell ref="R3174:T3174"/>
    <mergeCell ref="R3175:T3175"/>
    <mergeCell ref="R3176:T3176"/>
    <mergeCell ref="R3167:T3167"/>
    <mergeCell ref="R3168:T3168"/>
    <mergeCell ref="R3169:T3169"/>
    <mergeCell ref="R3170:T3170"/>
    <mergeCell ref="R3171:T3171"/>
    <mergeCell ref="R3162:T3162"/>
    <mergeCell ref="R3163:T3163"/>
    <mergeCell ref="R3164:T3164"/>
    <mergeCell ref="R3165:T3165"/>
    <mergeCell ref="R3166:T3166"/>
    <mergeCell ref="R3157:T3157"/>
    <mergeCell ref="R3158:T3158"/>
    <mergeCell ref="R3159:T3159"/>
    <mergeCell ref="R3160:T3160"/>
    <mergeCell ref="R3161:T3161"/>
    <mergeCell ref="R3152:T3152"/>
    <mergeCell ref="R3153:T3153"/>
    <mergeCell ref="R3154:T3154"/>
    <mergeCell ref="R3155:T3155"/>
    <mergeCell ref="R3156:T3156"/>
    <mergeCell ref="R3147:T3147"/>
    <mergeCell ref="R3148:T3148"/>
    <mergeCell ref="R3149:T3149"/>
    <mergeCell ref="R3150:T3150"/>
    <mergeCell ref="R3151:T3151"/>
    <mergeCell ref="R3142:T3142"/>
    <mergeCell ref="R3143:T3143"/>
    <mergeCell ref="R3144:T3144"/>
    <mergeCell ref="R3145:T3145"/>
    <mergeCell ref="R3146:T3146"/>
    <mergeCell ref="R3137:T3137"/>
    <mergeCell ref="R3138:T3138"/>
    <mergeCell ref="R3139:T3139"/>
    <mergeCell ref="R3140:T3140"/>
    <mergeCell ref="R3141:T3141"/>
    <mergeCell ref="R3132:T3132"/>
    <mergeCell ref="R3133:T3133"/>
    <mergeCell ref="R3134:T3134"/>
    <mergeCell ref="R3135:T3135"/>
    <mergeCell ref="R3136:T3136"/>
    <mergeCell ref="R3127:T3127"/>
    <mergeCell ref="R3128:T3128"/>
    <mergeCell ref="R3129:T3129"/>
    <mergeCell ref="R3130:T3130"/>
    <mergeCell ref="R3131:T3131"/>
    <mergeCell ref="R3122:T3122"/>
    <mergeCell ref="R3123:T3123"/>
    <mergeCell ref="R3124:T3124"/>
    <mergeCell ref="R3125:T3125"/>
    <mergeCell ref="R3126:T3126"/>
    <mergeCell ref="R3117:T3117"/>
    <mergeCell ref="R3118:T3118"/>
    <mergeCell ref="R3119:T3119"/>
    <mergeCell ref="R3120:T3120"/>
    <mergeCell ref="R3121:T3121"/>
    <mergeCell ref="R3112:T3112"/>
    <mergeCell ref="R3113:T3113"/>
    <mergeCell ref="R3114:T3114"/>
    <mergeCell ref="R3115:T3115"/>
    <mergeCell ref="R3116:T3116"/>
    <mergeCell ref="R3107:T3107"/>
    <mergeCell ref="R3108:T3108"/>
    <mergeCell ref="R3109:T3109"/>
    <mergeCell ref="R3110:T3110"/>
    <mergeCell ref="R3111:T3111"/>
    <mergeCell ref="R3102:T3102"/>
    <mergeCell ref="R3103:T3103"/>
    <mergeCell ref="R3104:T3104"/>
    <mergeCell ref="R3105:T3105"/>
    <mergeCell ref="R3106:T3106"/>
    <mergeCell ref="R3097:T3097"/>
    <mergeCell ref="R3098:T3098"/>
    <mergeCell ref="R3099:T3099"/>
    <mergeCell ref="R3100:T3100"/>
    <mergeCell ref="R3101:T3101"/>
    <mergeCell ref="R3092:T3092"/>
    <mergeCell ref="R3093:T3093"/>
    <mergeCell ref="R3094:T3094"/>
    <mergeCell ref="R3095:T3095"/>
    <mergeCell ref="R3096:T3096"/>
    <mergeCell ref="R3087:T3087"/>
    <mergeCell ref="R3088:T3088"/>
    <mergeCell ref="R3089:T3089"/>
    <mergeCell ref="R3090:T3090"/>
    <mergeCell ref="R3091:T3091"/>
    <mergeCell ref="R3082:T3082"/>
    <mergeCell ref="R3083:T3083"/>
    <mergeCell ref="R3084:T3084"/>
    <mergeCell ref="R3085:T3085"/>
    <mergeCell ref="R3086:T3086"/>
    <mergeCell ref="R3077:T3077"/>
    <mergeCell ref="R3078:T3078"/>
    <mergeCell ref="R3079:T3079"/>
    <mergeCell ref="R3080:T3080"/>
    <mergeCell ref="R3081:T3081"/>
    <mergeCell ref="R3072:T3072"/>
    <mergeCell ref="R3073:T3073"/>
    <mergeCell ref="R3074:T3074"/>
    <mergeCell ref="R3075:T3075"/>
    <mergeCell ref="R3076:T3076"/>
    <mergeCell ref="R3067:T3067"/>
    <mergeCell ref="R3068:T3068"/>
    <mergeCell ref="R3069:T3069"/>
    <mergeCell ref="R3070:T3070"/>
    <mergeCell ref="R3071:T3071"/>
    <mergeCell ref="R3062:T3062"/>
    <mergeCell ref="R3063:T3063"/>
    <mergeCell ref="R3064:T3064"/>
    <mergeCell ref="R3065:T3065"/>
    <mergeCell ref="R3066:T3066"/>
    <mergeCell ref="R3057:T3057"/>
    <mergeCell ref="R3058:T3058"/>
    <mergeCell ref="R3059:T3059"/>
    <mergeCell ref="R3060:T3060"/>
    <mergeCell ref="R3061:T3061"/>
    <mergeCell ref="R3052:T3052"/>
    <mergeCell ref="R3053:T3053"/>
    <mergeCell ref="R3054:T3054"/>
    <mergeCell ref="R3055:T3055"/>
    <mergeCell ref="R3056:T3056"/>
    <mergeCell ref="R3047:T3047"/>
    <mergeCell ref="R3048:T3048"/>
    <mergeCell ref="R3049:T3049"/>
    <mergeCell ref="R3050:T3050"/>
    <mergeCell ref="R3051:T3051"/>
    <mergeCell ref="R3042:T3042"/>
    <mergeCell ref="R3043:T3043"/>
    <mergeCell ref="R3044:T3044"/>
    <mergeCell ref="R3045:T3045"/>
    <mergeCell ref="R3046:T3046"/>
    <mergeCell ref="R3037:T3037"/>
    <mergeCell ref="R3038:T3038"/>
    <mergeCell ref="R3039:T3039"/>
    <mergeCell ref="R3040:T3040"/>
    <mergeCell ref="R3041:T3041"/>
    <mergeCell ref="R3032:T3032"/>
    <mergeCell ref="R3033:T3033"/>
    <mergeCell ref="R3034:T3034"/>
    <mergeCell ref="R3035:T3035"/>
    <mergeCell ref="R3036:T3036"/>
    <mergeCell ref="R3027:T3027"/>
    <mergeCell ref="R3028:T3028"/>
    <mergeCell ref="R3029:T3029"/>
    <mergeCell ref="R3030:T3030"/>
    <mergeCell ref="R3031:T3031"/>
    <mergeCell ref="R3022:T3022"/>
    <mergeCell ref="R3023:T3023"/>
    <mergeCell ref="R3024:T3024"/>
    <mergeCell ref="R3025:T3025"/>
    <mergeCell ref="R3026:T3026"/>
    <mergeCell ref="R3017:T3017"/>
    <mergeCell ref="R3018:T3018"/>
    <mergeCell ref="R3019:T3019"/>
    <mergeCell ref="R3020:T3020"/>
    <mergeCell ref="R3021:T3021"/>
    <mergeCell ref="R3012:T3012"/>
    <mergeCell ref="R3013:T3013"/>
    <mergeCell ref="R3014:T3014"/>
    <mergeCell ref="R3015:T3015"/>
    <mergeCell ref="R3016:T3016"/>
    <mergeCell ref="R3007:T3007"/>
    <mergeCell ref="R3008:T3008"/>
    <mergeCell ref="R3009:T3009"/>
    <mergeCell ref="R3010:T3010"/>
    <mergeCell ref="R3011:T3011"/>
    <mergeCell ref="R3002:T3002"/>
    <mergeCell ref="R3003:T3003"/>
    <mergeCell ref="R3004:T3004"/>
    <mergeCell ref="R3005:T3005"/>
    <mergeCell ref="R3006:T3006"/>
    <mergeCell ref="R2997:T2997"/>
    <mergeCell ref="R2998:T2998"/>
    <mergeCell ref="R2999:T2999"/>
    <mergeCell ref="R3000:T3000"/>
    <mergeCell ref="R3001:T3001"/>
    <mergeCell ref="R2992:T2992"/>
    <mergeCell ref="R2993:T2993"/>
    <mergeCell ref="R2994:T2994"/>
    <mergeCell ref="R2995:T2995"/>
    <mergeCell ref="R2996:T2996"/>
    <mergeCell ref="R2987:T2987"/>
    <mergeCell ref="R2988:T2988"/>
    <mergeCell ref="R2989:T2989"/>
    <mergeCell ref="R2990:T2990"/>
    <mergeCell ref="R2991:T2991"/>
    <mergeCell ref="R2982:T2982"/>
    <mergeCell ref="R2983:T2983"/>
    <mergeCell ref="R2984:T2984"/>
    <mergeCell ref="R2985:T2985"/>
    <mergeCell ref="R2986:T2986"/>
    <mergeCell ref="R2977:T2977"/>
    <mergeCell ref="R2978:T2978"/>
    <mergeCell ref="R2979:T2979"/>
    <mergeCell ref="R2980:T2980"/>
    <mergeCell ref="R2981:T2981"/>
    <mergeCell ref="R2972:T2972"/>
    <mergeCell ref="R2973:T2973"/>
    <mergeCell ref="R2974:T2974"/>
    <mergeCell ref="R2975:T2975"/>
    <mergeCell ref="R2976:T2976"/>
    <mergeCell ref="R2967:T2967"/>
    <mergeCell ref="R2968:T2968"/>
    <mergeCell ref="R2969:T2969"/>
    <mergeCell ref="R2970:T2970"/>
    <mergeCell ref="R2971:T2971"/>
    <mergeCell ref="R2962:T2962"/>
    <mergeCell ref="R2963:T2963"/>
    <mergeCell ref="R2964:T2964"/>
    <mergeCell ref="R2965:T2965"/>
    <mergeCell ref="R2966:T2966"/>
    <mergeCell ref="R2957:T2957"/>
    <mergeCell ref="R2958:T2958"/>
    <mergeCell ref="R2959:T2959"/>
    <mergeCell ref="R2960:T2960"/>
    <mergeCell ref="R2961:T2961"/>
    <mergeCell ref="R2952:T2952"/>
    <mergeCell ref="R2953:T2953"/>
    <mergeCell ref="R2954:T2954"/>
    <mergeCell ref="R2955:T2955"/>
    <mergeCell ref="R2956:T2956"/>
    <mergeCell ref="R2947:T2947"/>
    <mergeCell ref="R2948:T2948"/>
    <mergeCell ref="R2949:T2949"/>
    <mergeCell ref="R2950:T2950"/>
    <mergeCell ref="R2951:T2951"/>
    <mergeCell ref="R2942:T2942"/>
    <mergeCell ref="R2943:T2943"/>
    <mergeCell ref="R2944:T2944"/>
    <mergeCell ref="R2945:T2945"/>
    <mergeCell ref="R2946:T2946"/>
    <mergeCell ref="R2937:T2937"/>
    <mergeCell ref="R2938:T2938"/>
    <mergeCell ref="R2939:T2939"/>
    <mergeCell ref="R2940:T2940"/>
    <mergeCell ref="R2941:T2941"/>
    <mergeCell ref="R2932:T2932"/>
    <mergeCell ref="R2933:T2933"/>
    <mergeCell ref="R2934:T2934"/>
    <mergeCell ref="R2935:T2935"/>
    <mergeCell ref="R2936:T2936"/>
    <mergeCell ref="R2927:T2927"/>
    <mergeCell ref="R2928:T2928"/>
    <mergeCell ref="R2929:T2929"/>
    <mergeCell ref="R2930:T2930"/>
    <mergeCell ref="R2931:T2931"/>
    <mergeCell ref="R2922:T2922"/>
    <mergeCell ref="R2923:T2923"/>
    <mergeCell ref="R2924:T2924"/>
    <mergeCell ref="R2925:T2925"/>
    <mergeCell ref="R2926:T2926"/>
    <mergeCell ref="R2917:T2917"/>
    <mergeCell ref="R2918:T2918"/>
    <mergeCell ref="R2919:T2919"/>
    <mergeCell ref="R2920:T2920"/>
    <mergeCell ref="R2921:T2921"/>
    <mergeCell ref="R2912:T2912"/>
    <mergeCell ref="R2913:T2913"/>
    <mergeCell ref="R2914:T2914"/>
    <mergeCell ref="R2915:T2915"/>
    <mergeCell ref="R2916:T2916"/>
    <mergeCell ref="R2907:T2907"/>
    <mergeCell ref="R2908:T2908"/>
    <mergeCell ref="R2909:T2909"/>
    <mergeCell ref="R2910:T2910"/>
    <mergeCell ref="R2911:T2911"/>
    <mergeCell ref="R2902:T2902"/>
    <mergeCell ref="R2903:T2903"/>
    <mergeCell ref="R2904:T2904"/>
    <mergeCell ref="R2905:T2905"/>
    <mergeCell ref="R2906:T2906"/>
    <mergeCell ref="R2897:T2897"/>
    <mergeCell ref="R2898:T2898"/>
    <mergeCell ref="R2899:T2899"/>
    <mergeCell ref="R2900:T2900"/>
    <mergeCell ref="R2901:T2901"/>
    <mergeCell ref="R2892:T2892"/>
    <mergeCell ref="R2893:T2893"/>
    <mergeCell ref="R2894:T2894"/>
    <mergeCell ref="R2895:T2895"/>
    <mergeCell ref="R2896:T2896"/>
    <mergeCell ref="R2887:T2887"/>
    <mergeCell ref="R2888:T2888"/>
    <mergeCell ref="R2889:T2889"/>
    <mergeCell ref="R2890:T2890"/>
    <mergeCell ref="R2891:T2891"/>
    <mergeCell ref="R2882:T2882"/>
    <mergeCell ref="R2883:T2883"/>
    <mergeCell ref="R2884:T2884"/>
    <mergeCell ref="R2885:T2885"/>
    <mergeCell ref="R2886:T2886"/>
    <mergeCell ref="R2877:T2877"/>
    <mergeCell ref="R2878:T2878"/>
    <mergeCell ref="R2879:T2879"/>
    <mergeCell ref="R2880:T2880"/>
    <mergeCell ref="R2881:T2881"/>
    <mergeCell ref="R2872:T2872"/>
    <mergeCell ref="R2873:T2873"/>
    <mergeCell ref="R2874:T2874"/>
    <mergeCell ref="R2875:T2875"/>
    <mergeCell ref="R2876:T2876"/>
    <mergeCell ref="R2867:T2867"/>
    <mergeCell ref="R2868:T2868"/>
    <mergeCell ref="R2869:T2869"/>
    <mergeCell ref="R2870:T2870"/>
    <mergeCell ref="R2871:T2871"/>
    <mergeCell ref="R2862:T2862"/>
    <mergeCell ref="R2863:T2863"/>
    <mergeCell ref="R2864:T2864"/>
    <mergeCell ref="R2865:T2865"/>
    <mergeCell ref="R2866:T2866"/>
    <mergeCell ref="R2857:T2857"/>
    <mergeCell ref="R2858:T2858"/>
    <mergeCell ref="R2859:T2859"/>
    <mergeCell ref="R2860:T2860"/>
    <mergeCell ref="R2861:T2861"/>
    <mergeCell ref="R2852:T2852"/>
    <mergeCell ref="R2853:T2853"/>
    <mergeCell ref="R2854:T2854"/>
    <mergeCell ref="R2855:T2855"/>
    <mergeCell ref="R2856:T2856"/>
    <mergeCell ref="R2847:T2847"/>
    <mergeCell ref="R2848:T2848"/>
    <mergeCell ref="R2849:T2849"/>
    <mergeCell ref="R2850:T2850"/>
    <mergeCell ref="R2851:T2851"/>
    <mergeCell ref="R2842:T2842"/>
    <mergeCell ref="R2843:T2843"/>
    <mergeCell ref="R2844:T2844"/>
    <mergeCell ref="R2845:T2845"/>
    <mergeCell ref="R2846:T2846"/>
    <mergeCell ref="R2837:T2837"/>
    <mergeCell ref="R2838:T2838"/>
    <mergeCell ref="R2839:T2839"/>
    <mergeCell ref="R2840:T2840"/>
    <mergeCell ref="R2841:T2841"/>
    <mergeCell ref="R2832:T2832"/>
    <mergeCell ref="R2833:T2833"/>
    <mergeCell ref="R2834:T2834"/>
    <mergeCell ref="R2835:T2835"/>
    <mergeCell ref="R2836:T2836"/>
    <mergeCell ref="R2827:T2827"/>
    <mergeCell ref="R2828:T2828"/>
    <mergeCell ref="R2829:T2829"/>
    <mergeCell ref="R2830:T2830"/>
    <mergeCell ref="R2831:T2831"/>
    <mergeCell ref="R2822:T2822"/>
    <mergeCell ref="R2823:T2823"/>
    <mergeCell ref="R2824:T2824"/>
    <mergeCell ref="R2825:T2825"/>
    <mergeCell ref="R2826:T2826"/>
    <mergeCell ref="R2817:T2817"/>
    <mergeCell ref="R2818:T2818"/>
    <mergeCell ref="R2819:T2819"/>
    <mergeCell ref="R2820:T2820"/>
    <mergeCell ref="R2821:T2821"/>
    <mergeCell ref="R2812:T2812"/>
    <mergeCell ref="R2813:T2813"/>
    <mergeCell ref="R2814:T2814"/>
    <mergeCell ref="R2815:T2815"/>
    <mergeCell ref="R2816:T2816"/>
    <mergeCell ref="R2807:T2807"/>
    <mergeCell ref="R2808:T2808"/>
    <mergeCell ref="R2809:T2809"/>
    <mergeCell ref="R2810:T2810"/>
    <mergeCell ref="R2811:T2811"/>
    <mergeCell ref="R2802:T2802"/>
    <mergeCell ref="R2803:T2803"/>
    <mergeCell ref="R2804:T2804"/>
    <mergeCell ref="R2805:T2805"/>
    <mergeCell ref="R2806:T2806"/>
    <mergeCell ref="R2797:T2797"/>
    <mergeCell ref="R2798:T2798"/>
    <mergeCell ref="R2799:T2799"/>
    <mergeCell ref="R2800:T2800"/>
    <mergeCell ref="R2801:T2801"/>
    <mergeCell ref="R2792:T2792"/>
    <mergeCell ref="R2793:T2793"/>
    <mergeCell ref="R2794:T2794"/>
    <mergeCell ref="R2795:T2795"/>
    <mergeCell ref="R2796:T2796"/>
    <mergeCell ref="R2787:T2787"/>
    <mergeCell ref="R2788:T2788"/>
    <mergeCell ref="R2789:T2789"/>
    <mergeCell ref="R2790:T2790"/>
    <mergeCell ref="R2791:T2791"/>
    <mergeCell ref="R2782:T2782"/>
    <mergeCell ref="R2783:T2783"/>
    <mergeCell ref="R2784:T2784"/>
    <mergeCell ref="R2785:T2785"/>
    <mergeCell ref="R2786:T2786"/>
    <mergeCell ref="R2777:T2777"/>
    <mergeCell ref="R2778:T2778"/>
    <mergeCell ref="R2779:T2779"/>
    <mergeCell ref="R2780:T2780"/>
    <mergeCell ref="R2781:T2781"/>
    <mergeCell ref="R2772:T2772"/>
    <mergeCell ref="R2773:T2773"/>
    <mergeCell ref="R2774:T2774"/>
    <mergeCell ref="R2775:T2775"/>
    <mergeCell ref="R2776:T2776"/>
    <mergeCell ref="R2767:T2767"/>
    <mergeCell ref="R2768:T2768"/>
    <mergeCell ref="R2769:T2769"/>
    <mergeCell ref="R2770:T2770"/>
    <mergeCell ref="R2771:T2771"/>
    <mergeCell ref="R2762:T2762"/>
    <mergeCell ref="R2763:T2763"/>
    <mergeCell ref="R2764:T2764"/>
    <mergeCell ref="R2765:T2765"/>
    <mergeCell ref="R2766:T2766"/>
    <mergeCell ref="R2757:T2757"/>
    <mergeCell ref="R2758:T2758"/>
    <mergeCell ref="R2759:T2759"/>
    <mergeCell ref="R2760:T2760"/>
    <mergeCell ref="R2761:T2761"/>
    <mergeCell ref="R2752:T2752"/>
    <mergeCell ref="R2753:T2753"/>
    <mergeCell ref="R2754:T2754"/>
    <mergeCell ref="R2755:T2755"/>
    <mergeCell ref="R2756:T2756"/>
    <mergeCell ref="R2747:T2747"/>
    <mergeCell ref="R2748:T2748"/>
    <mergeCell ref="R2749:T2749"/>
    <mergeCell ref="R2750:T2750"/>
    <mergeCell ref="R2751:T2751"/>
    <mergeCell ref="R2742:T2742"/>
    <mergeCell ref="R2743:T2743"/>
    <mergeCell ref="R2744:T2744"/>
    <mergeCell ref="R2745:T2745"/>
    <mergeCell ref="R2746:T2746"/>
    <mergeCell ref="R2737:T2737"/>
    <mergeCell ref="R2738:T2738"/>
    <mergeCell ref="R2739:T2739"/>
    <mergeCell ref="R2740:T2740"/>
    <mergeCell ref="R2741:T2741"/>
    <mergeCell ref="R2732:T2732"/>
    <mergeCell ref="R2733:T2733"/>
    <mergeCell ref="R2734:T2734"/>
    <mergeCell ref="R2735:T2735"/>
    <mergeCell ref="R2736:T2736"/>
    <mergeCell ref="R2727:T2727"/>
    <mergeCell ref="R2728:T2728"/>
    <mergeCell ref="R2729:T2729"/>
    <mergeCell ref="R2730:T2730"/>
    <mergeCell ref="R2731:T2731"/>
    <mergeCell ref="R2722:T2722"/>
    <mergeCell ref="R2723:T2723"/>
    <mergeCell ref="R2724:T2724"/>
    <mergeCell ref="R2725:T2725"/>
    <mergeCell ref="R2726:T2726"/>
    <mergeCell ref="R2717:T2717"/>
    <mergeCell ref="R2718:T2718"/>
    <mergeCell ref="R2719:T2719"/>
    <mergeCell ref="R2720:T2720"/>
    <mergeCell ref="R2721:T2721"/>
    <mergeCell ref="R2712:T2712"/>
    <mergeCell ref="R2713:T2713"/>
    <mergeCell ref="R2714:T2714"/>
    <mergeCell ref="R2715:T2715"/>
    <mergeCell ref="R2716:T2716"/>
    <mergeCell ref="R2707:T2707"/>
    <mergeCell ref="R2708:T2708"/>
    <mergeCell ref="R2709:T2709"/>
    <mergeCell ref="R2710:T2710"/>
    <mergeCell ref="R2711:T2711"/>
    <mergeCell ref="R2702:T2702"/>
    <mergeCell ref="R2703:T2703"/>
    <mergeCell ref="R2704:T2704"/>
    <mergeCell ref="R2705:T2705"/>
    <mergeCell ref="R2706:T2706"/>
    <mergeCell ref="R2697:T2697"/>
    <mergeCell ref="R2698:T2698"/>
    <mergeCell ref="R2699:T2699"/>
    <mergeCell ref="R2700:T2700"/>
    <mergeCell ref="R2701:T2701"/>
    <mergeCell ref="R2692:T2692"/>
    <mergeCell ref="R2693:T2693"/>
    <mergeCell ref="R2694:T2694"/>
    <mergeCell ref="R2695:T2695"/>
    <mergeCell ref="R2696:T2696"/>
    <mergeCell ref="R2687:T2687"/>
    <mergeCell ref="R2688:T2688"/>
    <mergeCell ref="R2689:T2689"/>
    <mergeCell ref="R2690:T2690"/>
    <mergeCell ref="R2691:T2691"/>
    <mergeCell ref="R2682:T2682"/>
    <mergeCell ref="R2683:T2683"/>
    <mergeCell ref="R2684:T2684"/>
    <mergeCell ref="R2685:T2685"/>
    <mergeCell ref="R2686:T2686"/>
    <mergeCell ref="R2677:T2677"/>
    <mergeCell ref="R2678:T2678"/>
    <mergeCell ref="R2679:T2679"/>
    <mergeCell ref="R2680:T2680"/>
    <mergeCell ref="R2681:T2681"/>
    <mergeCell ref="R2672:T2672"/>
    <mergeCell ref="R2673:T2673"/>
    <mergeCell ref="R2674:T2674"/>
    <mergeCell ref="R2675:T2675"/>
    <mergeCell ref="R2676:T2676"/>
    <mergeCell ref="R2667:T2667"/>
    <mergeCell ref="R2668:T2668"/>
    <mergeCell ref="R2669:T2669"/>
    <mergeCell ref="R2670:T2670"/>
    <mergeCell ref="R2671:T2671"/>
    <mergeCell ref="R2662:T2662"/>
    <mergeCell ref="R2663:T2663"/>
    <mergeCell ref="R2664:T2664"/>
    <mergeCell ref="R2665:T2665"/>
    <mergeCell ref="R2666:T2666"/>
    <mergeCell ref="R2657:T2657"/>
    <mergeCell ref="R2658:T2658"/>
    <mergeCell ref="R2659:T2659"/>
    <mergeCell ref="R2660:T2660"/>
    <mergeCell ref="R2661:T2661"/>
    <mergeCell ref="R2652:T2652"/>
    <mergeCell ref="R2653:T2653"/>
    <mergeCell ref="R2654:T2654"/>
    <mergeCell ref="R2655:T2655"/>
    <mergeCell ref="R2656:T2656"/>
    <mergeCell ref="R2647:T2647"/>
    <mergeCell ref="R2648:T2648"/>
    <mergeCell ref="R2649:T2649"/>
    <mergeCell ref="R2650:T2650"/>
    <mergeCell ref="R2651:T2651"/>
    <mergeCell ref="R2642:T2642"/>
    <mergeCell ref="R2643:T2643"/>
    <mergeCell ref="R2644:T2644"/>
    <mergeCell ref="R2645:T2645"/>
    <mergeCell ref="R2646:T2646"/>
    <mergeCell ref="R2637:T2637"/>
    <mergeCell ref="R2638:T2638"/>
    <mergeCell ref="R2639:T2639"/>
    <mergeCell ref="R2640:T2640"/>
    <mergeCell ref="R2641:T2641"/>
    <mergeCell ref="R2632:T2632"/>
    <mergeCell ref="R2633:T2633"/>
    <mergeCell ref="R2634:T2634"/>
    <mergeCell ref="R2635:T2635"/>
    <mergeCell ref="R2636:T2636"/>
    <mergeCell ref="R2627:T2627"/>
    <mergeCell ref="R2628:T2628"/>
    <mergeCell ref="R2629:T2629"/>
    <mergeCell ref="R2630:T2630"/>
    <mergeCell ref="R2631:T2631"/>
    <mergeCell ref="R2622:T2622"/>
    <mergeCell ref="R2623:T2623"/>
    <mergeCell ref="R2624:T2624"/>
    <mergeCell ref="R2625:T2625"/>
    <mergeCell ref="R2626:T2626"/>
    <mergeCell ref="R2617:T2617"/>
    <mergeCell ref="R2618:T2618"/>
    <mergeCell ref="R2619:T2619"/>
    <mergeCell ref="R2620:T2620"/>
    <mergeCell ref="R2621:T2621"/>
    <mergeCell ref="R2612:T2612"/>
    <mergeCell ref="R2613:T2613"/>
    <mergeCell ref="R2614:T2614"/>
    <mergeCell ref="R2615:T2615"/>
    <mergeCell ref="R2616:T2616"/>
    <mergeCell ref="R2607:T2607"/>
    <mergeCell ref="R2608:T2608"/>
    <mergeCell ref="R2609:T2609"/>
    <mergeCell ref="R2610:T2610"/>
    <mergeCell ref="R2611:T2611"/>
    <mergeCell ref="R2602:T2602"/>
    <mergeCell ref="R2603:T2603"/>
    <mergeCell ref="R2604:T2604"/>
    <mergeCell ref="R2605:T2605"/>
    <mergeCell ref="R2606:T2606"/>
    <mergeCell ref="R2597:T2597"/>
    <mergeCell ref="R2598:T2598"/>
    <mergeCell ref="R2599:T2599"/>
    <mergeCell ref="R2600:T2600"/>
    <mergeCell ref="R2601:T2601"/>
    <mergeCell ref="R2592:T2592"/>
    <mergeCell ref="R2593:T2593"/>
    <mergeCell ref="R2594:T2594"/>
    <mergeCell ref="R2595:T2595"/>
    <mergeCell ref="R2596:T2596"/>
    <mergeCell ref="R2587:T2587"/>
    <mergeCell ref="R2588:T2588"/>
    <mergeCell ref="R2589:T2589"/>
    <mergeCell ref="R2590:T2590"/>
    <mergeCell ref="R2591:T2591"/>
    <mergeCell ref="R2582:T2582"/>
    <mergeCell ref="R2583:T2583"/>
    <mergeCell ref="R2584:T2584"/>
    <mergeCell ref="R2585:T2585"/>
    <mergeCell ref="R2586:T2586"/>
    <mergeCell ref="R2577:T2577"/>
    <mergeCell ref="R2578:T2578"/>
    <mergeCell ref="R2579:T2579"/>
    <mergeCell ref="R2580:T2580"/>
    <mergeCell ref="R2581:T2581"/>
    <mergeCell ref="R2572:T2572"/>
    <mergeCell ref="R2573:T2573"/>
    <mergeCell ref="R2574:T2574"/>
    <mergeCell ref="R2575:T2575"/>
    <mergeCell ref="R2576:T2576"/>
    <mergeCell ref="R2567:T2567"/>
    <mergeCell ref="R2568:T2568"/>
    <mergeCell ref="R2569:T2569"/>
    <mergeCell ref="R2570:T2570"/>
    <mergeCell ref="R2571:T2571"/>
    <mergeCell ref="R2562:T2562"/>
    <mergeCell ref="R2563:T2563"/>
    <mergeCell ref="R2564:T2564"/>
    <mergeCell ref="R2565:T2565"/>
    <mergeCell ref="R2566:T2566"/>
    <mergeCell ref="R2557:T2557"/>
    <mergeCell ref="R2558:T2558"/>
    <mergeCell ref="R2559:T2559"/>
    <mergeCell ref="R2560:T2560"/>
    <mergeCell ref="R2561:T2561"/>
    <mergeCell ref="R2552:T2552"/>
    <mergeCell ref="R2553:T2553"/>
    <mergeCell ref="R2554:T2554"/>
    <mergeCell ref="R2555:T2555"/>
    <mergeCell ref="R2556:T2556"/>
    <mergeCell ref="R2547:T2547"/>
    <mergeCell ref="R2548:T2548"/>
    <mergeCell ref="R2549:T2549"/>
    <mergeCell ref="R2550:T2550"/>
    <mergeCell ref="R2551:T2551"/>
    <mergeCell ref="R2542:T2542"/>
    <mergeCell ref="R2543:T2543"/>
    <mergeCell ref="R2544:T2544"/>
    <mergeCell ref="R2545:T2545"/>
    <mergeCell ref="R2546:T2546"/>
    <mergeCell ref="R2537:T2537"/>
    <mergeCell ref="R2538:T2538"/>
    <mergeCell ref="R2539:T2539"/>
    <mergeCell ref="R2540:T2540"/>
    <mergeCell ref="R2541:T2541"/>
    <mergeCell ref="R2532:T2532"/>
    <mergeCell ref="R2533:T2533"/>
    <mergeCell ref="R2534:T2534"/>
    <mergeCell ref="R2535:T2535"/>
    <mergeCell ref="R2536:T2536"/>
    <mergeCell ref="R2527:T2527"/>
    <mergeCell ref="R2528:T2528"/>
    <mergeCell ref="R2529:T2529"/>
    <mergeCell ref="R2530:T2530"/>
    <mergeCell ref="R2531:T2531"/>
    <mergeCell ref="R2522:T2522"/>
    <mergeCell ref="R2523:T2523"/>
    <mergeCell ref="R2524:T2524"/>
    <mergeCell ref="R2525:T2525"/>
    <mergeCell ref="R2526:T2526"/>
    <mergeCell ref="R2517:T2517"/>
    <mergeCell ref="R2518:T2518"/>
    <mergeCell ref="R2519:T2519"/>
    <mergeCell ref="R2520:T2520"/>
    <mergeCell ref="R2521:T2521"/>
    <mergeCell ref="R2512:T2512"/>
    <mergeCell ref="R2513:T2513"/>
    <mergeCell ref="R2514:T2514"/>
    <mergeCell ref="R2515:T2515"/>
    <mergeCell ref="R2516:T2516"/>
    <mergeCell ref="R2507:T2507"/>
    <mergeCell ref="R2508:T2508"/>
    <mergeCell ref="R2509:T2509"/>
    <mergeCell ref="R2510:T2510"/>
    <mergeCell ref="R2511:T2511"/>
    <mergeCell ref="R2502:T2502"/>
    <mergeCell ref="R2503:T2503"/>
    <mergeCell ref="R2504:T2504"/>
    <mergeCell ref="R2505:T2505"/>
    <mergeCell ref="R2506:T2506"/>
    <mergeCell ref="R2497:T2497"/>
    <mergeCell ref="R2498:T2498"/>
    <mergeCell ref="R2499:T2499"/>
    <mergeCell ref="R2500:T2500"/>
    <mergeCell ref="R2501:T2501"/>
    <mergeCell ref="R2492:T2492"/>
    <mergeCell ref="R2493:T2493"/>
    <mergeCell ref="R2494:T2494"/>
    <mergeCell ref="R2495:T2495"/>
    <mergeCell ref="R2496:T2496"/>
    <mergeCell ref="R2487:T2487"/>
    <mergeCell ref="R2488:T2488"/>
    <mergeCell ref="R2489:T2489"/>
    <mergeCell ref="R2490:T2490"/>
    <mergeCell ref="R2491:T2491"/>
    <mergeCell ref="R2482:T2482"/>
    <mergeCell ref="R2483:T2483"/>
    <mergeCell ref="R2484:T2484"/>
    <mergeCell ref="R2485:T2485"/>
    <mergeCell ref="R2486:T2486"/>
    <mergeCell ref="R2477:T2477"/>
    <mergeCell ref="R2478:T2478"/>
    <mergeCell ref="R2479:T2479"/>
    <mergeCell ref="R2480:T2480"/>
    <mergeCell ref="R2481:T2481"/>
    <mergeCell ref="R2472:T2472"/>
    <mergeCell ref="R2473:T2473"/>
    <mergeCell ref="R2474:T2474"/>
    <mergeCell ref="R2475:T2475"/>
    <mergeCell ref="R2476:T2476"/>
    <mergeCell ref="R2467:T2467"/>
    <mergeCell ref="R2468:T2468"/>
    <mergeCell ref="R2469:T2469"/>
    <mergeCell ref="R2470:T2470"/>
    <mergeCell ref="R2471:T2471"/>
    <mergeCell ref="R2462:T2462"/>
    <mergeCell ref="R2463:T2463"/>
    <mergeCell ref="R2464:T2464"/>
    <mergeCell ref="R2465:T2465"/>
    <mergeCell ref="R2466:T2466"/>
    <mergeCell ref="R2457:T2457"/>
    <mergeCell ref="R2458:T2458"/>
    <mergeCell ref="R2459:T2459"/>
    <mergeCell ref="R2460:T2460"/>
    <mergeCell ref="R2461:T2461"/>
    <mergeCell ref="R2452:T2452"/>
    <mergeCell ref="R2453:T2453"/>
    <mergeCell ref="R2454:T2454"/>
    <mergeCell ref="R2455:T2455"/>
    <mergeCell ref="R2456:T2456"/>
    <mergeCell ref="R2447:T2447"/>
    <mergeCell ref="R2448:T2448"/>
    <mergeCell ref="R2449:T2449"/>
    <mergeCell ref="R2450:T2450"/>
    <mergeCell ref="R2451:T2451"/>
    <mergeCell ref="R2442:T2442"/>
    <mergeCell ref="R2443:T2443"/>
    <mergeCell ref="R2444:T2444"/>
    <mergeCell ref="R2445:T2445"/>
    <mergeCell ref="R2446:T2446"/>
    <mergeCell ref="R2437:T2437"/>
    <mergeCell ref="R2438:T2438"/>
    <mergeCell ref="R2439:T2439"/>
    <mergeCell ref="R2440:T2440"/>
    <mergeCell ref="R2441:T2441"/>
    <mergeCell ref="R2432:T2432"/>
    <mergeCell ref="R2433:T2433"/>
    <mergeCell ref="R2434:T2434"/>
    <mergeCell ref="R2435:T2435"/>
    <mergeCell ref="R2436:T2436"/>
    <mergeCell ref="R2427:T2427"/>
    <mergeCell ref="R2428:T2428"/>
    <mergeCell ref="R2429:T2429"/>
    <mergeCell ref="R2430:T2430"/>
    <mergeCell ref="R2431:T2431"/>
    <mergeCell ref="R2422:T2422"/>
    <mergeCell ref="R2423:T2423"/>
    <mergeCell ref="R2424:T2424"/>
    <mergeCell ref="R2425:T2425"/>
    <mergeCell ref="R2426:T2426"/>
    <mergeCell ref="R2417:T2417"/>
    <mergeCell ref="R2418:T2418"/>
    <mergeCell ref="R2419:T2419"/>
    <mergeCell ref="R2420:T2420"/>
    <mergeCell ref="R2421:T2421"/>
    <mergeCell ref="R2412:T2412"/>
    <mergeCell ref="R2413:T2413"/>
    <mergeCell ref="R2414:T2414"/>
    <mergeCell ref="R2415:T2415"/>
    <mergeCell ref="R2416:T2416"/>
    <mergeCell ref="R2407:T2407"/>
    <mergeCell ref="R2408:T2408"/>
    <mergeCell ref="R2409:T2409"/>
    <mergeCell ref="R2410:T2410"/>
    <mergeCell ref="R2411:T2411"/>
    <mergeCell ref="R2402:T2402"/>
    <mergeCell ref="R2403:T2403"/>
    <mergeCell ref="R2404:T2404"/>
    <mergeCell ref="R2405:T2405"/>
    <mergeCell ref="R2406:T2406"/>
    <mergeCell ref="R2397:T2397"/>
    <mergeCell ref="R2398:T2398"/>
    <mergeCell ref="R2399:T2399"/>
    <mergeCell ref="R2400:T2400"/>
    <mergeCell ref="R2401:T2401"/>
    <mergeCell ref="R2392:T2392"/>
    <mergeCell ref="R2393:T2393"/>
    <mergeCell ref="R2394:T2394"/>
    <mergeCell ref="R2395:T2395"/>
    <mergeCell ref="R2396:T2396"/>
    <mergeCell ref="R2387:T2387"/>
    <mergeCell ref="R2388:T2388"/>
    <mergeCell ref="R2389:T2389"/>
    <mergeCell ref="R2390:T2390"/>
    <mergeCell ref="R2391:T2391"/>
    <mergeCell ref="R2382:T2382"/>
    <mergeCell ref="R2383:T2383"/>
    <mergeCell ref="R2384:T2384"/>
    <mergeCell ref="R2385:T2385"/>
    <mergeCell ref="R2386:T2386"/>
    <mergeCell ref="R2377:T2377"/>
    <mergeCell ref="R2378:T2378"/>
    <mergeCell ref="R2379:T2379"/>
    <mergeCell ref="R2380:T2380"/>
    <mergeCell ref="R2381:T2381"/>
    <mergeCell ref="R2372:T2372"/>
    <mergeCell ref="R2373:T2373"/>
    <mergeCell ref="R2374:T2374"/>
    <mergeCell ref="R2375:T2375"/>
    <mergeCell ref="R2376:T2376"/>
    <mergeCell ref="R2367:T2367"/>
    <mergeCell ref="R2368:T2368"/>
    <mergeCell ref="R2369:T2369"/>
    <mergeCell ref="R2370:T2370"/>
    <mergeCell ref="R2371:T2371"/>
    <mergeCell ref="R2362:T2362"/>
    <mergeCell ref="R2363:T2363"/>
    <mergeCell ref="R2364:T2364"/>
    <mergeCell ref="R2365:T2365"/>
    <mergeCell ref="R2366:T2366"/>
    <mergeCell ref="R2357:T2357"/>
    <mergeCell ref="R2358:T2358"/>
    <mergeCell ref="R2359:T2359"/>
    <mergeCell ref="R2360:T2360"/>
    <mergeCell ref="R2361:T2361"/>
    <mergeCell ref="R2352:T2352"/>
    <mergeCell ref="R2353:T2353"/>
    <mergeCell ref="R2354:T2354"/>
    <mergeCell ref="R2355:T2355"/>
    <mergeCell ref="R2356:T2356"/>
    <mergeCell ref="R2347:T2347"/>
    <mergeCell ref="R2348:T2348"/>
    <mergeCell ref="R2349:T2349"/>
    <mergeCell ref="R2350:T2350"/>
    <mergeCell ref="R2351:T2351"/>
    <mergeCell ref="R2342:T2342"/>
    <mergeCell ref="R2343:T2343"/>
    <mergeCell ref="R2344:T2344"/>
    <mergeCell ref="R2345:T2345"/>
    <mergeCell ref="R2346:T2346"/>
    <mergeCell ref="R2337:T2337"/>
    <mergeCell ref="R2338:T2338"/>
    <mergeCell ref="R2339:T2339"/>
    <mergeCell ref="R2340:T2340"/>
    <mergeCell ref="R2341:T2341"/>
    <mergeCell ref="R2332:T2332"/>
    <mergeCell ref="R2333:T2333"/>
    <mergeCell ref="R2334:T2334"/>
    <mergeCell ref="R2335:T2335"/>
    <mergeCell ref="R2336:T2336"/>
    <mergeCell ref="R2327:T2327"/>
    <mergeCell ref="R2328:T2328"/>
    <mergeCell ref="R2329:T2329"/>
    <mergeCell ref="R2330:T2330"/>
    <mergeCell ref="R2331:T2331"/>
    <mergeCell ref="R2322:T2322"/>
    <mergeCell ref="R2323:T2323"/>
    <mergeCell ref="R2324:T2324"/>
    <mergeCell ref="R2325:T2325"/>
    <mergeCell ref="R2326:T2326"/>
    <mergeCell ref="R2317:T2317"/>
    <mergeCell ref="R2318:T2318"/>
    <mergeCell ref="R2319:T2319"/>
    <mergeCell ref="R2320:T2320"/>
    <mergeCell ref="R2321:T2321"/>
    <mergeCell ref="R2312:T2312"/>
    <mergeCell ref="R2313:T2313"/>
    <mergeCell ref="R2314:T2314"/>
    <mergeCell ref="R2315:T2315"/>
    <mergeCell ref="R2316:T2316"/>
    <mergeCell ref="R2307:T2307"/>
    <mergeCell ref="R2308:T2308"/>
    <mergeCell ref="R2309:T2309"/>
    <mergeCell ref="R2310:T2310"/>
    <mergeCell ref="R2311:T2311"/>
    <mergeCell ref="R2302:T2302"/>
    <mergeCell ref="R2303:T2303"/>
    <mergeCell ref="R2304:T2304"/>
    <mergeCell ref="R2305:T2305"/>
    <mergeCell ref="R2306:T2306"/>
    <mergeCell ref="R2297:T2297"/>
    <mergeCell ref="R2298:T2298"/>
    <mergeCell ref="R2299:T2299"/>
    <mergeCell ref="R2300:T2300"/>
    <mergeCell ref="R2301:T2301"/>
    <mergeCell ref="R2292:T2292"/>
    <mergeCell ref="R2293:T2293"/>
    <mergeCell ref="R2294:T2294"/>
    <mergeCell ref="R2295:T2295"/>
    <mergeCell ref="R2296:T2296"/>
    <mergeCell ref="R2287:T2287"/>
    <mergeCell ref="R2288:T2288"/>
    <mergeCell ref="R2289:T2289"/>
    <mergeCell ref="R2290:T2290"/>
    <mergeCell ref="R2291:T2291"/>
    <mergeCell ref="R2282:T2282"/>
    <mergeCell ref="R2283:T2283"/>
    <mergeCell ref="R2284:T2284"/>
    <mergeCell ref="R2285:T2285"/>
    <mergeCell ref="R2286:T2286"/>
    <mergeCell ref="R2277:T2277"/>
    <mergeCell ref="R2278:T2278"/>
    <mergeCell ref="R2279:T2279"/>
    <mergeCell ref="R2280:T2280"/>
    <mergeCell ref="R2281:T2281"/>
    <mergeCell ref="R2272:T2272"/>
    <mergeCell ref="R2273:T2273"/>
    <mergeCell ref="R2274:T2274"/>
    <mergeCell ref="R2275:T2275"/>
    <mergeCell ref="R2276:T2276"/>
    <mergeCell ref="R2267:T2267"/>
    <mergeCell ref="R2268:T2268"/>
    <mergeCell ref="R2269:T2269"/>
    <mergeCell ref="R2270:T2270"/>
    <mergeCell ref="R2271:T2271"/>
    <mergeCell ref="R2262:T2262"/>
    <mergeCell ref="R2263:T2263"/>
    <mergeCell ref="R2264:T2264"/>
    <mergeCell ref="R2265:T2265"/>
    <mergeCell ref="R2266:T2266"/>
    <mergeCell ref="R2257:T2257"/>
    <mergeCell ref="R2258:T2258"/>
    <mergeCell ref="R2259:T2259"/>
    <mergeCell ref="R2260:T2260"/>
    <mergeCell ref="R2261:T2261"/>
    <mergeCell ref="R2252:T2252"/>
    <mergeCell ref="R2253:T2253"/>
    <mergeCell ref="R2254:T2254"/>
    <mergeCell ref="R2255:T2255"/>
    <mergeCell ref="R2256:T2256"/>
    <mergeCell ref="R2247:T2247"/>
    <mergeCell ref="R2248:T2248"/>
    <mergeCell ref="R2249:T2249"/>
    <mergeCell ref="R2250:T2250"/>
    <mergeCell ref="R2251:T2251"/>
    <mergeCell ref="R2242:T2242"/>
    <mergeCell ref="R2243:T2243"/>
    <mergeCell ref="R2244:T2244"/>
    <mergeCell ref="R2245:T2245"/>
    <mergeCell ref="R2246:T2246"/>
    <mergeCell ref="R2237:T2237"/>
    <mergeCell ref="R2238:T2238"/>
    <mergeCell ref="R2239:T2239"/>
    <mergeCell ref="R2240:T2240"/>
    <mergeCell ref="R2241:T2241"/>
    <mergeCell ref="R2232:T2232"/>
    <mergeCell ref="R2233:T2233"/>
    <mergeCell ref="R2234:T2234"/>
    <mergeCell ref="R2235:T2235"/>
    <mergeCell ref="R2236:T2236"/>
    <mergeCell ref="R2227:T2227"/>
    <mergeCell ref="R2228:T2228"/>
    <mergeCell ref="R2229:T2229"/>
    <mergeCell ref="R2230:T2230"/>
    <mergeCell ref="R2231:T2231"/>
    <mergeCell ref="R2222:T2222"/>
    <mergeCell ref="R2223:T2223"/>
    <mergeCell ref="R2224:T2224"/>
    <mergeCell ref="R2225:T2225"/>
    <mergeCell ref="R2226:T2226"/>
    <mergeCell ref="R2217:T2217"/>
    <mergeCell ref="R2218:T2218"/>
    <mergeCell ref="R2219:T2219"/>
    <mergeCell ref="R2220:T2220"/>
    <mergeCell ref="R2221:T2221"/>
    <mergeCell ref="R2212:T2212"/>
    <mergeCell ref="R2213:T2213"/>
    <mergeCell ref="R2214:T2214"/>
    <mergeCell ref="R2215:T2215"/>
    <mergeCell ref="R2216:T2216"/>
    <mergeCell ref="R2207:T2207"/>
    <mergeCell ref="R2208:T2208"/>
    <mergeCell ref="R2209:T2209"/>
    <mergeCell ref="R2210:T2210"/>
    <mergeCell ref="R2211:T2211"/>
    <mergeCell ref="R2202:T2202"/>
    <mergeCell ref="R2203:T2203"/>
    <mergeCell ref="R2204:T2204"/>
    <mergeCell ref="R2205:T2205"/>
    <mergeCell ref="R2206:T2206"/>
    <mergeCell ref="R2197:T2197"/>
    <mergeCell ref="R2198:T2198"/>
    <mergeCell ref="R2199:T2199"/>
    <mergeCell ref="R2200:T2200"/>
    <mergeCell ref="R2201:T2201"/>
    <mergeCell ref="R2192:T2192"/>
    <mergeCell ref="R2193:T2193"/>
    <mergeCell ref="R2194:T2194"/>
    <mergeCell ref="R2195:T2195"/>
    <mergeCell ref="R2196:T2196"/>
    <mergeCell ref="R2187:T2187"/>
    <mergeCell ref="R2188:T2188"/>
    <mergeCell ref="R2189:T2189"/>
    <mergeCell ref="R2190:T2190"/>
    <mergeCell ref="R2191:T2191"/>
    <mergeCell ref="R2182:T2182"/>
    <mergeCell ref="R2183:T2183"/>
    <mergeCell ref="R2184:T2184"/>
    <mergeCell ref="R2185:T2185"/>
    <mergeCell ref="R2186:T2186"/>
    <mergeCell ref="R2177:T2177"/>
    <mergeCell ref="R2178:T2178"/>
    <mergeCell ref="R2179:T2179"/>
    <mergeCell ref="R2180:T2180"/>
    <mergeCell ref="R2181:T2181"/>
    <mergeCell ref="R2172:T2172"/>
    <mergeCell ref="R2173:T2173"/>
    <mergeCell ref="R2174:T2174"/>
    <mergeCell ref="R2175:T2175"/>
    <mergeCell ref="R2176:T2176"/>
    <mergeCell ref="R2167:T2167"/>
    <mergeCell ref="R2168:T2168"/>
    <mergeCell ref="R2169:T2169"/>
    <mergeCell ref="R2170:T2170"/>
    <mergeCell ref="R2171:T2171"/>
    <mergeCell ref="R2162:T2162"/>
    <mergeCell ref="R2163:T2163"/>
    <mergeCell ref="R2164:T2164"/>
    <mergeCell ref="R2165:T2165"/>
    <mergeCell ref="R2166:T2166"/>
    <mergeCell ref="R2157:T2157"/>
    <mergeCell ref="R2158:T2158"/>
    <mergeCell ref="R2159:T2159"/>
    <mergeCell ref="R2160:T2160"/>
    <mergeCell ref="R2161:T2161"/>
    <mergeCell ref="R2152:T2152"/>
    <mergeCell ref="R2153:T2153"/>
    <mergeCell ref="R2154:T2154"/>
    <mergeCell ref="R2155:T2155"/>
    <mergeCell ref="R2156:T2156"/>
    <mergeCell ref="R2147:T2147"/>
    <mergeCell ref="R2148:T2148"/>
    <mergeCell ref="R2149:T2149"/>
    <mergeCell ref="R2150:T2150"/>
    <mergeCell ref="R2151:T2151"/>
    <mergeCell ref="R2142:T2142"/>
    <mergeCell ref="R2143:T2143"/>
    <mergeCell ref="R2144:T2144"/>
    <mergeCell ref="R2145:T2145"/>
    <mergeCell ref="R2146:T2146"/>
    <mergeCell ref="R2137:T2137"/>
    <mergeCell ref="R2138:T2138"/>
    <mergeCell ref="R2139:T2139"/>
    <mergeCell ref="R2140:T2140"/>
    <mergeCell ref="R2141:T2141"/>
    <mergeCell ref="R2132:T2132"/>
    <mergeCell ref="R2133:T2133"/>
    <mergeCell ref="R2134:T2134"/>
    <mergeCell ref="R2135:T2135"/>
    <mergeCell ref="R2136:T2136"/>
    <mergeCell ref="R2127:T2127"/>
    <mergeCell ref="R2128:T2128"/>
    <mergeCell ref="R2129:T2129"/>
    <mergeCell ref="R2130:T2130"/>
    <mergeCell ref="R2131:T2131"/>
    <mergeCell ref="R2122:T2122"/>
    <mergeCell ref="R2123:T2123"/>
    <mergeCell ref="R2124:T2124"/>
    <mergeCell ref="R2125:T2125"/>
    <mergeCell ref="R2126:T2126"/>
    <mergeCell ref="R2117:T2117"/>
    <mergeCell ref="R2118:T2118"/>
    <mergeCell ref="R2119:T2119"/>
    <mergeCell ref="R2120:T2120"/>
    <mergeCell ref="R2121:T2121"/>
    <mergeCell ref="R2112:T2112"/>
    <mergeCell ref="R2113:T2113"/>
    <mergeCell ref="R2114:T2114"/>
    <mergeCell ref="R2115:T2115"/>
    <mergeCell ref="R2116:T2116"/>
    <mergeCell ref="R2107:T2107"/>
    <mergeCell ref="R2108:T2108"/>
    <mergeCell ref="R2109:T2109"/>
    <mergeCell ref="R2110:T2110"/>
    <mergeCell ref="R2111:T2111"/>
    <mergeCell ref="R2102:T2102"/>
    <mergeCell ref="R2103:T2103"/>
    <mergeCell ref="R2104:T2104"/>
    <mergeCell ref="R2105:T2105"/>
    <mergeCell ref="R2106:T2106"/>
    <mergeCell ref="R2097:T2097"/>
    <mergeCell ref="R2098:T2098"/>
    <mergeCell ref="R2099:T2099"/>
    <mergeCell ref="R2100:T2100"/>
    <mergeCell ref="R2101:T2101"/>
    <mergeCell ref="R2092:T2092"/>
    <mergeCell ref="R2093:T2093"/>
    <mergeCell ref="R2094:T2094"/>
    <mergeCell ref="R2095:T2095"/>
    <mergeCell ref="R2096:T2096"/>
    <mergeCell ref="R2087:T2087"/>
    <mergeCell ref="R2088:T2088"/>
    <mergeCell ref="R2089:T2089"/>
    <mergeCell ref="R2090:T2090"/>
    <mergeCell ref="R2091:T2091"/>
    <mergeCell ref="R2082:T2082"/>
    <mergeCell ref="R2083:T2083"/>
    <mergeCell ref="R2084:T2084"/>
    <mergeCell ref="R2085:T2085"/>
    <mergeCell ref="R2086:T2086"/>
    <mergeCell ref="R2077:T2077"/>
    <mergeCell ref="R2078:T2078"/>
    <mergeCell ref="R2079:T2079"/>
    <mergeCell ref="R2080:T2080"/>
    <mergeCell ref="R2081:T2081"/>
    <mergeCell ref="R2072:T2072"/>
    <mergeCell ref="R2073:T2073"/>
    <mergeCell ref="R2074:T2074"/>
    <mergeCell ref="R2075:T2075"/>
    <mergeCell ref="R2076:T2076"/>
    <mergeCell ref="R2067:T2067"/>
    <mergeCell ref="R2068:T2068"/>
    <mergeCell ref="R2069:T2069"/>
    <mergeCell ref="R2070:T2070"/>
    <mergeCell ref="R2071:T2071"/>
    <mergeCell ref="R2062:T2062"/>
    <mergeCell ref="R2063:T2063"/>
    <mergeCell ref="R2064:T2064"/>
    <mergeCell ref="R2065:T2065"/>
    <mergeCell ref="R2066:T2066"/>
    <mergeCell ref="R2057:T2057"/>
    <mergeCell ref="R2058:T2058"/>
    <mergeCell ref="R2059:T2059"/>
    <mergeCell ref="R2060:T2060"/>
    <mergeCell ref="R2061:T2061"/>
    <mergeCell ref="R2052:T2052"/>
    <mergeCell ref="R2053:T2053"/>
    <mergeCell ref="R2054:T2054"/>
    <mergeCell ref="R2055:T2055"/>
    <mergeCell ref="R2056:T2056"/>
    <mergeCell ref="R2047:T2047"/>
    <mergeCell ref="R2048:T2048"/>
    <mergeCell ref="R2049:T2049"/>
    <mergeCell ref="R2050:T2050"/>
    <mergeCell ref="R2051:T2051"/>
    <mergeCell ref="R2042:T2042"/>
    <mergeCell ref="R2043:T2043"/>
    <mergeCell ref="R2044:T2044"/>
    <mergeCell ref="R2045:T2045"/>
    <mergeCell ref="R2046:T2046"/>
    <mergeCell ref="R2037:T2037"/>
    <mergeCell ref="R2038:T2038"/>
    <mergeCell ref="R2039:T2039"/>
    <mergeCell ref="R2040:T2040"/>
    <mergeCell ref="R2041:T2041"/>
    <mergeCell ref="R2032:T2032"/>
    <mergeCell ref="R2033:T2033"/>
    <mergeCell ref="R2034:T2034"/>
    <mergeCell ref="R2035:T2035"/>
    <mergeCell ref="R2036:T2036"/>
    <mergeCell ref="R2027:T2027"/>
    <mergeCell ref="R2028:T2028"/>
    <mergeCell ref="R2029:T2029"/>
    <mergeCell ref="R2030:T2030"/>
    <mergeCell ref="R2031:T2031"/>
    <mergeCell ref="R2022:T2022"/>
    <mergeCell ref="R2023:T2023"/>
    <mergeCell ref="R2024:T2024"/>
    <mergeCell ref="R2025:T2025"/>
    <mergeCell ref="R2026:T2026"/>
    <mergeCell ref="R2017:T2017"/>
    <mergeCell ref="R2018:T2018"/>
    <mergeCell ref="R2019:T2019"/>
    <mergeCell ref="R2020:T2020"/>
    <mergeCell ref="R2021:T2021"/>
    <mergeCell ref="R2012:T2012"/>
    <mergeCell ref="R2013:T2013"/>
    <mergeCell ref="R2014:T2014"/>
    <mergeCell ref="R2015:T2015"/>
    <mergeCell ref="R2016:T2016"/>
    <mergeCell ref="R2007:T2007"/>
    <mergeCell ref="R2008:T2008"/>
    <mergeCell ref="R2009:T2009"/>
    <mergeCell ref="R2010:T2010"/>
    <mergeCell ref="R2011:T2011"/>
    <mergeCell ref="R2002:T2002"/>
    <mergeCell ref="R2003:T2003"/>
    <mergeCell ref="R2004:T2004"/>
    <mergeCell ref="R2005:T2005"/>
    <mergeCell ref="R2006:T2006"/>
    <mergeCell ref="R1997:T1997"/>
    <mergeCell ref="R1998:T1998"/>
    <mergeCell ref="R1999:T1999"/>
    <mergeCell ref="R2000:T2000"/>
    <mergeCell ref="R2001:T2001"/>
    <mergeCell ref="R1992:T1992"/>
    <mergeCell ref="R1993:T1993"/>
    <mergeCell ref="R1994:T1994"/>
    <mergeCell ref="R1995:T1995"/>
    <mergeCell ref="R1996:T1996"/>
    <mergeCell ref="R1987:T1987"/>
    <mergeCell ref="R1988:T1988"/>
    <mergeCell ref="R1989:T1989"/>
    <mergeCell ref="R1990:T1990"/>
    <mergeCell ref="R1991:T1991"/>
    <mergeCell ref="R1982:T1982"/>
    <mergeCell ref="R1983:T1983"/>
    <mergeCell ref="R1984:T1984"/>
    <mergeCell ref="R1985:T1985"/>
    <mergeCell ref="R1986:T1986"/>
    <mergeCell ref="R1977:T1977"/>
    <mergeCell ref="R1978:T1978"/>
    <mergeCell ref="R1979:T1979"/>
    <mergeCell ref="R1980:T1980"/>
    <mergeCell ref="R1981:T1981"/>
    <mergeCell ref="R1972:T1972"/>
    <mergeCell ref="R1973:T1973"/>
    <mergeCell ref="R1974:T1974"/>
    <mergeCell ref="R1975:T1975"/>
    <mergeCell ref="R1976:T1976"/>
    <mergeCell ref="R1967:T1967"/>
    <mergeCell ref="R1968:T1968"/>
    <mergeCell ref="R1969:T1969"/>
    <mergeCell ref="R1970:T1970"/>
    <mergeCell ref="R1971:T1971"/>
    <mergeCell ref="R1962:T1962"/>
    <mergeCell ref="R1963:T1963"/>
    <mergeCell ref="R1964:T1964"/>
    <mergeCell ref="R1965:T1965"/>
    <mergeCell ref="R1966:T1966"/>
    <mergeCell ref="R1957:T1957"/>
    <mergeCell ref="R1958:T1958"/>
    <mergeCell ref="R1959:T1959"/>
    <mergeCell ref="R1960:T1960"/>
    <mergeCell ref="R1961:T1961"/>
    <mergeCell ref="R1952:T1952"/>
    <mergeCell ref="R1953:T1953"/>
    <mergeCell ref="R1954:T1954"/>
    <mergeCell ref="R1955:T1955"/>
    <mergeCell ref="R1956:T1956"/>
    <mergeCell ref="R1947:T1947"/>
    <mergeCell ref="R1948:T1948"/>
    <mergeCell ref="R1949:T1949"/>
    <mergeCell ref="R1950:T1950"/>
    <mergeCell ref="R1951:T1951"/>
    <mergeCell ref="R1942:T1942"/>
    <mergeCell ref="R1943:T1943"/>
    <mergeCell ref="R1944:T1944"/>
    <mergeCell ref="R1945:T1945"/>
    <mergeCell ref="R1946:T1946"/>
    <mergeCell ref="R1937:T1937"/>
    <mergeCell ref="R1938:T1938"/>
    <mergeCell ref="R1939:T1939"/>
    <mergeCell ref="R1940:T1940"/>
    <mergeCell ref="R1941:T1941"/>
    <mergeCell ref="R1932:T1932"/>
    <mergeCell ref="R1933:T1933"/>
    <mergeCell ref="R1934:T1934"/>
    <mergeCell ref="R1935:T1935"/>
    <mergeCell ref="R1936:T1936"/>
    <mergeCell ref="R1927:T1927"/>
    <mergeCell ref="R1928:T1928"/>
    <mergeCell ref="R1929:T1929"/>
    <mergeCell ref="R1930:T1930"/>
    <mergeCell ref="R1931:T1931"/>
    <mergeCell ref="R1922:T1922"/>
    <mergeCell ref="R1923:T1923"/>
    <mergeCell ref="R1924:T1924"/>
    <mergeCell ref="R1925:T1925"/>
    <mergeCell ref="R1926:T1926"/>
    <mergeCell ref="R1917:T1917"/>
    <mergeCell ref="R1918:T1918"/>
    <mergeCell ref="R1919:T1919"/>
    <mergeCell ref="R1920:T1920"/>
    <mergeCell ref="R1921:T1921"/>
    <mergeCell ref="R1912:T1912"/>
    <mergeCell ref="R1913:T1913"/>
    <mergeCell ref="R1914:T1914"/>
    <mergeCell ref="R1915:T1915"/>
    <mergeCell ref="R1916:T1916"/>
    <mergeCell ref="R1907:T1907"/>
    <mergeCell ref="R1908:T1908"/>
    <mergeCell ref="R1909:T1909"/>
    <mergeCell ref="R1910:T1910"/>
    <mergeCell ref="R1911:T1911"/>
    <mergeCell ref="R1902:T1902"/>
    <mergeCell ref="R1903:T1903"/>
    <mergeCell ref="R1904:T1904"/>
    <mergeCell ref="R1905:T1905"/>
    <mergeCell ref="R1906:T1906"/>
    <mergeCell ref="R1897:T1897"/>
    <mergeCell ref="R1898:T1898"/>
    <mergeCell ref="R1899:T1899"/>
    <mergeCell ref="R1900:T1900"/>
    <mergeCell ref="R1901:T1901"/>
    <mergeCell ref="R1892:T1892"/>
    <mergeCell ref="R1893:T1893"/>
    <mergeCell ref="R1894:T1894"/>
    <mergeCell ref="R1895:T1895"/>
    <mergeCell ref="R1896:T1896"/>
    <mergeCell ref="R1887:T1887"/>
    <mergeCell ref="R1888:T1888"/>
    <mergeCell ref="R1889:T1889"/>
    <mergeCell ref="R1890:T1890"/>
    <mergeCell ref="R1891:T1891"/>
    <mergeCell ref="R1882:T1882"/>
    <mergeCell ref="R1883:T1883"/>
    <mergeCell ref="R1884:T1884"/>
    <mergeCell ref="R1885:T1885"/>
    <mergeCell ref="R1886:T1886"/>
    <mergeCell ref="R1877:T1877"/>
    <mergeCell ref="R1878:T1878"/>
    <mergeCell ref="R1879:T1879"/>
    <mergeCell ref="R1880:T1880"/>
    <mergeCell ref="R1881:T1881"/>
    <mergeCell ref="R1872:T1872"/>
    <mergeCell ref="R1873:T1873"/>
    <mergeCell ref="R1874:T1874"/>
    <mergeCell ref="R1875:T1875"/>
    <mergeCell ref="R1876:T1876"/>
    <mergeCell ref="R1867:T1867"/>
    <mergeCell ref="R1868:T1868"/>
    <mergeCell ref="R1869:T1869"/>
    <mergeCell ref="R1870:T1870"/>
    <mergeCell ref="R1871:T1871"/>
    <mergeCell ref="R1862:T1862"/>
    <mergeCell ref="R1863:T1863"/>
    <mergeCell ref="R1864:T1864"/>
    <mergeCell ref="R1865:T1865"/>
    <mergeCell ref="R1866:T1866"/>
    <mergeCell ref="R1857:T1857"/>
    <mergeCell ref="R1858:T1858"/>
    <mergeCell ref="R1859:T1859"/>
    <mergeCell ref="R1860:T1860"/>
    <mergeCell ref="R1861:T1861"/>
    <mergeCell ref="R1852:T1852"/>
    <mergeCell ref="R1853:T1853"/>
    <mergeCell ref="R1854:T1854"/>
    <mergeCell ref="R1855:T1855"/>
    <mergeCell ref="R1856:T1856"/>
    <mergeCell ref="R1847:T1847"/>
    <mergeCell ref="R1848:T1848"/>
    <mergeCell ref="R1849:T1849"/>
    <mergeCell ref="R1850:T1850"/>
    <mergeCell ref="R1851:T1851"/>
    <mergeCell ref="R1842:T1842"/>
    <mergeCell ref="R1843:T1843"/>
    <mergeCell ref="R1844:T1844"/>
    <mergeCell ref="R1845:T1845"/>
    <mergeCell ref="R1846:T1846"/>
    <mergeCell ref="R1837:T1837"/>
    <mergeCell ref="R1838:T1838"/>
    <mergeCell ref="R1839:T1839"/>
    <mergeCell ref="R1840:T1840"/>
    <mergeCell ref="R1841:T1841"/>
    <mergeCell ref="R1832:T1832"/>
    <mergeCell ref="R1833:T1833"/>
    <mergeCell ref="R1834:T1834"/>
    <mergeCell ref="R1835:T1835"/>
    <mergeCell ref="R1836:T1836"/>
    <mergeCell ref="R1827:T1827"/>
    <mergeCell ref="R1828:T1828"/>
    <mergeCell ref="R1829:T1829"/>
    <mergeCell ref="R1830:T1830"/>
    <mergeCell ref="R1831:T1831"/>
    <mergeCell ref="R1822:T1822"/>
    <mergeCell ref="R1823:T1823"/>
    <mergeCell ref="R1824:T1824"/>
    <mergeCell ref="R1825:T1825"/>
    <mergeCell ref="R1826:T1826"/>
    <mergeCell ref="R1817:T1817"/>
    <mergeCell ref="R1818:T1818"/>
    <mergeCell ref="R1819:T1819"/>
    <mergeCell ref="R1820:T1820"/>
    <mergeCell ref="R1821:T1821"/>
    <mergeCell ref="R1812:T1812"/>
    <mergeCell ref="R1813:T1813"/>
    <mergeCell ref="R1814:T1814"/>
    <mergeCell ref="R1815:T1815"/>
    <mergeCell ref="R1816:T1816"/>
    <mergeCell ref="R1807:T1807"/>
    <mergeCell ref="R1808:T1808"/>
    <mergeCell ref="R1809:T1809"/>
    <mergeCell ref="R1810:T1810"/>
    <mergeCell ref="R1811:T1811"/>
    <mergeCell ref="R1802:T1802"/>
    <mergeCell ref="R1803:T1803"/>
    <mergeCell ref="R1804:T1804"/>
    <mergeCell ref="R1805:T1805"/>
    <mergeCell ref="R1806:T1806"/>
    <mergeCell ref="R1797:T1797"/>
    <mergeCell ref="R1798:T1798"/>
    <mergeCell ref="R1799:T1799"/>
    <mergeCell ref="R1800:T1800"/>
    <mergeCell ref="R1801:T1801"/>
    <mergeCell ref="R1792:T1792"/>
    <mergeCell ref="R1793:T1793"/>
    <mergeCell ref="R1794:T1794"/>
    <mergeCell ref="R1795:T1795"/>
    <mergeCell ref="R1796:T1796"/>
    <mergeCell ref="R1787:T1787"/>
    <mergeCell ref="R1788:T1788"/>
    <mergeCell ref="R1789:T1789"/>
    <mergeCell ref="R1790:T1790"/>
    <mergeCell ref="R1791:T1791"/>
    <mergeCell ref="R1782:T1782"/>
    <mergeCell ref="R1783:T1783"/>
    <mergeCell ref="R1784:T1784"/>
    <mergeCell ref="R1785:T1785"/>
    <mergeCell ref="R1786:T1786"/>
    <mergeCell ref="R1777:T1777"/>
    <mergeCell ref="R1778:T1778"/>
    <mergeCell ref="R1779:T1779"/>
    <mergeCell ref="R1780:T1780"/>
    <mergeCell ref="R1781:T1781"/>
    <mergeCell ref="R1772:T1772"/>
    <mergeCell ref="R1773:T1773"/>
    <mergeCell ref="R1774:T1774"/>
    <mergeCell ref="R1775:T1775"/>
    <mergeCell ref="R1776:T1776"/>
    <mergeCell ref="R1767:T1767"/>
    <mergeCell ref="R1768:T1768"/>
    <mergeCell ref="R1769:T1769"/>
    <mergeCell ref="R1770:T1770"/>
    <mergeCell ref="R1771:T1771"/>
    <mergeCell ref="R1762:T1762"/>
    <mergeCell ref="R1763:T1763"/>
    <mergeCell ref="R1764:T1764"/>
    <mergeCell ref="R1765:T1765"/>
    <mergeCell ref="R1766:T1766"/>
    <mergeCell ref="R1757:T1757"/>
    <mergeCell ref="R1758:T1758"/>
    <mergeCell ref="R1759:T1759"/>
    <mergeCell ref="R1760:T1760"/>
    <mergeCell ref="R1761:T1761"/>
    <mergeCell ref="R1752:T1752"/>
    <mergeCell ref="R1753:T1753"/>
    <mergeCell ref="R1754:T1754"/>
    <mergeCell ref="R1755:T1755"/>
    <mergeCell ref="R1756:T1756"/>
    <mergeCell ref="R1747:T1747"/>
    <mergeCell ref="R1748:T1748"/>
    <mergeCell ref="R1749:T1749"/>
    <mergeCell ref="R1750:T1750"/>
    <mergeCell ref="R1751:T1751"/>
    <mergeCell ref="R1742:T1742"/>
    <mergeCell ref="R1743:T1743"/>
    <mergeCell ref="R1744:T1744"/>
    <mergeCell ref="R1745:T1745"/>
    <mergeCell ref="R1746:T1746"/>
    <mergeCell ref="R1737:T1737"/>
    <mergeCell ref="R1738:T1738"/>
    <mergeCell ref="R1739:T1739"/>
    <mergeCell ref="R1740:T1740"/>
    <mergeCell ref="R1741:T1741"/>
    <mergeCell ref="R1732:T1732"/>
    <mergeCell ref="R1733:T1733"/>
    <mergeCell ref="R1734:T1734"/>
    <mergeCell ref="R1735:T1735"/>
    <mergeCell ref="R1736:T1736"/>
    <mergeCell ref="R1727:T1727"/>
    <mergeCell ref="R1728:T1728"/>
    <mergeCell ref="R1729:T1729"/>
    <mergeCell ref="R1730:T1730"/>
    <mergeCell ref="R1731:T1731"/>
    <mergeCell ref="R1722:T1722"/>
    <mergeCell ref="R1723:T1723"/>
    <mergeCell ref="R1724:T1724"/>
    <mergeCell ref="R1725:T1725"/>
    <mergeCell ref="R1726:T1726"/>
    <mergeCell ref="R1717:T1717"/>
    <mergeCell ref="R1718:T1718"/>
    <mergeCell ref="R1719:T1719"/>
    <mergeCell ref="R1720:T1720"/>
    <mergeCell ref="R1721:T1721"/>
    <mergeCell ref="R1712:T1712"/>
    <mergeCell ref="R1713:T1713"/>
    <mergeCell ref="R1714:T1714"/>
    <mergeCell ref="R1715:T1715"/>
    <mergeCell ref="R1716:T1716"/>
    <mergeCell ref="R1707:T1707"/>
    <mergeCell ref="R1708:T1708"/>
    <mergeCell ref="R1709:T1709"/>
    <mergeCell ref="R1710:T1710"/>
    <mergeCell ref="R1711:T1711"/>
    <mergeCell ref="R1702:T1702"/>
    <mergeCell ref="R1703:T1703"/>
    <mergeCell ref="R1704:T1704"/>
    <mergeCell ref="R1705:T1705"/>
    <mergeCell ref="R1706:T1706"/>
    <mergeCell ref="R1697:T1697"/>
    <mergeCell ref="R1698:T1698"/>
    <mergeCell ref="R1699:T1699"/>
    <mergeCell ref="R1700:T1700"/>
    <mergeCell ref="R1701:T1701"/>
    <mergeCell ref="R1692:T1692"/>
    <mergeCell ref="R1693:T1693"/>
    <mergeCell ref="R1694:T1694"/>
    <mergeCell ref="R1695:T1695"/>
    <mergeCell ref="R1696:T1696"/>
    <mergeCell ref="R1687:T1687"/>
    <mergeCell ref="R1688:T1688"/>
    <mergeCell ref="R1689:T1689"/>
    <mergeCell ref="R1690:T1690"/>
    <mergeCell ref="R1691:T1691"/>
    <mergeCell ref="R1682:T1682"/>
    <mergeCell ref="R1683:T1683"/>
    <mergeCell ref="R1684:T1684"/>
    <mergeCell ref="R1685:T1685"/>
    <mergeCell ref="R1686:T1686"/>
    <mergeCell ref="R1677:T1677"/>
    <mergeCell ref="R1678:T1678"/>
    <mergeCell ref="R1679:T1679"/>
    <mergeCell ref="R1680:T1680"/>
    <mergeCell ref="R1681:T1681"/>
    <mergeCell ref="R1672:T1672"/>
    <mergeCell ref="R1673:T1673"/>
    <mergeCell ref="R1674:T1674"/>
    <mergeCell ref="R1675:T1675"/>
    <mergeCell ref="R1676:T1676"/>
    <mergeCell ref="R1667:T1667"/>
    <mergeCell ref="R1668:T1668"/>
    <mergeCell ref="R1669:T1669"/>
    <mergeCell ref="R1670:T1670"/>
    <mergeCell ref="R1671:T1671"/>
    <mergeCell ref="R1662:T1662"/>
    <mergeCell ref="R1663:T1663"/>
    <mergeCell ref="R1664:T1664"/>
    <mergeCell ref="R1665:T1665"/>
    <mergeCell ref="R1666:T1666"/>
    <mergeCell ref="R1657:T1657"/>
    <mergeCell ref="R1658:T1658"/>
    <mergeCell ref="R1659:T1659"/>
    <mergeCell ref="R1660:T1660"/>
    <mergeCell ref="R1661:T1661"/>
    <mergeCell ref="R1652:T1652"/>
    <mergeCell ref="R1653:T1653"/>
    <mergeCell ref="R1654:T1654"/>
    <mergeCell ref="R1655:T1655"/>
    <mergeCell ref="R1656:T1656"/>
    <mergeCell ref="R1647:T1647"/>
    <mergeCell ref="R1648:T1648"/>
    <mergeCell ref="R1649:T1649"/>
    <mergeCell ref="R1650:T1650"/>
    <mergeCell ref="R1651:T1651"/>
    <mergeCell ref="R1642:T1642"/>
    <mergeCell ref="R1643:T1643"/>
    <mergeCell ref="R1644:T1644"/>
    <mergeCell ref="R1645:T1645"/>
    <mergeCell ref="R1646:T1646"/>
    <mergeCell ref="R1637:T1637"/>
    <mergeCell ref="R1638:T1638"/>
    <mergeCell ref="R1639:T1639"/>
    <mergeCell ref="R1640:T1640"/>
    <mergeCell ref="R1641:T1641"/>
    <mergeCell ref="R1632:T1632"/>
    <mergeCell ref="R1633:T1633"/>
    <mergeCell ref="R1634:T1634"/>
    <mergeCell ref="R1635:T1635"/>
    <mergeCell ref="R1636:T1636"/>
    <mergeCell ref="R1627:T1627"/>
    <mergeCell ref="R1628:T1628"/>
    <mergeCell ref="R1629:T1629"/>
    <mergeCell ref="R1630:T1630"/>
    <mergeCell ref="R1631:T1631"/>
    <mergeCell ref="R1622:T1622"/>
    <mergeCell ref="R1623:T1623"/>
    <mergeCell ref="R1624:T1624"/>
    <mergeCell ref="R1625:T1625"/>
    <mergeCell ref="R1626:T1626"/>
    <mergeCell ref="R1617:T1617"/>
    <mergeCell ref="R1618:T1618"/>
    <mergeCell ref="R1619:T1619"/>
    <mergeCell ref="R1620:T1620"/>
    <mergeCell ref="R1621:T1621"/>
    <mergeCell ref="R1612:T1612"/>
    <mergeCell ref="R1613:T1613"/>
    <mergeCell ref="R1614:T1614"/>
    <mergeCell ref="R1615:T1615"/>
    <mergeCell ref="R1616:T1616"/>
    <mergeCell ref="R1607:T1607"/>
    <mergeCell ref="R1608:T1608"/>
    <mergeCell ref="R1609:T1609"/>
    <mergeCell ref="R1610:T1610"/>
    <mergeCell ref="R1611:T1611"/>
    <mergeCell ref="R1602:T1602"/>
    <mergeCell ref="R1603:T1603"/>
    <mergeCell ref="R1604:T1604"/>
    <mergeCell ref="R1605:T1605"/>
    <mergeCell ref="R1606:T1606"/>
    <mergeCell ref="R1597:T1597"/>
    <mergeCell ref="R1598:T1598"/>
    <mergeCell ref="R1599:T1599"/>
    <mergeCell ref="R1600:T1600"/>
    <mergeCell ref="R1601:T1601"/>
    <mergeCell ref="R1592:T1592"/>
    <mergeCell ref="R1593:T1593"/>
    <mergeCell ref="R1594:T1594"/>
    <mergeCell ref="R1595:T1595"/>
    <mergeCell ref="R1596:T1596"/>
    <mergeCell ref="R1587:T1587"/>
    <mergeCell ref="R1588:T1588"/>
    <mergeCell ref="R1589:T1589"/>
    <mergeCell ref="R1590:T1590"/>
    <mergeCell ref="R1591:T1591"/>
    <mergeCell ref="R1582:T1582"/>
    <mergeCell ref="R1583:T1583"/>
    <mergeCell ref="R1584:T1584"/>
    <mergeCell ref="R1585:T1585"/>
    <mergeCell ref="R1586:T1586"/>
    <mergeCell ref="R1577:T1577"/>
    <mergeCell ref="R1578:T1578"/>
    <mergeCell ref="R1579:T1579"/>
    <mergeCell ref="R1580:T1580"/>
    <mergeCell ref="R1581:T1581"/>
    <mergeCell ref="R1572:T1572"/>
    <mergeCell ref="R1573:T1573"/>
    <mergeCell ref="R1574:T1574"/>
    <mergeCell ref="R1575:T1575"/>
    <mergeCell ref="R1576:T1576"/>
    <mergeCell ref="R1567:T1567"/>
    <mergeCell ref="R1568:T1568"/>
    <mergeCell ref="R1569:T1569"/>
    <mergeCell ref="R1570:T1570"/>
    <mergeCell ref="R1571:T1571"/>
    <mergeCell ref="R1562:T1562"/>
    <mergeCell ref="R1563:T1563"/>
    <mergeCell ref="R1564:T1564"/>
    <mergeCell ref="R1565:T1565"/>
    <mergeCell ref="R1566:T1566"/>
    <mergeCell ref="R1557:T1557"/>
    <mergeCell ref="R1558:T1558"/>
    <mergeCell ref="R1559:T1559"/>
    <mergeCell ref="R1560:T1560"/>
    <mergeCell ref="R1561:T1561"/>
    <mergeCell ref="R1552:T1552"/>
    <mergeCell ref="R1553:T1553"/>
    <mergeCell ref="R1554:T1554"/>
    <mergeCell ref="R1555:T1555"/>
    <mergeCell ref="R1556:T1556"/>
    <mergeCell ref="R1547:T1547"/>
    <mergeCell ref="R1548:T1548"/>
    <mergeCell ref="R1549:T1549"/>
    <mergeCell ref="R1550:T1550"/>
    <mergeCell ref="R1551:T1551"/>
    <mergeCell ref="R1542:T1542"/>
    <mergeCell ref="R1543:T1543"/>
    <mergeCell ref="R1544:T1544"/>
    <mergeCell ref="R1545:T1545"/>
    <mergeCell ref="R1546:T1546"/>
    <mergeCell ref="R1537:T1537"/>
    <mergeCell ref="R1538:T1538"/>
    <mergeCell ref="R1539:T1539"/>
    <mergeCell ref="R1540:T1540"/>
    <mergeCell ref="R1541:T1541"/>
    <mergeCell ref="R1532:T1532"/>
    <mergeCell ref="R1533:T1533"/>
    <mergeCell ref="R1534:T1534"/>
    <mergeCell ref="R1535:T1535"/>
    <mergeCell ref="R1536:T1536"/>
    <mergeCell ref="R1527:T1527"/>
    <mergeCell ref="R1528:T1528"/>
    <mergeCell ref="R1529:T1529"/>
    <mergeCell ref="R1530:T1530"/>
    <mergeCell ref="R1531:T1531"/>
    <mergeCell ref="R1522:T1522"/>
    <mergeCell ref="R1523:T1523"/>
    <mergeCell ref="R1524:T1524"/>
    <mergeCell ref="R1525:T1525"/>
    <mergeCell ref="R1526:T1526"/>
    <mergeCell ref="R1517:T1517"/>
    <mergeCell ref="R1518:T1518"/>
    <mergeCell ref="R1519:T1519"/>
    <mergeCell ref="R1520:T1520"/>
    <mergeCell ref="R1521:T1521"/>
    <mergeCell ref="R1512:T1512"/>
    <mergeCell ref="R1513:T1513"/>
    <mergeCell ref="R1514:T1514"/>
    <mergeCell ref="R1515:T1515"/>
    <mergeCell ref="R1516:T1516"/>
    <mergeCell ref="R1507:T1507"/>
    <mergeCell ref="R1508:T1508"/>
    <mergeCell ref="R1509:T1509"/>
    <mergeCell ref="R1510:T1510"/>
    <mergeCell ref="R1511:T1511"/>
    <mergeCell ref="R1502:T1502"/>
    <mergeCell ref="R1503:T1503"/>
    <mergeCell ref="R1504:T1504"/>
    <mergeCell ref="R1505:T1505"/>
    <mergeCell ref="R1506:T1506"/>
    <mergeCell ref="R1497:T1497"/>
    <mergeCell ref="R1498:T1498"/>
    <mergeCell ref="R1499:T1499"/>
    <mergeCell ref="R1500:T1500"/>
    <mergeCell ref="R1501:T1501"/>
    <mergeCell ref="R1492:T1492"/>
    <mergeCell ref="R1493:T1493"/>
    <mergeCell ref="R1494:T1494"/>
    <mergeCell ref="R1495:T1495"/>
    <mergeCell ref="R1496:T1496"/>
    <mergeCell ref="R1487:T1487"/>
    <mergeCell ref="R1488:T1488"/>
    <mergeCell ref="R1489:T1489"/>
    <mergeCell ref="R1490:T1490"/>
    <mergeCell ref="R1491:T1491"/>
    <mergeCell ref="R1482:T1482"/>
    <mergeCell ref="R1483:T1483"/>
    <mergeCell ref="R1484:T1484"/>
    <mergeCell ref="R1485:T1485"/>
    <mergeCell ref="R1486:T1486"/>
    <mergeCell ref="R1477:T1477"/>
    <mergeCell ref="R1478:T1478"/>
    <mergeCell ref="R1479:T1479"/>
    <mergeCell ref="R1480:T1480"/>
    <mergeCell ref="R1481:T1481"/>
    <mergeCell ref="R1472:T1472"/>
    <mergeCell ref="R1473:T1473"/>
    <mergeCell ref="R1474:T1474"/>
    <mergeCell ref="R1475:T1475"/>
    <mergeCell ref="R1476:T1476"/>
    <mergeCell ref="R1467:T1467"/>
    <mergeCell ref="R1468:T1468"/>
    <mergeCell ref="R1469:T1469"/>
    <mergeCell ref="R1470:T1470"/>
    <mergeCell ref="R1471:T1471"/>
    <mergeCell ref="R1462:T1462"/>
    <mergeCell ref="R1463:T1463"/>
    <mergeCell ref="R1464:T1464"/>
    <mergeCell ref="R1465:T1465"/>
    <mergeCell ref="R1466:T1466"/>
    <mergeCell ref="R1457:T1457"/>
    <mergeCell ref="R1458:T1458"/>
    <mergeCell ref="R1459:T1459"/>
    <mergeCell ref="R1460:T1460"/>
    <mergeCell ref="R1461:T1461"/>
    <mergeCell ref="R1452:T1452"/>
    <mergeCell ref="R1453:T1453"/>
    <mergeCell ref="R1454:T1454"/>
    <mergeCell ref="R1455:T1455"/>
    <mergeCell ref="R1456:T1456"/>
    <mergeCell ref="R1447:T1447"/>
    <mergeCell ref="R1448:T1448"/>
    <mergeCell ref="R1449:T1449"/>
    <mergeCell ref="R1450:T1450"/>
    <mergeCell ref="R1451:T1451"/>
    <mergeCell ref="R1442:T1442"/>
    <mergeCell ref="R1443:T1443"/>
    <mergeCell ref="R1444:T1444"/>
    <mergeCell ref="R1445:T1445"/>
    <mergeCell ref="R1446:T1446"/>
    <mergeCell ref="R1437:T1437"/>
    <mergeCell ref="R1438:T1438"/>
    <mergeCell ref="R1439:T1439"/>
    <mergeCell ref="R1440:T1440"/>
    <mergeCell ref="R1441:T1441"/>
    <mergeCell ref="R1432:T1432"/>
    <mergeCell ref="R1433:T1433"/>
    <mergeCell ref="R1434:T1434"/>
    <mergeCell ref="R1435:T1435"/>
    <mergeCell ref="R1436:T1436"/>
    <mergeCell ref="R1427:T1427"/>
    <mergeCell ref="R1428:T1428"/>
    <mergeCell ref="R1429:T1429"/>
    <mergeCell ref="R1430:T1430"/>
    <mergeCell ref="R1431:T1431"/>
    <mergeCell ref="R1422:T1422"/>
    <mergeCell ref="R1423:T1423"/>
    <mergeCell ref="R1424:T1424"/>
    <mergeCell ref="R1425:T1425"/>
    <mergeCell ref="R1426:T1426"/>
    <mergeCell ref="R1417:T1417"/>
    <mergeCell ref="R1418:T1418"/>
    <mergeCell ref="R1419:T1419"/>
    <mergeCell ref="R1420:T1420"/>
    <mergeCell ref="R1421:T1421"/>
    <mergeCell ref="R1412:T1412"/>
    <mergeCell ref="R1413:T1413"/>
    <mergeCell ref="R1414:T1414"/>
    <mergeCell ref="R1415:T1415"/>
    <mergeCell ref="R1416:T1416"/>
    <mergeCell ref="R1407:T1407"/>
    <mergeCell ref="R1408:T1408"/>
    <mergeCell ref="R1409:T1409"/>
    <mergeCell ref="R1410:T1410"/>
    <mergeCell ref="R1411:T1411"/>
    <mergeCell ref="R1402:T1402"/>
    <mergeCell ref="R1403:T1403"/>
    <mergeCell ref="R1404:T1404"/>
    <mergeCell ref="R1405:T1405"/>
    <mergeCell ref="R1406:T1406"/>
    <mergeCell ref="R1397:T1397"/>
    <mergeCell ref="R1398:T1398"/>
    <mergeCell ref="R1399:T1399"/>
    <mergeCell ref="R1400:T1400"/>
    <mergeCell ref="R1401:T1401"/>
    <mergeCell ref="R1392:T1392"/>
    <mergeCell ref="R1393:T1393"/>
    <mergeCell ref="R1394:T1394"/>
    <mergeCell ref="R1395:T1395"/>
    <mergeCell ref="R1396:T1396"/>
    <mergeCell ref="R1387:T1387"/>
    <mergeCell ref="R1388:T1388"/>
    <mergeCell ref="R1389:T1389"/>
    <mergeCell ref="R1390:T1390"/>
    <mergeCell ref="R1391:T1391"/>
    <mergeCell ref="R1382:T1382"/>
    <mergeCell ref="R1383:T1383"/>
    <mergeCell ref="R1384:T1384"/>
    <mergeCell ref="R1385:T1385"/>
    <mergeCell ref="R1386:T1386"/>
    <mergeCell ref="R1377:T1377"/>
    <mergeCell ref="R1378:T1378"/>
    <mergeCell ref="R1379:T1379"/>
    <mergeCell ref="R1380:T1380"/>
    <mergeCell ref="R1381:T1381"/>
    <mergeCell ref="R1372:T1372"/>
    <mergeCell ref="R1373:T1373"/>
    <mergeCell ref="R1374:T1374"/>
    <mergeCell ref="R1375:T1375"/>
    <mergeCell ref="R1376:T1376"/>
    <mergeCell ref="R1367:T1367"/>
    <mergeCell ref="R1368:T1368"/>
    <mergeCell ref="R1369:T1369"/>
    <mergeCell ref="R1370:T1370"/>
    <mergeCell ref="R1371:T1371"/>
    <mergeCell ref="R1362:T1362"/>
    <mergeCell ref="R1363:T1363"/>
    <mergeCell ref="R1364:T1364"/>
    <mergeCell ref="R1365:T1365"/>
    <mergeCell ref="R1366:T1366"/>
    <mergeCell ref="R1357:T1357"/>
    <mergeCell ref="R1358:T1358"/>
    <mergeCell ref="R1359:T1359"/>
    <mergeCell ref="R1360:T1360"/>
    <mergeCell ref="R1361:T1361"/>
    <mergeCell ref="R1352:T1352"/>
    <mergeCell ref="R1353:T1353"/>
    <mergeCell ref="R1354:T1354"/>
    <mergeCell ref="R1355:T1355"/>
    <mergeCell ref="R1356:T1356"/>
    <mergeCell ref="R1347:T1347"/>
    <mergeCell ref="R1348:T1348"/>
    <mergeCell ref="R1349:T1349"/>
    <mergeCell ref="R1350:T1350"/>
    <mergeCell ref="R1351:T1351"/>
    <mergeCell ref="R1342:T1342"/>
    <mergeCell ref="R1343:T1343"/>
    <mergeCell ref="R1344:T1344"/>
    <mergeCell ref="R1345:T1345"/>
    <mergeCell ref="R1346:T1346"/>
    <mergeCell ref="R1337:T1337"/>
    <mergeCell ref="R1338:T1338"/>
    <mergeCell ref="R1339:T1339"/>
    <mergeCell ref="R1340:T1340"/>
    <mergeCell ref="R1341:T1341"/>
    <mergeCell ref="R1332:T1332"/>
    <mergeCell ref="R1333:T1333"/>
    <mergeCell ref="R1334:T1334"/>
    <mergeCell ref="R1335:T1335"/>
    <mergeCell ref="R1336:T1336"/>
    <mergeCell ref="R1327:T1327"/>
    <mergeCell ref="R1328:T1328"/>
    <mergeCell ref="R1329:T1329"/>
    <mergeCell ref="R1330:T1330"/>
    <mergeCell ref="R1331:T1331"/>
    <mergeCell ref="R1322:T1322"/>
    <mergeCell ref="R1323:T1323"/>
    <mergeCell ref="R1324:T1324"/>
    <mergeCell ref="R1325:T1325"/>
    <mergeCell ref="R1326:T1326"/>
    <mergeCell ref="R1317:T1317"/>
    <mergeCell ref="R1318:T1318"/>
    <mergeCell ref="R1319:T1319"/>
    <mergeCell ref="R1320:T1320"/>
    <mergeCell ref="R1321:T1321"/>
    <mergeCell ref="R1312:T1312"/>
    <mergeCell ref="R1313:T1313"/>
    <mergeCell ref="R1314:T1314"/>
    <mergeCell ref="R1315:T1315"/>
    <mergeCell ref="R1316:T1316"/>
    <mergeCell ref="R1307:T1307"/>
    <mergeCell ref="R1308:T1308"/>
    <mergeCell ref="R1309:T1309"/>
    <mergeCell ref="R1310:T1310"/>
    <mergeCell ref="R1311:T1311"/>
    <mergeCell ref="R1302:T1302"/>
    <mergeCell ref="R1303:T1303"/>
    <mergeCell ref="R1304:T1304"/>
    <mergeCell ref="R1305:T1305"/>
    <mergeCell ref="R1306:T1306"/>
    <mergeCell ref="R1297:T1297"/>
    <mergeCell ref="R1298:T1298"/>
    <mergeCell ref="R1299:T1299"/>
    <mergeCell ref="R1300:T1300"/>
    <mergeCell ref="R1301:T1301"/>
    <mergeCell ref="R1292:T1292"/>
    <mergeCell ref="R1293:T1293"/>
    <mergeCell ref="R1294:T1294"/>
    <mergeCell ref="R1295:T1295"/>
    <mergeCell ref="R1296:T1296"/>
    <mergeCell ref="R1287:T1287"/>
    <mergeCell ref="R1288:T1288"/>
    <mergeCell ref="R1289:T1289"/>
    <mergeCell ref="R1290:T1290"/>
    <mergeCell ref="R1291:T1291"/>
    <mergeCell ref="R1282:T1282"/>
    <mergeCell ref="R1283:T1283"/>
    <mergeCell ref="R1284:T1284"/>
    <mergeCell ref="R1285:T1285"/>
    <mergeCell ref="R1286:T1286"/>
    <mergeCell ref="R1277:T1277"/>
    <mergeCell ref="R1278:T1278"/>
    <mergeCell ref="R1279:T1279"/>
    <mergeCell ref="R1280:T1280"/>
    <mergeCell ref="R1281:T1281"/>
    <mergeCell ref="R1272:T1272"/>
    <mergeCell ref="R1273:T1273"/>
    <mergeCell ref="R1274:T1274"/>
    <mergeCell ref="R1275:T1275"/>
    <mergeCell ref="R1276:T1276"/>
    <mergeCell ref="R1267:T1267"/>
    <mergeCell ref="R1268:T1268"/>
    <mergeCell ref="R1269:T1269"/>
    <mergeCell ref="R1270:T1270"/>
    <mergeCell ref="R1271:T1271"/>
    <mergeCell ref="R1262:T1262"/>
    <mergeCell ref="R1263:T1263"/>
    <mergeCell ref="R1264:T1264"/>
    <mergeCell ref="R1265:T1265"/>
    <mergeCell ref="R1266:T1266"/>
    <mergeCell ref="R1257:T1257"/>
    <mergeCell ref="R1258:T1258"/>
    <mergeCell ref="R1259:T1259"/>
    <mergeCell ref="R1260:T1260"/>
    <mergeCell ref="R1261:T1261"/>
    <mergeCell ref="R1252:T1252"/>
    <mergeCell ref="R1253:T1253"/>
    <mergeCell ref="R1254:T1254"/>
    <mergeCell ref="R1255:T1255"/>
    <mergeCell ref="R1256:T1256"/>
    <mergeCell ref="R1247:T1247"/>
    <mergeCell ref="R1248:T1248"/>
    <mergeCell ref="R1249:T1249"/>
    <mergeCell ref="R1250:T1250"/>
    <mergeCell ref="R1251:T1251"/>
    <mergeCell ref="R1242:T1242"/>
    <mergeCell ref="R1243:T1243"/>
    <mergeCell ref="R1244:T1244"/>
    <mergeCell ref="R1245:T1245"/>
    <mergeCell ref="R1246:T1246"/>
    <mergeCell ref="R1237:T1237"/>
    <mergeCell ref="R1238:T1238"/>
    <mergeCell ref="R1239:T1239"/>
    <mergeCell ref="R1240:T1240"/>
    <mergeCell ref="R1241:T1241"/>
    <mergeCell ref="R1232:T1232"/>
    <mergeCell ref="R1233:T1233"/>
    <mergeCell ref="R1234:T1234"/>
    <mergeCell ref="R1235:T1235"/>
    <mergeCell ref="R1236:T1236"/>
    <mergeCell ref="R1227:T1227"/>
    <mergeCell ref="R1228:T1228"/>
    <mergeCell ref="R1229:T1229"/>
    <mergeCell ref="R1230:T1230"/>
    <mergeCell ref="R1231:T1231"/>
    <mergeCell ref="R1222:T1222"/>
    <mergeCell ref="R1223:T1223"/>
    <mergeCell ref="R1224:T1224"/>
    <mergeCell ref="R1225:T1225"/>
    <mergeCell ref="R1226:T1226"/>
    <mergeCell ref="R1217:T1217"/>
    <mergeCell ref="R1218:T1218"/>
    <mergeCell ref="R1219:T1219"/>
    <mergeCell ref="R1220:T1220"/>
    <mergeCell ref="R1221:T1221"/>
    <mergeCell ref="R1212:T1212"/>
    <mergeCell ref="R1213:T1213"/>
    <mergeCell ref="R1214:T1214"/>
    <mergeCell ref="R1215:T1215"/>
    <mergeCell ref="R1216:T1216"/>
    <mergeCell ref="R1207:T1207"/>
    <mergeCell ref="R1208:T1208"/>
    <mergeCell ref="R1209:T1209"/>
    <mergeCell ref="R1210:T1210"/>
    <mergeCell ref="R1211:T1211"/>
    <mergeCell ref="R1202:T1202"/>
    <mergeCell ref="R1203:T1203"/>
    <mergeCell ref="R1204:T1204"/>
    <mergeCell ref="R1205:T1205"/>
    <mergeCell ref="R1206:T1206"/>
    <mergeCell ref="R1197:T1197"/>
    <mergeCell ref="R1198:T1198"/>
    <mergeCell ref="R1199:T1199"/>
    <mergeCell ref="R1200:T1200"/>
    <mergeCell ref="R1201:T1201"/>
    <mergeCell ref="R1192:T1192"/>
    <mergeCell ref="R1193:T1193"/>
    <mergeCell ref="R1194:T1194"/>
    <mergeCell ref="R1195:T1195"/>
    <mergeCell ref="R1196:T1196"/>
    <mergeCell ref="R1187:T1187"/>
    <mergeCell ref="R1188:T1188"/>
    <mergeCell ref="R1189:T1189"/>
    <mergeCell ref="R1190:T1190"/>
    <mergeCell ref="R1191:T1191"/>
    <mergeCell ref="R1182:T1182"/>
    <mergeCell ref="R1183:T1183"/>
    <mergeCell ref="R1184:T1184"/>
    <mergeCell ref="R1185:T1185"/>
    <mergeCell ref="R1186:T1186"/>
    <mergeCell ref="R1177:T1177"/>
    <mergeCell ref="R1178:T1178"/>
    <mergeCell ref="R1179:T1179"/>
    <mergeCell ref="R1180:T1180"/>
    <mergeCell ref="R1181:T1181"/>
    <mergeCell ref="R1172:T1172"/>
    <mergeCell ref="R1173:T1173"/>
    <mergeCell ref="R1174:T1174"/>
    <mergeCell ref="R1175:T1175"/>
    <mergeCell ref="R1176:T1176"/>
    <mergeCell ref="R1167:T1167"/>
    <mergeCell ref="R1168:T1168"/>
    <mergeCell ref="R1169:T1169"/>
    <mergeCell ref="R1170:T1170"/>
    <mergeCell ref="R1171:T1171"/>
    <mergeCell ref="R1162:T1162"/>
    <mergeCell ref="R1163:T1163"/>
    <mergeCell ref="R1164:T1164"/>
    <mergeCell ref="R1165:T1165"/>
    <mergeCell ref="R1166:T1166"/>
    <mergeCell ref="R1157:T1157"/>
    <mergeCell ref="R1158:T1158"/>
    <mergeCell ref="R1159:T1159"/>
    <mergeCell ref="R1160:T1160"/>
    <mergeCell ref="R1161:T1161"/>
    <mergeCell ref="R1152:T1152"/>
    <mergeCell ref="R1153:T1153"/>
    <mergeCell ref="R1154:T1154"/>
    <mergeCell ref="R1155:T1155"/>
    <mergeCell ref="R1156:T1156"/>
    <mergeCell ref="R1147:T1147"/>
    <mergeCell ref="R1148:T1148"/>
    <mergeCell ref="R1149:T1149"/>
    <mergeCell ref="R1150:T1150"/>
    <mergeCell ref="R1151:T1151"/>
    <mergeCell ref="R1142:T1142"/>
    <mergeCell ref="R1143:T1143"/>
    <mergeCell ref="R1144:T1144"/>
    <mergeCell ref="R1145:T1145"/>
    <mergeCell ref="R1146:T1146"/>
    <mergeCell ref="R1137:T1137"/>
    <mergeCell ref="R1138:T1138"/>
    <mergeCell ref="R1139:T1139"/>
    <mergeCell ref="R1140:T1140"/>
    <mergeCell ref="R1141:T1141"/>
    <mergeCell ref="R1132:T1132"/>
    <mergeCell ref="R1133:T1133"/>
    <mergeCell ref="R1134:T1134"/>
    <mergeCell ref="R1135:T1135"/>
    <mergeCell ref="R1136:T1136"/>
    <mergeCell ref="R1127:T1127"/>
    <mergeCell ref="R1128:T1128"/>
    <mergeCell ref="R1129:T1129"/>
    <mergeCell ref="R1130:T1130"/>
    <mergeCell ref="R1131:T1131"/>
    <mergeCell ref="R1122:T1122"/>
    <mergeCell ref="R1123:T1123"/>
    <mergeCell ref="R1124:T1124"/>
    <mergeCell ref="R1125:T1125"/>
    <mergeCell ref="R1126:T1126"/>
    <mergeCell ref="R1117:T1117"/>
    <mergeCell ref="R1118:T1118"/>
    <mergeCell ref="R1119:T1119"/>
    <mergeCell ref="R1120:T1120"/>
    <mergeCell ref="R1121:T1121"/>
    <mergeCell ref="R1112:T1112"/>
    <mergeCell ref="R1113:T1113"/>
    <mergeCell ref="R1114:T1114"/>
    <mergeCell ref="R1115:T1115"/>
    <mergeCell ref="R1116:T1116"/>
    <mergeCell ref="R1107:T1107"/>
    <mergeCell ref="R1108:T1108"/>
    <mergeCell ref="R1109:T1109"/>
    <mergeCell ref="R1110:T1110"/>
    <mergeCell ref="R1111:T1111"/>
    <mergeCell ref="R1102:T1102"/>
    <mergeCell ref="R1103:T1103"/>
    <mergeCell ref="R1104:T1104"/>
    <mergeCell ref="R1105:T1105"/>
    <mergeCell ref="R1106:T1106"/>
    <mergeCell ref="R1097:T1097"/>
    <mergeCell ref="R1098:T1098"/>
    <mergeCell ref="R1099:T1099"/>
    <mergeCell ref="R1100:T1100"/>
    <mergeCell ref="R1101:T1101"/>
    <mergeCell ref="R1092:T1092"/>
    <mergeCell ref="R1093:T1093"/>
    <mergeCell ref="R1094:T1094"/>
    <mergeCell ref="R1095:T1095"/>
    <mergeCell ref="R1096:T1096"/>
    <mergeCell ref="R1087:T1087"/>
    <mergeCell ref="R1088:T1088"/>
    <mergeCell ref="R1089:T1089"/>
    <mergeCell ref="R1090:T1090"/>
    <mergeCell ref="R1091:T1091"/>
    <mergeCell ref="R1082:T1082"/>
    <mergeCell ref="R1083:T1083"/>
    <mergeCell ref="R1084:T1084"/>
    <mergeCell ref="R1085:T1085"/>
    <mergeCell ref="R1086:T1086"/>
    <mergeCell ref="R1077:T1077"/>
    <mergeCell ref="R1078:T1078"/>
    <mergeCell ref="R1079:T1079"/>
    <mergeCell ref="R1080:T1080"/>
    <mergeCell ref="R1081:T1081"/>
    <mergeCell ref="R1072:T1072"/>
    <mergeCell ref="R1073:T1073"/>
    <mergeCell ref="R1074:T1074"/>
    <mergeCell ref="R1075:T1075"/>
    <mergeCell ref="R1076:T1076"/>
    <mergeCell ref="R1067:T1067"/>
    <mergeCell ref="R1068:T1068"/>
    <mergeCell ref="R1069:T1069"/>
    <mergeCell ref="R1070:T1070"/>
    <mergeCell ref="R1071:T1071"/>
    <mergeCell ref="R1062:T1062"/>
    <mergeCell ref="R1063:T1063"/>
    <mergeCell ref="R1064:T1064"/>
    <mergeCell ref="R1065:T1065"/>
    <mergeCell ref="R1066:T1066"/>
    <mergeCell ref="R1057:T1057"/>
    <mergeCell ref="R1058:T1058"/>
    <mergeCell ref="R1059:T1059"/>
    <mergeCell ref="R1060:T1060"/>
    <mergeCell ref="R1061:T1061"/>
    <mergeCell ref="R1052:T1052"/>
    <mergeCell ref="R1053:T1053"/>
    <mergeCell ref="R1054:T1054"/>
    <mergeCell ref="R1055:T1055"/>
    <mergeCell ref="R1056:T1056"/>
    <mergeCell ref="R1047:T1047"/>
    <mergeCell ref="R1048:T1048"/>
    <mergeCell ref="R1049:T1049"/>
    <mergeCell ref="R1050:T1050"/>
    <mergeCell ref="R1051:T1051"/>
    <mergeCell ref="R1042:T1042"/>
    <mergeCell ref="R1043:T1043"/>
    <mergeCell ref="R1044:T1044"/>
    <mergeCell ref="R1045:T1045"/>
    <mergeCell ref="R1046:T1046"/>
    <mergeCell ref="R1037:T1037"/>
    <mergeCell ref="R1038:T1038"/>
    <mergeCell ref="R1039:T1039"/>
    <mergeCell ref="R1040:T1040"/>
    <mergeCell ref="R1041:T1041"/>
    <mergeCell ref="R1032:T1032"/>
    <mergeCell ref="R1033:T1033"/>
    <mergeCell ref="R1034:T1034"/>
    <mergeCell ref="R1035:T1035"/>
    <mergeCell ref="R1036:T1036"/>
    <mergeCell ref="R1027:T1027"/>
    <mergeCell ref="R1028:T1028"/>
    <mergeCell ref="R1029:T1029"/>
    <mergeCell ref="R1030:T1030"/>
    <mergeCell ref="R1031:T1031"/>
    <mergeCell ref="R1022:T1022"/>
    <mergeCell ref="R1023:T1023"/>
    <mergeCell ref="R1024:T1024"/>
    <mergeCell ref="R1025:T1025"/>
    <mergeCell ref="R1026:T1026"/>
    <mergeCell ref="R1017:T1017"/>
    <mergeCell ref="R1018:T1018"/>
    <mergeCell ref="R1019:T1019"/>
    <mergeCell ref="R1020:T1020"/>
    <mergeCell ref="R1021:T1021"/>
    <mergeCell ref="R1012:T1012"/>
    <mergeCell ref="R1013:T1013"/>
    <mergeCell ref="R1014:T1014"/>
    <mergeCell ref="R1015:T1015"/>
    <mergeCell ref="R1016:T1016"/>
    <mergeCell ref="R1007:T1007"/>
    <mergeCell ref="R1008:T1008"/>
    <mergeCell ref="R1009:T1009"/>
    <mergeCell ref="R1010:T1010"/>
    <mergeCell ref="R1011:T1011"/>
    <mergeCell ref="R1002:T1002"/>
    <mergeCell ref="R1003:T1003"/>
    <mergeCell ref="R1004:T1004"/>
    <mergeCell ref="R1005:T1005"/>
    <mergeCell ref="R1006:T1006"/>
    <mergeCell ref="R997:T997"/>
    <mergeCell ref="R998:T998"/>
    <mergeCell ref="R999:T999"/>
    <mergeCell ref="R1000:T1000"/>
    <mergeCell ref="R1001:T1001"/>
    <mergeCell ref="R992:T992"/>
    <mergeCell ref="R993:T993"/>
    <mergeCell ref="R994:T994"/>
    <mergeCell ref="R995:T995"/>
    <mergeCell ref="R996:T996"/>
    <mergeCell ref="R987:T987"/>
    <mergeCell ref="R988:T988"/>
    <mergeCell ref="R989:T989"/>
    <mergeCell ref="R990:T990"/>
    <mergeCell ref="R991:T991"/>
    <mergeCell ref="R982:T982"/>
    <mergeCell ref="R983:T983"/>
    <mergeCell ref="R984:T984"/>
    <mergeCell ref="R985:T985"/>
    <mergeCell ref="R986:T986"/>
    <mergeCell ref="R977:T977"/>
    <mergeCell ref="R978:T978"/>
    <mergeCell ref="R979:T979"/>
    <mergeCell ref="R980:T980"/>
    <mergeCell ref="R981:T981"/>
    <mergeCell ref="R972:T972"/>
    <mergeCell ref="R973:T973"/>
    <mergeCell ref="R974:T974"/>
    <mergeCell ref="R975:T975"/>
    <mergeCell ref="R976:T976"/>
    <mergeCell ref="R967:T967"/>
    <mergeCell ref="R968:T968"/>
    <mergeCell ref="R969:T969"/>
    <mergeCell ref="R970:T970"/>
    <mergeCell ref="R971:T971"/>
    <mergeCell ref="R962:T962"/>
    <mergeCell ref="R963:T963"/>
    <mergeCell ref="R964:T964"/>
    <mergeCell ref="R965:T965"/>
    <mergeCell ref="R966:T966"/>
    <mergeCell ref="R957:T957"/>
    <mergeCell ref="R958:T958"/>
    <mergeCell ref="R959:T959"/>
    <mergeCell ref="R960:T960"/>
    <mergeCell ref="R961:T961"/>
    <mergeCell ref="R952:T952"/>
    <mergeCell ref="R953:T953"/>
    <mergeCell ref="R954:T954"/>
    <mergeCell ref="R955:T955"/>
    <mergeCell ref="R956:T956"/>
    <mergeCell ref="R947:T947"/>
    <mergeCell ref="R948:T948"/>
    <mergeCell ref="R949:T949"/>
    <mergeCell ref="R950:T950"/>
    <mergeCell ref="R951:T951"/>
    <mergeCell ref="R942:T942"/>
    <mergeCell ref="R943:T943"/>
    <mergeCell ref="R944:T944"/>
    <mergeCell ref="R945:T945"/>
    <mergeCell ref="R946:T946"/>
    <mergeCell ref="R937:T937"/>
    <mergeCell ref="R938:T938"/>
    <mergeCell ref="R939:T939"/>
    <mergeCell ref="R940:T940"/>
    <mergeCell ref="R941:T941"/>
    <mergeCell ref="R932:T932"/>
    <mergeCell ref="R933:T933"/>
    <mergeCell ref="R934:T934"/>
    <mergeCell ref="R935:T935"/>
    <mergeCell ref="R936:T936"/>
    <mergeCell ref="R927:T927"/>
    <mergeCell ref="R928:T928"/>
    <mergeCell ref="R929:T929"/>
    <mergeCell ref="R930:T930"/>
    <mergeCell ref="R931:T931"/>
    <mergeCell ref="R922:T922"/>
    <mergeCell ref="R923:T923"/>
    <mergeCell ref="R924:T924"/>
    <mergeCell ref="R925:T925"/>
    <mergeCell ref="R926:T926"/>
    <mergeCell ref="R917:T917"/>
    <mergeCell ref="R918:T918"/>
    <mergeCell ref="R919:T919"/>
    <mergeCell ref="R920:T920"/>
    <mergeCell ref="R921:T921"/>
    <mergeCell ref="R912:T912"/>
    <mergeCell ref="R913:T913"/>
    <mergeCell ref="R914:T914"/>
    <mergeCell ref="R915:T915"/>
    <mergeCell ref="R916:T916"/>
    <mergeCell ref="R907:T907"/>
    <mergeCell ref="R908:T908"/>
    <mergeCell ref="R909:T909"/>
    <mergeCell ref="R910:T910"/>
    <mergeCell ref="R911:T911"/>
    <mergeCell ref="R902:T902"/>
    <mergeCell ref="R903:T903"/>
    <mergeCell ref="R904:T904"/>
    <mergeCell ref="R905:T905"/>
    <mergeCell ref="R906:T906"/>
    <mergeCell ref="R897:T897"/>
    <mergeCell ref="R898:T898"/>
    <mergeCell ref="R899:T899"/>
    <mergeCell ref="R900:T900"/>
    <mergeCell ref="R901:T901"/>
    <mergeCell ref="R892:T892"/>
    <mergeCell ref="R893:T893"/>
    <mergeCell ref="R894:T894"/>
    <mergeCell ref="R895:T895"/>
    <mergeCell ref="R896:T896"/>
    <mergeCell ref="R887:T887"/>
    <mergeCell ref="R888:T888"/>
    <mergeCell ref="R889:T889"/>
    <mergeCell ref="R890:T890"/>
    <mergeCell ref="R891:T891"/>
    <mergeCell ref="R882:T882"/>
    <mergeCell ref="R883:T883"/>
    <mergeCell ref="R884:T884"/>
    <mergeCell ref="R885:T885"/>
    <mergeCell ref="R886:T886"/>
    <mergeCell ref="R877:T877"/>
    <mergeCell ref="R878:T878"/>
    <mergeCell ref="R879:T879"/>
    <mergeCell ref="R880:T880"/>
    <mergeCell ref="R881:T881"/>
    <mergeCell ref="R872:T872"/>
    <mergeCell ref="R873:T873"/>
    <mergeCell ref="R874:T874"/>
    <mergeCell ref="R875:T875"/>
    <mergeCell ref="R876:T876"/>
    <mergeCell ref="R867:T867"/>
    <mergeCell ref="R868:T868"/>
    <mergeCell ref="R869:T869"/>
    <mergeCell ref="R870:T870"/>
    <mergeCell ref="R871:T871"/>
    <mergeCell ref="R862:T862"/>
    <mergeCell ref="R863:T863"/>
    <mergeCell ref="R864:T864"/>
    <mergeCell ref="R865:T865"/>
    <mergeCell ref="R866:T866"/>
    <mergeCell ref="R857:T857"/>
    <mergeCell ref="R858:T858"/>
    <mergeCell ref="R859:T859"/>
    <mergeCell ref="R860:T860"/>
    <mergeCell ref="R861:T861"/>
    <mergeCell ref="R852:T852"/>
    <mergeCell ref="R853:T853"/>
    <mergeCell ref="R854:T854"/>
    <mergeCell ref="R855:T855"/>
    <mergeCell ref="R856:T856"/>
    <mergeCell ref="R847:T847"/>
    <mergeCell ref="R848:T848"/>
    <mergeCell ref="R849:T849"/>
    <mergeCell ref="R850:T850"/>
    <mergeCell ref="R851:T851"/>
    <mergeCell ref="R842:T842"/>
    <mergeCell ref="R843:T843"/>
    <mergeCell ref="R844:T844"/>
    <mergeCell ref="R845:T845"/>
    <mergeCell ref="R846:T846"/>
    <mergeCell ref="R837:T837"/>
    <mergeCell ref="R838:T838"/>
    <mergeCell ref="R839:T839"/>
    <mergeCell ref="R840:T840"/>
    <mergeCell ref="R841:T841"/>
    <mergeCell ref="R832:T832"/>
    <mergeCell ref="R833:T833"/>
    <mergeCell ref="R834:T834"/>
    <mergeCell ref="R835:T835"/>
    <mergeCell ref="R836:T836"/>
    <mergeCell ref="R827:T827"/>
    <mergeCell ref="R828:T828"/>
    <mergeCell ref="R829:T829"/>
    <mergeCell ref="R830:T830"/>
    <mergeCell ref="R831:T831"/>
    <mergeCell ref="R822:T822"/>
    <mergeCell ref="R823:T823"/>
    <mergeCell ref="R824:T824"/>
    <mergeCell ref="R825:T825"/>
    <mergeCell ref="R826:T826"/>
    <mergeCell ref="R817:T817"/>
    <mergeCell ref="R818:T818"/>
    <mergeCell ref="R819:T819"/>
    <mergeCell ref="R820:T820"/>
    <mergeCell ref="R821:T821"/>
    <mergeCell ref="R812:T812"/>
    <mergeCell ref="R813:T813"/>
    <mergeCell ref="R814:T814"/>
    <mergeCell ref="R815:T815"/>
    <mergeCell ref="R816:T816"/>
    <mergeCell ref="R807:T807"/>
    <mergeCell ref="R808:T808"/>
    <mergeCell ref="R809:T809"/>
    <mergeCell ref="R810:T810"/>
    <mergeCell ref="R811:T811"/>
    <mergeCell ref="R802:T802"/>
    <mergeCell ref="R803:T803"/>
    <mergeCell ref="R804:T804"/>
    <mergeCell ref="R805:T805"/>
    <mergeCell ref="R806:T806"/>
    <mergeCell ref="R797:T797"/>
    <mergeCell ref="R798:T798"/>
    <mergeCell ref="R799:T799"/>
    <mergeCell ref="R800:T800"/>
    <mergeCell ref="R801:T801"/>
    <mergeCell ref="R792:T792"/>
    <mergeCell ref="R793:T793"/>
    <mergeCell ref="R794:T794"/>
    <mergeCell ref="R795:T795"/>
    <mergeCell ref="R796:T796"/>
    <mergeCell ref="R787:T787"/>
    <mergeCell ref="R788:T788"/>
    <mergeCell ref="R789:T789"/>
    <mergeCell ref="R790:T790"/>
    <mergeCell ref="R791:T791"/>
    <mergeCell ref="R782:T782"/>
    <mergeCell ref="R783:T783"/>
    <mergeCell ref="R784:T784"/>
    <mergeCell ref="R785:T785"/>
    <mergeCell ref="R786:T786"/>
    <mergeCell ref="R777:T777"/>
    <mergeCell ref="R778:T778"/>
    <mergeCell ref="R779:T779"/>
    <mergeCell ref="R780:T780"/>
    <mergeCell ref="R781:T781"/>
    <mergeCell ref="R772:T772"/>
    <mergeCell ref="R773:T773"/>
    <mergeCell ref="R774:T774"/>
    <mergeCell ref="R775:T775"/>
    <mergeCell ref="R776:T776"/>
    <mergeCell ref="R767:T767"/>
    <mergeCell ref="R768:T768"/>
    <mergeCell ref="R769:T769"/>
    <mergeCell ref="R770:T770"/>
    <mergeCell ref="R771:T771"/>
    <mergeCell ref="R762:T762"/>
    <mergeCell ref="R763:T763"/>
    <mergeCell ref="R764:T764"/>
    <mergeCell ref="R765:T765"/>
    <mergeCell ref="R766:T766"/>
    <mergeCell ref="R757:T757"/>
    <mergeCell ref="R758:T758"/>
    <mergeCell ref="R759:T759"/>
    <mergeCell ref="R760:T760"/>
    <mergeCell ref="R761:T761"/>
    <mergeCell ref="R752:T752"/>
    <mergeCell ref="R753:T753"/>
    <mergeCell ref="R754:T754"/>
    <mergeCell ref="R755:T755"/>
    <mergeCell ref="R756:T756"/>
    <mergeCell ref="R747:T747"/>
    <mergeCell ref="R748:T748"/>
    <mergeCell ref="R749:T749"/>
    <mergeCell ref="R750:T750"/>
    <mergeCell ref="R751:T751"/>
    <mergeCell ref="R742:T742"/>
    <mergeCell ref="R743:T743"/>
    <mergeCell ref="R744:T744"/>
    <mergeCell ref="R745:T745"/>
    <mergeCell ref="R746:T746"/>
    <mergeCell ref="R737:T737"/>
    <mergeCell ref="R738:T738"/>
    <mergeCell ref="R739:T739"/>
    <mergeCell ref="R740:T740"/>
    <mergeCell ref="R741:T741"/>
    <mergeCell ref="R732:T732"/>
    <mergeCell ref="R733:T733"/>
    <mergeCell ref="R734:T734"/>
    <mergeCell ref="R735:T735"/>
    <mergeCell ref="R736:T736"/>
    <mergeCell ref="R727:T727"/>
    <mergeCell ref="R728:T728"/>
    <mergeCell ref="R729:T729"/>
    <mergeCell ref="R730:T730"/>
    <mergeCell ref="R731:T731"/>
    <mergeCell ref="R722:T722"/>
    <mergeCell ref="R723:T723"/>
    <mergeCell ref="R724:T724"/>
    <mergeCell ref="R725:T725"/>
    <mergeCell ref="R726:T726"/>
    <mergeCell ref="R717:T717"/>
    <mergeCell ref="R718:T718"/>
    <mergeCell ref="R719:T719"/>
    <mergeCell ref="R720:T720"/>
    <mergeCell ref="R721:T721"/>
    <mergeCell ref="R712:T712"/>
    <mergeCell ref="R713:T713"/>
    <mergeCell ref="R714:T714"/>
    <mergeCell ref="R715:T715"/>
    <mergeCell ref="R716:T716"/>
    <mergeCell ref="R707:T707"/>
    <mergeCell ref="R708:T708"/>
    <mergeCell ref="R709:T709"/>
    <mergeCell ref="R710:T710"/>
    <mergeCell ref="R711:T711"/>
    <mergeCell ref="R702:T702"/>
    <mergeCell ref="R703:T703"/>
    <mergeCell ref="R704:T704"/>
    <mergeCell ref="R705:T705"/>
    <mergeCell ref="R706:T706"/>
    <mergeCell ref="R697:T697"/>
    <mergeCell ref="R698:T698"/>
    <mergeCell ref="R699:T699"/>
    <mergeCell ref="R700:T700"/>
    <mergeCell ref="R701:T701"/>
    <mergeCell ref="R692:T692"/>
    <mergeCell ref="R693:T693"/>
    <mergeCell ref="R694:T694"/>
    <mergeCell ref="R695:T695"/>
    <mergeCell ref="R696:T696"/>
    <mergeCell ref="R687:T687"/>
    <mergeCell ref="R688:T688"/>
    <mergeCell ref="R689:T689"/>
    <mergeCell ref="R690:T690"/>
    <mergeCell ref="R691:T691"/>
    <mergeCell ref="R682:T682"/>
    <mergeCell ref="R683:T683"/>
    <mergeCell ref="R684:T684"/>
    <mergeCell ref="R685:T685"/>
    <mergeCell ref="R686:T686"/>
    <mergeCell ref="R677:T677"/>
    <mergeCell ref="R678:T678"/>
    <mergeCell ref="R679:T679"/>
    <mergeCell ref="R680:T680"/>
    <mergeCell ref="R681:T681"/>
    <mergeCell ref="R672:T672"/>
    <mergeCell ref="R673:T673"/>
    <mergeCell ref="R674:T674"/>
    <mergeCell ref="R675:T675"/>
    <mergeCell ref="R676:T676"/>
    <mergeCell ref="R667:T667"/>
    <mergeCell ref="R668:T668"/>
    <mergeCell ref="R669:T669"/>
    <mergeCell ref="R670:T670"/>
    <mergeCell ref="R671:T671"/>
    <mergeCell ref="R662:T662"/>
    <mergeCell ref="R663:T663"/>
    <mergeCell ref="R664:T664"/>
    <mergeCell ref="R665:T665"/>
    <mergeCell ref="R666:T666"/>
    <mergeCell ref="R657:T657"/>
    <mergeCell ref="R658:T658"/>
    <mergeCell ref="R659:T659"/>
    <mergeCell ref="R660:T660"/>
    <mergeCell ref="R661:T661"/>
    <mergeCell ref="R652:T652"/>
    <mergeCell ref="R653:T653"/>
    <mergeCell ref="R654:T654"/>
    <mergeCell ref="R655:T655"/>
    <mergeCell ref="R656:T656"/>
    <mergeCell ref="R647:T647"/>
    <mergeCell ref="R648:T648"/>
    <mergeCell ref="R649:T649"/>
    <mergeCell ref="R650:T650"/>
    <mergeCell ref="R651:T651"/>
    <mergeCell ref="R642:T642"/>
    <mergeCell ref="R643:T643"/>
    <mergeCell ref="R644:T644"/>
    <mergeCell ref="R645:T645"/>
    <mergeCell ref="R646:T646"/>
    <mergeCell ref="R637:T637"/>
    <mergeCell ref="R638:T638"/>
    <mergeCell ref="R639:T639"/>
    <mergeCell ref="R640:T640"/>
    <mergeCell ref="R641:T641"/>
    <mergeCell ref="R632:T632"/>
    <mergeCell ref="R633:T633"/>
    <mergeCell ref="R634:T634"/>
    <mergeCell ref="R635:T635"/>
    <mergeCell ref="R636:T636"/>
    <mergeCell ref="R627:T627"/>
    <mergeCell ref="R628:T628"/>
    <mergeCell ref="R629:T629"/>
    <mergeCell ref="R630:T630"/>
    <mergeCell ref="R631:T631"/>
    <mergeCell ref="R622:T622"/>
    <mergeCell ref="R623:T623"/>
    <mergeCell ref="R624:T624"/>
    <mergeCell ref="R625:T625"/>
    <mergeCell ref="R626:T626"/>
    <mergeCell ref="R617:T617"/>
    <mergeCell ref="R618:T618"/>
    <mergeCell ref="R619:T619"/>
    <mergeCell ref="R620:T620"/>
    <mergeCell ref="R621:T621"/>
    <mergeCell ref="R612:T612"/>
    <mergeCell ref="R613:T613"/>
    <mergeCell ref="R614:T614"/>
    <mergeCell ref="R615:T615"/>
    <mergeCell ref="R616:T616"/>
    <mergeCell ref="R607:T607"/>
    <mergeCell ref="R608:T608"/>
    <mergeCell ref="R609:T609"/>
    <mergeCell ref="R610:T610"/>
    <mergeCell ref="R611:T611"/>
    <mergeCell ref="R602:T602"/>
    <mergeCell ref="R603:T603"/>
    <mergeCell ref="R604:T604"/>
    <mergeCell ref="R605:T605"/>
    <mergeCell ref="R606:T606"/>
    <mergeCell ref="R597:T597"/>
    <mergeCell ref="R598:T598"/>
    <mergeCell ref="R599:T599"/>
    <mergeCell ref="R600:T600"/>
    <mergeCell ref="R601:T601"/>
    <mergeCell ref="R592:T592"/>
    <mergeCell ref="R593:T593"/>
    <mergeCell ref="R594:T594"/>
    <mergeCell ref="R595:T595"/>
    <mergeCell ref="R596:T596"/>
    <mergeCell ref="R587:T587"/>
    <mergeCell ref="R588:T588"/>
    <mergeCell ref="R589:T589"/>
    <mergeCell ref="R590:T590"/>
    <mergeCell ref="R591:T591"/>
    <mergeCell ref="R582:T582"/>
    <mergeCell ref="R583:T583"/>
    <mergeCell ref="R584:T584"/>
    <mergeCell ref="R585:T585"/>
    <mergeCell ref="R586:T586"/>
    <mergeCell ref="R577:T577"/>
    <mergeCell ref="R578:T578"/>
    <mergeCell ref="R579:T579"/>
    <mergeCell ref="R580:T580"/>
    <mergeCell ref="R581:T581"/>
    <mergeCell ref="R572:T572"/>
    <mergeCell ref="R573:T573"/>
    <mergeCell ref="R574:T574"/>
    <mergeCell ref="R575:T575"/>
    <mergeCell ref="R576:T576"/>
    <mergeCell ref="R567:T567"/>
    <mergeCell ref="R568:T568"/>
    <mergeCell ref="R569:T569"/>
    <mergeCell ref="R570:T570"/>
    <mergeCell ref="R571:T571"/>
    <mergeCell ref="R562:T562"/>
    <mergeCell ref="R563:T563"/>
    <mergeCell ref="R564:T564"/>
    <mergeCell ref="R565:T565"/>
    <mergeCell ref="R566:T566"/>
    <mergeCell ref="R557:T557"/>
    <mergeCell ref="R558:T558"/>
    <mergeCell ref="R559:T559"/>
    <mergeCell ref="R560:T560"/>
    <mergeCell ref="R561:T561"/>
    <mergeCell ref="R552:T552"/>
    <mergeCell ref="R553:T553"/>
    <mergeCell ref="R554:T554"/>
    <mergeCell ref="R555:T555"/>
    <mergeCell ref="R556:T556"/>
    <mergeCell ref="R547:T547"/>
    <mergeCell ref="R548:T548"/>
    <mergeCell ref="R549:T549"/>
    <mergeCell ref="R550:T550"/>
    <mergeCell ref="R551:T551"/>
    <mergeCell ref="R542:T542"/>
    <mergeCell ref="R543:T543"/>
    <mergeCell ref="R544:T544"/>
    <mergeCell ref="R545:T545"/>
    <mergeCell ref="R546:T546"/>
    <mergeCell ref="R537:T537"/>
    <mergeCell ref="R538:T538"/>
    <mergeCell ref="R539:T539"/>
    <mergeCell ref="R540:T540"/>
    <mergeCell ref="R541:T541"/>
    <mergeCell ref="R532:T532"/>
    <mergeCell ref="R533:T533"/>
    <mergeCell ref="R534:T534"/>
    <mergeCell ref="R535:T535"/>
    <mergeCell ref="R536:T536"/>
    <mergeCell ref="R527:T527"/>
    <mergeCell ref="R528:T528"/>
    <mergeCell ref="R529:T529"/>
    <mergeCell ref="R530:T530"/>
    <mergeCell ref="R531:T531"/>
    <mergeCell ref="R522:T522"/>
    <mergeCell ref="R523:T523"/>
    <mergeCell ref="R524:T524"/>
    <mergeCell ref="R525:T525"/>
    <mergeCell ref="R526:T526"/>
    <mergeCell ref="R517:T517"/>
    <mergeCell ref="R518:T518"/>
    <mergeCell ref="R519:T519"/>
    <mergeCell ref="R520:T520"/>
    <mergeCell ref="R521:T521"/>
    <mergeCell ref="R512:T512"/>
    <mergeCell ref="R513:T513"/>
    <mergeCell ref="R514:T514"/>
    <mergeCell ref="R515:T515"/>
    <mergeCell ref="R516:T516"/>
    <mergeCell ref="R507:T507"/>
    <mergeCell ref="R508:T508"/>
    <mergeCell ref="R509:T509"/>
    <mergeCell ref="R510:T510"/>
    <mergeCell ref="R511:T511"/>
    <mergeCell ref="R502:T502"/>
    <mergeCell ref="R503:T503"/>
    <mergeCell ref="R504:T504"/>
    <mergeCell ref="R505:T505"/>
    <mergeCell ref="R506:T506"/>
    <mergeCell ref="R497:T497"/>
    <mergeCell ref="R498:T498"/>
    <mergeCell ref="R499:T499"/>
    <mergeCell ref="R500:T500"/>
    <mergeCell ref="R501:T501"/>
    <mergeCell ref="R492:T492"/>
    <mergeCell ref="R493:T493"/>
    <mergeCell ref="R494:T494"/>
    <mergeCell ref="R495:T495"/>
    <mergeCell ref="R496:T496"/>
    <mergeCell ref="R487:T487"/>
    <mergeCell ref="R488:T488"/>
    <mergeCell ref="R489:T489"/>
    <mergeCell ref="R490:T490"/>
    <mergeCell ref="R491:T491"/>
    <mergeCell ref="R482:T482"/>
    <mergeCell ref="R483:T483"/>
    <mergeCell ref="R484:T484"/>
    <mergeCell ref="R485:T485"/>
    <mergeCell ref="R486:T486"/>
    <mergeCell ref="R477:T477"/>
    <mergeCell ref="R478:T478"/>
    <mergeCell ref="R479:T479"/>
    <mergeCell ref="R480:T480"/>
    <mergeCell ref="R481:T481"/>
    <mergeCell ref="R472:T472"/>
    <mergeCell ref="R473:T473"/>
    <mergeCell ref="R474:T474"/>
    <mergeCell ref="R475:T475"/>
    <mergeCell ref="R476:T476"/>
    <mergeCell ref="R467:T467"/>
    <mergeCell ref="R468:T468"/>
    <mergeCell ref="R469:T469"/>
    <mergeCell ref="R470:T470"/>
    <mergeCell ref="R471:T471"/>
    <mergeCell ref="R462:T462"/>
    <mergeCell ref="R463:T463"/>
    <mergeCell ref="R464:T464"/>
    <mergeCell ref="R465:T465"/>
    <mergeCell ref="R466:T466"/>
    <mergeCell ref="R457:T457"/>
    <mergeCell ref="R458:T458"/>
    <mergeCell ref="R459:T459"/>
    <mergeCell ref="R460:T460"/>
    <mergeCell ref="R461:T461"/>
    <mergeCell ref="R452:T452"/>
    <mergeCell ref="R453:T453"/>
    <mergeCell ref="R454:T454"/>
    <mergeCell ref="R455:T455"/>
    <mergeCell ref="R456:T456"/>
    <mergeCell ref="R447:T447"/>
    <mergeCell ref="R448:T448"/>
    <mergeCell ref="R449:T449"/>
    <mergeCell ref="R450:T450"/>
    <mergeCell ref="R451:T451"/>
    <mergeCell ref="R442:T442"/>
    <mergeCell ref="R443:T443"/>
    <mergeCell ref="R444:T444"/>
    <mergeCell ref="R445:T445"/>
    <mergeCell ref="R446:T446"/>
    <mergeCell ref="R437:T437"/>
    <mergeCell ref="R438:T438"/>
    <mergeCell ref="R439:T439"/>
    <mergeCell ref="R440:T440"/>
    <mergeCell ref="R441:T441"/>
    <mergeCell ref="R432:T432"/>
    <mergeCell ref="R433:T433"/>
    <mergeCell ref="R434:T434"/>
    <mergeCell ref="R435:T435"/>
    <mergeCell ref="R436:T436"/>
    <mergeCell ref="R427:T427"/>
    <mergeCell ref="R428:T428"/>
    <mergeCell ref="R429:T429"/>
    <mergeCell ref="R430:T430"/>
    <mergeCell ref="R431:T431"/>
    <mergeCell ref="R422:T422"/>
    <mergeCell ref="R423:T423"/>
    <mergeCell ref="R424:T424"/>
    <mergeCell ref="R425:T425"/>
    <mergeCell ref="R426:T426"/>
    <mergeCell ref="R417:T417"/>
    <mergeCell ref="R418:T418"/>
    <mergeCell ref="R419:T419"/>
    <mergeCell ref="R420:T420"/>
    <mergeCell ref="R421:T421"/>
    <mergeCell ref="R412:T412"/>
    <mergeCell ref="R413:T413"/>
    <mergeCell ref="R414:T414"/>
    <mergeCell ref="R415:T415"/>
    <mergeCell ref="R416:T416"/>
    <mergeCell ref="R407:T407"/>
    <mergeCell ref="R408:T408"/>
    <mergeCell ref="R409:T409"/>
    <mergeCell ref="R410:T410"/>
    <mergeCell ref="R411:T411"/>
    <mergeCell ref="R402:T402"/>
    <mergeCell ref="R403:T403"/>
    <mergeCell ref="R404:T404"/>
    <mergeCell ref="R405:T405"/>
    <mergeCell ref="R406:T406"/>
    <mergeCell ref="R397:T397"/>
    <mergeCell ref="R398:T398"/>
    <mergeCell ref="R399:T399"/>
    <mergeCell ref="R400:T400"/>
    <mergeCell ref="R401:T401"/>
    <mergeCell ref="R392:T392"/>
    <mergeCell ref="R393:T393"/>
    <mergeCell ref="R394:T394"/>
    <mergeCell ref="R395:T395"/>
    <mergeCell ref="R396:T396"/>
    <mergeCell ref="R387:T387"/>
    <mergeCell ref="R388:T388"/>
    <mergeCell ref="R389:T389"/>
    <mergeCell ref="R390:T390"/>
    <mergeCell ref="R391:T391"/>
    <mergeCell ref="R382:T382"/>
    <mergeCell ref="R383:T383"/>
    <mergeCell ref="R384:T384"/>
    <mergeCell ref="R385:T385"/>
    <mergeCell ref="R386:T386"/>
    <mergeCell ref="R377:T377"/>
    <mergeCell ref="R378:T378"/>
    <mergeCell ref="R379:T379"/>
    <mergeCell ref="R380:T380"/>
    <mergeCell ref="R381:T381"/>
    <mergeCell ref="R372:T372"/>
    <mergeCell ref="R373:T373"/>
    <mergeCell ref="R374:T374"/>
    <mergeCell ref="R375:T375"/>
    <mergeCell ref="R376:T376"/>
    <mergeCell ref="R367:T367"/>
    <mergeCell ref="R368:T368"/>
    <mergeCell ref="R369:T369"/>
    <mergeCell ref="R370:T370"/>
    <mergeCell ref="R371:T371"/>
    <mergeCell ref="R362:T362"/>
    <mergeCell ref="R363:T363"/>
    <mergeCell ref="R364:T364"/>
    <mergeCell ref="R365:T365"/>
    <mergeCell ref="R366:T366"/>
    <mergeCell ref="R357:T357"/>
    <mergeCell ref="R358:T358"/>
    <mergeCell ref="R359:T359"/>
    <mergeCell ref="R360:T360"/>
    <mergeCell ref="R361:T361"/>
    <mergeCell ref="R352:T352"/>
    <mergeCell ref="R353:T353"/>
    <mergeCell ref="R354:T354"/>
    <mergeCell ref="R355:T355"/>
    <mergeCell ref="R356:T356"/>
    <mergeCell ref="R347:T347"/>
    <mergeCell ref="R348:T348"/>
    <mergeCell ref="R349:T349"/>
    <mergeCell ref="R350:T350"/>
    <mergeCell ref="R351:T351"/>
    <mergeCell ref="R342:T342"/>
    <mergeCell ref="R343:T343"/>
    <mergeCell ref="R344:T344"/>
    <mergeCell ref="R345:T345"/>
    <mergeCell ref="R346:T346"/>
    <mergeCell ref="R337:T337"/>
    <mergeCell ref="R338:T338"/>
    <mergeCell ref="R339:T339"/>
    <mergeCell ref="R340:T340"/>
    <mergeCell ref="R341:T341"/>
    <mergeCell ref="R332:T332"/>
    <mergeCell ref="R333:T333"/>
    <mergeCell ref="R334:T334"/>
    <mergeCell ref="R335:T335"/>
    <mergeCell ref="R336:T336"/>
    <mergeCell ref="R327:T327"/>
    <mergeCell ref="R328:T328"/>
    <mergeCell ref="R329:T329"/>
    <mergeCell ref="R330:T330"/>
    <mergeCell ref="R331:T331"/>
    <mergeCell ref="R322:T322"/>
    <mergeCell ref="R323:T323"/>
    <mergeCell ref="R324:T324"/>
    <mergeCell ref="R325:T325"/>
    <mergeCell ref="R326:T326"/>
    <mergeCell ref="R317:T317"/>
    <mergeCell ref="R318:T318"/>
    <mergeCell ref="R319:T319"/>
    <mergeCell ref="R320:T320"/>
    <mergeCell ref="R321:T321"/>
    <mergeCell ref="R312:T312"/>
    <mergeCell ref="R313:T313"/>
    <mergeCell ref="R314:T314"/>
    <mergeCell ref="R315:T315"/>
    <mergeCell ref="R316:T316"/>
    <mergeCell ref="R307:T307"/>
    <mergeCell ref="R308:T308"/>
    <mergeCell ref="R309:T309"/>
    <mergeCell ref="R310:T310"/>
    <mergeCell ref="R311:T311"/>
    <mergeCell ref="R302:T302"/>
    <mergeCell ref="R303:T303"/>
    <mergeCell ref="R304:T304"/>
    <mergeCell ref="R305:T305"/>
    <mergeCell ref="R306:T306"/>
    <mergeCell ref="R297:T297"/>
    <mergeCell ref="R298:T298"/>
    <mergeCell ref="R299:T299"/>
    <mergeCell ref="R300:T300"/>
    <mergeCell ref="R301:T301"/>
    <mergeCell ref="R292:T292"/>
    <mergeCell ref="R293:T293"/>
    <mergeCell ref="R294:T294"/>
    <mergeCell ref="R295:T295"/>
    <mergeCell ref="R296:T296"/>
    <mergeCell ref="R287:T287"/>
    <mergeCell ref="R288:T288"/>
    <mergeCell ref="R289:T289"/>
    <mergeCell ref="R290:T290"/>
    <mergeCell ref="R291:T291"/>
    <mergeCell ref="R282:T282"/>
    <mergeCell ref="R283:T283"/>
    <mergeCell ref="R284:T284"/>
    <mergeCell ref="R285:T285"/>
    <mergeCell ref="R286:T286"/>
    <mergeCell ref="R277:T277"/>
    <mergeCell ref="R278:T278"/>
    <mergeCell ref="R279:T279"/>
    <mergeCell ref="R280:T280"/>
    <mergeCell ref="R281:T281"/>
    <mergeCell ref="R272:T272"/>
    <mergeCell ref="R273:T273"/>
    <mergeCell ref="R274:T274"/>
    <mergeCell ref="R275:T275"/>
    <mergeCell ref="R276:T276"/>
    <mergeCell ref="R267:T267"/>
    <mergeCell ref="R268:T268"/>
    <mergeCell ref="R269:T269"/>
    <mergeCell ref="R270:T270"/>
    <mergeCell ref="R271:T271"/>
    <mergeCell ref="R262:T262"/>
    <mergeCell ref="R263:T263"/>
    <mergeCell ref="R264:T264"/>
    <mergeCell ref="R265:T265"/>
    <mergeCell ref="R266:T266"/>
    <mergeCell ref="R257:T257"/>
    <mergeCell ref="R258:T258"/>
    <mergeCell ref="R259:T259"/>
    <mergeCell ref="R260:T260"/>
    <mergeCell ref="R261:T261"/>
    <mergeCell ref="R217:T217"/>
    <mergeCell ref="R218:T218"/>
    <mergeCell ref="R219:T219"/>
    <mergeCell ref="R220:T220"/>
    <mergeCell ref="R221:T221"/>
    <mergeCell ref="G10:H10"/>
    <mergeCell ref="H18:Q18"/>
    <mergeCell ref="F20:F26"/>
    <mergeCell ref="R212:T212"/>
    <mergeCell ref="R213:T213"/>
    <mergeCell ref="R214:T214"/>
    <mergeCell ref="R215:T215"/>
    <mergeCell ref="R216:T216"/>
    <mergeCell ref="R207:T207"/>
    <mergeCell ref="R208:T208"/>
    <mergeCell ref="R209:T209"/>
    <mergeCell ref="R210:T210"/>
    <mergeCell ref="R211:T211"/>
    <mergeCell ref="R202:T202"/>
    <mergeCell ref="R203:T203"/>
    <mergeCell ref="R204:T204"/>
    <mergeCell ref="R205:T205"/>
    <mergeCell ref="R206:T206"/>
    <mergeCell ref="R201:T201"/>
    <mergeCell ref="R252:T252"/>
    <mergeCell ref="R253:T253"/>
    <mergeCell ref="R254:T254"/>
    <mergeCell ref="R255:T255"/>
    <mergeCell ref="R256:T256"/>
    <mergeCell ref="R247:T247"/>
    <mergeCell ref="R248:T248"/>
    <mergeCell ref="R249:T249"/>
    <mergeCell ref="R250:T250"/>
    <mergeCell ref="R251:T251"/>
    <mergeCell ref="R242:T242"/>
    <mergeCell ref="R243:T243"/>
    <mergeCell ref="R244:T244"/>
    <mergeCell ref="R245:T245"/>
    <mergeCell ref="R246:T246"/>
    <mergeCell ref="R237:T237"/>
    <mergeCell ref="R238:T238"/>
    <mergeCell ref="R239:T239"/>
    <mergeCell ref="R240:T240"/>
    <mergeCell ref="R241:T241"/>
    <mergeCell ref="R232:T232"/>
    <mergeCell ref="R233:T233"/>
    <mergeCell ref="R234:T234"/>
    <mergeCell ref="R235:T235"/>
    <mergeCell ref="R236:T236"/>
    <mergeCell ref="R227:T227"/>
    <mergeCell ref="R228:T228"/>
    <mergeCell ref="R229:T229"/>
    <mergeCell ref="R230:T230"/>
    <mergeCell ref="R231:T231"/>
    <mergeCell ref="R222:T222"/>
    <mergeCell ref="R223:T223"/>
    <mergeCell ref="R224:T224"/>
    <mergeCell ref="R225:T225"/>
    <mergeCell ref="R226:T2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80CC-1AEC-46DE-83B7-468ED1A775CB}">
  <dimension ref="B2:T59"/>
  <sheetViews>
    <sheetView showGridLines="0" zoomScale="115" zoomScaleNormal="115" workbookViewId="0">
      <selection activeCell="C28" sqref="C28"/>
    </sheetView>
  </sheetViews>
  <sheetFormatPr defaultColWidth="8.69921875" defaultRowHeight="14.4" x14ac:dyDescent="0.3"/>
  <cols>
    <col min="1" max="16384" width="8.69921875" style="1"/>
  </cols>
  <sheetData>
    <row r="2" spans="2:20" x14ac:dyDescent="0.3">
      <c r="H2" s="1" t="s">
        <v>45</v>
      </c>
      <c r="I2" s="1" t="s">
        <v>46</v>
      </c>
      <c r="J2" s="1" t="s">
        <v>47</v>
      </c>
      <c r="K2" s="1" t="s">
        <v>48</v>
      </c>
      <c r="L2" s="1" t="s">
        <v>49</v>
      </c>
      <c r="M2" s="1" t="s">
        <v>50</v>
      </c>
      <c r="N2" s="1" t="s">
        <v>51</v>
      </c>
      <c r="O2" s="1" t="s">
        <v>52</v>
      </c>
      <c r="P2" s="1" t="s">
        <v>53</v>
      </c>
      <c r="Q2" s="1" t="s">
        <v>54</v>
      </c>
      <c r="R2" s="1" t="s">
        <v>55</v>
      </c>
    </row>
    <row r="3" spans="2:20" x14ac:dyDescent="0.3">
      <c r="H3" s="255" t="s">
        <v>61</v>
      </c>
      <c r="I3" s="255"/>
      <c r="J3" s="255"/>
      <c r="K3" s="255"/>
      <c r="L3" s="255" t="s">
        <v>62</v>
      </c>
      <c r="M3" s="255"/>
      <c r="N3" s="255"/>
      <c r="O3" s="255"/>
      <c r="P3" s="255" t="s">
        <v>63</v>
      </c>
      <c r="Q3" s="255"/>
      <c r="R3" s="255"/>
    </row>
    <row r="4" spans="2:20" x14ac:dyDescent="0.3">
      <c r="B4" s="2" t="s">
        <v>60</v>
      </c>
      <c r="C4" s="2"/>
      <c r="D4" s="2"/>
      <c r="E4" s="2"/>
      <c r="F4" s="2"/>
      <c r="G4" s="2"/>
      <c r="H4" s="24" t="s">
        <v>56</v>
      </c>
      <c r="I4" s="24" t="s">
        <v>57</v>
      </c>
      <c r="J4" s="24" t="s">
        <v>58</v>
      </c>
      <c r="K4" s="24" t="s">
        <v>59</v>
      </c>
      <c r="L4" s="24" t="s">
        <v>56</v>
      </c>
      <c r="M4" s="24" t="s">
        <v>57</v>
      </c>
      <c r="N4" s="24" t="s">
        <v>58</v>
      </c>
      <c r="O4" s="24" t="s">
        <v>59</v>
      </c>
      <c r="P4" s="24" t="s">
        <v>56</v>
      </c>
      <c r="Q4" s="24" t="s">
        <v>57</v>
      </c>
      <c r="R4" s="24" t="s">
        <v>58</v>
      </c>
    </row>
    <row r="5" spans="2:20" s="19" customFormat="1" ht="1.95" customHeight="1" x14ac:dyDescent="0.3">
      <c r="B5" s="20"/>
      <c r="C5" s="20"/>
      <c r="D5" s="20"/>
      <c r="E5" s="20"/>
      <c r="F5" s="20"/>
      <c r="G5" s="20"/>
      <c r="H5" s="20"/>
      <c r="I5" s="20"/>
      <c r="J5" s="20"/>
      <c r="K5" s="20"/>
      <c r="L5" s="21"/>
      <c r="M5" s="21"/>
      <c r="N5" s="21"/>
      <c r="O5" s="21"/>
      <c r="P5" s="21"/>
    </row>
    <row r="6" spans="2:20" x14ac:dyDescent="0.3">
      <c r="B6" s="4"/>
      <c r="C6" s="4"/>
      <c r="D6" s="4"/>
      <c r="E6" s="4"/>
      <c r="F6" s="4"/>
      <c r="G6" s="4"/>
      <c r="H6" s="27"/>
      <c r="I6" s="27"/>
      <c r="J6" s="27"/>
      <c r="K6" s="27"/>
      <c r="L6" s="27"/>
      <c r="M6" s="27"/>
      <c r="N6" s="22"/>
      <c r="O6" s="22"/>
      <c r="P6" s="22"/>
      <c r="Q6" s="22"/>
      <c r="R6" s="22"/>
    </row>
    <row r="7" spans="2:20" x14ac:dyDescent="0.3">
      <c r="B7" s="25"/>
      <c r="H7" s="12"/>
      <c r="I7" s="12"/>
      <c r="J7" s="12"/>
      <c r="K7" s="12"/>
      <c r="L7" s="26"/>
      <c r="M7" s="27"/>
      <c r="N7" s="26"/>
      <c r="O7" s="26"/>
      <c r="P7" s="26"/>
      <c r="Q7" s="26"/>
      <c r="R7" s="26"/>
    </row>
    <row r="8" spans="2:20" x14ac:dyDescent="0.3">
      <c r="H8" s="12"/>
      <c r="I8" s="12"/>
      <c r="J8" s="12"/>
      <c r="K8" s="12"/>
      <c r="L8" s="12"/>
      <c r="M8" s="27"/>
      <c r="N8" s="8"/>
      <c r="O8" s="8"/>
      <c r="P8" s="8"/>
      <c r="Q8" s="8"/>
      <c r="R8" s="8"/>
    </row>
    <row r="9" spans="2:20" x14ac:dyDescent="0.3">
      <c r="B9" s="25"/>
      <c r="H9" s="12"/>
      <c r="I9" s="12"/>
      <c r="J9" s="12"/>
      <c r="K9" s="12"/>
      <c r="L9" s="26"/>
      <c r="M9" s="27"/>
      <c r="N9" s="26"/>
      <c r="O9" s="26"/>
      <c r="P9" s="26"/>
      <c r="Q9" s="26"/>
      <c r="R9" s="26"/>
    </row>
    <row r="10" spans="2:20" x14ac:dyDescent="0.3">
      <c r="H10" s="12"/>
      <c r="I10" s="12"/>
      <c r="J10" s="12"/>
      <c r="K10" s="12"/>
      <c r="L10" s="12"/>
      <c r="M10" s="27"/>
      <c r="N10" s="8"/>
      <c r="O10" s="8"/>
      <c r="P10" s="8"/>
      <c r="Q10" s="8"/>
      <c r="R10" s="8"/>
    </row>
    <row r="11" spans="2:20" x14ac:dyDescent="0.3">
      <c r="B11" s="25"/>
      <c r="H11" s="12"/>
      <c r="I11" s="12"/>
      <c r="J11" s="12"/>
      <c r="K11" s="12"/>
      <c r="L11" s="26"/>
      <c r="M11" s="27"/>
      <c r="N11" s="26"/>
      <c r="O11" s="26"/>
      <c r="P11" s="26"/>
      <c r="Q11" s="26"/>
      <c r="R11" s="26"/>
    </row>
    <row r="12" spans="2:20" x14ac:dyDescent="0.3">
      <c r="H12" s="12"/>
      <c r="I12" s="12"/>
      <c r="J12" s="12"/>
      <c r="K12" s="12"/>
      <c r="L12" s="12"/>
      <c r="M12" s="27"/>
      <c r="N12" s="8"/>
      <c r="O12" s="8"/>
      <c r="P12" s="8"/>
      <c r="Q12" s="8"/>
      <c r="R12" s="8"/>
    </row>
    <row r="13" spans="2:20" x14ac:dyDescent="0.3">
      <c r="B13" s="25"/>
      <c r="H13" s="12"/>
      <c r="I13" s="12"/>
      <c r="J13" s="12"/>
      <c r="K13" s="12"/>
      <c r="L13" s="26"/>
      <c r="M13" s="27"/>
      <c r="N13" s="26"/>
      <c r="O13" s="26"/>
      <c r="P13" s="26"/>
      <c r="Q13" s="26"/>
      <c r="R13" s="26"/>
      <c r="T13" s="26"/>
    </row>
    <row r="14" spans="2:20" x14ac:dyDescent="0.3">
      <c r="H14" s="12"/>
      <c r="I14" s="12"/>
      <c r="J14" s="12"/>
      <c r="K14" s="12"/>
      <c r="L14" s="12"/>
      <c r="M14" s="27"/>
      <c r="N14" s="8"/>
      <c r="O14" s="8"/>
      <c r="P14" s="8"/>
      <c r="Q14" s="8"/>
      <c r="R14" s="8"/>
    </row>
    <row r="15" spans="2:20" x14ac:dyDescent="0.3">
      <c r="B15" s="25"/>
      <c r="H15" s="12"/>
      <c r="I15" s="12"/>
      <c r="J15" s="12"/>
      <c r="K15" s="12"/>
      <c r="L15" s="26"/>
      <c r="M15" s="27"/>
      <c r="N15" s="26"/>
      <c r="O15" s="26"/>
      <c r="P15" s="26"/>
      <c r="Q15" s="26"/>
      <c r="R15" s="26"/>
    </row>
    <row r="16" spans="2:20" x14ac:dyDescent="0.3">
      <c r="H16" s="12"/>
      <c r="I16" s="12"/>
      <c r="J16" s="12"/>
      <c r="K16" s="12"/>
      <c r="L16" s="12"/>
      <c r="M16" s="27"/>
      <c r="N16" s="8"/>
      <c r="O16" s="8"/>
      <c r="P16" s="8"/>
      <c r="Q16" s="8"/>
      <c r="R16" s="8"/>
    </row>
    <row r="17" spans="2:18" x14ac:dyDescent="0.3">
      <c r="B17" s="25"/>
      <c r="H17" s="12"/>
      <c r="I17" s="12"/>
      <c r="J17" s="12"/>
      <c r="K17" s="12"/>
      <c r="L17" s="26"/>
      <c r="M17" s="27"/>
      <c r="N17" s="26"/>
      <c r="O17" s="26"/>
      <c r="P17" s="26"/>
      <c r="Q17" s="26"/>
      <c r="R17" s="26"/>
    </row>
    <row r="18" spans="2:18" x14ac:dyDescent="0.3">
      <c r="H18" s="12"/>
      <c r="I18" s="12"/>
      <c r="J18" s="12"/>
      <c r="K18" s="12"/>
      <c r="L18" s="12"/>
      <c r="M18" s="27"/>
      <c r="N18" s="8"/>
      <c r="O18" s="8"/>
      <c r="P18" s="8"/>
      <c r="Q18" s="8"/>
      <c r="R18" s="8"/>
    </row>
    <row r="19" spans="2:18" x14ac:dyDescent="0.3">
      <c r="B19" s="4"/>
      <c r="C19" s="4"/>
      <c r="D19" s="4"/>
      <c r="E19" s="4"/>
      <c r="F19" s="4"/>
      <c r="G19" s="4"/>
      <c r="H19" s="27"/>
      <c r="I19" s="27"/>
      <c r="J19" s="27"/>
      <c r="K19" s="27"/>
      <c r="L19" s="27"/>
      <c r="M19" s="27"/>
      <c r="N19" s="22"/>
      <c r="O19" s="22"/>
      <c r="P19" s="22"/>
      <c r="Q19" s="22"/>
      <c r="R19" s="22"/>
    </row>
    <row r="20" spans="2:18" x14ac:dyDescent="0.3">
      <c r="B20" s="25"/>
      <c r="H20" s="12"/>
      <c r="I20" s="12"/>
      <c r="J20" s="12"/>
      <c r="K20" s="12"/>
      <c r="L20" s="26"/>
      <c r="M20" s="27"/>
      <c r="N20" s="26"/>
      <c r="O20" s="26"/>
      <c r="P20" s="26"/>
      <c r="Q20" s="26"/>
      <c r="R20" s="26"/>
    </row>
    <row r="21" spans="2:18" x14ac:dyDescent="0.3">
      <c r="H21" s="12"/>
      <c r="I21" s="12"/>
      <c r="J21" s="12"/>
      <c r="K21" s="12"/>
      <c r="L21" s="12"/>
      <c r="M21" s="27"/>
      <c r="N21" s="8"/>
      <c r="O21" s="8"/>
      <c r="P21" s="8"/>
      <c r="Q21" s="8"/>
      <c r="R21" s="8"/>
    </row>
    <row r="22" spans="2:18" x14ac:dyDescent="0.3">
      <c r="B22" s="25"/>
      <c r="H22" s="12"/>
      <c r="I22" s="12"/>
      <c r="J22" s="12"/>
      <c r="K22" s="12"/>
      <c r="L22" s="26"/>
      <c r="M22" s="27"/>
      <c r="N22" s="26"/>
      <c r="O22" s="26"/>
      <c r="P22" s="26"/>
      <c r="Q22" s="26"/>
      <c r="R22" s="26"/>
    </row>
    <row r="23" spans="2:18" x14ac:dyDescent="0.3">
      <c r="H23" s="12"/>
      <c r="I23" s="12"/>
      <c r="J23" s="12"/>
      <c r="K23" s="12"/>
      <c r="L23" s="12"/>
      <c r="M23" s="27"/>
      <c r="N23" s="8"/>
      <c r="O23" s="8"/>
      <c r="P23" s="8"/>
      <c r="Q23" s="8"/>
      <c r="R23" s="8"/>
    </row>
    <row r="24" spans="2:18" x14ac:dyDescent="0.3">
      <c r="B24" s="25"/>
      <c r="H24" s="12"/>
      <c r="I24" s="12"/>
      <c r="J24" s="12"/>
      <c r="K24" s="12"/>
      <c r="L24" s="26"/>
      <c r="M24" s="27"/>
      <c r="N24" s="26"/>
      <c r="O24" s="26"/>
      <c r="P24" s="26"/>
      <c r="Q24" s="26"/>
      <c r="R24" s="26"/>
    </row>
    <row r="25" spans="2:18" x14ac:dyDescent="0.3">
      <c r="H25" s="12"/>
      <c r="I25" s="12"/>
      <c r="J25" s="12"/>
      <c r="K25" s="12"/>
      <c r="L25" s="12"/>
      <c r="M25" s="27"/>
      <c r="N25" s="8"/>
      <c r="O25" s="8"/>
      <c r="P25" s="8"/>
      <c r="Q25" s="8"/>
      <c r="R25" s="8"/>
    </row>
    <row r="26" spans="2:18" x14ac:dyDescent="0.3">
      <c r="B26" s="25"/>
      <c r="H26" s="12"/>
      <c r="I26" s="12"/>
      <c r="J26" s="12"/>
      <c r="K26" s="12"/>
      <c r="L26" s="26"/>
      <c r="M26" s="27"/>
      <c r="N26" s="26"/>
      <c r="O26" s="26"/>
      <c r="P26" s="26"/>
      <c r="Q26" s="26"/>
      <c r="R26" s="26"/>
    </row>
    <row r="27" spans="2:18" x14ac:dyDescent="0.3">
      <c r="H27" s="12"/>
      <c r="I27" s="12"/>
      <c r="J27" s="12"/>
      <c r="K27" s="12"/>
      <c r="L27" s="12"/>
      <c r="M27" s="27"/>
      <c r="N27" s="8"/>
      <c r="O27" s="8"/>
      <c r="P27" s="8"/>
      <c r="Q27" s="8"/>
      <c r="R27" s="8"/>
    </row>
    <row r="28" spans="2:18" x14ac:dyDescent="0.3">
      <c r="B28" s="4"/>
      <c r="C28" s="4"/>
      <c r="D28" s="4"/>
      <c r="E28" s="4"/>
      <c r="F28" s="4"/>
      <c r="G28" s="4"/>
      <c r="H28" s="27"/>
      <c r="I28" s="27"/>
      <c r="J28" s="27"/>
      <c r="K28" s="27"/>
      <c r="L28" s="27"/>
      <c r="M28" s="27"/>
      <c r="N28" s="22"/>
      <c r="O28" s="22"/>
      <c r="P28" s="22"/>
      <c r="Q28" s="22"/>
      <c r="R28" s="22"/>
    </row>
    <row r="29" spans="2:18" x14ac:dyDescent="0.3">
      <c r="B29" s="25"/>
      <c r="H29" s="12"/>
      <c r="I29" s="12"/>
      <c r="J29" s="12"/>
      <c r="K29" s="12"/>
      <c r="L29" s="28"/>
      <c r="M29" s="27"/>
      <c r="N29" s="28"/>
      <c r="O29" s="28"/>
      <c r="P29" s="28"/>
      <c r="Q29" s="28"/>
      <c r="R29" s="28"/>
    </row>
    <row r="30" spans="2:18" x14ac:dyDescent="0.3">
      <c r="H30" s="12"/>
      <c r="I30" s="12"/>
      <c r="J30" s="12"/>
      <c r="K30" s="12"/>
      <c r="L30" s="12"/>
      <c r="M30" s="27"/>
      <c r="N30" s="8"/>
      <c r="O30" s="8"/>
      <c r="P30" s="8"/>
      <c r="Q30" s="8"/>
      <c r="R30" s="8"/>
    </row>
    <row r="31" spans="2:18" x14ac:dyDescent="0.3">
      <c r="B31" s="25"/>
      <c r="H31" s="12"/>
      <c r="I31" s="12"/>
      <c r="J31" s="12"/>
      <c r="K31" s="12"/>
      <c r="L31" s="28"/>
      <c r="M31" s="27"/>
      <c r="N31" s="28"/>
      <c r="O31" s="28"/>
      <c r="P31" s="28"/>
      <c r="Q31" s="28"/>
      <c r="R31" s="28"/>
    </row>
    <row r="32" spans="2:18" x14ac:dyDescent="0.3">
      <c r="H32" s="12"/>
      <c r="I32" s="12"/>
      <c r="J32" s="12"/>
      <c r="K32" s="12"/>
      <c r="L32" s="12"/>
      <c r="M32" s="27"/>
      <c r="N32" s="8"/>
      <c r="O32" s="8"/>
      <c r="P32" s="8"/>
      <c r="Q32" s="8"/>
      <c r="R32" s="8"/>
    </row>
    <row r="33" spans="2:18" x14ac:dyDescent="0.3">
      <c r="B33" s="25"/>
      <c r="H33" s="12"/>
      <c r="I33" s="12"/>
      <c r="J33" s="12"/>
      <c r="K33" s="12"/>
      <c r="L33" s="26"/>
      <c r="M33" s="27"/>
      <c r="N33" s="26"/>
      <c r="O33" s="26"/>
      <c r="P33" s="26"/>
      <c r="Q33" s="26"/>
      <c r="R33" s="26"/>
    </row>
    <row r="34" spans="2:18" x14ac:dyDescent="0.3">
      <c r="H34" s="12"/>
      <c r="I34" s="12"/>
      <c r="J34" s="12"/>
      <c r="K34" s="12"/>
      <c r="L34" s="12"/>
      <c r="M34" s="27"/>
      <c r="N34" s="8"/>
      <c r="O34" s="8"/>
      <c r="P34" s="8"/>
      <c r="Q34" s="8"/>
      <c r="R34" s="8"/>
    </row>
    <row r="35" spans="2:18" x14ac:dyDescent="0.3">
      <c r="B35" s="25"/>
      <c r="H35" s="12"/>
      <c r="I35" s="12"/>
      <c r="J35" s="12"/>
      <c r="K35" s="12"/>
      <c r="L35" s="28"/>
      <c r="M35" s="27"/>
      <c r="N35" s="28"/>
      <c r="O35" s="28"/>
      <c r="P35" s="28"/>
      <c r="Q35" s="28"/>
      <c r="R35" s="28"/>
    </row>
    <row r="36" spans="2:18" x14ac:dyDescent="0.3">
      <c r="H36" s="12"/>
      <c r="I36" s="12"/>
      <c r="J36" s="12"/>
      <c r="K36" s="12"/>
      <c r="L36" s="12"/>
      <c r="M36" s="27"/>
      <c r="N36" s="8"/>
      <c r="O36" s="8"/>
      <c r="P36" s="8"/>
      <c r="Q36" s="8"/>
      <c r="R36" s="8"/>
    </row>
    <row r="37" spans="2:18" x14ac:dyDescent="0.3">
      <c r="B37" s="4"/>
      <c r="C37" s="4"/>
      <c r="D37" s="4"/>
      <c r="E37" s="4"/>
      <c r="F37" s="4"/>
      <c r="G37" s="4"/>
      <c r="H37" s="27"/>
      <c r="I37" s="27"/>
      <c r="J37" s="27"/>
      <c r="K37" s="27"/>
      <c r="L37" s="27"/>
      <c r="M37" s="27"/>
      <c r="N37" s="22"/>
      <c r="O37" s="22"/>
      <c r="P37" s="22"/>
      <c r="Q37" s="22"/>
      <c r="R37" s="22"/>
    </row>
    <row r="38" spans="2:18" x14ac:dyDescent="0.3">
      <c r="B38" s="25"/>
      <c r="H38" s="26"/>
      <c r="I38" s="26"/>
      <c r="J38" s="26"/>
      <c r="K38" s="26"/>
      <c r="L38" s="26"/>
      <c r="M38" s="27"/>
      <c r="N38" s="26"/>
      <c r="O38" s="26"/>
      <c r="P38" s="26"/>
      <c r="Q38" s="26"/>
      <c r="R38" s="26"/>
    </row>
    <row r="39" spans="2:18" x14ac:dyDescent="0.3">
      <c r="H39" s="12"/>
      <c r="I39" s="12"/>
      <c r="J39" s="12"/>
      <c r="K39" s="12"/>
      <c r="L39" s="12"/>
      <c r="M39" s="27"/>
      <c r="N39" s="8"/>
      <c r="O39" s="8"/>
      <c r="P39" s="8"/>
      <c r="Q39" s="8"/>
      <c r="R39" s="8"/>
    </row>
    <row r="40" spans="2:18" x14ac:dyDescent="0.3">
      <c r="B40" s="25"/>
      <c r="H40" s="26"/>
      <c r="I40" s="26"/>
      <c r="J40" s="26"/>
      <c r="K40" s="26"/>
      <c r="L40" s="26"/>
      <c r="M40" s="27"/>
      <c r="N40" s="26"/>
      <c r="O40" s="26"/>
      <c r="P40" s="26"/>
      <c r="Q40" s="26"/>
      <c r="R40" s="26"/>
    </row>
    <row r="41" spans="2:18" x14ac:dyDescent="0.3">
      <c r="H41" s="12"/>
      <c r="I41" s="12"/>
      <c r="J41" s="12"/>
      <c r="K41" s="12"/>
      <c r="L41" s="12"/>
      <c r="M41" s="27"/>
      <c r="N41" s="8"/>
      <c r="O41" s="8"/>
      <c r="P41" s="8"/>
      <c r="Q41" s="8"/>
      <c r="R41" s="8"/>
    </row>
    <row r="42" spans="2:18" x14ac:dyDescent="0.3">
      <c r="B42" s="25"/>
      <c r="H42" s="26"/>
      <c r="I42" s="26"/>
      <c r="J42" s="26"/>
      <c r="K42" s="26"/>
      <c r="L42" s="26"/>
      <c r="M42" s="27"/>
      <c r="N42" s="26"/>
      <c r="O42" s="26"/>
      <c r="P42" s="26"/>
      <c r="Q42" s="26"/>
      <c r="R42" s="26"/>
    </row>
    <row r="43" spans="2:18" x14ac:dyDescent="0.3">
      <c r="H43" s="12"/>
      <c r="I43" s="12"/>
      <c r="J43" s="12"/>
      <c r="K43" s="12"/>
      <c r="L43" s="12"/>
      <c r="M43" s="27"/>
      <c r="N43" s="8"/>
      <c r="O43" s="8"/>
      <c r="P43" s="8"/>
      <c r="Q43" s="8"/>
      <c r="R43" s="8"/>
    </row>
    <row r="44" spans="2:18" x14ac:dyDescent="0.3">
      <c r="B44" s="25"/>
      <c r="H44" s="26"/>
      <c r="I44" s="26"/>
      <c r="J44" s="26"/>
      <c r="K44" s="26"/>
      <c r="L44" s="26"/>
      <c r="M44" s="27"/>
      <c r="N44" s="26"/>
      <c r="O44" s="26"/>
      <c r="P44" s="26"/>
      <c r="Q44" s="26"/>
      <c r="R44" s="26"/>
    </row>
    <row r="45" spans="2:18" x14ac:dyDescent="0.3">
      <c r="M45" s="27"/>
    </row>
    <row r="46" spans="2:18" x14ac:dyDescent="0.3">
      <c r="B46" s="4"/>
      <c r="C46" s="4"/>
      <c r="D46" s="4"/>
      <c r="E46" s="4"/>
      <c r="F46" s="4"/>
      <c r="G46" s="4"/>
      <c r="H46" s="27"/>
      <c r="I46" s="27"/>
      <c r="J46" s="27"/>
      <c r="K46" s="27"/>
      <c r="L46" s="27"/>
      <c r="M46" s="27"/>
      <c r="N46" s="22"/>
      <c r="O46" s="22"/>
      <c r="P46" s="22"/>
      <c r="Q46" s="22"/>
      <c r="R46" s="22"/>
    </row>
    <row r="47" spans="2:18" x14ac:dyDescent="0.3">
      <c r="B47" s="25"/>
      <c r="H47" s="26"/>
      <c r="I47" s="26"/>
      <c r="J47" s="26"/>
      <c r="K47" s="26"/>
      <c r="L47" s="26"/>
      <c r="M47" s="27"/>
      <c r="N47" s="26"/>
      <c r="O47" s="26"/>
      <c r="P47" s="26"/>
      <c r="Q47" s="26"/>
      <c r="R47" s="26"/>
    </row>
    <row r="48" spans="2:18" x14ac:dyDescent="0.3">
      <c r="H48" s="12"/>
      <c r="I48" s="12"/>
      <c r="J48" s="12"/>
      <c r="K48" s="12"/>
      <c r="L48" s="12"/>
      <c r="M48" s="27"/>
      <c r="N48" s="8"/>
      <c r="O48" s="8"/>
      <c r="P48" s="8"/>
      <c r="Q48" s="8"/>
      <c r="R48" s="8"/>
    </row>
    <row r="49" spans="2:18" x14ac:dyDescent="0.3">
      <c r="B49" s="25"/>
      <c r="H49" s="12"/>
      <c r="I49" s="12"/>
      <c r="J49" s="12"/>
      <c r="K49" s="12"/>
      <c r="L49" s="26"/>
      <c r="M49" s="27"/>
      <c r="N49" s="26"/>
      <c r="O49" s="26"/>
      <c r="P49" s="26"/>
      <c r="Q49" s="26"/>
      <c r="R49" s="26"/>
    </row>
    <row r="50" spans="2:18" x14ac:dyDescent="0.3">
      <c r="H50" s="12"/>
      <c r="I50" s="12"/>
      <c r="J50" s="12"/>
      <c r="K50" s="12"/>
      <c r="L50" s="12"/>
      <c r="M50" s="27"/>
      <c r="N50" s="8"/>
      <c r="O50" s="8"/>
      <c r="P50" s="8"/>
      <c r="Q50" s="8"/>
      <c r="R50" s="8"/>
    </row>
    <row r="51" spans="2:18" x14ac:dyDescent="0.3">
      <c r="B51" s="25"/>
      <c r="H51" s="12"/>
      <c r="I51" s="12"/>
      <c r="J51" s="12"/>
      <c r="K51" s="12"/>
      <c r="L51" s="26"/>
      <c r="M51" s="27"/>
      <c r="N51" s="26"/>
      <c r="O51" s="26"/>
      <c r="P51" s="26"/>
      <c r="Q51" s="26"/>
      <c r="R51" s="26"/>
    </row>
    <row r="52" spans="2:18" x14ac:dyDescent="0.3">
      <c r="M52" s="27"/>
    </row>
    <row r="53" spans="2:18" x14ac:dyDescent="0.3">
      <c r="M53" s="27"/>
      <c r="N53" s="8"/>
    </row>
    <row r="54" spans="2:18" x14ac:dyDescent="0.3">
      <c r="M54" s="27"/>
    </row>
    <row r="55" spans="2:18" x14ac:dyDescent="0.3">
      <c r="M55" s="27"/>
    </row>
    <row r="56" spans="2:18" x14ac:dyDescent="0.3">
      <c r="M56" s="27"/>
    </row>
    <row r="57" spans="2:18" x14ac:dyDescent="0.3">
      <c r="M57" s="27"/>
    </row>
    <row r="58" spans="2:18" x14ac:dyDescent="0.3">
      <c r="M58" s="27"/>
    </row>
    <row r="59" spans="2:18" x14ac:dyDescent="0.3">
      <c r="M59" s="27"/>
    </row>
  </sheetData>
  <mergeCells count="3">
    <mergeCell ref="H3:K3"/>
    <mergeCell ref="L3:O3"/>
    <mergeCell ref="P3: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Segments</vt:lpstr>
      <vt:lpstr>Extras</vt:lpstr>
      <vt:lpstr>Quarterly Segments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Odabasi</dc:creator>
  <cp:lastModifiedBy>Kerem Odabasi</cp:lastModifiedBy>
  <dcterms:created xsi:type="dcterms:W3CDTF">2026-01-02T23:21:27Z</dcterms:created>
  <dcterms:modified xsi:type="dcterms:W3CDTF">2026-09-28T00:57:23Z</dcterms:modified>
</cp:coreProperties>
</file>