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theme/themeOverride5.xml" ContentType="application/vnd.openxmlformats-officedocument.themeOverrid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Financial Models\"/>
    </mc:Choice>
  </mc:AlternateContent>
  <xr:revisionPtr revIDLastSave="0" documentId="13_ncr:1_{0DF77D34-6AAF-4FCA-A756-838F59E53491}" xr6:coauthVersionLast="47" xr6:coauthVersionMax="47" xr10:uidLastSave="{00000000-0000-0000-0000-000000000000}"/>
  <bookViews>
    <workbookView xWindow="30828" yWindow="492" windowWidth="29364" windowHeight="15768" xr2:uid="{DD181D79-B43F-4101-885F-595C61B85884}"/>
  </bookViews>
  <sheets>
    <sheet name="Sheet1" sheetId="1" r:id="rId1"/>
    <sheet name="Pivot Data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10" i="1" l="1"/>
  <c r="BP10" i="1"/>
  <c r="BQ10" i="1"/>
  <c r="BR10" i="1"/>
  <c r="BS10" i="1"/>
  <c r="BT10" i="1"/>
  <c r="BU10" i="1"/>
  <c r="BO3" i="1"/>
  <c r="BP3" i="1"/>
  <c r="BQ3" i="1"/>
  <c r="BR3" i="1"/>
  <c r="BS3" i="1"/>
  <c r="BT3" i="1"/>
  <c r="BU3" i="1"/>
  <c r="BO4" i="1"/>
  <c r="BP4" i="1"/>
  <c r="BQ4" i="1"/>
  <c r="BR4" i="1"/>
  <c r="BS4" i="1"/>
  <c r="BT4" i="1"/>
  <c r="BU4" i="1"/>
  <c r="BO5" i="1"/>
  <c r="BP5" i="1"/>
  <c r="BQ5" i="1"/>
  <c r="BR5" i="1"/>
  <c r="BS5" i="1"/>
  <c r="BT5" i="1"/>
  <c r="BU5" i="1"/>
  <c r="BA2" i="1" a="1"/>
  <c r="BB2" i="1" a="1"/>
  <c r="BC2" i="1" a="1"/>
  <c r="BD2" i="1" a="1"/>
  <c r="BE2" i="1" a="1"/>
  <c r="BF2" i="1" a="1"/>
  <c r="BG2" i="1" a="1"/>
  <c r="BH2" i="1" a="1"/>
  <c r="BI2" i="1" a="1"/>
  <c r="BJ2" i="1" a="1"/>
  <c r="BK2" i="1" a="1"/>
  <c r="BL2" i="1" a="1"/>
  <c r="BM2" i="1" a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AZ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V7" i="1"/>
  <c r="X7" i="1"/>
  <c r="W7" i="1"/>
  <c r="Y7" i="1"/>
  <c r="AG7" i="1"/>
  <c r="AF7" i="1"/>
  <c r="AE7" i="1"/>
  <c r="AD7" i="1"/>
  <c r="AC7" i="1"/>
  <c r="AB7" i="1"/>
  <c r="AA7" i="1"/>
  <c r="Z7" i="1"/>
  <c r="AH7" i="1"/>
  <c r="L5" i="1"/>
  <c r="J3" i="1"/>
  <c r="I3" i="1"/>
  <c r="H3" i="1"/>
  <c r="H5" i="1"/>
  <c r="I5" i="1"/>
  <c r="J5" i="1"/>
  <c r="L6" i="1"/>
  <c r="L3" i="1"/>
  <c r="K14" i="1"/>
  <c r="J14" i="1"/>
  <c r="I14" i="1"/>
  <c r="H14" i="1"/>
  <c r="G14" i="1"/>
  <c r="E14" i="1"/>
  <c r="F14" i="1"/>
  <c r="J7" i="1"/>
  <c r="I7" i="1"/>
  <c r="H7" i="1"/>
  <c r="G7" i="1"/>
  <c r="F7" i="1"/>
  <c r="E7" i="1"/>
  <c r="K7" i="1"/>
  <c r="K20" i="1"/>
  <c r="J20" i="1"/>
  <c r="I20" i="1"/>
  <c r="H20" i="1"/>
  <c r="G20" i="1"/>
  <c r="F20" i="1"/>
  <c r="E20" i="1"/>
  <c r="K19" i="1"/>
  <c r="I19" i="1"/>
  <c r="H19" i="1"/>
  <c r="G19" i="1"/>
  <c r="F19" i="1"/>
  <c r="E19" i="1"/>
  <c r="K18" i="1"/>
  <c r="J18" i="1"/>
  <c r="I18" i="1"/>
  <c r="H18" i="1"/>
  <c r="G18" i="1"/>
  <c r="F18" i="1"/>
  <c r="E18" i="1"/>
  <c r="K17" i="1"/>
  <c r="J17" i="1"/>
  <c r="I17" i="1"/>
  <c r="G17" i="1"/>
  <c r="F17" i="1"/>
  <c r="E17" i="1"/>
  <c r="BO9" i="1" l="1"/>
  <c r="BP9" i="1"/>
  <c r="BQ9" i="1"/>
  <c r="BR9" i="1"/>
  <c r="BS9" i="1"/>
  <c r="BT9" i="1"/>
  <c r="BU9" i="1"/>
  <c r="BO11" i="1"/>
  <c r="BP11" i="1"/>
  <c r="BQ11" i="1"/>
  <c r="BR11" i="1"/>
  <c r="BS11" i="1"/>
  <c r="BT11" i="1"/>
  <c r="BU11" i="1"/>
  <c r="BC5" i="1"/>
  <c r="BE5" i="1"/>
  <c r="BF5" i="1"/>
  <c r="BG5" i="1"/>
  <c r="BL5" i="1"/>
  <c r="BM5" i="1"/>
  <c r="BK5" i="1"/>
  <c r="L7" i="1"/>
  <c r="BA5" i="1"/>
  <c r="BB5" i="1"/>
  <c r="BD5" i="1"/>
  <c r="BH5" i="1"/>
  <c r="BI5" i="1"/>
  <c r="BJ5" i="1"/>
  <c r="BC2" i="1"/>
  <c r="BF2" i="1"/>
  <c r="BA2" i="1"/>
  <c r="BD2" i="1"/>
  <c r="BB2" i="1"/>
  <c r="BE2" i="1"/>
  <c r="BG2" i="1"/>
  <c r="BI2" i="1"/>
  <c r="BH2" i="1"/>
  <c r="BK2" i="1"/>
  <c r="BJ2" i="1"/>
  <c r="BL2" i="1"/>
  <c r="BM2" i="1"/>
  <c r="H17" i="1"/>
  <c r="J19" i="1"/>
  <c r="E21" i="1"/>
  <c r="F21" i="1"/>
  <c r="G21" i="1"/>
  <c r="I21" i="1"/>
  <c r="K21" i="1"/>
  <c r="H21" i="1" l="1"/>
  <c r="J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<sst xmlns="http://schemas.openxmlformats.org/spreadsheetml/2006/main" count="168" uniqueCount="50">
  <si>
    <t>Capex</t>
  </si>
  <si>
    <t>2026E</t>
  </si>
  <si>
    <t>AMZN</t>
  </si>
  <si>
    <t>Operating Cash Flow</t>
  </si>
  <si>
    <t>MSFT</t>
  </si>
  <si>
    <t>GOOGL</t>
  </si>
  <si>
    <t>META</t>
  </si>
  <si>
    <t>CapEx % of OCF</t>
  </si>
  <si>
    <t>Company</t>
  </si>
  <si>
    <t>Metric</t>
  </si>
  <si>
    <t>CapEx</t>
  </si>
  <si>
    <t>Year</t>
  </si>
  <si>
    <t>AMZN CapEx</t>
  </si>
  <si>
    <t>AMZN OCF</t>
  </si>
  <si>
    <t>MSFT CapEx</t>
  </si>
  <si>
    <t>MSFT OCF</t>
  </si>
  <si>
    <t>GOOGL CapEx</t>
  </si>
  <si>
    <t>GOOGL OCF</t>
  </si>
  <si>
    <t>META CapEx</t>
  </si>
  <si>
    <t>META OCF</t>
  </si>
  <si>
    <t>TOTAL</t>
  </si>
  <si>
    <t>Notes</t>
  </si>
  <si>
    <t>2027E</t>
  </si>
  <si>
    <t>Includes Finance Leases</t>
  </si>
  <si>
    <t>x</t>
  </si>
  <si>
    <t>Q3</t>
  </si>
  <si>
    <t>Q1</t>
  </si>
  <si>
    <t>Q2</t>
  </si>
  <si>
    <t>Q4</t>
  </si>
  <si>
    <t>March</t>
  </si>
  <si>
    <t>June</t>
  </si>
  <si>
    <t>Cloud Growth</t>
  </si>
  <si>
    <t>Cloud Revenue</t>
  </si>
  <si>
    <t>Azure</t>
  </si>
  <si>
    <t>AWS</t>
  </si>
  <si>
    <t>GCP</t>
  </si>
  <si>
    <t>Q2E</t>
  </si>
  <si>
    <t>Q3E</t>
  </si>
  <si>
    <t>Q4E</t>
  </si>
  <si>
    <t>Azure (est)</t>
  </si>
  <si>
    <t>Sep</t>
  </si>
  <si>
    <t>Dec</t>
  </si>
  <si>
    <t/>
  </si>
  <si>
    <t>2024 Q3</t>
  </si>
  <si>
    <t>2024 Q4</t>
  </si>
  <si>
    <t>2025 Q1</t>
  </si>
  <si>
    <t>2025 Q2</t>
  </si>
  <si>
    <t>2025 Q3</t>
  </si>
  <si>
    <t>2025 Q4</t>
  </si>
  <si>
    <t>2026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</si>
</sst>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80808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6B35"/>
        <bgColor indexed="64"/>
      </patternFill>
    </fill>
    <fill>
      <patternFill patternType="solid">
        <fgColor rgb="FFC41E3A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0668E1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/>
    <xf numFmtId="164" fontId="0" fillId="0" borderId="0" xfId="0" applyNumberForma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0" fillId="7" borderId="0" xfId="0" applyFill="1"/>
    <xf numFmtId="3" fontId="0" fillId="7" borderId="0" xfId="0" applyNumberFormat="1" applyFill="1"/>
    <xf numFmtId="10" fontId="0" fillId="7" borderId="0" xfId="0" applyNumberFormat="1" applyFill="1"/>
    <xf numFmtId="0" fontId="1" fillId="8" borderId="0" xfId="0" applyFont="1" applyFill="1"/>
    <xf numFmtId="0" fontId="1" fillId="8" borderId="0" xfId="0" applyFont="1" applyFill="1" applyAlignment="1">
      <alignment horizontal="right"/>
    </xf>
    <xf numFmtId="0" fontId="0" fillId="7" borderId="1" xfId="0" applyFill="1" applyBorder="1"/>
    <xf numFmtId="3" fontId="0" fillId="7" borderId="1" xfId="0" applyNumberFormat="1" applyFill="1" applyBorder="1"/>
    <xf numFmtId="3" fontId="0" fillId="9" borderId="0" xfId="0" applyNumberFormat="1" applyFill="1"/>
    <xf numFmtId="3" fontId="0" fillId="9" borderId="1" xfId="0" applyNumberFormat="1" applyFill="1" applyBorder="1"/>
    <xf numFmtId="10" fontId="0" fillId="9" borderId="0" xfId="0" applyNumberFormat="1" applyFill="1"/>
    <xf numFmtId="9" fontId="0" fillId="9" borderId="1" xfId="0" applyNumberFormat="1" applyFill="1" applyBorder="1"/>
    <xf numFmtId="9" fontId="0" fillId="7" borderId="1" xfId="0" applyNumberFormat="1" applyFill="1" applyBorder="1"/>
    <xf numFmtId="16" fontId="0" fillId="7" borderId="0" xfId="0" applyNumberFormat="1" applyFill="1"/>
    <xf numFmtId="0" fontId="3" fillId="10" borderId="0" xfId="0" applyFont="1" applyFill="1"/>
    <xf numFmtId="10" fontId="3" fillId="10" borderId="0" xfId="0" applyNumberFormat="1" applyFont="1" applyFill="1"/>
    <xf numFmtId="0" fontId="4" fillId="7" borderId="0" xfId="0" applyFont="1" applyFill="1"/>
    <xf numFmtId="164" fontId="4" fillId="7" borderId="0" xfId="0" applyNumberFormat="1" applyFont="1" applyFill="1"/>
    <xf numFmtId="49" fontId="4" fillId="7" borderId="0" xfId="0" applyNumberFormat="1" applyFont="1" applyFill="1"/>
    <xf numFmtId="0" fontId="0" fillId="7" borderId="0" xfId="0" applyFill="1" applyAlignment="1">
      <alignment horizontal="center"/>
    </xf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5022"/>
      <color rgb="FF34A853"/>
      <color rgb="FFFF9900"/>
      <color rgb="FFFDFDFD"/>
      <color rgb="FF1D262B"/>
      <color rgb="FF455A64"/>
      <color rgb="FF001935"/>
      <color rgb="FF0064E0"/>
      <color rgb="FF0D3D22"/>
      <color rgb="FF2B2B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Amazon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</c:pivotFmt>
      <c:pivotFmt>
        <c:idx val="26"/>
        <c:spPr>
          <a:ln w="107950" cap="sq">
            <a:solidFill>
              <a:schemeClr val="accent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107950" cap="sq">
            <a:solidFill>
              <a:schemeClr val="accent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002060"/>
          </a:solidFill>
          <a:ln w="107950" cap="sq">
            <a:solidFill>
              <a:srgbClr val="002060"/>
            </a:solidFill>
          </a:ln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000">
                  <a:ln w="6350" cap="sq"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43137"/>
                      </a:srgbClr>
                    </a:outerShdw>
                  </a:effectLst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002060"/>
          </a:solidFill>
          <a:ln w="107950" cap="rnd">
            <a:solidFill>
              <a:srgbClr val="002060"/>
            </a:solidFill>
          </a:ln>
        </c:spPr>
      </c:pivotFmt>
      <c:pivotFmt>
        <c:idx val="40"/>
        <c:spPr>
          <a:solidFill>
            <a:srgbClr val="002060"/>
          </a:solidFill>
          <a:ln w="107950" cap="rnd">
            <a:solidFill>
              <a:srgbClr val="002060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38100" cap="rnd">
            <a:solidFill>
              <a:srgbClr val="D4AF37"/>
            </a:solidFill>
            <a:prstDash val="sysDash"/>
            <a:round/>
          </a:ln>
        </c:spPr>
        <c:marker>
          <c:symbol val="none"/>
        </c:marker>
        <c:dLbl>
          <c:idx val="0"/>
          <c:spPr>
            <a:noFill/>
            <a:ln w="0">
              <a:noFill/>
            </a:ln>
            <a:effectLst/>
          </c:spPr>
          <c:txPr>
            <a:bodyPr wrap="square" lIns="38100" tIns="45720" rIns="38100" bIns="19050" anchor="ctr">
              <a:spAutoFit/>
            </a:bodyPr>
            <a:lstStyle/>
            <a:p>
              <a:pPr>
                <a:defRPr sz="1200">
                  <a:ln w="0" cap="sq">
                    <a:noFill/>
                  </a:ln>
                  <a:solidFill>
                    <a:srgbClr val="D1AA2D"/>
                  </a:solidFill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2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FF9900"/>
            </a:solidFill>
            <a:ln w="107950" cap="rnd">
              <a:solidFill>
                <a:srgbClr val="FF9900"/>
              </a:solidFill>
            </a:ln>
          </c:spPr>
          <c:invertIfNegative val="0"/>
          <c:cat>
            <c:strRef>
              <c:f>Sheet1!$E$2:$K$2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Sheet1!$E$3:$K$3</c:f>
              <c:numCache>
                <c:formatCode>#,##0</c:formatCode>
                <c:ptCount val="7"/>
                <c:pt idx="0">
                  <c:v>35046</c:v>
                </c:pt>
                <c:pt idx="1">
                  <c:v>55396</c:v>
                </c:pt>
                <c:pt idx="2">
                  <c:v>58321</c:v>
                </c:pt>
                <c:pt idx="3">
                  <c:v>53371</c:v>
                </c:pt>
                <c:pt idx="4">
                  <c:v>83853</c:v>
                </c:pt>
                <c:pt idx="5">
                  <c:v>134730</c:v>
                </c:pt>
                <c:pt idx="6">
                  <c:v>215000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8-4E5B-9A2D-F2C57DD4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031700671"/>
        <c:axId val="1031701151"/>
      </c:barChart>
      <c:lineChart>
        <c:grouping val="standard"/>
        <c:varyColors val="0"/>
        <c:ser>
          <c:idx val="1"/>
          <c:order val="1"/>
          <c:tx>
            <c:strRef>
              <c:f>Sheet1!$B$16</c:f>
              <c:strCache>
                <c:ptCount val="1"/>
                <c:pt idx="0">
                  <c:v>CapEx % of OCF</c:v>
                </c:pt>
              </c:strCache>
            </c:strRef>
          </c:tx>
          <c:spPr>
            <a:ln w="38100" cap="rnd">
              <a:solidFill>
                <a:srgbClr val="232F3E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 w="0">
                <a:noFill/>
              </a:ln>
              <a:effectLst/>
            </c:spPr>
            <c:txPr>
              <a:bodyPr wrap="square" lIns="38100" tIns="45720" rIns="38100" bIns="19050" anchor="ctr">
                <a:spAutoFit/>
              </a:bodyPr>
              <a:lstStyle/>
              <a:p>
                <a:pPr>
                  <a:defRPr sz="1200">
                    <a:ln w="0" cap="sq">
                      <a:noFill/>
                    </a:ln>
                    <a:solidFill>
                      <a:srgbClr val="232F3E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Sheet1!$E$2:$K$2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Sheet1!$E$17:$K$17</c:f>
              <c:numCache>
                <c:formatCode>0.00%</c:formatCode>
                <c:ptCount val="7"/>
                <c:pt idx="0">
                  <c:v>0.53048558973116977</c:v>
                </c:pt>
                <c:pt idx="1">
                  <c:v>1.1957605715889221</c:v>
                </c:pt>
                <c:pt idx="2">
                  <c:v>1.2474546543463381</c:v>
                </c:pt>
                <c:pt idx="3">
                  <c:v>0.62829326866479884</c:v>
                </c:pt>
                <c:pt idx="4">
                  <c:v>0.72363799546070406</c:v>
                </c:pt>
                <c:pt idx="5">
                  <c:v>0.94445301218332467</c:v>
                </c:pt>
                <c:pt idx="6">
                  <c:v>1.178030552085388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FB8-4E5B-9A2D-F2C57DD4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5206815"/>
        <c:axId val="1995204415"/>
      </c:lineChart>
      <c:catAx>
        <c:axId val="103170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>
              <a:lumMod val="75000"/>
              <a:alpha val="0"/>
            </a:schemeClr>
          </a:solidFill>
          <a:ln w="31750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0" spcFirstLastPara="1" vertOverflow="ellipsis" vert="horz" wrap="square" anchor="t" anchorCtr="0"/>
          <a:lstStyle/>
          <a:p>
            <a:pPr>
              <a:defRPr sz="2000" b="0" i="0" u="none" strike="noStrike" kern="120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01151"/>
        <c:crosses val="autoZero"/>
        <c:auto val="1"/>
        <c:lblAlgn val="ctr"/>
        <c:lblOffset val="100"/>
        <c:noMultiLvlLbl val="0"/>
      </c:catAx>
      <c:valAx>
        <c:axId val="103170115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3"/>
              </a:solidFill>
              <a:prstDash val="solid"/>
              <a:round/>
              <a:headEnd type="none"/>
            </a:ln>
            <a:effectLst/>
          </c:spPr>
        </c:majorGridlines>
        <c:numFmt formatCode="#,##0" sourceLinked="0"/>
        <c:majorTickMark val="in"/>
        <c:minorTickMark val="none"/>
        <c:tickLblPos val="nextTo"/>
        <c:spPr>
          <a:noFill/>
          <a:ln w="28575">
            <a:solidFill>
              <a:schemeClr val="bg1">
                <a:lumMod val="75000"/>
              </a:schemeClr>
            </a:solidFill>
          </a:ln>
          <a:effectLst/>
        </c:spPr>
        <c:txPr>
          <a:bodyPr rot="0" spcFirstLastPara="1" vertOverflow="ellipsis" vert="horz" wrap="square" anchor="ctr" anchorCtr="0"/>
          <a:lstStyle/>
          <a:p>
            <a:pPr>
              <a:defRPr sz="1400" b="0" i="0" u="none" strike="noStrike" kern="1200" baseline="0">
                <a:ln>
                  <a:noFill/>
                </a:ln>
                <a:solidFill>
                  <a:schemeClr val="accent3">
                    <a:lumMod val="50000"/>
                  </a:schemeClr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00671"/>
        <c:crosses val="autoZero"/>
        <c:crossBetween val="between"/>
      </c:valAx>
      <c:valAx>
        <c:axId val="199520441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one"/>
        <c:spPr>
          <a:noFill/>
          <a:ln w="0">
            <a:noFill/>
          </a:ln>
        </c:spPr>
        <c:crossAx val="1995206815"/>
        <c:crosses val="max"/>
        <c:crossBetween val="between"/>
      </c:valAx>
      <c:catAx>
        <c:axId val="1995206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5204415"/>
        <c:crosses val="autoZero"/>
        <c:auto val="1"/>
        <c:lblAlgn val="ctr"/>
        <c:lblOffset val="100"/>
        <c:noMultiLvlLbl val="0"/>
      </c:catAx>
      <c:spPr>
        <a:solidFill>
          <a:srgbClr val="FDFDFD"/>
        </a:solidFill>
        <a:ln>
          <a:solidFill>
            <a:srgbClr val="FDFDFD"/>
          </a:solidFill>
        </a:ln>
      </c:spPr>
    </c:plotArea>
    <c:legend>
      <c:legendPos val="t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DFDFD"/>
    </a:solidFill>
    <a:ln w="107950" cap="rnd"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Microsoft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</c:pivotFmt>
      <c:pivotFmt>
        <c:idx val="26"/>
        <c:spPr>
          <a:ln w="107950" cap="sq">
            <a:solidFill>
              <a:schemeClr val="accent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107950" cap="sq">
            <a:solidFill>
              <a:schemeClr val="accent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002060"/>
          </a:solidFill>
          <a:ln w="107950" cap="sq">
            <a:solidFill>
              <a:srgbClr val="002060"/>
            </a:solidFill>
          </a:ln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000">
                  <a:ln w="6350" cap="sq"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43137"/>
                      </a:srgbClr>
                    </a:outerShdw>
                  </a:effectLst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002060"/>
          </a:solidFill>
          <a:ln w="107950" cap="rnd">
            <a:solidFill>
              <a:srgbClr val="002060"/>
            </a:solidFill>
          </a:ln>
        </c:spPr>
      </c:pivotFmt>
      <c:pivotFmt>
        <c:idx val="40"/>
        <c:spPr>
          <a:solidFill>
            <a:srgbClr val="002060"/>
          </a:solidFill>
          <a:ln w="107950" cap="rnd">
            <a:solidFill>
              <a:srgbClr val="002060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38100" cap="rnd">
            <a:solidFill>
              <a:srgbClr val="D4AF37"/>
            </a:solidFill>
            <a:prstDash val="sysDash"/>
            <a:round/>
          </a:ln>
        </c:spPr>
        <c:marker>
          <c:symbol val="none"/>
        </c:marker>
        <c:dLbl>
          <c:idx val="0"/>
          <c:spPr>
            <a:noFill/>
            <a:ln w="0">
              <a:noFill/>
            </a:ln>
            <a:effectLst/>
          </c:spPr>
          <c:txPr>
            <a:bodyPr wrap="square" lIns="38100" tIns="45720" rIns="38100" bIns="19050" anchor="ctr">
              <a:spAutoFit/>
            </a:bodyPr>
            <a:lstStyle/>
            <a:p>
              <a:pPr>
                <a:defRPr sz="1200">
                  <a:ln w="0" cap="sq">
                    <a:noFill/>
                  </a:ln>
                  <a:solidFill>
                    <a:srgbClr val="D1AA2D"/>
                  </a:solidFill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2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F25022"/>
            </a:solidFill>
            <a:ln w="107950" cap="rnd">
              <a:solidFill>
                <a:srgbClr val="F25022"/>
              </a:solidFill>
            </a:ln>
          </c:spPr>
          <c:invertIfNegative val="0"/>
          <c:cat>
            <c:strRef>
              <c:f>Sheet1!$E$2:$K$2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Sheet1!$E$4:$K$4</c:f>
              <c:numCache>
                <c:formatCode>#,##0</c:formatCode>
                <c:ptCount val="7"/>
                <c:pt idx="0">
                  <c:v>15441</c:v>
                </c:pt>
                <c:pt idx="1">
                  <c:v>20622</c:v>
                </c:pt>
                <c:pt idx="2">
                  <c:v>23886</c:v>
                </c:pt>
                <c:pt idx="3">
                  <c:v>43821.1</c:v>
                </c:pt>
                <c:pt idx="4">
                  <c:v>72160.3</c:v>
                </c:pt>
                <c:pt idx="5">
                  <c:v>108315</c:v>
                </c:pt>
                <c:pt idx="6">
                  <c:v>194162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8-4E5B-9A2D-F2C57DD4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031700671"/>
        <c:axId val="1031701151"/>
      </c:barChart>
      <c:lineChart>
        <c:grouping val="standard"/>
        <c:varyColors val="0"/>
        <c:ser>
          <c:idx val="1"/>
          <c:order val="1"/>
          <c:tx>
            <c:strRef>
              <c:f>Sheet1!$B$16</c:f>
              <c:strCache>
                <c:ptCount val="1"/>
                <c:pt idx="0">
                  <c:v>CapEx % of OCF</c:v>
                </c:pt>
              </c:strCache>
            </c:strRef>
          </c:tx>
          <c:spPr>
            <a:ln w="38100" cap="rnd">
              <a:solidFill>
                <a:srgbClr val="2B2B2B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 w="0">
                <a:noFill/>
              </a:ln>
              <a:effectLst/>
            </c:spPr>
            <c:txPr>
              <a:bodyPr wrap="square" lIns="38100" tIns="45720" rIns="38100" bIns="19050" anchor="ctr">
                <a:spAutoFit/>
              </a:bodyPr>
              <a:lstStyle/>
              <a:p>
                <a:pPr>
                  <a:defRPr sz="1200">
                    <a:ln w="0" cap="sq">
                      <a:noFill/>
                    </a:ln>
                    <a:solidFill>
                      <a:srgbClr val="2B2B2B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Sheet1!$E$2:$K$2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Sheet1!$E$18:$K$18</c:f>
              <c:numCache>
                <c:formatCode>0.00%</c:formatCode>
                <c:ptCount val="7"/>
                <c:pt idx="0">
                  <c:v>0.25448702101359705</c:v>
                </c:pt>
                <c:pt idx="1">
                  <c:v>0.26872556684910087</c:v>
                </c:pt>
                <c:pt idx="2">
                  <c:v>0.26827652046947831</c:v>
                </c:pt>
                <c:pt idx="3">
                  <c:v>0.5003436779246877</c:v>
                </c:pt>
                <c:pt idx="4">
                  <c:v>0.60870111684718431</c:v>
                </c:pt>
                <c:pt idx="5">
                  <c:v>0.79548625901499681</c:v>
                </c:pt>
                <c:pt idx="6">
                  <c:v>1.1355233377585692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FB8-4E5B-9A2D-F2C57DD4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5206815"/>
        <c:axId val="1995204415"/>
      </c:lineChart>
      <c:catAx>
        <c:axId val="103170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>
              <a:lumMod val="75000"/>
              <a:alpha val="0"/>
            </a:schemeClr>
          </a:solidFill>
          <a:ln w="31750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0" spcFirstLastPara="1" vertOverflow="ellipsis" vert="horz" wrap="square" anchor="t" anchorCtr="0"/>
          <a:lstStyle/>
          <a:p>
            <a:pPr>
              <a:defRPr sz="2000" b="0" i="0" u="none" strike="noStrike" kern="120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01151"/>
        <c:crosses val="autoZero"/>
        <c:auto val="1"/>
        <c:lblAlgn val="ctr"/>
        <c:lblOffset val="100"/>
        <c:noMultiLvlLbl val="0"/>
      </c:catAx>
      <c:valAx>
        <c:axId val="103170115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3"/>
              </a:solidFill>
              <a:prstDash val="solid"/>
              <a:round/>
              <a:headEnd type="none"/>
            </a:ln>
            <a:effectLst/>
          </c:spPr>
        </c:majorGridlines>
        <c:numFmt formatCode="#,##0" sourceLinked="0"/>
        <c:majorTickMark val="in"/>
        <c:minorTickMark val="none"/>
        <c:tickLblPos val="nextTo"/>
        <c:spPr>
          <a:noFill/>
          <a:ln w="28575">
            <a:solidFill>
              <a:schemeClr val="bg1">
                <a:lumMod val="75000"/>
              </a:schemeClr>
            </a:solidFill>
          </a:ln>
          <a:effectLst/>
        </c:spPr>
        <c:txPr>
          <a:bodyPr rot="0" spcFirstLastPara="1" vertOverflow="ellipsis" vert="horz" wrap="square" anchor="ctr" anchorCtr="0"/>
          <a:lstStyle/>
          <a:p>
            <a:pPr>
              <a:defRPr sz="1400" b="0" i="0" u="none" strike="noStrike" kern="1200" baseline="0">
                <a:ln>
                  <a:noFill/>
                </a:ln>
                <a:solidFill>
                  <a:schemeClr val="accent3">
                    <a:lumMod val="50000"/>
                  </a:schemeClr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00671"/>
        <c:crosses val="autoZero"/>
        <c:crossBetween val="between"/>
      </c:valAx>
      <c:valAx>
        <c:axId val="199520441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one"/>
        <c:spPr>
          <a:noFill/>
          <a:ln w="0">
            <a:noFill/>
          </a:ln>
        </c:spPr>
        <c:crossAx val="1995206815"/>
        <c:crosses val="max"/>
        <c:crossBetween val="between"/>
      </c:valAx>
      <c:catAx>
        <c:axId val="1995206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5204415"/>
        <c:crosses val="autoZero"/>
        <c:auto val="1"/>
        <c:lblAlgn val="ctr"/>
        <c:lblOffset val="100"/>
        <c:noMultiLvlLbl val="0"/>
      </c:catAx>
      <c:spPr>
        <a:solidFill>
          <a:srgbClr val="FDFDFD"/>
        </a:solidFill>
        <a:ln>
          <a:solidFill>
            <a:srgbClr val="FDFDFD"/>
          </a:solidFill>
        </a:ln>
      </c:spPr>
    </c:plotArea>
    <c:legend>
      <c:legendPos val="t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DFDFD"/>
    </a:solidFill>
    <a:ln w="107950" cap="rnd"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Google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</c:pivotFmt>
      <c:pivotFmt>
        <c:idx val="26"/>
        <c:spPr>
          <a:ln w="107950" cap="sq">
            <a:solidFill>
              <a:schemeClr val="accent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107950" cap="sq">
            <a:solidFill>
              <a:schemeClr val="accent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002060"/>
          </a:solidFill>
          <a:ln w="107950" cap="sq">
            <a:solidFill>
              <a:srgbClr val="002060"/>
            </a:solidFill>
          </a:ln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000">
                  <a:ln w="6350" cap="sq"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43137"/>
                      </a:srgbClr>
                    </a:outerShdw>
                  </a:effectLst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002060"/>
          </a:solidFill>
          <a:ln w="107950" cap="rnd">
            <a:solidFill>
              <a:srgbClr val="002060"/>
            </a:solidFill>
          </a:ln>
        </c:spPr>
      </c:pivotFmt>
      <c:pivotFmt>
        <c:idx val="40"/>
        <c:spPr>
          <a:solidFill>
            <a:srgbClr val="002060"/>
          </a:solidFill>
          <a:ln w="107950" cap="rnd">
            <a:solidFill>
              <a:srgbClr val="002060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38100" cap="rnd">
            <a:solidFill>
              <a:srgbClr val="D4AF37"/>
            </a:solidFill>
            <a:prstDash val="sysDash"/>
            <a:round/>
          </a:ln>
        </c:spPr>
        <c:marker>
          <c:symbol val="none"/>
        </c:marker>
        <c:dLbl>
          <c:idx val="0"/>
          <c:spPr>
            <a:noFill/>
            <a:ln w="0">
              <a:noFill/>
            </a:ln>
            <a:effectLst/>
          </c:spPr>
          <c:txPr>
            <a:bodyPr wrap="square" lIns="38100" tIns="45720" rIns="38100" bIns="19050" anchor="ctr">
              <a:spAutoFit/>
            </a:bodyPr>
            <a:lstStyle/>
            <a:p>
              <a:pPr>
                <a:defRPr sz="1200">
                  <a:ln w="0" cap="sq">
                    <a:noFill/>
                  </a:ln>
                  <a:solidFill>
                    <a:srgbClr val="D1AA2D"/>
                  </a:solidFill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2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34A853"/>
            </a:solidFill>
            <a:ln w="107950" cap="rnd">
              <a:solidFill>
                <a:srgbClr val="34A853"/>
              </a:solidFill>
            </a:ln>
          </c:spPr>
          <c:invertIfNegative val="0"/>
          <c:cat>
            <c:strRef>
              <c:f>Sheet1!$E$2:$K$2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Sheet1!$E$5:$K$5</c:f>
              <c:numCache>
                <c:formatCode>#,##0</c:formatCode>
                <c:ptCount val="7"/>
                <c:pt idx="0">
                  <c:v>22281</c:v>
                </c:pt>
                <c:pt idx="1">
                  <c:v>24640</c:v>
                </c:pt>
                <c:pt idx="2">
                  <c:v>31485</c:v>
                </c:pt>
                <c:pt idx="3">
                  <c:v>32815</c:v>
                </c:pt>
                <c:pt idx="4">
                  <c:v>52848</c:v>
                </c:pt>
                <c:pt idx="5">
                  <c:v>93053</c:v>
                </c:pt>
                <c:pt idx="6">
                  <c:v>190000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8-4E5B-9A2D-F2C57DD4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031700671"/>
        <c:axId val="1031701151"/>
      </c:barChart>
      <c:lineChart>
        <c:grouping val="standard"/>
        <c:varyColors val="0"/>
        <c:ser>
          <c:idx val="1"/>
          <c:order val="1"/>
          <c:tx>
            <c:strRef>
              <c:f>Sheet1!$B$16</c:f>
              <c:strCache>
                <c:ptCount val="1"/>
                <c:pt idx="0">
                  <c:v>CapEx % of OCF</c:v>
                </c:pt>
              </c:strCache>
            </c:strRef>
          </c:tx>
          <c:spPr>
            <a:ln w="38100" cap="rnd">
              <a:solidFill>
                <a:srgbClr val="0D3D22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 w="0">
                <a:noFill/>
              </a:ln>
              <a:effectLst/>
            </c:spPr>
            <c:txPr>
              <a:bodyPr wrap="square" lIns="38100" tIns="45720" rIns="38100" bIns="19050" anchor="ctr">
                <a:spAutoFit/>
              </a:bodyPr>
              <a:lstStyle/>
              <a:p>
                <a:pPr>
                  <a:defRPr sz="1200">
                    <a:ln w="0" cap="sq">
                      <a:noFill/>
                    </a:ln>
                    <a:solidFill>
                      <a:srgbClr val="0D3D22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Sheet1!$E$2:$K$2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Sheet1!$E$19:$K$19</c:f>
              <c:numCache>
                <c:formatCode>0.00%</c:formatCode>
                <c:ptCount val="7"/>
                <c:pt idx="0">
                  <c:v>0.34213193292795285</c:v>
                </c:pt>
                <c:pt idx="1">
                  <c:v>0.26884301488238116</c:v>
                </c:pt>
                <c:pt idx="2">
                  <c:v>0.34411716487239741</c:v>
                </c:pt>
                <c:pt idx="3">
                  <c:v>0.32251882137872739</c:v>
                </c:pt>
                <c:pt idx="4">
                  <c:v>0.42177511392748546</c:v>
                </c:pt>
                <c:pt idx="5">
                  <c:v>0.5649402293686594</c:v>
                </c:pt>
                <c:pt idx="6">
                  <c:v>0.97547451701176213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FB8-4E5B-9A2D-F2C57DD4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5206815"/>
        <c:axId val="1995204415"/>
      </c:lineChart>
      <c:catAx>
        <c:axId val="103170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>
              <a:lumMod val="75000"/>
              <a:alpha val="0"/>
            </a:schemeClr>
          </a:solidFill>
          <a:ln w="31750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0" spcFirstLastPara="1" vertOverflow="ellipsis" vert="horz" wrap="square" anchor="t" anchorCtr="0"/>
          <a:lstStyle/>
          <a:p>
            <a:pPr>
              <a:defRPr sz="2000" b="0" i="0" u="none" strike="noStrike" kern="120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01151"/>
        <c:crosses val="autoZero"/>
        <c:auto val="1"/>
        <c:lblAlgn val="ctr"/>
        <c:lblOffset val="100"/>
        <c:noMultiLvlLbl val="0"/>
      </c:catAx>
      <c:valAx>
        <c:axId val="103170115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3"/>
              </a:solidFill>
              <a:prstDash val="solid"/>
              <a:round/>
              <a:headEnd type="none"/>
            </a:ln>
            <a:effectLst/>
          </c:spPr>
        </c:majorGridlines>
        <c:numFmt formatCode="#,##0" sourceLinked="0"/>
        <c:majorTickMark val="in"/>
        <c:minorTickMark val="none"/>
        <c:tickLblPos val="nextTo"/>
        <c:spPr>
          <a:noFill/>
          <a:ln w="28575">
            <a:solidFill>
              <a:schemeClr val="bg1">
                <a:lumMod val="75000"/>
              </a:schemeClr>
            </a:solidFill>
          </a:ln>
          <a:effectLst/>
        </c:spPr>
        <c:txPr>
          <a:bodyPr rot="0" spcFirstLastPara="1" vertOverflow="ellipsis" vert="horz" wrap="square" anchor="ctr" anchorCtr="0"/>
          <a:lstStyle/>
          <a:p>
            <a:pPr>
              <a:defRPr sz="1400" b="0" i="0" u="none" strike="noStrike" kern="1200" baseline="0">
                <a:ln>
                  <a:noFill/>
                </a:ln>
                <a:solidFill>
                  <a:schemeClr val="accent3">
                    <a:lumMod val="50000"/>
                  </a:schemeClr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00671"/>
        <c:crosses val="autoZero"/>
        <c:crossBetween val="between"/>
      </c:valAx>
      <c:valAx>
        <c:axId val="199520441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one"/>
        <c:spPr>
          <a:noFill/>
          <a:ln w="0">
            <a:noFill/>
          </a:ln>
        </c:spPr>
        <c:crossAx val="1995206815"/>
        <c:crosses val="max"/>
        <c:crossBetween val="between"/>
      </c:valAx>
      <c:catAx>
        <c:axId val="1995206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5204415"/>
        <c:crosses val="autoZero"/>
        <c:auto val="1"/>
        <c:lblAlgn val="ctr"/>
        <c:lblOffset val="100"/>
        <c:noMultiLvlLbl val="0"/>
      </c:catAx>
      <c:spPr>
        <a:solidFill>
          <a:srgbClr val="FDFDFD"/>
        </a:solidFill>
        <a:ln>
          <a:solidFill>
            <a:srgbClr val="FDFDFD"/>
          </a:solidFill>
        </a:ln>
      </c:spPr>
    </c:plotArea>
    <c:legend>
      <c:legendPos val="t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DFDFD"/>
    </a:solidFill>
    <a:ln w="107950" cap="rnd"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Meta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</c:pivotFmt>
      <c:pivotFmt>
        <c:idx val="26"/>
        <c:spPr>
          <a:ln w="107950" cap="sq">
            <a:solidFill>
              <a:schemeClr val="accent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107950" cap="sq">
            <a:solidFill>
              <a:schemeClr val="accent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002060"/>
          </a:solidFill>
          <a:ln w="107950" cap="sq">
            <a:solidFill>
              <a:srgbClr val="002060"/>
            </a:solidFill>
          </a:ln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000">
                  <a:ln w="6350" cap="sq"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43137"/>
                      </a:srgbClr>
                    </a:outerShdw>
                  </a:effectLst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002060"/>
          </a:solidFill>
          <a:ln w="107950" cap="rnd">
            <a:solidFill>
              <a:srgbClr val="002060"/>
            </a:solidFill>
          </a:ln>
        </c:spPr>
      </c:pivotFmt>
      <c:pivotFmt>
        <c:idx val="40"/>
        <c:spPr>
          <a:solidFill>
            <a:srgbClr val="002060"/>
          </a:solidFill>
          <a:ln w="107950" cap="rnd">
            <a:solidFill>
              <a:srgbClr val="002060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38100" cap="rnd">
            <a:solidFill>
              <a:srgbClr val="D4AF37"/>
            </a:solidFill>
            <a:prstDash val="sysDash"/>
            <a:round/>
          </a:ln>
        </c:spPr>
        <c:marker>
          <c:symbol val="none"/>
        </c:marker>
        <c:dLbl>
          <c:idx val="0"/>
          <c:spPr>
            <a:noFill/>
            <a:ln w="0">
              <a:noFill/>
            </a:ln>
            <a:effectLst/>
          </c:spPr>
          <c:txPr>
            <a:bodyPr wrap="square" lIns="38100" tIns="45720" rIns="38100" bIns="19050" anchor="ctr">
              <a:spAutoFit/>
            </a:bodyPr>
            <a:lstStyle/>
            <a:p>
              <a:pPr>
                <a:defRPr sz="1200">
                  <a:ln w="0" cap="sq">
                    <a:noFill/>
                  </a:ln>
                  <a:solidFill>
                    <a:srgbClr val="D1AA2D"/>
                  </a:solidFill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2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0064E0"/>
            </a:solidFill>
            <a:ln w="107950" cap="rnd">
              <a:solidFill>
                <a:srgbClr val="0064E0"/>
              </a:solidFill>
            </a:ln>
          </c:spPr>
          <c:invertIfNegative val="0"/>
          <c:cat>
            <c:strRef>
              <c:f>Sheet1!$E$2:$K$2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Sheet1!$E$6:$K$6</c:f>
              <c:numCache>
                <c:formatCode>#,##0</c:formatCode>
                <c:ptCount val="7"/>
                <c:pt idx="0">
                  <c:v>15115</c:v>
                </c:pt>
                <c:pt idx="1">
                  <c:v>18567</c:v>
                </c:pt>
                <c:pt idx="2">
                  <c:v>31431</c:v>
                </c:pt>
                <c:pt idx="3">
                  <c:v>27266</c:v>
                </c:pt>
                <c:pt idx="4">
                  <c:v>37256</c:v>
                </c:pt>
                <c:pt idx="5">
                  <c:v>72220</c:v>
                </c:pt>
                <c:pt idx="6">
                  <c:v>140000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8-4E5B-9A2D-F2C57DD4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031700671"/>
        <c:axId val="1031701151"/>
      </c:barChart>
      <c:lineChart>
        <c:grouping val="standard"/>
        <c:varyColors val="0"/>
        <c:ser>
          <c:idx val="1"/>
          <c:order val="1"/>
          <c:tx>
            <c:strRef>
              <c:f>Sheet1!$B$16</c:f>
              <c:strCache>
                <c:ptCount val="1"/>
                <c:pt idx="0">
                  <c:v>CapEx % of OCF</c:v>
                </c:pt>
              </c:strCache>
            </c:strRef>
          </c:tx>
          <c:spPr>
            <a:ln w="38100" cap="rnd">
              <a:solidFill>
                <a:srgbClr val="1D262B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 w="0">
                <a:noFill/>
              </a:ln>
              <a:effectLst/>
            </c:spPr>
            <c:txPr>
              <a:bodyPr wrap="square" lIns="38100" tIns="45720" rIns="38100" bIns="19050" anchor="ctr">
                <a:spAutoFit/>
              </a:bodyPr>
              <a:lstStyle/>
              <a:p>
                <a:pPr>
                  <a:defRPr sz="1400" b="0" i="0" u="none">
                    <a:ln w="0" cap="sq">
                      <a:noFill/>
                    </a:ln>
                    <a:solidFill>
                      <a:srgbClr val="1D262B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Sheet1!$E$2:$K$2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Sheet1!$E$20:$K$20</c:f>
              <c:numCache>
                <c:formatCode>0.00%</c:formatCode>
                <c:ptCount val="7"/>
                <c:pt idx="0">
                  <c:v>0.3900947170103492</c:v>
                </c:pt>
                <c:pt idx="1">
                  <c:v>0.32187992996203385</c:v>
                </c:pt>
                <c:pt idx="2">
                  <c:v>0.62270430906389307</c:v>
                </c:pt>
                <c:pt idx="3">
                  <c:v>0.38341794046095651</c:v>
                </c:pt>
                <c:pt idx="4">
                  <c:v>0.40793622985283812</c:v>
                </c:pt>
                <c:pt idx="5">
                  <c:v>0.62366148531951637</c:v>
                </c:pt>
                <c:pt idx="6">
                  <c:v>1.0746250326225457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FB8-4E5B-9A2D-F2C57DD4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5206815"/>
        <c:axId val="1995204415"/>
      </c:lineChart>
      <c:catAx>
        <c:axId val="103170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>
              <a:lumMod val="75000"/>
              <a:alpha val="0"/>
            </a:schemeClr>
          </a:solidFill>
          <a:ln w="31750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0" spcFirstLastPara="1" vertOverflow="ellipsis" vert="horz" wrap="square" anchor="t" anchorCtr="0"/>
          <a:lstStyle/>
          <a:p>
            <a:pPr>
              <a:defRPr sz="2000" b="0" i="0" u="none" strike="noStrike" kern="120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01151"/>
        <c:crosses val="autoZero"/>
        <c:auto val="1"/>
        <c:lblAlgn val="ctr"/>
        <c:lblOffset val="100"/>
        <c:noMultiLvlLbl val="0"/>
      </c:catAx>
      <c:valAx>
        <c:axId val="103170115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3"/>
              </a:solidFill>
              <a:prstDash val="solid"/>
              <a:round/>
              <a:headEnd type="none"/>
            </a:ln>
            <a:effectLst/>
          </c:spPr>
        </c:majorGridlines>
        <c:numFmt formatCode="#,##0" sourceLinked="0"/>
        <c:majorTickMark val="in"/>
        <c:minorTickMark val="none"/>
        <c:tickLblPos val="nextTo"/>
        <c:spPr>
          <a:noFill/>
          <a:ln w="28575">
            <a:solidFill>
              <a:schemeClr val="bg1">
                <a:lumMod val="75000"/>
              </a:schemeClr>
            </a:solidFill>
          </a:ln>
          <a:effectLst/>
        </c:spPr>
        <c:txPr>
          <a:bodyPr rot="0" spcFirstLastPara="1" vertOverflow="ellipsis" vert="horz" wrap="square" anchor="ctr" anchorCtr="0"/>
          <a:lstStyle/>
          <a:p>
            <a:pPr>
              <a:defRPr sz="1400" b="0" i="0" u="none" strike="noStrike" kern="1200" baseline="0">
                <a:ln>
                  <a:noFill/>
                </a:ln>
                <a:solidFill>
                  <a:schemeClr val="accent3">
                    <a:lumMod val="50000"/>
                  </a:schemeClr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00671"/>
        <c:crosses val="autoZero"/>
        <c:crossBetween val="between"/>
      </c:valAx>
      <c:valAx>
        <c:axId val="199520441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one"/>
        <c:spPr>
          <a:noFill/>
          <a:ln w="0">
            <a:noFill/>
          </a:ln>
        </c:spPr>
        <c:crossAx val="1995206815"/>
        <c:crosses val="max"/>
        <c:crossBetween val="between"/>
      </c:valAx>
      <c:catAx>
        <c:axId val="1995206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5204415"/>
        <c:crosses val="autoZero"/>
        <c:auto val="1"/>
        <c:lblAlgn val="ctr"/>
        <c:lblOffset val="100"/>
        <c:noMultiLvlLbl val="0"/>
      </c:catAx>
      <c:spPr>
        <a:solidFill>
          <a:srgbClr val="FDFDFD"/>
        </a:solidFill>
        <a:ln>
          <a:solidFill>
            <a:srgbClr val="FDFDFD"/>
          </a:solidFill>
        </a:ln>
      </c:spPr>
    </c:plotArea>
    <c:legend>
      <c:legendPos val="t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DFDFD"/>
    </a:solidFill>
    <a:ln w="107950" cap="rnd"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Incremental Advertising Sales (YoY New 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'[1]Ad Sales Charts'!$AB$73</c:f>
              <c:strCache>
                <c:ptCount val="1"/>
                <c:pt idx="0">
                  <c:v>Google</c:v>
                </c:pt>
              </c:strCache>
            </c:strRef>
          </c:tx>
          <c:spPr>
            <a:solidFill>
              <a:srgbClr val="34A853">
                <a:alpha val="99000"/>
              </a:srgbClr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'[1]Ad Sales Charts'!$AC$72:$AK$72</c:f>
              <c:strCache>
                <c:ptCount val="9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</c:strCache>
            </c:strRef>
          </c:cat>
          <c:val>
            <c:numRef>
              <c:f>'[1]Ad Sales Charts'!$AC$73:$AK$73</c:f>
              <c:numCache>
                <c:formatCode>General</c:formatCode>
                <c:ptCount val="9"/>
                <c:pt idx="0">
                  <c:v>0.41928066037735851</c:v>
                </c:pt>
                <c:pt idx="1">
                  <c:v>0.4205431392931393</c:v>
                </c:pt>
                <c:pt idx="2">
                  <c:v>0.42167119565217392</c:v>
                </c:pt>
                <c:pt idx="3">
                  <c:v>0.39331634097989238</c:v>
                </c:pt>
                <c:pt idx="4">
                  <c:v>0.39954128440366971</c:v>
                </c:pt>
                <c:pt idx="5">
                  <c:v>0.37604160841116269</c:v>
                </c:pt>
                <c:pt idx="6">
                  <c:v>0.3803260720646664</c:v>
                </c:pt>
                <c:pt idx="7">
                  <c:v>0.3897087994921844</c:v>
                </c:pt>
                <c:pt idx="8">
                  <c:v>0.37947441622136008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A-4D8E-A729-0F1B79F9F025}"/>
            </c:ext>
          </c:extLst>
        </c:ser>
        <c:ser>
          <c:idx val="1"/>
          <c:order val="1"/>
          <c:tx>
            <c:strRef>
              <c:f>'[1]Ad Sales Charts'!$AB$74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0866FF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'[1]Ad Sales Charts'!$AC$72:$AK$72</c:f>
              <c:strCache>
                <c:ptCount val="9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</c:strCache>
            </c:strRef>
          </c:cat>
          <c:val>
            <c:numRef>
              <c:f>'[1]Ad Sales Charts'!$AC$74:$AK$74</c:f>
              <c:numCache>
                <c:formatCode>General</c:formatCode>
                <c:ptCount val="9"/>
                <c:pt idx="0">
                  <c:v>0.44422169811320755</c:v>
                </c:pt>
                <c:pt idx="1">
                  <c:v>0.44380197505197505</c:v>
                </c:pt>
                <c:pt idx="2">
                  <c:v>0.42404891304347825</c:v>
                </c:pt>
                <c:pt idx="3">
                  <c:v>0.45749079580855284</c:v>
                </c:pt>
                <c:pt idx="4">
                  <c:v>0.44013761467889906</c:v>
                </c:pt>
                <c:pt idx="5">
                  <c:v>0.46048878698059392</c:v>
                </c:pt>
                <c:pt idx="6">
                  <c:v>0.46568023016851623</c:v>
                </c:pt>
                <c:pt idx="7">
                  <c:v>0.45044830595889868</c:v>
                </c:pt>
                <c:pt idx="8">
                  <c:v>0.49893858429104748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CA-4D8E-A729-0F1B79F9F025}"/>
            </c:ext>
          </c:extLst>
        </c:ser>
        <c:ser>
          <c:idx val="2"/>
          <c:order val="2"/>
          <c:tx>
            <c:strRef>
              <c:f>'[1]Ad Sales Charts'!$AB$75</c:f>
              <c:strCache>
                <c:ptCount val="1"/>
                <c:pt idx="0">
                  <c:v>Amazon</c:v>
                </c:pt>
              </c:strCache>
            </c:strRef>
          </c:tx>
          <c:spPr>
            <a:solidFill>
              <a:srgbClr val="FF9900">
                <a:alpha val="99000"/>
              </a:srgbClr>
            </a:solidFill>
            <a:ln>
              <a:noFill/>
            </a:ln>
            <a:effectLst>
              <a:softEdge rad="0"/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'[1]Ad Sales Charts'!$AC$72:$AK$72</c:f>
              <c:strCache>
                <c:ptCount val="9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</c:strCache>
            </c:strRef>
          </c:cat>
          <c:val>
            <c:numRef>
              <c:f>'[1]Ad Sales Charts'!$AC$75:$AK$75</c:f>
              <c:numCache>
                <c:formatCode>General</c:formatCode>
                <c:ptCount val="9"/>
                <c:pt idx="0">
                  <c:v>0.13649764150943397</c:v>
                </c:pt>
                <c:pt idx="1">
                  <c:v>0.13565488565488565</c:v>
                </c:pt>
                <c:pt idx="2">
                  <c:v>0.15427989130434783</c:v>
                </c:pt>
                <c:pt idx="3">
                  <c:v>0.14919286321155481</c:v>
                </c:pt>
                <c:pt idx="4">
                  <c:v>0.16032110091743118</c:v>
                </c:pt>
                <c:pt idx="5">
                  <c:v>0.16346960460824339</c:v>
                </c:pt>
                <c:pt idx="6">
                  <c:v>0.15399369776681737</c:v>
                </c:pt>
                <c:pt idx="7">
                  <c:v>0.15984289454891693</c:v>
                </c:pt>
                <c:pt idx="8">
                  <c:v>0.12158699948759241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CA-4D8E-A729-0F1B79F9F0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100"/>
        <c:axId val="1859319839"/>
        <c:axId val="1745506687"/>
      </c:barChart>
      <c:catAx>
        <c:axId val="185931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06687"/>
        <c:crosses val="autoZero"/>
        <c:auto val="1"/>
        <c:lblAlgn val="ctr"/>
        <c:lblOffset val="100"/>
        <c:noMultiLvlLbl val="0"/>
      </c:catAx>
      <c:valAx>
        <c:axId val="1745506687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31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40404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Capex</a:t>
            </a:r>
            <a:r>
              <a:rPr lang="en-US" baseline="0"/>
              <a:t> with Finance Leases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40404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AMZN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Lbls>
            <c:numFmt formatCode="&quot;$&quot;#,##0,&quot;B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Sheet1!$H$2:$L$2</c:f>
              <c:strCach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2026E</c:v>
                </c:pt>
                <c:pt idx="4">
                  <c:v>2027E</c:v>
                </c:pt>
              </c:strCache>
            </c:strRef>
          </c:cat>
          <c:val>
            <c:numRef>
              <c:f>Sheet1!$H$3:$L$3</c:f>
              <c:numCache>
                <c:formatCode>#,##0</c:formatCode>
                <c:ptCount val="5"/>
                <c:pt idx="0">
                  <c:v>53371</c:v>
                </c:pt>
                <c:pt idx="1">
                  <c:v>83853</c:v>
                </c:pt>
                <c:pt idx="2">
                  <c:v>134730</c:v>
                </c:pt>
                <c:pt idx="3">
                  <c:v>215000</c:v>
                </c:pt>
                <c:pt idx="4">
                  <c:v>268750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E-43B6-82A8-0CA6E04360F2}"/>
            </c:ext>
          </c:extLst>
        </c:ser>
        <c:ser>
          <c:idx val="1"/>
          <c:order val="1"/>
          <c:tx>
            <c:v>MSFT</c:v>
          </c:tx>
          <c:spPr>
            <a:solidFill>
              <a:srgbClr val="F25022"/>
            </a:solidFill>
            <a:ln>
              <a:noFill/>
            </a:ln>
            <a:effectLst/>
          </c:spPr>
          <c:invertIfNegative val="0"/>
          <c:dLbls>
            <c:numFmt formatCode="&quot;$&quot;#,##0,&quot;B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Sheet1!$H$2:$L$2</c:f>
              <c:strCach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2026E</c:v>
                </c:pt>
                <c:pt idx="4">
                  <c:v>2027E</c:v>
                </c:pt>
              </c:strCache>
            </c:strRef>
          </c:cat>
          <c:val>
            <c:numRef>
              <c:f>Sheet1!$H$4:$L$4</c:f>
              <c:numCache>
                <c:formatCode>#,##0</c:formatCode>
                <c:ptCount val="5"/>
                <c:pt idx="0">
                  <c:v>43821.1</c:v>
                </c:pt>
                <c:pt idx="1">
                  <c:v>72160.3</c:v>
                </c:pt>
                <c:pt idx="2">
                  <c:v>108315</c:v>
                </c:pt>
                <c:pt idx="3">
                  <c:v>194162</c:v>
                </c:pt>
                <c:pt idx="4">
                  <c:v>274835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7E-43B6-82A8-0CA6E04360F2}"/>
            </c:ext>
          </c:extLst>
        </c:ser>
        <c:ser>
          <c:idx val="2"/>
          <c:order val="2"/>
          <c:tx>
            <c:v>GOOGL</c:v>
          </c:tx>
          <c:spPr>
            <a:solidFill>
              <a:srgbClr val="34A853"/>
            </a:solidFill>
            <a:ln>
              <a:noFill/>
            </a:ln>
            <a:effectLst/>
          </c:spPr>
          <c:invertIfNegative val="0"/>
          <c:dLbls>
            <c:numFmt formatCode="&quot;$&quot;#,##0,&quot;B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Sheet1!$H$2:$L$2</c:f>
              <c:strCach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2026E</c:v>
                </c:pt>
                <c:pt idx="4">
                  <c:v>2027E</c:v>
                </c:pt>
              </c:strCache>
            </c:strRef>
          </c:cat>
          <c:val>
            <c:numRef>
              <c:f>Sheet1!$H$5:$L$5</c:f>
              <c:numCache>
                <c:formatCode>#,##0</c:formatCode>
                <c:ptCount val="5"/>
                <c:pt idx="0">
                  <c:v>32815</c:v>
                </c:pt>
                <c:pt idx="1">
                  <c:v>52848</c:v>
                </c:pt>
                <c:pt idx="2">
                  <c:v>93053</c:v>
                </c:pt>
                <c:pt idx="3">
                  <c:v>190000</c:v>
                </c:pt>
                <c:pt idx="4">
                  <c:v>266000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7E-43B6-82A8-0CA6E04360F2}"/>
            </c:ext>
          </c:extLst>
        </c:ser>
        <c:ser>
          <c:idx val="3"/>
          <c:order val="3"/>
          <c:tx>
            <c:v>META</c:v>
          </c:tx>
          <c:spPr>
            <a:solidFill>
              <a:srgbClr val="0866FF"/>
            </a:solidFill>
            <a:ln>
              <a:noFill/>
            </a:ln>
            <a:effectLst/>
          </c:spPr>
          <c:invertIfNegative val="0"/>
          <c:dLbls>
            <c:numFmt formatCode="&quot;$&quot;#,##0,&quot;B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Sheet1!$H$2:$L$2</c:f>
              <c:strCach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2026E</c:v>
                </c:pt>
                <c:pt idx="4">
                  <c:v>2027E</c:v>
                </c:pt>
              </c:strCache>
            </c:strRef>
          </c:cat>
          <c:val>
            <c:numRef>
              <c:f>Sheet1!$H$6:$L$6</c:f>
              <c:numCache>
                <c:formatCode>#,##0</c:formatCode>
                <c:ptCount val="5"/>
                <c:pt idx="0">
                  <c:v>27266</c:v>
                </c:pt>
                <c:pt idx="1">
                  <c:v>37256</c:v>
                </c:pt>
                <c:pt idx="2">
                  <c:v>72220</c:v>
                </c:pt>
                <c:pt idx="3">
                  <c:v>140000</c:v>
                </c:pt>
                <c:pt idx="4" formatCode="General">
                  <c:v>175000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7E-43B6-82A8-0CA6E0436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9342575"/>
        <c:axId val="1665420031"/>
      </c:barChart>
      <c:lineChart>
        <c:grouping val="standard"/>
        <c:varyColors val="0"/>
        <c:ser>
          <c:idx val="4"/>
          <c:order val="4"/>
          <c:tx>
            <c:strRef>
              <c:f>Sheet1!$B$7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Sheet1!$H$7:$L$7</c:f>
              <c:numCache>
                <c:formatCode>#,##0</c:formatCode>
                <c:ptCount val="5"/>
                <c:pt idx="0">
                  <c:v>157273.1</c:v>
                </c:pt>
                <c:pt idx="1">
                  <c:v>246117.3</c:v>
                </c:pt>
                <c:pt idx="2">
                  <c:v>408318</c:v>
                </c:pt>
                <c:pt idx="3">
                  <c:v>739162</c:v>
                </c:pt>
                <c:pt idx="4">
                  <c:v>984585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C7E-43B6-82A8-0CA6E0436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9342575"/>
        <c:axId val="1665420031"/>
      </c:lineChart>
      <c:catAx>
        <c:axId val="185934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0404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420031"/>
        <c:crosses val="autoZero"/>
        <c:auto val="1"/>
        <c:lblAlgn val="ctr"/>
        <c:lblOffset val="100"/>
        <c:noMultiLvlLbl val="0"/>
      </c:catAx>
      <c:valAx>
        <c:axId val="1665420031"/>
        <c:scaling>
          <c:orientation val="minMax"/>
        </c:scaling>
        <c:delete val="0"/>
        <c:axPos val="l"/>
        <c:numFmt formatCode="&quot;$&quot;#,##0,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0404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9342575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t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40404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rgbClr val="595959"/>
                </a:solidFill>
              </a:rPr>
              <a:t>YoY Advertising Sales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'[1]Ad Sales Charts'!$X$12</c:f>
              <c:strCache>
                <c:ptCount val="1"/>
                <c:pt idx="0">
                  <c:v>Google</c:v>
                </c:pt>
              </c:strCache>
            </c:strRef>
          </c:tx>
          <c:spPr>
            <a:ln w="38100" cap="rnd">
              <a:solidFill>
                <a:srgbClr val="34A853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34A853"/>
              </a:solidFill>
              <a:ln w="25400">
                <a:solidFill>
                  <a:srgbClr val="34A853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34A85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'[1]Ad Sales Charts'!$Y$11:$AG$11</c:f>
              <c:strCache>
                <c:ptCount val="9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</c:strCache>
            </c:strRef>
          </c:cat>
          <c:val>
            <c:numRef>
              <c:f>'[1]Ad Sales Charts'!$Y$12:$AG$12</c:f>
              <c:numCache>
                <c:formatCode>General</c:formatCode>
                <c:ptCount val="9"/>
                <c:pt idx="0">
                  <c:v>0.13036224976167779</c:v>
                </c:pt>
                <c:pt idx="1">
                  <c:v>0.11132896479369829</c:v>
                </c:pt>
                <c:pt idx="2">
                  <c:v>0.10406223280299093</c:v>
                </c:pt>
                <c:pt idx="3">
                  <c:v>0.10598775890226964</c:v>
                </c:pt>
                <c:pt idx="4">
                  <c:v>8.4756483238456679E-2</c:v>
                </c:pt>
                <c:pt idx="5">
                  <c:v>0.10406091370558376</c:v>
                </c:pt>
                <c:pt idx="6">
                  <c:v>0.12646156649558113</c:v>
                </c:pt>
                <c:pt idx="7">
                  <c:v>0.13556257849049833</c:v>
                </c:pt>
                <c:pt idx="8">
                  <c:v>0.15501233460417133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6F2-4373-AC0B-14EACB6CA111}"/>
            </c:ext>
          </c:extLst>
        </c:ser>
        <c:ser>
          <c:idx val="1"/>
          <c:order val="1"/>
          <c:tx>
            <c:strRef>
              <c:f>'[1]Ad Sales Charts'!$X$13</c:f>
              <c:strCache>
                <c:ptCount val="1"/>
                <c:pt idx="0">
                  <c:v>Meta</c:v>
                </c:pt>
              </c:strCache>
            </c:strRef>
          </c:tx>
          <c:spPr>
            <a:ln w="38100" cap="rnd">
              <a:solidFill>
                <a:srgbClr val="0866FF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0866FF"/>
              </a:solidFill>
              <a:ln w="25400">
                <a:solidFill>
                  <a:srgbClr val="0866FF"/>
                </a:solidFill>
                <a:prstDash val="solid"/>
              </a:ln>
              <a:effectLst/>
            </c:spPr>
          </c:marker>
          <c:dPt>
            <c:idx val="8"/>
            <c:marker>
              <c:symbol val="circle"/>
              <c:size val="7"/>
              <c:spPr>
                <a:solidFill>
                  <a:srgbClr val="FF0000"/>
                </a:solidFill>
                <a:ln w="25400">
                  <a:solidFill>
                    <a:srgbClr val="0866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6F2-4373-AC0B-14EACB6CA111}"/>
              </c:ext>
            </c:extLst>
          </c:dPt>
          <c:dLbls>
            <c:dLbl>
              <c:idx val="4"/>
              <c:layout>
                <c:manualLayout>
                  <c:x val="-2.3009657484140307E-2"/>
                  <c:y val="3.68920101203565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F2-4373-AC0B-14EACB6CA111}"/>
                </c:ext>
              </c:extLst>
            </c:dLbl>
            <c:dLbl>
              <c:idx val="5"/>
              <c:layout>
                <c:manualLayout>
                  <c:x val="-2.4287435189253467E-2"/>
                  <c:y val="3.98950131233595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F2-4373-AC0B-14EACB6CA1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866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'[1]Ad Sales Charts'!$Y$11:$AG$11</c:f>
              <c:strCache>
                <c:ptCount val="9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</c:strCache>
            </c:strRef>
          </c:cat>
          <c:val>
            <c:numRef>
              <c:f>'[1]Ad Sales Charts'!$Y$13:$AG$13</c:f>
              <c:numCache>
                <c:formatCode>General</c:formatCode>
                <c:ptCount val="9"/>
                <c:pt idx="0">
                  <c:v>0.2681043379239173</c:v>
                </c:pt>
                <c:pt idx="1">
                  <c:v>0.21687091243888501</c:v>
                </c:pt>
                <c:pt idx="2">
                  <c:v>0.18553636714918409</c:v>
                </c:pt>
                <c:pt idx="3">
                  <c:v>0.20867565752079781</c:v>
                </c:pt>
                <c:pt idx="4">
                  <c:v>0.1615546513259436</c:v>
                </c:pt>
                <c:pt idx="5">
                  <c:v>0.21482428448433302</c:v>
                </c:pt>
                <c:pt idx="6">
                  <c:v>0.25566002256487402</c:v>
                </c:pt>
                <c:pt idx="7">
                  <c:v>0.2426949960455721</c:v>
                </c:pt>
                <c:pt idx="8">
                  <c:v>0.32933900270583688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6F2-4373-AC0B-14EACB6CA111}"/>
            </c:ext>
          </c:extLst>
        </c:ser>
        <c:ser>
          <c:idx val="2"/>
          <c:order val="2"/>
          <c:tx>
            <c:strRef>
              <c:f>'[1]Ad Sales Charts'!$X$14</c:f>
              <c:strCache>
                <c:ptCount val="1"/>
                <c:pt idx="0">
                  <c:v>Amazon</c:v>
                </c:pt>
              </c:strCache>
            </c:strRef>
          </c:tx>
          <c:spPr>
            <a:ln w="31750" cap="rnd">
              <a:solidFill>
                <a:srgbClr val="FF990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F9900"/>
              </a:solidFill>
              <a:ln w="38100">
                <a:solidFill>
                  <a:srgbClr val="FF9900"/>
                </a:solidFill>
                <a:prstDash val="solid"/>
              </a:ln>
              <a:effectLst/>
            </c:spPr>
          </c:marker>
          <c:dLbls>
            <c:dLbl>
              <c:idx val="4"/>
              <c:layout>
                <c:manualLayout>
                  <c:x val="-2.4287435189253467E-2"/>
                  <c:y val="-4.28977796694332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6F2-4373-AC0B-14EACB6CA111}"/>
                </c:ext>
              </c:extLst>
            </c:dLbl>
            <c:dLbl>
              <c:idx val="5"/>
              <c:layout>
                <c:manualLayout>
                  <c:x val="-2.4287435189253467E-2"/>
                  <c:y val="-4.59007826724362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6F2-4373-AC0B-14EACB6CA1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99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'[1]Ad Sales Charts'!$Y$11:$AG$11</c:f>
              <c:strCache>
                <c:ptCount val="9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</c:strCache>
            </c:strRef>
          </c:cat>
          <c:val>
            <c:numRef>
              <c:f>'[1]Ad Sales Charts'!$Y$14:$AG$14</c:f>
              <c:numCache>
                <c:formatCode>General</c:formatCode>
                <c:ptCount val="9"/>
                <c:pt idx="0">
                  <c:v>0.24345357030181933</c:v>
                </c:pt>
                <c:pt idx="1">
                  <c:v>0.19545071609098569</c:v>
                </c:pt>
                <c:pt idx="2">
                  <c:v>0.18830845771144278</c:v>
                </c:pt>
                <c:pt idx="3">
                  <c:v>0.17974614439743414</c:v>
                </c:pt>
                <c:pt idx="4">
                  <c:v>0.17735115020297701</c:v>
                </c:pt>
                <c:pt idx="5">
                  <c:v>0.22887792655234515</c:v>
                </c:pt>
                <c:pt idx="6">
                  <c:v>0.23529411764705882</c:v>
                </c:pt>
                <c:pt idx="7">
                  <c:v>0.23305182785747339</c:v>
                </c:pt>
                <c:pt idx="8">
                  <c:v>0.23863228216363766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6F2-4373-AC0B-14EACB6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0785392"/>
        <c:axId val="1980235840"/>
      </c:lineChart>
      <c:catAx>
        <c:axId val="170078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35840"/>
        <c:crosses val="autoZero"/>
        <c:auto val="1"/>
        <c:lblAlgn val="ctr"/>
        <c:lblOffset val="100"/>
        <c:noMultiLvlLbl val="0"/>
      </c:catAx>
      <c:valAx>
        <c:axId val="19802358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78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Cloud Growth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AWS</c:v>
          </c:tx>
          <c:spPr>
            <a:ln w="38100" cap="rnd">
              <a:solidFill>
                <a:srgbClr val="FF990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F9900"/>
              </a:solidFill>
              <a:ln w="9525">
                <a:solidFill>
                  <a:srgbClr val="FF990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99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Sheet1!$BA$2:$BM$2</c:f>
              <c:strCache>
                <c:ptCount val="13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  <c:pt idx="8">
                  <c:v>2025 Q1</c:v>
                </c:pt>
                <c:pt idx="9">
                  <c:v>2025 Q2</c:v>
                </c:pt>
                <c:pt idx="10">
                  <c:v>2025 Q3</c:v>
                </c:pt>
                <c:pt idx="11">
                  <c:v>2025 Q4</c:v>
                </c:pt>
                <c:pt idx="12">
                  <c:v>2026 Q1</c:v>
                </c:pt>
              </c:strCache>
            </c:strRef>
          </c:cat>
          <c:val>
            <c:numRef>
              <c:f>Sheet1!$BA$3:$BM$3</c:f>
              <c:numCache>
                <c:formatCode>0.00%</c:formatCode>
                <c:ptCount val="13"/>
                <c:pt idx="0">
                  <c:v>0.15796323409793395</c:v>
                </c:pt>
                <c:pt idx="1">
                  <c:v>0.12163736764780383</c:v>
                </c:pt>
                <c:pt idx="2">
                  <c:v>0.1227480767358068</c:v>
                </c:pt>
                <c:pt idx="3">
                  <c:v>0.13219197305641314</c:v>
                </c:pt>
                <c:pt idx="4">
                  <c:v>0.17247354125690736</c:v>
                </c:pt>
                <c:pt idx="5">
                  <c:v>0.18703703703703703</c:v>
                </c:pt>
                <c:pt idx="6">
                  <c:v>0.1905112971074201</c:v>
                </c:pt>
                <c:pt idx="7">
                  <c:v>0.189307552470666</c:v>
                </c:pt>
                <c:pt idx="8">
                  <c:v>0.16894995406797939</c:v>
                </c:pt>
                <c:pt idx="9">
                  <c:v>0.17472698907956319</c:v>
                </c:pt>
                <c:pt idx="10">
                  <c:v>0.20231677109135945</c:v>
                </c:pt>
                <c:pt idx="11">
                  <c:v>0.23598276940179252</c:v>
                </c:pt>
                <c:pt idx="12">
                  <c:v>0.28427922233231967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76-4AC4-BCE2-DDCA1E07749F}"/>
            </c:ext>
          </c:extLst>
        </c:ser>
        <c:ser>
          <c:idx val="1"/>
          <c:order val="1"/>
          <c:tx>
            <c:v>Azure</c:v>
          </c:tx>
          <c:spPr>
            <a:ln w="38100" cap="rnd">
              <a:solidFill>
                <a:srgbClr val="F25022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25022"/>
              </a:solidFill>
              <a:ln w="9525">
                <a:solidFill>
                  <a:srgbClr val="F25022"/>
                </a:solidFill>
                <a:prstDash val="solid"/>
              </a:ln>
              <a:effectLst/>
            </c:spPr>
          </c:marker>
          <c:dLbls>
            <c:dLbl>
              <c:idx val="0"/>
              <c:layout>
                <c:manualLayout>
                  <c:x val="-3.355876725145894E-2"/>
                  <c:y val="5.1714686268869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D76-4AC4-BCE2-DDCA1E07749F}"/>
                </c:ext>
              </c:extLst>
            </c:dLbl>
            <c:dLbl>
              <c:idx val="1"/>
              <c:layout>
                <c:manualLayout>
                  <c:x val="-3.477498171402945E-2"/>
                  <c:y val="4.28924227571946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D76-4AC4-BCE2-DDCA1E07749F}"/>
                </c:ext>
              </c:extLst>
            </c:dLbl>
            <c:dLbl>
              <c:idx val="6"/>
              <c:layout>
                <c:manualLayout>
                  <c:x val="-3.3558767251459024E-2"/>
                  <c:y val="4.87228107421995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76-4AC4-BCE2-DDCA1E07749F}"/>
                </c:ext>
              </c:extLst>
            </c:dLbl>
            <c:dLbl>
              <c:idx val="11"/>
              <c:layout>
                <c:manualLayout>
                  <c:x val="-3.3558767251458926E-2"/>
                  <c:y val="3.67553086355185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D76-4AC4-BCE2-DDCA1E0774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2502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Sheet1!$BA$2:$BM$2</c:f>
              <c:strCache>
                <c:ptCount val="13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  <c:pt idx="8">
                  <c:v>2025 Q1</c:v>
                </c:pt>
                <c:pt idx="9">
                  <c:v>2025 Q2</c:v>
                </c:pt>
                <c:pt idx="10">
                  <c:v>2025 Q3</c:v>
                </c:pt>
                <c:pt idx="11">
                  <c:v>2025 Q4</c:v>
                </c:pt>
                <c:pt idx="12">
                  <c:v>2026 Q1</c:v>
                </c:pt>
              </c:strCache>
            </c:strRef>
          </c:cat>
          <c:val>
            <c:numRef>
              <c:f>Sheet1!$BA$4:$BM$4</c:f>
              <c:numCache>
                <c:formatCode>0.00%</c:formatCode>
                <c:ptCount val="13"/>
                <c:pt idx="0">
                  <c:v>0.27050000000000002</c:v>
                </c:pt>
                <c:pt idx="1">
                  <c:v>0.26</c:v>
                </c:pt>
                <c:pt idx="2">
                  <c:v>0.28999999999999998</c:v>
                </c:pt>
                <c:pt idx="3">
                  <c:v>0.3</c:v>
                </c:pt>
                <c:pt idx="4">
                  <c:v>0.31</c:v>
                </c:pt>
                <c:pt idx="5">
                  <c:v>0.28999999999999998</c:v>
                </c:pt>
                <c:pt idx="6">
                  <c:v>0.3105</c:v>
                </c:pt>
                <c:pt idx="7">
                  <c:v>0.31</c:v>
                </c:pt>
                <c:pt idx="8">
                  <c:v>0.33</c:v>
                </c:pt>
                <c:pt idx="9">
                  <c:v>0.39049999999999996</c:v>
                </c:pt>
                <c:pt idx="10">
                  <c:v>0.4</c:v>
                </c:pt>
                <c:pt idx="11">
                  <c:v>0.39</c:v>
                </c:pt>
                <c:pt idx="12">
                  <c:v>0.4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76-4AC4-BCE2-DDCA1E07749F}"/>
            </c:ext>
          </c:extLst>
        </c:ser>
        <c:ser>
          <c:idx val="2"/>
          <c:order val="2"/>
          <c:tx>
            <c:v>GCP</c:v>
          </c:tx>
          <c:spPr>
            <a:ln w="38100" cap="rnd">
              <a:solidFill>
                <a:srgbClr val="34A853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34A853"/>
              </a:solidFill>
              <a:ln w="9525">
                <a:solidFill>
                  <a:srgbClr val="34A853"/>
                </a:solidFill>
                <a:prstDash val="solid"/>
              </a:ln>
              <a:effectLst/>
            </c:spPr>
          </c:marker>
          <c:dLbls>
            <c:dLbl>
              <c:idx val="0"/>
              <c:layout>
                <c:manualLayout>
                  <c:x val="-3.355876725145894E-2"/>
                  <c:y val="-3.9746948581438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D76-4AC4-BCE2-DDCA1E07749F}"/>
                </c:ext>
              </c:extLst>
            </c:dLbl>
            <c:dLbl>
              <c:idx val="1"/>
              <c:layout>
                <c:manualLayout>
                  <c:x val="-3.3507228978469306E-2"/>
                  <c:y val="-3.6847999727924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D76-4AC4-BCE2-DDCA1E07749F}"/>
                </c:ext>
              </c:extLst>
            </c:dLbl>
            <c:dLbl>
              <c:idx val="6"/>
              <c:layout>
                <c:manualLayout>
                  <c:x val="-3.3558767251459024E-2"/>
                  <c:y val="-3.6755073054768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76-4AC4-BCE2-DDCA1E07749F}"/>
                </c:ext>
              </c:extLst>
            </c:dLbl>
            <c:dLbl>
              <c:idx val="11"/>
              <c:layout>
                <c:manualLayout>
                  <c:x val="-4.5056973460872549E-2"/>
                  <c:y val="-3.97469485814387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76-4AC4-BCE2-DDCA1E07749F}"/>
                </c:ext>
              </c:extLst>
            </c:dLbl>
            <c:dLbl>
              <c:idx val="12"/>
              <c:layout>
                <c:manualLayout>
                  <c:x val="-2.7497311300905842E-2"/>
                  <c:y val="-3.675507305476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D76-4AC4-BCE2-DDCA1E0774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34A85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Sheet1!$BA$2:$BM$2</c:f>
              <c:strCache>
                <c:ptCount val="13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  <c:pt idx="8">
                  <c:v>2025 Q1</c:v>
                </c:pt>
                <c:pt idx="9">
                  <c:v>2025 Q2</c:v>
                </c:pt>
                <c:pt idx="10">
                  <c:v>2025 Q3</c:v>
                </c:pt>
                <c:pt idx="11">
                  <c:v>2025 Q4</c:v>
                </c:pt>
                <c:pt idx="12">
                  <c:v>2026 Q1</c:v>
                </c:pt>
              </c:strCache>
            </c:strRef>
          </c:cat>
          <c:val>
            <c:numRef>
              <c:f>Sheet1!$BA$5:$BM$5</c:f>
              <c:numCache>
                <c:formatCode>0.00%</c:formatCode>
                <c:ptCount val="13"/>
                <c:pt idx="0">
                  <c:v>0.28053599037965987</c:v>
                </c:pt>
                <c:pt idx="1">
                  <c:v>0.27963671128107076</c:v>
                </c:pt>
                <c:pt idx="2">
                  <c:v>0.22466511357018054</c:v>
                </c:pt>
                <c:pt idx="3">
                  <c:v>0.25659603554340399</c:v>
                </c:pt>
                <c:pt idx="4">
                  <c:v>0.28441105446740006</c:v>
                </c:pt>
                <c:pt idx="5">
                  <c:v>0.28838251774374302</c:v>
                </c:pt>
                <c:pt idx="6">
                  <c:v>0.34978004993460943</c:v>
                </c:pt>
                <c:pt idx="7">
                  <c:v>0.3005874673629243</c:v>
                </c:pt>
                <c:pt idx="8">
                  <c:v>0.2805514936285774</c:v>
                </c:pt>
                <c:pt idx="9">
                  <c:v>0.31671015753358461</c:v>
                </c:pt>
                <c:pt idx="10">
                  <c:v>0.33506562142165064</c:v>
                </c:pt>
                <c:pt idx="11">
                  <c:v>0.47754077791718946</c:v>
                </c:pt>
                <c:pt idx="12">
                  <c:v>0.63360522022838495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D76-4AC4-BCE2-DDCA1E07749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59485103"/>
        <c:axId val="1665416191"/>
      </c:lineChart>
      <c:catAx>
        <c:axId val="165948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665416191"/>
        <c:crosses val="autoZero"/>
        <c:auto val="1"/>
        <c:lblAlgn val="ctr"/>
        <c:lblOffset val="100"/>
        <c:noMultiLvlLbl val="0"/>
      </c:catAx>
      <c:valAx>
        <c:axId val="1665416191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65948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Cloud Revenue 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Sheet1!$BN$3</c:f>
              <c:strCache>
                <c:ptCount val="1"/>
                <c:pt idx="0">
                  <c:v>AWS</c:v>
                </c:pt>
              </c:strCache>
            </c:strRef>
          </c:tx>
          <c:spPr>
            <a:ln w="38100" cap="rnd">
              <a:solidFill>
                <a:srgbClr val="FF990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F9900"/>
              </a:solidFill>
              <a:ln w="9525">
                <a:solidFill>
                  <a:srgbClr val="FF990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99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Sheet1!$BO$2:$BU$2</c:f>
              <c:strCache>
                <c:ptCount val="7"/>
                <c:pt idx="0">
                  <c:v>2024 Q3</c:v>
                </c:pt>
                <c:pt idx="1">
                  <c:v>2024 Q4</c:v>
                </c:pt>
                <c:pt idx="2">
                  <c:v>2025 Q1</c:v>
                </c:pt>
                <c:pt idx="3">
                  <c:v>2025 Q2</c:v>
                </c:pt>
                <c:pt idx="4">
                  <c:v>2025 Q3</c:v>
                </c:pt>
                <c:pt idx="5">
                  <c:v>2025 Q4</c:v>
                </c:pt>
                <c:pt idx="6">
                  <c:v>2026 Q1</c:v>
                </c:pt>
              </c:strCache>
            </c:strRef>
          </c:cat>
          <c:val>
            <c:numRef>
              <c:f>Sheet1!$BO$3:$BU$3</c:f>
              <c:numCache>
                <c:formatCode>"$"#,##0</c:formatCode>
                <c:ptCount val="7"/>
                <c:pt idx="0">
                  <c:v>27452</c:v>
                </c:pt>
                <c:pt idx="1">
                  <c:v>28786</c:v>
                </c:pt>
                <c:pt idx="2">
                  <c:v>29267</c:v>
                </c:pt>
                <c:pt idx="3">
                  <c:v>30873</c:v>
                </c:pt>
                <c:pt idx="4">
                  <c:v>33006</c:v>
                </c:pt>
                <c:pt idx="5">
                  <c:v>35579</c:v>
                </c:pt>
                <c:pt idx="6">
                  <c:v>37587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F1-4676-9BAF-343F64DB024A}"/>
            </c:ext>
          </c:extLst>
        </c:ser>
        <c:ser>
          <c:idx val="1"/>
          <c:order val="1"/>
          <c:tx>
            <c:strRef>
              <c:f>Sheet1!$BN$4</c:f>
              <c:strCache>
                <c:ptCount val="1"/>
                <c:pt idx="0">
                  <c:v>Azure</c:v>
                </c:pt>
              </c:strCache>
            </c:strRef>
          </c:tx>
          <c:spPr>
            <a:ln w="38100" cap="rnd">
              <a:solidFill>
                <a:srgbClr val="F25022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25022"/>
              </a:solidFill>
              <a:ln w="9525">
                <a:solidFill>
                  <a:srgbClr val="F25022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2502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Sheet1!$BO$2:$BU$2</c:f>
              <c:strCache>
                <c:ptCount val="7"/>
                <c:pt idx="0">
                  <c:v>2024 Q3</c:v>
                </c:pt>
                <c:pt idx="1">
                  <c:v>2024 Q4</c:v>
                </c:pt>
                <c:pt idx="2">
                  <c:v>2025 Q1</c:v>
                </c:pt>
                <c:pt idx="3">
                  <c:v>2025 Q2</c:v>
                </c:pt>
                <c:pt idx="4">
                  <c:v>2025 Q3</c:v>
                </c:pt>
                <c:pt idx="5">
                  <c:v>2025 Q4</c:v>
                </c:pt>
                <c:pt idx="6">
                  <c:v>2026 Q1</c:v>
                </c:pt>
              </c:strCache>
            </c:strRef>
          </c:cat>
          <c:val>
            <c:numRef>
              <c:f>Sheet1!$BO$4:$BU$4</c:f>
              <c:numCache>
                <c:formatCode>"$"#,##0</c:formatCode>
                <c:ptCount val="7"/>
                <c:pt idx="0">
                  <c:v>17232</c:v>
                </c:pt>
                <c:pt idx="1">
                  <c:v>17989</c:v>
                </c:pt>
                <c:pt idx="2">
                  <c:v>19199</c:v>
                </c:pt>
                <c:pt idx="3">
                  <c:v>21788.5</c:v>
                </c:pt>
                <c:pt idx="4">
                  <c:v>23221</c:v>
                </c:pt>
                <c:pt idx="5">
                  <c:v>25072</c:v>
                </c:pt>
                <c:pt idx="6">
                  <c:v>26966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DF1-4676-9BAF-343F64DB024A}"/>
            </c:ext>
          </c:extLst>
        </c:ser>
        <c:ser>
          <c:idx val="2"/>
          <c:order val="2"/>
          <c:tx>
            <c:strRef>
              <c:f>Sheet1!$BN$5</c:f>
              <c:strCache>
                <c:ptCount val="1"/>
                <c:pt idx="0">
                  <c:v>GCP</c:v>
                </c:pt>
              </c:strCache>
            </c:strRef>
          </c:tx>
          <c:spPr>
            <a:ln w="38100" cap="rnd">
              <a:solidFill>
                <a:srgbClr val="34A853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34A853"/>
              </a:solidFill>
              <a:ln w="9525">
                <a:solidFill>
                  <a:srgbClr val="34A853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34A85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Sheet1!$BO$2:$BU$2</c:f>
              <c:strCache>
                <c:ptCount val="7"/>
                <c:pt idx="0">
                  <c:v>2024 Q3</c:v>
                </c:pt>
                <c:pt idx="1">
                  <c:v>2024 Q4</c:v>
                </c:pt>
                <c:pt idx="2">
                  <c:v>2025 Q1</c:v>
                </c:pt>
                <c:pt idx="3">
                  <c:v>2025 Q2</c:v>
                </c:pt>
                <c:pt idx="4">
                  <c:v>2025 Q3</c:v>
                </c:pt>
                <c:pt idx="5">
                  <c:v>2025 Q4</c:v>
                </c:pt>
                <c:pt idx="6">
                  <c:v>2026 Q1</c:v>
                </c:pt>
              </c:strCache>
            </c:strRef>
          </c:cat>
          <c:val>
            <c:numRef>
              <c:f>Sheet1!$BO$5:$BU$5</c:f>
              <c:numCache>
                <c:formatCode>"$"#,##0</c:formatCode>
                <c:ptCount val="7"/>
                <c:pt idx="0">
                  <c:v>11353</c:v>
                </c:pt>
                <c:pt idx="1">
                  <c:v>11955</c:v>
                </c:pt>
                <c:pt idx="2">
                  <c:v>12260</c:v>
                </c:pt>
                <c:pt idx="3">
                  <c:v>13624</c:v>
                </c:pt>
                <c:pt idx="4">
                  <c:v>15157</c:v>
                </c:pt>
                <c:pt idx="5">
                  <c:v>17664</c:v>
                </c:pt>
                <c:pt idx="6">
                  <c:v>20028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EDF1-4676-9BAF-343F64DB024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59485103"/>
        <c:axId val="1665416191"/>
      </c:lineChart>
      <c:catAx>
        <c:axId val="165948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665416191"/>
        <c:crosses val="autoZero"/>
        <c:auto val="1"/>
        <c:lblAlgn val="ctr"/>
        <c:lblOffset val="100"/>
        <c:noMultiLvlLbl val="0"/>
      </c:catAx>
      <c:valAx>
        <c:axId val="1665416191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65948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Incremental Cloud Revenue ($mm 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Sheet1!$BN$9</c:f>
              <c:strCache>
                <c:ptCount val="1"/>
                <c:pt idx="0">
                  <c:v>AWS</c:v>
                </c:pt>
              </c:strCache>
            </c:strRef>
          </c:tx>
          <c:spPr>
            <a:ln w="38100" cap="rnd">
              <a:solidFill>
                <a:srgbClr val="FF990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F9900"/>
              </a:solidFill>
              <a:ln w="9525">
                <a:solidFill>
                  <a:srgbClr val="FF9900"/>
                </a:solidFill>
                <a:prstDash val="solid"/>
              </a:ln>
              <a:effectLst/>
            </c:spPr>
          </c:marker>
          <c:dLbls>
            <c:dLbl>
              <c:idx val="2"/>
              <c:layout>
                <c:manualLayout>
                  <c:x val="-3.2845887088582895E-2"/>
                  <c:y val="3.41125686202451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9A-4518-A7F9-F2037CFA9261}"/>
                </c:ext>
              </c:extLst>
            </c:dLbl>
            <c:dLbl>
              <c:idx val="5"/>
              <c:layout>
                <c:manualLayout>
                  <c:x val="-3.0439427698715445E-2"/>
                  <c:y val="3.38487881203318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9A-4518-A7F9-F2037CFA92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99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Sheet1!$BO$8:$BU$8</c:f>
              <c:strCache>
                <c:ptCount val="7"/>
                <c:pt idx="0">
                  <c:v>2024 Q3</c:v>
                </c:pt>
                <c:pt idx="1">
                  <c:v>2024 Q4</c:v>
                </c:pt>
                <c:pt idx="2">
                  <c:v>2025 Q1</c:v>
                </c:pt>
                <c:pt idx="3">
                  <c:v>2025 Q2</c:v>
                </c:pt>
                <c:pt idx="4">
                  <c:v>2025 Q3</c:v>
                </c:pt>
                <c:pt idx="5">
                  <c:v>2025 Q4</c:v>
                </c:pt>
                <c:pt idx="6">
                  <c:v>2026 Q1</c:v>
                </c:pt>
              </c:strCache>
            </c:strRef>
          </c:cat>
          <c:val>
            <c:numRef>
              <c:f>Sheet1!$BO$9:$BU$9</c:f>
              <c:numCache>
                <c:formatCode>"$"#,##0</c:formatCode>
                <c:ptCount val="7"/>
                <c:pt idx="0">
                  <c:v>4393</c:v>
                </c:pt>
                <c:pt idx="1">
                  <c:v>4582</c:v>
                </c:pt>
                <c:pt idx="2">
                  <c:v>4230</c:v>
                </c:pt>
                <c:pt idx="3">
                  <c:v>4592</c:v>
                </c:pt>
                <c:pt idx="4">
                  <c:v>5554</c:v>
                </c:pt>
                <c:pt idx="5">
                  <c:v>6793</c:v>
                </c:pt>
                <c:pt idx="6">
                  <c:v>8320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9A-4518-A7F9-F2037CFA9261}"/>
            </c:ext>
          </c:extLst>
        </c:ser>
        <c:ser>
          <c:idx val="1"/>
          <c:order val="1"/>
          <c:tx>
            <c:strRef>
              <c:f>Sheet1!$BN$10</c:f>
              <c:strCache>
                <c:ptCount val="1"/>
                <c:pt idx="0">
                  <c:v>Azure</c:v>
                </c:pt>
              </c:strCache>
            </c:strRef>
          </c:tx>
          <c:spPr>
            <a:ln w="38100" cap="rnd">
              <a:solidFill>
                <a:srgbClr val="F25022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25022"/>
              </a:solidFill>
              <a:ln w="9525">
                <a:solidFill>
                  <a:srgbClr val="F25022"/>
                </a:solidFill>
                <a:prstDash val="solid"/>
              </a:ln>
              <a:effectLst/>
            </c:spPr>
          </c:marker>
          <c:dLbls>
            <c:dLbl>
              <c:idx val="0"/>
              <c:layout>
                <c:manualLayout>
                  <c:x val="-3.1714644611104029E-2"/>
                  <c:y val="2.78499099577834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A-4518-A7F9-F2037CFA9261}"/>
                </c:ext>
              </c:extLst>
            </c:dLbl>
            <c:dLbl>
              <c:idx val="1"/>
              <c:layout>
                <c:manualLayout>
                  <c:x val="-3.0439427698715445E-2"/>
                  <c:y val="3.68482272016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A-4518-A7F9-F2037CFA9261}"/>
                </c:ext>
              </c:extLst>
            </c:dLbl>
            <c:dLbl>
              <c:idx val="6"/>
              <c:layout>
                <c:manualLayout>
                  <c:x val="-3.1714644611104029E-2"/>
                  <c:y val="-3.21388716676999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A-4518-A7F9-F2037CFA92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2502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Sheet1!$BO$8:$BU$8</c:f>
              <c:strCache>
                <c:ptCount val="7"/>
                <c:pt idx="0">
                  <c:v>2024 Q3</c:v>
                </c:pt>
                <c:pt idx="1">
                  <c:v>2024 Q4</c:v>
                </c:pt>
                <c:pt idx="2">
                  <c:v>2025 Q1</c:v>
                </c:pt>
                <c:pt idx="3">
                  <c:v>2025 Q2</c:v>
                </c:pt>
                <c:pt idx="4">
                  <c:v>2025 Q3</c:v>
                </c:pt>
                <c:pt idx="5">
                  <c:v>2025 Q4</c:v>
                </c:pt>
                <c:pt idx="6">
                  <c:v>2026 Q1</c:v>
                </c:pt>
              </c:strCache>
            </c:strRef>
          </c:cat>
          <c:val>
            <c:numRef>
              <c:f>Sheet1!$BO$10:$BU$10</c:f>
              <c:numCache>
                <c:formatCode>"$"#,##0</c:formatCode>
                <c:ptCount val="7"/>
                <c:pt idx="0">
                  <c:v>4082.8202975963372</c:v>
                </c:pt>
                <c:pt idx="1">
                  <c:v>4256.93893129771</c:v>
                </c:pt>
                <c:pt idx="2">
                  <c:v>4763.6616541353378</c:v>
                </c:pt>
                <c:pt idx="3">
                  <c:v>6118.9566702624952</c:v>
                </c:pt>
                <c:pt idx="4">
                  <c:v>6634.5714285714284</c:v>
                </c:pt>
                <c:pt idx="5">
                  <c:v>7034.5899280575532</c:v>
                </c:pt>
                <c:pt idx="6">
                  <c:v>7704.5714285714303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39A-4518-A7F9-F2037CFA9261}"/>
            </c:ext>
          </c:extLst>
        </c:ser>
        <c:ser>
          <c:idx val="2"/>
          <c:order val="2"/>
          <c:tx>
            <c:strRef>
              <c:f>Sheet1!$BN$11</c:f>
              <c:strCache>
                <c:ptCount val="1"/>
                <c:pt idx="0">
                  <c:v>GCP</c:v>
                </c:pt>
              </c:strCache>
            </c:strRef>
          </c:tx>
          <c:spPr>
            <a:ln w="38100" cap="rnd">
              <a:solidFill>
                <a:srgbClr val="34A853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34A853"/>
              </a:solidFill>
              <a:ln w="9525">
                <a:solidFill>
                  <a:srgbClr val="34A853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34A85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Sheet1!$BO$8:$BU$8</c:f>
              <c:strCache>
                <c:ptCount val="7"/>
                <c:pt idx="0">
                  <c:v>2024 Q3</c:v>
                </c:pt>
                <c:pt idx="1">
                  <c:v>2024 Q4</c:v>
                </c:pt>
                <c:pt idx="2">
                  <c:v>2025 Q1</c:v>
                </c:pt>
                <c:pt idx="3">
                  <c:v>2025 Q2</c:v>
                </c:pt>
                <c:pt idx="4">
                  <c:v>2025 Q3</c:v>
                </c:pt>
                <c:pt idx="5">
                  <c:v>2025 Q4</c:v>
                </c:pt>
                <c:pt idx="6">
                  <c:v>2026 Q1</c:v>
                </c:pt>
              </c:strCache>
            </c:strRef>
          </c:cat>
          <c:val>
            <c:numRef>
              <c:f>Sheet1!$BO$11:$BU$11</c:f>
              <c:numCache>
                <c:formatCode>"$"#,##0</c:formatCode>
                <c:ptCount val="7"/>
                <c:pt idx="0">
                  <c:v>2942.0000000000005</c:v>
                </c:pt>
                <c:pt idx="1">
                  <c:v>2763</c:v>
                </c:pt>
                <c:pt idx="2">
                  <c:v>2686</c:v>
                </c:pt>
                <c:pt idx="3">
                  <c:v>3277</c:v>
                </c:pt>
                <c:pt idx="4">
                  <c:v>3803.9999999999995</c:v>
                </c:pt>
                <c:pt idx="5">
                  <c:v>5709</c:v>
                </c:pt>
                <c:pt idx="6">
                  <c:v>7768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739A-4518-A7F9-F2037CFA92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59485103"/>
        <c:axId val="1665416191"/>
      </c:lineChart>
      <c:catAx>
        <c:axId val="165948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665416191"/>
        <c:crosses val="autoZero"/>
        <c:auto val="1"/>
        <c:lblAlgn val="ctr"/>
        <c:lblOffset val="100"/>
        <c:noMultiLvlLbl val="0"/>
      </c:catAx>
      <c:valAx>
        <c:axId val="1665416191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595959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65948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595959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07950" cap="rnd">
            <a:solidFill>
              <a:schemeClr val="accent1"/>
            </a:solidFill>
          </a:ln>
          <a:effectLst/>
        </c:spPr>
      </c:pivotFmt>
      <c:pivotFmt>
        <c:idx val="26"/>
        <c:spPr>
          <a:ln w="107950" cap="sq">
            <a:solidFill>
              <a:schemeClr val="accent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107950" cap="sq">
            <a:solidFill>
              <a:schemeClr val="accent1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002060"/>
          </a:solidFill>
          <a:ln w="107950" cap="sq">
            <a:solidFill>
              <a:srgbClr val="002060"/>
            </a:solidFill>
          </a:ln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000">
                  <a:ln w="6350" cap="sq"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43137"/>
                      </a:srgbClr>
                    </a:outerShdw>
                  </a:effectLst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002060"/>
          </a:solidFill>
          <a:ln w="107950" cap="rnd">
            <a:solidFill>
              <a:srgbClr val="002060"/>
            </a:solidFill>
          </a:ln>
        </c:spPr>
      </c:pivotFmt>
      <c:pivotFmt>
        <c:idx val="40"/>
        <c:spPr>
          <a:solidFill>
            <a:srgbClr val="002060"/>
          </a:solidFill>
          <a:ln w="107950" cap="rnd">
            <a:solidFill>
              <a:srgbClr val="002060"/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38100" cap="rnd">
            <a:solidFill>
              <a:srgbClr val="D4AF37"/>
            </a:solidFill>
            <a:prstDash val="sysDash"/>
            <a:round/>
          </a:ln>
        </c:spPr>
        <c:marker>
          <c:symbol val="none"/>
        </c:marker>
        <c:dLbl>
          <c:idx val="0"/>
          <c:spPr>
            <a:noFill/>
            <a:ln w="0">
              <a:noFill/>
            </a:ln>
            <a:effectLst/>
          </c:spPr>
          <c:txPr>
            <a:bodyPr wrap="square" lIns="38100" tIns="45720" rIns="38100" bIns="19050" anchor="ctr">
              <a:spAutoFit/>
            </a:bodyPr>
            <a:lstStyle/>
            <a:p>
              <a:pPr>
                <a:defRPr sz="1200">
                  <a:ln w="0" cap="sq">
                    <a:noFill/>
                  </a:ln>
                  <a:solidFill>
                    <a:srgbClr val="D1AA2D"/>
                  </a:solidFill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2"/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Data'!$C$22</c:f>
              <c:strCache>
                <c:ptCount val="1"/>
                <c:pt idx="0">
                  <c:v>AMZN CapEx</c:v>
                </c:pt>
              </c:strCache>
            </c:strRef>
          </c:tx>
          <c:spPr>
            <a:solidFill>
              <a:srgbClr val="FFC000"/>
            </a:solidFill>
            <a:ln w="107950" cap="rnd">
              <a:solidFill>
                <a:srgbClr val="FFC000"/>
              </a:solidFill>
            </a:ln>
          </c:spPr>
          <c:invertIfNegative val="0"/>
          <c:cat>
            <c:strRef>
              <c:f>'Pivot Data'!$B$23:$B$29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'Pivot Data'!$C$23:$C$29</c:f>
              <c:numCache>
                <c:formatCode>"$"#,##0</c:formatCode>
                <c:ptCount val="7"/>
                <c:pt idx="0">
                  <c:v>35046</c:v>
                </c:pt>
                <c:pt idx="1">
                  <c:v>55396</c:v>
                </c:pt>
                <c:pt idx="2">
                  <c:v>58321</c:v>
                </c:pt>
                <c:pt idx="3">
                  <c:v>52729</c:v>
                </c:pt>
                <c:pt idx="4">
                  <c:v>82999</c:v>
                </c:pt>
                <c:pt idx="5">
                  <c:v>131819</c:v>
                </c:pt>
                <c:pt idx="6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8-4E5B-9A2D-F2C57DD49711}"/>
            </c:ext>
          </c:extLst>
        </c:ser>
        <c:ser>
          <c:idx val="2"/>
          <c:order val="2"/>
          <c:tx>
            <c:strRef>
              <c:f>'Pivot Data'!$E$22</c:f>
              <c:strCache>
                <c:ptCount val="1"/>
                <c:pt idx="0">
                  <c:v>GOOGL CapEx</c:v>
                </c:pt>
              </c:strCache>
            </c:strRef>
          </c:tx>
          <c:spPr>
            <a:solidFill>
              <a:srgbClr val="00B050"/>
            </a:solidFill>
            <a:ln w="107950">
              <a:solidFill>
                <a:srgbClr val="00B050"/>
              </a:solidFill>
            </a:ln>
          </c:spPr>
          <c:invertIfNegative val="0"/>
          <c:cat>
            <c:strRef>
              <c:f>'Pivot Data'!$B$23:$B$29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'Pivot Data'!$E$23:$E$29</c:f>
              <c:numCache>
                <c:formatCode>"$"#,##0</c:formatCode>
                <c:ptCount val="7"/>
                <c:pt idx="0">
                  <c:v>22281</c:v>
                </c:pt>
                <c:pt idx="1">
                  <c:v>24640</c:v>
                </c:pt>
                <c:pt idx="2">
                  <c:v>31485</c:v>
                </c:pt>
                <c:pt idx="3">
                  <c:v>32251</c:v>
                </c:pt>
                <c:pt idx="4">
                  <c:v>52535</c:v>
                </c:pt>
                <c:pt idx="5">
                  <c:v>91447</c:v>
                </c:pt>
                <c:pt idx="6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BD1-4064-ADB9-7FE745D9F637}"/>
            </c:ext>
          </c:extLst>
        </c:ser>
        <c:ser>
          <c:idx val="3"/>
          <c:order val="3"/>
          <c:tx>
            <c:strRef>
              <c:f>'Pivot Data'!$F$22</c:f>
              <c:strCache>
                <c:ptCount val="1"/>
                <c:pt idx="0">
                  <c:v>META CapEx</c:v>
                </c:pt>
              </c:strCache>
            </c:strRef>
          </c:tx>
          <c:spPr>
            <a:solidFill>
              <a:srgbClr val="0070C0"/>
            </a:solidFill>
            <a:ln w="107950">
              <a:solidFill>
                <a:srgbClr val="0070C0"/>
              </a:solidFill>
            </a:ln>
          </c:spPr>
          <c:invertIfNegative val="0"/>
          <c:cat>
            <c:strRef>
              <c:f>'Pivot Data'!$B$23:$B$29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'Pivot Data'!$F$23:$F$29</c:f>
              <c:numCache>
                <c:formatCode>"$"#,##0</c:formatCode>
                <c:ptCount val="7"/>
                <c:pt idx="0">
                  <c:v>15115</c:v>
                </c:pt>
                <c:pt idx="1">
                  <c:v>18567</c:v>
                </c:pt>
                <c:pt idx="2">
                  <c:v>31431</c:v>
                </c:pt>
                <c:pt idx="3">
                  <c:v>27266</c:v>
                </c:pt>
                <c:pt idx="4">
                  <c:v>37256</c:v>
                </c:pt>
                <c:pt idx="5">
                  <c:v>69691</c:v>
                </c:pt>
                <c:pt idx="6">
                  <c:v>125000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BD1-4064-ADB9-7FE745D9F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031700671"/>
        <c:axId val="1031701151"/>
      </c:barChart>
      <c:barChart>
        <c:barDir val="col"/>
        <c:grouping val="stacked"/>
        <c:varyColors val="0"/>
        <c:ser>
          <c:idx val="1"/>
          <c:order val="1"/>
          <c:tx>
            <c:strRef>
              <c:f>'Pivot Data'!$D$22</c:f>
              <c:strCache>
                <c:ptCount val="1"/>
                <c:pt idx="0">
                  <c:v>MSFT CapEx</c:v>
                </c:pt>
              </c:strCache>
            </c:strRef>
          </c:tx>
          <c:spPr>
            <a:solidFill>
              <a:srgbClr val="FF0000"/>
            </a:solidFill>
            <a:ln w="107950" cap="rnd">
              <a:solidFill>
                <a:srgbClr val="FF0000"/>
              </a:solidFill>
              <a:prstDash val="solid"/>
              <a:round/>
            </a:ln>
          </c:spPr>
          <c:invertIfNegative val="0"/>
          <c:cat>
            <c:strRef>
              <c:f>'Pivot Data'!$B$23:$B$29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'Pivot Data'!$D$23:$D$29</c:f>
              <c:numCache>
                <c:formatCode>"$"#,##0</c:formatCode>
                <c:ptCount val="7"/>
                <c:pt idx="0">
                  <c:v>15441</c:v>
                </c:pt>
                <c:pt idx="1">
                  <c:v>20622</c:v>
                </c:pt>
                <c:pt idx="2">
                  <c:v>23886</c:v>
                </c:pt>
                <c:pt idx="3">
                  <c:v>28107</c:v>
                </c:pt>
                <c:pt idx="4">
                  <c:v>44477</c:v>
                </c:pt>
                <c:pt idx="5">
                  <c:v>64551</c:v>
                </c:pt>
                <c:pt idx="6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B8-4E5B-9A2D-F2C57DD49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995206815"/>
        <c:axId val="1995204415"/>
      </c:barChart>
      <c:lineChart>
        <c:grouping val="standard"/>
        <c:varyColors val="0"/>
        <c:ser>
          <c:idx val="4"/>
          <c:order val="4"/>
          <c:tx>
            <c:strRef>
              <c:f>'Pivot Data'!$H$32</c:f>
              <c:strCache>
                <c:ptCount val="1"/>
                <c:pt idx="0">
                  <c:v>AMZN OCF</c:v>
                </c:pt>
              </c:strCache>
            </c:strRef>
          </c:tx>
          <c:marker>
            <c:symbol val="none"/>
          </c:marker>
          <c:cat>
            <c:strRef>
              <c:f>'Pivot Data'!$B$33:$B$39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'Pivot Data'!$H$33:$H$39</c:f>
              <c:numCache>
                <c:formatCode>General</c:formatCode>
                <c:ptCount val="7"/>
                <c:pt idx="0">
                  <c:v>66064</c:v>
                </c:pt>
                <c:pt idx="1">
                  <c:v>46327</c:v>
                </c:pt>
                <c:pt idx="2">
                  <c:v>46752</c:v>
                </c:pt>
                <c:pt idx="3">
                  <c:v>84946</c:v>
                </c:pt>
                <c:pt idx="4">
                  <c:v>115877</c:v>
                </c:pt>
                <c:pt idx="5">
                  <c:v>142654</c:v>
                </c:pt>
                <c:pt idx="6">
                  <c:v>182508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BD1-4064-ADB9-7FE745D9F637}"/>
            </c:ext>
          </c:extLst>
        </c:ser>
        <c:ser>
          <c:idx val="5"/>
          <c:order val="5"/>
          <c:tx>
            <c:strRef>
              <c:f>'Pivot Data'!$I$32</c:f>
              <c:strCache>
                <c:ptCount val="1"/>
                <c:pt idx="0">
                  <c:v>MSFT OCF</c:v>
                </c:pt>
              </c:strCache>
            </c:strRef>
          </c:tx>
          <c:marker>
            <c:symbol val="none"/>
          </c:marker>
          <c:cat>
            <c:strRef>
              <c:f>'Pivot Data'!$B$33:$B$39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'Pivot Data'!$I$33:$I$39</c:f>
              <c:numCache>
                <c:formatCode>General</c:formatCode>
                <c:ptCount val="7"/>
                <c:pt idx="0">
                  <c:v>60675</c:v>
                </c:pt>
                <c:pt idx="1">
                  <c:v>76740</c:v>
                </c:pt>
                <c:pt idx="2">
                  <c:v>89035</c:v>
                </c:pt>
                <c:pt idx="3">
                  <c:v>87582</c:v>
                </c:pt>
                <c:pt idx="4">
                  <c:v>118548</c:v>
                </c:pt>
                <c:pt idx="5">
                  <c:v>136162</c:v>
                </c:pt>
                <c:pt idx="6">
                  <c:v>170989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BD1-4064-ADB9-7FE745D9F637}"/>
            </c:ext>
          </c:extLst>
        </c:ser>
        <c:ser>
          <c:idx val="6"/>
          <c:order val="6"/>
          <c:tx>
            <c:strRef>
              <c:f>'Pivot Data'!$J$32</c:f>
              <c:strCache>
                <c:ptCount val="1"/>
                <c:pt idx="0">
                  <c:v>GOOGL OCF</c:v>
                </c:pt>
              </c:strCache>
            </c:strRef>
          </c:tx>
          <c:marker>
            <c:symbol val="none"/>
          </c:marker>
          <c:cat>
            <c:strRef>
              <c:f>'Pivot Data'!$B$33:$B$39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'Pivot Data'!$J$33:$J$39</c:f>
              <c:numCache>
                <c:formatCode>General</c:formatCode>
                <c:ptCount val="7"/>
                <c:pt idx="0">
                  <c:v>65124</c:v>
                </c:pt>
                <c:pt idx="1">
                  <c:v>91652</c:v>
                </c:pt>
                <c:pt idx="2">
                  <c:v>91495</c:v>
                </c:pt>
                <c:pt idx="3">
                  <c:v>101746</c:v>
                </c:pt>
                <c:pt idx="4">
                  <c:v>125299</c:v>
                </c:pt>
                <c:pt idx="5">
                  <c:v>164713</c:v>
                </c:pt>
                <c:pt idx="6">
                  <c:v>194777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BD1-4064-ADB9-7FE745D9F637}"/>
            </c:ext>
          </c:extLst>
        </c:ser>
        <c:ser>
          <c:idx val="7"/>
          <c:order val="7"/>
          <c:tx>
            <c:strRef>
              <c:f>'Pivot Data'!$K$32</c:f>
              <c:strCache>
                <c:ptCount val="1"/>
                <c:pt idx="0">
                  <c:v>META OCF</c:v>
                </c:pt>
              </c:strCache>
            </c:strRef>
          </c:tx>
          <c:marker>
            <c:symbol val="none"/>
          </c:marker>
          <c:cat>
            <c:strRef>
              <c:f>'Pivot Data'!$B$33:$B$39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</c:strCache>
            </c:strRef>
          </c:cat>
          <c:val>
            <c:numRef>
              <c:f>'Pivot Data'!$K$33:$K$39</c:f>
              <c:numCache>
                <c:formatCode>General</c:formatCode>
                <c:ptCount val="7"/>
                <c:pt idx="0">
                  <c:v>38747</c:v>
                </c:pt>
                <c:pt idx="1">
                  <c:v>57683</c:v>
                </c:pt>
                <c:pt idx="2">
                  <c:v>50475</c:v>
                </c:pt>
                <c:pt idx="3">
                  <c:v>71113</c:v>
                </c:pt>
                <c:pt idx="4">
                  <c:v>91328</c:v>
                </c:pt>
                <c:pt idx="5">
                  <c:v>115800</c:v>
                </c:pt>
                <c:pt idx="6">
                  <c:v>130278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BD1-4064-ADB9-7FE745D9F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5206815"/>
        <c:axId val="1995204415"/>
      </c:lineChart>
      <c:catAx>
        <c:axId val="103170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>
              <a:lumMod val="75000"/>
              <a:alpha val="0"/>
            </a:schemeClr>
          </a:solidFill>
          <a:ln w="31750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0" spcFirstLastPara="1" vertOverflow="ellipsis" vert="horz" wrap="square" anchor="t" anchorCtr="0"/>
          <a:lstStyle/>
          <a:p>
            <a:pPr>
              <a:defRPr sz="2000" b="0" i="0" u="none" strike="noStrike" kern="120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01151"/>
        <c:crosses val="autoZero"/>
        <c:auto val="1"/>
        <c:lblAlgn val="ctr"/>
        <c:lblOffset val="100"/>
        <c:noMultiLvlLbl val="0"/>
      </c:catAx>
      <c:valAx>
        <c:axId val="103170115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3"/>
              </a:solidFill>
              <a:prstDash val="solid"/>
              <a:round/>
              <a:headEnd type="none"/>
            </a:ln>
            <a:effectLst/>
          </c:spPr>
        </c:majorGridlines>
        <c:numFmt formatCode="#,##0" sourceLinked="0"/>
        <c:majorTickMark val="in"/>
        <c:minorTickMark val="none"/>
        <c:tickLblPos val="nextTo"/>
        <c:spPr>
          <a:noFill/>
          <a:ln w="28575">
            <a:solidFill>
              <a:schemeClr val="bg1">
                <a:lumMod val="75000"/>
              </a:schemeClr>
            </a:solidFill>
          </a:ln>
          <a:effectLst/>
        </c:spPr>
        <c:txPr>
          <a:bodyPr rot="0" spcFirstLastPara="1" vertOverflow="ellipsis" vert="horz" wrap="square" anchor="ctr" anchorCtr="0"/>
          <a:lstStyle/>
          <a:p>
            <a:pPr>
              <a:defRPr sz="1400" b="0" i="0" u="none" strike="noStrike" kern="1200" baseline="0">
                <a:ln>
                  <a:noFill/>
                </a:ln>
                <a:solidFill>
                  <a:schemeClr val="accent3">
                    <a:lumMod val="50000"/>
                  </a:schemeClr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00671"/>
        <c:crosses val="autoZero"/>
        <c:crossBetween val="between"/>
      </c:valAx>
      <c:valAx>
        <c:axId val="1995204415"/>
        <c:scaling>
          <c:orientation val="minMax"/>
        </c:scaling>
        <c:delete val="0"/>
        <c:axPos val="r"/>
        <c:numFmt formatCode="&quot;$&quot;#,##0" sourceLinked="1"/>
        <c:majorTickMark val="none"/>
        <c:minorTickMark val="none"/>
        <c:tickLblPos val="none"/>
        <c:spPr>
          <a:noFill/>
          <a:ln w="0">
            <a:noFill/>
          </a:ln>
        </c:spPr>
        <c:crossAx val="1995206815"/>
        <c:crosses val="max"/>
        <c:crossBetween val="between"/>
      </c:valAx>
      <c:catAx>
        <c:axId val="1995206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5204415"/>
        <c:crosses val="autoZero"/>
        <c:auto val="1"/>
        <c:lblAlgn val="ctr"/>
        <c:lblOffset val="100"/>
        <c:noMultiLvlLbl val="0"/>
      </c:catAx>
      <c:spPr>
        <a:solidFill>
          <a:srgbClr val="FDFDFD"/>
        </a:solidFill>
        <a:ln>
          <a:solidFill>
            <a:srgbClr val="FDFDFD"/>
          </a:solidFill>
        </a:ln>
      </c:spPr>
    </c:plotArea>
    <c:legend>
      <c:legendPos val="t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DFDFD"/>
    </a:solidFill>
    <a:ln w="107950" cap="rnd">
      <a:solidFill>
        <a:schemeClr val="bg1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480060</xdr:colOff>
      <xdr:row>76</xdr:row>
      <xdr:rowOff>182880</xdr:rowOff>
    </xdr:from>
    <xdr:to>
      <xdr:col>32</xdr:col>
      <xdr:colOff>108966</xdr:colOff>
      <xdr:row>110</xdr:row>
      <xdr:rowOff>140208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24E02A-9E3F-99D1-B171-331D095BC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119495</xdr:colOff>
      <xdr:row>77</xdr:row>
      <xdr:rowOff>3561</xdr:rowOff>
    </xdr:from>
    <xdr:to>
      <xdr:col>52</xdr:col>
      <xdr:colOff>423315</xdr:colOff>
      <xdr:row>110</xdr:row>
      <xdr:rowOff>147927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EAA052-944F-4A7A-B8A9-92A451FED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3118</xdr:colOff>
      <xdr:row>111</xdr:row>
      <xdr:rowOff>157596</xdr:rowOff>
    </xdr:from>
    <xdr:to>
      <xdr:col>32</xdr:col>
      <xdr:colOff>288878</xdr:colOff>
      <xdr:row>145</xdr:row>
      <xdr:rowOff>120564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68FDC1-EB47-4F02-A86F-951FA74D5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200691</xdr:colOff>
      <xdr:row>111</xdr:row>
      <xdr:rowOff>103611</xdr:rowOff>
    </xdr:from>
    <xdr:to>
      <xdr:col>52</xdr:col>
      <xdr:colOff>492537</xdr:colOff>
      <xdr:row>145</xdr:row>
      <xdr:rowOff>62226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3D035C-FB81-495E-8A14-1721C351E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15</xdr:col>
      <xdr:colOff>588010</xdr:colOff>
      <xdr:row>44</xdr:row>
      <xdr:rowOff>191770</xdr:rowOff>
    </xdr:to>
    <xdr:graphicFrame macro="">
      <xdr:nvGraphicFramePr>
        <xdr:cNvPr id="2" name="Incremental Ad Sales Share">
          <a:extLst>
            <a:ext uri="{FF2B5EF4-FFF2-40B4-BE49-F238E27FC236}">
              <a16:creationId xmlns:a16="http://schemas.microsoft.com/office/drawing/2014/main" id="{FBC12BB4-94D2-4577-A83C-FA9C0C41F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354106</xdr:colOff>
      <xdr:row>20</xdr:row>
      <xdr:rowOff>8964</xdr:rowOff>
    </xdr:from>
    <xdr:to>
      <xdr:col>30</xdr:col>
      <xdr:colOff>376518</xdr:colOff>
      <xdr:row>45</xdr:row>
      <xdr:rowOff>130511</xdr:rowOff>
    </xdr:to>
    <xdr:graphicFrame macro="">
      <xdr:nvGraphicFramePr>
        <xdr:cNvPr id="9" name="Capex by Company">
          <a:extLst>
            <a:ext uri="{FF2B5EF4-FFF2-40B4-BE49-F238E27FC236}">
              <a16:creationId xmlns:a16="http://schemas.microsoft.com/office/drawing/2014/main" id="{E6791637-BBAD-7000-68E0-1D015A271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95250</xdr:colOff>
      <xdr:row>47</xdr:row>
      <xdr:rowOff>83820</xdr:rowOff>
    </xdr:from>
    <xdr:to>
      <xdr:col>15</xdr:col>
      <xdr:colOff>609600</xdr:colOff>
      <xdr:row>68</xdr:row>
      <xdr:rowOff>143692</xdr:rowOff>
    </xdr:to>
    <xdr:graphicFrame macro="">
      <xdr:nvGraphicFramePr>
        <xdr:cNvPr id="10" name="YoY Growth Trend">
          <a:extLst>
            <a:ext uri="{FF2B5EF4-FFF2-40B4-BE49-F238E27FC236}">
              <a16:creationId xmlns:a16="http://schemas.microsoft.com/office/drawing/2014/main" id="{DF8BC34C-31CC-4A37-A6A3-DFC863733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228599</xdr:colOff>
      <xdr:row>47</xdr:row>
      <xdr:rowOff>83820</xdr:rowOff>
    </xdr:from>
    <xdr:to>
      <xdr:col>31</xdr:col>
      <xdr:colOff>146049</xdr:colOff>
      <xdr:row>68</xdr:row>
      <xdr:rowOff>143510</xdr:rowOff>
    </xdr:to>
    <xdr:graphicFrame macro="">
      <xdr:nvGraphicFramePr>
        <xdr:cNvPr id="13" name="Cloud Growth %">
          <a:extLst>
            <a:ext uri="{FF2B5EF4-FFF2-40B4-BE49-F238E27FC236}">
              <a16:creationId xmlns:a16="http://schemas.microsoft.com/office/drawing/2014/main" id="{8A0D68E6-A32A-A008-6448-669BED7CD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161365</xdr:colOff>
      <xdr:row>20</xdr:row>
      <xdr:rowOff>161364</xdr:rowOff>
    </xdr:from>
    <xdr:to>
      <xdr:col>46</xdr:col>
      <xdr:colOff>78815</xdr:colOff>
      <xdr:row>42</xdr:row>
      <xdr:rowOff>23831</xdr:rowOff>
    </xdr:to>
    <xdr:graphicFrame macro="">
      <xdr:nvGraphicFramePr>
        <xdr:cNvPr id="3" name="Cloud Growth %">
          <a:extLst>
            <a:ext uri="{FF2B5EF4-FFF2-40B4-BE49-F238E27FC236}">
              <a16:creationId xmlns:a16="http://schemas.microsoft.com/office/drawing/2014/main" id="{CCF0B9F9-1494-49C9-907A-48DBFE51B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62753</xdr:colOff>
      <xdr:row>45</xdr:row>
      <xdr:rowOff>53788</xdr:rowOff>
    </xdr:from>
    <xdr:to>
      <xdr:col>46</xdr:col>
      <xdr:colOff>652556</xdr:colOff>
      <xdr:row>66</xdr:row>
      <xdr:rowOff>113478</xdr:rowOff>
    </xdr:to>
    <xdr:graphicFrame macro="">
      <xdr:nvGraphicFramePr>
        <xdr:cNvPr id="8" name="Cloud Growth %">
          <a:extLst>
            <a:ext uri="{FF2B5EF4-FFF2-40B4-BE49-F238E27FC236}">
              <a16:creationId xmlns:a16="http://schemas.microsoft.com/office/drawing/2014/main" id="{B72A611B-BB8E-4165-B534-7AB5C715B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5</xdr:row>
      <xdr:rowOff>160020</xdr:rowOff>
    </xdr:from>
    <xdr:to>
      <xdr:col>40</xdr:col>
      <xdr:colOff>434340</xdr:colOff>
      <xdr:row>53</xdr:row>
      <xdr:rowOff>77724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2D95C5-F02F-3831-7739-4D1110C7E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rem\OneDrive\Masa&#252;st&#252;\Financial%20Models\Advertising.xlsx" TargetMode="External"/><Relationship Id="rId1" Type="http://schemas.openxmlformats.org/officeDocument/2006/relationships/externalLinkPath" Target="Advertis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d Sales Charts"/>
    </sheetNames>
    <sheetDataSet>
      <sheetData sheetId="0"/>
      <sheetData sheetId="1">
        <row r="11">
          <cell r="Y11" t="str">
            <v>2024 Q1</v>
          </cell>
          <cell r="Z11" t="str">
            <v>2024 Q2</v>
          </cell>
          <cell r="AA11" t="str">
            <v>2024 Q3</v>
          </cell>
          <cell r="AB11" t="str">
            <v>2024 Q4</v>
          </cell>
          <cell r="AC11" t="str">
            <v>2025 Q1</v>
          </cell>
          <cell r="AD11" t="str">
            <v>2025 Q2</v>
          </cell>
          <cell r="AE11" t="str">
            <v>2025 Q3</v>
          </cell>
          <cell r="AF11" t="str">
            <v>2025 Q4</v>
          </cell>
          <cell r="AG11" t="str">
            <v>2026 Q1</v>
          </cell>
        </row>
        <row r="12">
          <cell r="X12" t="str">
            <v>Google</v>
          </cell>
          <cell r="Y12">
            <v>0.13036224976167779</v>
          </cell>
          <cell r="Z12">
            <v>0.11132896479369829</v>
          </cell>
          <cell r="AA12">
            <v>0.10406223280299093</v>
          </cell>
          <cell r="AB12">
            <v>0.10598775890226964</v>
          </cell>
          <cell r="AC12">
            <v>8.4756483238456679E-2</v>
          </cell>
          <cell r="AD12">
            <v>0.10406091370558376</v>
          </cell>
          <cell r="AE12">
            <v>0.12646156649558113</v>
          </cell>
          <cell r="AF12">
            <v>0.13556257849049833</v>
          </cell>
          <cell r="AG12">
            <v>0.15501233460417133</v>
          </cell>
        </row>
        <row r="13">
          <cell r="X13" t="str">
            <v>Meta</v>
          </cell>
          <cell r="Y13">
            <v>0.2681043379239173</v>
          </cell>
          <cell r="Z13">
            <v>0.21687091243888501</v>
          </cell>
          <cell r="AA13">
            <v>0.18553636714918409</v>
          </cell>
          <cell r="AB13">
            <v>0.20867565752079781</v>
          </cell>
          <cell r="AC13">
            <v>0.1615546513259436</v>
          </cell>
          <cell r="AD13">
            <v>0.21482428448433302</v>
          </cell>
          <cell r="AE13">
            <v>0.25566002256487402</v>
          </cell>
          <cell r="AF13">
            <v>0.2426949960455721</v>
          </cell>
          <cell r="AG13">
            <v>0.32933900270583688</v>
          </cell>
        </row>
        <row r="14">
          <cell r="X14" t="str">
            <v>Amazon</v>
          </cell>
          <cell r="Y14">
            <v>0.24345357030181933</v>
          </cell>
          <cell r="Z14">
            <v>0.19545071609098569</v>
          </cell>
          <cell r="AA14">
            <v>0.18830845771144278</v>
          </cell>
          <cell r="AB14">
            <v>0.17974614439743414</v>
          </cell>
          <cell r="AC14">
            <v>0.17735115020297701</v>
          </cell>
          <cell r="AD14">
            <v>0.22887792655234515</v>
          </cell>
          <cell r="AE14">
            <v>0.23529411764705882</v>
          </cell>
          <cell r="AF14">
            <v>0.23305182785747339</v>
          </cell>
          <cell r="AG14">
            <v>0.23863228216363766</v>
          </cell>
        </row>
        <row r="72">
          <cell r="AC72" t="str">
            <v>2024 Q1</v>
          </cell>
          <cell r="AD72" t="str">
            <v>2024 Q2</v>
          </cell>
          <cell r="AE72" t="str">
            <v>2024 Q3</v>
          </cell>
          <cell r="AF72" t="str">
            <v>2024 Q4</v>
          </cell>
          <cell r="AG72" t="str">
            <v>2025 Q1</v>
          </cell>
          <cell r="AH72" t="str">
            <v>2025 Q2</v>
          </cell>
          <cell r="AI72" t="str">
            <v>2025 Q3</v>
          </cell>
          <cell r="AJ72" t="str">
            <v>2025 Q4</v>
          </cell>
          <cell r="AK72" t="str">
            <v>2026 Q1</v>
          </cell>
        </row>
        <row r="73">
          <cell r="AB73" t="str">
            <v>Google</v>
          </cell>
          <cell r="AC73">
            <v>0.41928066037735851</v>
          </cell>
          <cell r="AD73">
            <v>0.4205431392931393</v>
          </cell>
          <cell r="AE73">
            <v>0.42167119565217392</v>
          </cell>
          <cell r="AF73">
            <v>0.39331634097989238</v>
          </cell>
          <cell r="AG73">
            <v>0.39954128440366971</v>
          </cell>
          <cell r="AH73">
            <v>0.37604160841116269</v>
          </cell>
          <cell r="AI73">
            <v>0.3803260720646664</v>
          </cell>
          <cell r="AJ73">
            <v>0.3897087994921844</v>
          </cell>
          <cell r="AK73">
            <v>0.37947441622136008</v>
          </cell>
        </row>
        <row r="74">
          <cell r="AB74" t="str">
            <v>Meta</v>
          </cell>
          <cell r="AC74">
            <v>0.44422169811320755</v>
          </cell>
          <cell r="AD74">
            <v>0.44380197505197505</v>
          </cell>
          <cell r="AE74">
            <v>0.42404891304347825</v>
          </cell>
          <cell r="AF74">
            <v>0.45749079580855284</v>
          </cell>
          <cell r="AG74">
            <v>0.44013761467889906</v>
          </cell>
          <cell r="AH74">
            <v>0.46048878698059392</v>
          </cell>
          <cell r="AI74">
            <v>0.46568023016851623</v>
          </cell>
          <cell r="AJ74">
            <v>0.45044830595889868</v>
          </cell>
          <cell r="AK74">
            <v>0.49893858429104748</v>
          </cell>
        </row>
        <row r="75">
          <cell r="AB75" t="str">
            <v>Amazon</v>
          </cell>
          <cell r="AC75">
            <v>0.13649764150943397</v>
          </cell>
          <cell r="AD75">
            <v>0.13565488565488565</v>
          </cell>
          <cell r="AE75">
            <v>0.15427989130434783</v>
          </cell>
          <cell r="AF75">
            <v>0.14919286321155481</v>
          </cell>
          <cell r="AG75">
            <v>0.16032110091743118</v>
          </cell>
          <cell r="AH75">
            <v>0.16346960460824339</v>
          </cell>
          <cell r="AI75">
            <v>0.15399369776681737</v>
          </cell>
          <cell r="AJ75">
            <v>0.15984289454891693</v>
          </cell>
          <cell r="AK75">
            <v>0.12158699948759241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0000FF"/>
      </a:accent4>
      <a:accent5>
        <a:srgbClr val="4472C4"/>
      </a:accent5>
      <a:accent6>
        <a:srgbClr val="FFF2CC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Finance">
    <a:dk1>
      <a:sysClr val="windowText" lastClr="000000"/>
    </a:dk1>
    <a:lt1>
      <a:sysClr val="window" lastClr="FFFFFF"/>
    </a:lt1>
    <a:dk2>
      <a:srgbClr val="1F497D"/>
    </a:dk2>
    <a:lt2>
      <a:srgbClr val="D9D9D9"/>
    </a:lt2>
    <a:accent1>
      <a:srgbClr val="0066CC"/>
    </a:accent1>
    <a:accent2>
      <a:srgbClr val="00B050"/>
    </a:accent2>
    <a:accent3>
      <a:srgbClr val="E6E6E6"/>
    </a:accent3>
    <a:accent4>
      <a:srgbClr val="0000FF"/>
    </a:accent4>
    <a:accent5>
      <a:srgbClr val="4472C4"/>
    </a:accent5>
    <a:accent6>
      <a:srgbClr val="FF6600"/>
    </a:accent6>
    <a:hlink>
      <a:srgbClr val="0563C1"/>
    </a:hlink>
    <a:folHlink>
      <a:srgbClr val="954F72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Finance">
    <a:dk1>
      <a:sysClr val="windowText" lastClr="000000"/>
    </a:dk1>
    <a:lt1>
      <a:sysClr val="window" lastClr="FFFFFF"/>
    </a:lt1>
    <a:dk2>
      <a:srgbClr val="1F497D"/>
    </a:dk2>
    <a:lt2>
      <a:srgbClr val="D9D9D9"/>
    </a:lt2>
    <a:accent1>
      <a:srgbClr val="0066CC"/>
    </a:accent1>
    <a:accent2>
      <a:srgbClr val="00B050"/>
    </a:accent2>
    <a:accent3>
      <a:srgbClr val="E6E6E6"/>
    </a:accent3>
    <a:accent4>
      <a:srgbClr val="0000FF"/>
    </a:accent4>
    <a:accent5>
      <a:srgbClr val="4472C4"/>
    </a:accent5>
    <a:accent6>
      <a:srgbClr val="FF6600"/>
    </a:accent6>
    <a:hlink>
      <a:srgbClr val="0563C1"/>
    </a:hlink>
    <a:folHlink>
      <a:srgbClr val="954F72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Finance">
    <a:dk1>
      <a:sysClr val="windowText" lastClr="000000"/>
    </a:dk1>
    <a:lt1>
      <a:sysClr val="window" lastClr="FFFFFF"/>
    </a:lt1>
    <a:dk2>
      <a:srgbClr val="1F497D"/>
    </a:dk2>
    <a:lt2>
      <a:srgbClr val="D9D9D9"/>
    </a:lt2>
    <a:accent1>
      <a:srgbClr val="0066CC"/>
    </a:accent1>
    <a:accent2>
      <a:srgbClr val="00B050"/>
    </a:accent2>
    <a:accent3>
      <a:srgbClr val="E6E6E6"/>
    </a:accent3>
    <a:accent4>
      <a:srgbClr val="0000FF"/>
    </a:accent4>
    <a:accent5>
      <a:srgbClr val="4472C4"/>
    </a:accent5>
    <a:accent6>
      <a:srgbClr val="FF6600"/>
    </a:accent6>
    <a:hlink>
      <a:srgbClr val="0563C1"/>
    </a:hlink>
    <a:folHlink>
      <a:srgbClr val="954F72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Finance">
    <a:dk1>
      <a:sysClr val="windowText" lastClr="000000"/>
    </a:dk1>
    <a:lt1>
      <a:sysClr val="window" lastClr="FFFFFF"/>
    </a:lt1>
    <a:dk2>
      <a:srgbClr val="1F497D"/>
    </a:dk2>
    <a:lt2>
      <a:srgbClr val="D9D9D9"/>
    </a:lt2>
    <a:accent1>
      <a:srgbClr val="0066CC"/>
    </a:accent1>
    <a:accent2>
      <a:srgbClr val="00B050"/>
    </a:accent2>
    <a:accent3>
      <a:srgbClr val="E6E6E6"/>
    </a:accent3>
    <a:accent4>
      <a:srgbClr val="0000FF"/>
    </a:accent4>
    <a:accent5>
      <a:srgbClr val="4472C4"/>
    </a:accent5>
    <a:accent6>
      <a:srgbClr val="FF6600"/>
    </a:accent6>
    <a:hlink>
      <a:srgbClr val="0563C1"/>
    </a:hlink>
    <a:folHlink>
      <a:srgbClr val="954F72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Finance">
    <a:dk1>
      <a:sysClr val="windowText" lastClr="000000"/>
    </a:dk1>
    <a:lt1>
      <a:sysClr val="window" lastClr="FFFFFF"/>
    </a:lt1>
    <a:dk2>
      <a:srgbClr val="1F497D"/>
    </a:dk2>
    <a:lt2>
      <a:srgbClr val="D9D9D9"/>
    </a:lt2>
    <a:accent1>
      <a:srgbClr val="0066CC"/>
    </a:accent1>
    <a:accent2>
      <a:srgbClr val="00B050"/>
    </a:accent2>
    <a:accent3>
      <a:srgbClr val="E6E6E6"/>
    </a:accent3>
    <a:accent4>
      <a:srgbClr val="0000FF"/>
    </a:accent4>
    <a:accent5>
      <a:srgbClr val="4472C4"/>
    </a:accent5>
    <a:accent6>
      <a:srgbClr val="FF6600"/>
    </a:accent6>
    <a:hlink>
      <a:srgbClr val="0563C1"/>
    </a:hlink>
    <a:folHlink>
      <a:srgbClr val="954F72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9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39B6EB9-71EF-4D0D-9317-0FC7D71CBC58}">
  <we:reference id="wa200009404" version="1.0.0.5" store="en-US" storeType="OMEX"/>
  <we:alternateReferences>
    <we:reference id="wa200009404" version="1.0.0.5" store="" storeType="OMEX"/>
  </we:alternateReferences>
  <we:properties>
    <we:property name="claude.fileId" value="&quot;0a1751c1-fb3e-447d-a7d4-efd5fff1bfc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8F2B19D-5506-419B-9B4E-936222866551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57CA-F813-4C2D-9DF1-929EFA9E2257}">
  <dimension ref="B2:BU37"/>
  <sheetViews>
    <sheetView showGridLines="0" tabSelected="1" topLeftCell="A16" zoomScale="85" zoomScaleNormal="85" workbookViewId="0">
      <selection activeCell="L92" sqref="L92"/>
    </sheetView>
  </sheetViews>
  <sheetFormatPr defaultRowHeight="15.6" x14ac:dyDescent="0.3"/>
  <cols>
    <col min="1" max="65" width="8.796875" style="7"/>
    <col min="66" max="66" width="5.69921875" style="7" bestFit="1" customWidth="1"/>
    <col min="67" max="73" width="7.8984375" style="7" bestFit="1" customWidth="1"/>
    <col min="74" max="16384" width="8.796875" style="7"/>
  </cols>
  <sheetData>
    <row r="2" spans="2:73" x14ac:dyDescent="0.3">
      <c r="B2" s="10" t="s">
        <v>0</v>
      </c>
      <c r="C2" s="10"/>
      <c r="D2" s="10"/>
      <c r="E2" s="10">
        <v>2020</v>
      </c>
      <c r="F2" s="10">
        <v>2021</v>
      </c>
      <c r="G2" s="10">
        <v>2022</v>
      </c>
      <c r="H2" s="10">
        <v>2023</v>
      </c>
      <c r="I2" s="10">
        <v>2024</v>
      </c>
      <c r="J2" s="10">
        <v>2025</v>
      </c>
      <c r="K2" s="11" t="s">
        <v>1</v>
      </c>
      <c r="L2" s="11" t="s">
        <v>22</v>
      </c>
      <c r="M2" s="26" t="s">
        <v>21</v>
      </c>
      <c r="N2" s="26"/>
      <c r="O2" s="26"/>
      <c r="R2" s="25">
        <v>2023</v>
      </c>
      <c r="S2" s="25"/>
      <c r="T2" s="25"/>
      <c r="U2" s="25"/>
      <c r="V2" s="25">
        <v>2023</v>
      </c>
      <c r="W2" s="25"/>
      <c r="X2" s="25"/>
      <c r="Y2" s="25"/>
      <c r="Z2" s="25">
        <v>2024</v>
      </c>
      <c r="AA2" s="25"/>
      <c r="AB2" s="25"/>
      <c r="AC2" s="25"/>
      <c r="AD2" s="25">
        <v>2025</v>
      </c>
      <c r="AE2" s="25"/>
      <c r="AF2" s="25"/>
      <c r="AG2" s="25"/>
      <c r="AH2" s="25">
        <v>2026</v>
      </c>
      <c r="AI2" s="25"/>
      <c r="AJ2" s="25"/>
      <c r="AK2" s="25"/>
      <c r="AZ2" s="20"/>
      <c r="BA2" s="20" t="str" cm="1">
        <f t="array" ref="BA2">LOOKUP(2,1/($V$2:V$2&lt;&gt;""),$V$2:V$2)&amp;" "&amp;V$4</f>
        <v>2023 Q1</v>
      </c>
      <c r="BB2" s="20" t="str" cm="1">
        <f t="array" ref="BB2">LOOKUP(2,1/($V$2:W$2&lt;&gt;""),$V$2:W$2)&amp;" "&amp;W$4</f>
        <v>2023 Q2</v>
      </c>
      <c r="BC2" s="20" t="str" cm="1">
        <f t="array" ref="BC2">LOOKUP(2,1/($V$2:X$2&lt;&gt;""),$V$2:X$2)&amp;" "&amp;X$4</f>
        <v>2023 Q3</v>
      </c>
      <c r="BD2" s="20" t="str" cm="1">
        <f t="array" ref="BD2">LOOKUP(2,1/($V$2:Y$2&lt;&gt;""),$V$2:Y$2)&amp;" "&amp;Y$4</f>
        <v>2023 Q4</v>
      </c>
      <c r="BE2" s="20" t="str" cm="1">
        <f t="array" ref="BE2">LOOKUP(2,1/($V$2:Z$2&lt;&gt;""),$V$2:Z$2)&amp;" "&amp;Z$4</f>
        <v>2024 Q1</v>
      </c>
      <c r="BF2" s="20" t="str" cm="1">
        <f t="array" ref="BF2">LOOKUP(2,1/($V$2:AA$2&lt;&gt;""),$V$2:AA$2)&amp;" "&amp;AA$4</f>
        <v>2024 Q2</v>
      </c>
      <c r="BG2" s="20" t="str" cm="1">
        <f t="array" ref="BG2">LOOKUP(2,1/($V$2:AB$2&lt;&gt;""),$V$2:AB$2)&amp;" "&amp;AB$4</f>
        <v>2024 Q3</v>
      </c>
      <c r="BH2" s="20" t="str" cm="1">
        <f t="array" ref="BH2">LOOKUP(2,1/($V$2:AC$2&lt;&gt;""),$V$2:AC$2)&amp;" "&amp;AC$4</f>
        <v>2024 Q4</v>
      </c>
      <c r="BI2" s="20" t="str" cm="1">
        <f t="array" ref="BI2">LOOKUP(2,1/($V$2:AD$2&lt;&gt;""),$V$2:AD$2)&amp;" "&amp;AD$4</f>
        <v>2025 Q1</v>
      </c>
      <c r="BJ2" s="20" t="str" cm="1">
        <f t="array" ref="BJ2">LOOKUP(2,1/($V$2:AE$2&lt;&gt;""),$V$2:AE$2)&amp;" "&amp;AE$4</f>
        <v>2025 Q2</v>
      </c>
      <c r="BK2" s="20" t="str" cm="1">
        <f t="array" ref="BK2">LOOKUP(2,1/($V$2:AF$2&lt;&gt;""),$V$2:AF$2)&amp;" "&amp;AF$4</f>
        <v>2025 Q3</v>
      </c>
      <c r="BL2" s="20" t="str" cm="1">
        <f t="array" ref="BL2">LOOKUP(2,1/($V$2:AG$2&lt;&gt;""),$V$2:AG$2)&amp;" "&amp;AG$4</f>
        <v>2025 Q4</v>
      </c>
      <c r="BM2" s="20" t="str" cm="1">
        <f t="array" ref="BM2">LOOKUP(2,1/($V$2:AH$2&lt;&gt;""),$V$2:AH$2)&amp;" "&amp;AH$4</f>
        <v>2026 Q1</v>
      </c>
      <c r="BN2" s="24" t="s">
        <v>42</v>
      </c>
      <c r="BO2" s="24" t="s">
        <v>43</v>
      </c>
      <c r="BP2" s="24" t="s">
        <v>44</v>
      </c>
      <c r="BQ2" s="24" t="s">
        <v>45</v>
      </c>
      <c r="BR2" s="24" t="s">
        <v>46</v>
      </c>
      <c r="BS2" s="24" t="s">
        <v>47</v>
      </c>
      <c r="BT2" s="24" t="s">
        <v>48</v>
      </c>
      <c r="BU2" s="24" t="s">
        <v>49</v>
      </c>
    </row>
    <row r="3" spans="2:73" x14ac:dyDescent="0.3">
      <c r="B3" s="7" t="s">
        <v>2</v>
      </c>
      <c r="E3" s="14">
        <v>35046</v>
      </c>
      <c r="F3" s="14">
        <v>55396</v>
      </c>
      <c r="G3" s="14">
        <v>58321</v>
      </c>
      <c r="H3" s="8">
        <f>52729+642</f>
        <v>53371</v>
      </c>
      <c r="I3" s="8">
        <f>82999+854</f>
        <v>83853</v>
      </c>
      <c r="J3" s="8">
        <f>131819+2911</f>
        <v>134730</v>
      </c>
      <c r="K3" s="8">
        <v>215000</v>
      </c>
      <c r="L3" s="8">
        <f>K3*1.25</f>
        <v>268750</v>
      </c>
      <c r="M3" s="25" t="s">
        <v>23</v>
      </c>
      <c r="N3" s="25"/>
      <c r="O3" s="25"/>
      <c r="R3" s="19" t="s">
        <v>29</v>
      </c>
      <c r="S3" s="7" t="s">
        <v>30</v>
      </c>
      <c r="T3" s="7" t="s">
        <v>40</v>
      </c>
      <c r="U3" s="7" t="s">
        <v>41</v>
      </c>
      <c r="V3" s="19" t="s">
        <v>29</v>
      </c>
      <c r="W3" s="7" t="s">
        <v>30</v>
      </c>
      <c r="X3" s="7" t="s">
        <v>40</v>
      </c>
      <c r="Y3" s="7" t="s">
        <v>41</v>
      </c>
      <c r="Z3" s="19" t="s">
        <v>29</v>
      </c>
      <c r="AA3" s="7" t="s">
        <v>30</v>
      </c>
      <c r="AB3" s="7" t="s">
        <v>40</v>
      </c>
      <c r="AC3" s="7" t="s">
        <v>41</v>
      </c>
      <c r="AD3" s="19" t="s">
        <v>29</v>
      </c>
      <c r="AE3" s="7" t="s">
        <v>30</v>
      </c>
      <c r="AF3" s="7" t="s">
        <v>40</v>
      </c>
      <c r="AG3" s="7" t="s">
        <v>41</v>
      </c>
      <c r="AH3" s="19" t="s">
        <v>29</v>
      </c>
      <c r="AI3" s="7" t="s">
        <v>30</v>
      </c>
      <c r="AJ3" s="7" t="s">
        <v>40</v>
      </c>
      <c r="AK3" s="7" t="s">
        <v>41</v>
      </c>
      <c r="AZ3" s="20" t="str">
        <f>T5</f>
        <v>AWS</v>
      </c>
      <c r="BA3" s="21">
        <f t="shared" ref="BA3:BM5" si="0">V5</f>
        <v>0.15796323409793395</v>
      </c>
      <c r="BB3" s="21">
        <f t="shared" si="0"/>
        <v>0.12163736764780383</v>
      </c>
      <c r="BC3" s="21">
        <f t="shared" si="0"/>
        <v>0.1227480767358068</v>
      </c>
      <c r="BD3" s="21">
        <f t="shared" si="0"/>
        <v>0.13219197305641314</v>
      </c>
      <c r="BE3" s="21">
        <f t="shared" si="0"/>
        <v>0.17247354125690736</v>
      </c>
      <c r="BF3" s="21">
        <f t="shared" si="0"/>
        <v>0.18703703703703703</v>
      </c>
      <c r="BG3" s="21">
        <f t="shared" si="0"/>
        <v>0.1905112971074201</v>
      </c>
      <c r="BH3" s="21">
        <f t="shared" si="0"/>
        <v>0.189307552470666</v>
      </c>
      <c r="BI3" s="21">
        <f t="shared" si="0"/>
        <v>0.16894995406797939</v>
      </c>
      <c r="BJ3" s="21">
        <f t="shared" si="0"/>
        <v>0.17472698907956319</v>
      </c>
      <c r="BK3" s="21">
        <f t="shared" si="0"/>
        <v>0.20231677109135945</v>
      </c>
      <c r="BL3" s="21">
        <f t="shared" si="0"/>
        <v>0.23598276940179252</v>
      </c>
      <c r="BM3" s="21">
        <f t="shared" si="0"/>
        <v>0.28427922233231967</v>
      </c>
      <c r="BN3" s="22" t="s">
        <v>34</v>
      </c>
      <c r="BO3" s="23">
        <f t="shared" ref="BO3:BU3" si="1">AB$10</f>
        <v>27452</v>
      </c>
      <c r="BP3" s="23">
        <f t="shared" si="1"/>
        <v>28786</v>
      </c>
      <c r="BQ3" s="23">
        <f t="shared" si="1"/>
        <v>29267</v>
      </c>
      <c r="BR3" s="23">
        <f t="shared" si="1"/>
        <v>30873</v>
      </c>
      <c r="BS3" s="23">
        <f t="shared" si="1"/>
        <v>33006</v>
      </c>
      <c r="BT3" s="23">
        <f t="shared" si="1"/>
        <v>35579</v>
      </c>
      <c r="BU3" s="23">
        <f t="shared" si="1"/>
        <v>37587</v>
      </c>
    </row>
    <row r="4" spans="2:73" x14ac:dyDescent="0.3">
      <c r="B4" s="7" t="s">
        <v>4</v>
      </c>
      <c r="E4" s="14">
        <v>15441</v>
      </c>
      <c r="F4" s="14">
        <v>20622</v>
      </c>
      <c r="G4" s="14">
        <v>23886</v>
      </c>
      <c r="H4" s="8">
        <v>43821.1</v>
      </c>
      <c r="I4" s="8">
        <v>72160.3</v>
      </c>
      <c r="J4" s="8">
        <v>108315</v>
      </c>
      <c r="K4" s="8">
        <v>194162</v>
      </c>
      <c r="L4" s="8">
        <v>274835</v>
      </c>
      <c r="M4" s="25" t="s">
        <v>23</v>
      </c>
      <c r="N4" s="25"/>
      <c r="O4" s="25"/>
      <c r="T4" s="10" t="s">
        <v>31</v>
      </c>
      <c r="U4" s="10"/>
      <c r="V4" s="10" t="s">
        <v>26</v>
      </c>
      <c r="W4" s="10" t="s">
        <v>27</v>
      </c>
      <c r="X4" s="10" t="s">
        <v>25</v>
      </c>
      <c r="Y4" s="10" t="s">
        <v>28</v>
      </c>
      <c r="Z4" s="10" t="s">
        <v>26</v>
      </c>
      <c r="AA4" s="10" t="s">
        <v>27</v>
      </c>
      <c r="AB4" s="10" t="s">
        <v>25</v>
      </c>
      <c r="AC4" s="10" t="s">
        <v>28</v>
      </c>
      <c r="AD4" s="10" t="s">
        <v>26</v>
      </c>
      <c r="AE4" s="10" t="s">
        <v>27</v>
      </c>
      <c r="AF4" s="10" t="s">
        <v>25</v>
      </c>
      <c r="AG4" s="10" t="s">
        <v>28</v>
      </c>
      <c r="AH4" s="10" t="s">
        <v>26</v>
      </c>
      <c r="AI4" s="10" t="s">
        <v>36</v>
      </c>
      <c r="AJ4" s="10" t="s">
        <v>37</v>
      </c>
      <c r="AK4" s="10" t="s">
        <v>38</v>
      </c>
      <c r="AZ4" s="20" t="str">
        <f>T6</f>
        <v>Azure</v>
      </c>
      <c r="BA4" s="21">
        <f t="shared" si="0"/>
        <v>0.27050000000000002</v>
      </c>
      <c r="BB4" s="21">
        <f t="shared" si="0"/>
        <v>0.26</v>
      </c>
      <c r="BC4" s="21">
        <f t="shared" si="0"/>
        <v>0.28999999999999998</v>
      </c>
      <c r="BD4" s="21">
        <f t="shared" si="0"/>
        <v>0.3</v>
      </c>
      <c r="BE4" s="21">
        <f t="shared" si="0"/>
        <v>0.31</v>
      </c>
      <c r="BF4" s="21">
        <f t="shared" si="0"/>
        <v>0.28999999999999998</v>
      </c>
      <c r="BG4" s="21">
        <f t="shared" si="0"/>
        <v>0.3105</v>
      </c>
      <c r="BH4" s="21">
        <f t="shared" si="0"/>
        <v>0.31</v>
      </c>
      <c r="BI4" s="21">
        <f t="shared" si="0"/>
        <v>0.33</v>
      </c>
      <c r="BJ4" s="21">
        <f t="shared" si="0"/>
        <v>0.39049999999999996</v>
      </c>
      <c r="BK4" s="21">
        <f t="shared" si="0"/>
        <v>0.4</v>
      </c>
      <c r="BL4" s="21">
        <f t="shared" si="0"/>
        <v>0.39</v>
      </c>
      <c r="BM4" s="21">
        <f t="shared" si="0"/>
        <v>0.4</v>
      </c>
      <c r="BN4" s="22" t="s">
        <v>33</v>
      </c>
      <c r="BO4" s="23">
        <f t="shared" ref="BO4:BU4" si="2">AB$11</f>
        <v>17232</v>
      </c>
      <c r="BP4" s="23">
        <f t="shared" si="2"/>
        <v>17989</v>
      </c>
      <c r="BQ4" s="23">
        <f t="shared" si="2"/>
        <v>19199</v>
      </c>
      <c r="BR4" s="23">
        <f t="shared" si="2"/>
        <v>21788.5</v>
      </c>
      <c r="BS4" s="23">
        <f t="shared" si="2"/>
        <v>23221</v>
      </c>
      <c r="BT4" s="23">
        <f t="shared" si="2"/>
        <v>25072</v>
      </c>
      <c r="BU4" s="23">
        <f t="shared" si="2"/>
        <v>26966</v>
      </c>
    </row>
    <row r="5" spans="2:73" x14ac:dyDescent="0.3">
      <c r="B5" s="7" t="s">
        <v>5</v>
      </c>
      <c r="E5" s="14">
        <v>22281</v>
      </c>
      <c r="F5" s="14">
        <v>24640</v>
      </c>
      <c r="G5" s="14">
        <v>31485</v>
      </c>
      <c r="H5" s="8">
        <f>32251+564</f>
        <v>32815</v>
      </c>
      <c r="I5" s="8">
        <f>52535+313</f>
        <v>52848</v>
      </c>
      <c r="J5" s="8">
        <f>91447+1606</f>
        <v>93053</v>
      </c>
      <c r="K5" s="8">
        <v>190000</v>
      </c>
      <c r="L5" s="8">
        <f>K5*1.4</f>
        <v>266000</v>
      </c>
      <c r="M5" s="25" t="s">
        <v>23</v>
      </c>
      <c r="N5" s="25"/>
      <c r="O5" s="25"/>
      <c r="T5" s="7" t="s">
        <v>34</v>
      </c>
      <c r="V5" s="9">
        <f>(V10-R10)/R10</f>
        <v>0.15796323409793395</v>
      </c>
      <c r="W5" s="9">
        <f>(W10-S10)/S10</f>
        <v>0.12163736764780383</v>
      </c>
      <c r="X5" s="9">
        <f>(X10-T10)/T10</f>
        <v>0.1227480767358068</v>
      </c>
      <c r="Y5" s="9">
        <f>(Y10-U10)/U10</f>
        <v>0.13219197305641314</v>
      </c>
      <c r="Z5" s="9">
        <f t="shared" ref="Z5" si="3">(Z10-V10)/V10</f>
        <v>0.17247354125690736</v>
      </c>
      <c r="AA5" s="9">
        <f t="shared" ref="AA5" si="4">(AA10-W10)/W10</f>
        <v>0.18703703703703703</v>
      </c>
      <c r="AB5" s="9">
        <f t="shared" ref="AB5" si="5">(AB10-X10)/X10</f>
        <v>0.1905112971074201</v>
      </c>
      <c r="AC5" s="9">
        <f t="shared" ref="AC5" si="6">(AC10-Y10)/Y10</f>
        <v>0.189307552470666</v>
      </c>
      <c r="AD5" s="9">
        <f t="shared" ref="AD5" si="7">(AD10-Z10)/Z10</f>
        <v>0.16894995406797939</v>
      </c>
      <c r="AE5" s="9">
        <f t="shared" ref="AE5" si="8">(AE10-AA10)/AA10</f>
        <v>0.17472698907956319</v>
      </c>
      <c r="AF5" s="9">
        <f t="shared" ref="AF5" si="9">(AF10-AB10)/AB10</f>
        <v>0.20231677109135945</v>
      </c>
      <c r="AG5" s="9">
        <f t="shared" ref="AG5" si="10">(AG10-AC10)/AC10</f>
        <v>0.23598276940179252</v>
      </c>
      <c r="AH5" s="9">
        <f>(AH10-AD10)/AD10</f>
        <v>0.28427922233231967</v>
      </c>
      <c r="AZ5" s="20" t="str">
        <f>T7</f>
        <v>GCP</v>
      </c>
      <c r="BA5" s="21">
        <f t="shared" si="0"/>
        <v>0.28053599037965987</v>
      </c>
      <c r="BB5" s="21">
        <f t="shared" si="0"/>
        <v>0.27963671128107076</v>
      </c>
      <c r="BC5" s="21">
        <f t="shared" si="0"/>
        <v>0.22466511357018054</v>
      </c>
      <c r="BD5" s="21">
        <f t="shared" si="0"/>
        <v>0.25659603554340399</v>
      </c>
      <c r="BE5" s="21">
        <f t="shared" si="0"/>
        <v>0.28441105446740006</v>
      </c>
      <c r="BF5" s="21">
        <f t="shared" si="0"/>
        <v>0.28838251774374302</v>
      </c>
      <c r="BG5" s="21">
        <f t="shared" si="0"/>
        <v>0.34978004993460943</v>
      </c>
      <c r="BH5" s="21">
        <f t="shared" si="0"/>
        <v>0.3005874673629243</v>
      </c>
      <c r="BI5" s="21">
        <f t="shared" si="0"/>
        <v>0.2805514936285774</v>
      </c>
      <c r="BJ5" s="21">
        <f t="shared" si="0"/>
        <v>0.31671015753358461</v>
      </c>
      <c r="BK5" s="21">
        <f t="shared" si="0"/>
        <v>0.33506562142165064</v>
      </c>
      <c r="BL5" s="21">
        <f t="shared" si="0"/>
        <v>0.47754077791718946</v>
      </c>
      <c r="BM5" s="21">
        <f t="shared" si="0"/>
        <v>0.63360522022838495</v>
      </c>
      <c r="BN5" s="22" t="s">
        <v>35</v>
      </c>
      <c r="BO5" s="23">
        <f t="shared" ref="BO5:BU5" si="11">AB$12</f>
        <v>11353</v>
      </c>
      <c r="BP5" s="23">
        <f t="shared" si="11"/>
        <v>11955</v>
      </c>
      <c r="BQ5" s="23">
        <f t="shared" si="11"/>
        <v>12260</v>
      </c>
      <c r="BR5" s="23">
        <f t="shared" si="11"/>
        <v>13624</v>
      </c>
      <c r="BS5" s="23">
        <f t="shared" si="11"/>
        <v>15157</v>
      </c>
      <c r="BT5" s="23">
        <f t="shared" si="11"/>
        <v>17664</v>
      </c>
      <c r="BU5" s="23">
        <f t="shared" si="11"/>
        <v>20028</v>
      </c>
    </row>
    <row r="6" spans="2:73" x14ac:dyDescent="0.3">
      <c r="B6" s="7" t="s">
        <v>6</v>
      </c>
      <c r="E6" s="14">
        <v>15115</v>
      </c>
      <c r="F6" s="14">
        <v>18567</v>
      </c>
      <c r="G6" s="14">
        <v>31431</v>
      </c>
      <c r="H6" s="8">
        <v>27266</v>
      </c>
      <c r="I6" s="8">
        <v>37256</v>
      </c>
      <c r="J6" s="8">
        <v>72220</v>
      </c>
      <c r="K6" s="8">
        <v>140000</v>
      </c>
      <c r="L6" s="7">
        <f>K6*1.25</f>
        <v>175000</v>
      </c>
      <c r="M6" s="25" t="s">
        <v>23</v>
      </c>
      <c r="N6" s="25"/>
      <c r="O6" s="25"/>
      <c r="T6" s="7" t="s">
        <v>33</v>
      </c>
      <c r="V6" s="9">
        <v>0.27050000000000002</v>
      </c>
      <c r="W6" s="9">
        <v>0.26</v>
      </c>
      <c r="X6" s="9">
        <v>0.28999999999999998</v>
      </c>
      <c r="Y6" s="9">
        <v>0.3</v>
      </c>
      <c r="Z6" s="9">
        <v>0.31</v>
      </c>
      <c r="AA6" s="9">
        <v>0.28999999999999998</v>
      </c>
      <c r="AB6" s="9">
        <v>0.3105</v>
      </c>
      <c r="AC6" s="9">
        <v>0.31</v>
      </c>
      <c r="AD6" s="9">
        <v>0.33</v>
      </c>
      <c r="AE6" s="9">
        <v>0.39049999999999996</v>
      </c>
      <c r="AF6" s="9">
        <v>0.4</v>
      </c>
      <c r="AG6" s="9">
        <v>0.39</v>
      </c>
      <c r="AH6" s="9">
        <v>0.4</v>
      </c>
    </row>
    <row r="7" spans="2:73" x14ac:dyDescent="0.3">
      <c r="B7" s="12" t="s">
        <v>20</v>
      </c>
      <c r="C7" s="12"/>
      <c r="D7" s="12"/>
      <c r="E7" s="15">
        <f t="shared" ref="E7:J7" si="12">SUM(E3:E6)</f>
        <v>87883</v>
      </c>
      <c r="F7" s="15">
        <f t="shared" si="12"/>
        <v>119225</v>
      </c>
      <c r="G7" s="15">
        <f t="shared" si="12"/>
        <v>145123</v>
      </c>
      <c r="H7" s="13">
        <f t="shared" si="12"/>
        <v>157273.1</v>
      </c>
      <c r="I7" s="13">
        <f t="shared" si="12"/>
        <v>246117.3</v>
      </c>
      <c r="J7" s="13">
        <f t="shared" si="12"/>
        <v>408318</v>
      </c>
      <c r="K7" s="13">
        <f>SUM(K3:K6)</f>
        <v>739162</v>
      </c>
      <c r="L7" s="13">
        <f>SUM(L3:L6)</f>
        <v>984585</v>
      </c>
      <c r="M7" s="25" t="s">
        <v>23</v>
      </c>
      <c r="N7" s="25"/>
      <c r="O7" s="25"/>
      <c r="T7" s="7" t="s">
        <v>35</v>
      </c>
      <c r="V7" s="9">
        <f>(V12-R12)/R12</f>
        <v>0.28053599037965987</v>
      </c>
      <c r="W7" s="9">
        <f>(W12-S12)/S12</f>
        <v>0.27963671128107076</v>
      </c>
      <c r="X7" s="9">
        <f>(X12-T12)/T12</f>
        <v>0.22466511357018054</v>
      </c>
      <c r="Y7" s="9">
        <f>(Y12-U12)/U12</f>
        <v>0.25659603554340399</v>
      </c>
      <c r="Z7" s="9">
        <f t="shared" ref="Z7:AG7" si="13">(Z12-V12)/V12</f>
        <v>0.28441105446740006</v>
      </c>
      <c r="AA7" s="9">
        <f t="shared" si="13"/>
        <v>0.28838251774374302</v>
      </c>
      <c r="AB7" s="9">
        <f t="shared" si="13"/>
        <v>0.34978004993460943</v>
      </c>
      <c r="AC7" s="9">
        <f t="shared" si="13"/>
        <v>0.3005874673629243</v>
      </c>
      <c r="AD7" s="9">
        <f t="shared" si="13"/>
        <v>0.2805514936285774</v>
      </c>
      <c r="AE7" s="9">
        <f t="shared" si="13"/>
        <v>0.31671015753358461</v>
      </c>
      <c r="AF7" s="9">
        <f t="shared" si="13"/>
        <v>0.33506562142165064</v>
      </c>
      <c r="AG7" s="9">
        <f t="shared" si="13"/>
        <v>0.47754077791718946</v>
      </c>
      <c r="AH7" s="9">
        <f>(AH12-AD12)/AD12</f>
        <v>0.63360522022838495</v>
      </c>
    </row>
    <row r="8" spans="2:73" x14ac:dyDescent="0.3">
      <c r="K8" s="8"/>
      <c r="BN8" s="24" t="s">
        <v>42</v>
      </c>
      <c r="BO8" s="24" t="s">
        <v>43</v>
      </c>
      <c r="BP8" s="24" t="s">
        <v>44</v>
      </c>
      <c r="BQ8" s="24" t="s">
        <v>45</v>
      </c>
      <c r="BR8" s="24" t="s">
        <v>46</v>
      </c>
      <c r="BS8" s="24" t="s">
        <v>47</v>
      </c>
      <c r="BT8" s="24" t="s">
        <v>48</v>
      </c>
      <c r="BU8" s="24" t="s">
        <v>49</v>
      </c>
    </row>
    <row r="9" spans="2:73" x14ac:dyDescent="0.3">
      <c r="B9" s="10" t="s">
        <v>3</v>
      </c>
      <c r="C9" s="10"/>
      <c r="D9" s="10"/>
      <c r="E9" s="10">
        <v>2020</v>
      </c>
      <c r="F9" s="10">
        <v>2021</v>
      </c>
      <c r="G9" s="10">
        <v>2022</v>
      </c>
      <c r="H9" s="10">
        <v>2023</v>
      </c>
      <c r="I9" s="10">
        <v>2024</v>
      </c>
      <c r="J9" s="10">
        <v>2025</v>
      </c>
      <c r="K9" s="11" t="s">
        <v>1</v>
      </c>
      <c r="L9" s="11" t="s">
        <v>22</v>
      </c>
      <c r="P9" s="10" t="s">
        <v>32</v>
      </c>
      <c r="Q9" s="10"/>
      <c r="R9" s="10" t="s">
        <v>26</v>
      </c>
      <c r="S9" s="10" t="s">
        <v>27</v>
      </c>
      <c r="T9" s="10" t="s">
        <v>25</v>
      </c>
      <c r="U9" s="10" t="s">
        <v>28</v>
      </c>
      <c r="V9" s="10" t="s">
        <v>26</v>
      </c>
      <c r="W9" s="10" t="s">
        <v>27</v>
      </c>
      <c r="X9" s="10" t="s">
        <v>25</v>
      </c>
      <c r="Y9" s="10" t="s">
        <v>28</v>
      </c>
      <c r="Z9" s="10" t="s">
        <v>26</v>
      </c>
      <c r="AA9" s="10" t="s">
        <v>27</v>
      </c>
      <c r="AB9" s="10" t="s">
        <v>25</v>
      </c>
      <c r="AC9" s="10" t="s">
        <v>28</v>
      </c>
      <c r="AD9" s="10" t="s">
        <v>26</v>
      </c>
      <c r="AE9" s="10" t="s">
        <v>27</v>
      </c>
      <c r="AF9" s="10" t="s">
        <v>25</v>
      </c>
      <c r="AG9" s="10" t="s">
        <v>28</v>
      </c>
      <c r="AH9" s="10" t="s">
        <v>26</v>
      </c>
      <c r="AI9" s="10" t="s">
        <v>36</v>
      </c>
      <c r="AJ9" s="10" t="s">
        <v>37</v>
      </c>
      <c r="AK9" s="10" t="s">
        <v>38</v>
      </c>
      <c r="BN9" s="22" t="s">
        <v>34</v>
      </c>
      <c r="BO9" s="23">
        <f t="shared" ref="BO9:BU9" si="14">AB$10*AB$5/(1+AB$5)</f>
        <v>4393</v>
      </c>
      <c r="BP9" s="23">
        <f t="shared" si="14"/>
        <v>4582</v>
      </c>
      <c r="BQ9" s="23">
        <f t="shared" si="14"/>
        <v>4230</v>
      </c>
      <c r="BR9" s="23">
        <f t="shared" si="14"/>
        <v>4592</v>
      </c>
      <c r="BS9" s="23">
        <f t="shared" si="14"/>
        <v>5554</v>
      </c>
      <c r="BT9" s="23">
        <f t="shared" si="14"/>
        <v>6793</v>
      </c>
      <c r="BU9" s="23">
        <f t="shared" si="14"/>
        <v>8320</v>
      </c>
    </row>
    <row r="10" spans="2:73" x14ac:dyDescent="0.3">
      <c r="B10" s="7" t="s">
        <v>2</v>
      </c>
      <c r="E10" s="14">
        <v>66064</v>
      </c>
      <c r="F10" s="14">
        <v>46327</v>
      </c>
      <c r="G10" s="14">
        <v>46752</v>
      </c>
      <c r="H10" s="8">
        <v>84946</v>
      </c>
      <c r="I10" s="8">
        <v>115877</v>
      </c>
      <c r="J10" s="8">
        <v>142654</v>
      </c>
      <c r="K10" s="8">
        <v>182508</v>
      </c>
      <c r="P10" s="7" t="s">
        <v>34</v>
      </c>
      <c r="R10" s="7">
        <v>18441</v>
      </c>
      <c r="S10" s="8">
        <v>19739</v>
      </c>
      <c r="T10" s="8">
        <v>20538</v>
      </c>
      <c r="U10" s="8">
        <v>21378</v>
      </c>
      <c r="V10" s="8">
        <v>21354</v>
      </c>
      <c r="W10" s="8">
        <v>22140</v>
      </c>
      <c r="X10" s="8">
        <v>23059</v>
      </c>
      <c r="Y10" s="8">
        <v>24204</v>
      </c>
      <c r="Z10" s="8">
        <v>25037</v>
      </c>
      <c r="AA10" s="8">
        <v>26281</v>
      </c>
      <c r="AB10" s="8">
        <v>27452</v>
      </c>
      <c r="AC10" s="8">
        <v>28786</v>
      </c>
      <c r="AD10" s="8">
        <v>29267</v>
      </c>
      <c r="AE10" s="8">
        <v>30873</v>
      </c>
      <c r="AF10" s="8">
        <v>33006</v>
      </c>
      <c r="AG10" s="8">
        <v>35579</v>
      </c>
      <c r="AH10" s="8">
        <v>37587</v>
      </c>
      <c r="BN10" s="22" t="s">
        <v>33</v>
      </c>
      <c r="BO10" s="23">
        <f t="shared" ref="BO10:BU10" si="15">AB$11*AB$6/(1+AB$6)</f>
        <v>4082.8202975963372</v>
      </c>
      <c r="BP10" s="23">
        <f t="shared" si="15"/>
        <v>4256.93893129771</v>
      </c>
      <c r="BQ10" s="23">
        <f t="shared" si="15"/>
        <v>4763.6616541353378</v>
      </c>
      <c r="BR10" s="23">
        <f t="shared" si="15"/>
        <v>6118.9566702624952</v>
      </c>
      <c r="BS10" s="23">
        <f t="shared" si="15"/>
        <v>6634.5714285714284</v>
      </c>
      <c r="BT10" s="23">
        <f t="shared" si="15"/>
        <v>7034.5899280575532</v>
      </c>
      <c r="BU10" s="23">
        <f t="shared" si="15"/>
        <v>7704.5714285714303</v>
      </c>
    </row>
    <row r="11" spans="2:73" x14ac:dyDescent="0.3">
      <c r="B11" s="7" t="s">
        <v>4</v>
      </c>
      <c r="E11" s="14">
        <v>60675</v>
      </c>
      <c r="F11" s="14">
        <v>76740</v>
      </c>
      <c r="G11" s="14">
        <v>89035</v>
      </c>
      <c r="H11" s="8">
        <v>87582</v>
      </c>
      <c r="I11" s="8">
        <v>118548</v>
      </c>
      <c r="J11" s="8">
        <v>136162</v>
      </c>
      <c r="K11" s="8">
        <v>170989</v>
      </c>
      <c r="P11" s="7" t="s">
        <v>39</v>
      </c>
      <c r="V11" s="8"/>
      <c r="W11" s="8"/>
      <c r="X11" s="8"/>
      <c r="Y11" s="8"/>
      <c r="Z11" s="8"/>
      <c r="AA11" s="8"/>
      <c r="AB11" s="8">
        <v>17232</v>
      </c>
      <c r="AC11" s="8">
        <v>17989</v>
      </c>
      <c r="AD11" s="8">
        <v>19199</v>
      </c>
      <c r="AE11" s="8">
        <v>21788.5</v>
      </c>
      <c r="AF11" s="8">
        <v>23221</v>
      </c>
      <c r="AG11" s="8">
        <v>25072</v>
      </c>
      <c r="AH11" s="8">
        <v>26966</v>
      </c>
      <c r="BN11" s="22" t="s">
        <v>35</v>
      </c>
      <c r="BO11" s="23">
        <f t="shared" ref="BO11:BU11" si="16">AB$12*AB$7/(1+AB$7)</f>
        <v>2942.0000000000005</v>
      </c>
      <c r="BP11" s="23">
        <f t="shared" si="16"/>
        <v>2763</v>
      </c>
      <c r="BQ11" s="23">
        <f t="shared" si="16"/>
        <v>2686</v>
      </c>
      <c r="BR11" s="23">
        <f t="shared" si="16"/>
        <v>3277</v>
      </c>
      <c r="BS11" s="23">
        <f t="shared" si="16"/>
        <v>3803.9999999999995</v>
      </c>
      <c r="BT11" s="23">
        <f t="shared" si="16"/>
        <v>5709</v>
      </c>
      <c r="BU11" s="23">
        <f t="shared" si="16"/>
        <v>7768</v>
      </c>
    </row>
    <row r="12" spans="2:73" x14ac:dyDescent="0.3">
      <c r="B12" s="7" t="s">
        <v>5</v>
      </c>
      <c r="E12" s="14">
        <v>65124</v>
      </c>
      <c r="F12" s="14">
        <v>91652</v>
      </c>
      <c r="G12" s="14">
        <v>91495</v>
      </c>
      <c r="H12" s="8">
        <v>101746</v>
      </c>
      <c r="I12" s="8">
        <v>125299</v>
      </c>
      <c r="J12" s="8">
        <v>164713</v>
      </c>
      <c r="K12" s="8">
        <v>194777</v>
      </c>
      <c r="P12" s="7" t="s">
        <v>35</v>
      </c>
      <c r="R12" s="8">
        <v>5821</v>
      </c>
      <c r="S12" s="8">
        <v>6276</v>
      </c>
      <c r="T12" s="8">
        <v>6868</v>
      </c>
      <c r="U12" s="8">
        <v>7315</v>
      </c>
      <c r="V12" s="8">
        <v>7454</v>
      </c>
      <c r="W12" s="8">
        <v>8031</v>
      </c>
      <c r="X12" s="8">
        <v>8411</v>
      </c>
      <c r="Y12" s="8">
        <v>9192</v>
      </c>
      <c r="Z12" s="8">
        <v>9574</v>
      </c>
      <c r="AA12" s="8">
        <v>10347</v>
      </c>
      <c r="AB12" s="8">
        <v>11353</v>
      </c>
      <c r="AC12" s="8">
        <v>11955</v>
      </c>
      <c r="AD12" s="8">
        <v>12260</v>
      </c>
      <c r="AE12" s="8">
        <v>13624</v>
      </c>
      <c r="AF12" s="8">
        <v>15157</v>
      </c>
      <c r="AG12" s="8">
        <v>17664</v>
      </c>
      <c r="AH12" s="8">
        <v>20028</v>
      </c>
    </row>
    <row r="13" spans="2:73" x14ac:dyDescent="0.3">
      <c r="B13" s="7" t="s">
        <v>6</v>
      </c>
      <c r="E13" s="14">
        <v>38747</v>
      </c>
      <c r="F13" s="14">
        <v>57683</v>
      </c>
      <c r="G13" s="14">
        <v>50475</v>
      </c>
      <c r="H13" s="8">
        <v>71113</v>
      </c>
      <c r="I13" s="8">
        <v>91328</v>
      </c>
      <c r="J13" s="8">
        <v>115800</v>
      </c>
      <c r="K13" s="8">
        <v>130278</v>
      </c>
    </row>
    <row r="14" spans="2:73" x14ac:dyDescent="0.3">
      <c r="B14" s="12" t="s">
        <v>20</v>
      </c>
      <c r="C14" s="12"/>
      <c r="D14" s="12"/>
      <c r="E14" s="15">
        <f t="shared" ref="E14:K14" si="17">SUM(E10:E13)</f>
        <v>230610</v>
      </c>
      <c r="F14" s="15">
        <f t="shared" si="17"/>
        <v>272402</v>
      </c>
      <c r="G14" s="15">
        <f t="shared" si="17"/>
        <v>277757</v>
      </c>
      <c r="H14" s="13">
        <f t="shared" si="17"/>
        <v>345387</v>
      </c>
      <c r="I14" s="13">
        <f t="shared" si="17"/>
        <v>451052</v>
      </c>
      <c r="J14" s="13">
        <f t="shared" si="17"/>
        <v>559329</v>
      </c>
      <c r="K14" s="13">
        <f t="shared" si="17"/>
        <v>678552</v>
      </c>
    </row>
    <row r="16" spans="2:73" x14ac:dyDescent="0.3">
      <c r="B16" s="10" t="s">
        <v>7</v>
      </c>
      <c r="C16" s="10"/>
      <c r="D16" s="10"/>
      <c r="E16" s="10">
        <v>2020</v>
      </c>
      <c r="F16" s="10">
        <v>2021</v>
      </c>
      <c r="G16" s="10">
        <v>2022</v>
      </c>
      <c r="H16" s="10">
        <v>2023</v>
      </c>
      <c r="I16" s="10">
        <v>2024</v>
      </c>
      <c r="J16" s="10">
        <v>2025</v>
      </c>
      <c r="K16" s="11" t="s">
        <v>1</v>
      </c>
      <c r="L16" s="11" t="s">
        <v>22</v>
      </c>
    </row>
    <row r="17" spans="2:11" x14ac:dyDescent="0.3">
      <c r="B17" s="7" t="s">
        <v>2</v>
      </c>
      <c r="E17" s="16">
        <f t="shared" ref="E17:K20" si="18">E3/E10</f>
        <v>0.53048558973116977</v>
      </c>
      <c r="F17" s="16">
        <f t="shared" si="18"/>
        <v>1.1957605715889221</v>
      </c>
      <c r="G17" s="16">
        <f t="shared" si="18"/>
        <v>1.2474546543463381</v>
      </c>
      <c r="H17" s="9">
        <f t="shared" si="18"/>
        <v>0.62829326866479884</v>
      </c>
      <c r="I17" s="9">
        <f t="shared" si="18"/>
        <v>0.72363799546070406</v>
      </c>
      <c r="J17" s="9">
        <f t="shared" si="18"/>
        <v>0.94445301218332467</v>
      </c>
      <c r="K17" s="9">
        <f t="shared" si="18"/>
        <v>1.178030552085388</v>
      </c>
    </row>
    <row r="18" spans="2:11" x14ac:dyDescent="0.3">
      <c r="B18" s="7" t="s">
        <v>4</v>
      </c>
      <c r="E18" s="16">
        <f t="shared" si="18"/>
        <v>0.25448702101359705</v>
      </c>
      <c r="F18" s="16">
        <f t="shared" si="18"/>
        <v>0.26872556684910087</v>
      </c>
      <c r="G18" s="16">
        <f t="shared" si="18"/>
        <v>0.26827652046947831</v>
      </c>
      <c r="H18" s="9">
        <f t="shared" si="18"/>
        <v>0.5003436779246877</v>
      </c>
      <c r="I18" s="9">
        <f t="shared" si="18"/>
        <v>0.60870111684718431</v>
      </c>
      <c r="J18" s="9">
        <f t="shared" si="18"/>
        <v>0.79548625901499681</v>
      </c>
      <c r="K18" s="9">
        <f t="shared" si="18"/>
        <v>1.1355233377585692</v>
      </c>
    </row>
    <row r="19" spans="2:11" x14ac:dyDescent="0.3">
      <c r="B19" s="7" t="s">
        <v>5</v>
      </c>
      <c r="E19" s="16">
        <f t="shared" si="18"/>
        <v>0.34213193292795285</v>
      </c>
      <c r="F19" s="16">
        <f t="shared" si="18"/>
        <v>0.26884301488238116</v>
      </c>
      <c r="G19" s="16">
        <f t="shared" si="18"/>
        <v>0.34411716487239741</v>
      </c>
      <c r="H19" s="9">
        <f t="shared" si="18"/>
        <v>0.32251882137872739</v>
      </c>
      <c r="I19" s="9">
        <f t="shared" si="18"/>
        <v>0.42177511392748546</v>
      </c>
      <c r="J19" s="9">
        <f t="shared" si="18"/>
        <v>0.5649402293686594</v>
      </c>
      <c r="K19" s="9">
        <f t="shared" si="18"/>
        <v>0.97547451701176213</v>
      </c>
    </row>
    <row r="20" spans="2:11" x14ac:dyDescent="0.3">
      <c r="B20" s="7" t="s">
        <v>6</v>
      </c>
      <c r="E20" s="16">
        <f t="shared" si="18"/>
        <v>0.3900947170103492</v>
      </c>
      <c r="F20" s="16">
        <f t="shared" si="18"/>
        <v>0.32187992996203385</v>
      </c>
      <c r="G20" s="16">
        <f t="shared" si="18"/>
        <v>0.62270430906389307</v>
      </c>
      <c r="H20" s="9">
        <f t="shared" si="18"/>
        <v>0.38341794046095651</v>
      </c>
      <c r="I20" s="9">
        <f t="shared" si="18"/>
        <v>0.40793622985283812</v>
      </c>
      <c r="J20" s="9">
        <f t="shared" si="18"/>
        <v>0.62366148531951637</v>
      </c>
      <c r="K20" s="9">
        <f t="shared" si="18"/>
        <v>1.0746250326225457</v>
      </c>
    </row>
    <row r="21" spans="2:11" x14ac:dyDescent="0.3">
      <c r="B21" s="12" t="s">
        <v>20</v>
      </c>
      <c r="C21" s="12"/>
      <c r="D21" s="12"/>
      <c r="E21" s="17">
        <f t="shared" ref="E21" si="19">SUM(E17:E20)</f>
        <v>1.5171992606830689</v>
      </c>
      <c r="F21" s="17">
        <f t="shared" ref="F21" si="20">SUM(F17:F20)</f>
        <v>2.0552090832824383</v>
      </c>
      <c r="G21" s="17">
        <f t="shared" ref="G21" si="21">SUM(G17:G20)</f>
        <v>2.4825526487521072</v>
      </c>
      <c r="H21" s="18">
        <f t="shared" ref="H21" si="22">SUM(H17:H20)</f>
        <v>1.8345737084291704</v>
      </c>
      <c r="I21" s="18">
        <f t="shared" ref="I21" si="23">SUM(I17:I20)</f>
        <v>2.1620504560882119</v>
      </c>
      <c r="J21" s="18">
        <f t="shared" ref="J21" si="24">SUM(J17:J20)</f>
        <v>2.9285409858864972</v>
      </c>
      <c r="K21" s="18">
        <f>SUM(K17:K20)</f>
        <v>4.3636534394782647</v>
      </c>
    </row>
    <row r="37" spans="36:36" x14ac:dyDescent="0.3">
      <c r="AJ37" s="7" t="s">
        <v>24</v>
      </c>
    </row>
  </sheetData>
  <mergeCells count="11">
    <mergeCell ref="M7:O7"/>
    <mergeCell ref="M4:O4"/>
    <mergeCell ref="M2:O2"/>
    <mergeCell ref="M3:O3"/>
    <mergeCell ref="M6:O6"/>
    <mergeCell ref="M5:O5"/>
    <mergeCell ref="V2:Y2"/>
    <mergeCell ref="Z2:AC2"/>
    <mergeCell ref="AD2:AG2"/>
    <mergeCell ref="AH2:AK2"/>
    <mergeCell ref="R2:U2"/>
  </mergeCells>
  <pageMargins left="0.7" right="0.7" top="0.75" bottom="0.75" header="0.3" footer="0.3"/>
  <ignoredErrors>
    <ignoredError sqref="E7:J7 I14:J14 E14:H14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5497-B701-4C77-99A1-98AEB9CE2B56}">
  <dimension ref="B1:L39"/>
  <sheetViews>
    <sheetView zoomScale="55" zoomScaleNormal="55" workbookViewId="0">
      <selection activeCell="H51" sqref="H51"/>
    </sheetView>
  </sheetViews>
  <sheetFormatPr defaultRowHeight="15.6" x14ac:dyDescent="0.3"/>
  <sheetData>
    <row r="1" spans="2:10" x14ac:dyDescent="0.3">
      <c r="B1" s="1" t="s">
        <v>8</v>
      </c>
      <c r="C1" s="1" t="s">
        <v>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 t="s">
        <v>1</v>
      </c>
    </row>
    <row r="2" spans="2:10" x14ac:dyDescent="0.3">
      <c r="B2" t="s">
        <v>2</v>
      </c>
      <c r="C2" t="s">
        <v>10</v>
      </c>
      <c r="D2" s="2">
        <v>35046</v>
      </c>
      <c r="E2" s="2">
        <v>55396</v>
      </c>
      <c r="F2" s="2">
        <v>58321</v>
      </c>
      <c r="G2" s="2">
        <v>52729</v>
      </c>
      <c r="H2" s="2">
        <v>82999</v>
      </c>
      <c r="I2" s="2">
        <v>131819</v>
      </c>
      <c r="J2" s="2">
        <v>200000</v>
      </c>
    </row>
    <row r="3" spans="2:10" x14ac:dyDescent="0.3">
      <c r="B3" t="s">
        <v>2</v>
      </c>
      <c r="C3" t="s">
        <v>3</v>
      </c>
      <c r="D3" s="2">
        <v>66064</v>
      </c>
      <c r="E3" s="2">
        <v>46327</v>
      </c>
      <c r="F3" s="2">
        <v>46752</v>
      </c>
      <c r="G3" s="2">
        <v>84946</v>
      </c>
      <c r="H3" s="2">
        <v>115877</v>
      </c>
      <c r="I3" s="2">
        <v>142654</v>
      </c>
      <c r="J3" s="2">
        <v>182508</v>
      </c>
    </row>
    <row r="4" spans="2:10" x14ac:dyDescent="0.3">
      <c r="B4" t="s">
        <v>4</v>
      </c>
      <c r="C4" t="s">
        <v>10</v>
      </c>
      <c r="D4" s="2">
        <v>15441</v>
      </c>
      <c r="E4" s="2">
        <v>20622</v>
      </c>
      <c r="F4" s="2">
        <v>23886</v>
      </c>
      <c r="G4" s="2">
        <v>28107</v>
      </c>
      <c r="H4" s="2">
        <v>44477</v>
      </c>
      <c r="I4" s="2">
        <v>64551</v>
      </c>
      <c r="J4" s="2">
        <v>150000</v>
      </c>
    </row>
    <row r="5" spans="2:10" x14ac:dyDescent="0.3">
      <c r="B5" t="s">
        <v>4</v>
      </c>
      <c r="C5" t="s">
        <v>3</v>
      </c>
      <c r="D5" s="2">
        <v>60675</v>
      </c>
      <c r="E5" s="2">
        <v>76740</v>
      </c>
      <c r="F5" s="2">
        <v>89035</v>
      </c>
      <c r="G5" s="2">
        <v>87582</v>
      </c>
      <c r="H5" s="2">
        <v>118548</v>
      </c>
      <c r="I5" s="2">
        <v>136162</v>
      </c>
      <c r="J5" s="2">
        <v>170989</v>
      </c>
    </row>
    <row r="6" spans="2:10" x14ac:dyDescent="0.3">
      <c r="B6" t="s">
        <v>5</v>
      </c>
      <c r="C6" t="s">
        <v>10</v>
      </c>
      <c r="D6" s="2">
        <v>22281</v>
      </c>
      <c r="E6" s="2">
        <v>24640</v>
      </c>
      <c r="F6" s="2">
        <v>31485</v>
      </c>
      <c r="G6" s="2">
        <v>32251</v>
      </c>
      <c r="H6" s="2">
        <v>52535</v>
      </c>
      <c r="I6" s="2">
        <v>91447</v>
      </c>
      <c r="J6" s="2">
        <v>180000</v>
      </c>
    </row>
    <row r="7" spans="2:10" x14ac:dyDescent="0.3">
      <c r="B7" t="s">
        <v>5</v>
      </c>
      <c r="C7" t="s">
        <v>3</v>
      </c>
      <c r="D7" s="2">
        <v>65124</v>
      </c>
      <c r="E7" s="2">
        <v>91652</v>
      </c>
      <c r="F7" s="2">
        <v>91495</v>
      </c>
      <c r="G7" s="2">
        <v>101746</v>
      </c>
      <c r="H7" s="2">
        <v>125299</v>
      </c>
      <c r="I7" s="2">
        <v>164713</v>
      </c>
      <c r="J7" s="2">
        <v>194777</v>
      </c>
    </row>
    <row r="8" spans="2:10" x14ac:dyDescent="0.3">
      <c r="B8" t="s">
        <v>6</v>
      </c>
      <c r="C8" t="s">
        <v>10</v>
      </c>
      <c r="D8" s="2">
        <v>15115</v>
      </c>
      <c r="E8" s="2">
        <v>18567</v>
      </c>
      <c r="F8" s="2">
        <v>31431</v>
      </c>
      <c r="G8" s="2">
        <v>27266</v>
      </c>
      <c r="H8" s="2">
        <v>37256</v>
      </c>
      <c r="I8" s="2">
        <v>69691</v>
      </c>
      <c r="J8" s="2">
        <v>125000</v>
      </c>
    </row>
    <row r="9" spans="2:10" x14ac:dyDescent="0.3">
      <c r="B9" t="s">
        <v>6</v>
      </c>
      <c r="C9" t="s">
        <v>3</v>
      </c>
      <c r="D9" s="2">
        <v>38747</v>
      </c>
      <c r="E9" s="2">
        <v>57683</v>
      </c>
      <c r="F9" s="2">
        <v>50475</v>
      </c>
      <c r="G9" s="2">
        <v>71113</v>
      </c>
      <c r="H9" s="2">
        <v>91328</v>
      </c>
      <c r="I9" s="2">
        <v>115800</v>
      </c>
      <c r="J9" s="2">
        <v>130278</v>
      </c>
    </row>
    <row r="12" spans="2:10" x14ac:dyDescent="0.3">
      <c r="B12" s="1" t="s">
        <v>11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16</v>
      </c>
      <c r="H12" s="1" t="s">
        <v>17</v>
      </c>
      <c r="I12" s="1" t="s">
        <v>18</v>
      </c>
      <c r="J12" s="1" t="s">
        <v>19</v>
      </c>
    </row>
    <row r="13" spans="2:10" x14ac:dyDescent="0.3">
      <c r="B13">
        <v>2020</v>
      </c>
      <c r="C13" s="2">
        <v>35046</v>
      </c>
      <c r="D13" s="2">
        <v>66064</v>
      </c>
      <c r="E13" s="2">
        <v>15441</v>
      </c>
      <c r="F13" s="2">
        <v>60675</v>
      </c>
      <c r="G13" s="2">
        <v>22281</v>
      </c>
      <c r="H13" s="2">
        <v>65124</v>
      </c>
      <c r="I13" s="2">
        <v>15115</v>
      </c>
      <c r="J13" s="2">
        <v>38747</v>
      </c>
    </row>
    <row r="14" spans="2:10" x14ac:dyDescent="0.3">
      <c r="B14">
        <v>2021</v>
      </c>
      <c r="C14" s="2">
        <v>55396</v>
      </c>
      <c r="D14" s="2">
        <v>46327</v>
      </c>
      <c r="E14" s="2">
        <v>20622</v>
      </c>
      <c r="F14" s="2">
        <v>76740</v>
      </c>
      <c r="G14" s="2">
        <v>24640</v>
      </c>
      <c r="H14" s="2">
        <v>91652</v>
      </c>
      <c r="I14" s="2">
        <v>18567</v>
      </c>
      <c r="J14" s="2">
        <v>57683</v>
      </c>
    </row>
    <row r="15" spans="2:10" x14ac:dyDescent="0.3">
      <c r="B15">
        <v>2022</v>
      </c>
      <c r="C15" s="2">
        <v>58321</v>
      </c>
      <c r="D15" s="2">
        <v>46752</v>
      </c>
      <c r="E15" s="2">
        <v>23886</v>
      </c>
      <c r="F15" s="2">
        <v>89035</v>
      </c>
      <c r="G15" s="2">
        <v>31485</v>
      </c>
      <c r="H15" s="2">
        <v>91495</v>
      </c>
      <c r="I15" s="2">
        <v>31431</v>
      </c>
      <c r="J15" s="2">
        <v>50475</v>
      </c>
    </row>
    <row r="16" spans="2:10" x14ac:dyDescent="0.3">
      <c r="B16">
        <v>2023</v>
      </c>
      <c r="C16" s="2">
        <v>52729</v>
      </c>
      <c r="D16" s="2">
        <v>84946</v>
      </c>
      <c r="E16" s="2">
        <v>28107</v>
      </c>
      <c r="F16" s="2">
        <v>87582</v>
      </c>
      <c r="G16" s="2">
        <v>32251</v>
      </c>
      <c r="H16" s="2">
        <v>101746</v>
      </c>
      <c r="I16" s="2">
        <v>27266</v>
      </c>
      <c r="J16" s="2">
        <v>71113</v>
      </c>
    </row>
    <row r="17" spans="2:12" x14ac:dyDescent="0.3">
      <c r="B17">
        <v>2024</v>
      </c>
      <c r="C17" s="2">
        <v>82999</v>
      </c>
      <c r="D17" s="2">
        <v>115877</v>
      </c>
      <c r="E17" s="2">
        <v>44477</v>
      </c>
      <c r="F17" s="2">
        <v>118548</v>
      </c>
      <c r="G17" s="2">
        <v>52535</v>
      </c>
      <c r="H17" s="2">
        <v>125299</v>
      </c>
      <c r="I17" s="2">
        <v>37256</v>
      </c>
      <c r="J17" s="2">
        <v>91328</v>
      </c>
    </row>
    <row r="18" spans="2:12" x14ac:dyDescent="0.3">
      <c r="B18">
        <v>2025</v>
      </c>
      <c r="C18" s="2">
        <v>131819</v>
      </c>
      <c r="D18" s="2">
        <v>142654</v>
      </c>
      <c r="E18" s="2">
        <v>64551</v>
      </c>
      <c r="F18" s="2">
        <v>136162</v>
      </c>
      <c r="G18" s="2">
        <v>91447</v>
      </c>
      <c r="H18" s="2">
        <v>164713</v>
      </c>
      <c r="I18" s="2">
        <v>69691</v>
      </c>
      <c r="J18" s="2">
        <v>115800</v>
      </c>
    </row>
    <row r="19" spans="2:12" x14ac:dyDescent="0.3">
      <c r="B19" t="s">
        <v>1</v>
      </c>
      <c r="C19" s="2">
        <v>200000</v>
      </c>
      <c r="D19" s="2">
        <v>182508</v>
      </c>
      <c r="E19" s="2">
        <v>150000</v>
      </c>
      <c r="F19" s="2">
        <v>170989</v>
      </c>
      <c r="G19" s="2">
        <v>180000</v>
      </c>
      <c r="H19" s="2">
        <v>194777</v>
      </c>
      <c r="I19" s="2">
        <v>125000</v>
      </c>
      <c r="J19" s="2">
        <v>130278</v>
      </c>
    </row>
    <row r="22" spans="2:12" x14ac:dyDescent="0.3">
      <c r="B22" s="1" t="s">
        <v>11</v>
      </c>
      <c r="C22" s="1" t="s">
        <v>12</v>
      </c>
      <c r="D22" s="1" t="s">
        <v>14</v>
      </c>
      <c r="E22" s="1" t="s">
        <v>16</v>
      </c>
      <c r="F22" s="1" t="s">
        <v>18</v>
      </c>
      <c r="H22" s="1" t="s">
        <v>11</v>
      </c>
      <c r="I22" s="1" t="s">
        <v>2</v>
      </c>
      <c r="J22" s="1" t="s">
        <v>4</v>
      </c>
      <c r="K22" s="1" t="s">
        <v>5</v>
      </c>
      <c r="L22" s="1" t="s">
        <v>6</v>
      </c>
    </row>
    <row r="23" spans="2:12" x14ac:dyDescent="0.3">
      <c r="B23">
        <v>2020</v>
      </c>
      <c r="C23" s="2">
        <v>35046</v>
      </c>
      <c r="D23" s="2">
        <v>15441</v>
      </c>
      <c r="E23" s="2">
        <v>22281</v>
      </c>
      <c r="F23" s="2">
        <v>15115</v>
      </c>
      <c r="H23">
        <v>2020</v>
      </c>
      <c r="I23" s="2">
        <v>66064</v>
      </c>
      <c r="J23" s="2">
        <v>60675</v>
      </c>
      <c r="K23" s="2">
        <v>65124</v>
      </c>
      <c r="L23" s="2">
        <v>38747</v>
      </c>
    </row>
    <row r="24" spans="2:12" x14ac:dyDescent="0.3">
      <c r="B24">
        <v>2021</v>
      </c>
      <c r="C24" s="2">
        <v>55396</v>
      </c>
      <c r="D24" s="2">
        <v>20622</v>
      </c>
      <c r="E24" s="2">
        <v>24640</v>
      </c>
      <c r="F24" s="2">
        <v>18567</v>
      </c>
      <c r="H24">
        <v>2021</v>
      </c>
      <c r="I24" s="2">
        <v>46327</v>
      </c>
      <c r="J24" s="2">
        <v>76740</v>
      </c>
      <c r="K24" s="2">
        <v>91652</v>
      </c>
      <c r="L24" s="2">
        <v>57683</v>
      </c>
    </row>
    <row r="25" spans="2:12" x14ac:dyDescent="0.3">
      <c r="B25">
        <v>2022</v>
      </c>
      <c r="C25" s="2">
        <v>58321</v>
      </c>
      <c r="D25" s="2">
        <v>23886</v>
      </c>
      <c r="E25" s="2">
        <v>31485</v>
      </c>
      <c r="F25" s="2">
        <v>31431</v>
      </c>
      <c r="H25">
        <v>2022</v>
      </c>
      <c r="I25" s="2">
        <v>46752</v>
      </c>
      <c r="J25" s="2">
        <v>89035</v>
      </c>
      <c r="K25" s="2">
        <v>91495</v>
      </c>
      <c r="L25" s="2">
        <v>50475</v>
      </c>
    </row>
    <row r="26" spans="2:12" x14ac:dyDescent="0.3">
      <c r="B26">
        <v>2023</v>
      </c>
      <c r="C26" s="2">
        <v>52729</v>
      </c>
      <c r="D26" s="2">
        <v>28107</v>
      </c>
      <c r="E26" s="2">
        <v>32251</v>
      </c>
      <c r="F26" s="2">
        <v>27266</v>
      </c>
      <c r="H26">
        <v>2023</v>
      </c>
      <c r="I26" s="2">
        <v>84946</v>
      </c>
      <c r="J26" s="2">
        <v>87582</v>
      </c>
      <c r="K26" s="2">
        <v>101746</v>
      </c>
      <c r="L26" s="2">
        <v>71113</v>
      </c>
    </row>
    <row r="27" spans="2:12" x14ac:dyDescent="0.3">
      <c r="B27">
        <v>2024</v>
      </c>
      <c r="C27" s="2">
        <v>82999</v>
      </c>
      <c r="D27" s="2">
        <v>44477</v>
      </c>
      <c r="E27" s="2">
        <v>52535</v>
      </c>
      <c r="F27" s="2">
        <v>37256</v>
      </c>
      <c r="H27">
        <v>2024</v>
      </c>
      <c r="I27" s="2">
        <v>115877</v>
      </c>
      <c r="J27" s="2">
        <v>118548</v>
      </c>
      <c r="K27" s="2">
        <v>125299</v>
      </c>
      <c r="L27" s="2">
        <v>91328</v>
      </c>
    </row>
    <row r="28" spans="2:12" x14ac:dyDescent="0.3">
      <c r="B28">
        <v>2025</v>
      </c>
      <c r="C28" s="2">
        <v>131819</v>
      </c>
      <c r="D28" s="2">
        <v>64551</v>
      </c>
      <c r="E28" s="2">
        <v>91447</v>
      </c>
      <c r="F28" s="2">
        <v>69691</v>
      </c>
      <c r="H28">
        <v>2025</v>
      </c>
      <c r="I28" s="2">
        <v>142654</v>
      </c>
      <c r="J28" s="2">
        <v>136162</v>
      </c>
      <c r="K28" s="2">
        <v>164713</v>
      </c>
      <c r="L28" s="2">
        <v>115800</v>
      </c>
    </row>
    <row r="29" spans="2:12" x14ac:dyDescent="0.3">
      <c r="B29" t="s">
        <v>1</v>
      </c>
      <c r="C29" s="2">
        <v>200000</v>
      </c>
      <c r="D29" s="2">
        <v>150000</v>
      </c>
      <c r="E29" s="2">
        <v>180000</v>
      </c>
      <c r="F29" s="2">
        <v>125000</v>
      </c>
      <c r="H29" t="s">
        <v>1</v>
      </c>
      <c r="I29" s="2">
        <v>182508</v>
      </c>
      <c r="J29" s="2">
        <v>170989</v>
      </c>
      <c r="K29" s="2">
        <v>194777</v>
      </c>
      <c r="L29" s="2">
        <v>130278</v>
      </c>
    </row>
    <row r="32" spans="2:12" x14ac:dyDescent="0.3">
      <c r="B32" s="1" t="s">
        <v>11</v>
      </c>
      <c r="C32" s="3" t="s">
        <v>2</v>
      </c>
      <c r="D32" s="4" t="s">
        <v>4</v>
      </c>
      <c r="E32" s="5" t="s">
        <v>5</v>
      </c>
      <c r="F32" s="6" t="s">
        <v>6</v>
      </c>
      <c r="H32" s="3" t="s">
        <v>13</v>
      </c>
      <c r="I32" s="4" t="s">
        <v>15</v>
      </c>
      <c r="J32" s="5" t="s">
        <v>17</v>
      </c>
      <c r="K32" s="6" t="s">
        <v>19</v>
      </c>
    </row>
    <row r="33" spans="2:11" x14ac:dyDescent="0.3">
      <c r="B33">
        <v>2020</v>
      </c>
      <c r="C33" s="2">
        <v>35046</v>
      </c>
      <c r="D33" s="2">
        <v>15441</v>
      </c>
      <c r="E33" s="2">
        <v>22281</v>
      </c>
      <c r="F33" s="2">
        <v>15115</v>
      </c>
      <c r="H33">
        <v>66064</v>
      </c>
      <c r="I33">
        <v>60675</v>
      </c>
      <c r="J33">
        <v>65124</v>
      </c>
      <c r="K33">
        <v>38747</v>
      </c>
    </row>
    <row r="34" spans="2:11" x14ac:dyDescent="0.3">
      <c r="B34">
        <v>2021</v>
      </c>
      <c r="C34" s="2">
        <v>55396</v>
      </c>
      <c r="D34" s="2">
        <v>20622</v>
      </c>
      <c r="E34" s="2">
        <v>24640</v>
      </c>
      <c r="F34" s="2">
        <v>18567</v>
      </c>
      <c r="H34">
        <v>46327</v>
      </c>
      <c r="I34">
        <v>76740</v>
      </c>
      <c r="J34">
        <v>91652</v>
      </c>
      <c r="K34">
        <v>57683</v>
      </c>
    </row>
    <row r="35" spans="2:11" x14ac:dyDescent="0.3">
      <c r="B35">
        <v>2022</v>
      </c>
      <c r="C35" s="2">
        <v>58321</v>
      </c>
      <c r="D35" s="2">
        <v>23886</v>
      </c>
      <c r="E35" s="2">
        <v>31485</v>
      </c>
      <c r="F35" s="2">
        <v>31431</v>
      </c>
      <c r="H35">
        <v>46752</v>
      </c>
      <c r="I35">
        <v>89035</v>
      </c>
      <c r="J35">
        <v>91495</v>
      </c>
      <c r="K35">
        <v>50475</v>
      </c>
    </row>
    <row r="36" spans="2:11" x14ac:dyDescent="0.3">
      <c r="B36">
        <v>2023</v>
      </c>
      <c r="C36" s="2">
        <v>52729</v>
      </c>
      <c r="D36" s="2">
        <v>28107</v>
      </c>
      <c r="E36" s="2">
        <v>32251</v>
      </c>
      <c r="F36" s="2">
        <v>27266</v>
      </c>
      <c r="H36">
        <v>84946</v>
      </c>
      <c r="I36">
        <v>87582</v>
      </c>
      <c r="J36">
        <v>101746</v>
      </c>
      <c r="K36">
        <v>71113</v>
      </c>
    </row>
    <row r="37" spans="2:11" x14ac:dyDescent="0.3">
      <c r="B37">
        <v>2024</v>
      </c>
      <c r="C37" s="2">
        <v>82999</v>
      </c>
      <c r="D37" s="2">
        <v>44477</v>
      </c>
      <c r="E37" s="2">
        <v>52535</v>
      </c>
      <c r="F37" s="2">
        <v>37256</v>
      </c>
      <c r="H37">
        <v>115877</v>
      </c>
      <c r="I37">
        <v>118548</v>
      </c>
      <c r="J37">
        <v>125299</v>
      </c>
      <c r="K37">
        <v>91328</v>
      </c>
    </row>
    <row r="38" spans="2:11" x14ac:dyDescent="0.3">
      <c r="B38">
        <v>2025</v>
      </c>
      <c r="C38" s="2">
        <v>131819</v>
      </c>
      <c r="D38" s="2">
        <v>64551</v>
      </c>
      <c r="E38" s="2">
        <v>91447</v>
      </c>
      <c r="F38" s="2">
        <v>69691</v>
      </c>
      <c r="H38">
        <v>142654</v>
      </c>
      <c r="I38">
        <v>136162</v>
      </c>
      <c r="J38">
        <v>164713</v>
      </c>
      <c r="K38">
        <v>115800</v>
      </c>
    </row>
    <row r="39" spans="2:11" x14ac:dyDescent="0.3">
      <c r="B39" t="s">
        <v>1</v>
      </c>
      <c r="C39" s="2">
        <v>200000</v>
      </c>
      <c r="D39" s="2">
        <v>150000</v>
      </c>
      <c r="E39" s="2">
        <v>180000</v>
      </c>
      <c r="F39" s="2">
        <v>125000</v>
      </c>
      <c r="H39">
        <v>182508</v>
      </c>
      <c r="I39">
        <v>170989</v>
      </c>
      <c r="J39">
        <v>194777</v>
      </c>
      <c r="K39">
        <v>130278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2026-02-06T03:23:17Z</dcterms:created>
  <dcterms:modified xsi:type="dcterms:W3CDTF">2026-05-20T18:43:14Z</dcterms:modified>
</cp:coreProperties>
</file>