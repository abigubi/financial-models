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trlProps/ctrlProp1.xml" ContentType="application/vnd.ms-excel.controlproperties+xml"/>
  <Override PartName="/xl/slicers/slicer1.xml" ContentType="application/vnd.ms-excel.slicer+xml"/>
  <Override PartName="/xl/charts/chart5.xml" ContentType="application/vnd.openxmlformats-officedocument.drawingml.chart+xml"/>
  <Override PartName="/xl/theme/themeOverride1.xml" ContentType="application/vnd.openxmlformats-officedocument.themeOverride+xml"/>
  <Override PartName="/xl/charts/chart6.xml" ContentType="application/vnd.openxmlformats-officedocument.drawingml.chart+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C:\Users\kerem\OneDrive\Masaüstü\Models\"/>
    </mc:Choice>
  </mc:AlternateContent>
  <xr:revisionPtr revIDLastSave="0" documentId="13_ncr:1_{7D60AF54-7EF2-48AE-8999-6EEE3AD5ACF4}" xr6:coauthVersionLast="47" xr6:coauthVersionMax="47" xr10:uidLastSave="{00000000-0000-0000-0000-000000000000}"/>
  <bookViews>
    <workbookView minimized="1" xWindow="60" yWindow="12" windowWidth="23016" windowHeight="12336" xr2:uid="{64BEE0EA-45A1-4490-9445-11F5F6D37C44}"/>
  </bookViews>
  <sheets>
    <sheet name="Main" sheetId="1" r:id="rId1"/>
    <sheet name="Segments" sheetId="3" r:id="rId2"/>
    <sheet name="Extras" sheetId="4" r:id="rId3"/>
    <sheet name="Charts" sheetId="5" r:id="rId4"/>
    <sheet name="Data" sheetId="16" r:id="rId5"/>
    <sheet name="Data2" sheetId="13" r:id="rId6"/>
  </sheets>
  <definedNames>
    <definedName name="ExternalData_1" localSheetId="4" hidden="1">Data!$A$1:$D$433</definedName>
    <definedName name="Slicer_Category">#N/A</definedName>
    <definedName name="Slicer_Metric">#N/A</definedName>
    <definedName name="Slicer_Year">#N/A</definedName>
  </definedNames>
  <calcPr calcId="191029"/>
  <pivotCaches>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 i="16" l="1" a="1"/>
  <c r="I18" i="16" s="1"/>
  <c r="K27" i="16"/>
  <c r="K26" i="16"/>
  <c r="K25" i="16"/>
  <c r="K24" i="16"/>
  <c r="K23" i="16"/>
  <c r="K22" i="16"/>
  <c r="K21" i="16"/>
  <c r="K20" i="16"/>
  <c r="K19" i="16"/>
  <c r="K18" i="16"/>
  <c r="J27" i="16"/>
  <c r="J26" i="16"/>
  <c r="J25" i="16"/>
  <c r="J24" i="16"/>
  <c r="J23" i="16"/>
  <c r="J22" i="16"/>
  <c r="J21" i="16"/>
  <c r="J20" i="16"/>
  <c r="J19" i="16"/>
  <c r="J18" i="16"/>
  <c r="K17" i="16"/>
  <c r="J17" i="16"/>
  <c r="I2" i="16"/>
  <c r="S15" i="4"/>
  <c r="S14" i="4"/>
  <c r="S13" i="4"/>
  <c r="S12" i="4"/>
  <c r="S11" i="4"/>
  <c r="S10" i="4"/>
  <c r="AJ8" i="4"/>
  <c r="AI8" i="4"/>
  <c r="AH8" i="4"/>
  <c r="AG8" i="4"/>
  <c r="AF8" i="4"/>
  <c r="AE8" i="4"/>
  <c r="AD8" i="4"/>
  <c r="AC8" i="4"/>
  <c r="AB8" i="4"/>
  <c r="AA8" i="4"/>
  <c r="Z8" i="4"/>
  <c r="Y8" i="4"/>
  <c r="X8" i="4"/>
  <c r="W8" i="4"/>
  <c r="V8" i="4"/>
  <c r="U8" i="4"/>
  <c r="T8" i="4"/>
  <c r="S8" i="4"/>
  <c r="R8" i="4"/>
  <c r="N6" i="4"/>
  <c r="M6" i="4"/>
  <c r="L6" i="4"/>
  <c r="K6" i="4"/>
  <c r="J6" i="4"/>
  <c r="I6" i="4"/>
  <c r="H6" i="4"/>
  <c r="G6" i="4"/>
  <c r="F6" i="4"/>
  <c r="E6" i="4"/>
  <c r="AJ5" i="4"/>
  <c r="AI5" i="4"/>
  <c r="AH5" i="4"/>
  <c r="AG5" i="4"/>
  <c r="AF5" i="4"/>
  <c r="AE5" i="4"/>
  <c r="AD5" i="4"/>
  <c r="AC5" i="4"/>
  <c r="AB5" i="4"/>
  <c r="AA5" i="4"/>
  <c r="Z5" i="4"/>
  <c r="Y5" i="4"/>
  <c r="X5" i="4"/>
  <c r="W5" i="4"/>
  <c r="V5" i="4"/>
  <c r="U5" i="4"/>
  <c r="T5" i="4"/>
  <c r="S5" i="4"/>
  <c r="R5" i="4"/>
  <c r="N5" i="4"/>
  <c r="M5" i="4"/>
  <c r="L5" i="4"/>
  <c r="K5" i="4"/>
  <c r="J5" i="4"/>
  <c r="I5" i="4"/>
  <c r="H5" i="4"/>
  <c r="G5" i="4"/>
  <c r="F5" i="4"/>
  <c r="E5" i="4"/>
  <c r="N4" i="4"/>
  <c r="M4" i="4"/>
  <c r="L4" i="4"/>
  <c r="K4" i="4"/>
  <c r="J4" i="4"/>
  <c r="I4" i="4"/>
  <c r="H4" i="4"/>
  <c r="G4" i="4"/>
  <c r="F4" i="4"/>
  <c r="E4" i="4"/>
  <c r="N56" i="3"/>
  <c r="M56" i="3"/>
  <c r="L56" i="3"/>
  <c r="N54" i="3"/>
  <c r="M54" i="3"/>
  <c r="L54" i="3"/>
  <c r="N53" i="3"/>
  <c r="M53" i="3"/>
  <c r="L53" i="3"/>
  <c r="N52" i="3"/>
  <c r="M52" i="3"/>
  <c r="L52" i="3"/>
  <c r="K46" i="3"/>
  <c r="J46" i="3"/>
  <c r="I46" i="3"/>
  <c r="H46" i="3"/>
  <c r="K44" i="3"/>
  <c r="J44" i="3"/>
  <c r="I44" i="3"/>
  <c r="H44" i="3"/>
  <c r="G44" i="3"/>
  <c r="K42" i="3"/>
  <c r="J42" i="3"/>
  <c r="I42" i="3"/>
  <c r="H42" i="3"/>
  <c r="G42" i="3"/>
  <c r="K39" i="3"/>
  <c r="J39" i="3"/>
  <c r="I39" i="3"/>
  <c r="H39" i="3"/>
  <c r="N37" i="3"/>
  <c r="M37" i="3"/>
  <c r="L37" i="3"/>
  <c r="K37" i="3"/>
  <c r="J37" i="3"/>
  <c r="I37" i="3"/>
  <c r="H37" i="3"/>
  <c r="G37" i="3"/>
  <c r="N35" i="3"/>
  <c r="M35" i="3"/>
  <c r="L35" i="3"/>
  <c r="K35" i="3"/>
  <c r="J35" i="3"/>
  <c r="I35" i="3"/>
  <c r="H35" i="3"/>
  <c r="G35" i="3"/>
  <c r="N34" i="3"/>
  <c r="M34" i="3"/>
  <c r="L34" i="3"/>
  <c r="N32" i="3"/>
  <c r="M32" i="3"/>
  <c r="L32" i="3"/>
  <c r="K32" i="3"/>
  <c r="J32" i="3"/>
  <c r="I32" i="3"/>
  <c r="H32" i="3"/>
  <c r="G32" i="3"/>
  <c r="N31" i="3"/>
  <c r="M31" i="3"/>
  <c r="L31" i="3"/>
  <c r="N29" i="3"/>
  <c r="M29" i="3"/>
  <c r="L29" i="3"/>
  <c r="K29" i="3"/>
  <c r="J29" i="3"/>
  <c r="I29" i="3"/>
  <c r="H29" i="3"/>
  <c r="G29" i="3"/>
  <c r="N28" i="3"/>
  <c r="M28" i="3"/>
  <c r="L28" i="3"/>
  <c r="K26" i="3"/>
  <c r="J26" i="3"/>
  <c r="I26" i="3"/>
  <c r="H26" i="3"/>
  <c r="N24" i="3"/>
  <c r="M24" i="3"/>
  <c r="L24" i="3"/>
  <c r="K24" i="3"/>
  <c r="J24" i="3"/>
  <c r="I24" i="3"/>
  <c r="H24" i="3"/>
  <c r="G24" i="3"/>
  <c r="M22" i="3"/>
  <c r="L22" i="3"/>
  <c r="M21" i="3"/>
  <c r="L21" i="3"/>
  <c r="M20" i="3"/>
  <c r="L20" i="3"/>
  <c r="H20" i="3"/>
  <c r="G20" i="3"/>
  <c r="N19" i="3"/>
  <c r="M19" i="3"/>
  <c r="L19" i="3"/>
  <c r="K19" i="3"/>
  <c r="J19" i="3"/>
  <c r="I19" i="3"/>
  <c r="H19" i="3"/>
  <c r="G19" i="3"/>
  <c r="N18" i="3"/>
  <c r="M18" i="3"/>
  <c r="L18" i="3"/>
  <c r="K18" i="3"/>
  <c r="J18" i="3"/>
  <c r="N14" i="3"/>
  <c r="M14" i="3"/>
  <c r="L14" i="3"/>
  <c r="K14" i="3"/>
  <c r="J14" i="3"/>
  <c r="I14" i="3"/>
  <c r="H14" i="3"/>
  <c r="G14" i="3"/>
  <c r="N13" i="3"/>
  <c r="L13" i="3"/>
  <c r="K13" i="3"/>
  <c r="J13" i="3"/>
  <c r="N11" i="3"/>
  <c r="H9" i="3"/>
  <c r="G9" i="3"/>
  <c r="N8" i="3"/>
  <c r="M8" i="3"/>
  <c r="L8" i="3"/>
  <c r="H8" i="3"/>
  <c r="G8" i="3"/>
  <c r="N7" i="3"/>
  <c r="M7" i="3"/>
  <c r="L7" i="3"/>
  <c r="K7" i="3"/>
  <c r="J7" i="3"/>
  <c r="I7" i="3"/>
  <c r="H7" i="3"/>
  <c r="G7" i="3"/>
  <c r="N6" i="3"/>
  <c r="M6" i="3"/>
  <c r="L6" i="3"/>
  <c r="K4" i="3"/>
  <c r="J4" i="3"/>
  <c r="I4" i="3"/>
  <c r="H4" i="3"/>
  <c r="N88" i="1"/>
  <c r="M88" i="1"/>
  <c r="L88" i="1"/>
  <c r="K88" i="1"/>
  <c r="J88" i="1"/>
  <c r="N86" i="1"/>
  <c r="M86" i="1"/>
  <c r="L86" i="1"/>
  <c r="K86" i="1"/>
  <c r="J86" i="1"/>
  <c r="I86" i="1"/>
  <c r="H86" i="1"/>
  <c r="G86" i="1"/>
  <c r="F86" i="1"/>
  <c r="E86" i="1"/>
  <c r="N85" i="1"/>
  <c r="M85" i="1"/>
  <c r="L85" i="1"/>
  <c r="K85" i="1"/>
  <c r="J85" i="1"/>
  <c r="N83" i="1"/>
  <c r="M83" i="1"/>
  <c r="L83" i="1"/>
  <c r="K83" i="1"/>
  <c r="J83" i="1"/>
  <c r="I83" i="1"/>
  <c r="H83" i="1"/>
  <c r="G83" i="1"/>
  <c r="F83" i="1"/>
  <c r="E83" i="1"/>
  <c r="N82" i="1"/>
  <c r="M82" i="1"/>
  <c r="L82" i="1"/>
  <c r="K82" i="1"/>
  <c r="J82" i="1"/>
  <c r="N80" i="1"/>
  <c r="M80" i="1"/>
  <c r="L80" i="1"/>
  <c r="K80" i="1"/>
  <c r="J80" i="1"/>
  <c r="I80" i="1"/>
  <c r="H80" i="1"/>
  <c r="G80" i="1"/>
  <c r="F80" i="1"/>
  <c r="E80" i="1"/>
  <c r="N79" i="1"/>
  <c r="M79" i="1"/>
  <c r="L79" i="1"/>
  <c r="K79" i="1"/>
  <c r="J79" i="1"/>
  <c r="I79" i="1"/>
  <c r="H79" i="1"/>
  <c r="G79" i="1"/>
  <c r="F79" i="1"/>
  <c r="E79" i="1"/>
  <c r="N77" i="1"/>
  <c r="M77" i="1"/>
  <c r="L77" i="1"/>
  <c r="K77" i="1"/>
  <c r="J77" i="1"/>
  <c r="I77" i="1"/>
  <c r="H77" i="1"/>
  <c r="G77" i="1"/>
  <c r="F77" i="1"/>
  <c r="E77" i="1"/>
  <c r="N76" i="1"/>
  <c r="M76" i="1"/>
  <c r="L76" i="1"/>
  <c r="K76" i="1"/>
  <c r="J76" i="1"/>
  <c r="I76" i="1"/>
  <c r="H76" i="1"/>
  <c r="G76" i="1"/>
  <c r="F76" i="1"/>
  <c r="E76" i="1"/>
  <c r="N74" i="1"/>
  <c r="M74" i="1"/>
  <c r="L74" i="1"/>
  <c r="K74" i="1"/>
  <c r="J74" i="1"/>
  <c r="I74" i="1"/>
  <c r="H74" i="1"/>
  <c r="G74" i="1"/>
  <c r="F74" i="1"/>
  <c r="E74" i="1"/>
  <c r="N73" i="1"/>
  <c r="M73" i="1"/>
  <c r="L73" i="1"/>
  <c r="K73" i="1"/>
  <c r="J73" i="1"/>
  <c r="I73" i="1"/>
  <c r="H73" i="1"/>
  <c r="G73" i="1"/>
  <c r="F73" i="1"/>
  <c r="E73" i="1"/>
  <c r="N71" i="1"/>
  <c r="M71" i="1"/>
  <c r="L71" i="1"/>
  <c r="K71" i="1"/>
  <c r="J71" i="1"/>
  <c r="I71" i="1"/>
  <c r="H71" i="1"/>
  <c r="G71" i="1"/>
  <c r="F71" i="1"/>
  <c r="E71" i="1"/>
  <c r="N69" i="1"/>
  <c r="M69" i="1"/>
  <c r="L69" i="1"/>
  <c r="K69" i="1"/>
  <c r="J69" i="1"/>
  <c r="I69" i="1"/>
  <c r="H69" i="1"/>
  <c r="G69" i="1"/>
  <c r="F69" i="1"/>
  <c r="E69" i="1"/>
  <c r="N68" i="1"/>
  <c r="M68" i="1"/>
  <c r="L68" i="1"/>
  <c r="K68" i="1"/>
  <c r="J68" i="1"/>
  <c r="I68" i="1"/>
  <c r="H68" i="1"/>
  <c r="G68" i="1"/>
  <c r="F68" i="1"/>
  <c r="E68" i="1"/>
  <c r="N66" i="1"/>
  <c r="M66" i="1"/>
  <c r="L66" i="1"/>
  <c r="K66" i="1"/>
  <c r="J66" i="1"/>
  <c r="I66" i="1"/>
  <c r="H66" i="1"/>
  <c r="G66" i="1"/>
  <c r="F66" i="1"/>
  <c r="E66" i="1"/>
  <c r="N65" i="1"/>
  <c r="M65" i="1"/>
  <c r="L65" i="1"/>
  <c r="K65" i="1"/>
  <c r="J65" i="1"/>
  <c r="I65" i="1"/>
  <c r="H65" i="1"/>
  <c r="G65" i="1"/>
  <c r="F65" i="1"/>
  <c r="E65" i="1"/>
  <c r="N63" i="1"/>
  <c r="M63" i="1"/>
  <c r="L63" i="1"/>
  <c r="K63" i="1"/>
  <c r="J63" i="1"/>
  <c r="I63" i="1"/>
  <c r="H63" i="1"/>
  <c r="G63" i="1"/>
  <c r="F63" i="1"/>
  <c r="E63" i="1"/>
  <c r="N62" i="1"/>
  <c r="M62" i="1"/>
  <c r="L62" i="1"/>
  <c r="K62" i="1"/>
  <c r="J62" i="1"/>
  <c r="I62" i="1"/>
  <c r="H62" i="1"/>
  <c r="G62" i="1"/>
  <c r="F62" i="1"/>
  <c r="E62" i="1"/>
  <c r="I61" i="1"/>
  <c r="H61" i="1"/>
  <c r="G61" i="1"/>
  <c r="F61" i="1"/>
  <c r="N59" i="1"/>
  <c r="M59" i="1"/>
  <c r="L59" i="1"/>
  <c r="K59" i="1"/>
  <c r="J59" i="1"/>
  <c r="I59" i="1"/>
  <c r="H59" i="1"/>
  <c r="G59" i="1"/>
  <c r="F59" i="1"/>
  <c r="E59" i="1"/>
  <c r="N58" i="1"/>
  <c r="M58" i="1"/>
  <c r="L58" i="1"/>
  <c r="K58" i="1"/>
  <c r="J58" i="1"/>
  <c r="I58" i="1"/>
  <c r="H58" i="1"/>
  <c r="G58" i="1"/>
  <c r="F58" i="1"/>
  <c r="E58" i="1"/>
  <c r="N57" i="1"/>
  <c r="M57" i="1"/>
  <c r="L57" i="1"/>
  <c r="K57" i="1"/>
  <c r="J57" i="1"/>
  <c r="I57" i="1"/>
  <c r="H57" i="1"/>
  <c r="G57" i="1"/>
  <c r="F57" i="1"/>
  <c r="E57" i="1"/>
  <c r="N54" i="1"/>
  <c r="M54" i="1"/>
  <c r="L54" i="1"/>
  <c r="N52" i="1"/>
  <c r="M52" i="1"/>
  <c r="L52" i="1"/>
  <c r="K52" i="1"/>
  <c r="J52" i="1"/>
  <c r="I52" i="1"/>
  <c r="H52" i="1"/>
  <c r="G52" i="1"/>
  <c r="F52" i="1"/>
  <c r="E52" i="1"/>
  <c r="N51" i="1"/>
  <c r="M51" i="1"/>
  <c r="L51" i="1"/>
  <c r="K51" i="1"/>
  <c r="J51" i="1"/>
  <c r="I51" i="1"/>
  <c r="H51" i="1"/>
  <c r="G51" i="1"/>
  <c r="F51" i="1"/>
  <c r="E51" i="1"/>
  <c r="N50" i="1"/>
  <c r="M50" i="1"/>
  <c r="L50" i="1"/>
  <c r="K50" i="1"/>
  <c r="J50" i="1"/>
  <c r="I48" i="1"/>
  <c r="H48" i="1"/>
  <c r="G48" i="1"/>
  <c r="F48" i="1"/>
  <c r="N46" i="1"/>
  <c r="M46" i="1"/>
  <c r="L46" i="1"/>
  <c r="K46" i="1"/>
  <c r="J46" i="1"/>
  <c r="I46" i="1"/>
  <c r="H46" i="1"/>
  <c r="G46" i="1"/>
  <c r="F46" i="1"/>
  <c r="E46" i="1"/>
  <c r="N45" i="1"/>
  <c r="M45" i="1"/>
  <c r="L45" i="1"/>
  <c r="K45" i="1"/>
  <c r="J45" i="1"/>
  <c r="N43" i="1"/>
  <c r="M43" i="1"/>
  <c r="L43" i="1"/>
  <c r="K43" i="1"/>
  <c r="J43" i="1"/>
  <c r="I43" i="1"/>
  <c r="H43" i="1"/>
  <c r="G43" i="1"/>
  <c r="F43" i="1"/>
  <c r="E43" i="1"/>
  <c r="N42" i="1"/>
  <c r="M42" i="1"/>
  <c r="L42" i="1"/>
  <c r="K42" i="1"/>
  <c r="J42" i="1"/>
  <c r="I42" i="1"/>
  <c r="H42" i="1"/>
  <c r="G42" i="1"/>
  <c r="F42" i="1"/>
  <c r="E42" i="1"/>
  <c r="N40" i="1"/>
  <c r="M40" i="1"/>
  <c r="L40" i="1"/>
  <c r="K40" i="1"/>
  <c r="J40" i="1"/>
  <c r="I40" i="1"/>
  <c r="H40" i="1"/>
  <c r="G40" i="1"/>
  <c r="F40" i="1"/>
  <c r="E40" i="1"/>
  <c r="N39" i="1"/>
  <c r="M39" i="1"/>
  <c r="L39" i="1"/>
  <c r="K39" i="1"/>
  <c r="J39" i="1"/>
  <c r="N37" i="1"/>
  <c r="M37" i="1"/>
  <c r="L37" i="1"/>
  <c r="K37" i="1"/>
  <c r="J37" i="1"/>
  <c r="I37" i="1"/>
  <c r="H37" i="1"/>
  <c r="G37" i="1"/>
  <c r="F37" i="1"/>
  <c r="E37" i="1"/>
  <c r="N36" i="1"/>
  <c r="M36" i="1"/>
  <c r="L36" i="1"/>
  <c r="K36" i="1"/>
  <c r="J36" i="1"/>
  <c r="N34" i="1"/>
  <c r="M34" i="1"/>
  <c r="L34" i="1"/>
  <c r="K34" i="1"/>
  <c r="J34" i="1"/>
  <c r="I34" i="1"/>
  <c r="H34" i="1"/>
  <c r="G34" i="1"/>
  <c r="F34" i="1"/>
  <c r="E34" i="1"/>
  <c r="N33" i="1"/>
  <c r="M33" i="1"/>
  <c r="L33" i="1"/>
  <c r="K33" i="1"/>
  <c r="J33" i="1"/>
  <c r="I33" i="1"/>
  <c r="H33" i="1"/>
  <c r="G33" i="1"/>
  <c r="F33" i="1"/>
  <c r="E33" i="1"/>
  <c r="N31" i="1"/>
  <c r="M31" i="1"/>
  <c r="L31" i="1"/>
  <c r="K31" i="1"/>
  <c r="J31" i="1"/>
  <c r="I31" i="1"/>
  <c r="H31" i="1"/>
  <c r="G31" i="1"/>
  <c r="F31" i="1"/>
  <c r="E31" i="1"/>
  <c r="N30" i="1"/>
  <c r="M30" i="1"/>
  <c r="L30" i="1"/>
  <c r="K30" i="1"/>
  <c r="J30" i="1"/>
  <c r="N28" i="1"/>
  <c r="M28" i="1"/>
  <c r="L28" i="1"/>
  <c r="K28" i="1"/>
  <c r="J28" i="1"/>
  <c r="I28" i="1"/>
  <c r="H28" i="1"/>
  <c r="G28" i="1"/>
  <c r="F28" i="1"/>
  <c r="E28" i="1"/>
  <c r="N27" i="1"/>
  <c r="M27" i="1"/>
  <c r="L27" i="1"/>
  <c r="K27" i="1"/>
  <c r="J27" i="1"/>
  <c r="I25" i="1"/>
  <c r="H25" i="1"/>
  <c r="G25" i="1"/>
  <c r="F25" i="1"/>
  <c r="U23" i="1"/>
  <c r="K23" i="1"/>
  <c r="J23" i="1"/>
  <c r="I23" i="1"/>
  <c r="H23" i="1"/>
  <c r="G23" i="1"/>
  <c r="F23" i="1"/>
  <c r="E23" i="1"/>
  <c r="T22" i="1"/>
  <c r="P22" i="1"/>
  <c r="K22" i="1"/>
  <c r="J22" i="1"/>
  <c r="I22" i="1"/>
  <c r="H22" i="1"/>
  <c r="G22" i="1"/>
  <c r="F22" i="1"/>
  <c r="E22" i="1"/>
  <c r="K20" i="1"/>
  <c r="J20" i="1"/>
  <c r="I20" i="1"/>
  <c r="H20" i="1"/>
  <c r="G20" i="1"/>
  <c r="F20" i="1"/>
  <c r="E20" i="1"/>
  <c r="U19" i="1"/>
  <c r="P18" i="1"/>
  <c r="K17" i="1"/>
  <c r="K17" i="1" a="1"/>
  <c r="J17" i="1"/>
  <c r="P16" i="1"/>
  <c r="I15" i="1"/>
  <c r="H15" i="1"/>
  <c r="G15" i="1"/>
  <c r="F15" i="1"/>
  <c r="U13" i="1"/>
  <c r="P13" i="1"/>
  <c r="U12" i="1"/>
  <c r="P11" i="1"/>
  <c r="P10" i="1"/>
  <c r="E10" i="1"/>
  <c r="P9" i="1"/>
  <c r="P8" i="1"/>
  <c r="E8" i="1"/>
  <c r="U7" i="1"/>
  <c r="P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tc={0AEE88EF-F5A5-4222-8D90-AB39EF908C53}</author>
    <author>tc={6E9EEE48-010B-419D-88AA-8E2878DCB24F}</author>
  </authors>
  <commentList>
    <comment ref="L49" authorId="0" shapeId="0" xr:uid="{0AEE88EF-F5A5-4222-8D90-AB39EF908C53}">
      <text>
        <t>[Threaded comment]
Your version of Excel allows you to read this threaded comment; however, any edits to it will get removed if the file is opened in a newer version of Excel. Learn more: https://go.microsoft.com/fwlink/?linkid=870924
Comment:
    Q1 2026
Expected to recognize 40% over NTM</t>
      </text>
    </comment>
    <comment ref="L50" authorId="1" shapeId="0" xr:uid="{6E9EEE48-010B-419D-88AA-8E2878DCB24F}">
      <text>
        <t>[Threaded comment]
Your version of Excel allows you to read this threaded comment; however, any edits to it will get removed if the file is opened in a newer version of Excel. Learn more: https://go.microsoft.com/fwlink/?linkid=870924
Comment:
    SemiAnalysis expects growth over 40%. Up to 53% in December 2026
Q1 2026 Growth: %40</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0DDB9E-7559-4776-85FC-7BD7628D1D99}"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<sst xmlns="http://schemas.openxmlformats.org/spreadsheetml/2006/main" count="1822" uniqueCount="345">
  <si>
    <t>Ticker</t>
  </si>
  <si>
    <t>MSFT</t>
  </si>
  <si>
    <t>Implied Share Price</t>
  </si>
  <si>
    <t>Current Share Price</t>
  </si>
  <si>
    <t>Implied Upside / (Downside)</t>
  </si>
  <si>
    <t>Income Statement</t>
  </si>
  <si>
    <t>2026E</t>
  </si>
  <si>
    <t>2027E</t>
  </si>
  <si>
    <t>2028E</t>
  </si>
  <si>
    <t>2029E</t>
  </si>
  <si>
    <t>2030E</t>
  </si>
  <si>
    <t>Revenue</t>
  </si>
  <si>
    <t>% growth</t>
  </si>
  <si>
    <t>EBIT</t>
  </si>
  <si>
    <t>Taxes</t>
  </si>
  <si>
    <t>Tax rate</t>
  </si>
  <si>
    <t>% of sales</t>
  </si>
  <si>
    <t>Cash Flow Items</t>
  </si>
  <si>
    <t>D&amp;A</t>
  </si>
  <si>
    <t>CapEx</t>
  </si>
  <si>
    <t>Changes in NWC</t>
  </si>
  <si>
    <t>% of changes in sales</t>
  </si>
  <si>
    <t>DCF</t>
  </si>
  <si>
    <t>EBIAT</t>
  </si>
  <si>
    <t>Free Cash Flow</t>
  </si>
  <si>
    <t>Present Value of FCF</t>
  </si>
  <si>
    <t>Key Statistics</t>
  </si>
  <si>
    <t>Stock Price</t>
  </si>
  <si>
    <t>Market Cap</t>
  </si>
  <si>
    <t>Cash</t>
  </si>
  <si>
    <t>Debt</t>
  </si>
  <si>
    <t>Enterprise Value</t>
  </si>
  <si>
    <t xml:space="preserve">shares outstanding diluted </t>
  </si>
  <si>
    <t>Net Debt</t>
  </si>
  <si>
    <t>% of capex</t>
  </si>
  <si>
    <t>WACC</t>
  </si>
  <si>
    <t>% of Equity</t>
  </si>
  <si>
    <t>Cost of Equity</t>
  </si>
  <si>
    <t>Risk Free Rate</t>
  </si>
  <si>
    <t>Beta</t>
  </si>
  <si>
    <t>Market Risk Premium</t>
  </si>
  <si>
    <t>% of Debt</t>
  </si>
  <si>
    <t>Cost of Debt</t>
  </si>
  <si>
    <t>Tax Rate</t>
  </si>
  <si>
    <t>Total</t>
  </si>
  <si>
    <t>Notes</t>
  </si>
  <si>
    <t>Valuation</t>
  </si>
  <si>
    <t>PV of FCF</t>
  </si>
  <si>
    <t>Terminal Value</t>
  </si>
  <si>
    <t>Shares Outstanding</t>
  </si>
  <si>
    <t>Implied Market Cap</t>
  </si>
  <si>
    <t>all values in millions except per share numbers</t>
  </si>
  <si>
    <t>EV/EBIT Multiple</t>
  </si>
  <si>
    <t>PV of Terminal Value</t>
  </si>
  <si>
    <t>Company Overview</t>
  </si>
  <si>
    <t>Price</t>
  </si>
  <si>
    <t>Key Stats</t>
  </si>
  <si>
    <t>Employees</t>
  </si>
  <si>
    <t>Founded</t>
  </si>
  <si>
    <t>CEO</t>
  </si>
  <si>
    <t>Headquarters</t>
  </si>
  <si>
    <t>Primary Industry</t>
  </si>
  <si>
    <t>Redmond, WA</t>
  </si>
  <si>
    <t>Fiscal Year End</t>
  </si>
  <si>
    <t>COGS</t>
  </si>
  <si>
    <t>Gross Income</t>
  </si>
  <si>
    <t>SG&amp;A</t>
  </si>
  <si>
    <t>R&amp;D</t>
  </si>
  <si>
    <t>Last Updated</t>
  </si>
  <si>
    <t>Industry Metrics</t>
  </si>
  <si>
    <t>Intelligent Cloud</t>
  </si>
  <si>
    <t>Productivity and Business Processes</t>
  </si>
  <si>
    <t>Product Segments</t>
  </si>
  <si>
    <t>x</t>
  </si>
  <si>
    <t>- Microsoft 365 Commercial Products and Cloud Services</t>
  </si>
  <si>
    <t>-</t>
  </si>
  <si>
    <t>- Microsoft 365 Consumer Products and Cloud Services</t>
  </si>
  <si>
    <t>- Dynamics Products and Cloud Services</t>
  </si>
  <si>
    <t>- LinkedIn</t>
  </si>
  <si>
    <t>- Server Products and Cloud Services</t>
  </si>
  <si>
    <t>- Enterprise and partner services</t>
  </si>
  <si>
    <t>More Personal Computing</t>
  </si>
  <si>
    <t>- Windows and Devices</t>
  </si>
  <si>
    <t>- Search and News Advertising</t>
  </si>
  <si>
    <t>- Gaming</t>
  </si>
  <si>
    <t>Operating Income by Segment</t>
  </si>
  <si>
    <t>% of Sales</t>
  </si>
  <si>
    <t>Notes:</t>
  </si>
  <si>
    <t>Segments were reorganized in FY25, Metrics before 2023 may be unreliable</t>
  </si>
  <si>
    <t>United States</t>
  </si>
  <si>
    <t>Other Countries</t>
  </si>
  <si>
    <t>Revenue Segments by Country</t>
  </si>
  <si>
    <t>Billings</t>
  </si>
  <si>
    <t>Azure Revenue YoY Growth %</t>
  </si>
  <si>
    <t>Azure Constant Currency Revenue Yoy Growth %</t>
  </si>
  <si>
    <t>Capex Including Finance Leases</t>
  </si>
  <si>
    <t>Total Commercial RPO</t>
  </si>
  <si>
    <t>Total Sales</t>
  </si>
  <si>
    <t>Total Operating Income</t>
  </si>
  <si>
    <t>% of fcf</t>
  </si>
  <si>
    <t>Operating Cash Flow</t>
  </si>
  <si>
    <t>CapEx % of OCF</t>
  </si>
  <si>
    <t>P/E (LTM)</t>
  </si>
  <si>
    <t>EV/EBITDA (LTM)</t>
  </si>
  <si>
    <t>P/S (LTM)</t>
  </si>
  <si>
    <t>Financial Ratios</t>
  </si>
  <si>
    <t>P/E (NTM)</t>
  </si>
  <si>
    <t>Strategic Investment (OpenAI)</t>
  </si>
  <si>
    <t>Reinvestment Rate</t>
  </si>
  <si>
    <t>Stock Based Compensation</t>
  </si>
  <si>
    <t>Azure</t>
  </si>
  <si>
    <t>Azure Arc</t>
  </si>
  <si>
    <t>OpenAI</t>
  </si>
  <si>
    <t>Intelligent Data Platform</t>
  </si>
  <si>
    <t>Fabric</t>
  </si>
  <si>
    <t>compute, storage, governance</t>
  </si>
  <si>
    <t>AI Studio</t>
  </si>
  <si>
    <t>Cloud for Sustainability</t>
  </si>
  <si>
    <t>Nuance DAX ambient intelligence</t>
  </si>
  <si>
    <t>DAX Express</t>
  </si>
  <si>
    <t>Productivity</t>
  </si>
  <si>
    <t>Github Copilot</t>
  </si>
  <si>
    <t>VS Code</t>
  </si>
  <si>
    <t>Power BI</t>
  </si>
  <si>
    <t>Power Pages</t>
  </si>
  <si>
    <t>Power Virtual Agents</t>
  </si>
  <si>
    <t>Power Automate</t>
  </si>
  <si>
    <t>10m MAUs - Q4 2023</t>
  </si>
  <si>
    <t>Dynamics</t>
  </si>
  <si>
    <t>Microsoft 365</t>
  </si>
  <si>
    <t>Microsoft 365 Copilot</t>
  </si>
  <si>
    <t>Microsoft Teams</t>
  </si>
  <si>
    <t>Teams Premium</t>
  </si>
  <si>
    <t>Teams Phone</t>
  </si>
  <si>
    <t>Teams Rooms</t>
  </si>
  <si>
    <t>Viva</t>
  </si>
  <si>
    <t>LinkedIn</t>
  </si>
  <si>
    <t>Personal Computing</t>
  </si>
  <si>
    <t>Windows 11</t>
  </si>
  <si>
    <t>Windows 365</t>
  </si>
  <si>
    <t>Entra ID</t>
  </si>
  <si>
    <t>Security Copilot</t>
  </si>
  <si>
    <t>Bing</t>
  </si>
  <si>
    <t>Windows Copilot</t>
  </si>
  <si>
    <t>Bing Chat Enterprise</t>
  </si>
  <si>
    <t>Azure Virtual Desktop</t>
  </si>
  <si>
    <t>$16.8B - FY 2025</t>
  </si>
  <si>
    <t>Windows 365 &gt;$1B TTM - Q4 2023</t>
  </si>
  <si>
    <t>Activision acquisition closes</t>
  </si>
  <si>
    <t>$75.4B</t>
  </si>
  <si>
    <t>Nuance acquisition closes</t>
  </si>
  <si>
    <t>ZeniMax acquisition closes</t>
  </si>
  <si>
    <t>Acquires Nokie phones</t>
  </si>
  <si>
    <t>$9.5B</t>
  </si>
  <si>
    <t>Satya replaces Ballmer</t>
  </si>
  <si>
    <t>$18.1B</t>
  </si>
  <si>
    <t>$8.1B</t>
  </si>
  <si>
    <t>CRM, &gt;5B in revenue FY 2023</t>
  </si>
  <si>
    <t>No Code</t>
  </si>
  <si>
    <t>Loop</t>
  </si>
  <si>
    <t>Notion Alternative</t>
  </si>
  <si>
    <t>Management</t>
  </si>
  <si>
    <t>Amy Hood</t>
  </si>
  <si>
    <t>Alice Jolla</t>
  </si>
  <si>
    <t>Keith Dolliver</t>
  </si>
  <si>
    <t>Brett Iversen</t>
  </si>
  <si>
    <t>Judson Althoff</t>
  </si>
  <si>
    <t>CFO</t>
  </si>
  <si>
    <t>CAO</t>
  </si>
  <si>
    <t>Deputy GC</t>
  </si>
  <si>
    <t>Xbox</t>
  </si>
  <si>
    <t>Surface</t>
  </si>
  <si>
    <t>Key Events</t>
  </si>
  <si>
    <t>Amount</t>
  </si>
  <si>
    <t>Date</t>
  </si>
  <si>
    <t>VP of Investor Relations</t>
  </si>
  <si>
    <t>Brad Smith</t>
  </si>
  <si>
    <t>Mustafa Suleyman</t>
  </si>
  <si>
    <t>Phil Spencer</t>
  </si>
  <si>
    <t>Takeshi Numoto</t>
  </si>
  <si>
    <t>Kathleen Hogan</t>
  </si>
  <si>
    <t>Vice Chair and President</t>
  </si>
  <si>
    <t>CEO, Microsoft AI</t>
  </si>
  <si>
    <t>CEO, Microsoft Gaming</t>
  </si>
  <si>
    <t>EVP, CMO</t>
  </si>
  <si>
    <t>EVP, CPO</t>
  </si>
  <si>
    <t>Kevin Scott</t>
  </si>
  <si>
    <t>EVP, CTO</t>
  </si>
  <si>
    <t>CEO, Commercial Business</t>
  </si>
  <si>
    <t>Copilot Studio</t>
  </si>
  <si>
    <t>Azure Compute</t>
  </si>
  <si>
    <t>Azure Storage</t>
  </si>
  <si>
    <t>Azure Networking</t>
  </si>
  <si>
    <t>Azure SQL</t>
  </si>
  <si>
    <t>Github</t>
  </si>
  <si>
    <t>Github Actions</t>
  </si>
  <si>
    <t>Azure DevOps</t>
  </si>
  <si>
    <t>.NET</t>
  </si>
  <si>
    <t>Visual Studio</t>
  </si>
  <si>
    <t>Outlook</t>
  </si>
  <si>
    <t>Word</t>
  </si>
  <si>
    <t>Excel</t>
  </si>
  <si>
    <t>PowerPoint</t>
  </si>
  <si>
    <t>OneDrive</t>
  </si>
  <si>
    <t>SharePoint</t>
  </si>
  <si>
    <t>Xbox Game Pass</t>
  </si>
  <si>
    <t>Xbox Cloud Gaming (xCloud)</t>
  </si>
  <si>
    <t>Activision Blizzard IP</t>
  </si>
  <si>
    <t>Mojang (Minecraft)</t>
  </si>
  <si>
    <t>Microsoft Advertising</t>
  </si>
  <si>
    <t>Edge Browser</t>
  </si>
  <si>
    <t>Chromium-Based</t>
  </si>
  <si>
    <t>Azure Security</t>
  </si>
  <si>
    <t>Sentinel, Defender, Monitor</t>
  </si>
  <si>
    <t>Recurring Revenue</t>
  </si>
  <si>
    <t>Non Recurring Revenue</t>
  </si>
  <si>
    <t>Recurring % of Revenue</t>
  </si>
  <si>
    <t>Q1 21</t>
  </si>
  <si>
    <t>Q2 21</t>
  </si>
  <si>
    <t>Q3 21</t>
  </si>
  <si>
    <t>Q4 21</t>
  </si>
  <si>
    <t>Q1 22</t>
  </si>
  <si>
    <t>Q2 22</t>
  </si>
  <si>
    <t>Q3 22</t>
  </si>
  <si>
    <t>Q4 22</t>
  </si>
  <si>
    <t>Q1 23</t>
  </si>
  <si>
    <t>Q2 23</t>
  </si>
  <si>
    <t>Q3 23</t>
  </si>
  <si>
    <t>Q4 23</t>
  </si>
  <si>
    <t>Q1 24</t>
  </si>
  <si>
    <t>Q2 24</t>
  </si>
  <si>
    <t>Q3 24</t>
  </si>
  <si>
    <t>Q4 24</t>
  </si>
  <si>
    <t>Q1 25</t>
  </si>
  <si>
    <t>Q2 25</t>
  </si>
  <si>
    <t>Q3 25</t>
  </si>
  <si>
    <t>Q4 25</t>
  </si>
  <si>
    <t>Real EPS</t>
  </si>
  <si>
    <t>Consensus EPS</t>
  </si>
  <si>
    <t>Surprise %</t>
  </si>
  <si>
    <t>Real Revenue</t>
  </si>
  <si>
    <t>Consensus Revenue</t>
  </si>
  <si>
    <t>Average Surprise EPS</t>
  </si>
  <si>
    <t>Average Surprise Revenue</t>
  </si>
  <si>
    <t>OpenAI Profit Share (Loss)</t>
  </si>
  <si>
    <t>36,000 customers - FY 2024</t>
  </si>
  <si>
    <t>Connects cloud and on-premise</t>
  </si>
  <si>
    <t>relational database</t>
  </si>
  <si>
    <t>60,000 Azure AI customers - FY 2024</t>
  </si>
  <si>
    <t>25,000 paid customers - FY 2024</t>
  </si>
  <si>
    <t>50% YoY - FY 2024</t>
  </si>
  <si>
    <t>Ambient Clinical Intelligence</t>
  </si>
  <si>
    <t>AI-powered clinical documentation</t>
  </si>
  <si>
    <t>2B ARR - Aug 2024, 100M+ devs</t>
  </si>
  <si>
    <t>CI/CD automation</t>
  </si>
  <si>
    <t>Enterprise planning and delivery</t>
  </si>
  <si>
    <t>5M+ active developers</t>
  </si>
  <si>
    <t>2.3 million paid subscribers</t>
  </si>
  <si>
    <t>18,000 organizations - custom agents</t>
  </si>
  <si>
    <t xml:space="preserve">IDE - 29% professional market share </t>
  </si>
  <si>
    <t>Most Popular IDE - 76% market share</t>
  </si>
  <si>
    <t>375,000 organizations - Oct 2024</t>
  </si>
  <si>
    <t>Integrated into Copilot Studio</t>
  </si>
  <si>
    <t>400M commercial paid seats</t>
  </si>
  <si>
    <t>Used by 65% of Fortune 500</t>
  </si>
  <si>
    <t>Email &amp; Calendar</t>
  </si>
  <si>
    <t>Word processing</t>
  </si>
  <si>
    <t>Spreadsheet software</t>
  </si>
  <si>
    <t>Presentation software</t>
  </si>
  <si>
    <t>Cloud storage - tracked under M365</t>
  </si>
  <si>
    <t>200m+ MAUs</t>
  </si>
  <si>
    <t>360M MAUs</t>
  </si>
  <si>
    <t>Seats gew 40% YoY - Sept 2025</t>
  </si>
  <si>
    <t>&gt;17m users - 2024</t>
  </si>
  <si>
    <t>Physical meeting room software</t>
  </si>
  <si>
    <t>Viva Goals retired Dec 31, 2025</t>
  </si>
  <si>
    <t>31% of all Windows Devices (434M/1.4B)</t>
  </si>
  <si>
    <t>AI assistant built into the OS taskbar</t>
  </si>
  <si>
    <t>Cloud PC &gt; 1B Annual Rev - Q4 2024</t>
  </si>
  <si>
    <t>Formerly Azure ID - 50,000 MAUs</t>
  </si>
  <si>
    <t>Used by 43% of Fortune 100</t>
  </si>
  <si>
    <t>19B Annual Revenue - Linkedin &amp; Bing</t>
  </si>
  <si>
    <t>140M DAUs - 2024</t>
  </si>
  <si>
    <t>Now part of Copilot</t>
  </si>
  <si>
    <t>Hardware &amp; Platform</t>
  </si>
  <si>
    <t>38M est. subscribers</t>
  </si>
  <si>
    <t>Console games via streaming</t>
  </si>
  <si>
    <t>Call of Duty (100M+ players, Warcraft, Diablo</t>
  </si>
  <si>
    <t>225M Monthly Active Players - June 2025</t>
  </si>
  <si>
    <t>8.9B in FY 2025</t>
  </si>
  <si>
    <t>OpenAI partnership (Round 2)</t>
  </si>
  <si>
    <t>$10.0B</t>
  </si>
  <si>
    <t>Acquires GitHub</t>
  </si>
  <si>
    <t>$7.5B</t>
  </si>
  <si>
    <t>Acquires LinkedIn</t>
  </si>
  <si>
    <t>$26.2B</t>
  </si>
  <si>
    <t>Acquires Mojang</t>
  </si>
  <si>
    <t>$2.5B</t>
  </si>
  <si>
    <t>Best Surprise EPS</t>
  </si>
  <si>
    <t>Best Surprise Revenue</t>
  </si>
  <si>
    <t>Worst Surprise EPS</t>
  </si>
  <si>
    <t>Worst Surprise Revenue</t>
  </si>
  <si>
    <t>Satya Nadella</t>
  </si>
  <si>
    <t>Software - Infrastructure</t>
  </si>
  <si>
    <t>MSFT (CY)</t>
  </si>
  <si>
    <t>Charge Chart</t>
  </si>
  <si>
    <t>Metric</t>
  </si>
  <si>
    <t>Year</t>
  </si>
  <si>
    <t>Value</t>
  </si>
  <si>
    <t>Category</t>
  </si>
  <si>
    <t>Cash Flow</t>
  </si>
  <si>
    <t>Productivity and Business Processes - Operating Income</t>
  </si>
  <si>
    <t>Intelligent Cloud - Operating Income</t>
  </si>
  <si>
    <t>More Personal Computing - Operating Income</t>
  </si>
  <si>
    <t>United States Revenue</t>
  </si>
  <si>
    <t>Revenue by Country</t>
  </si>
  <si>
    <t>Other Countries Revenue</t>
  </si>
  <si>
    <t>Revenue % Growth</t>
  </si>
  <si>
    <t>COGS % of Sales</t>
  </si>
  <si>
    <t>Gross Income % of Sales</t>
  </si>
  <si>
    <t>SG&amp;A % of Sales</t>
  </si>
  <si>
    <t>R&amp;D % of Sales</t>
  </si>
  <si>
    <t>EBIT % of Sales</t>
  </si>
  <si>
    <t>D&amp;A % of Sales</t>
  </si>
  <si>
    <t>CapEx % of Sales</t>
  </si>
  <si>
    <t>Changes in NWC % of Sales</t>
  </si>
  <si>
    <t>Free Cash Flow % of Sales</t>
  </si>
  <si>
    <t>Stock Based Compensation % of Sales</t>
  </si>
  <si>
    <t>Productivity and Business Processes % Growth</t>
  </si>
  <si>
    <t>Intelligent Cloud % Growth</t>
  </si>
  <si>
    <t>More Personal Computing % Growth</t>
  </si>
  <si>
    <t>Productivity and Business Processes - Op Margin</t>
  </si>
  <si>
    <t>Intelligent Cloud - Op Margin</t>
  </si>
  <si>
    <t>More Personal Computing - Op Margin</t>
  </si>
  <si>
    <t>United States Revenue % Growth</t>
  </si>
  <si>
    <t>Other Countries Revenue % Growth</t>
  </si>
  <si>
    <t>2021</t>
  </si>
  <si>
    <t>2022</t>
  </si>
  <si>
    <t>2023</t>
  </si>
  <si>
    <t>2024</t>
  </si>
  <si>
    <t>2025</t>
  </si>
  <si>
    <t>Row Labels</t>
  </si>
  <si>
    <t>Sum of Value</t>
  </si>
  <si>
    <t>Column Labels</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</si>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</sst>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1" formatCode="_(* #,##0_);_(* \(#,##0\);_(* &quot;-&quot;_);_(@_)"/>
    <numFmt numFmtId="43" formatCode="_(* #,##0.00_);_(* \(#,##0.00\);_(* &quot;-&quot;??_);_(@_)"/>
    <numFmt numFmtId="164" formatCode="&quot;$&quot;#,##0.00"/>
    <numFmt numFmtId="165" formatCode="&quot;$&quot;#,##0"/>
    <numFmt numFmtId="166" formatCode="0.0%"/>
    <numFmt numFmtId="167" formatCode="#,##0.0"/>
  </numFmts>
  <fonts count="15" x14ac:knownFonts="1">
    <font>
      <sz val="12"/>
      <color theme="1"/>
      <name val="calibri"/>
      <family val="2"/>
    </font>
    <font>
      <sz val="12"/>
      <color theme="1"/>
      <name val="calibri"/>
      <family val="2"/>
    </font>
    <font>
      <sz val="11"/>
      <color theme="1"/>
      <name val="calibri"/>
      <family val="2"/>
    </font>
    <font>
      <b/>
      <sz val="11"/>
      <color theme="0"/>
      <name val="calibri"/>
      <family val="2"/>
    </font>
    <font>
      <b/>
      <sz val="11"/>
      <color theme="1"/>
      <name val="calibri"/>
      <family val="2"/>
    </font>
    <font>
      <i/>
      <sz val="11"/>
      <color theme="1"/>
      <name val="calibri"/>
      <family val="2"/>
    </font>
    <font>
      <sz val="11"/>
      <color theme="7" tint="-0.249977111117893"/>
      <name val="Calibri"/>
      <family val="2"/>
    </font>
    <font>
      <b/>
      <sz val="11"/>
      <name val="calibri"/>
      <family val="2"/>
    </font>
    <font>
      <sz val="11"/>
      <name val="Calibri"/>
      <family val="2"/>
    </font>
    <font>
      <sz val="11"/>
      <color theme="5" tint="-0.249977111117893"/>
      <name val="calibri"/>
      <family val="2"/>
    </font>
    <font>
      <sz val="12"/>
      <color theme="1"/>
      <name val="Aptos Narrow"/>
      <family val="2"/>
      <scheme val="minor"/>
    </font>
    <font>
      <i/>
      <sz val="12"/>
      <color theme="1"/>
      <name val="Aptos Narrow"/>
      <family val="2"/>
      <scheme val="minor"/>
    </font>
    <font>
      <b/>
      <sz val="30"/>
      <color theme="0"/>
      <name val="calibri"/>
      <family val="2"/>
    </font>
    <font>
      <b/>
      <sz val="12"/>
      <color rgb="FFFFFFFF"/>
      <name val="calibri"/>
      <family val="2"/>
    </font>
    <font>
      <sz val="12"/>
      <color rgb="FF000000"/>
      <name val="Calibri"/>
      <family val="2"/>
    </font>
  </fonts>
  <fills count="6">
    <fill>
      <patternFill patternType="none"/>
    </fill>
    <fill>
      <patternFill patternType="gray125"/>
    </fill>
    <fill>
      <patternFill patternType="solid">
        <fgColor theme="4"/>
        <bgColor indexed="64"/>
      </patternFill>
    </fill>
    <fill>
      <patternFill patternType="solid">
        <fgColor theme="0"/>
        <bgColor indexed="64"/>
      </patternFill>
    </fill>
    <fill>
      <patternFill patternType="solid">
        <fgColor rgb="FF4472C4"/>
        <bgColor indexed="64"/>
      </patternFill>
    </fill>
    <fill>
      <patternFill patternType="solid">
        <fgColor rgb="FF002060"/>
        <bgColor indexed="64"/>
      </patternFill>
    </fill>
  </fills>
  <borders count="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60">
    <xf numFmtId="0" fontId="0" fillId="0" borderId="0" xfId="0"/>
    <xf numFmtId="0" fontId="2" fillId="0" borderId="0" xfId="0" applyFont="1"/>
    <xf numFmtId="0" fontId="3" fillId="2" borderId="0" xfId="0" applyFont="1" applyFill="1"/>
    <xf numFmtId="0" fontId="3" fillId="2" borderId="0" xfId="0" applyFont="1" applyFill="1" applyAlignment="1">
      <alignment horizontal="right"/>
    </xf>
    <xf numFmtId="0" fontId="4" fillId="0" borderId="0" xfId="0" applyFont="1"/>
    <xf numFmtId="0" fontId="5" fillId="0" borderId="0" xfId="0" applyFont="1"/>
    <xf numFmtId="0" fontId="2" fillId="0" borderId="1" xfId="0" applyFont="1" applyBorder="1"/>
    <xf numFmtId="164" fontId="6" fillId="0" borderId="0" xfId="0" applyNumberFormat="1" applyFont="1" applyAlignment="1">
      <alignment horizontal="right"/>
    </xf>
    <xf numFmtId="3" fontId="2" fillId="0" borderId="0" xfId="0" applyNumberFormat="1" applyFont="1"/>
    <xf numFmtId="3" fontId="2" fillId="0" borderId="1" xfId="0" applyNumberFormat="1" applyFont="1" applyBorder="1"/>
    <xf numFmtId="10" fontId="2" fillId="0" borderId="0" xfId="0" applyNumberFormat="1" applyFont="1"/>
    <xf numFmtId="10" fontId="5" fillId="0" borderId="0" xfId="0" applyNumberFormat="1" applyFont="1"/>
    <xf numFmtId="3" fontId="6" fillId="0" borderId="0" xfId="0" applyNumberFormat="1" applyFont="1"/>
    <xf numFmtId="41" fontId="2" fillId="0" borderId="0" xfId="0" applyNumberFormat="1" applyFont="1"/>
    <xf numFmtId="9" fontId="5" fillId="0" borderId="0" xfId="1" applyFont="1"/>
    <xf numFmtId="10" fontId="2" fillId="0" borderId="0" xfId="0" applyNumberFormat="1" applyFont="1" applyAlignment="1">
      <alignment horizontal="center" vertical="center"/>
    </xf>
    <xf numFmtId="0" fontId="4" fillId="0" borderId="1" xfId="0" applyFont="1" applyBorder="1"/>
    <xf numFmtId="0" fontId="2" fillId="0" borderId="0" xfId="0" applyFont="1" applyAlignment="1">
      <alignment horizontal="center"/>
    </xf>
    <xf numFmtId="14" fontId="2" fillId="0" borderId="0" xfId="0" applyNumberFormat="1" applyFont="1" applyAlignment="1">
      <alignment horizontal="center"/>
    </xf>
    <xf numFmtId="0" fontId="7" fillId="0" borderId="1" xfId="0" applyFont="1" applyBorder="1"/>
    <xf numFmtId="165" fontId="2" fillId="0" borderId="0" xfId="0" applyNumberFormat="1" applyFont="1" applyAlignment="1">
      <alignment horizontal="center" vertical="center"/>
    </xf>
    <xf numFmtId="43" fontId="2" fillId="0" borderId="0" xfId="0" applyNumberFormat="1" applyFont="1"/>
    <xf numFmtId="0" fontId="8" fillId="0" borderId="0" xfId="0" applyFont="1"/>
    <xf numFmtId="0" fontId="2" fillId="0" borderId="0" xfId="0" quotePrefix="1" applyFont="1"/>
    <xf numFmtId="0" fontId="2" fillId="3" borderId="0" xfId="0" applyFont="1" applyFill="1"/>
    <xf numFmtId="0" fontId="3" fillId="3" borderId="0" xfId="0" applyFont="1" applyFill="1"/>
    <xf numFmtId="0" fontId="3" fillId="3" borderId="0" xfId="0" applyFont="1" applyFill="1" applyAlignment="1">
      <alignment horizontal="right"/>
    </xf>
    <xf numFmtId="3" fontId="9" fillId="0" borderId="0" xfId="0" applyNumberFormat="1" applyFont="1"/>
    <xf numFmtId="3" fontId="4" fillId="0" borderId="0" xfId="0" applyNumberFormat="1" applyFont="1"/>
    <xf numFmtId="4" fontId="2" fillId="0" borderId="0" xfId="0" applyNumberFormat="1" applyFont="1"/>
    <xf numFmtId="0" fontId="3" fillId="2" borderId="0" xfId="0" applyFont="1" applyFill="1" applyAlignment="1">
      <alignment horizontal="center"/>
    </xf>
    <xf numFmtId="14" fontId="2" fillId="0" borderId="0" xfId="0" applyNumberFormat="1" applyFont="1"/>
    <xf numFmtId="0" fontId="3" fillId="2" borderId="3" xfId="0" applyFont="1" applyFill="1" applyBorder="1"/>
    <xf numFmtId="0" fontId="3" fillId="2" borderId="2" xfId="0" applyFont="1" applyFill="1" applyBorder="1"/>
    <xf numFmtId="0" fontId="3" fillId="2" borderId="4" xfId="0" applyFont="1" applyFill="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3" fontId="6" fillId="0" borderId="8" xfId="0" applyNumberFormat="1" applyFont="1" applyBorder="1"/>
    <xf numFmtId="0" fontId="10" fillId="0" borderId="0" xfId="0" applyFont="1"/>
    <xf numFmtId="166" fontId="5" fillId="0" borderId="0" xfId="0" applyNumberFormat="1" applyFont="1"/>
    <xf numFmtId="167" fontId="2" fillId="0" borderId="0" xfId="0" applyNumberFormat="1" applyFont="1"/>
    <xf numFmtId="0" fontId="11" fillId="0" borderId="0" xfId="0" applyFont="1"/>
    <xf numFmtId="9" fontId="5" fillId="0" borderId="0" xfId="0" applyNumberFormat="1" applyFont="1"/>
    <xf numFmtId="0" fontId="2" fillId="0" borderId="0" xfId="0" applyFont="1" applyAlignment="1">
      <alignment horizontal="center" vertical="center"/>
    </xf>
    <xf numFmtId="0" fontId="13" fillId="4" borderId="0" xfId="0" applyFont="1" applyFill="1"/>
    <xf numFmtId="166" fontId="0" fillId="0" borderId="0" xfId="0" applyNumberFormat="1"/>
    <xf numFmtId="3" fontId="0" fillId="0" borderId="0" xfId="0" applyNumberFormat="1"/>
    <xf numFmtId="0" fontId="13" fillId="4" borderId="0" xfId="0" applyFont="1" applyFill="1" applyAlignment="1">
      <alignment horizontal="left"/>
    </xf>
    <xf numFmtId="0" fontId="0" fillId="0" borderId="0" xfId="0" pivotButton="1"/>
    <xf numFmtId="0" fontId="0" fillId="0" borderId="0" xfId="0" applyAlignment="1">
      <alignment horizontal="left"/>
    </xf>
    <xf numFmtId="10" fontId="0" fillId="0" borderId="0" xfId="0" applyNumberFormat="1"/>
    <xf numFmtId="3" fontId="2" fillId="0" borderId="0" xfId="0" applyNumberFormat="1" applyFont="1" applyAlignment="1">
      <alignment horizontal="center"/>
    </xf>
    <xf numFmtId="14" fontId="2" fillId="0" borderId="0" xfId="0" applyNumberFormat="1" applyFont="1" applyAlignment="1">
      <alignment horizontal="center"/>
    </xf>
    <xf numFmtId="3" fontId="2" fillId="0" borderId="2" xfId="0" applyNumberFormat="1" applyFont="1" applyBorder="1" applyAlignment="1">
      <alignment horizontal="right"/>
    </xf>
    <xf numFmtId="3" fontId="2" fillId="0" borderId="1" xfId="0" applyNumberFormat="1" applyFont="1" applyBorder="1" applyAlignment="1">
      <alignment horizontal="right"/>
    </xf>
    <xf numFmtId="0" fontId="2" fillId="0" borderId="0" xfId="0" applyFont="1" applyAlignment="1">
      <alignment horizontal="center"/>
    </xf>
    <xf numFmtId="0" fontId="3" fillId="2" borderId="0" xfId="0" applyFont="1" applyFill="1" applyAlignment="1">
      <alignment horizontal="center"/>
    </xf>
    <xf numFmtId="0" fontId="12" fillId="5" borderId="0" xfId="0" applyFont="1" applyFill="1" applyAlignment="1">
      <alignment horizontal="center" vertical="center"/>
    </xf>
  </cellXfs>
  <cellStyles count="2">
    <cellStyle name="Normal" xfId="0" builtinId="0"/>
    <cellStyle name="Percent" xfId="1" builtinId="5"/>
  </cellStyles>
  <dxfs count="14">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numFmt numFmtId="166" formatCode="0.0%"/>
    </dxf>
    <dxf>
      <font>
        <b/>
        <i val="0"/>
        <strike val="0"/>
        <condense val="0"/>
        <extend val="0"/>
        <outline val="0"/>
        <shadow val="0"/>
        <u val="none"/>
        <vertAlign val="baseline"/>
        <sz val="12"/>
        <color rgb="FFFFFFFF"/>
        <name val="calibri"/>
        <family val="2"/>
        <scheme val="none"/>
      </font>
      <fill>
        <patternFill patternType="solid">
          <fgColor indexed="64"/>
          <bgColor rgb="FF4472C4"/>
        </patternFill>
      </fill>
      <alignment horizontal="right" vertical="bottom" textRotation="0" wrapText="0" indent="0" justifyLastLine="0" shrinkToFit="0" readingOrder="0"/>
    </dxf>
    <dxf>
      <numFmt numFmtId="0" formatCode="General"/>
    </dxf>
    <dxf>
      <numFmt numFmtId="0" formatCode="General"/>
    </dxf>
    <dxf>
      <numFmt numFmtId="0" formatCode="General"/>
    </dxf>
    <dxf>
      <font>
        <color theme="0"/>
      </font>
      <fill>
        <patternFill>
          <fgColor rgb="FF002060"/>
          <bgColor rgb="FF002060"/>
        </patternFill>
      </fill>
    </dxf>
    <dxf>
      <fill>
        <patternFill patternType="solid">
          <fgColor auto="1"/>
          <bgColor rgb="FFFBFBFB"/>
        </patternFill>
      </fill>
    </dxf>
  </dxfs>
  <tableStyles count="3" defaultTableStyle="TableStyleMedium2" defaultPivotStyle="PivotStyleLight16">
    <tableStyle name="Navy Dashboard" pivot="0" table="0" count="10" xr9:uid="{76675D4E-1044-4D20-BB30-FACF77B28690}">
      <tableStyleElement type="wholeTable" dxfId="13"/>
      <tableStyleElement type="headerRow" dxfId="12"/>
    </tableStyle>
    <tableStyle name="Slicer Style 1" pivot="0" table="0" count="1" xr9:uid="{64F0F7BD-0A4C-4F74-969C-C78D45331487}"/>
    <tableStyle name="Slicer Style 2" pivot="0" table="0" count="2" xr9:uid="{724D2153-358E-4CBB-B64C-73EE579C9C57}"/>
  </tableStyles>
  <colors>
    <mruColors>
      <color rgb="FFD1AA2D"/>
      <color rgb="FFFFC107"/>
      <color rgb="FFD9B84F"/>
      <color rgb="FFD4AF37"/>
      <color rgb="FFEDB501"/>
      <color rgb="FFF44336"/>
      <color rgb="FFFBFBFB"/>
      <color rgb="FFFDFDFD"/>
      <color rgb="FFF7F7F7"/>
      <color rgb="FF4CAF50"/>
    </mruColors>
  </colors>
  <extLst>
    <ext xmlns:x14="http://schemas.microsoft.com/office/spreadsheetml/2009/9/main" uri="{46F421CA-312F-682f-3DD2-61675219B42D}">
      <x14:dxfs count="11">
        <dxf>
          <fill>
            <patternFill>
              <fgColor theme="8" tint="-0.24994659260841701"/>
            </patternFill>
          </fill>
        </dxf>
        <dxf>
          <fill>
            <patternFill>
              <fgColor theme="8" tint="-0.24994659260841701"/>
            </patternFill>
          </fill>
        </dxf>
        <dxf>
          <fill>
            <patternFill>
              <bgColor theme="8" tint="0.39994506668294322"/>
            </patternFill>
          </fill>
        </dxf>
        <dxf>
          <fill>
            <patternFill>
              <fgColor theme="8"/>
            </patternFill>
          </fill>
        </dxf>
        <dxf>
          <fill>
            <patternFill>
              <bgColor theme="8"/>
            </patternFill>
          </fill>
        </dxf>
        <dxf>
          <fill>
            <patternFill>
              <fgColor theme="8"/>
            </patternFill>
          </fill>
        </dxf>
        <dxf>
          <fill>
            <patternFill>
              <fgColor theme="8"/>
            </patternFill>
          </fill>
        </dxf>
        <dxf>
          <fill>
            <patternFill>
              <fgColor theme="8"/>
            </patternFill>
          </fill>
        </dxf>
        <dxf>
          <font>
            <color theme="0"/>
          </font>
          <fill>
            <patternFill>
              <fgColor rgb="FF002060"/>
              <bgColor rgb="FF002060"/>
            </patternFill>
          </fill>
        </dxf>
        <dxf>
          <fill>
            <patternFill>
              <fgColor theme="8"/>
            </patternFill>
          </fill>
        </dxf>
        <dxf>
          <font>
            <color theme="6" tint="-0.499984740745262"/>
          </font>
          <fill>
            <patternFill>
              <bgColor theme="6"/>
            </patternFill>
          </fill>
        </dxf>
      </x14:dxfs>
    </ext>
    <ext xmlns:x14="http://schemas.microsoft.com/office/spreadsheetml/2009/9/main" uri="{EB79DEF2-80B8-43e5-95BD-54CBDDF9020C}">
      <x14:slicerStyles defaultSlicerStyle="Navy Dashboard">
        <x14:slicerStyle name="Navy Dashboard">
          <x14:slicerStyleElements>
            <x14:slicerStyleElement type="unselectedItemWithData" dxfId="10"/>
            <x14:slicerStyleElement type="unselectedItemWithNoData" dxfId="9"/>
            <x14:slicerStyleElement type="selectedItemWithData" dxfId="8"/>
            <x14:slicerStyleElement type="selectedItemWithNoData" dxfId="7"/>
            <x14:slicerStyleElement type="hoveredUnselectedItemWithData" dxfId="6"/>
            <x14:slicerStyleElement type="hoveredSelectedItemWithData" dxfId="5"/>
            <x14:slicerStyleElement type="hoveredUnselectedItemWithNoData" dxfId="4"/>
            <x14:slicerStyleElement type="hoveredSelectedItemWithNoData" dxfId="3"/>
          </x14:slicerStyleElements>
        </x14:slicerStyle>
        <x14:slicerStyle name="Slicer Style 1">
          <x14:slicerStyleElements>
            <x14:slicerStyleElement type="hoveredUnselectedItemWithData" dxfId="2"/>
          </x14:slicerStyleElements>
        </x14:slicerStyle>
        <x14:slicerStyle name="Slicer Style 2">
          <x14:slicerStyleElements>
            <x14:slicerStyleElement type="hoveredUnselectedItemWithData" dxfId="1"/>
            <x14:slicerStyleElement type="hoveredUn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Segments!$B$6</c:f>
              <c:strCache>
                <c:ptCount val="1"/>
                <c:pt idx="0">
                  <c:v>Productivity and Business Processes</c:v>
                </c:pt>
              </c:strCache>
            </c:strRef>
          </c:tx>
          <c:spPr>
            <a:solidFill>
              <a:srgbClr val="F44336"/>
            </a:solidFill>
            <a:ln>
              <a:noFill/>
            </a:ln>
            <a:effectLst/>
          </c:spPr>
          <c:invertIfNegative val="0"/>
          <c:cat>
            <c:strRef>
              <c:extLst>
                <c:ext xmlns:c15="http://schemas.microsoft.com/office/drawing/2012/chart" uri="{02D57815-91ED-43cb-92C2-25804820EDAC}">
                  <c15:fullRef>
                    <c15:sqref>Segments!$G$4:$N$4</c15:sqref>
                  </c15:fullRef>
                </c:ext>
              </c:extLst>
              <c:f>Segments!$I$4:$N$4</c:f>
              <c:strCache>
                <c:ptCount val="6"/>
                <c:pt idx="0">
                  <c:v>2023</c:v>
                </c:pt>
                <c:pt idx="1">
                  <c:v>2024</c:v>
                </c:pt>
                <c:pt idx="2">
                  <c:v>2025</c:v>
                </c:pt>
                <c:pt idx="3">
                  <c:v>2026E</c:v>
                </c:pt>
                <c:pt idx="4">
                  <c:v>2027E</c:v>
                </c:pt>
                <c:pt idx="5">
                  <c:v>2028E</c:v>
                </c:pt>
              </c:strCache>
            </c:strRef>
          </c:cat>
          <c:val>
            <c:numRef>
              <c:extLst>
                <c:ext xmlns:c15="http://schemas.microsoft.com/office/drawing/2012/chart" uri="{02D57815-91ED-43cb-92C2-25804820EDAC}">
                  <c15:fullRef>
                    <c15:sqref>Segments!$G$6:$N$6</c15:sqref>
                  </c15:fullRef>
                </c:ext>
              </c:extLst>
              <c:f>Segments!$I$6:$N$6</c:f>
              <c:numCache>
                <c:formatCode>#,##0</c:formatCode>
                <c:ptCount val="6"/>
                <c:pt idx="0">
                  <c:v>94151</c:v>
                </c:pt>
                <c:pt idx="1">
                  <c:v>106820</c:v>
                </c:pt>
                <c:pt idx="2">
                  <c:v>120810</c:v>
                </c:pt>
                <c:pt idx="3">
                  <c:v>136756.91999999998</c:v>
                </c:pt>
                <c:pt idx="4">
                  <c:v>153673.59200000003</c:v>
                </c:pt>
                <c:pt idx="5">
                  <c:v>170577.68712000005</c:v>
                </c:pt>
              </c:numCache>
            </c:numRef>
          </c:val>
          <c:extLst>
            <c:ext xmlns:c16="http://schemas.microsoft.com/office/drawing/2014/chart" uri="{C3380CC4-5D6E-409C-BE32-E72D297353CC}">
              <c16:uniqueId val="{00000000-C708-4444-A702-3371123B3340}"/>
            </c:ext>
          </c:extLst>
        </c:ser>
        <c:ser>
          <c:idx val="1"/>
          <c:order val="1"/>
          <c:tx>
            <c:strRef>
              <c:f>Segments!$B$13</c:f>
              <c:strCache>
                <c:ptCount val="1"/>
                <c:pt idx="0">
                  <c:v>Intelligent Cloud</c:v>
                </c:pt>
              </c:strCache>
            </c:strRef>
          </c:tx>
          <c:spPr>
            <a:solidFill>
              <a:srgbClr val="2196F3"/>
            </a:solidFill>
            <a:ln>
              <a:noFill/>
            </a:ln>
            <a:effectLst/>
          </c:spPr>
          <c:invertIfNegative val="0"/>
          <c:cat>
            <c:strRef>
              <c:extLst>
                <c:ext xmlns:c15="http://schemas.microsoft.com/office/drawing/2012/chart" uri="{02D57815-91ED-43cb-92C2-25804820EDAC}">
                  <c15:fullRef>
                    <c15:sqref>Segments!$G$4:$N$4</c15:sqref>
                  </c15:fullRef>
                </c:ext>
              </c:extLst>
              <c:f>Segments!$I$4:$N$4</c:f>
              <c:strCache>
                <c:ptCount val="6"/>
                <c:pt idx="0">
                  <c:v>2023</c:v>
                </c:pt>
                <c:pt idx="1">
                  <c:v>2024</c:v>
                </c:pt>
                <c:pt idx="2">
                  <c:v>2025</c:v>
                </c:pt>
                <c:pt idx="3">
                  <c:v>2026E</c:v>
                </c:pt>
                <c:pt idx="4">
                  <c:v>2027E</c:v>
                </c:pt>
                <c:pt idx="5">
                  <c:v>2028E</c:v>
                </c:pt>
              </c:strCache>
            </c:strRef>
          </c:cat>
          <c:val>
            <c:numRef>
              <c:extLst>
                <c:ext xmlns:c15="http://schemas.microsoft.com/office/drawing/2012/chart" uri="{02D57815-91ED-43cb-92C2-25804820EDAC}">
                  <c15:fullRef>
                    <c15:sqref>Segments!$G$13:$N$13</c15:sqref>
                  </c15:fullRef>
                </c:ext>
              </c:extLst>
              <c:f>Segments!$I$13:$N$13</c:f>
              <c:numCache>
                <c:formatCode>#,##0</c:formatCode>
                <c:ptCount val="6"/>
                <c:pt idx="0">
                  <c:v>72944</c:v>
                </c:pt>
                <c:pt idx="1">
                  <c:v>87464</c:v>
                </c:pt>
                <c:pt idx="2">
                  <c:v>106265</c:v>
                </c:pt>
                <c:pt idx="3">
                  <c:v>134789</c:v>
                </c:pt>
                <c:pt idx="4">
                  <c:v>168062</c:v>
                </c:pt>
                <c:pt idx="5">
                  <c:v>210077.5</c:v>
                </c:pt>
              </c:numCache>
            </c:numRef>
          </c:val>
          <c:extLst>
            <c:ext xmlns:c16="http://schemas.microsoft.com/office/drawing/2014/chart" uri="{C3380CC4-5D6E-409C-BE32-E72D297353CC}">
              <c16:uniqueId val="{00000001-C708-4444-A702-3371123B3340}"/>
            </c:ext>
          </c:extLst>
        </c:ser>
        <c:ser>
          <c:idx val="2"/>
          <c:order val="2"/>
          <c:tx>
            <c:strRef>
              <c:f>Segments!$B$18</c:f>
              <c:strCache>
                <c:ptCount val="1"/>
                <c:pt idx="0">
                  <c:v>More Personal Computing</c:v>
                </c:pt>
              </c:strCache>
            </c:strRef>
          </c:tx>
          <c:spPr>
            <a:solidFill>
              <a:srgbClr val="FFC107"/>
            </a:solidFill>
            <a:ln>
              <a:noFill/>
            </a:ln>
            <a:effectLst/>
          </c:spPr>
          <c:invertIfNegative val="0"/>
          <c:cat>
            <c:strRef>
              <c:extLst>
                <c:ext xmlns:c15="http://schemas.microsoft.com/office/drawing/2012/chart" uri="{02D57815-91ED-43cb-92C2-25804820EDAC}">
                  <c15:fullRef>
                    <c15:sqref>Segments!$G$4:$N$4</c15:sqref>
                  </c15:fullRef>
                </c:ext>
              </c:extLst>
              <c:f>Segments!$I$4:$N$4</c:f>
              <c:strCache>
                <c:ptCount val="6"/>
                <c:pt idx="0">
                  <c:v>2023</c:v>
                </c:pt>
                <c:pt idx="1">
                  <c:v>2024</c:v>
                </c:pt>
                <c:pt idx="2">
                  <c:v>2025</c:v>
                </c:pt>
                <c:pt idx="3">
                  <c:v>2026E</c:v>
                </c:pt>
                <c:pt idx="4">
                  <c:v>2027E</c:v>
                </c:pt>
                <c:pt idx="5">
                  <c:v>2028E</c:v>
                </c:pt>
              </c:strCache>
            </c:strRef>
          </c:cat>
          <c:val>
            <c:numRef>
              <c:extLst>
                <c:ext xmlns:c15="http://schemas.microsoft.com/office/drawing/2012/chart" uri="{02D57815-91ED-43cb-92C2-25804820EDAC}">
                  <c15:fullRef>
                    <c15:sqref>Segments!$G$18:$N$18</c15:sqref>
                  </c15:fullRef>
                </c:ext>
              </c:extLst>
              <c:f>Segments!$I$18:$N$18</c:f>
              <c:numCache>
                <c:formatCode>#,##0</c:formatCode>
                <c:ptCount val="6"/>
                <c:pt idx="0">
                  <c:v>44820</c:v>
                </c:pt>
                <c:pt idx="1">
                  <c:v>50838</c:v>
                </c:pt>
                <c:pt idx="2">
                  <c:v>54649</c:v>
                </c:pt>
                <c:pt idx="3">
                  <c:v>54804.42</c:v>
                </c:pt>
                <c:pt idx="4">
                  <c:v>55742.869200000001</c:v>
                </c:pt>
                <c:pt idx="5">
                  <c:v>57192.1837992</c:v>
                </c:pt>
              </c:numCache>
            </c:numRef>
          </c:val>
          <c:extLst>
            <c:ext xmlns:c16="http://schemas.microsoft.com/office/drawing/2014/chart" uri="{C3380CC4-5D6E-409C-BE32-E72D297353CC}">
              <c16:uniqueId val="{00000002-C708-4444-A702-3371123B3340}"/>
            </c:ext>
          </c:extLst>
        </c:ser>
        <c:dLbls>
          <c:showLegendKey val="0"/>
          <c:showVal val="0"/>
          <c:showCatName val="0"/>
          <c:showSerName val="0"/>
          <c:showPercent val="0"/>
          <c:showBubbleSize val="0"/>
        </c:dLbls>
        <c:gapWidth val="100"/>
        <c:overlap val="100"/>
        <c:axId val="954413135"/>
        <c:axId val="954421295"/>
      </c:barChart>
      <c:catAx>
        <c:axId val="95441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21295"/>
        <c:crosses val="autoZero"/>
        <c:auto val="1"/>
        <c:lblAlgn val="ctr"/>
        <c:lblOffset val="100"/>
        <c:noMultiLvlLbl val="0"/>
      </c:catAx>
      <c:valAx>
        <c:axId val="9544212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13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a:t>
            </a:r>
            <a:r>
              <a:rPr lang="en-US" baseline="0"/>
              <a:t> Expansion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Main!$B$42</c:f>
              <c:strCache>
                <c:ptCount val="1"/>
                <c:pt idx="0">
                  <c:v>EBIT</c:v>
                </c:pt>
              </c:strCache>
            </c:strRef>
          </c:tx>
          <c:spPr>
            <a:solidFill>
              <a:srgbClr val="2196F3"/>
            </a:solidFill>
            <a:ln>
              <a:noFill/>
            </a:ln>
            <a:effectLst/>
          </c:spPr>
          <c:invertIfNegative val="0"/>
          <c:cat>
            <c:numRef>
              <c:f>Main!$E$25:$I$25</c:f>
              <c:numCache>
                <c:formatCode>General</c:formatCode>
                <c:ptCount val="5"/>
                <c:pt idx="0">
                  <c:v>2021</c:v>
                </c:pt>
                <c:pt idx="1">
                  <c:v>2022</c:v>
                </c:pt>
                <c:pt idx="2">
                  <c:v>2023</c:v>
                </c:pt>
                <c:pt idx="3">
                  <c:v>2024</c:v>
                </c:pt>
                <c:pt idx="4">
                  <c:v>2025</c:v>
                </c:pt>
              </c:numCache>
            </c:numRef>
          </c:cat>
          <c:val>
            <c:numRef>
              <c:f>Main!$E$42:$I$42</c:f>
              <c:numCache>
                <c:formatCode>#,##0</c:formatCode>
                <c:ptCount val="5"/>
                <c:pt idx="0">
                  <c:v>69916</c:v>
                </c:pt>
                <c:pt idx="1">
                  <c:v>83383</c:v>
                </c:pt>
                <c:pt idx="2">
                  <c:v>88523</c:v>
                </c:pt>
                <c:pt idx="3">
                  <c:v>109433</c:v>
                </c:pt>
                <c:pt idx="4">
                  <c:v>128528</c:v>
                </c:pt>
              </c:numCache>
            </c:numRef>
          </c:val>
          <c:extLst>
            <c:ext xmlns:c16="http://schemas.microsoft.com/office/drawing/2014/chart" uri="{C3380CC4-5D6E-409C-BE32-E72D297353CC}">
              <c16:uniqueId val="{00000000-256E-44B3-B791-91BB9422B430}"/>
            </c:ext>
          </c:extLst>
        </c:ser>
        <c:dLbls>
          <c:showLegendKey val="0"/>
          <c:showVal val="0"/>
          <c:showCatName val="0"/>
          <c:showSerName val="0"/>
          <c:showPercent val="0"/>
          <c:showBubbleSize val="0"/>
        </c:dLbls>
        <c:gapWidth val="138"/>
        <c:overlap val="100"/>
        <c:axId val="1064493855"/>
        <c:axId val="1064497695"/>
      </c:barChart>
      <c:lineChart>
        <c:grouping val="standard"/>
        <c:varyColors val="0"/>
        <c:ser>
          <c:idx val="1"/>
          <c:order val="1"/>
          <c:tx>
            <c:v>Margin %</c:v>
          </c:tx>
          <c:spPr>
            <a:ln w="31750" cap="rnd">
              <a:solidFill>
                <a:srgbClr val="F44336"/>
              </a:solidFill>
              <a:round/>
            </a:ln>
            <a:effectLst/>
          </c:spPr>
          <c:marker>
            <c:symbol val="none"/>
          </c:marker>
          <c:val>
            <c:numRef>
              <c:f>Main!$E$43:$I$43</c:f>
              <c:numCache>
                <c:formatCode>0.00%</c:formatCode>
                <c:ptCount val="5"/>
                <c:pt idx="0">
                  <c:v>0.41594878872971303</c:v>
                </c:pt>
                <c:pt idx="1">
                  <c:v>0.4205527815604983</c:v>
                </c:pt>
                <c:pt idx="2">
                  <c:v>0.41772880636104098</c:v>
                </c:pt>
                <c:pt idx="3">
                  <c:v>0.44644299573273716</c:v>
                </c:pt>
                <c:pt idx="4">
                  <c:v>0.45621956240859851</c:v>
                </c:pt>
              </c:numCache>
            </c:numRef>
          </c:val>
          <c:smooth val="0"/>
          <c:extLst>
            <c:ext xmlns:c16="http://schemas.microsoft.com/office/drawing/2014/chart" uri="{C3380CC4-5D6E-409C-BE32-E72D297353CC}">
              <c16:uniqueId val="{00000001-256E-44B3-B791-91BB9422B430}"/>
            </c:ext>
          </c:extLst>
        </c:ser>
        <c:dLbls>
          <c:showLegendKey val="0"/>
          <c:showVal val="0"/>
          <c:showCatName val="0"/>
          <c:showSerName val="0"/>
          <c:showPercent val="0"/>
          <c:showBubbleSize val="0"/>
        </c:dLbls>
        <c:marker val="1"/>
        <c:smooth val="0"/>
        <c:axId val="1064495775"/>
        <c:axId val="1064517375"/>
      </c:lineChart>
      <c:catAx>
        <c:axId val="10644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97695"/>
        <c:crosses val="autoZero"/>
        <c:auto val="1"/>
        <c:lblAlgn val="ctr"/>
        <c:lblOffset val="100"/>
        <c:noMultiLvlLbl val="0"/>
      </c:catAx>
      <c:valAx>
        <c:axId val="10644976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93855"/>
        <c:crosses val="autoZero"/>
        <c:crossBetween val="between"/>
      </c:valAx>
      <c:valAx>
        <c:axId val="10645173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495775"/>
        <c:crosses val="max"/>
        <c:crossBetween val="between"/>
      </c:valAx>
      <c:catAx>
        <c:axId val="1064495775"/>
        <c:scaling>
          <c:orientation val="minMax"/>
        </c:scaling>
        <c:delete val="1"/>
        <c:axPos val="b"/>
        <c:numFmt formatCode="General" sourceLinked="1"/>
        <c:majorTickMark val="out"/>
        <c:minorTickMark val="none"/>
        <c:tickLblPos val="nextTo"/>
        <c:crossAx val="10645173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Reinvestment Rate</a:t>
            </a:r>
            <a:endParaRPr lang="en-US"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Extras!$B$4</c:f>
              <c:strCache>
                <c:ptCount val="1"/>
                <c:pt idx="0">
                  <c:v>CapEx</c:v>
                </c:pt>
              </c:strCache>
            </c:strRef>
          </c:tx>
          <c:spPr>
            <a:solidFill>
              <a:srgbClr val="4CAF50"/>
            </a:solidFill>
            <a:ln w="0">
              <a:solidFill>
                <a:srgbClr val="7CBB00"/>
              </a:solidFill>
            </a:ln>
            <a:effectLst/>
          </c:spPr>
          <c:invertIfNegative val="0"/>
          <c:cat>
            <c:strRef>
              <c:f>Extras!$E$2:$L$2</c:f>
              <c:strCache>
                <c:ptCount val="8"/>
                <c:pt idx="0">
                  <c:v>2021</c:v>
                </c:pt>
                <c:pt idx="1">
                  <c:v>2022</c:v>
                </c:pt>
                <c:pt idx="2">
                  <c:v>2023</c:v>
                </c:pt>
                <c:pt idx="3">
                  <c:v>2024</c:v>
                </c:pt>
                <c:pt idx="4">
                  <c:v>2025</c:v>
                </c:pt>
                <c:pt idx="5">
                  <c:v>2026E</c:v>
                </c:pt>
                <c:pt idx="6">
                  <c:v>2027E</c:v>
                </c:pt>
                <c:pt idx="7">
                  <c:v>2028E</c:v>
                </c:pt>
              </c:strCache>
            </c:strRef>
          </c:cat>
          <c:val>
            <c:numRef>
              <c:f>Extras!$E$4:$L$4</c:f>
              <c:numCache>
                <c:formatCode>#,##0</c:formatCode>
                <c:ptCount val="8"/>
                <c:pt idx="0">
                  <c:v>20622</c:v>
                </c:pt>
                <c:pt idx="1">
                  <c:v>23886</c:v>
                </c:pt>
                <c:pt idx="2">
                  <c:v>28107</c:v>
                </c:pt>
                <c:pt idx="3">
                  <c:v>44477</c:v>
                </c:pt>
                <c:pt idx="4">
                  <c:v>64551</c:v>
                </c:pt>
                <c:pt idx="5">
                  <c:v>98328</c:v>
                </c:pt>
                <c:pt idx="6">
                  <c:v>116359</c:v>
                </c:pt>
                <c:pt idx="7">
                  <c:v>124504.13</c:v>
                </c:pt>
              </c:numCache>
            </c:numRef>
          </c:val>
          <c:extLst>
            <c:ext xmlns:c16="http://schemas.microsoft.com/office/drawing/2014/chart" uri="{C3380CC4-5D6E-409C-BE32-E72D297353CC}">
              <c16:uniqueId val="{00000000-0AC4-45A0-AD32-6288FD165060}"/>
            </c:ext>
          </c:extLst>
        </c:ser>
        <c:dLbls>
          <c:showLegendKey val="0"/>
          <c:showVal val="0"/>
          <c:showCatName val="0"/>
          <c:showSerName val="0"/>
          <c:showPercent val="0"/>
          <c:showBubbleSize val="0"/>
        </c:dLbls>
        <c:gapWidth val="100"/>
        <c:axId val="1064536095"/>
        <c:axId val="1064538975"/>
      </c:barChart>
      <c:lineChart>
        <c:grouping val="standard"/>
        <c:varyColors val="0"/>
        <c:ser>
          <c:idx val="1"/>
          <c:order val="1"/>
          <c:tx>
            <c:strRef>
              <c:f>Extras!$B$6</c:f>
              <c:strCache>
                <c:ptCount val="1"/>
                <c:pt idx="0">
                  <c:v>CapEx % of OCF</c:v>
                </c:pt>
              </c:strCache>
            </c:strRef>
          </c:tx>
          <c:spPr>
            <a:ln w="31750" cap="rnd">
              <a:solidFill>
                <a:srgbClr val="F44336"/>
              </a:solidFill>
              <a:round/>
            </a:ln>
            <a:effectLst/>
          </c:spPr>
          <c:marker>
            <c:symbol val="none"/>
          </c:marker>
          <c:cat>
            <c:numRef>
              <c:f>Extras!$E$2:$I$2</c:f>
              <c:numCache>
                <c:formatCode>General</c:formatCode>
                <c:ptCount val="5"/>
                <c:pt idx="0">
                  <c:v>2021</c:v>
                </c:pt>
                <c:pt idx="1">
                  <c:v>2022</c:v>
                </c:pt>
                <c:pt idx="2">
                  <c:v>2023</c:v>
                </c:pt>
                <c:pt idx="3">
                  <c:v>2024</c:v>
                </c:pt>
                <c:pt idx="4">
                  <c:v>2025</c:v>
                </c:pt>
              </c:numCache>
            </c:numRef>
          </c:cat>
          <c:val>
            <c:numRef>
              <c:f>Extras!$E$6:$L$6</c:f>
              <c:numCache>
                <c:formatCode>0%</c:formatCode>
                <c:ptCount val="8"/>
                <c:pt idx="0">
                  <c:v>0.26872556684910087</c:v>
                </c:pt>
                <c:pt idx="1">
                  <c:v>0.26827652046947831</c:v>
                </c:pt>
                <c:pt idx="2">
                  <c:v>0.32092210728231829</c:v>
                </c:pt>
                <c:pt idx="3">
                  <c:v>0.37518136113641731</c:v>
                </c:pt>
                <c:pt idx="4">
                  <c:v>0.47407499889837107</c:v>
                </c:pt>
                <c:pt idx="5">
                  <c:v>0.56642860904191272</c:v>
                </c:pt>
                <c:pt idx="6">
                  <c:v>0.58397455750146632</c:v>
                </c:pt>
                <c:pt idx="7">
                  <c:v>0.54389350910507983</c:v>
                </c:pt>
              </c:numCache>
            </c:numRef>
          </c:val>
          <c:smooth val="0"/>
          <c:extLst>
            <c:ext xmlns:c16="http://schemas.microsoft.com/office/drawing/2014/chart" uri="{C3380CC4-5D6E-409C-BE32-E72D297353CC}">
              <c16:uniqueId val="{00000001-0AC4-45A0-AD32-6288FD165060}"/>
            </c:ext>
          </c:extLst>
        </c:ser>
        <c:dLbls>
          <c:showLegendKey val="0"/>
          <c:showVal val="0"/>
          <c:showCatName val="0"/>
          <c:showSerName val="0"/>
          <c:showPercent val="0"/>
          <c:showBubbleSize val="0"/>
        </c:dLbls>
        <c:marker val="1"/>
        <c:smooth val="0"/>
        <c:axId val="954422735"/>
        <c:axId val="954433775"/>
      </c:lineChart>
      <c:catAx>
        <c:axId val="106453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538975"/>
        <c:crosses val="autoZero"/>
        <c:auto val="1"/>
        <c:lblAlgn val="ctr"/>
        <c:lblOffset val="100"/>
        <c:noMultiLvlLbl val="0"/>
      </c:catAx>
      <c:valAx>
        <c:axId val="106453897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536095"/>
        <c:crosses val="autoZero"/>
        <c:crossBetween val="between"/>
      </c:valAx>
      <c:valAx>
        <c:axId val="954433775"/>
        <c:scaling>
          <c:orientation val="minMax"/>
          <c:min val="0.2"/>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422735"/>
        <c:crosses val="max"/>
        <c:crossBetween val="between"/>
        <c:majorUnit val="5.000000000000001E-2"/>
      </c:valAx>
      <c:catAx>
        <c:axId val="954422735"/>
        <c:scaling>
          <c:orientation val="minMax"/>
        </c:scaling>
        <c:delete val="1"/>
        <c:axPos val="b"/>
        <c:numFmt formatCode="General" sourceLinked="1"/>
        <c:majorTickMark val="out"/>
        <c:minorTickMark val="none"/>
        <c:tickLblPos val="nextTo"/>
        <c:crossAx val="9544337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Recurring</a:t>
            </a:r>
            <a:r>
              <a:rPr lang="en-US" baseline="0"/>
              <a: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Segments!$B$53</c:f>
              <c:strCache>
                <c:ptCount val="1"/>
                <c:pt idx="0">
                  <c:v>Recurring Revenue</c:v>
                </c:pt>
              </c:strCache>
            </c:strRef>
          </c:tx>
          <c:spPr>
            <a:solidFill>
              <a:srgbClr val="2196F3"/>
            </a:solidFill>
            <a:ln>
              <a:noFill/>
            </a:ln>
            <a:effectLst/>
          </c:spPr>
          <c:invertIfNegative val="0"/>
          <c:cat>
            <c:strRef>
              <c:f>Segments!$L$46:$N$46</c:f>
              <c:strCache>
                <c:ptCount val="3"/>
                <c:pt idx="0">
                  <c:v>2026E</c:v>
                </c:pt>
                <c:pt idx="1">
                  <c:v>2027E</c:v>
                </c:pt>
                <c:pt idx="2">
                  <c:v>2028E</c:v>
                </c:pt>
              </c:strCache>
            </c:strRef>
          </c:cat>
          <c:val>
            <c:numRef>
              <c:f>Segments!$L$53:$N$53</c:f>
              <c:numCache>
                <c:formatCode>#,##0</c:formatCode>
                <c:ptCount val="3"/>
                <c:pt idx="0">
                  <c:v>246916.66724399998</c:v>
                </c:pt>
                <c:pt idx="1">
                  <c:v>288318.04866456002</c:v>
                </c:pt>
                <c:pt idx="2">
                  <c:v>336441.9198143133</c:v>
                </c:pt>
              </c:numCache>
            </c:numRef>
          </c:val>
          <c:extLst>
            <c:ext xmlns:c16="http://schemas.microsoft.com/office/drawing/2014/chart" uri="{C3380CC4-5D6E-409C-BE32-E72D297353CC}">
              <c16:uniqueId val="{00000000-04BE-4596-8F6C-EEC00E8841A8}"/>
            </c:ext>
          </c:extLst>
        </c:ser>
        <c:ser>
          <c:idx val="1"/>
          <c:order val="1"/>
          <c:tx>
            <c:strRef>
              <c:f>Segments!$B$54</c:f>
              <c:strCache>
                <c:ptCount val="1"/>
                <c:pt idx="0">
                  <c:v>Non Recurring Revenue</c:v>
                </c:pt>
              </c:strCache>
            </c:strRef>
          </c:tx>
          <c:spPr>
            <a:solidFill>
              <a:srgbClr val="FFC000"/>
            </a:solidFill>
            <a:ln>
              <a:noFill/>
            </a:ln>
            <a:effectLst/>
          </c:spPr>
          <c:invertIfNegative val="0"/>
          <c:cat>
            <c:strRef>
              <c:f>Segments!$L$46:$N$46</c:f>
              <c:strCache>
                <c:ptCount val="3"/>
                <c:pt idx="0">
                  <c:v>2026E</c:v>
                </c:pt>
                <c:pt idx="1">
                  <c:v>2027E</c:v>
                </c:pt>
                <c:pt idx="2">
                  <c:v>2028E</c:v>
                </c:pt>
              </c:strCache>
            </c:strRef>
          </c:cat>
          <c:val>
            <c:numRef>
              <c:f>Segments!$L$54:$N$54</c:f>
              <c:numCache>
                <c:formatCode>#,##0</c:formatCode>
                <c:ptCount val="3"/>
                <c:pt idx="0">
                  <c:v>79433.672755999985</c:v>
                </c:pt>
                <c:pt idx="1">
                  <c:v>89160.412535440002</c:v>
                </c:pt>
                <c:pt idx="2">
                  <c:v>101405.45110488671</c:v>
                </c:pt>
              </c:numCache>
            </c:numRef>
          </c:val>
          <c:extLst>
            <c:ext xmlns:c16="http://schemas.microsoft.com/office/drawing/2014/chart" uri="{C3380CC4-5D6E-409C-BE32-E72D297353CC}">
              <c16:uniqueId val="{00000001-04BE-4596-8F6C-EEC00E8841A8}"/>
            </c:ext>
          </c:extLst>
        </c:ser>
        <c:dLbls>
          <c:showLegendKey val="0"/>
          <c:showVal val="0"/>
          <c:showCatName val="0"/>
          <c:showSerName val="0"/>
          <c:showPercent val="0"/>
          <c:showBubbleSize val="0"/>
        </c:dLbls>
        <c:gapWidth val="200"/>
        <c:overlap val="100"/>
        <c:axId val="947785231"/>
        <c:axId val="947760271"/>
      </c:barChart>
      <c:lineChart>
        <c:grouping val="standard"/>
        <c:varyColors val="0"/>
        <c:ser>
          <c:idx val="2"/>
          <c:order val="2"/>
          <c:tx>
            <c:strRef>
              <c:f>Segments!$B$55</c:f>
              <c:strCache>
                <c:ptCount val="1"/>
                <c:pt idx="0">
                  <c:v>Recurring % of Revenue</c:v>
                </c:pt>
              </c:strCache>
            </c:strRef>
          </c:tx>
          <c:spPr>
            <a:ln w="31750" cap="rnd">
              <a:solidFill>
                <a:srgbClr val="F44336"/>
              </a:solidFill>
              <a:round/>
            </a:ln>
            <a:effectLst/>
          </c:spPr>
          <c:marker>
            <c:symbol val="none"/>
          </c:marker>
          <c:cat>
            <c:strRef>
              <c:f>Segments!$L$46:$N$46</c:f>
              <c:strCache>
                <c:ptCount val="3"/>
                <c:pt idx="0">
                  <c:v>2026E</c:v>
                </c:pt>
                <c:pt idx="1">
                  <c:v>2027E</c:v>
                </c:pt>
                <c:pt idx="2">
                  <c:v>2028E</c:v>
                </c:pt>
              </c:strCache>
            </c:strRef>
          </c:cat>
          <c:val>
            <c:numRef>
              <c:f>Segments!$L$55:$N$55</c:f>
              <c:numCache>
                <c:formatCode>0.00%</c:formatCode>
                <c:ptCount val="3"/>
                <c:pt idx="0">
                  <c:v>0.75660000000000005</c:v>
                </c:pt>
                <c:pt idx="1">
                  <c:v>0.76380000000000003</c:v>
                </c:pt>
                <c:pt idx="2">
                  <c:v>0.76839999999999997</c:v>
                </c:pt>
              </c:numCache>
            </c:numRef>
          </c:val>
          <c:smooth val="0"/>
          <c:extLst>
            <c:ext xmlns:c16="http://schemas.microsoft.com/office/drawing/2014/chart" uri="{C3380CC4-5D6E-409C-BE32-E72D297353CC}">
              <c16:uniqueId val="{00000002-04BE-4596-8F6C-EEC00E8841A8}"/>
            </c:ext>
          </c:extLst>
        </c:ser>
        <c:dLbls>
          <c:showLegendKey val="0"/>
          <c:showVal val="0"/>
          <c:showCatName val="0"/>
          <c:showSerName val="0"/>
          <c:showPercent val="0"/>
          <c:showBubbleSize val="0"/>
        </c:dLbls>
        <c:marker val="1"/>
        <c:smooth val="0"/>
        <c:axId val="1162285055"/>
        <c:axId val="1162294175"/>
      </c:lineChart>
      <c:catAx>
        <c:axId val="94778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60271"/>
        <c:crosses val="autoZero"/>
        <c:auto val="1"/>
        <c:lblAlgn val="ctr"/>
        <c:lblOffset val="100"/>
        <c:noMultiLvlLbl val="0"/>
      </c:catAx>
      <c:valAx>
        <c:axId val="9477602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7785231"/>
        <c:crosses val="autoZero"/>
        <c:crossBetween val="between"/>
      </c:valAx>
      <c:valAx>
        <c:axId val="116229417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285055"/>
        <c:crosses val="max"/>
        <c:crossBetween val="between"/>
      </c:valAx>
      <c:catAx>
        <c:axId val="1162285055"/>
        <c:scaling>
          <c:orientation val="minMax"/>
        </c:scaling>
        <c:delete val="1"/>
        <c:axPos val="b"/>
        <c:numFmt formatCode="General" sourceLinked="1"/>
        <c:majorTickMark val="out"/>
        <c:minorTickMark val="none"/>
        <c:tickLblPos val="nextTo"/>
        <c:crossAx val="116229417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107950" cap="rnd">
            <a:solidFill>
              <a:schemeClr val="accent1"/>
            </a:solidFill>
          </a:ln>
          <a:effectLst/>
        </c:spPr>
      </c:pivotFmt>
      <c:pivotFmt>
        <c:idx val="25"/>
        <c:spPr>
          <a:solidFill>
            <a:schemeClr val="accent1"/>
          </a:solidFill>
          <a:ln w="107950" cap="rnd">
            <a:solidFill>
              <a:schemeClr val="accent1"/>
            </a:solidFill>
          </a:ln>
          <a:effectLst/>
        </c:spPr>
      </c:pivotFmt>
      <c:pivotFmt>
        <c:idx val="26"/>
        <c:spPr>
          <a:ln w="107950" cap="sq">
            <a:solidFill>
              <a:schemeClr val="accent1"/>
            </a:solidFill>
          </a:ln>
        </c:spPr>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spPr>
          <a:ln w="107950" cap="sq">
            <a:solidFill>
              <a:schemeClr val="accent1"/>
            </a:solidFill>
          </a:ln>
        </c:spPr>
        <c:marker>
          <c:symbol val="none"/>
        </c:marker>
        <c:dLbl>
          <c:idx val="0"/>
          <c:delete val="1"/>
          <c:extLst>
            <c:ext xmlns:c15="http://schemas.microsoft.com/office/drawing/2012/chart" uri="{CE6537A1-D6FC-4f65-9D91-7224C49458BB}"/>
          </c:extLst>
        </c:dLbl>
      </c:pivotFmt>
      <c:pivotFmt>
        <c:idx val="29"/>
        <c:spPr>
          <a:solidFill>
            <a:srgbClr val="002060"/>
          </a:solidFill>
          <a:ln w="107950" cap="sq">
            <a:solidFill>
              <a:srgbClr val="002060"/>
            </a:solidFill>
          </a:ln>
        </c:spPr>
        <c:marker>
          <c:symbol val="none"/>
        </c:marker>
        <c:dLbl>
          <c:idx val="0"/>
          <c:numFmt formatCode="#,##0" sourceLinked="0"/>
          <c:spPr>
            <a:noFill/>
            <a:ln>
              <a:noFill/>
            </a:ln>
            <a:effectLst/>
          </c:spPr>
          <c:txPr>
            <a:bodyPr wrap="square" lIns="38100" tIns="19050" rIns="38100" bIns="19050" anchor="ctr">
              <a:spAutoFit/>
            </a:bodyPr>
            <a:lstStyle/>
            <a:p>
              <a:pPr>
                <a:defRPr sz="1000">
                  <a:ln w="6350" cap="sq">
                    <a:noFill/>
                  </a:ln>
                  <a:solidFill>
                    <a:schemeClr val="tx1">
                      <a:lumMod val="95000"/>
                      <a:lumOff val="5000"/>
                    </a:schemeClr>
                  </a:solidFill>
                  <a:effectLst>
                    <a:outerShdw blurRad="50800" dist="50800" dir="5400000" sx="1000" sy="1000" algn="ctr" rotWithShape="0">
                      <a:srgbClr val="000000">
                        <a:alpha val="43137"/>
                      </a:srgbClr>
                    </a:outerShd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spPr>
          <a:solidFill>
            <a:srgbClr val="002060"/>
          </a:solidFill>
          <a:ln w="107950" cap="rnd">
            <a:solidFill>
              <a:srgbClr val="002060"/>
            </a:solidFill>
          </a:ln>
        </c:spPr>
      </c:pivotFmt>
    </c:pivotFmts>
    <c:plotArea>
      <c:layout/>
      <c:barChart>
        <c:barDir val="col"/>
        <c:grouping val="clustered"/>
        <c:varyColors val="0"/>
        <c:ser>
          <c:idx val="0"/>
          <c:order val="0"/>
          <c:tx>
            <c:strRef>
              <c:f>Data!$J$17</c:f>
              <c:strCache>
                <c:ptCount val="1"/>
                <c:pt idx="0">
                  <c:v>CapEx</c:v>
                </c:pt>
              </c:strCache>
            </c:strRef>
          </c:tx>
          <c:spPr>
            <a:solidFill>
              <a:srgbClr val="002060"/>
            </a:solidFill>
            <a:ln w="107950" cap="rnd">
              <a:solidFill>
                <a:srgbClr val="002060"/>
              </a:solidFill>
            </a:ln>
          </c:spPr>
          <c:invertIfNegative val="0"/>
          <c:cat>
            <c:numRef>
              <c:f>Data!$I$6:$I$15</c:f>
              <c:numCache>
                <c:formatCode>General</c:formatCode>
                <c:ptCount val="10"/>
              </c:numCache>
            </c:numRef>
          </c:cat>
          <c:val>
            <c:numRef>
              <c:f>Data!$J$18:$J$27</c:f>
              <c:numCache>
                <c:formatCode>#,##0</c:formatCode>
                <c:ptCount val="10"/>
                <c:pt idx="0">
                  <c:v>20622</c:v>
                </c:pt>
                <c:pt idx="1">
                  <c:v>23886</c:v>
                </c:pt>
                <c:pt idx="2">
                  <c:v>28107</c:v>
                </c:pt>
                <c:pt idx="3">
                  <c:v>44477</c:v>
                </c:pt>
                <c:pt idx="4">
                  <c:v>64551</c:v>
                </c:pt>
                <c:pt idx="5">
                  <c:v>98328</c:v>
                </c:pt>
                <c:pt idx="6">
                  <c:v>116359</c:v>
                </c:pt>
                <c:pt idx="7">
                  <c:v>124504.13</c:v>
                </c:pt>
                <c:pt idx="8">
                  <c:v>120769.01</c:v>
                </c:pt>
                <c:pt idx="9">
                  <c:v>118353.63</c:v>
                </c:pt>
              </c:numCache>
            </c:numRef>
          </c:val>
          <c:extLst>
            <c:ext xmlns:c16="http://schemas.microsoft.com/office/drawing/2014/chart" uri="{C3380CC4-5D6E-409C-BE32-E72D297353CC}">
              <c16:uniqueId val="{00000000-3FB8-4E5B-9A2D-F2C57DD49711}"/>
            </c:ext>
          </c:extLst>
        </c:ser>
        <c:dLbls>
          <c:showLegendKey val="0"/>
          <c:showVal val="0"/>
          <c:showCatName val="0"/>
          <c:showSerName val="0"/>
          <c:showPercent val="0"/>
          <c:showBubbleSize val="0"/>
        </c:dLbls>
        <c:gapWidth val="45"/>
        <c:overlap val="-27"/>
        <c:axId val="1031700671"/>
        <c:axId val="1031701151"/>
      </c:barChart>
      <c:catAx>
        <c:axId val="1031700671"/>
        <c:scaling>
          <c:orientation val="minMax"/>
        </c:scaling>
        <c:delete val="0"/>
        <c:axPos val="b"/>
        <c:numFmt formatCode="General" sourceLinked="1"/>
        <c:majorTickMark val="none"/>
        <c:minorTickMark val="none"/>
        <c:tickLblPos val="nextTo"/>
        <c:spPr>
          <a:solidFill>
            <a:schemeClr val="bg1">
              <a:lumMod val="75000"/>
              <a:alpha val="0"/>
            </a:schemeClr>
          </a:solidFill>
          <a:ln w="31750" cap="flat" cmpd="sng" algn="ctr">
            <a:solidFill>
              <a:schemeClr val="bg1">
                <a:lumMod val="75000"/>
              </a:schemeClr>
            </a:solidFill>
            <a:round/>
          </a:ln>
          <a:effectLst/>
        </c:spPr>
        <c:txPr>
          <a:bodyPr rot="0" spcFirstLastPara="1" vertOverflow="ellipsis" vert="horz" wrap="square" anchor="t" anchorCtr="0"/>
          <a:lstStyle/>
          <a:p>
            <a:pPr>
              <a:defRPr sz="2000" b="0" i="0" u="none" strike="noStrike" kern="1200" baseline="0">
                <a:solidFill>
                  <a:schemeClr val="accent3">
                    <a:lumMod val="50000"/>
                  </a:schemeClr>
                </a:solidFill>
                <a:latin typeface="+mn-lt"/>
                <a:ea typeface="+mn-ea"/>
                <a:cs typeface="+mn-cs"/>
              </a:defRPr>
            </a:pPr>
            <a:endParaRPr lang="en-US"/>
          </a:p>
        </c:txPr>
        <c:crossAx val="1031701151"/>
        <c:crosses val="autoZero"/>
        <c:auto val="1"/>
        <c:lblAlgn val="ctr"/>
        <c:lblOffset val="100"/>
        <c:noMultiLvlLbl val="0"/>
      </c:catAx>
      <c:valAx>
        <c:axId val="1031701151"/>
        <c:scaling>
          <c:orientation val="minMax"/>
        </c:scaling>
        <c:delete val="0"/>
        <c:axPos val="l"/>
        <c:majorGridlines>
          <c:spPr>
            <a:ln w="6350" cap="flat" cmpd="sng" algn="ctr">
              <a:solidFill>
                <a:schemeClr val="accent3"/>
              </a:solidFill>
              <a:prstDash val="solid"/>
              <a:round/>
              <a:headEnd type="none"/>
            </a:ln>
            <a:effectLst/>
          </c:spPr>
        </c:majorGridlines>
        <c:numFmt formatCode="#,##0" sourceLinked="0"/>
        <c:majorTickMark val="in"/>
        <c:minorTickMark val="none"/>
        <c:tickLblPos val="nextTo"/>
        <c:spPr>
          <a:noFill/>
          <a:ln w="28575">
            <a:solidFill>
              <a:schemeClr val="bg1">
                <a:lumMod val="75000"/>
              </a:schemeClr>
            </a:solidFill>
          </a:ln>
          <a:effectLst/>
        </c:spPr>
        <c:txPr>
          <a:bodyPr rot="0" spcFirstLastPara="1" vertOverflow="ellipsis" vert="horz" wrap="square" anchor="ctr" anchorCtr="0"/>
          <a:lstStyle/>
          <a:p>
            <a:pPr>
              <a:defRPr sz="1400" b="0"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crossAx val="1031700671"/>
        <c:crosses val="autoZero"/>
        <c:crossBetween val="between"/>
      </c:valAx>
      <c:spPr>
        <a:solidFill>
          <a:srgbClr val="FDFDFD"/>
        </a:solidFill>
        <a:ln>
          <a:solidFill>
            <a:srgbClr val="FDFDFD"/>
          </a:solidFill>
        </a:ln>
      </c:spPr>
    </c:plotArea>
    <c:legend>
      <c:legendPos val="t"/>
      <c:overlay val="0"/>
      <c:txPr>
        <a:bodyPr/>
        <a:lstStyle/>
        <a:p>
          <a:pPr>
            <a:defRPr sz="1200"/>
          </a:pPr>
          <a:endParaRPr lang="en-US"/>
        </a:p>
      </c:txPr>
    </c:legend>
    <c:plotVisOnly val="1"/>
    <c:dispBlanksAs val="gap"/>
    <c:showDLblsOverMax val="0"/>
    <c:extLst/>
  </c:chart>
  <c:spPr>
    <a:solidFill>
      <a:srgbClr val="FDFDFD"/>
    </a:solidFill>
    <a:ln w="107950" cap="rnd">
      <a:solidFill>
        <a:schemeClr val="bg1"/>
      </a:solidFill>
    </a:ln>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w="107950" cap="rnd">
            <a:solidFill>
              <a:schemeClr val="accent1"/>
            </a:solid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w="107950" cap="rnd">
            <a:solidFill>
              <a:schemeClr val="accent1"/>
            </a:solidFill>
          </a:ln>
          <a:effectLst/>
        </c:spPr>
      </c:pivotFmt>
      <c:pivotFmt>
        <c:idx val="25"/>
        <c:spPr>
          <a:solidFill>
            <a:schemeClr val="accent1"/>
          </a:solidFill>
          <a:ln w="107950" cap="rnd">
            <a:solidFill>
              <a:schemeClr val="accent1"/>
            </a:solidFill>
          </a:ln>
          <a:effectLst/>
        </c:spPr>
      </c:pivotFmt>
      <c:pivotFmt>
        <c:idx val="26"/>
        <c:spPr>
          <a:ln w="107950" cap="sq">
            <a:solidFill>
              <a:schemeClr val="accent1"/>
            </a:solidFill>
          </a:ln>
        </c:spPr>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spPr>
          <a:ln w="107950" cap="sq">
            <a:solidFill>
              <a:schemeClr val="accent1"/>
            </a:solidFill>
          </a:ln>
        </c:spPr>
        <c:marker>
          <c:symbol val="none"/>
        </c:marker>
        <c:dLbl>
          <c:idx val="0"/>
          <c:delete val="1"/>
          <c:extLst>
            <c:ext xmlns:c15="http://schemas.microsoft.com/office/drawing/2012/chart" uri="{CE6537A1-D6FC-4f65-9D91-7224C49458BB}"/>
          </c:extLst>
        </c:dLbl>
      </c:pivotFmt>
      <c:pivotFmt>
        <c:idx val="29"/>
        <c:spPr>
          <a:solidFill>
            <a:srgbClr val="002060"/>
          </a:solidFill>
          <a:ln w="107950" cap="sq">
            <a:solidFill>
              <a:srgbClr val="002060"/>
            </a:solidFill>
          </a:ln>
        </c:spPr>
        <c:marker>
          <c:symbol val="none"/>
        </c:marker>
        <c:dLbl>
          <c:idx val="0"/>
          <c:numFmt formatCode="#,##0" sourceLinked="0"/>
          <c:spPr>
            <a:noFill/>
            <a:ln>
              <a:noFill/>
            </a:ln>
            <a:effectLst/>
          </c:spPr>
          <c:txPr>
            <a:bodyPr wrap="square" lIns="38100" tIns="19050" rIns="38100" bIns="19050" anchor="ctr">
              <a:spAutoFit/>
            </a:bodyPr>
            <a:lstStyle/>
            <a:p>
              <a:pPr>
                <a:defRPr sz="1000">
                  <a:ln w="6350" cap="sq">
                    <a:noFill/>
                  </a:ln>
                  <a:solidFill>
                    <a:schemeClr val="tx1">
                      <a:lumMod val="95000"/>
                      <a:lumOff val="5000"/>
                    </a:schemeClr>
                  </a:solidFill>
                  <a:effectLst>
                    <a:outerShdw blurRad="50800" dist="50800" dir="5400000" sx="1000" sy="1000" algn="ctr" rotWithShape="0">
                      <a:srgbClr val="000000">
                        <a:alpha val="43137"/>
                      </a:srgbClr>
                    </a:outerShdw>
                  </a:effectLst>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
        <c:idx val="33"/>
        <c:marker>
          <c:symbol val="none"/>
        </c:marker>
        <c:dLbl>
          <c:idx val="0"/>
          <c:delete val="1"/>
          <c:extLst>
            <c:ext xmlns:c15="http://schemas.microsoft.com/office/drawing/2012/chart" uri="{CE6537A1-D6FC-4f65-9D91-7224C49458BB}"/>
          </c:extLst>
        </c:dLbl>
      </c:pivotFmt>
      <c:pivotFmt>
        <c:idx val="34"/>
        <c:marker>
          <c:symbol val="none"/>
        </c:marker>
        <c:dLbl>
          <c:idx val="0"/>
          <c:delete val="1"/>
          <c:extLst>
            <c:ext xmlns:c15="http://schemas.microsoft.com/office/drawing/2012/chart" uri="{CE6537A1-D6FC-4f65-9D91-7224C49458BB}"/>
          </c:extLst>
        </c:dLbl>
      </c:pivotFmt>
      <c:pivotFmt>
        <c:idx val="35"/>
        <c:marker>
          <c:symbol val="none"/>
        </c:marker>
        <c:dLbl>
          <c:idx val="0"/>
          <c:delete val="1"/>
          <c:extLst>
            <c:ext xmlns:c15="http://schemas.microsoft.com/office/drawing/2012/chart" uri="{CE6537A1-D6FC-4f65-9D91-7224C49458BB}"/>
          </c:extLst>
        </c:dLbl>
      </c:pivotFmt>
      <c:pivotFmt>
        <c:idx val="36"/>
        <c:marker>
          <c:symbol val="none"/>
        </c:marker>
        <c:dLbl>
          <c:idx val="0"/>
          <c:delete val="1"/>
          <c:extLst>
            <c:ext xmlns:c15="http://schemas.microsoft.com/office/drawing/2012/chart" uri="{CE6537A1-D6FC-4f65-9D91-7224C49458BB}"/>
          </c:extLst>
        </c:dLbl>
      </c:pivotFmt>
      <c:pivotFmt>
        <c:idx val="37"/>
        <c:marker>
          <c:symbol val="none"/>
        </c:marker>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spPr>
          <a:solidFill>
            <a:srgbClr val="002060"/>
          </a:solidFill>
          <a:ln w="107950" cap="rnd">
            <a:solidFill>
              <a:srgbClr val="002060"/>
            </a:solidFill>
          </a:ln>
        </c:spPr>
      </c:pivotFmt>
      <c:pivotFmt>
        <c:idx val="40"/>
        <c:spPr>
          <a:solidFill>
            <a:srgbClr val="002060"/>
          </a:solidFill>
          <a:ln w="107950" cap="rnd">
            <a:solidFill>
              <a:srgbClr val="002060"/>
            </a:solidFill>
          </a:ln>
        </c:spPr>
        <c:marker>
          <c:symbol val="none"/>
        </c:marker>
        <c:dLbl>
          <c:idx val="0"/>
          <c:delete val="1"/>
          <c:extLst>
            <c:ext xmlns:c15="http://schemas.microsoft.com/office/drawing/2012/chart" uri="{CE6537A1-D6FC-4f65-9D91-7224C49458BB}"/>
          </c:extLst>
        </c:dLbl>
      </c:pivotFmt>
      <c:pivotFmt>
        <c:idx val="41"/>
        <c:spPr>
          <a:ln w="38100" cap="rnd">
            <a:solidFill>
              <a:srgbClr val="D4AF37"/>
            </a:solidFill>
            <a:prstDash val="sysDash"/>
            <a:round/>
          </a:ln>
        </c:spPr>
        <c:marker>
          <c:symbol val="none"/>
        </c:marker>
        <c:dLbl>
          <c:idx val="0"/>
          <c:spPr>
            <a:noFill/>
            <a:ln w="0">
              <a:noFill/>
            </a:ln>
            <a:effectLst/>
          </c:spPr>
          <c:txPr>
            <a:bodyPr wrap="square" lIns="38100" tIns="45720" rIns="38100" bIns="19050" anchor="ctr">
              <a:spAutoFit/>
            </a:bodyPr>
            <a:lstStyle/>
            <a:p>
              <a:pPr>
                <a:defRPr sz="1200">
                  <a:ln w="0" cap="sq">
                    <a:noFill/>
                  </a:ln>
                  <a:solidFill>
                    <a:srgbClr val="D1AA2D"/>
                  </a:solidFill>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2"/>
      </c:pivotFmt>
    </c:pivotFmts>
    <c:plotArea>
      <c:layout/>
      <c:barChart>
        <c:barDir val="col"/>
        <c:grouping val="clustered"/>
        <c:varyColors val="0"/>
        <c:ser>
          <c:idx val="0"/>
          <c:order val="0"/>
          <c:tx>
            <c:strRef>
              <c:f>Data!$J$17</c:f>
              <c:strCache>
                <c:ptCount val="1"/>
                <c:pt idx="0">
                  <c:v>CapEx</c:v>
                </c:pt>
              </c:strCache>
            </c:strRef>
          </c:tx>
          <c:spPr>
            <a:solidFill>
              <a:srgbClr val="002060"/>
            </a:solidFill>
            <a:ln w="107950" cap="rnd">
              <a:solidFill>
                <a:srgbClr val="002060"/>
              </a:solidFill>
            </a:ln>
          </c:spPr>
          <c:invertIfNegative val="0"/>
          <c:cat>
            <c:strRef>
              <c:f>Data!$I$18:$I$27</c:f>
              <c:strCache>
                <c:ptCount val="10"/>
                <c:pt idx="0">
                  <c:v>2021</c:v>
                </c:pt>
                <c:pt idx="1">
                  <c:v>2022</c:v>
                </c:pt>
                <c:pt idx="2">
                  <c:v>2023</c:v>
                </c:pt>
                <c:pt idx="3">
                  <c:v>2024</c:v>
                </c:pt>
                <c:pt idx="4">
                  <c:v>2025</c:v>
                </c:pt>
                <c:pt idx="5">
                  <c:v>2026E</c:v>
                </c:pt>
                <c:pt idx="6">
                  <c:v>2027E</c:v>
                </c:pt>
                <c:pt idx="7">
                  <c:v>2028E</c:v>
                </c:pt>
                <c:pt idx="8">
                  <c:v>2029E</c:v>
                </c:pt>
                <c:pt idx="9">
                  <c:v>2030E</c:v>
                </c:pt>
              </c:strCache>
            </c:strRef>
          </c:cat>
          <c:val>
            <c:numRef>
              <c:f>Data!$J$18:$J$27</c:f>
              <c:numCache>
                <c:formatCode>#,##0</c:formatCode>
                <c:ptCount val="10"/>
                <c:pt idx="0">
                  <c:v>20622</c:v>
                </c:pt>
                <c:pt idx="1">
                  <c:v>23886</c:v>
                </c:pt>
                <c:pt idx="2">
                  <c:v>28107</c:v>
                </c:pt>
                <c:pt idx="3">
                  <c:v>44477</c:v>
                </c:pt>
                <c:pt idx="4">
                  <c:v>64551</c:v>
                </c:pt>
                <c:pt idx="5">
                  <c:v>98328</c:v>
                </c:pt>
                <c:pt idx="6">
                  <c:v>116359</c:v>
                </c:pt>
                <c:pt idx="7">
                  <c:v>124504.13</c:v>
                </c:pt>
                <c:pt idx="8">
                  <c:v>120769.01</c:v>
                </c:pt>
                <c:pt idx="9">
                  <c:v>118353.63</c:v>
                </c:pt>
              </c:numCache>
            </c:numRef>
          </c:val>
          <c:extLst>
            <c:ext xmlns:c16="http://schemas.microsoft.com/office/drawing/2014/chart" uri="{C3380CC4-5D6E-409C-BE32-E72D297353CC}">
              <c16:uniqueId val="{00000000-3FB8-4E5B-9A2D-F2C57DD49711}"/>
            </c:ext>
          </c:extLst>
        </c:ser>
        <c:dLbls>
          <c:showLegendKey val="0"/>
          <c:showVal val="0"/>
          <c:showCatName val="0"/>
          <c:showSerName val="0"/>
          <c:showPercent val="0"/>
          <c:showBubbleSize val="0"/>
        </c:dLbls>
        <c:gapWidth val="45"/>
        <c:axId val="1031700671"/>
        <c:axId val="1031701151"/>
      </c:barChart>
      <c:lineChart>
        <c:grouping val="standard"/>
        <c:varyColors val="0"/>
        <c:ser>
          <c:idx val="1"/>
          <c:order val="1"/>
          <c:tx>
            <c:strRef>
              <c:f>Data!$K$17</c:f>
              <c:strCache>
                <c:ptCount val="1"/>
                <c:pt idx="0">
                  <c:v>CapEx % of Sales</c:v>
                </c:pt>
              </c:strCache>
            </c:strRef>
          </c:tx>
          <c:spPr>
            <a:ln w="38100" cap="rnd">
              <a:solidFill>
                <a:srgbClr val="D4AF37"/>
              </a:solidFill>
              <a:prstDash val="sysDash"/>
              <a:round/>
            </a:ln>
          </c:spPr>
          <c:marker>
            <c:symbol val="none"/>
          </c:marker>
          <c:dLbls>
            <c:spPr>
              <a:noFill/>
              <a:ln w="0">
                <a:noFill/>
              </a:ln>
              <a:effectLst/>
            </c:spPr>
            <c:txPr>
              <a:bodyPr wrap="square" lIns="38100" tIns="45720" rIns="38100" bIns="19050" anchor="ctr">
                <a:spAutoFit/>
              </a:bodyPr>
              <a:lstStyle/>
              <a:p>
                <a:pPr>
                  <a:defRPr sz="1200">
                    <a:ln w="0" cap="sq">
                      <a:solidFill>
                        <a:srgbClr val="D1AA2D"/>
                      </a:solidFill>
                    </a:ln>
                    <a:solidFill>
                      <a:srgbClr val="D1AA2D"/>
                    </a:solidFill>
                    <a:effectLst/>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ext>
            </c:extLst>
          </c:dLbls>
          <c:cat>
            <c:numRef>
              <c:f>Data!$I$6:$I$15</c:f>
              <c:numCache>
                <c:formatCode>General</c:formatCode>
                <c:ptCount val="10"/>
              </c:numCache>
            </c:numRef>
          </c:cat>
          <c:val>
            <c:numRef>
              <c:f>Data!$K$18:$K$27</c:f>
              <c:numCache>
                <c:formatCode>0.00%</c:formatCode>
                <c:ptCount val="10"/>
                <c:pt idx="0">
                  <c:v>0.1227</c:v>
                </c:pt>
                <c:pt idx="1">
                  <c:v>0.1205</c:v>
                </c:pt>
                <c:pt idx="2">
                  <c:v>0.1326</c:v>
                </c:pt>
                <c:pt idx="3">
                  <c:v>0.18140000000000001</c:v>
                </c:pt>
                <c:pt idx="4">
                  <c:v>0.2291</c:v>
                </c:pt>
                <c:pt idx="5">
                  <c:v>0.30130000000000001</c:v>
                </c:pt>
                <c:pt idx="6">
                  <c:v>0.30830000000000002</c:v>
                </c:pt>
                <c:pt idx="7">
                  <c:v>0.28439999999999999</c:v>
                </c:pt>
                <c:pt idx="8">
                  <c:v>0.23880000000000001</c:v>
                </c:pt>
                <c:pt idx="9">
                  <c:v>0.2044</c:v>
                </c:pt>
              </c:numCache>
            </c:numRef>
          </c:val>
          <c:smooth val="1"/>
          <c:extLst>
            <c:ext xmlns:c16="http://schemas.microsoft.com/office/drawing/2014/chart" uri="{C3380CC4-5D6E-409C-BE32-E72D297353CC}">
              <c16:uniqueId val="{00000002-3FB8-4E5B-9A2D-F2C57DD49711}"/>
            </c:ext>
          </c:extLst>
        </c:ser>
        <c:dLbls>
          <c:showLegendKey val="0"/>
          <c:showVal val="0"/>
          <c:showCatName val="0"/>
          <c:showSerName val="0"/>
          <c:showPercent val="0"/>
          <c:showBubbleSize val="0"/>
        </c:dLbls>
        <c:marker val="1"/>
        <c:smooth val="0"/>
        <c:axId val="1995206815"/>
        <c:axId val="1995204415"/>
      </c:lineChart>
      <c:catAx>
        <c:axId val="1031700671"/>
        <c:scaling>
          <c:orientation val="minMax"/>
        </c:scaling>
        <c:delete val="0"/>
        <c:axPos val="b"/>
        <c:numFmt formatCode="General" sourceLinked="1"/>
        <c:majorTickMark val="none"/>
        <c:minorTickMark val="none"/>
        <c:tickLblPos val="nextTo"/>
        <c:spPr>
          <a:solidFill>
            <a:schemeClr val="bg1">
              <a:lumMod val="75000"/>
              <a:alpha val="0"/>
            </a:schemeClr>
          </a:solidFill>
          <a:ln w="31750" cap="flat" cmpd="sng" algn="ctr">
            <a:solidFill>
              <a:schemeClr val="bg1">
                <a:lumMod val="75000"/>
              </a:schemeClr>
            </a:solidFill>
            <a:round/>
          </a:ln>
          <a:effectLst/>
        </c:spPr>
        <c:txPr>
          <a:bodyPr rot="0" spcFirstLastPara="1" vertOverflow="ellipsis" vert="horz" wrap="square" anchor="t" anchorCtr="0"/>
          <a:lstStyle/>
          <a:p>
            <a:pPr>
              <a:defRPr sz="2000" b="0" i="0" u="none" strike="noStrike" kern="1200" baseline="0">
                <a:solidFill>
                  <a:schemeClr val="accent3">
                    <a:lumMod val="50000"/>
                  </a:schemeClr>
                </a:solidFill>
                <a:latin typeface="+mn-lt"/>
                <a:ea typeface="+mn-ea"/>
                <a:cs typeface="+mn-cs"/>
              </a:defRPr>
            </a:pPr>
            <a:endParaRPr lang="en-US"/>
          </a:p>
        </c:txPr>
        <c:crossAx val="1031701151"/>
        <c:crosses val="autoZero"/>
        <c:auto val="1"/>
        <c:lblAlgn val="ctr"/>
        <c:lblOffset val="100"/>
        <c:noMultiLvlLbl val="0"/>
      </c:catAx>
      <c:valAx>
        <c:axId val="1031701151"/>
        <c:scaling>
          <c:orientation val="minMax"/>
        </c:scaling>
        <c:delete val="0"/>
        <c:axPos val="l"/>
        <c:majorGridlines>
          <c:spPr>
            <a:ln w="6350" cap="flat" cmpd="sng" algn="ctr">
              <a:solidFill>
                <a:schemeClr val="accent3"/>
              </a:solidFill>
              <a:prstDash val="solid"/>
              <a:round/>
              <a:headEnd type="none"/>
            </a:ln>
            <a:effectLst/>
          </c:spPr>
        </c:majorGridlines>
        <c:numFmt formatCode="#,##0" sourceLinked="0"/>
        <c:majorTickMark val="in"/>
        <c:minorTickMark val="none"/>
        <c:tickLblPos val="nextTo"/>
        <c:spPr>
          <a:noFill/>
          <a:ln w="28575">
            <a:solidFill>
              <a:schemeClr val="bg1">
                <a:lumMod val="75000"/>
              </a:schemeClr>
            </a:solidFill>
          </a:ln>
          <a:effectLst/>
        </c:spPr>
        <c:txPr>
          <a:bodyPr rot="0" spcFirstLastPara="1" vertOverflow="ellipsis" vert="horz" wrap="square" anchor="ctr" anchorCtr="0"/>
          <a:lstStyle/>
          <a:p>
            <a:pPr>
              <a:defRPr sz="1400" b="0"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crossAx val="1031700671"/>
        <c:crosses val="autoZero"/>
        <c:crossBetween val="between"/>
      </c:valAx>
      <c:valAx>
        <c:axId val="1995204415"/>
        <c:scaling>
          <c:orientation val="minMax"/>
        </c:scaling>
        <c:delete val="0"/>
        <c:axPos val="r"/>
        <c:numFmt formatCode="0.00%" sourceLinked="1"/>
        <c:majorTickMark val="none"/>
        <c:minorTickMark val="none"/>
        <c:tickLblPos val="none"/>
        <c:spPr>
          <a:noFill/>
          <a:ln w="0">
            <a:noFill/>
          </a:ln>
        </c:spPr>
        <c:crossAx val="1995206815"/>
        <c:crosses val="max"/>
        <c:crossBetween val="between"/>
      </c:valAx>
      <c:catAx>
        <c:axId val="1995206815"/>
        <c:scaling>
          <c:orientation val="minMax"/>
        </c:scaling>
        <c:delete val="1"/>
        <c:axPos val="b"/>
        <c:numFmt formatCode="General" sourceLinked="1"/>
        <c:majorTickMark val="out"/>
        <c:minorTickMark val="none"/>
        <c:tickLblPos val="nextTo"/>
        <c:crossAx val="1995204415"/>
        <c:crosses val="autoZero"/>
        <c:auto val="1"/>
        <c:lblAlgn val="ctr"/>
        <c:lblOffset val="100"/>
        <c:noMultiLvlLbl val="0"/>
      </c:catAx>
      <c:spPr>
        <a:solidFill>
          <a:srgbClr val="FDFDFD"/>
        </a:solidFill>
        <a:ln>
          <a:solidFill>
            <a:srgbClr val="FDFDFD"/>
          </a:solidFill>
        </a:ln>
      </c:spPr>
    </c:plotArea>
    <c:legend>
      <c:legendPos val="t"/>
      <c:overlay val="0"/>
      <c:txPr>
        <a:bodyPr/>
        <a:lstStyle/>
        <a:p>
          <a:pPr>
            <a:defRPr sz="1200"/>
          </a:pPr>
          <a:endParaRPr lang="en-US"/>
        </a:p>
      </c:txPr>
    </c:legend>
    <c:plotVisOnly val="1"/>
    <c:dispBlanksAs val="gap"/>
    <c:showDLblsOverMax val="0"/>
    <c:extLst/>
  </c:chart>
  <c:spPr>
    <a:solidFill>
      <a:srgbClr val="FDFDFD"/>
    </a:solidFill>
    <a:ln w="107950" cap="rnd">
      <a:solidFill>
        <a:schemeClr val="bg1"/>
      </a:solidFill>
    </a:ln>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2</xdr:col>
      <xdr:colOff>304800</xdr:colOff>
      <xdr:row>2</xdr:row>
      <xdr:rowOff>121920</xdr:rowOff>
    </xdr:to>
    <xdr:sp macro="" textlink="">
      <xdr:nvSpPr>
        <xdr:cNvPr id="1025" name="AutoShape 1" descr="Microsoft Logo Icon Vector, Microsoft, Azure, Word PNG and Vector with  Transparent Background for Free Download">
          <a:extLst>
            <a:ext uri="{FF2B5EF4-FFF2-40B4-BE49-F238E27FC236}">
              <a16:creationId xmlns:a16="http://schemas.microsoft.com/office/drawing/2014/main" id="{5FC3D2D1-38EB-BCCB-8044-D022D4FC59F3}"/>
            </a:ext>
          </a:extLst>
        </xdr:cNvPr>
        <xdr:cNvSpPr>
          <a:spLocks noChangeAspect="1" noChangeArrowheads="1"/>
        </xdr:cNvSpPr>
      </xdr:nvSpPr>
      <xdr:spPr bwMode="auto">
        <a:xfrm>
          <a:off x="132588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1</xdr:row>
      <xdr:rowOff>0</xdr:rowOff>
    </xdr:from>
    <xdr:to>
      <xdr:col>1</xdr:col>
      <xdr:colOff>304800</xdr:colOff>
      <xdr:row>2</xdr:row>
      <xdr:rowOff>121920</xdr:rowOff>
    </xdr:to>
    <xdr:sp macro="" textlink="">
      <xdr:nvSpPr>
        <xdr:cNvPr id="1026" name="AutoShape 2" descr="Microsoft Logo Icon Vector, Microsoft, Azure, Word PNG and Vector with  Transparent Background for Free Download">
          <a:extLst>
            <a:ext uri="{FF2B5EF4-FFF2-40B4-BE49-F238E27FC236}">
              <a16:creationId xmlns:a16="http://schemas.microsoft.com/office/drawing/2014/main" id="{118B2431-ACF5-B23A-F620-D5FB9A0F0379}"/>
            </a:ext>
          </a:extLst>
        </xdr:cNvPr>
        <xdr:cNvSpPr>
          <a:spLocks noChangeAspect="1" noChangeArrowheads="1"/>
        </xdr:cNvSpPr>
      </xdr:nvSpPr>
      <xdr:spPr bwMode="auto">
        <a:xfrm>
          <a:off x="662940" y="1828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19</xdr:col>
      <xdr:colOff>0</xdr:colOff>
      <xdr:row>27</xdr:row>
      <xdr:rowOff>0</xdr:rowOff>
    </xdr:from>
    <xdr:to>
      <xdr:col>19</xdr:col>
      <xdr:colOff>304800</xdr:colOff>
      <xdr:row>28</xdr:row>
      <xdr:rowOff>121920</xdr:rowOff>
    </xdr:to>
    <xdr:sp macro="" textlink="">
      <xdr:nvSpPr>
        <xdr:cNvPr id="1028" name="AutoShape 4" descr="Microsoft Logo PNG Vector (EPS) Free Download">
          <a:extLst>
            <a:ext uri="{FF2B5EF4-FFF2-40B4-BE49-F238E27FC236}">
              <a16:creationId xmlns:a16="http://schemas.microsoft.com/office/drawing/2014/main" id="{ABBD38CA-2D10-A584-BCE7-0C6FD0BE426D}"/>
            </a:ext>
          </a:extLst>
        </xdr:cNvPr>
        <xdr:cNvSpPr>
          <a:spLocks noChangeAspect="1" noChangeArrowheads="1"/>
        </xdr:cNvSpPr>
      </xdr:nvSpPr>
      <xdr:spPr bwMode="auto">
        <a:xfrm>
          <a:off x="12900660" y="43891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7620</xdr:colOff>
      <xdr:row>0</xdr:row>
      <xdr:rowOff>114301</xdr:rowOff>
    </xdr:from>
    <xdr:to>
      <xdr:col>3</xdr:col>
      <xdr:colOff>252597</xdr:colOff>
      <xdr:row>2</xdr:row>
      <xdr:rowOff>83821</xdr:rowOff>
    </xdr:to>
    <xdr:pic>
      <xdr:nvPicPr>
        <xdr:cNvPr id="5" name="Picture 4">
          <a:extLst>
            <a:ext uri="{FF2B5EF4-FFF2-40B4-BE49-F238E27FC236}">
              <a16:creationId xmlns:a16="http://schemas.microsoft.com/office/drawing/2014/main" id="{4A9BD48D-51CA-451F-B9C0-5BF3341366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0560" y="114301"/>
          <a:ext cx="1570857" cy="335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389793</xdr:colOff>
      <xdr:row>25</xdr:row>
      <xdr:rowOff>4102</xdr:rowOff>
    </xdr:from>
    <xdr:to>
      <xdr:col>21</xdr:col>
      <xdr:colOff>325316</xdr:colOff>
      <xdr:row>40</xdr:row>
      <xdr:rowOff>181121</xdr:rowOff>
    </xdr:to>
    <xdr:graphicFrame macro="">
      <xdr:nvGraphicFramePr>
        <xdr:cNvPr id="2" name="Chart 1">
          <a:extLst>
            <a:ext uri="{FF2B5EF4-FFF2-40B4-BE49-F238E27FC236}">
              <a16:creationId xmlns:a16="http://schemas.microsoft.com/office/drawing/2014/main" id="{BC4FA98D-FF64-46AF-B7FF-0123822B4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392430</xdr:colOff>
      <xdr:row>41</xdr:row>
      <xdr:rowOff>179070</xdr:rowOff>
    </xdr:from>
    <xdr:to>
      <xdr:col>21</xdr:col>
      <xdr:colOff>323850</xdr:colOff>
      <xdr:row>58</xdr:row>
      <xdr:rowOff>156210</xdr:rowOff>
    </xdr:to>
    <xdr:graphicFrame macro="">
      <xdr:nvGraphicFramePr>
        <xdr:cNvPr id="4" name="Chart 3">
          <a:extLst>
            <a:ext uri="{FF2B5EF4-FFF2-40B4-BE49-F238E27FC236}">
              <a16:creationId xmlns:a16="http://schemas.microsoft.com/office/drawing/2014/main" id="{A5CE1530-5173-E52F-EB46-193A90332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365760</xdr:colOff>
      <xdr:row>60</xdr:row>
      <xdr:rowOff>15240</xdr:rowOff>
    </xdr:from>
    <xdr:to>
      <xdr:col>21</xdr:col>
      <xdr:colOff>297180</xdr:colOff>
      <xdr:row>75</xdr:row>
      <xdr:rowOff>15240</xdr:rowOff>
    </xdr:to>
    <xdr:graphicFrame macro="">
      <xdr:nvGraphicFramePr>
        <xdr:cNvPr id="6" name="Chart 5">
          <a:extLst>
            <a:ext uri="{FF2B5EF4-FFF2-40B4-BE49-F238E27FC236}">
              <a16:creationId xmlns:a16="http://schemas.microsoft.com/office/drawing/2014/main" id="{DEE4AEB8-893F-4B60-BF1C-ABB816274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381000</xdr:colOff>
      <xdr:row>75</xdr:row>
      <xdr:rowOff>144780</xdr:rowOff>
    </xdr:from>
    <xdr:to>
      <xdr:col>21</xdr:col>
      <xdr:colOff>297180</xdr:colOff>
      <xdr:row>90</xdr:row>
      <xdr:rowOff>144780</xdr:rowOff>
    </xdr:to>
    <xdr:graphicFrame macro="">
      <xdr:nvGraphicFramePr>
        <xdr:cNvPr id="3" name="Chart 2">
          <a:extLst>
            <a:ext uri="{FF2B5EF4-FFF2-40B4-BE49-F238E27FC236}">
              <a16:creationId xmlns:a16="http://schemas.microsoft.com/office/drawing/2014/main" id="{EFF13502-0089-4E48-9460-C9CD63167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0.40013</cdr:x>
      <cdr:y>0.33</cdr:y>
    </cdr:from>
    <cdr:to>
      <cdr:x>0.59987</cdr:x>
      <cdr:y>0.67</cdr:y>
    </cdr:to>
    <cdr:sp macro="" textlink="">
      <cdr:nvSpPr>
        <cdr:cNvPr id="2" name="TextBox 1">
          <a:extLst xmlns:a="http://schemas.openxmlformats.org/drawingml/2006/main">
            <a:ext uri="{FF2B5EF4-FFF2-40B4-BE49-F238E27FC236}">
              <a16:creationId xmlns:a16="http://schemas.microsoft.com/office/drawing/2014/main" id="{C09C6AD5-1610-4B5E-7640-7DDB54B0DA38}"/>
            </a:ext>
          </a:extLst>
        </cdr:cNvPr>
        <cdr:cNvSpPr txBox="1"/>
      </cdr:nvSpPr>
      <cdr:spPr>
        <a:xfrm xmlns:a="http://schemas.openxmlformats.org/drawingml/2006/main">
          <a:off x="1831713" y="88750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7</xdr:col>
      <xdr:colOff>295835</xdr:colOff>
      <xdr:row>4</xdr:row>
      <xdr:rowOff>35859</xdr:rowOff>
    </xdr:from>
    <xdr:to>
      <xdr:col>26</xdr:col>
      <xdr:colOff>573562</xdr:colOff>
      <xdr:row>38</xdr:row>
      <xdr:rowOff>23667</xdr:rowOff>
    </xdr:to>
    <xdr:graphicFrame macro="">
      <xdr:nvGraphicFramePr>
        <xdr:cNvPr id="8" name="Chart 1">
          <a:extLst>
            <a:ext uri="{FF2B5EF4-FFF2-40B4-BE49-F238E27FC236}">
              <a16:creationId xmlns:a16="http://schemas.microsoft.com/office/drawing/2014/main" id="{0E53DCE7-4AB5-4A62-A6AC-04E7EB8310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215154</xdr:colOff>
      <xdr:row>4</xdr:row>
      <xdr:rowOff>35859</xdr:rowOff>
    </xdr:from>
    <xdr:to>
      <xdr:col>26</xdr:col>
      <xdr:colOff>492881</xdr:colOff>
      <xdr:row>38</xdr:row>
      <xdr:rowOff>23667</xdr:rowOff>
    </xdr:to>
    <xdr:graphicFrame macro="">
      <xdr:nvGraphicFramePr>
        <xdr:cNvPr id="7" name="Chart 2">
          <a:extLst>
            <a:ext uri="{FF2B5EF4-FFF2-40B4-BE49-F238E27FC236}">
              <a16:creationId xmlns:a16="http://schemas.microsoft.com/office/drawing/2014/main" id="{D18D5B2D-A762-4185-A92A-9E37311CC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632460</xdr:colOff>
      <xdr:row>7</xdr:row>
      <xdr:rowOff>7621</xdr:rowOff>
    </xdr:from>
    <xdr:to>
      <xdr:col>7</xdr:col>
      <xdr:colOff>8964</xdr:colOff>
      <xdr:row>20</xdr:row>
      <xdr:rowOff>107577</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187B00D3-D491-FD7E-BB9B-9236E6E61C0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73580" y="1394460"/>
              <a:ext cx="2080260" cy="28270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7</xdr:row>
      <xdr:rowOff>15240</xdr:rowOff>
    </xdr:from>
    <xdr:to>
      <xdr:col>3</xdr:col>
      <xdr:colOff>624840</xdr:colOff>
      <xdr:row>20</xdr:row>
      <xdr:rowOff>107576</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27ACBE6-FCB1-F4DA-2669-70B04E2E5BC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1402080"/>
              <a:ext cx="1965960" cy="2796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35859</xdr:colOff>
      <xdr:row>20</xdr:row>
      <xdr:rowOff>154642</xdr:rowOff>
    </xdr:from>
    <xdr:to>
      <xdr:col>6</xdr:col>
      <xdr:colOff>636494</xdr:colOff>
      <xdr:row>37</xdr:row>
      <xdr:rowOff>71719</xdr:rowOff>
    </xdr:to>
    <mc:AlternateContent xmlns:mc="http://schemas.openxmlformats.org/markup-compatibility/2006" xmlns:a14="http://schemas.microsoft.com/office/drawing/2010/main">
      <mc:Choice Requires="a14">
        <xdr:graphicFrame macro="">
          <xdr:nvGraphicFramePr>
            <xdr:cNvPr id="4" name="Metric">
              <a:extLst>
                <a:ext uri="{FF2B5EF4-FFF2-40B4-BE49-F238E27FC236}">
                  <a16:creationId xmlns:a16="http://schemas.microsoft.com/office/drawing/2014/main" id="{258B531F-AA76-D0D9-34F8-DB4D45406EFD}"/>
                </a:ext>
              </a:extLst>
            </xdr:cNvPr>
            <xdr:cNvGraphicFramePr/>
          </xdr:nvGraphicFramePr>
          <xdr:xfrm>
            <a:off x="0" y="0"/>
            <a:ext cx="0" cy="0"/>
          </xdr:xfrm>
          <a:graphic>
            <a:graphicData uri="http://schemas.microsoft.com/office/drawing/2010/slicer">
              <sle:slicer xmlns:sle="http://schemas.microsoft.com/office/drawing/2010/slicer" name="Metric"/>
            </a:graphicData>
          </a:graphic>
        </xdr:graphicFrame>
      </mc:Choice>
      <mc:Fallback xmlns="">
        <xdr:sp macro="" textlink="">
          <xdr:nvSpPr>
            <xdr:cNvPr id="0" name=""/>
            <xdr:cNvSpPr>
              <a:spLocks noTextEdit="1"/>
            </xdr:cNvSpPr>
          </xdr:nvSpPr>
          <xdr:spPr>
            <a:xfrm>
              <a:off x="313765" y="4099113"/>
              <a:ext cx="3962400" cy="32698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xdr:from>
          <xdr:col>1</xdr:col>
          <xdr:colOff>7620</xdr:colOff>
          <xdr:row>0</xdr:row>
          <xdr:rowOff>68580</xdr:rowOff>
        </xdr:from>
        <xdr:to>
          <xdr:col>6</xdr:col>
          <xdr:colOff>624840</xdr:colOff>
          <xdr:row>3</xdr:row>
          <xdr:rowOff>190500</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200" b="0" i="0" u="none" strike="noStrike" baseline="0">
                  <a:solidFill>
                    <a:srgbClr val="000000"/>
                  </a:solidFill>
                  <a:latin typeface="Calibri"/>
                  <a:cs typeface="Calibri"/>
                </a:rPr>
                <a:t>Change Chart</a:t>
              </a:r>
            </a:p>
          </xdr:txBody>
        </xdr:sp>
        <xdr:clientData fPrintsWithSheet="0"/>
      </xdr:twoCellAnchor>
    </mc:Choice>
    <mc:Fallback/>
  </mc:AlternateContent>
</xdr:wsDr>
</file>

<file path=xl/persons/person.xml><?xml version="1.0" encoding="utf-8"?>
<personList xmlns="http://schemas.microsoft.com/office/spreadsheetml/2018/threadedcomments" xmlns:x="http://schemas.openxmlformats.org/spreadsheetml/2006/main">
  <person displayName="Kerem Odabasi" id="{F4B24668-1B18-43C7-A98C-6E4C7C705157}" userId="fe4885f5b5840770"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rem Odabasi" refreshedDate="46055.983614004632" createdVersion="8" refreshedVersion="8" minRefreshableVersion="3" recordCount="432" xr:uid="{12375EDE-0F6C-49B6-90CA-0C12C7263DAC}">
  <cacheSource type="worksheet">
    <worksheetSource name="Table2_1"/>
  </cacheSource>
  <cacheFields count="4">
    <cacheField name="Metric" numFmtId="0">
      <sharedItems count="51">
        <s v="Stock Price"/>
        <s v="Shares Outstanding"/>
        <s v="Market Cap"/>
        <s v="Cash"/>
        <s v="Debt"/>
        <s v="Enterprise Value"/>
        <s v="Revenue"/>
        <s v="COGS"/>
        <s v="Gross Income"/>
        <s v="SG&amp;A"/>
        <s v="R&amp;D"/>
        <s v="EBIT"/>
        <s v="Taxes"/>
        <s v="D&amp;A"/>
        <s v="CapEx"/>
        <s v="Changes in NWC"/>
        <s v="EBIAT"/>
        <s v="Stock Based Compensation"/>
        <s v="Free Cash Flow"/>
        <s v="Productivity and Business Processes"/>
        <s v="Intelligent Cloud"/>
        <s v="More Personal Computing"/>
        <s v="Productivity and Business Processes - Operating Income"/>
        <s v="Intelligent Cloud - Operating Income"/>
        <s v="More Personal Computing - Operating Income"/>
        <s v="Total Operating Income"/>
        <s v="United States Revenue"/>
        <s v="Other Countries Revenue"/>
        <s v="Billings"/>
        <s v="Total Commercial RPO"/>
        <s v="Azure Revenue YoY Growth %"/>
        <s v="Capex Including Finance Leases"/>
        <s v="Revenue % Growth"/>
        <s v="COGS % of Sales"/>
        <s v="Gross Income % of Sales"/>
        <s v="SG&amp;A % of Sales"/>
        <s v="R&amp;D % of Sales"/>
        <s v="EBIT % of Sales"/>
        <s v="D&amp;A % of Sales"/>
        <s v="CapEx % of Sales"/>
        <s v="Changes in NWC % of Sales"/>
        <s v="Free Cash Flow % of Sales"/>
        <s v="Stock Based Compensation % of Sales"/>
        <s v="Productivity and Business Processes % Growth"/>
        <s v="Intelligent Cloud % Growth"/>
        <s v="More Personal Computing % Growth"/>
        <s v="Productivity and Business Processes - Op Margin"/>
        <s v="Intelligent Cloud - Op Margin"/>
        <s v="More Personal Computing - Op Margin"/>
        <s v="United States Revenue % Growth"/>
        <s v="Other Countries Revenue % Growth"/>
      </sharedItems>
    </cacheField>
    <cacheField name="Category" numFmtId="0">
      <sharedItems count="8">
        <s v="Key Statistics"/>
        <s v="Income Statement"/>
        <s v="Cash Flow"/>
        <s v="DCF"/>
        <s v="Product Segments"/>
        <s v="Operating Income by Segment"/>
        <s v="Revenue by Country"/>
        <s v="Industry Metrics"/>
      </sharedItems>
    </cacheField>
    <cacheField name="Year" numFmtId="0">
      <sharedItems count="10">
        <s v="2021"/>
        <s v="2022"/>
        <s v="2023"/>
        <s v="2024"/>
        <s v="2025"/>
        <s v="2026E"/>
        <s v="2027E"/>
        <s v="2028E"/>
        <s v="2029E"/>
        <s v="2030E"/>
      </sharedItems>
    </cacheField>
    <cacheField name="Value" numFmtId="0">
      <sharedItems containsSemiMixedTypes="0" containsString="0" containsNumber="1" minValue="-5350" maxValue="5355813.3899999997" count="403">
        <n v="270.89999999999998"/>
        <n v="256.83"/>
        <n v="350.54"/>
        <n v="446.95"/>
        <n v="497.41"/>
        <n v="661.41"/>
        <n v="718.54"/>
        <n v="7608"/>
        <n v="7540"/>
        <n v="7472"/>
        <n v="7469"/>
        <n v="7466"/>
        <n v="7450"/>
        <n v="2061007.2"/>
        <n v="1936498.2"/>
        <n v="2619234.88"/>
        <n v="3338269.55"/>
        <n v="3713663.06"/>
        <n v="4927486.18"/>
        <n v="5353102.3899999997"/>
        <n v="130256"/>
        <n v="104749"/>
        <n v="111256"/>
        <n v="75543"/>
        <n v="94565"/>
        <n v="102012"/>
        <n v="71463"/>
        <n v="72363"/>
        <n v="70588"/>
        <n v="89674"/>
        <n v="100589"/>
        <n v="104723"/>
        <n v="2002214.2"/>
        <n v="1904112.2"/>
        <n v="2578566.88"/>
        <n v="3352400.55"/>
        <n v="3719687.06"/>
        <n v="4930197.18"/>
        <n v="5355813.3899999997"/>
        <n v="168088"/>
        <n v="198270"/>
        <n v="211915"/>
        <n v="245122"/>
        <n v="281724"/>
        <n v="326350.34000000003"/>
        <n v="377478.46"/>
        <n v="437847.37"/>
        <n v="505713.71"/>
        <n v="579042.19999999995"/>
        <n v="52232"/>
        <n v="62650"/>
        <n v="65863"/>
        <n v="74114"/>
        <n v="87831"/>
        <n v="104432.11"/>
        <n v="120793.11"/>
        <n v="140111.16"/>
        <n v="161828.39000000001"/>
        <n v="185293.5"/>
        <n v="115856"/>
        <n v="135620"/>
        <n v="146052"/>
        <n v="171008"/>
        <n v="193893"/>
        <n v="221918.23"/>
        <n v="256685.35"/>
        <n v="297736.21000000002"/>
        <n v="343885.33"/>
        <n v="393748.7"/>
        <n v="25224"/>
        <n v="27725"/>
        <n v="30334"/>
        <n v="32065"/>
        <n v="32877"/>
        <n v="39162.04"/>
        <n v="41522.629999999997"/>
        <n v="45973.97"/>
        <n v="53099.94"/>
        <n v="60799.43"/>
        <n v="20716"/>
        <n v="24512"/>
        <n v="27195"/>
        <n v="29510"/>
        <n v="32488"/>
        <n v="35572.19"/>
        <n v="39823.980000000003"/>
        <n v="45536.13"/>
        <n v="50571.37"/>
        <n v="57904.22"/>
        <n v="69916"/>
        <n v="83383"/>
        <n v="88523"/>
        <n v="109433"/>
        <n v="128528"/>
        <n v="147184"/>
        <n v="175338.75"/>
        <n v="206226.11"/>
        <n v="240214.01"/>
        <n v="275045.05"/>
        <n v="9831"/>
        <n v="10978"/>
        <n v="16950"/>
        <n v="19651"/>
        <n v="21795"/>
        <n v="27229.040000000001"/>
        <n v="32437.67"/>
        <n v="39182.959999999999"/>
        <n v="48042.8"/>
        <n v="57759.46"/>
        <n v="11686"/>
        <n v="14460"/>
        <n v="13861"/>
        <n v="22287"/>
        <n v="34153"/>
        <n v="47295.77"/>
        <n v="54921.45"/>
        <n v="59575.23"/>
        <n v="57787.97"/>
        <n v="56632.21"/>
        <n v="20622"/>
        <n v="23886"/>
        <n v="28107"/>
        <n v="44477"/>
        <n v="64551"/>
        <n v="98328"/>
        <n v="116359"/>
        <n v="124504.13"/>
        <n v="120769.01"/>
        <n v="118353.63"/>
        <n v="-940"/>
        <n v="450"/>
        <n v="-2390"/>
        <n v="1820"/>
        <n v="-5350"/>
        <n v="-1958.1"/>
        <n v="-1509.91"/>
        <n v="-875.69"/>
        <n v="-1011.43"/>
        <n v="579.04"/>
        <n v="60085"/>
        <n v="72405"/>
        <n v="71573"/>
        <n v="89782"/>
        <n v="106733"/>
        <n v="119954.96"/>
        <n v="142901.07999999999"/>
        <n v="167043.15"/>
        <n v="192171.21"/>
        <n v="217285.59"/>
        <n v="6118"/>
        <n v="7502"/>
        <n v="9611"/>
        <n v="10734"/>
        <n v="11974"/>
        <n v="12401.31"/>
        <n v="14344.18"/>
        <n v="16638.2"/>
        <n v="19217.12"/>
        <n v="22003.599999999999"/>
        <n v="56120"/>
        <n v="65150"/>
        <n v="59480"/>
        <n v="74070"/>
        <n v="71610"/>
        <n v="83282.149999999994"/>
        <n v="97317.62"/>
        <n v="119628.14"/>
        <n v="149418.72"/>
        <n v="176988.73"/>
        <n v="53915"/>
        <n v="63364"/>
        <n v="94151"/>
        <n v="106820"/>
        <n v="120810"/>
        <n v="136756.92000000001"/>
        <n v="153673.59"/>
        <n v="170577.69"/>
        <n v="60080"/>
        <n v="74965"/>
        <n v="72944"/>
        <n v="87464"/>
        <n v="106265"/>
        <n v="134789"/>
        <n v="168062"/>
        <n v="210077.5"/>
        <n v="54093"/>
        <n v="59941"/>
        <n v="44820"/>
        <n v="50838"/>
        <n v="54649"/>
        <n v="54804.42"/>
        <n v="55742.87"/>
        <n v="57192.18"/>
        <n v="24351"/>
        <n v="29690"/>
        <n v="50074"/>
        <n v="59661"/>
        <n v="69773"/>
        <n v="78744.63"/>
        <n v="85365.68"/>
        <n v="98935.06"/>
        <n v="26126"/>
        <n v="33203"/>
        <n v="28411"/>
        <n v="37813"/>
        <n v="44589"/>
        <n v="58633.22"/>
        <n v="75501.850000000006"/>
        <n v="93904.639999999999"/>
        <n v="19439"/>
        <n v="20490"/>
        <n v="10038"/>
        <n v="11959"/>
        <n v="14166"/>
        <n v="14375.2"/>
        <n v="14660.37"/>
        <n v="15155.93"/>
        <n v="151753.04999999999"/>
        <n v="175527.91"/>
        <n v="207995.63"/>
        <n v="83953"/>
        <n v="100218"/>
        <n v="106744"/>
        <n v="124704"/>
        <n v="144546"/>
        <n v="84135"/>
        <n v="98052"/>
        <n v="105171"/>
        <n v="120518"/>
        <n v="137178"/>
        <n v="173049"/>
        <n v="202537"/>
        <n v="217320"/>
        <n v="268695"/>
        <n v="288805"/>
        <n v="333705"/>
        <n v="141000"/>
        <n v="189000"/>
        <n v="224000"/>
        <n v="269000"/>
        <n v="368000"/>
        <n v="392000"/>
        <n v="0.498"/>
        <n v="0.45"/>
        <n v="0.28999999999999998"/>
        <n v="0.3"/>
        <n v="0.34200000000000003"/>
        <n v="0.38"/>
        <n v="0.34300000000000003"/>
        <n v="0.28100000000000003"/>
        <n v="31900"/>
        <n v="55700"/>
        <n v="88200"/>
        <n v="142884"/>
        <n v="159458.54"/>
        <n v="166634.18"/>
        <n v="0.17530000000000001"/>
        <n v="0.17960000000000001"/>
        <n v="6.88E-2"/>
        <n v="0.15670000000000001"/>
        <n v="0.14929999999999999"/>
        <n v="0.15840000000000001"/>
        <n v="0.15989999999999999"/>
        <n v="0.155"/>
        <n v="0.14499999999999999"/>
        <n v="0.31069999999999998"/>
        <n v="0.316"/>
        <n v="0.31080000000000002"/>
        <n v="0.3024"/>
        <n v="0.31180000000000002"/>
        <n v="0.32"/>
        <n v="0.68930000000000002"/>
        <n v="0.68400000000000005"/>
        <n v="0.68920000000000003"/>
        <n v="0.6976"/>
        <n v="0.68820000000000003"/>
        <n v="0.68"/>
        <n v="0.15010000000000001"/>
        <n v="0.13980000000000001"/>
        <n v="0.1431"/>
        <n v="0.1308"/>
        <n v="0.1167"/>
        <n v="0.12"/>
        <n v="0.11"/>
        <n v="0.105"/>
        <n v="0.1232"/>
        <n v="0.1236"/>
        <n v="0.1283"/>
        <n v="0.12039999999999999"/>
        <n v="0.1153"/>
        <n v="0.109"/>
        <n v="0.1055"/>
        <n v="0.104"/>
        <n v="0.1"/>
        <n v="0.41589999999999999"/>
        <n v="0.42059999999999997"/>
        <n v="0.41770000000000002"/>
        <n v="0.44640000000000002"/>
        <n v="0.45619999999999999"/>
        <n v="0.45100000000000001"/>
        <n v="0.46450000000000002"/>
        <n v="0.47099999999999997"/>
        <n v="0.47499999999999998"/>
        <n v="6.9500000000000006E-2"/>
        <n v="7.2900000000000006E-2"/>
        <n v="6.54E-2"/>
        <n v="9.0899999999999995E-2"/>
        <n v="0.1212"/>
        <n v="0.1449"/>
        <n v="0.14549999999999999"/>
        <n v="0.1361"/>
        <n v="0.1143"/>
        <n v="9.7799999999999998E-2"/>
        <n v="0.1227"/>
        <n v="0.1205"/>
        <n v="0.1326"/>
        <n v="0.18140000000000001"/>
        <n v="0.2291"/>
        <n v="0.30130000000000001"/>
        <n v="0.30830000000000002"/>
        <n v="0.28439999999999999"/>
        <n v="0.23880000000000001"/>
        <n v="0.2044"/>
        <n v="-5.5999999999999999E-3"/>
        <n v="2.3E-3"/>
        <n v="-1.1299999999999999E-2"/>
        <n v="7.4000000000000003E-3"/>
        <n v="-1.9E-2"/>
        <n v="-6.0000000000000001E-3"/>
        <n v="-4.0000000000000001E-3"/>
        <n v="-2E-3"/>
        <n v="1E-3"/>
        <n v="0.33389999999999997"/>
        <n v="0.3286"/>
        <n v="0.28070000000000001"/>
        <n v="0.30220000000000002"/>
        <n v="0.25419999999999998"/>
        <n v="0.25519999999999998"/>
        <n v="0.25779999999999997"/>
        <n v="0.2732"/>
        <n v="0.29549999999999998"/>
        <n v="0.30570000000000003"/>
        <n v="3.6400000000000002E-2"/>
        <n v="3.78E-2"/>
        <n v="4.5400000000000003E-2"/>
        <n v="4.3799999999999999E-2"/>
        <n v="4.2500000000000003E-2"/>
        <n v="3.7999999999999999E-2"/>
        <n v="0.16200000000000001"/>
        <n v="0.4859"/>
        <n v="0.1346"/>
        <n v="0.13100000000000001"/>
        <n v="0.13200000000000001"/>
        <n v="0.1237"/>
        <n v="0.16209999999999999"/>
        <n v="0.24779999999999999"/>
        <n v="-2.7E-2"/>
        <n v="0.1991"/>
        <n v="0.215"/>
        <n v="0.26840000000000003"/>
        <n v="0.24690000000000001"/>
        <n v="0.25"/>
        <n v="0.1211"/>
        <n v="0.1081"/>
        <n v="-0.25230000000000002"/>
        <n v="0.1343"/>
        <n v="7.4999999999999997E-2"/>
        <n v="2.8E-3"/>
        <n v="1.7100000000000001E-2"/>
        <n v="2.5999999999999999E-2"/>
        <n v="0.45169999999999999"/>
        <n v="0.46860000000000002"/>
        <n v="0.53180000000000005"/>
        <n v="0.5585"/>
        <n v="0.57750000000000001"/>
        <n v="0.57579999999999998"/>
        <n v="0.55549999999999999"/>
        <n v="0.57999999999999996"/>
        <n v="0.43490000000000001"/>
        <n v="0.44290000000000002"/>
        <n v="0.38950000000000001"/>
        <n v="0.43230000000000002"/>
        <n v="0.41959999999999997"/>
        <n v="0.435"/>
        <n v="0.44929999999999998"/>
        <n v="0.44700000000000001"/>
        <n v="0.3594"/>
        <n v="0.34179999999999999"/>
        <n v="0.224"/>
        <n v="0.23519999999999999"/>
        <n v="0.25919999999999999"/>
        <n v="0.26229999999999998"/>
        <n v="0.26300000000000001"/>
        <n v="0.26500000000000001"/>
        <n v="0.14749999999999999"/>
        <n v="0.19370000000000001"/>
        <n v="6.5100000000000005E-2"/>
        <n v="0.16830000000000001"/>
        <n v="0.15909999999999999"/>
        <n v="0.16539999999999999"/>
        <n v="7.2599999999999998E-2"/>
        <n v="0.1459"/>
        <n v="0.13819999999999999"/>
      </sharedItems>
    </cacheField>
  </cacheFields>
  <extLst>
    <ext xmlns:x14="http://schemas.microsoft.com/office/spreadsheetml/2009/9/main" uri="{725AE2AE-9491-48be-B2B4-4EB974FC3084}">
      <x14:pivotCacheDefinition pivotCacheId="775003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
  <r>
    <x v="0"/>
    <x v="0"/>
    <x v="0"/>
    <x v="0"/>
  </r>
  <r>
    <x v="0"/>
    <x v="0"/>
    <x v="1"/>
    <x v="1"/>
  </r>
  <r>
    <x v="0"/>
    <x v="0"/>
    <x v="2"/>
    <x v="2"/>
  </r>
  <r>
    <x v="0"/>
    <x v="0"/>
    <x v="3"/>
    <x v="3"/>
  </r>
  <r>
    <x v="0"/>
    <x v="0"/>
    <x v="4"/>
    <x v="4"/>
  </r>
  <r>
    <x v="0"/>
    <x v="0"/>
    <x v="5"/>
    <x v="5"/>
  </r>
  <r>
    <x v="0"/>
    <x v="0"/>
    <x v="6"/>
    <x v="6"/>
  </r>
  <r>
    <x v="1"/>
    <x v="0"/>
    <x v="0"/>
    <x v="7"/>
  </r>
  <r>
    <x v="1"/>
    <x v="0"/>
    <x v="1"/>
    <x v="8"/>
  </r>
  <r>
    <x v="1"/>
    <x v="0"/>
    <x v="2"/>
    <x v="9"/>
  </r>
  <r>
    <x v="1"/>
    <x v="0"/>
    <x v="3"/>
    <x v="10"/>
  </r>
  <r>
    <x v="1"/>
    <x v="0"/>
    <x v="4"/>
    <x v="11"/>
  </r>
  <r>
    <x v="1"/>
    <x v="0"/>
    <x v="5"/>
    <x v="12"/>
  </r>
  <r>
    <x v="1"/>
    <x v="0"/>
    <x v="6"/>
    <x v="12"/>
  </r>
  <r>
    <x v="2"/>
    <x v="0"/>
    <x v="0"/>
    <x v="13"/>
  </r>
  <r>
    <x v="2"/>
    <x v="0"/>
    <x v="1"/>
    <x v="14"/>
  </r>
  <r>
    <x v="2"/>
    <x v="0"/>
    <x v="2"/>
    <x v="15"/>
  </r>
  <r>
    <x v="2"/>
    <x v="0"/>
    <x v="3"/>
    <x v="16"/>
  </r>
  <r>
    <x v="2"/>
    <x v="0"/>
    <x v="4"/>
    <x v="17"/>
  </r>
  <r>
    <x v="2"/>
    <x v="0"/>
    <x v="5"/>
    <x v="18"/>
  </r>
  <r>
    <x v="2"/>
    <x v="0"/>
    <x v="6"/>
    <x v="19"/>
  </r>
  <r>
    <x v="3"/>
    <x v="0"/>
    <x v="0"/>
    <x v="20"/>
  </r>
  <r>
    <x v="3"/>
    <x v="0"/>
    <x v="1"/>
    <x v="21"/>
  </r>
  <r>
    <x v="3"/>
    <x v="0"/>
    <x v="2"/>
    <x v="22"/>
  </r>
  <r>
    <x v="3"/>
    <x v="0"/>
    <x v="3"/>
    <x v="23"/>
  </r>
  <r>
    <x v="3"/>
    <x v="0"/>
    <x v="4"/>
    <x v="24"/>
  </r>
  <r>
    <x v="3"/>
    <x v="0"/>
    <x v="5"/>
    <x v="25"/>
  </r>
  <r>
    <x v="3"/>
    <x v="0"/>
    <x v="6"/>
    <x v="25"/>
  </r>
  <r>
    <x v="4"/>
    <x v="0"/>
    <x v="0"/>
    <x v="26"/>
  </r>
  <r>
    <x v="4"/>
    <x v="0"/>
    <x v="1"/>
    <x v="27"/>
  </r>
  <r>
    <x v="4"/>
    <x v="0"/>
    <x v="2"/>
    <x v="28"/>
  </r>
  <r>
    <x v="4"/>
    <x v="0"/>
    <x v="3"/>
    <x v="29"/>
  </r>
  <r>
    <x v="4"/>
    <x v="0"/>
    <x v="4"/>
    <x v="30"/>
  </r>
  <r>
    <x v="4"/>
    <x v="0"/>
    <x v="5"/>
    <x v="31"/>
  </r>
  <r>
    <x v="4"/>
    <x v="0"/>
    <x v="6"/>
    <x v="31"/>
  </r>
  <r>
    <x v="5"/>
    <x v="0"/>
    <x v="0"/>
    <x v="32"/>
  </r>
  <r>
    <x v="5"/>
    <x v="0"/>
    <x v="1"/>
    <x v="33"/>
  </r>
  <r>
    <x v="5"/>
    <x v="0"/>
    <x v="2"/>
    <x v="34"/>
  </r>
  <r>
    <x v="5"/>
    <x v="0"/>
    <x v="3"/>
    <x v="35"/>
  </r>
  <r>
    <x v="5"/>
    <x v="0"/>
    <x v="4"/>
    <x v="36"/>
  </r>
  <r>
    <x v="5"/>
    <x v="0"/>
    <x v="5"/>
    <x v="37"/>
  </r>
  <r>
    <x v="5"/>
    <x v="0"/>
    <x v="6"/>
    <x v="38"/>
  </r>
  <r>
    <x v="6"/>
    <x v="1"/>
    <x v="0"/>
    <x v="39"/>
  </r>
  <r>
    <x v="6"/>
    <x v="1"/>
    <x v="1"/>
    <x v="40"/>
  </r>
  <r>
    <x v="6"/>
    <x v="1"/>
    <x v="2"/>
    <x v="41"/>
  </r>
  <r>
    <x v="6"/>
    <x v="1"/>
    <x v="3"/>
    <x v="42"/>
  </r>
  <r>
    <x v="6"/>
    <x v="1"/>
    <x v="4"/>
    <x v="43"/>
  </r>
  <r>
    <x v="6"/>
    <x v="1"/>
    <x v="5"/>
    <x v="44"/>
  </r>
  <r>
    <x v="6"/>
    <x v="1"/>
    <x v="6"/>
    <x v="45"/>
  </r>
  <r>
    <x v="6"/>
    <x v="1"/>
    <x v="7"/>
    <x v="46"/>
  </r>
  <r>
    <x v="6"/>
    <x v="1"/>
    <x v="8"/>
    <x v="47"/>
  </r>
  <r>
    <x v="6"/>
    <x v="1"/>
    <x v="9"/>
    <x v="48"/>
  </r>
  <r>
    <x v="7"/>
    <x v="1"/>
    <x v="0"/>
    <x v="49"/>
  </r>
  <r>
    <x v="7"/>
    <x v="1"/>
    <x v="1"/>
    <x v="50"/>
  </r>
  <r>
    <x v="7"/>
    <x v="1"/>
    <x v="2"/>
    <x v="51"/>
  </r>
  <r>
    <x v="7"/>
    <x v="1"/>
    <x v="3"/>
    <x v="52"/>
  </r>
  <r>
    <x v="7"/>
    <x v="1"/>
    <x v="4"/>
    <x v="53"/>
  </r>
  <r>
    <x v="7"/>
    <x v="1"/>
    <x v="5"/>
    <x v="54"/>
  </r>
  <r>
    <x v="7"/>
    <x v="1"/>
    <x v="6"/>
    <x v="55"/>
  </r>
  <r>
    <x v="7"/>
    <x v="1"/>
    <x v="7"/>
    <x v="56"/>
  </r>
  <r>
    <x v="7"/>
    <x v="1"/>
    <x v="8"/>
    <x v="57"/>
  </r>
  <r>
    <x v="7"/>
    <x v="1"/>
    <x v="9"/>
    <x v="58"/>
  </r>
  <r>
    <x v="8"/>
    <x v="1"/>
    <x v="0"/>
    <x v="59"/>
  </r>
  <r>
    <x v="8"/>
    <x v="1"/>
    <x v="1"/>
    <x v="60"/>
  </r>
  <r>
    <x v="8"/>
    <x v="1"/>
    <x v="2"/>
    <x v="61"/>
  </r>
  <r>
    <x v="8"/>
    <x v="1"/>
    <x v="3"/>
    <x v="62"/>
  </r>
  <r>
    <x v="8"/>
    <x v="1"/>
    <x v="4"/>
    <x v="63"/>
  </r>
  <r>
    <x v="8"/>
    <x v="1"/>
    <x v="5"/>
    <x v="64"/>
  </r>
  <r>
    <x v="8"/>
    <x v="1"/>
    <x v="6"/>
    <x v="65"/>
  </r>
  <r>
    <x v="8"/>
    <x v="1"/>
    <x v="7"/>
    <x v="66"/>
  </r>
  <r>
    <x v="8"/>
    <x v="1"/>
    <x v="8"/>
    <x v="67"/>
  </r>
  <r>
    <x v="8"/>
    <x v="1"/>
    <x v="9"/>
    <x v="68"/>
  </r>
  <r>
    <x v="9"/>
    <x v="1"/>
    <x v="0"/>
    <x v="69"/>
  </r>
  <r>
    <x v="9"/>
    <x v="1"/>
    <x v="1"/>
    <x v="70"/>
  </r>
  <r>
    <x v="9"/>
    <x v="1"/>
    <x v="2"/>
    <x v="71"/>
  </r>
  <r>
    <x v="9"/>
    <x v="1"/>
    <x v="3"/>
    <x v="72"/>
  </r>
  <r>
    <x v="9"/>
    <x v="1"/>
    <x v="4"/>
    <x v="73"/>
  </r>
  <r>
    <x v="9"/>
    <x v="1"/>
    <x v="5"/>
    <x v="74"/>
  </r>
  <r>
    <x v="9"/>
    <x v="1"/>
    <x v="6"/>
    <x v="75"/>
  </r>
  <r>
    <x v="9"/>
    <x v="1"/>
    <x v="7"/>
    <x v="76"/>
  </r>
  <r>
    <x v="9"/>
    <x v="1"/>
    <x v="8"/>
    <x v="77"/>
  </r>
  <r>
    <x v="9"/>
    <x v="1"/>
    <x v="9"/>
    <x v="78"/>
  </r>
  <r>
    <x v="10"/>
    <x v="1"/>
    <x v="0"/>
    <x v="79"/>
  </r>
  <r>
    <x v="10"/>
    <x v="1"/>
    <x v="1"/>
    <x v="80"/>
  </r>
  <r>
    <x v="10"/>
    <x v="1"/>
    <x v="2"/>
    <x v="81"/>
  </r>
  <r>
    <x v="10"/>
    <x v="1"/>
    <x v="3"/>
    <x v="82"/>
  </r>
  <r>
    <x v="10"/>
    <x v="1"/>
    <x v="4"/>
    <x v="83"/>
  </r>
  <r>
    <x v="10"/>
    <x v="1"/>
    <x v="5"/>
    <x v="84"/>
  </r>
  <r>
    <x v="10"/>
    <x v="1"/>
    <x v="6"/>
    <x v="85"/>
  </r>
  <r>
    <x v="10"/>
    <x v="1"/>
    <x v="7"/>
    <x v="86"/>
  </r>
  <r>
    <x v="10"/>
    <x v="1"/>
    <x v="8"/>
    <x v="87"/>
  </r>
  <r>
    <x v="10"/>
    <x v="1"/>
    <x v="9"/>
    <x v="88"/>
  </r>
  <r>
    <x v="11"/>
    <x v="1"/>
    <x v="0"/>
    <x v="89"/>
  </r>
  <r>
    <x v="11"/>
    <x v="1"/>
    <x v="1"/>
    <x v="90"/>
  </r>
  <r>
    <x v="11"/>
    <x v="1"/>
    <x v="2"/>
    <x v="91"/>
  </r>
  <r>
    <x v="11"/>
    <x v="1"/>
    <x v="3"/>
    <x v="92"/>
  </r>
  <r>
    <x v="11"/>
    <x v="1"/>
    <x v="4"/>
    <x v="93"/>
  </r>
  <r>
    <x v="11"/>
    <x v="1"/>
    <x v="5"/>
    <x v="94"/>
  </r>
  <r>
    <x v="11"/>
    <x v="1"/>
    <x v="6"/>
    <x v="95"/>
  </r>
  <r>
    <x v="11"/>
    <x v="1"/>
    <x v="7"/>
    <x v="96"/>
  </r>
  <r>
    <x v="11"/>
    <x v="1"/>
    <x v="8"/>
    <x v="97"/>
  </r>
  <r>
    <x v="11"/>
    <x v="1"/>
    <x v="9"/>
    <x v="98"/>
  </r>
  <r>
    <x v="12"/>
    <x v="1"/>
    <x v="0"/>
    <x v="99"/>
  </r>
  <r>
    <x v="12"/>
    <x v="1"/>
    <x v="1"/>
    <x v="100"/>
  </r>
  <r>
    <x v="12"/>
    <x v="1"/>
    <x v="2"/>
    <x v="101"/>
  </r>
  <r>
    <x v="12"/>
    <x v="1"/>
    <x v="3"/>
    <x v="102"/>
  </r>
  <r>
    <x v="12"/>
    <x v="1"/>
    <x v="4"/>
    <x v="103"/>
  </r>
  <r>
    <x v="12"/>
    <x v="1"/>
    <x v="5"/>
    <x v="104"/>
  </r>
  <r>
    <x v="12"/>
    <x v="1"/>
    <x v="6"/>
    <x v="105"/>
  </r>
  <r>
    <x v="12"/>
    <x v="1"/>
    <x v="7"/>
    <x v="106"/>
  </r>
  <r>
    <x v="12"/>
    <x v="1"/>
    <x v="8"/>
    <x v="107"/>
  </r>
  <r>
    <x v="12"/>
    <x v="1"/>
    <x v="9"/>
    <x v="108"/>
  </r>
  <r>
    <x v="13"/>
    <x v="2"/>
    <x v="0"/>
    <x v="109"/>
  </r>
  <r>
    <x v="13"/>
    <x v="2"/>
    <x v="1"/>
    <x v="110"/>
  </r>
  <r>
    <x v="13"/>
    <x v="2"/>
    <x v="2"/>
    <x v="111"/>
  </r>
  <r>
    <x v="13"/>
    <x v="2"/>
    <x v="3"/>
    <x v="112"/>
  </r>
  <r>
    <x v="13"/>
    <x v="2"/>
    <x v="4"/>
    <x v="113"/>
  </r>
  <r>
    <x v="13"/>
    <x v="2"/>
    <x v="5"/>
    <x v="114"/>
  </r>
  <r>
    <x v="13"/>
    <x v="2"/>
    <x v="6"/>
    <x v="115"/>
  </r>
  <r>
    <x v="13"/>
    <x v="2"/>
    <x v="7"/>
    <x v="116"/>
  </r>
  <r>
    <x v="13"/>
    <x v="2"/>
    <x v="8"/>
    <x v="117"/>
  </r>
  <r>
    <x v="13"/>
    <x v="2"/>
    <x v="9"/>
    <x v="118"/>
  </r>
  <r>
    <x v="14"/>
    <x v="2"/>
    <x v="0"/>
    <x v="119"/>
  </r>
  <r>
    <x v="14"/>
    <x v="2"/>
    <x v="1"/>
    <x v="120"/>
  </r>
  <r>
    <x v="14"/>
    <x v="2"/>
    <x v="2"/>
    <x v="121"/>
  </r>
  <r>
    <x v="14"/>
    <x v="2"/>
    <x v="3"/>
    <x v="122"/>
  </r>
  <r>
    <x v="14"/>
    <x v="2"/>
    <x v="4"/>
    <x v="123"/>
  </r>
  <r>
    <x v="14"/>
    <x v="2"/>
    <x v="5"/>
    <x v="124"/>
  </r>
  <r>
    <x v="14"/>
    <x v="2"/>
    <x v="6"/>
    <x v="125"/>
  </r>
  <r>
    <x v="14"/>
    <x v="2"/>
    <x v="7"/>
    <x v="126"/>
  </r>
  <r>
    <x v="14"/>
    <x v="2"/>
    <x v="8"/>
    <x v="127"/>
  </r>
  <r>
    <x v="14"/>
    <x v="2"/>
    <x v="9"/>
    <x v="128"/>
  </r>
  <r>
    <x v="15"/>
    <x v="2"/>
    <x v="0"/>
    <x v="129"/>
  </r>
  <r>
    <x v="15"/>
    <x v="2"/>
    <x v="1"/>
    <x v="130"/>
  </r>
  <r>
    <x v="15"/>
    <x v="2"/>
    <x v="2"/>
    <x v="131"/>
  </r>
  <r>
    <x v="15"/>
    <x v="2"/>
    <x v="3"/>
    <x v="132"/>
  </r>
  <r>
    <x v="15"/>
    <x v="2"/>
    <x v="4"/>
    <x v="133"/>
  </r>
  <r>
    <x v="15"/>
    <x v="2"/>
    <x v="5"/>
    <x v="134"/>
  </r>
  <r>
    <x v="15"/>
    <x v="2"/>
    <x v="6"/>
    <x v="135"/>
  </r>
  <r>
    <x v="15"/>
    <x v="2"/>
    <x v="7"/>
    <x v="136"/>
  </r>
  <r>
    <x v="15"/>
    <x v="2"/>
    <x v="8"/>
    <x v="137"/>
  </r>
  <r>
    <x v="15"/>
    <x v="2"/>
    <x v="9"/>
    <x v="138"/>
  </r>
  <r>
    <x v="16"/>
    <x v="3"/>
    <x v="0"/>
    <x v="139"/>
  </r>
  <r>
    <x v="16"/>
    <x v="3"/>
    <x v="1"/>
    <x v="140"/>
  </r>
  <r>
    <x v="16"/>
    <x v="3"/>
    <x v="2"/>
    <x v="141"/>
  </r>
  <r>
    <x v="16"/>
    <x v="3"/>
    <x v="3"/>
    <x v="142"/>
  </r>
  <r>
    <x v="16"/>
    <x v="3"/>
    <x v="4"/>
    <x v="143"/>
  </r>
  <r>
    <x v="16"/>
    <x v="3"/>
    <x v="5"/>
    <x v="144"/>
  </r>
  <r>
    <x v="16"/>
    <x v="3"/>
    <x v="6"/>
    <x v="145"/>
  </r>
  <r>
    <x v="16"/>
    <x v="3"/>
    <x v="7"/>
    <x v="146"/>
  </r>
  <r>
    <x v="16"/>
    <x v="3"/>
    <x v="8"/>
    <x v="147"/>
  </r>
  <r>
    <x v="16"/>
    <x v="3"/>
    <x v="9"/>
    <x v="148"/>
  </r>
  <r>
    <x v="17"/>
    <x v="3"/>
    <x v="0"/>
    <x v="149"/>
  </r>
  <r>
    <x v="17"/>
    <x v="3"/>
    <x v="1"/>
    <x v="150"/>
  </r>
  <r>
    <x v="17"/>
    <x v="3"/>
    <x v="2"/>
    <x v="151"/>
  </r>
  <r>
    <x v="17"/>
    <x v="3"/>
    <x v="3"/>
    <x v="152"/>
  </r>
  <r>
    <x v="17"/>
    <x v="3"/>
    <x v="4"/>
    <x v="153"/>
  </r>
  <r>
    <x v="17"/>
    <x v="3"/>
    <x v="5"/>
    <x v="154"/>
  </r>
  <r>
    <x v="17"/>
    <x v="3"/>
    <x v="6"/>
    <x v="155"/>
  </r>
  <r>
    <x v="17"/>
    <x v="3"/>
    <x v="7"/>
    <x v="156"/>
  </r>
  <r>
    <x v="17"/>
    <x v="3"/>
    <x v="8"/>
    <x v="157"/>
  </r>
  <r>
    <x v="17"/>
    <x v="3"/>
    <x v="9"/>
    <x v="158"/>
  </r>
  <r>
    <x v="18"/>
    <x v="3"/>
    <x v="0"/>
    <x v="159"/>
  </r>
  <r>
    <x v="18"/>
    <x v="3"/>
    <x v="1"/>
    <x v="160"/>
  </r>
  <r>
    <x v="18"/>
    <x v="3"/>
    <x v="2"/>
    <x v="161"/>
  </r>
  <r>
    <x v="18"/>
    <x v="3"/>
    <x v="3"/>
    <x v="162"/>
  </r>
  <r>
    <x v="18"/>
    <x v="3"/>
    <x v="4"/>
    <x v="163"/>
  </r>
  <r>
    <x v="18"/>
    <x v="3"/>
    <x v="5"/>
    <x v="164"/>
  </r>
  <r>
    <x v="18"/>
    <x v="3"/>
    <x v="6"/>
    <x v="165"/>
  </r>
  <r>
    <x v="18"/>
    <x v="3"/>
    <x v="7"/>
    <x v="166"/>
  </r>
  <r>
    <x v="18"/>
    <x v="3"/>
    <x v="8"/>
    <x v="167"/>
  </r>
  <r>
    <x v="18"/>
    <x v="3"/>
    <x v="9"/>
    <x v="168"/>
  </r>
  <r>
    <x v="19"/>
    <x v="4"/>
    <x v="0"/>
    <x v="169"/>
  </r>
  <r>
    <x v="19"/>
    <x v="4"/>
    <x v="1"/>
    <x v="170"/>
  </r>
  <r>
    <x v="19"/>
    <x v="4"/>
    <x v="2"/>
    <x v="171"/>
  </r>
  <r>
    <x v="19"/>
    <x v="4"/>
    <x v="3"/>
    <x v="172"/>
  </r>
  <r>
    <x v="19"/>
    <x v="4"/>
    <x v="4"/>
    <x v="173"/>
  </r>
  <r>
    <x v="19"/>
    <x v="4"/>
    <x v="5"/>
    <x v="174"/>
  </r>
  <r>
    <x v="19"/>
    <x v="4"/>
    <x v="6"/>
    <x v="175"/>
  </r>
  <r>
    <x v="19"/>
    <x v="4"/>
    <x v="7"/>
    <x v="176"/>
  </r>
  <r>
    <x v="20"/>
    <x v="4"/>
    <x v="0"/>
    <x v="177"/>
  </r>
  <r>
    <x v="20"/>
    <x v="4"/>
    <x v="1"/>
    <x v="178"/>
  </r>
  <r>
    <x v="20"/>
    <x v="4"/>
    <x v="2"/>
    <x v="179"/>
  </r>
  <r>
    <x v="20"/>
    <x v="4"/>
    <x v="3"/>
    <x v="180"/>
  </r>
  <r>
    <x v="20"/>
    <x v="4"/>
    <x v="4"/>
    <x v="181"/>
  </r>
  <r>
    <x v="20"/>
    <x v="4"/>
    <x v="5"/>
    <x v="182"/>
  </r>
  <r>
    <x v="20"/>
    <x v="4"/>
    <x v="6"/>
    <x v="183"/>
  </r>
  <r>
    <x v="20"/>
    <x v="4"/>
    <x v="7"/>
    <x v="184"/>
  </r>
  <r>
    <x v="21"/>
    <x v="4"/>
    <x v="0"/>
    <x v="185"/>
  </r>
  <r>
    <x v="21"/>
    <x v="4"/>
    <x v="1"/>
    <x v="186"/>
  </r>
  <r>
    <x v="21"/>
    <x v="4"/>
    <x v="2"/>
    <x v="187"/>
  </r>
  <r>
    <x v="21"/>
    <x v="4"/>
    <x v="3"/>
    <x v="188"/>
  </r>
  <r>
    <x v="21"/>
    <x v="4"/>
    <x v="4"/>
    <x v="189"/>
  </r>
  <r>
    <x v="21"/>
    <x v="4"/>
    <x v="5"/>
    <x v="190"/>
  </r>
  <r>
    <x v="21"/>
    <x v="4"/>
    <x v="6"/>
    <x v="191"/>
  </r>
  <r>
    <x v="21"/>
    <x v="4"/>
    <x v="7"/>
    <x v="192"/>
  </r>
  <r>
    <x v="22"/>
    <x v="5"/>
    <x v="0"/>
    <x v="193"/>
  </r>
  <r>
    <x v="22"/>
    <x v="5"/>
    <x v="1"/>
    <x v="194"/>
  </r>
  <r>
    <x v="22"/>
    <x v="5"/>
    <x v="2"/>
    <x v="195"/>
  </r>
  <r>
    <x v="22"/>
    <x v="5"/>
    <x v="3"/>
    <x v="196"/>
  </r>
  <r>
    <x v="22"/>
    <x v="5"/>
    <x v="4"/>
    <x v="197"/>
  </r>
  <r>
    <x v="22"/>
    <x v="5"/>
    <x v="5"/>
    <x v="198"/>
  </r>
  <r>
    <x v="22"/>
    <x v="5"/>
    <x v="6"/>
    <x v="199"/>
  </r>
  <r>
    <x v="22"/>
    <x v="5"/>
    <x v="7"/>
    <x v="200"/>
  </r>
  <r>
    <x v="23"/>
    <x v="5"/>
    <x v="0"/>
    <x v="201"/>
  </r>
  <r>
    <x v="23"/>
    <x v="5"/>
    <x v="1"/>
    <x v="202"/>
  </r>
  <r>
    <x v="23"/>
    <x v="5"/>
    <x v="2"/>
    <x v="203"/>
  </r>
  <r>
    <x v="23"/>
    <x v="5"/>
    <x v="3"/>
    <x v="204"/>
  </r>
  <r>
    <x v="23"/>
    <x v="5"/>
    <x v="4"/>
    <x v="205"/>
  </r>
  <r>
    <x v="23"/>
    <x v="5"/>
    <x v="5"/>
    <x v="206"/>
  </r>
  <r>
    <x v="23"/>
    <x v="5"/>
    <x v="6"/>
    <x v="207"/>
  </r>
  <r>
    <x v="23"/>
    <x v="5"/>
    <x v="7"/>
    <x v="208"/>
  </r>
  <r>
    <x v="24"/>
    <x v="5"/>
    <x v="0"/>
    <x v="209"/>
  </r>
  <r>
    <x v="24"/>
    <x v="5"/>
    <x v="1"/>
    <x v="210"/>
  </r>
  <r>
    <x v="24"/>
    <x v="5"/>
    <x v="2"/>
    <x v="211"/>
  </r>
  <r>
    <x v="24"/>
    <x v="5"/>
    <x v="3"/>
    <x v="212"/>
  </r>
  <r>
    <x v="24"/>
    <x v="5"/>
    <x v="4"/>
    <x v="213"/>
  </r>
  <r>
    <x v="24"/>
    <x v="5"/>
    <x v="5"/>
    <x v="214"/>
  </r>
  <r>
    <x v="24"/>
    <x v="5"/>
    <x v="6"/>
    <x v="215"/>
  </r>
  <r>
    <x v="24"/>
    <x v="5"/>
    <x v="7"/>
    <x v="216"/>
  </r>
  <r>
    <x v="25"/>
    <x v="5"/>
    <x v="0"/>
    <x v="89"/>
  </r>
  <r>
    <x v="25"/>
    <x v="5"/>
    <x v="1"/>
    <x v="90"/>
  </r>
  <r>
    <x v="25"/>
    <x v="5"/>
    <x v="2"/>
    <x v="91"/>
  </r>
  <r>
    <x v="25"/>
    <x v="5"/>
    <x v="3"/>
    <x v="92"/>
  </r>
  <r>
    <x v="25"/>
    <x v="5"/>
    <x v="4"/>
    <x v="93"/>
  </r>
  <r>
    <x v="25"/>
    <x v="5"/>
    <x v="5"/>
    <x v="217"/>
  </r>
  <r>
    <x v="25"/>
    <x v="5"/>
    <x v="6"/>
    <x v="218"/>
  </r>
  <r>
    <x v="25"/>
    <x v="5"/>
    <x v="7"/>
    <x v="219"/>
  </r>
  <r>
    <x v="26"/>
    <x v="6"/>
    <x v="0"/>
    <x v="220"/>
  </r>
  <r>
    <x v="26"/>
    <x v="6"/>
    <x v="1"/>
    <x v="221"/>
  </r>
  <r>
    <x v="26"/>
    <x v="6"/>
    <x v="2"/>
    <x v="222"/>
  </r>
  <r>
    <x v="26"/>
    <x v="6"/>
    <x v="3"/>
    <x v="223"/>
  </r>
  <r>
    <x v="26"/>
    <x v="6"/>
    <x v="4"/>
    <x v="224"/>
  </r>
  <r>
    <x v="27"/>
    <x v="6"/>
    <x v="0"/>
    <x v="225"/>
  </r>
  <r>
    <x v="27"/>
    <x v="6"/>
    <x v="1"/>
    <x v="226"/>
  </r>
  <r>
    <x v="27"/>
    <x v="6"/>
    <x v="2"/>
    <x v="227"/>
  </r>
  <r>
    <x v="27"/>
    <x v="6"/>
    <x v="3"/>
    <x v="228"/>
  </r>
  <r>
    <x v="27"/>
    <x v="6"/>
    <x v="4"/>
    <x v="229"/>
  </r>
  <r>
    <x v="28"/>
    <x v="7"/>
    <x v="0"/>
    <x v="230"/>
  </r>
  <r>
    <x v="28"/>
    <x v="7"/>
    <x v="1"/>
    <x v="231"/>
  </r>
  <r>
    <x v="28"/>
    <x v="7"/>
    <x v="2"/>
    <x v="232"/>
  </r>
  <r>
    <x v="28"/>
    <x v="7"/>
    <x v="3"/>
    <x v="233"/>
  </r>
  <r>
    <x v="28"/>
    <x v="7"/>
    <x v="4"/>
    <x v="234"/>
  </r>
  <r>
    <x v="28"/>
    <x v="7"/>
    <x v="5"/>
    <x v="235"/>
  </r>
  <r>
    <x v="29"/>
    <x v="7"/>
    <x v="0"/>
    <x v="236"/>
  </r>
  <r>
    <x v="29"/>
    <x v="7"/>
    <x v="1"/>
    <x v="237"/>
  </r>
  <r>
    <x v="29"/>
    <x v="7"/>
    <x v="2"/>
    <x v="238"/>
  </r>
  <r>
    <x v="29"/>
    <x v="7"/>
    <x v="3"/>
    <x v="239"/>
  </r>
  <r>
    <x v="29"/>
    <x v="7"/>
    <x v="4"/>
    <x v="240"/>
  </r>
  <r>
    <x v="29"/>
    <x v="7"/>
    <x v="5"/>
    <x v="241"/>
  </r>
  <r>
    <x v="30"/>
    <x v="7"/>
    <x v="0"/>
    <x v="242"/>
  </r>
  <r>
    <x v="30"/>
    <x v="7"/>
    <x v="1"/>
    <x v="243"/>
  </r>
  <r>
    <x v="30"/>
    <x v="7"/>
    <x v="2"/>
    <x v="244"/>
  </r>
  <r>
    <x v="30"/>
    <x v="7"/>
    <x v="3"/>
    <x v="245"/>
  </r>
  <r>
    <x v="30"/>
    <x v="7"/>
    <x v="4"/>
    <x v="246"/>
  </r>
  <r>
    <x v="30"/>
    <x v="7"/>
    <x v="5"/>
    <x v="247"/>
  </r>
  <r>
    <x v="30"/>
    <x v="7"/>
    <x v="6"/>
    <x v="248"/>
  </r>
  <r>
    <x v="30"/>
    <x v="7"/>
    <x v="7"/>
    <x v="249"/>
  </r>
  <r>
    <x v="31"/>
    <x v="7"/>
    <x v="2"/>
    <x v="250"/>
  </r>
  <r>
    <x v="31"/>
    <x v="7"/>
    <x v="3"/>
    <x v="251"/>
  </r>
  <r>
    <x v="31"/>
    <x v="7"/>
    <x v="4"/>
    <x v="252"/>
  </r>
  <r>
    <x v="31"/>
    <x v="7"/>
    <x v="5"/>
    <x v="253"/>
  </r>
  <r>
    <x v="31"/>
    <x v="7"/>
    <x v="6"/>
    <x v="254"/>
  </r>
  <r>
    <x v="31"/>
    <x v="7"/>
    <x v="7"/>
    <x v="255"/>
  </r>
  <r>
    <x v="32"/>
    <x v="1"/>
    <x v="0"/>
    <x v="256"/>
  </r>
  <r>
    <x v="32"/>
    <x v="1"/>
    <x v="1"/>
    <x v="257"/>
  </r>
  <r>
    <x v="32"/>
    <x v="1"/>
    <x v="2"/>
    <x v="258"/>
  </r>
  <r>
    <x v="32"/>
    <x v="1"/>
    <x v="3"/>
    <x v="259"/>
  </r>
  <r>
    <x v="32"/>
    <x v="1"/>
    <x v="4"/>
    <x v="260"/>
  </r>
  <r>
    <x v="32"/>
    <x v="1"/>
    <x v="5"/>
    <x v="261"/>
  </r>
  <r>
    <x v="32"/>
    <x v="1"/>
    <x v="6"/>
    <x v="259"/>
  </r>
  <r>
    <x v="32"/>
    <x v="1"/>
    <x v="7"/>
    <x v="262"/>
  </r>
  <r>
    <x v="32"/>
    <x v="1"/>
    <x v="8"/>
    <x v="263"/>
  </r>
  <r>
    <x v="32"/>
    <x v="1"/>
    <x v="9"/>
    <x v="264"/>
  </r>
  <r>
    <x v="33"/>
    <x v="1"/>
    <x v="0"/>
    <x v="265"/>
  </r>
  <r>
    <x v="33"/>
    <x v="1"/>
    <x v="1"/>
    <x v="266"/>
  </r>
  <r>
    <x v="33"/>
    <x v="1"/>
    <x v="2"/>
    <x v="267"/>
  </r>
  <r>
    <x v="33"/>
    <x v="1"/>
    <x v="3"/>
    <x v="268"/>
  </r>
  <r>
    <x v="33"/>
    <x v="1"/>
    <x v="4"/>
    <x v="269"/>
  </r>
  <r>
    <x v="33"/>
    <x v="1"/>
    <x v="5"/>
    <x v="270"/>
  </r>
  <r>
    <x v="33"/>
    <x v="1"/>
    <x v="6"/>
    <x v="270"/>
  </r>
  <r>
    <x v="33"/>
    <x v="1"/>
    <x v="7"/>
    <x v="270"/>
  </r>
  <r>
    <x v="33"/>
    <x v="1"/>
    <x v="8"/>
    <x v="270"/>
  </r>
  <r>
    <x v="33"/>
    <x v="1"/>
    <x v="9"/>
    <x v="270"/>
  </r>
  <r>
    <x v="34"/>
    <x v="1"/>
    <x v="0"/>
    <x v="271"/>
  </r>
  <r>
    <x v="34"/>
    <x v="1"/>
    <x v="1"/>
    <x v="272"/>
  </r>
  <r>
    <x v="34"/>
    <x v="1"/>
    <x v="2"/>
    <x v="273"/>
  </r>
  <r>
    <x v="34"/>
    <x v="1"/>
    <x v="3"/>
    <x v="274"/>
  </r>
  <r>
    <x v="34"/>
    <x v="1"/>
    <x v="4"/>
    <x v="275"/>
  </r>
  <r>
    <x v="34"/>
    <x v="1"/>
    <x v="5"/>
    <x v="276"/>
  </r>
  <r>
    <x v="34"/>
    <x v="1"/>
    <x v="6"/>
    <x v="276"/>
  </r>
  <r>
    <x v="34"/>
    <x v="1"/>
    <x v="7"/>
    <x v="276"/>
  </r>
  <r>
    <x v="34"/>
    <x v="1"/>
    <x v="8"/>
    <x v="276"/>
  </r>
  <r>
    <x v="34"/>
    <x v="1"/>
    <x v="9"/>
    <x v="276"/>
  </r>
  <r>
    <x v="35"/>
    <x v="1"/>
    <x v="0"/>
    <x v="277"/>
  </r>
  <r>
    <x v="35"/>
    <x v="1"/>
    <x v="1"/>
    <x v="278"/>
  </r>
  <r>
    <x v="35"/>
    <x v="1"/>
    <x v="2"/>
    <x v="279"/>
  </r>
  <r>
    <x v="35"/>
    <x v="1"/>
    <x v="3"/>
    <x v="280"/>
  </r>
  <r>
    <x v="35"/>
    <x v="1"/>
    <x v="4"/>
    <x v="281"/>
  </r>
  <r>
    <x v="35"/>
    <x v="1"/>
    <x v="5"/>
    <x v="282"/>
  </r>
  <r>
    <x v="35"/>
    <x v="1"/>
    <x v="6"/>
    <x v="283"/>
  </r>
  <r>
    <x v="35"/>
    <x v="1"/>
    <x v="7"/>
    <x v="284"/>
  </r>
  <r>
    <x v="35"/>
    <x v="1"/>
    <x v="8"/>
    <x v="284"/>
  </r>
  <r>
    <x v="35"/>
    <x v="1"/>
    <x v="9"/>
    <x v="284"/>
  </r>
  <r>
    <x v="36"/>
    <x v="1"/>
    <x v="0"/>
    <x v="285"/>
  </r>
  <r>
    <x v="36"/>
    <x v="1"/>
    <x v="1"/>
    <x v="286"/>
  </r>
  <r>
    <x v="36"/>
    <x v="1"/>
    <x v="2"/>
    <x v="287"/>
  </r>
  <r>
    <x v="36"/>
    <x v="1"/>
    <x v="3"/>
    <x v="288"/>
  </r>
  <r>
    <x v="36"/>
    <x v="1"/>
    <x v="4"/>
    <x v="289"/>
  </r>
  <r>
    <x v="36"/>
    <x v="1"/>
    <x v="5"/>
    <x v="290"/>
  </r>
  <r>
    <x v="36"/>
    <x v="1"/>
    <x v="6"/>
    <x v="291"/>
  </r>
  <r>
    <x v="36"/>
    <x v="1"/>
    <x v="7"/>
    <x v="292"/>
  </r>
  <r>
    <x v="36"/>
    <x v="1"/>
    <x v="8"/>
    <x v="293"/>
  </r>
  <r>
    <x v="36"/>
    <x v="1"/>
    <x v="9"/>
    <x v="293"/>
  </r>
  <r>
    <x v="37"/>
    <x v="1"/>
    <x v="0"/>
    <x v="294"/>
  </r>
  <r>
    <x v="37"/>
    <x v="1"/>
    <x v="1"/>
    <x v="295"/>
  </r>
  <r>
    <x v="37"/>
    <x v="1"/>
    <x v="2"/>
    <x v="296"/>
  </r>
  <r>
    <x v="37"/>
    <x v="1"/>
    <x v="3"/>
    <x v="297"/>
  </r>
  <r>
    <x v="37"/>
    <x v="1"/>
    <x v="4"/>
    <x v="298"/>
  </r>
  <r>
    <x v="37"/>
    <x v="1"/>
    <x v="5"/>
    <x v="299"/>
  </r>
  <r>
    <x v="37"/>
    <x v="1"/>
    <x v="6"/>
    <x v="300"/>
  </r>
  <r>
    <x v="37"/>
    <x v="1"/>
    <x v="7"/>
    <x v="301"/>
  </r>
  <r>
    <x v="37"/>
    <x v="1"/>
    <x v="8"/>
    <x v="302"/>
  </r>
  <r>
    <x v="37"/>
    <x v="1"/>
    <x v="9"/>
    <x v="302"/>
  </r>
  <r>
    <x v="38"/>
    <x v="2"/>
    <x v="0"/>
    <x v="303"/>
  </r>
  <r>
    <x v="38"/>
    <x v="2"/>
    <x v="1"/>
    <x v="304"/>
  </r>
  <r>
    <x v="38"/>
    <x v="2"/>
    <x v="2"/>
    <x v="305"/>
  </r>
  <r>
    <x v="38"/>
    <x v="2"/>
    <x v="3"/>
    <x v="306"/>
  </r>
  <r>
    <x v="38"/>
    <x v="2"/>
    <x v="4"/>
    <x v="307"/>
  </r>
  <r>
    <x v="38"/>
    <x v="2"/>
    <x v="5"/>
    <x v="308"/>
  </r>
  <r>
    <x v="38"/>
    <x v="2"/>
    <x v="6"/>
    <x v="309"/>
  </r>
  <r>
    <x v="38"/>
    <x v="2"/>
    <x v="7"/>
    <x v="310"/>
  </r>
  <r>
    <x v="38"/>
    <x v="2"/>
    <x v="8"/>
    <x v="311"/>
  </r>
  <r>
    <x v="38"/>
    <x v="2"/>
    <x v="9"/>
    <x v="312"/>
  </r>
  <r>
    <x v="39"/>
    <x v="2"/>
    <x v="0"/>
    <x v="313"/>
  </r>
  <r>
    <x v="39"/>
    <x v="2"/>
    <x v="1"/>
    <x v="314"/>
  </r>
  <r>
    <x v="39"/>
    <x v="2"/>
    <x v="2"/>
    <x v="315"/>
  </r>
  <r>
    <x v="39"/>
    <x v="2"/>
    <x v="3"/>
    <x v="316"/>
  </r>
  <r>
    <x v="39"/>
    <x v="2"/>
    <x v="4"/>
    <x v="317"/>
  </r>
  <r>
    <x v="39"/>
    <x v="2"/>
    <x v="5"/>
    <x v="318"/>
  </r>
  <r>
    <x v="39"/>
    <x v="2"/>
    <x v="6"/>
    <x v="319"/>
  </r>
  <r>
    <x v="39"/>
    <x v="2"/>
    <x v="7"/>
    <x v="320"/>
  </r>
  <r>
    <x v="39"/>
    <x v="2"/>
    <x v="8"/>
    <x v="321"/>
  </r>
  <r>
    <x v="39"/>
    <x v="2"/>
    <x v="9"/>
    <x v="322"/>
  </r>
  <r>
    <x v="40"/>
    <x v="2"/>
    <x v="0"/>
    <x v="323"/>
  </r>
  <r>
    <x v="40"/>
    <x v="2"/>
    <x v="1"/>
    <x v="324"/>
  </r>
  <r>
    <x v="40"/>
    <x v="2"/>
    <x v="2"/>
    <x v="325"/>
  </r>
  <r>
    <x v="40"/>
    <x v="2"/>
    <x v="3"/>
    <x v="326"/>
  </r>
  <r>
    <x v="40"/>
    <x v="2"/>
    <x v="4"/>
    <x v="327"/>
  </r>
  <r>
    <x v="40"/>
    <x v="2"/>
    <x v="5"/>
    <x v="328"/>
  </r>
  <r>
    <x v="40"/>
    <x v="2"/>
    <x v="6"/>
    <x v="329"/>
  </r>
  <r>
    <x v="40"/>
    <x v="2"/>
    <x v="7"/>
    <x v="330"/>
  </r>
  <r>
    <x v="40"/>
    <x v="2"/>
    <x v="8"/>
    <x v="330"/>
  </r>
  <r>
    <x v="40"/>
    <x v="2"/>
    <x v="9"/>
    <x v="331"/>
  </r>
  <r>
    <x v="41"/>
    <x v="3"/>
    <x v="0"/>
    <x v="332"/>
  </r>
  <r>
    <x v="41"/>
    <x v="3"/>
    <x v="1"/>
    <x v="333"/>
  </r>
  <r>
    <x v="41"/>
    <x v="3"/>
    <x v="2"/>
    <x v="334"/>
  </r>
  <r>
    <x v="41"/>
    <x v="3"/>
    <x v="3"/>
    <x v="335"/>
  </r>
  <r>
    <x v="41"/>
    <x v="3"/>
    <x v="4"/>
    <x v="336"/>
  </r>
  <r>
    <x v="41"/>
    <x v="3"/>
    <x v="5"/>
    <x v="337"/>
  </r>
  <r>
    <x v="41"/>
    <x v="3"/>
    <x v="6"/>
    <x v="338"/>
  </r>
  <r>
    <x v="41"/>
    <x v="3"/>
    <x v="7"/>
    <x v="339"/>
  </r>
  <r>
    <x v="41"/>
    <x v="3"/>
    <x v="8"/>
    <x v="340"/>
  </r>
  <r>
    <x v="41"/>
    <x v="3"/>
    <x v="9"/>
    <x v="341"/>
  </r>
  <r>
    <x v="42"/>
    <x v="3"/>
    <x v="0"/>
    <x v="342"/>
  </r>
  <r>
    <x v="42"/>
    <x v="3"/>
    <x v="1"/>
    <x v="343"/>
  </r>
  <r>
    <x v="42"/>
    <x v="3"/>
    <x v="2"/>
    <x v="344"/>
  </r>
  <r>
    <x v="42"/>
    <x v="3"/>
    <x v="3"/>
    <x v="345"/>
  </r>
  <r>
    <x v="42"/>
    <x v="3"/>
    <x v="4"/>
    <x v="346"/>
  </r>
  <r>
    <x v="42"/>
    <x v="3"/>
    <x v="5"/>
    <x v="347"/>
  </r>
  <r>
    <x v="42"/>
    <x v="3"/>
    <x v="6"/>
    <x v="347"/>
  </r>
  <r>
    <x v="42"/>
    <x v="3"/>
    <x v="7"/>
    <x v="347"/>
  </r>
  <r>
    <x v="42"/>
    <x v="3"/>
    <x v="8"/>
    <x v="347"/>
  </r>
  <r>
    <x v="42"/>
    <x v="3"/>
    <x v="9"/>
    <x v="347"/>
  </r>
  <r>
    <x v="43"/>
    <x v="4"/>
    <x v="0"/>
    <x v="348"/>
  </r>
  <r>
    <x v="43"/>
    <x v="4"/>
    <x v="1"/>
    <x v="256"/>
  </r>
  <r>
    <x v="43"/>
    <x v="4"/>
    <x v="2"/>
    <x v="349"/>
  </r>
  <r>
    <x v="43"/>
    <x v="4"/>
    <x v="3"/>
    <x v="350"/>
  </r>
  <r>
    <x v="43"/>
    <x v="4"/>
    <x v="4"/>
    <x v="351"/>
  </r>
  <r>
    <x v="43"/>
    <x v="4"/>
    <x v="5"/>
    <x v="352"/>
  </r>
  <r>
    <x v="43"/>
    <x v="4"/>
    <x v="6"/>
    <x v="353"/>
  </r>
  <r>
    <x v="43"/>
    <x v="4"/>
    <x v="7"/>
    <x v="283"/>
  </r>
  <r>
    <x v="44"/>
    <x v="4"/>
    <x v="0"/>
    <x v="354"/>
  </r>
  <r>
    <x v="44"/>
    <x v="4"/>
    <x v="1"/>
    <x v="355"/>
  </r>
  <r>
    <x v="44"/>
    <x v="4"/>
    <x v="2"/>
    <x v="356"/>
  </r>
  <r>
    <x v="44"/>
    <x v="4"/>
    <x v="3"/>
    <x v="357"/>
  </r>
  <r>
    <x v="44"/>
    <x v="4"/>
    <x v="4"/>
    <x v="358"/>
  </r>
  <r>
    <x v="44"/>
    <x v="4"/>
    <x v="5"/>
    <x v="359"/>
  </r>
  <r>
    <x v="44"/>
    <x v="4"/>
    <x v="6"/>
    <x v="360"/>
  </r>
  <r>
    <x v="44"/>
    <x v="4"/>
    <x v="7"/>
    <x v="361"/>
  </r>
  <r>
    <x v="45"/>
    <x v="4"/>
    <x v="0"/>
    <x v="362"/>
  </r>
  <r>
    <x v="45"/>
    <x v="4"/>
    <x v="1"/>
    <x v="363"/>
  </r>
  <r>
    <x v="45"/>
    <x v="4"/>
    <x v="2"/>
    <x v="364"/>
  </r>
  <r>
    <x v="45"/>
    <x v="4"/>
    <x v="3"/>
    <x v="365"/>
  </r>
  <r>
    <x v="45"/>
    <x v="4"/>
    <x v="4"/>
    <x v="366"/>
  </r>
  <r>
    <x v="45"/>
    <x v="4"/>
    <x v="5"/>
    <x v="367"/>
  </r>
  <r>
    <x v="45"/>
    <x v="4"/>
    <x v="6"/>
    <x v="368"/>
  </r>
  <r>
    <x v="45"/>
    <x v="4"/>
    <x v="7"/>
    <x v="369"/>
  </r>
  <r>
    <x v="46"/>
    <x v="5"/>
    <x v="0"/>
    <x v="370"/>
  </r>
  <r>
    <x v="46"/>
    <x v="5"/>
    <x v="1"/>
    <x v="371"/>
  </r>
  <r>
    <x v="46"/>
    <x v="5"/>
    <x v="2"/>
    <x v="372"/>
  </r>
  <r>
    <x v="46"/>
    <x v="5"/>
    <x v="3"/>
    <x v="373"/>
  </r>
  <r>
    <x v="46"/>
    <x v="5"/>
    <x v="4"/>
    <x v="374"/>
  </r>
  <r>
    <x v="46"/>
    <x v="5"/>
    <x v="5"/>
    <x v="375"/>
  </r>
  <r>
    <x v="46"/>
    <x v="5"/>
    <x v="6"/>
    <x v="376"/>
  </r>
  <r>
    <x v="46"/>
    <x v="5"/>
    <x v="7"/>
    <x v="377"/>
  </r>
  <r>
    <x v="47"/>
    <x v="5"/>
    <x v="0"/>
    <x v="378"/>
  </r>
  <r>
    <x v="47"/>
    <x v="5"/>
    <x v="1"/>
    <x v="379"/>
  </r>
  <r>
    <x v="47"/>
    <x v="5"/>
    <x v="2"/>
    <x v="380"/>
  </r>
  <r>
    <x v="47"/>
    <x v="5"/>
    <x v="3"/>
    <x v="381"/>
  </r>
  <r>
    <x v="47"/>
    <x v="5"/>
    <x v="4"/>
    <x v="382"/>
  </r>
  <r>
    <x v="47"/>
    <x v="5"/>
    <x v="5"/>
    <x v="383"/>
  </r>
  <r>
    <x v="47"/>
    <x v="5"/>
    <x v="6"/>
    <x v="384"/>
  </r>
  <r>
    <x v="47"/>
    <x v="5"/>
    <x v="7"/>
    <x v="385"/>
  </r>
  <r>
    <x v="48"/>
    <x v="5"/>
    <x v="0"/>
    <x v="386"/>
  </r>
  <r>
    <x v="48"/>
    <x v="5"/>
    <x v="1"/>
    <x v="387"/>
  </r>
  <r>
    <x v="48"/>
    <x v="5"/>
    <x v="2"/>
    <x v="388"/>
  </r>
  <r>
    <x v="48"/>
    <x v="5"/>
    <x v="3"/>
    <x v="389"/>
  </r>
  <r>
    <x v="48"/>
    <x v="5"/>
    <x v="4"/>
    <x v="390"/>
  </r>
  <r>
    <x v="48"/>
    <x v="5"/>
    <x v="5"/>
    <x v="391"/>
  </r>
  <r>
    <x v="48"/>
    <x v="5"/>
    <x v="6"/>
    <x v="392"/>
  </r>
  <r>
    <x v="48"/>
    <x v="5"/>
    <x v="7"/>
    <x v="393"/>
  </r>
  <r>
    <x v="49"/>
    <x v="6"/>
    <x v="0"/>
    <x v="394"/>
  </r>
  <r>
    <x v="49"/>
    <x v="6"/>
    <x v="1"/>
    <x v="395"/>
  </r>
  <r>
    <x v="49"/>
    <x v="6"/>
    <x v="2"/>
    <x v="396"/>
  </r>
  <r>
    <x v="49"/>
    <x v="6"/>
    <x v="3"/>
    <x v="397"/>
  </r>
  <r>
    <x v="49"/>
    <x v="6"/>
    <x v="4"/>
    <x v="398"/>
  </r>
  <r>
    <x v="50"/>
    <x v="6"/>
    <x v="0"/>
    <x v="322"/>
  </r>
  <r>
    <x v="50"/>
    <x v="6"/>
    <x v="1"/>
    <x v="399"/>
  </r>
  <r>
    <x v="50"/>
    <x v="6"/>
    <x v="2"/>
    <x v="400"/>
  </r>
  <r>
    <x v="50"/>
    <x v="6"/>
    <x v="3"/>
    <x v="401"/>
  </r>
  <r>
    <x v="50"/>
    <x v="6"/>
    <x v="4"/>
    <x v="4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15235-05B0-4C99-A181-CD47030A311C}"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2">
  <location ref="F4:H15" firstHeaderRow="1" firstDataRow="2" firstDataCol="1" rowPageCount="1" colPageCount="1"/>
  <pivotFields count="4">
    <pivotField axis="axisCol" multipleItemSelectionAllowed="1" showAll="0">
      <items count="52">
        <item h="1" x="30"/>
        <item h="1" x="28"/>
        <item x="14"/>
        <item x="39"/>
        <item h="1" x="31"/>
        <item h="1" x="3"/>
        <item h="1" x="15"/>
        <item h="1" x="40"/>
        <item h="1" x="7"/>
        <item h="1" x="33"/>
        <item h="1" x="13"/>
        <item h="1" x="38"/>
        <item h="1" x="4"/>
        <item h="1" x="16"/>
        <item x="11"/>
        <item h="1" x="37"/>
        <item h="1" x="5"/>
        <item h="1" x="18"/>
        <item h="1" x="41"/>
        <item h="1" x="8"/>
        <item h="1" x="34"/>
        <item h="1" x="20"/>
        <item h="1" x="47"/>
        <item h="1" x="23"/>
        <item h="1" x="44"/>
        <item h="1" x="2"/>
        <item h="1" x="21"/>
        <item h="1" x="48"/>
        <item h="1" x="24"/>
        <item h="1" x="45"/>
        <item h="1" x="27"/>
        <item h="1" x="50"/>
        <item h="1" x="19"/>
        <item h="1" x="46"/>
        <item h="1" x="22"/>
        <item h="1" x="43"/>
        <item h="1" x="10"/>
        <item h="1" x="36"/>
        <item h="1" x="6"/>
        <item h="1" x="32"/>
        <item h="1" x="9"/>
        <item h="1" x="35"/>
        <item h="1" x="1"/>
        <item h="1" x="17"/>
        <item h="1" x="42"/>
        <item h="1" x="0"/>
        <item h="1" x="12"/>
        <item h="1" x="29"/>
        <item h="1" x="25"/>
        <item h="1" x="26"/>
        <item h="1" x="49"/>
        <item t="default"/>
      </items>
    </pivotField>
    <pivotField axis="axisPage" multipleItemSelectionAllowed="1" showAll="0">
      <items count="9">
        <item x="2"/>
        <item h="1" x="3"/>
        <item h="1" x="1"/>
        <item x="7"/>
        <item h="1" x="0"/>
        <item h="1" x="5"/>
        <item h="1" x="4"/>
        <item h="1" x="6"/>
        <item t="default"/>
      </items>
    </pivotField>
    <pivotField axis="axisRow" showAll="0">
      <items count="11">
        <item x="0"/>
        <item x="1"/>
        <item x="2"/>
        <item x="3"/>
        <item x="4"/>
        <item x="5"/>
        <item x="6"/>
        <item x="7"/>
        <item x="8"/>
        <item x="9"/>
        <item t="default"/>
      </items>
    </pivotField>
    <pivotField dataField="1" showAll="0"/>
  </pivotFields>
  <rowFields count="1">
    <field x="2"/>
  </rowFields>
  <rowItems count="10">
    <i>
      <x/>
    </i>
    <i>
      <x v="1"/>
    </i>
    <i>
      <x v="2"/>
    </i>
    <i>
      <x v="3"/>
    </i>
    <i>
      <x v="4"/>
    </i>
    <i>
      <x v="5"/>
    </i>
    <i>
      <x v="6"/>
    </i>
    <i>
      <x v="7"/>
    </i>
    <i>
      <x v="8"/>
    </i>
    <i>
      <x v="9"/>
    </i>
  </rowItems>
  <colFields count="1">
    <field x="0"/>
  </colFields>
  <colItems count="2">
    <i>
      <x v="2"/>
    </i>
    <i>
      <x v="3"/>
    </i>
  </colItems>
  <pageFields count="1">
    <pageField fld="1" hier="-1"/>
  </pageFields>
  <dataFields count="1">
    <dataField name="Sum of Value" fld="3" baseField="2" baseItem="4"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9991C2E-843F-42F7-B608-DE2A57453BAE}" autoFormatId="16" applyNumberFormats="0" applyBorderFormats="0" applyFontFormats="0" applyPatternFormats="0" applyAlignmentFormats="0" applyWidthHeightFormats="0">
  <queryTableRefresh nextId="5">
    <queryTableFields count="4">
      <queryTableField id="1" name="Metric" tableColumnId="1"/>
      <queryTableField id="2" name="Category" tableColumnId="2"/>
      <queryTableField id="3" name="Year" tableColumnId="3"/>
      <queryTableField id="4"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E75C3CE-46D8-424D-ADE2-D19C10844204}" sourceName="Category">
  <pivotTables>
    <pivotTable tabId="16" name="PivotTable3"/>
  </pivotTables>
  <data>
    <tabular pivotCacheId="775003183">
      <items count="8">
        <i x="2" s="1"/>
        <i x="1"/>
        <i x="3" nd="1"/>
        <i x="7" s="1" nd="1"/>
        <i x="0" nd="1"/>
        <i x="5" nd="1"/>
        <i x="4"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A39BCF-5439-4EDD-BABD-6BE3057EF0CC}" sourceName="Year">
  <pivotTables>
    <pivotTable tabId="16" name="PivotTable3"/>
  </pivotTables>
  <data>
    <tabular pivotCacheId="775003183">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 xr10:uid="{DD3F84D2-84B7-460A-94C7-F803796B370C}" sourceName="Metric">
  <pivotTables>
    <pivotTable tabId="16" name="PivotTable3"/>
  </pivotTables>
  <data>
    <tabular pivotCacheId="775003183">
      <items count="51">
        <i x="30"/>
        <i x="28"/>
        <i x="14" s="1"/>
        <i x="39" s="1"/>
        <i x="31"/>
        <i x="15"/>
        <i x="40"/>
        <i x="13"/>
        <i x="38"/>
        <i x="29"/>
        <i x="3" nd="1"/>
        <i x="7" nd="1"/>
        <i x="33" nd="1"/>
        <i x="4" nd="1"/>
        <i x="16" nd="1"/>
        <i x="11" s="1" nd="1"/>
        <i x="37" nd="1"/>
        <i x="5" nd="1"/>
        <i x="18" nd="1"/>
        <i x="41" nd="1"/>
        <i x="8" nd="1"/>
        <i x="34" nd="1"/>
        <i x="20" nd="1"/>
        <i x="47" nd="1"/>
        <i x="23" nd="1"/>
        <i x="44" nd="1"/>
        <i x="2" nd="1"/>
        <i x="21" nd="1"/>
        <i x="48" nd="1"/>
        <i x="24" nd="1"/>
        <i x="45" nd="1"/>
        <i x="27" nd="1"/>
        <i x="50" nd="1"/>
        <i x="19" nd="1"/>
        <i x="46" nd="1"/>
        <i x="22" nd="1"/>
        <i x="43" nd="1"/>
        <i x="10" nd="1"/>
        <i x="36" nd="1"/>
        <i x="6" nd="1"/>
        <i x="32" nd="1"/>
        <i x="9" nd="1"/>
        <i x="35" nd="1"/>
        <i x="1" nd="1"/>
        <i x="17" nd="1"/>
        <i x="42" nd="1"/>
        <i x="0" nd="1"/>
        <i x="12" nd="1"/>
        <i x="25" nd="1"/>
        <i x="26" nd="1"/>
        <i x="4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71DE264-01A9-44EF-87AB-D2E2AAFC9CDC}" cache="Slicer_Category" caption="Category" rowHeight="260350"/>
  <slicer name="Year" xr10:uid="{ED5B28AE-9A94-4C4A-98D2-BFCEB3C1D929}" cache="Slicer_Year" caption="Year" startItem="2" rowHeight="260350"/>
  <slicer name="Metric" xr10:uid="{AAB6F13A-500E-440C-901C-F1E22DC84F59}" cache="Slicer_Metric" caption="Metric"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C9D25C-8C47-4733-B7E3-8D2F16FB88EC}" name="Table2_1" displayName="Table2_1" ref="A1:D433" tableType="queryTable" totalsRowShown="0">
  <autoFilter ref="A1:D433" xr:uid="{53C9D25C-8C47-4733-B7E3-8D2F16FB88EC}"/>
  <tableColumns count="4">
    <tableColumn id="1" xr3:uid="{456697CD-D60E-45E9-BB6C-46CE395A5AB1}" uniqueName="1" name="Metric" queryTableFieldId="1" dataDxfId="11"/>
    <tableColumn id="2" xr3:uid="{F4655C75-9616-421A-BCA7-0D8DF96FCCAD}" uniqueName="2" name="Category" queryTableFieldId="2" dataDxfId="10"/>
    <tableColumn id="3" xr3:uid="{CBDB2899-06AD-4B94-ADC1-9882B1913A4F}" uniqueName="3" name="Year" queryTableFieldId="3" dataDxfId="9"/>
    <tableColumn id="4" xr3:uid="{27D9EE8C-0301-479B-97BA-1118F91CDBB9}" uniqueName="4" name="Value" queryTableFieldId="4"/>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E7D2F0-CAA5-4378-A8BB-382713FFA3E1}" name="Table2" displayName="Table2" ref="A1:L52" totalsRowShown="0" headerRowDxfId="8">
  <autoFilter ref="A1:L52" xr:uid="{3EE7D2F0-CAA5-4378-A8BB-382713FFA3E1}"/>
  <tableColumns count="12">
    <tableColumn id="1" xr3:uid="{65EDE752-E5CF-4106-ACB4-57A0AC7E87EE}" name="Metric"/>
    <tableColumn id="2" xr3:uid="{3262648F-97A6-4872-A327-A92E12C107F5}" name="Category"/>
    <tableColumn id="3" xr3:uid="{C11BB02F-55E9-43C7-A2B6-385911D3B6E5}" name="2021" dataDxfId="7"/>
    <tableColumn id="4" xr3:uid="{D5CEE380-7B58-48B5-A498-CFBB71D0F086}" name="2022" dataDxfId="6"/>
    <tableColumn id="5" xr3:uid="{751190D7-7DDB-4A93-A99F-0F37631EACB2}" name="2023" dataDxfId="5"/>
    <tableColumn id="6" xr3:uid="{FA19A004-215E-4207-90D3-C6E5507B92B3}" name="2024" dataDxfId="4"/>
    <tableColumn id="7" xr3:uid="{D4A57910-8C94-4821-B8A7-5C0001120427}" name="2025" dataDxfId="3"/>
    <tableColumn id="8" xr3:uid="{4E2A4B58-0D64-4584-85AF-BFC931C5A2A6}" name="2026E" dataDxfId="2"/>
    <tableColumn id="9" xr3:uid="{3F5AE0A3-FD3D-499D-BE5D-052D3D83F9B8}" name="2027E" dataDxfId="1"/>
    <tableColumn id="10" xr3:uid="{5B529F09-9F84-4F39-9CAB-03516364088E}" name="2028E" dataDxfId="0"/>
    <tableColumn id="11" xr3:uid="{E7B9F30F-902F-48FF-8E6B-7E876B969A95}" name="2029E"/>
    <tableColumn id="12" xr3:uid="{0ADE7978-8C67-4F75-8EB8-3E96413E093C}" name="2030E"/>
  </tableColumns>
  <tableStyleInfo name="TableStyleMedium18" showFirstColumn="0" showLastColumn="0" showRowStripes="1" showColumnStripes="0"/>
</table>
</file>

<file path=xl/theme/theme1.xml><?xml version="1.0" encoding="utf-8"?>
<a:theme xmlns:a="http://schemas.openxmlformats.org/drawingml/2006/main" name="Office Theme">
  <a:themeElements>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6600"/>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Finance">
    <a:dk1>
      <a:sysClr val="windowText" lastClr="000000"/>
    </a:dk1>
    <a:lt1>
      <a:sysClr val="window" lastClr="FFFFFF"/>
    </a:lt1>
    <a:dk2>
      <a:srgbClr val="1F497D"/>
    </a:dk2>
    <a:lt2>
      <a:srgbClr val="D9D9D9"/>
    </a:lt2>
    <a:accent1>
      <a:srgbClr val="0066CC"/>
    </a:accent1>
    <a:accent2>
      <a:srgbClr val="00B050"/>
    </a:accent2>
    <a:accent3>
      <a:srgbClr val="E6E6E6"/>
    </a:accent3>
    <a:accent4>
      <a:srgbClr val="0000FF"/>
    </a:accent4>
    <a:accent5>
      <a:srgbClr val="4472C4"/>
    </a:accent5>
    <a:accent6>
      <a:srgbClr val="FF6600"/>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L49" dT="2026-01-03T08:36:22.51" personId="{F4B24668-1B18-43C7-A98C-6E4C7C705157}" id="{0AEE88EF-F5A5-4222-8D90-AB39EF908C53}">
    <text>Q1 2026
Expected to recognize 40% over NTM</text>
  </threadedComment>
  <threadedComment ref="L50" dT="2026-01-03T08:44:52.88" personId="{F4B24668-1B18-43C7-A98C-6E4C7C705157}" id="{6E9EEE48-010B-419D-88AA-8E2878DCB24F}">
    <text>SemiAnalysis expects growth over 40%. Up to 53% in December 2026
Q1 2026 Growth: %40</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DC2AA2D-96AE-4F88-9260-5B2E91CD3F1F}">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06BA9-FD26-46A5-A630-9D65D6C233D8}">
  <sheetPr codeName="Sheet1"/>
  <dimension ref="B2:X96"/>
  <sheetViews>
    <sheetView showGridLines="0" tabSelected="1" topLeftCell="A27" zoomScale="70" zoomScaleNormal="70" workbookViewId="0">
      <selection activeCell="Y90" sqref="Y90"/>
    </sheetView>
  </sheetViews>
  <sheetFormatPr defaultColWidth="8.69921875" defaultRowHeight="14.4" customHeight="1" x14ac:dyDescent="0.3"/>
  <cols>
    <col min="1" max="3" width="8.69921875" style="1"/>
    <col min="4" max="4" width="11.5" style="1" bestFit="1" customWidth="1"/>
    <col min="5" max="5" width="9.8984375" style="1" bestFit="1" customWidth="1"/>
    <col min="6" max="7" width="8.69921875" style="1"/>
    <col min="8" max="8" width="9" style="1" bestFit="1" customWidth="1"/>
    <col min="9" max="15" width="8.69921875" style="1"/>
    <col min="16" max="16" width="8.8984375" style="1" bestFit="1" customWidth="1"/>
    <col min="17" max="23" width="8.69921875" style="1"/>
    <col min="24" max="24" width="11.796875" style="1" bestFit="1" customWidth="1"/>
    <col min="25" max="16384" width="8.69921875" style="1"/>
  </cols>
  <sheetData>
    <row r="2" spans="2:24" ht="14.4" customHeight="1" x14ac:dyDescent="0.3">
      <c r="B2"/>
      <c r="C2"/>
      <c r="R2" s="5" t="s">
        <v>51</v>
      </c>
    </row>
    <row r="3" spans="2:24" ht="14.4" customHeight="1" x14ac:dyDescent="0.3">
      <c r="B3" s="5"/>
    </row>
    <row r="4" spans="2:24" ht="14.4" customHeight="1" x14ac:dyDescent="0.3">
      <c r="B4" s="2" t="s">
        <v>54</v>
      </c>
      <c r="C4" s="2"/>
      <c r="D4" s="2"/>
      <c r="E4" s="2"/>
      <c r="F4" s="2"/>
      <c r="G4" s="2"/>
      <c r="H4" s="2"/>
      <c r="I4" s="2"/>
      <c r="J4" s="2"/>
      <c r="K4" s="2"/>
      <c r="L4" s="2"/>
      <c r="M4" s="2"/>
      <c r="N4" s="2"/>
      <c r="O4" s="2"/>
      <c r="P4" s="2"/>
      <c r="Q4" s="2"/>
      <c r="R4" s="2"/>
      <c r="S4" s="2"/>
      <c r="T4" s="2"/>
      <c r="U4" s="2"/>
    </row>
    <row r="5" spans="2:24" s="24" customFormat="1" ht="1.95" customHeight="1" x14ac:dyDescent="0.3">
      <c r="B5" s="25"/>
      <c r="C5" s="25"/>
      <c r="D5" s="25"/>
      <c r="E5" s="25"/>
      <c r="F5" s="25"/>
      <c r="G5" s="25"/>
      <c r="H5" s="25"/>
      <c r="I5" s="25"/>
      <c r="J5" s="25"/>
      <c r="K5" s="25"/>
      <c r="L5" s="26"/>
      <c r="M5" s="26"/>
      <c r="N5" s="26"/>
      <c r="O5" s="26"/>
      <c r="P5" s="26"/>
    </row>
    <row r="6" spans="2:24" ht="14.4" customHeight="1" x14ac:dyDescent="0.3">
      <c r="B6" s="16" t="s">
        <v>55</v>
      </c>
      <c r="C6" s="6"/>
      <c r="D6" s="6"/>
      <c r="E6" s="6"/>
      <c r="G6" s="16" t="s">
        <v>56</v>
      </c>
      <c r="H6" s="6"/>
      <c r="I6" s="6"/>
      <c r="J6" s="6"/>
      <c r="K6" s="6"/>
      <c r="M6" s="19" t="s">
        <v>46</v>
      </c>
      <c r="N6" s="19"/>
      <c r="O6" s="19"/>
      <c r="P6" s="6"/>
      <c r="R6" s="19" t="s">
        <v>45</v>
      </c>
      <c r="S6" s="19"/>
      <c r="T6" s="19"/>
      <c r="U6" s="6"/>
    </row>
    <row r="7" spans="2:24" ht="14.4" customHeight="1" x14ac:dyDescent="0.3">
      <c r="B7" s="1" t="s">
        <v>0</v>
      </c>
      <c r="E7" s="17" t="s">
        <v>1</v>
      </c>
      <c r="G7" s="1" t="s">
        <v>57</v>
      </c>
      <c r="I7" s="53">
        <v>228000</v>
      </c>
      <c r="J7" s="53"/>
      <c r="K7" s="53"/>
      <c r="M7" s="1" t="s">
        <v>47</v>
      </c>
      <c r="P7" s="8">
        <f>SUM(J88:N88)</f>
        <v>491935.53412195091</v>
      </c>
      <c r="R7" s="1" t="s">
        <v>35</v>
      </c>
      <c r="U7" s="10">
        <f>Main!U23</f>
        <v>9.0327650105150287E-2</v>
      </c>
    </row>
    <row r="8" spans="2:24" ht="14.4" customHeight="1" x14ac:dyDescent="0.3">
      <c r="B8" s="1" t="s">
        <v>2</v>
      </c>
      <c r="E8" s="20">
        <f>(P13+P10)/P12</f>
        <v>633.17382041439384</v>
      </c>
      <c r="G8" s="1" t="s">
        <v>58</v>
      </c>
      <c r="I8" s="54">
        <v>27488</v>
      </c>
      <c r="J8" s="54"/>
      <c r="K8" s="54"/>
      <c r="M8" s="1" t="s">
        <v>48</v>
      </c>
      <c r="P8" s="8">
        <f>(N65*U8)</f>
        <v>6050991.0093990555</v>
      </c>
      <c r="R8" s="1" t="s">
        <v>52</v>
      </c>
      <c r="U8" s="22">
        <v>22</v>
      </c>
      <c r="X8" s="21"/>
    </row>
    <row r="9" spans="2:24" ht="14.4" customHeight="1" x14ac:dyDescent="0.3">
      <c r="B9" s="1" t="s">
        <v>3</v>
      </c>
      <c r="E9" s="20">
        <v>475</v>
      </c>
      <c r="G9" s="1" t="s">
        <v>59</v>
      </c>
      <c r="I9" s="57" t="s">
        <v>302</v>
      </c>
      <c r="J9" s="57"/>
      <c r="K9" s="57"/>
      <c r="M9" s="1" t="s">
        <v>53</v>
      </c>
      <c r="P9" s="8">
        <f>-(PV(U7,4.5,0,P8))</f>
        <v>4100340.209091913</v>
      </c>
    </row>
    <row r="10" spans="2:24" ht="14.4" customHeight="1" x14ac:dyDescent="0.3">
      <c r="B10" s="1" t="s">
        <v>4</v>
      </c>
      <c r="E10" s="15">
        <f>E8/E9-1</f>
        <v>0.33299751666188171</v>
      </c>
      <c r="G10" s="1" t="s">
        <v>60</v>
      </c>
      <c r="I10" s="57" t="s">
        <v>62</v>
      </c>
      <c r="J10" s="57"/>
      <c r="K10" s="57"/>
      <c r="M10" s="1" t="s">
        <v>33</v>
      </c>
      <c r="P10" s="8">
        <f>J22-J21</f>
        <v>2711</v>
      </c>
      <c r="R10" s="19" t="s">
        <v>35</v>
      </c>
      <c r="S10" s="19"/>
      <c r="T10" s="19"/>
      <c r="U10" s="6"/>
    </row>
    <row r="11" spans="2:24" ht="14.4" customHeight="1" x14ac:dyDescent="0.3">
      <c r="G11" s="1" t="s">
        <v>61</v>
      </c>
      <c r="I11" s="57" t="s">
        <v>303</v>
      </c>
      <c r="J11" s="57"/>
      <c r="K11" s="57"/>
      <c r="M11" s="1" t="s">
        <v>107</v>
      </c>
      <c r="P11" s="8">
        <f>500000*0.27</f>
        <v>135000</v>
      </c>
      <c r="R11" s="1" t="s">
        <v>28</v>
      </c>
      <c r="T11" s="55">
        <v>3520000</v>
      </c>
      <c r="U11" s="55"/>
    </row>
    <row r="12" spans="2:24" ht="14.4" customHeight="1" x14ac:dyDescent="0.3">
      <c r="B12" s="1" t="s">
        <v>68</v>
      </c>
      <c r="E12" s="18">
        <v>46024</v>
      </c>
      <c r="G12" s="1" t="s">
        <v>63</v>
      </c>
      <c r="I12" s="54">
        <v>46203</v>
      </c>
      <c r="J12" s="54"/>
      <c r="K12" s="54"/>
      <c r="M12" s="1" t="s">
        <v>49</v>
      </c>
      <c r="P12" s="1">
        <v>7466</v>
      </c>
      <c r="R12" s="1" t="s">
        <v>36</v>
      </c>
      <c r="U12" s="10">
        <f>T11/T22</f>
        <v>0.9830782077813992</v>
      </c>
    </row>
    <row r="13" spans="2:24" ht="14.4" customHeight="1" x14ac:dyDescent="0.3">
      <c r="I13" s="10"/>
      <c r="M13" s="1" t="s">
        <v>50</v>
      </c>
      <c r="P13" s="8">
        <f>P9+P7-P10+P11</f>
        <v>4724564.743213864</v>
      </c>
      <c r="R13" s="1" t="s">
        <v>37</v>
      </c>
      <c r="U13" s="10">
        <f>U14+(U15*U17)</f>
        <v>9.1170000000000001E-2</v>
      </c>
    </row>
    <row r="14" spans="2:24" ht="14.4" customHeight="1" x14ac:dyDescent="0.3">
      <c r="R14" s="1" t="s">
        <v>38</v>
      </c>
      <c r="U14" s="10">
        <v>4.1950000000000001E-2</v>
      </c>
    </row>
    <row r="15" spans="2:24" ht="14.4" customHeight="1" x14ac:dyDescent="0.3">
      <c r="B15" s="2" t="s">
        <v>26</v>
      </c>
      <c r="C15" s="2"/>
      <c r="D15" s="2"/>
      <c r="E15" s="2">
        <v>2021</v>
      </c>
      <c r="F15" s="2">
        <f>E15+1</f>
        <v>2022</v>
      </c>
      <c r="G15" s="2">
        <f>F15+1</f>
        <v>2023</v>
      </c>
      <c r="H15" s="2">
        <f>G15+1</f>
        <v>2024</v>
      </c>
      <c r="I15" s="2">
        <f>H15+1</f>
        <v>2025</v>
      </c>
      <c r="J15" s="3" t="s">
        <v>6</v>
      </c>
      <c r="K15" s="3" t="s">
        <v>7</v>
      </c>
      <c r="M15" s="19" t="s">
        <v>105</v>
      </c>
      <c r="N15" s="19"/>
      <c r="O15" s="19"/>
      <c r="P15" s="6"/>
      <c r="R15" s="1" t="s">
        <v>39</v>
      </c>
      <c r="U15" s="1">
        <v>1.07</v>
      </c>
    </row>
    <row r="16" spans="2:24" s="24" customFormat="1" ht="1.95" customHeight="1" x14ac:dyDescent="0.3">
      <c r="B16" s="25"/>
      <c r="C16" s="25"/>
      <c r="D16" s="25"/>
      <c r="E16" s="25"/>
      <c r="F16" s="25"/>
      <c r="G16" s="25"/>
      <c r="H16" s="25"/>
      <c r="I16" s="25"/>
      <c r="J16" s="25"/>
      <c r="K16" s="25"/>
      <c r="L16" s="1"/>
      <c r="M16" s="1" t="s">
        <v>47</v>
      </c>
      <c r="N16" s="1"/>
      <c r="O16" s="1"/>
      <c r="P16" s="8">
        <f>SUM(J97:N97)</f>
        <v>0</v>
      </c>
    </row>
    <row r="17" spans="2:21" ht="14.4" customHeight="1" x14ac:dyDescent="0.3">
      <c r="B17" s="1" t="s">
        <v>27</v>
      </c>
      <c r="E17" s="7">
        <v>270.89999999999998</v>
      </c>
      <c r="F17" s="7">
        <v>256.83</v>
      </c>
      <c r="G17" s="7">
        <v>350.54</v>
      </c>
      <c r="H17" s="7">
        <v>446.95</v>
      </c>
      <c r="I17" s="7">
        <v>497.41</v>
      </c>
      <c r="J17" s="7">
        <f>NPV($U$7,K85:N85)/J18+(J21/J18)-(J22/J18)+(-((PV($U$7,4,0,$P$8))/J18))+(J85/J18)+(P11/J18)</f>
        <v>661.40754099146307</v>
      </c>
      <c r="K17" s="7" cm="1">
        <f t="array" ref="K17">NPV($U$7,L85:N85)/K18+(K21/K18)-(K22/K18)+(-((PV($U$7,3,0,$P$8))/K18))+(SUM(J85:K85/K18))+(P11/K18)</f>
        <v>718.53723395521706</v>
      </c>
      <c r="M17" s="1" t="s">
        <v>28</v>
      </c>
      <c r="P17" s="8">
        <v>3515070</v>
      </c>
      <c r="R17" s="1" t="s">
        <v>40</v>
      </c>
      <c r="U17" s="10">
        <v>4.5999999999999999E-2</v>
      </c>
    </row>
    <row r="18" spans="2:21" ht="14.4" customHeight="1" x14ac:dyDescent="0.3">
      <c r="B18" s="1" t="s">
        <v>32</v>
      </c>
      <c r="E18" s="12">
        <v>7608</v>
      </c>
      <c r="F18" s="12">
        <v>7540</v>
      </c>
      <c r="G18" s="12">
        <v>7472</v>
      </c>
      <c r="H18" s="12">
        <v>7469</v>
      </c>
      <c r="I18" s="12">
        <v>7466</v>
      </c>
      <c r="J18" s="12">
        <v>7450</v>
      </c>
      <c r="K18" s="12">
        <v>7450</v>
      </c>
      <c r="M18" s="1" t="s">
        <v>31</v>
      </c>
      <c r="P18" s="8">
        <f>P17+P10</f>
        <v>3517781</v>
      </c>
      <c r="R18" s="1" t="s">
        <v>30</v>
      </c>
      <c r="U18" s="8">
        <v>60590</v>
      </c>
    </row>
    <row r="19" spans="2:21" ht="14.4" customHeight="1" x14ac:dyDescent="0.3">
      <c r="M19" s="1" t="s">
        <v>102</v>
      </c>
      <c r="P19" s="29">
        <v>33.65</v>
      </c>
      <c r="R19" s="1" t="s">
        <v>41</v>
      </c>
      <c r="U19" s="10">
        <f>U18/T22</f>
        <v>1.6921792218600844E-2</v>
      </c>
    </row>
    <row r="20" spans="2:21" ht="14.4" customHeight="1" x14ac:dyDescent="0.3">
      <c r="B20" s="1" t="s">
        <v>28</v>
      </c>
      <c r="E20" s="8">
        <f>E18*E17</f>
        <v>2061007.1999999997</v>
      </c>
      <c r="F20" s="8">
        <f>F18*F17</f>
        <v>1936498.2</v>
      </c>
      <c r="G20" s="8">
        <f>G18*G17</f>
        <v>2619234.8800000004</v>
      </c>
      <c r="H20" s="8">
        <f>H18*H17</f>
        <v>3338269.55</v>
      </c>
      <c r="I20" s="8">
        <f>I18*I17</f>
        <v>3713663.06</v>
      </c>
      <c r="J20" s="8">
        <f>J17*J18</f>
        <v>4927486.1803863999</v>
      </c>
      <c r="K20" s="8">
        <f>K17*K18</f>
        <v>5353102.3929663673</v>
      </c>
      <c r="M20" s="1" t="s">
        <v>106</v>
      </c>
      <c r="P20" s="29">
        <v>28.45</v>
      </c>
      <c r="R20" s="1" t="s">
        <v>42</v>
      </c>
      <c r="U20" s="10">
        <v>5.11E-2</v>
      </c>
    </row>
    <row r="21" spans="2:21" ht="14.4" customHeight="1" x14ac:dyDescent="0.3">
      <c r="B21" s="1" t="s">
        <v>29</v>
      </c>
      <c r="E21" s="12">
        <v>130256</v>
      </c>
      <c r="F21" s="12">
        <v>104749</v>
      </c>
      <c r="G21" s="12">
        <v>111256</v>
      </c>
      <c r="H21" s="12">
        <v>75543</v>
      </c>
      <c r="I21" s="12">
        <v>94565</v>
      </c>
      <c r="J21" s="12">
        <v>102012</v>
      </c>
      <c r="K21" s="12">
        <v>102012</v>
      </c>
      <c r="M21" s="1" t="s">
        <v>104</v>
      </c>
      <c r="P21" s="29">
        <v>12.02</v>
      </c>
      <c r="R21" s="1" t="s">
        <v>43</v>
      </c>
      <c r="U21" s="10">
        <v>0.19</v>
      </c>
    </row>
    <row r="22" spans="2:21" ht="14.4" customHeight="1" x14ac:dyDescent="0.3">
      <c r="B22" s="6" t="s">
        <v>30</v>
      </c>
      <c r="C22" s="6"/>
      <c r="D22" s="6"/>
      <c r="E22" s="9">
        <f>50084+21379</f>
        <v>71463</v>
      </c>
      <c r="F22" s="9">
        <f>47032+25331</f>
        <v>72363</v>
      </c>
      <c r="G22" s="9">
        <f>41990+28598</f>
        <v>70588</v>
      </c>
      <c r="H22" s="9">
        <f>42688+40293+6693</f>
        <v>89674</v>
      </c>
      <c r="I22" s="9">
        <f>40152+60437</f>
        <v>100589</v>
      </c>
      <c r="J22" s="9">
        <f>35376+69347</f>
        <v>104723</v>
      </c>
      <c r="K22" s="9">
        <f>35376+69347</f>
        <v>104723</v>
      </c>
      <c r="M22" s="1" t="s">
        <v>103</v>
      </c>
      <c r="P22" s="29">
        <f>P18/175768</f>
        <v>20.013773838241317</v>
      </c>
      <c r="R22" s="6" t="s">
        <v>44</v>
      </c>
      <c r="S22" s="6"/>
      <c r="T22" s="56">
        <f>T11+U18</f>
        <v>3580590</v>
      </c>
      <c r="U22" s="56"/>
    </row>
    <row r="23" spans="2:21" ht="14.4" customHeight="1" x14ac:dyDescent="0.3">
      <c r="B23" s="1" t="s">
        <v>31</v>
      </c>
      <c r="E23" s="8">
        <f t="shared" ref="E23:K23" si="0">E20-E21+E22</f>
        <v>2002214.1999999997</v>
      </c>
      <c r="F23" s="8">
        <f t="shared" si="0"/>
        <v>1904112.2</v>
      </c>
      <c r="G23" s="8">
        <f t="shared" si="0"/>
        <v>2578566.8800000004</v>
      </c>
      <c r="H23" s="8">
        <f t="shared" si="0"/>
        <v>3352400.55</v>
      </c>
      <c r="I23" s="8">
        <f t="shared" si="0"/>
        <v>3719687.06</v>
      </c>
      <c r="J23" s="8">
        <f t="shared" si="0"/>
        <v>4930197.1803863999</v>
      </c>
      <c r="K23" s="8">
        <f t="shared" si="0"/>
        <v>5355813.3929663673</v>
      </c>
      <c r="R23" s="1" t="s">
        <v>35</v>
      </c>
      <c r="U23" s="10">
        <f>(U12*U13)+(U19*U20*(1-U21))</f>
        <v>9.0327650105150287E-2</v>
      </c>
    </row>
    <row r="25" spans="2:21" ht="14.4" customHeight="1" x14ac:dyDescent="0.3">
      <c r="B25" s="2" t="s">
        <v>5</v>
      </c>
      <c r="C25" s="2"/>
      <c r="D25" s="2"/>
      <c r="E25" s="2">
        <v>2021</v>
      </c>
      <c r="F25" s="2">
        <f>E25+1</f>
        <v>2022</v>
      </c>
      <c r="G25" s="2">
        <f>F25+1</f>
        <v>2023</v>
      </c>
      <c r="H25" s="2">
        <f>G25+1</f>
        <v>2024</v>
      </c>
      <c r="I25" s="2">
        <f>H25+1</f>
        <v>2025</v>
      </c>
      <c r="J25" s="3" t="s">
        <v>6</v>
      </c>
      <c r="K25" s="3" t="s">
        <v>7</v>
      </c>
      <c r="L25" s="3" t="s">
        <v>8</v>
      </c>
      <c r="M25" s="3" t="s">
        <v>9</v>
      </c>
      <c r="N25" s="3" t="s">
        <v>10</v>
      </c>
    </row>
    <row r="26" spans="2:21" s="24" customFormat="1" ht="1.95" customHeight="1" x14ac:dyDescent="0.3">
      <c r="B26" s="25"/>
      <c r="C26" s="25"/>
      <c r="D26" s="25"/>
      <c r="E26" s="25"/>
      <c r="F26" s="25"/>
      <c r="G26" s="25"/>
      <c r="H26" s="25"/>
      <c r="I26" s="25"/>
      <c r="J26" s="25"/>
      <c r="K26" s="25"/>
      <c r="L26" s="26"/>
      <c r="M26" s="26"/>
      <c r="N26" s="26"/>
      <c r="O26" s="26"/>
      <c r="P26" s="26"/>
    </row>
    <row r="27" spans="2:21" ht="14.4" customHeight="1" x14ac:dyDescent="0.3">
      <c r="B27" s="1" t="s">
        <v>11</v>
      </c>
      <c r="E27" s="12">
        <v>168088</v>
      </c>
      <c r="F27" s="12">
        <v>198270</v>
      </c>
      <c r="G27" s="12">
        <v>211915</v>
      </c>
      <c r="H27" s="12">
        <v>245122</v>
      </c>
      <c r="I27" s="12">
        <v>281724</v>
      </c>
      <c r="J27" s="27">
        <f>Segments!L24</f>
        <v>326350.33999999997</v>
      </c>
      <c r="K27" s="27">
        <f>Segments!M24</f>
        <v>377478.46120000002</v>
      </c>
      <c r="L27" s="27">
        <f>Segments!N24</f>
        <v>437847.37091920001</v>
      </c>
      <c r="M27" s="8">
        <f>L27*1.155</f>
        <v>505713.713411676</v>
      </c>
      <c r="N27" s="8">
        <f>M27*1.145</f>
        <v>579042.20185636904</v>
      </c>
    </row>
    <row r="28" spans="2:21" ht="14.4" customHeight="1" x14ac:dyDescent="0.3">
      <c r="B28" s="5" t="s">
        <v>12</v>
      </c>
      <c r="C28" s="5"/>
      <c r="D28" s="5"/>
      <c r="E28" s="11">
        <f>(E27-143015)/143015</f>
        <v>0.175317274411775</v>
      </c>
      <c r="F28" s="11">
        <f>(F27-E27)/E27</f>
        <v>0.17956070629670173</v>
      </c>
      <c r="G28" s="11">
        <f t="shared" ref="G28:N28" si="1">(G27-F27)/F27</f>
        <v>6.8820295556564284E-2</v>
      </c>
      <c r="H28" s="11">
        <f t="shared" si="1"/>
        <v>0.15669962013071279</v>
      </c>
      <c r="I28" s="11">
        <f t="shared" si="1"/>
        <v>0.14932156232406721</v>
      </c>
      <c r="J28" s="11">
        <f>(J27-I27)/I27</f>
        <v>0.15840446678309256</v>
      </c>
      <c r="K28" s="11">
        <f t="shared" si="1"/>
        <v>0.15666636412880727</v>
      </c>
      <c r="L28" s="11">
        <f t="shared" si="1"/>
        <v>0.15992676648963722</v>
      </c>
      <c r="M28" s="11">
        <f t="shared" si="1"/>
        <v>0.15499999999999997</v>
      </c>
      <c r="N28" s="11">
        <f t="shared" si="1"/>
        <v>0.14500000000000005</v>
      </c>
      <c r="T28"/>
    </row>
    <row r="29" spans="2:21" ht="14.4" customHeight="1" x14ac:dyDescent="0.3">
      <c r="B29" s="5"/>
      <c r="C29" s="5"/>
      <c r="D29" s="5"/>
      <c r="E29" s="11"/>
      <c r="F29" s="11"/>
      <c r="G29" s="11"/>
      <c r="H29" s="11"/>
      <c r="I29" s="11"/>
      <c r="J29" s="11"/>
      <c r="K29" s="11"/>
      <c r="L29" s="11"/>
      <c r="M29" s="11"/>
      <c r="N29" s="11"/>
      <c r="T29"/>
    </row>
    <row r="30" spans="2:21" ht="14.4" customHeight="1" x14ac:dyDescent="0.3">
      <c r="B30" s="1" t="s">
        <v>64</v>
      </c>
      <c r="E30" s="12">
        <v>52232</v>
      </c>
      <c r="F30" s="12">
        <v>62650</v>
      </c>
      <c r="G30" s="12">
        <v>65863</v>
      </c>
      <c r="H30" s="12">
        <v>74114</v>
      </c>
      <c r="I30" s="12">
        <v>87831</v>
      </c>
      <c r="J30" s="8">
        <f>J27*0.32</f>
        <v>104432.10879999999</v>
      </c>
      <c r="K30" s="8">
        <f>K27*0.32</f>
        <v>120793.10758400001</v>
      </c>
      <c r="L30" s="8">
        <f>L27*0.32</f>
        <v>140111.15869414402</v>
      </c>
      <c r="M30" s="8">
        <f>M27*0.32</f>
        <v>161828.38829173634</v>
      </c>
      <c r="N30" s="8">
        <f>N27*0.32</f>
        <v>185293.5045940381</v>
      </c>
    </row>
    <row r="31" spans="2:21" ht="14.4" customHeight="1" x14ac:dyDescent="0.3">
      <c r="B31" s="5" t="s">
        <v>16</v>
      </c>
      <c r="E31" s="11">
        <f t="shared" ref="E31:N31" si="2">E30/E27</f>
        <v>0.31074199228975297</v>
      </c>
      <c r="F31" s="11">
        <f t="shared" si="2"/>
        <v>0.31598325515710901</v>
      </c>
      <c r="G31" s="11">
        <f t="shared" si="2"/>
        <v>0.31079914116508978</v>
      </c>
      <c r="H31" s="11">
        <f t="shared" si="2"/>
        <v>0.30235556172028621</v>
      </c>
      <c r="I31" s="11">
        <f t="shared" si="2"/>
        <v>0.31176257613834818</v>
      </c>
      <c r="J31" s="11">
        <f t="shared" si="2"/>
        <v>0.32</v>
      </c>
      <c r="K31" s="11">
        <f t="shared" si="2"/>
        <v>0.32</v>
      </c>
      <c r="L31" s="11">
        <f t="shared" si="2"/>
        <v>0.32000000000000006</v>
      </c>
      <c r="M31" s="11">
        <f t="shared" si="2"/>
        <v>0.32000000000000006</v>
      </c>
      <c r="N31" s="11">
        <f t="shared" si="2"/>
        <v>0.32</v>
      </c>
    </row>
    <row r="33" spans="2:16" ht="14.4" customHeight="1" x14ac:dyDescent="0.3">
      <c r="B33" s="1" t="s">
        <v>65</v>
      </c>
      <c r="E33" s="8">
        <f t="shared" ref="E33:N33" si="3">E27-E30</f>
        <v>115856</v>
      </c>
      <c r="F33" s="8">
        <f t="shared" si="3"/>
        <v>135620</v>
      </c>
      <c r="G33" s="8">
        <f t="shared" si="3"/>
        <v>146052</v>
      </c>
      <c r="H33" s="8">
        <f t="shared" si="3"/>
        <v>171008</v>
      </c>
      <c r="I33" s="8">
        <f t="shared" si="3"/>
        <v>193893</v>
      </c>
      <c r="J33" s="8">
        <f t="shared" si="3"/>
        <v>221918.23119999998</v>
      </c>
      <c r="K33" s="8">
        <f t="shared" si="3"/>
        <v>256685.35361600001</v>
      </c>
      <c r="L33" s="8">
        <f t="shared" si="3"/>
        <v>297736.21222505602</v>
      </c>
      <c r="M33" s="8">
        <f t="shared" si="3"/>
        <v>343885.32511993963</v>
      </c>
      <c r="N33" s="8">
        <f t="shared" si="3"/>
        <v>393748.69726233091</v>
      </c>
    </row>
    <row r="34" spans="2:16" ht="14.4" customHeight="1" x14ac:dyDescent="0.3">
      <c r="B34" s="5" t="s">
        <v>16</v>
      </c>
      <c r="E34" s="11">
        <f>E33/E27</f>
        <v>0.68925800771024703</v>
      </c>
      <c r="F34" s="11">
        <f t="shared" ref="F34:N34" si="4">F33/F27</f>
        <v>0.68401674484289099</v>
      </c>
      <c r="G34" s="11">
        <f t="shared" si="4"/>
        <v>0.68920085883491022</v>
      </c>
      <c r="H34" s="11">
        <f t="shared" si="4"/>
        <v>0.69764443827971379</v>
      </c>
      <c r="I34" s="11">
        <f t="shared" si="4"/>
        <v>0.68823742386165188</v>
      </c>
      <c r="J34" s="11">
        <f t="shared" si="4"/>
        <v>0.68</v>
      </c>
      <c r="K34" s="11">
        <f t="shared" si="4"/>
        <v>0.67999999999999994</v>
      </c>
      <c r="L34" s="11">
        <f t="shared" si="4"/>
        <v>0.68</v>
      </c>
      <c r="M34" s="11">
        <f t="shared" si="4"/>
        <v>0.67999999999999994</v>
      </c>
      <c r="N34" s="11">
        <f t="shared" si="4"/>
        <v>0.67999999999999994</v>
      </c>
    </row>
    <row r="36" spans="2:16" ht="14.4" customHeight="1" x14ac:dyDescent="0.3">
      <c r="B36" s="1" t="s">
        <v>66</v>
      </c>
      <c r="E36" s="12">
        <v>25224</v>
      </c>
      <c r="F36" s="12">
        <v>27725</v>
      </c>
      <c r="G36" s="12">
        <v>30334</v>
      </c>
      <c r="H36" s="12">
        <v>32065</v>
      </c>
      <c r="I36" s="12">
        <v>32877</v>
      </c>
      <c r="J36" s="8">
        <f>J27*0.12</f>
        <v>39162.040799999995</v>
      </c>
      <c r="K36" s="8">
        <f>K27*0.11</f>
        <v>41522.630732000005</v>
      </c>
      <c r="L36" s="8">
        <f>L27*0.105</f>
        <v>45973.973946516002</v>
      </c>
      <c r="M36" s="8">
        <f>M27*0.105</f>
        <v>53099.939908225977</v>
      </c>
      <c r="N36" s="8">
        <f>N27*0.105</f>
        <v>60799.431194918747</v>
      </c>
    </row>
    <row r="37" spans="2:16" ht="14.4" customHeight="1" x14ac:dyDescent="0.3">
      <c r="B37" s="5" t="s">
        <v>16</v>
      </c>
      <c r="E37" s="11">
        <f t="shared" ref="E37:N37" si="5">E36/E27</f>
        <v>0.15006425205844556</v>
      </c>
      <c r="F37" s="11">
        <f t="shared" si="5"/>
        <v>0.13983456902204064</v>
      </c>
      <c r="G37" s="11">
        <f t="shared" si="5"/>
        <v>0.14314229761932851</v>
      </c>
      <c r="H37" s="11">
        <f t="shared" si="5"/>
        <v>0.13081241177862452</v>
      </c>
      <c r="I37" s="11">
        <f t="shared" si="5"/>
        <v>0.11669932274140649</v>
      </c>
      <c r="J37" s="11">
        <f t="shared" si="5"/>
        <v>0.12</v>
      </c>
      <c r="K37" s="11">
        <f t="shared" si="5"/>
        <v>0.11000000000000001</v>
      </c>
      <c r="L37" s="11">
        <f t="shared" si="5"/>
        <v>0.105</v>
      </c>
      <c r="M37" s="11">
        <f t="shared" si="5"/>
        <v>0.105</v>
      </c>
      <c r="N37" s="11">
        <f t="shared" si="5"/>
        <v>0.105</v>
      </c>
    </row>
    <row r="39" spans="2:16" ht="14.4" customHeight="1" x14ac:dyDescent="0.3">
      <c r="B39" s="1" t="s">
        <v>67</v>
      </c>
      <c r="E39" s="12">
        <v>20716</v>
      </c>
      <c r="F39" s="12">
        <v>24512</v>
      </c>
      <c r="G39" s="12">
        <v>27195</v>
      </c>
      <c r="H39" s="12">
        <v>29510</v>
      </c>
      <c r="I39" s="12">
        <v>32488</v>
      </c>
      <c r="J39" s="8">
        <f>J27*0.109</f>
        <v>35572.187059999997</v>
      </c>
      <c r="K39" s="8">
        <f>K27*0.1055</f>
        <v>39823.9776566</v>
      </c>
      <c r="L39" s="8">
        <f>L27*0.104</f>
        <v>45536.126575596798</v>
      </c>
      <c r="M39" s="8">
        <f>M27*0.1</f>
        <v>50571.3713411676</v>
      </c>
      <c r="N39" s="8">
        <f>N27*0.1</f>
        <v>57904.220185636907</v>
      </c>
      <c r="P39" s="8"/>
    </row>
    <row r="40" spans="2:16" ht="14.4" customHeight="1" x14ac:dyDescent="0.3">
      <c r="B40" s="5" t="s">
        <v>16</v>
      </c>
      <c r="E40" s="11">
        <f t="shared" ref="E40:N40" si="6">E39/E27</f>
        <v>0.12324496692208843</v>
      </c>
      <c r="F40" s="11">
        <f t="shared" si="6"/>
        <v>0.12362939426035205</v>
      </c>
      <c r="G40" s="11">
        <f t="shared" si="6"/>
        <v>0.12832975485454073</v>
      </c>
      <c r="H40" s="11">
        <f t="shared" si="6"/>
        <v>0.12038903076835208</v>
      </c>
      <c r="I40" s="11">
        <f t="shared" si="6"/>
        <v>0.11531853871164686</v>
      </c>
      <c r="J40" s="11">
        <f t="shared" si="6"/>
        <v>0.109</v>
      </c>
      <c r="K40" s="11">
        <f t="shared" si="6"/>
        <v>0.1055</v>
      </c>
      <c r="L40" s="11">
        <f t="shared" si="6"/>
        <v>0.104</v>
      </c>
      <c r="M40" s="11">
        <f t="shared" si="6"/>
        <v>0.1</v>
      </c>
      <c r="N40" s="11">
        <f t="shared" si="6"/>
        <v>0.1</v>
      </c>
    </row>
    <row r="42" spans="2:16" ht="14.4" customHeight="1" x14ac:dyDescent="0.3">
      <c r="B42" s="1" t="s">
        <v>13</v>
      </c>
      <c r="E42" s="8">
        <f t="shared" ref="E42:N42" si="7">E33-E36-E39</f>
        <v>69916</v>
      </c>
      <c r="F42" s="8">
        <f t="shared" si="7"/>
        <v>83383</v>
      </c>
      <c r="G42" s="8">
        <f t="shared" si="7"/>
        <v>88523</v>
      </c>
      <c r="H42" s="8">
        <f t="shared" si="7"/>
        <v>109433</v>
      </c>
      <c r="I42" s="8">
        <f t="shared" si="7"/>
        <v>128528</v>
      </c>
      <c r="J42" s="8">
        <f t="shared" si="7"/>
        <v>147184.00334</v>
      </c>
      <c r="K42" s="8">
        <f t="shared" si="7"/>
        <v>175338.74522739998</v>
      </c>
      <c r="L42" s="8">
        <f t="shared" si="7"/>
        <v>206226.11170294322</v>
      </c>
      <c r="M42" s="8">
        <f t="shared" si="7"/>
        <v>240214.01387054607</v>
      </c>
      <c r="N42" s="8">
        <f t="shared" si="7"/>
        <v>275045.04588177527</v>
      </c>
    </row>
    <row r="43" spans="2:16" ht="14.4" customHeight="1" x14ac:dyDescent="0.3">
      <c r="B43" s="5" t="s">
        <v>16</v>
      </c>
      <c r="E43" s="11">
        <f t="shared" ref="E43:N43" si="8">E42/E27</f>
        <v>0.41594878872971303</v>
      </c>
      <c r="F43" s="11">
        <f t="shared" si="8"/>
        <v>0.4205527815604983</v>
      </c>
      <c r="G43" s="11">
        <f t="shared" si="8"/>
        <v>0.41772880636104098</v>
      </c>
      <c r="H43" s="11">
        <f t="shared" si="8"/>
        <v>0.44644299573273716</v>
      </c>
      <c r="I43" s="11">
        <f t="shared" si="8"/>
        <v>0.45621956240859851</v>
      </c>
      <c r="J43" s="11">
        <f t="shared" si="8"/>
        <v>0.45100000000000001</v>
      </c>
      <c r="K43" s="11">
        <f t="shared" si="8"/>
        <v>0.46449999999999991</v>
      </c>
      <c r="L43" s="11">
        <f t="shared" si="8"/>
        <v>0.47100000000000003</v>
      </c>
      <c r="M43" s="11">
        <f t="shared" si="8"/>
        <v>0.47499999999999992</v>
      </c>
      <c r="N43" s="11">
        <f t="shared" si="8"/>
        <v>0.47499999999999998</v>
      </c>
    </row>
    <row r="45" spans="2:16" ht="14.4" customHeight="1" x14ac:dyDescent="0.3">
      <c r="B45" s="1" t="s">
        <v>14</v>
      </c>
      <c r="E45" s="12">
        <v>9831</v>
      </c>
      <c r="F45" s="12">
        <v>10978</v>
      </c>
      <c r="G45" s="12">
        <v>16950</v>
      </c>
      <c r="H45" s="12">
        <v>19651</v>
      </c>
      <c r="I45" s="12">
        <v>21795</v>
      </c>
      <c r="J45" s="8">
        <f>J42*0.185</f>
        <v>27229.040617899998</v>
      </c>
      <c r="K45" s="8">
        <f>K42*0.185</f>
        <v>32437.667867068994</v>
      </c>
      <c r="L45" s="8">
        <f>L42*0.19</f>
        <v>39182.961223559214</v>
      </c>
      <c r="M45" s="8">
        <f>M42*0.2</f>
        <v>48042.802774109216</v>
      </c>
      <c r="N45" s="8">
        <f>N42*0.21</f>
        <v>57759.459635172803</v>
      </c>
    </row>
    <row r="46" spans="2:16" ht="14.4" customHeight="1" x14ac:dyDescent="0.3">
      <c r="B46" s="5" t="s">
        <v>15</v>
      </c>
      <c r="E46" s="11">
        <f t="shared" ref="E46:N46" si="9">E45/E42</f>
        <v>0.14061159105211968</v>
      </c>
      <c r="F46" s="11">
        <f t="shared" si="9"/>
        <v>0.13165753211086192</v>
      </c>
      <c r="G46" s="11">
        <f t="shared" si="9"/>
        <v>0.19147566169244151</v>
      </c>
      <c r="H46" s="11">
        <f t="shared" si="9"/>
        <v>0.17957106174554294</v>
      </c>
      <c r="I46" s="11">
        <f t="shared" si="9"/>
        <v>0.16957394497697001</v>
      </c>
      <c r="J46" s="11">
        <f t="shared" si="9"/>
        <v>0.185</v>
      </c>
      <c r="K46" s="11">
        <f t="shared" si="9"/>
        <v>0.185</v>
      </c>
      <c r="L46" s="11">
        <f t="shared" si="9"/>
        <v>0.19</v>
      </c>
      <c r="M46" s="11">
        <f t="shared" si="9"/>
        <v>0.2</v>
      </c>
      <c r="N46" s="11">
        <f t="shared" si="9"/>
        <v>0.21</v>
      </c>
    </row>
    <row r="48" spans="2:16" ht="14.4" customHeight="1" x14ac:dyDescent="0.3">
      <c r="B48" s="2" t="s">
        <v>17</v>
      </c>
      <c r="C48" s="2"/>
      <c r="D48" s="2"/>
      <c r="E48" s="2">
        <v>2021</v>
      </c>
      <c r="F48" s="2">
        <f>E48+1</f>
        <v>2022</v>
      </c>
      <c r="G48" s="2">
        <f>F48+1</f>
        <v>2023</v>
      </c>
      <c r="H48" s="2">
        <f>G48+1</f>
        <v>2024</v>
      </c>
      <c r="I48" s="2">
        <f>H48+1</f>
        <v>2025</v>
      </c>
      <c r="J48" s="3" t="s">
        <v>6</v>
      </c>
      <c r="K48" s="3" t="s">
        <v>7</v>
      </c>
      <c r="L48" s="3" t="s">
        <v>8</v>
      </c>
      <c r="M48" s="3" t="s">
        <v>9</v>
      </c>
      <c r="N48" s="3" t="s">
        <v>10</v>
      </c>
    </row>
    <row r="49" spans="2:16" s="24" customFormat="1" ht="1.95" customHeight="1" x14ac:dyDescent="0.3">
      <c r="B49" s="25"/>
      <c r="C49" s="25"/>
      <c r="D49" s="25"/>
      <c r="E49" s="25"/>
      <c r="F49" s="25"/>
      <c r="G49" s="25"/>
      <c r="H49" s="25"/>
      <c r="I49" s="25"/>
      <c r="J49" s="25"/>
      <c r="K49" s="25"/>
      <c r="L49" s="26"/>
      <c r="M49" s="26"/>
      <c r="N49" s="26"/>
      <c r="O49" s="26"/>
      <c r="P49" s="26"/>
    </row>
    <row r="50" spans="2:16" ht="14.4" customHeight="1" x14ac:dyDescent="0.3">
      <c r="B50" s="1" t="s">
        <v>18</v>
      </c>
      <c r="E50" s="12">
        <v>11686</v>
      </c>
      <c r="F50" s="12">
        <v>14460</v>
      </c>
      <c r="G50" s="12">
        <v>13861</v>
      </c>
      <c r="H50" s="12">
        <v>22287</v>
      </c>
      <c r="I50" s="12">
        <v>34153</v>
      </c>
      <c r="J50" s="8">
        <f>J54*0.481</f>
        <v>47295.767999999996</v>
      </c>
      <c r="K50" s="8">
        <f>K54*0.472</f>
        <v>54921.447999999997</v>
      </c>
      <c r="L50" s="8">
        <f>L54*0.4785</f>
        <v>59575.226204999999</v>
      </c>
      <c r="M50" s="8">
        <f>M54*0.4785</f>
        <v>57787.96941885</v>
      </c>
      <c r="N50" s="8">
        <f>N54*0.4785</f>
        <v>56632.210030472997</v>
      </c>
    </row>
    <row r="51" spans="2:16" ht="14.4" customHeight="1" x14ac:dyDescent="0.3">
      <c r="B51" s="1" t="s">
        <v>16</v>
      </c>
      <c r="E51" s="11">
        <f t="shared" ref="E51:N51" si="10">E50/E27</f>
        <v>6.9523106943981727E-2</v>
      </c>
      <c r="F51" s="11">
        <f t="shared" si="10"/>
        <v>7.2930851868663937E-2</v>
      </c>
      <c r="G51" s="11">
        <f t="shared" si="10"/>
        <v>6.5408300497841118E-2</v>
      </c>
      <c r="H51" s="11">
        <f t="shared" si="10"/>
        <v>9.0922071458294243E-2</v>
      </c>
      <c r="I51" s="11">
        <f t="shared" si="10"/>
        <v>0.12122857832488534</v>
      </c>
      <c r="J51" s="11">
        <f t="shared" si="10"/>
        <v>0.14492329929853912</v>
      </c>
      <c r="K51" s="11">
        <f t="shared" si="10"/>
        <v>0.14549558092773107</v>
      </c>
      <c r="L51" s="11">
        <f t="shared" si="10"/>
        <v>0.13606391213433588</v>
      </c>
      <c r="M51" s="11">
        <f t="shared" si="10"/>
        <v>0.11427012534225611</v>
      </c>
      <c r="N51" s="11">
        <f t="shared" si="10"/>
        <v>9.7803251384638412E-2</v>
      </c>
    </row>
    <row r="52" spans="2:16" ht="14.4" customHeight="1" x14ac:dyDescent="0.3">
      <c r="B52" s="1" t="s">
        <v>34</v>
      </c>
      <c r="E52" s="11">
        <f t="shared" ref="E52:N52" si="11">E50/E54</f>
        <v>0.56667636504703711</v>
      </c>
      <c r="F52" s="11">
        <f t="shared" si="11"/>
        <v>0.60537553378548103</v>
      </c>
      <c r="G52" s="11">
        <f t="shared" si="11"/>
        <v>0.49315117230583128</v>
      </c>
      <c r="H52" s="11">
        <f t="shared" si="11"/>
        <v>0.50109045124446339</v>
      </c>
      <c r="I52" s="11">
        <f t="shared" si="11"/>
        <v>0.52908552927142882</v>
      </c>
      <c r="J52" s="11">
        <f t="shared" si="11"/>
        <v>0.48099999999999998</v>
      </c>
      <c r="K52" s="11">
        <f t="shared" si="11"/>
        <v>0.47199999999999998</v>
      </c>
      <c r="L52" s="11">
        <f t="shared" si="11"/>
        <v>0.47849999999999998</v>
      </c>
      <c r="M52" s="11">
        <f t="shared" si="11"/>
        <v>0.47849999999999998</v>
      </c>
      <c r="N52" s="11">
        <f t="shared" si="11"/>
        <v>0.47849999999999998</v>
      </c>
    </row>
    <row r="54" spans="2:16" ht="14.4" customHeight="1" x14ac:dyDescent="0.3">
      <c r="B54" s="1" t="s">
        <v>19</v>
      </c>
      <c r="E54" s="12">
        <v>20622</v>
      </c>
      <c r="F54" s="12">
        <v>23886</v>
      </c>
      <c r="G54" s="12">
        <v>28107</v>
      </c>
      <c r="H54" s="12">
        <v>44477</v>
      </c>
      <c r="I54" s="12">
        <v>64551</v>
      </c>
      <c r="J54" s="12">
        <v>98328</v>
      </c>
      <c r="K54" s="12">
        <v>116359</v>
      </c>
      <c r="L54" s="8">
        <f>K54*1.07</f>
        <v>124504.13</v>
      </c>
      <c r="M54" s="8">
        <f>L54*0.97</f>
        <v>120769.0061</v>
      </c>
      <c r="N54" s="8">
        <f>M54*0.98</f>
        <v>118353.625978</v>
      </c>
    </row>
    <row r="55" spans="2:16" ht="14.4" customHeight="1" x14ac:dyDescent="0.3">
      <c r="B55" s="1" t="s">
        <v>99</v>
      </c>
      <c r="E55" s="12"/>
      <c r="F55" s="12"/>
      <c r="G55" s="12"/>
      <c r="H55" s="12"/>
      <c r="I55" s="12"/>
      <c r="J55" s="12"/>
      <c r="K55" s="12"/>
      <c r="L55" s="8"/>
      <c r="M55" s="8"/>
      <c r="N55" s="8"/>
    </row>
    <row r="57" spans="2:16" ht="14.4" customHeight="1" x14ac:dyDescent="0.3">
      <c r="B57" s="1" t="s">
        <v>20</v>
      </c>
      <c r="E57" s="13">
        <f>-0.94*1000</f>
        <v>-940</v>
      </c>
      <c r="F57" s="13">
        <f>0.45*1000</f>
        <v>450</v>
      </c>
      <c r="G57" s="13">
        <f>-2.39*1000</f>
        <v>-2390</v>
      </c>
      <c r="H57" s="13">
        <f>1.82*1000</f>
        <v>1820</v>
      </c>
      <c r="I57" s="13">
        <f>-5.35*1000</f>
        <v>-5350</v>
      </c>
      <c r="J57" s="13">
        <f>J27*-0.006</f>
        <v>-1958.1020399999998</v>
      </c>
      <c r="K57" s="13">
        <f>K27*-0.004</f>
        <v>-1509.9138448000001</v>
      </c>
      <c r="L57" s="13">
        <f>L27*-0.002</f>
        <v>-875.69474183840009</v>
      </c>
      <c r="M57" s="13">
        <f>M27*-0.002</f>
        <v>-1011.427426823352</v>
      </c>
      <c r="N57" s="13">
        <f>N27*0.001</f>
        <v>579.04220185636905</v>
      </c>
    </row>
    <row r="58" spans="2:16" ht="14.4" customHeight="1" x14ac:dyDescent="0.3">
      <c r="B58" s="1" t="s">
        <v>16</v>
      </c>
      <c r="E58" s="14">
        <f t="shared" ref="E58:N58" si="12">E57/E27</f>
        <v>-5.5923087906334778E-3</v>
      </c>
      <c r="F58" s="14">
        <f t="shared" si="12"/>
        <v>2.2696323195642307E-3</v>
      </c>
      <c r="G58" s="14">
        <f t="shared" si="12"/>
        <v>-1.1278106788099002E-2</v>
      </c>
      <c r="H58" s="14">
        <f t="shared" si="12"/>
        <v>7.4248741443036529E-3</v>
      </c>
      <c r="I58" s="14">
        <f t="shared" si="12"/>
        <v>-1.8990217375871421E-2</v>
      </c>
      <c r="J58" s="14">
        <f t="shared" si="12"/>
        <v>-6.0000000000000001E-3</v>
      </c>
      <c r="K58" s="14">
        <f t="shared" si="12"/>
        <v>-4.0000000000000001E-3</v>
      </c>
      <c r="L58" s="14">
        <f t="shared" si="12"/>
        <v>-2E-3</v>
      </c>
      <c r="M58" s="14">
        <f t="shared" si="12"/>
        <v>-2E-3</v>
      </c>
      <c r="N58" s="14">
        <f t="shared" si="12"/>
        <v>1E-3</v>
      </c>
    </row>
    <row r="59" spans="2:16" ht="14.4" customHeight="1" x14ac:dyDescent="0.3">
      <c r="B59" s="1" t="s">
        <v>21</v>
      </c>
      <c r="E59" s="14">
        <f t="shared" ref="E59:N59" si="13">E57/(E27-D27)</f>
        <v>-5.5923087906334778E-3</v>
      </c>
      <c r="F59" s="14">
        <f t="shared" si="13"/>
        <v>1.4909548737658207E-2</v>
      </c>
      <c r="G59" s="14">
        <f t="shared" si="13"/>
        <v>-0.17515573470135581</v>
      </c>
      <c r="H59" s="14">
        <f t="shared" si="13"/>
        <v>5.4807721263589002E-2</v>
      </c>
      <c r="I59" s="14">
        <f t="shared" si="13"/>
        <v>-0.14616687612698759</v>
      </c>
      <c r="J59" s="14">
        <f t="shared" si="13"/>
        <v>-4.387771975026411E-2</v>
      </c>
      <c r="K59" s="14">
        <f t="shared" si="13"/>
        <v>-2.9531964198207201E-2</v>
      </c>
      <c r="L59" s="14">
        <f t="shared" si="13"/>
        <v>-1.4505723987920396E-2</v>
      </c>
      <c r="M59" s="14">
        <f t="shared" si="13"/>
        <v>-1.4903225806451615E-2</v>
      </c>
      <c r="N59" s="14">
        <f t="shared" si="13"/>
        <v>7.8965517241379301E-3</v>
      </c>
    </row>
    <row r="61" spans="2:16" ht="14.4" customHeight="1" x14ac:dyDescent="0.3">
      <c r="B61" s="2" t="s">
        <v>22</v>
      </c>
      <c r="C61" s="2"/>
      <c r="D61" s="2"/>
      <c r="E61" s="2">
        <v>2021</v>
      </c>
      <c r="F61" s="2">
        <f>E61+1</f>
        <v>2022</v>
      </c>
      <c r="G61" s="2">
        <f>F61+1</f>
        <v>2023</v>
      </c>
      <c r="H61" s="2">
        <f>G61+1</f>
        <v>2024</v>
      </c>
      <c r="I61" s="2">
        <f>H61+1</f>
        <v>2025</v>
      </c>
      <c r="J61" s="3" t="s">
        <v>6</v>
      </c>
      <c r="K61" s="3" t="s">
        <v>7</v>
      </c>
      <c r="L61" s="3" t="s">
        <v>8</v>
      </c>
      <c r="M61" s="3" t="s">
        <v>9</v>
      </c>
      <c r="N61" s="3" t="s">
        <v>10</v>
      </c>
    </row>
    <row r="62" spans="2:16" ht="14.4" customHeight="1" x14ac:dyDescent="0.3">
      <c r="B62" s="1" t="s">
        <v>11</v>
      </c>
      <c r="E62" s="8">
        <f t="shared" ref="E62:N62" si="14">E27</f>
        <v>168088</v>
      </c>
      <c r="F62" s="8">
        <f t="shared" si="14"/>
        <v>198270</v>
      </c>
      <c r="G62" s="8">
        <f t="shared" si="14"/>
        <v>211915</v>
      </c>
      <c r="H62" s="8">
        <f t="shared" si="14"/>
        <v>245122</v>
      </c>
      <c r="I62" s="8">
        <f t="shared" si="14"/>
        <v>281724</v>
      </c>
      <c r="J62" s="8">
        <f t="shared" si="14"/>
        <v>326350.33999999997</v>
      </c>
      <c r="K62" s="8">
        <f t="shared" si="14"/>
        <v>377478.46120000002</v>
      </c>
      <c r="L62" s="8">
        <f t="shared" si="14"/>
        <v>437847.37091920001</v>
      </c>
      <c r="M62" s="8">
        <f t="shared" si="14"/>
        <v>505713.713411676</v>
      </c>
      <c r="N62" s="8">
        <f t="shared" si="14"/>
        <v>579042.20185636904</v>
      </c>
    </row>
    <row r="63" spans="2:16" ht="14.4" customHeight="1" x14ac:dyDescent="0.3">
      <c r="B63" s="5" t="s">
        <v>12</v>
      </c>
      <c r="C63" s="5"/>
      <c r="D63" s="5"/>
      <c r="E63" s="11">
        <f>(E62-143015)/143015</f>
        <v>0.175317274411775</v>
      </c>
      <c r="F63" s="11">
        <f t="shared" ref="F63:N63" si="15">(F62-E62)/E62</f>
        <v>0.17956070629670173</v>
      </c>
      <c r="G63" s="11">
        <f t="shared" si="15"/>
        <v>6.8820295556564284E-2</v>
      </c>
      <c r="H63" s="11">
        <f t="shared" si="15"/>
        <v>0.15669962013071279</v>
      </c>
      <c r="I63" s="11">
        <f t="shared" si="15"/>
        <v>0.14932156232406721</v>
      </c>
      <c r="J63" s="11">
        <f t="shared" si="15"/>
        <v>0.15840446678309256</v>
      </c>
      <c r="K63" s="11">
        <f t="shared" si="15"/>
        <v>0.15666636412880727</v>
      </c>
      <c r="L63" s="11">
        <f t="shared" si="15"/>
        <v>0.15992676648963722</v>
      </c>
      <c r="M63" s="11">
        <f t="shared" si="15"/>
        <v>0.15499999999999997</v>
      </c>
      <c r="N63" s="11">
        <f t="shared" si="15"/>
        <v>0.14500000000000005</v>
      </c>
    </row>
    <row r="64" spans="2:16" ht="14.4" customHeight="1" x14ac:dyDescent="0.3">
      <c r="E64" s="8"/>
      <c r="F64" s="8"/>
      <c r="G64" s="8"/>
      <c r="H64" s="8"/>
      <c r="I64" s="8"/>
      <c r="J64" s="8"/>
      <c r="K64" s="8"/>
      <c r="L64" s="8"/>
      <c r="M64" s="8"/>
      <c r="N64" s="8"/>
    </row>
    <row r="65" spans="2:14" ht="14.4" customHeight="1" x14ac:dyDescent="0.3">
      <c r="B65" s="1" t="s">
        <v>13</v>
      </c>
      <c r="E65" s="8">
        <f t="shared" ref="E65:N65" si="16">E42</f>
        <v>69916</v>
      </c>
      <c r="F65" s="8">
        <f t="shared" si="16"/>
        <v>83383</v>
      </c>
      <c r="G65" s="8">
        <f t="shared" si="16"/>
        <v>88523</v>
      </c>
      <c r="H65" s="8">
        <f t="shared" si="16"/>
        <v>109433</v>
      </c>
      <c r="I65" s="8">
        <f t="shared" si="16"/>
        <v>128528</v>
      </c>
      <c r="J65" s="8">
        <f>J42</f>
        <v>147184.00334</v>
      </c>
      <c r="K65" s="8">
        <f t="shared" si="16"/>
        <v>175338.74522739998</v>
      </c>
      <c r="L65" s="8">
        <f t="shared" si="16"/>
        <v>206226.11170294322</v>
      </c>
      <c r="M65" s="8">
        <f t="shared" si="16"/>
        <v>240214.01387054607</v>
      </c>
      <c r="N65" s="8">
        <f t="shared" si="16"/>
        <v>275045.04588177527</v>
      </c>
    </row>
    <row r="66" spans="2:14" ht="14.4" customHeight="1" x14ac:dyDescent="0.3">
      <c r="B66" s="5" t="s">
        <v>16</v>
      </c>
      <c r="C66" s="5"/>
      <c r="D66" s="5"/>
      <c r="E66" s="11">
        <f t="shared" ref="E66:N66" si="17">E65/E62</f>
        <v>0.41594878872971303</v>
      </c>
      <c r="F66" s="11">
        <f t="shared" si="17"/>
        <v>0.4205527815604983</v>
      </c>
      <c r="G66" s="11">
        <f t="shared" si="17"/>
        <v>0.41772880636104098</v>
      </c>
      <c r="H66" s="11">
        <f t="shared" si="17"/>
        <v>0.44644299573273716</v>
      </c>
      <c r="I66" s="11">
        <f t="shared" si="17"/>
        <v>0.45621956240859851</v>
      </c>
      <c r="J66" s="11">
        <f t="shared" si="17"/>
        <v>0.45100000000000001</v>
      </c>
      <c r="K66" s="11">
        <f t="shared" si="17"/>
        <v>0.46449999999999991</v>
      </c>
      <c r="L66" s="11">
        <f t="shared" si="17"/>
        <v>0.47100000000000003</v>
      </c>
      <c r="M66" s="11">
        <f t="shared" si="17"/>
        <v>0.47499999999999992</v>
      </c>
      <c r="N66" s="11">
        <f t="shared" si="17"/>
        <v>0.47499999999999998</v>
      </c>
    </row>
    <row r="67" spans="2:14" ht="14.4" customHeight="1" x14ac:dyDescent="0.3">
      <c r="J67" s="8"/>
      <c r="K67" s="8"/>
      <c r="L67" s="8"/>
      <c r="M67" s="8"/>
      <c r="N67" s="8"/>
    </row>
    <row r="68" spans="2:14" ht="14.4" customHeight="1" x14ac:dyDescent="0.3">
      <c r="B68" s="1" t="s">
        <v>14</v>
      </c>
      <c r="E68" s="8">
        <f t="shared" ref="E68:N68" si="18">E45</f>
        <v>9831</v>
      </c>
      <c r="F68" s="8">
        <f t="shared" si="18"/>
        <v>10978</v>
      </c>
      <c r="G68" s="8">
        <f t="shared" si="18"/>
        <v>16950</v>
      </c>
      <c r="H68" s="8">
        <f t="shared" si="18"/>
        <v>19651</v>
      </c>
      <c r="I68" s="8">
        <f t="shared" si="18"/>
        <v>21795</v>
      </c>
      <c r="J68" s="8">
        <f t="shared" si="18"/>
        <v>27229.040617899998</v>
      </c>
      <c r="K68" s="8">
        <f t="shared" si="18"/>
        <v>32437.667867068994</v>
      </c>
      <c r="L68" s="8">
        <f t="shared" si="18"/>
        <v>39182.961223559214</v>
      </c>
      <c r="M68" s="8">
        <f t="shared" si="18"/>
        <v>48042.802774109216</v>
      </c>
      <c r="N68" s="8">
        <f t="shared" si="18"/>
        <v>57759.459635172803</v>
      </c>
    </row>
    <row r="69" spans="2:14" ht="14.4" customHeight="1" x14ac:dyDescent="0.3">
      <c r="B69" s="5" t="s">
        <v>15</v>
      </c>
      <c r="C69" s="5"/>
      <c r="D69" s="5"/>
      <c r="E69" s="11">
        <f t="shared" ref="E69:N69" si="19">E68/E65</f>
        <v>0.14061159105211968</v>
      </c>
      <c r="F69" s="11">
        <f t="shared" si="19"/>
        <v>0.13165753211086192</v>
      </c>
      <c r="G69" s="11">
        <f t="shared" si="19"/>
        <v>0.19147566169244151</v>
      </c>
      <c r="H69" s="11">
        <f t="shared" si="19"/>
        <v>0.17957106174554294</v>
      </c>
      <c r="I69" s="11">
        <f t="shared" si="19"/>
        <v>0.16957394497697001</v>
      </c>
      <c r="J69" s="11">
        <f t="shared" si="19"/>
        <v>0.185</v>
      </c>
      <c r="K69" s="11">
        <f t="shared" si="19"/>
        <v>0.185</v>
      </c>
      <c r="L69" s="11">
        <f t="shared" si="19"/>
        <v>0.19</v>
      </c>
      <c r="M69" s="11">
        <f t="shared" si="19"/>
        <v>0.2</v>
      </c>
      <c r="N69" s="11">
        <f t="shared" si="19"/>
        <v>0.21</v>
      </c>
    </row>
    <row r="71" spans="2:14" ht="14.4" customHeight="1" x14ac:dyDescent="0.3">
      <c r="B71" s="1" t="s">
        <v>23</v>
      </c>
      <c r="E71" s="8">
        <f t="shared" ref="E71:N71" si="20">E65-E68</f>
        <v>60085</v>
      </c>
      <c r="F71" s="8">
        <f t="shared" si="20"/>
        <v>72405</v>
      </c>
      <c r="G71" s="8">
        <f t="shared" si="20"/>
        <v>71573</v>
      </c>
      <c r="H71" s="8">
        <f t="shared" si="20"/>
        <v>89782</v>
      </c>
      <c r="I71" s="8">
        <f t="shared" si="20"/>
        <v>106733</v>
      </c>
      <c r="J71" s="8">
        <f t="shared" si="20"/>
        <v>119954.9627221</v>
      </c>
      <c r="K71" s="8">
        <f t="shared" si="20"/>
        <v>142901.07736033099</v>
      </c>
      <c r="L71" s="8">
        <f t="shared" si="20"/>
        <v>167043.150479384</v>
      </c>
      <c r="M71" s="8">
        <f t="shared" si="20"/>
        <v>192171.21109643686</v>
      </c>
      <c r="N71" s="8">
        <f t="shared" si="20"/>
        <v>217285.58624660247</v>
      </c>
    </row>
    <row r="73" spans="2:14" ht="14.4" customHeight="1" x14ac:dyDescent="0.3">
      <c r="B73" s="1" t="s">
        <v>18</v>
      </c>
      <c r="E73" s="8">
        <f t="shared" ref="E73:N73" si="21">E50</f>
        <v>11686</v>
      </c>
      <c r="F73" s="8">
        <f t="shared" si="21"/>
        <v>14460</v>
      </c>
      <c r="G73" s="8">
        <f t="shared" si="21"/>
        <v>13861</v>
      </c>
      <c r="H73" s="8">
        <f t="shared" si="21"/>
        <v>22287</v>
      </c>
      <c r="I73" s="8">
        <f t="shared" si="21"/>
        <v>34153</v>
      </c>
      <c r="J73" s="8">
        <f t="shared" si="21"/>
        <v>47295.767999999996</v>
      </c>
      <c r="K73" s="8">
        <f t="shared" si="21"/>
        <v>54921.447999999997</v>
      </c>
      <c r="L73" s="8">
        <f t="shared" si="21"/>
        <v>59575.226204999999</v>
      </c>
      <c r="M73" s="8">
        <f t="shared" si="21"/>
        <v>57787.96941885</v>
      </c>
      <c r="N73" s="8">
        <f t="shared" si="21"/>
        <v>56632.210030472997</v>
      </c>
    </row>
    <row r="74" spans="2:14" ht="14.4" customHeight="1" x14ac:dyDescent="0.3">
      <c r="B74" s="5" t="s">
        <v>16</v>
      </c>
      <c r="C74" s="5"/>
      <c r="D74" s="5"/>
      <c r="E74" s="11">
        <f t="shared" ref="E74:N74" si="22">E73/E62</f>
        <v>6.9523106943981727E-2</v>
      </c>
      <c r="F74" s="11">
        <f t="shared" si="22"/>
        <v>7.2930851868663937E-2</v>
      </c>
      <c r="G74" s="11">
        <f t="shared" si="22"/>
        <v>6.5408300497841118E-2</v>
      </c>
      <c r="H74" s="11">
        <f t="shared" si="22"/>
        <v>9.0922071458294243E-2</v>
      </c>
      <c r="I74" s="11">
        <f t="shared" si="22"/>
        <v>0.12122857832488534</v>
      </c>
      <c r="J74" s="11">
        <f t="shared" si="22"/>
        <v>0.14492329929853912</v>
      </c>
      <c r="K74" s="11">
        <f t="shared" si="22"/>
        <v>0.14549558092773107</v>
      </c>
      <c r="L74" s="11">
        <f t="shared" si="22"/>
        <v>0.13606391213433588</v>
      </c>
      <c r="M74" s="11">
        <f t="shared" si="22"/>
        <v>0.11427012534225611</v>
      </c>
      <c r="N74" s="11">
        <f t="shared" si="22"/>
        <v>9.7803251384638412E-2</v>
      </c>
    </row>
    <row r="76" spans="2:14" ht="14.4" customHeight="1" x14ac:dyDescent="0.3">
      <c r="B76" s="1" t="s">
        <v>19</v>
      </c>
      <c r="E76" s="8">
        <f t="shared" ref="E76:N76" si="23">E54</f>
        <v>20622</v>
      </c>
      <c r="F76" s="8">
        <f t="shared" si="23"/>
        <v>23886</v>
      </c>
      <c r="G76" s="8">
        <f t="shared" si="23"/>
        <v>28107</v>
      </c>
      <c r="H76" s="8">
        <f t="shared" si="23"/>
        <v>44477</v>
      </c>
      <c r="I76" s="8">
        <f t="shared" si="23"/>
        <v>64551</v>
      </c>
      <c r="J76" s="8">
        <f t="shared" si="23"/>
        <v>98328</v>
      </c>
      <c r="K76" s="8">
        <f t="shared" si="23"/>
        <v>116359</v>
      </c>
      <c r="L76" s="8">
        <f t="shared" si="23"/>
        <v>124504.13</v>
      </c>
      <c r="M76" s="8">
        <f t="shared" si="23"/>
        <v>120769.0061</v>
      </c>
      <c r="N76" s="8">
        <f t="shared" si="23"/>
        <v>118353.625978</v>
      </c>
    </row>
    <row r="77" spans="2:14" ht="14.4" customHeight="1" x14ac:dyDescent="0.3">
      <c r="B77" s="5" t="s">
        <v>16</v>
      </c>
      <c r="C77" s="5"/>
      <c r="D77" s="5"/>
      <c r="E77" s="11">
        <f t="shared" ref="E77:N77" si="24">E76/E62</f>
        <v>0.12268573604302509</v>
      </c>
      <c r="F77" s="11">
        <f t="shared" si="24"/>
        <v>0.12047208352246935</v>
      </c>
      <c r="G77" s="11">
        <f t="shared" si="24"/>
        <v>0.13263336715192411</v>
      </c>
      <c r="H77" s="11">
        <f t="shared" si="24"/>
        <v>0.18144842160230415</v>
      </c>
      <c r="I77" s="11">
        <f t="shared" si="24"/>
        <v>0.22912850875324786</v>
      </c>
      <c r="J77" s="11">
        <f t="shared" si="24"/>
        <v>0.30129584053750336</v>
      </c>
      <c r="K77" s="11">
        <f t="shared" si="24"/>
        <v>0.30825334942315907</v>
      </c>
      <c r="L77" s="11">
        <f t="shared" si="24"/>
        <v>0.28435509327969882</v>
      </c>
      <c r="M77" s="11">
        <f t="shared" si="24"/>
        <v>0.23880903937775572</v>
      </c>
      <c r="N77" s="11">
        <f t="shared" si="24"/>
        <v>0.2043955096857647</v>
      </c>
    </row>
    <row r="79" spans="2:14" ht="14.4" customHeight="1" x14ac:dyDescent="0.3">
      <c r="B79" s="1" t="s">
        <v>20</v>
      </c>
      <c r="E79" s="13">
        <f t="shared" ref="E79:N79" si="25">E57</f>
        <v>-940</v>
      </c>
      <c r="F79" s="13">
        <f t="shared" si="25"/>
        <v>450</v>
      </c>
      <c r="G79" s="13">
        <f t="shared" si="25"/>
        <v>-2390</v>
      </c>
      <c r="H79" s="13">
        <f t="shared" si="25"/>
        <v>1820</v>
      </c>
      <c r="I79" s="13">
        <f t="shared" si="25"/>
        <v>-5350</v>
      </c>
      <c r="J79" s="13">
        <f t="shared" si="25"/>
        <v>-1958.1020399999998</v>
      </c>
      <c r="K79" s="13">
        <f t="shared" si="25"/>
        <v>-1509.9138448000001</v>
      </c>
      <c r="L79" s="13">
        <f t="shared" si="25"/>
        <v>-875.69474183840009</v>
      </c>
      <c r="M79" s="13">
        <f t="shared" si="25"/>
        <v>-1011.427426823352</v>
      </c>
      <c r="N79" s="13">
        <f t="shared" si="25"/>
        <v>579.04220185636905</v>
      </c>
    </row>
    <row r="80" spans="2:14" ht="14.4" customHeight="1" x14ac:dyDescent="0.3">
      <c r="B80" s="5" t="s">
        <v>16</v>
      </c>
      <c r="C80" s="5"/>
      <c r="D80" s="5"/>
      <c r="E80" s="11">
        <f t="shared" ref="E80:N80" si="26">E79/E62</f>
        <v>-5.5923087906334778E-3</v>
      </c>
      <c r="F80" s="11">
        <f t="shared" si="26"/>
        <v>2.2696323195642307E-3</v>
      </c>
      <c r="G80" s="11">
        <f t="shared" si="26"/>
        <v>-1.1278106788099002E-2</v>
      </c>
      <c r="H80" s="11">
        <f t="shared" si="26"/>
        <v>7.4248741443036529E-3</v>
      </c>
      <c r="I80" s="11">
        <f t="shared" si="26"/>
        <v>-1.8990217375871421E-2</v>
      </c>
      <c r="J80" s="11">
        <f t="shared" si="26"/>
        <v>-6.0000000000000001E-3</v>
      </c>
      <c r="K80" s="11">
        <f t="shared" si="26"/>
        <v>-4.0000000000000001E-3</v>
      </c>
      <c r="L80" s="11">
        <f t="shared" si="26"/>
        <v>-2E-3</v>
      </c>
      <c r="M80" s="11">
        <f t="shared" si="26"/>
        <v>-2E-3</v>
      </c>
      <c r="N80" s="11">
        <f t="shared" si="26"/>
        <v>1E-3</v>
      </c>
    </row>
    <row r="81" spans="2:14" ht="14.4" customHeight="1" x14ac:dyDescent="0.3">
      <c r="B81" s="5"/>
      <c r="C81" s="5"/>
      <c r="D81" s="5"/>
      <c r="E81" s="11"/>
      <c r="F81" s="11"/>
      <c r="G81" s="11"/>
      <c r="H81" s="11"/>
      <c r="I81" s="11"/>
      <c r="J81" s="11"/>
      <c r="K81" s="11"/>
      <c r="L81" s="11"/>
      <c r="M81" s="11"/>
      <c r="N81" s="11"/>
    </row>
    <row r="82" spans="2:14" ht="14.4" customHeight="1" x14ac:dyDescent="0.3">
      <c r="B82" s="1" t="s">
        <v>109</v>
      </c>
      <c r="E82" s="13">
        <v>6118</v>
      </c>
      <c r="F82" s="13">
        <v>7502</v>
      </c>
      <c r="G82" s="13">
        <v>9611</v>
      </c>
      <c r="H82" s="13">
        <v>10734</v>
      </c>
      <c r="I82" s="13">
        <v>11974</v>
      </c>
      <c r="J82" s="13">
        <f>J62*0.038</f>
        <v>12401.312919999998</v>
      </c>
      <c r="K82" s="13">
        <f>K62*0.038</f>
        <v>14344.181525600001</v>
      </c>
      <c r="L82" s="13">
        <f>L62*0.038</f>
        <v>16638.200094929602</v>
      </c>
      <c r="M82" s="13">
        <f>M62*0.038</f>
        <v>19217.121109643689</v>
      </c>
      <c r="N82" s="13">
        <f>N62*0.038</f>
        <v>22003.603670542023</v>
      </c>
    </row>
    <row r="83" spans="2:14" ht="14.4" customHeight="1" x14ac:dyDescent="0.3">
      <c r="B83" s="5" t="s">
        <v>16</v>
      </c>
      <c r="C83" s="5"/>
      <c r="D83" s="5"/>
      <c r="E83" s="11">
        <f t="shared" ref="E83:N83" si="27">E82/E62</f>
        <v>3.6397601256484696E-2</v>
      </c>
      <c r="F83" s="11">
        <f t="shared" si="27"/>
        <v>3.7837292580824126E-2</v>
      </c>
      <c r="G83" s="11">
        <f t="shared" si="27"/>
        <v>4.5353089682183892E-2</v>
      </c>
      <c r="H83" s="11">
        <f t="shared" si="27"/>
        <v>4.3790439046678793E-2</v>
      </c>
      <c r="I83" s="11">
        <f t="shared" si="27"/>
        <v>4.2502591188539135E-2</v>
      </c>
      <c r="J83" s="11">
        <f t="shared" si="27"/>
        <v>3.7999999999999999E-2</v>
      </c>
      <c r="K83" s="11">
        <f t="shared" si="27"/>
        <v>3.7999999999999999E-2</v>
      </c>
      <c r="L83" s="11">
        <f t="shared" si="27"/>
        <v>3.8000000000000006E-2</v>
      </c>
      <c r="M83" s="11">
        <f t="shared" si="27"/>
        <v>3.7999999999999999E-2</v>
      </c>
      <c r="N83" s="11">
        <f t="shared" si="27"/>
        <v>3.7999999999999999E-2</v>
      </c>
    </row>
    <row r="85" spans="2:14" ht="14.4" customHeight="1" x14ac:dyDescent="0.3">
      <c r="B85" s="1" t="s">
        <v>24</v>
      </c>
      <c r="E85" s="12">
        <v>56120</v>
      </c>
      <c r="F85" s="12">
        <v>65150</v>
      </c>
      <c r="G85" s="12">
        <v>59480</v>
      </c>
      <c r="H85" s="12">
        <v>74070</v>
      </c>
      <c r="I85" s="12">
        <v>71610</v>
      </c>
      <c r="J85" s="8">
        <f>J71+J73-J76-(J79)+J82</f>
        <v>83282.145682100003</v>
      </c>
      <c r="K85" s="8">
        <f>K71+K73-K76-(K79)+K82</f>
        <v>97317.620730730996</v>
      </c>
      <c r="L85" s="8">
        <f>L71+L73-L76-(L79)+L82</f>
        <v>119628.14152115201</v>
      </c>
      <c r="M85" s="8">
        <f>M71+M73-M76-(M79)+M82</f>
        <v>149418.72295175391</v>
      </c>
      <c r="N85" s="8">
        <f>N71+N73-N76-(N79)+N82</f>
        <v>176988.73176776114</v>
      </c>
    </row>
    <row r="86" spans="2:14" ht="14.4" customHeight="1" x14ac:dyDescent="0.3">
      <c r="B86" s="5" t="s">
        <v>16</v>
      </c>
      <c r="C86" s="5"/>
      <c r="D86" s="5"/>
      <c r="E86" s="11">
        <f>E85/E62</f>
        <v>0.33387273333016038</v>
      </c>
      <c r="F86" s="11">
        <f t="shared" ref="F86:N86" si="28">F85/F62</f>
        <v>0.32859232359913249</v>
      </c>
      <c r="G86" s="11">
        <f t="shared" si="28"/>
        <v>0.28067857395653917</v>
      </c>
      <c r="H86" s="11">
        <f t="shared" si="28"/>
        <v>0.30217605926844593</v>
      </c>
      <c r="I86" s="11">
        <f t="shared" si="28"/>
        <v>0.25418494696937427</v>
      </c>
      <c r="J86" s="11">
        <f t="shared" si="28"/>
        <v>0.2551924587610358</v>
      </c>
      <c r="K86" s="11">
        <f t="shared" si="28"/>
        <v>0.25780973150457198</v>
      </c>
      <c r="L86" s="11">
        <f t="shared" si="28"/>
        <v>0.27321881885463711</v>
      </c>
      <c r="M86" s="11">
        <f t="shared" si="28"/>
        <v>0.29546108596450038</v>
      </c>
      <c r="N86" s="11">
        <f t="shared" si="28"/>
        <v>0.30565774169887372</v>
      </c>
    </row>
    <row r="88" spans="2:14" ht="14.4" customHeight="1" x14ac:dyDescent="0.3">
      <c r="B88" s="1" t="s">
        <v>25</v>
      </c>
      <c r="J88" s="8">
        <f>J85/(1+$U$7)^0.5</f>
        <v>79757.841663539817</v>
      </c>
      <c r="K88" s="8">
        <f>K85/(1+$U$7)^1.5</f>
        <v>85478.313327212323</v>
      </c>
      <c r="L88" s="8">
        <f>L85/(1+$U$7)^2.5</f>
        <v>96369.763145052348</v>
      </c>
      <c r="M88" s="8">
        <f>M85/(1+$U$7)^3.5</f>
        <v>110396.53191838357</v>
      </c>
      <c r="N88" s="8">
        <f>N85/(1+$U$7)^4.5</f>
        <v>119933.08406776287</v>
      </c>
    </row>
    <row r="90" spans="2:14" ht="14.4" customHeight="1" x14ac:dyDescent="0.3">
      <c r="H90" s="29"/>
      <c r="J90" s="8"/>
      <c r="K90" s="8"/>
    </row>
    <row r="96" spans="2:14" ht="14.4" customHeight="1" x14ac:dyDescent="0.3">
      <c r="J96" s="13"/>
    </row>
  </sheetData>
  <mergeCells count="8">
    <mergeCell ref="I7:K7"/>
    <mergeCell ref="I12:K12"/>
    <mergeCell ref="T11:U11"/>
    <mergeCell ref="T22:U22"/>
    <mergeCell ref="I11:K11"/>
    <mergeCell ref="I10:K10"/>
    <mergeCell ref="I9:K9"/>
    <mergeCell ref="I8:K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755C1-F80B-4C2F-AFEE-9D4756B0A66A}">
  <sheetPr codeName="Sheet2"/>
  <dimension ref="A2:T56"/>
  <sheetViews>
    <sheetView showGridLines="0" topLeftCell="A25" zoomScale="110" zoomScaleNormal="110" zoomScaleSheetLayoutView="100" workbookViewId="0">
      <selection activeCell="G50" sqref="G50:N50"/>
    </sheetView>
  </sheetViews>
  <sheetFormatPr defaultColWidth="8.69921875" defaultRowHeight="14.4" customHeight="1" x14ac:dyDescent="0.3"/>
  <cols>
    <col min="1" max="4" width="8.69921875" style="1"/>
    <col min="5" max="5" width="8.69921875" style="1" customWidth="1"/>
    <col min="6" max="11" width="8.69921875" style="1"/>
    <col min="12" max="12" width="9.69921875" style="1" bestFit="1" customWidth="1"/>
    <col min="13" max="14" width="8.796875" style="1" bestFit="1" customWidth="1"/>
    <col min="15" max="16384" width="8.69921875" style="1"/>
  </cols>
  <sheetData>
    <row r="2" spans="1:20" ht="14.4" customHeight="1" x14ac:dyDescent="0.3">
      <c r="B2" s="1" t="s">
        <v>87</v>
      </c>
      <c r="C2" s="1" t="s">
        <v>88</v>
      </c>
    </row>
    <row r="4" spans="1:20" ht="14.4" customHeight="1" x14ac:dyDescent="0.3">
      <c r="B4" s="2" t="s">
        <v>72</v>
      </c>
      <c r="C4" s="2"/>
      <c r="D4" s="2"/>
      <c r="E4" s="2"/>
      <c r="F4" s="2"/>
      <c r="G4" s="2">
        <v>2021</v>
      </c>
      <c r="H4" s="2">
        <f>G4+1</f>
        <v>2022</v>
      </c>
      <c r="I4" s="2">
        <f>H4+1</f>
        <v>2023</v>
      </c>
      <c r="J4" s="2">
        <f>I4+1</f>
        <v>2024</v>
      </c>
      <c r="K4" s="2">
        <f>J4+1</f>
        <v>2025</v>
      </c>
      <c r="L4" s="3" t="s">
        <v>6</v>
      </c>
      <c r="M4" s="3" t="s">
        <v>7</v>
      </c>
      <c r="N4" s="3" t="s">
        <v>8</v>
      </c>
      <c r="O4" s="3" t="s">
        <v>9</v>
      </c>
      <c r="P4" s="3" t="s">
        <v>10</v>
      </c>
      <c r="S4" s="12"/>
    </row>
    <row r="5" spans="1:20" s="24" customFormat="1" ht="1.95" customHeight="1" x14ac:dyDescent="0.3">
      <c r="B5" s="25"/>
      <c r="C5" s="25"/>
      <c r="D5" s="25"/>
      <c r="E5" s="25"/>
      <c r="F5" s="25"/>
      <c r="G5" s="25"/>
      <c r="H5" s="25"/>
      <c r="I5" s="25"/>
      <c r="J5" s="25"/>
      <c r="K5" s="25"/>
      <c r="L5" s="26"/>
      <c r="M5" s="26"/>
      <c r="N5" s="26"/>
      <c r="O5" s="26"/>
      <c r="P5" s="26"/>
    </row>
    <row r="6" spans="1:20" ht="14.4" customHeight="1" x14ac:dyDescent="0.3">
      <c r="A6" s="1" t="s">
        <v>73</v>
      </c>
      <c r="B6" s="4" t="s">
        <v>71</v>
      </c>
      <c r="G6" s="12">
        <v>53915</v>
      </c>
      <c r="H6" s="12">
        <v>63364</v>
      </c>
      <c r="I6" s="12">
        <v>94151</v>
      </c>
      <c r="J6" s="12">
        <v>106820</v>
      </c>
      <c r="K6" s="12">
        <v>120810</v>
      </c>
      <c r="L6" s="8">
        <f>K6*1.132</f>
        <v>136756.91999999998</v>
      </c>
      <c r="M6" s="8">
        <f>M8+M9+M10+M11</f>
        <v>153673.59200000003</v>
      </c>
      <c r="N6" s="8">
        <f>M6*1.11</f>
        <v>170577.68712000005</v>
      </c>
      <c r="O6" s="8"/>
      <c r="S6" s="8"/>
      <c r="T6" s="8"/>
    </row>
    <row r="7" spans="1:20" ht="14.4" customHeight="1" x14ac:dyDescent="0.3">
      <c r="B7" s="5" t="s">
        <v>12</v>
      </c>
      <c r="G7" s="11">
        <f>(G6-46398)/46398</f>
        <v>0.16201129359024097</v>
      </c>
      <c r="H7" s="11">
        <f t="shared" ref="H7:N7" si="0">(H6-G6)/G6</f>
        <v>0.17525734953167021</v>
      </c>
      <c r="I7" s="11">
        <f t="shared" si="0"/>
        <v>0.48587526040022727</v>
      </c>
      <c r="J7" s="11">
        <f t="shared" si="0"/>
        <v>0.13456044014402396</v>
      </c>
      <c r="K7" s="11">
        <f t="shared" si="0"/>
        <v>0.13096798352368472</v>
      </c>
      <c r="L7" s="11">
        <f t="shared" si="0"/>
        <v>0.13199999999999987</v>
      </c>
      <c r="M7" s="11">
        <f t="shared" si="0"/>
        <v>0.12369883732391788</v>
      </c>
      <c r="N7" s="11">
        <f t="shared" si="0"/>
        <v>0.11000000000000006</v>
      </c>
      <c r="O7" s="11"/>
      <c r="S7" s="8"/>
    </row>
    <row r="8" spans="1:20" ht="14.4" customHeight="1" x14ac:dyDescent="0.3">
      <c r="B8" s="23" t="s">
        <v>74</v>
      </c>
      <c r="G8" s="12">
        <f>(39872)*0.91</f>
        <v>36283.520000000004</v>
      </c>
      <c r="H8" s="12">
        <f>(44862)*0.91</f>
        <v>40824.42</v>
      </c>
      <c r="I8" s="12">
        <v>66949</v>
      </c>
      <c r="J8" s="12">
        <v>79969</v>
      </c>
      <c r="K8" s="12">
        <v>87767</v>
      </c>
      <c r="L8" s="8">
        <f>K8*1.1</f>
        <v>96543.700000000012</v>
      </c>
      <c r="M8" s="8">
        <f>L8*1.16</f>
        <v>111990.69200000001</v>
      </c>
      <c r="N8" s="8">
        <f>M8*1.125</f>
        <v>125989.52850000001</v>
      </c>
      <c r="P8" s="10"/>
      <c r="Q8" s="10"/>
      <c r="R8" s="10"/>
      <c r="S8" s="10"/>
    </row>
    <row r="9" spans="1:20" ht="14.4" customHeight="1" x14ac:dyDescent="0.3">
      <c r="B9" s="23" t="s">
        <v>76</v>
      </c>
      <c r="G9" s="12">
        <f>(39872)*0.09</f>
        <v>3588.48</v>
      </c>
      <c r="H9" s="12">
        <f>(44862)*0.09</f>
        <v>4037.58</v>
      </c>
      <c r="I9" s="12">
        <v>6417</v>
      </c>
      <c r="J9" s="12">
        <v>6648</v>
      </c>
      <c r="K9" s="12">
        <v>7404</v>
      </c>
      <c r="L9" s="8">
        <v>8284.33</v>
      </c>
      <c r="M9" s="8">
        <v>10179</v>
      </c>
      <c r="N9" s="8"/>
    </row>
    <row r="10" spans="1:20" ht="14.4" customHeight="1" x14ac:dyDescent="0.3">
      <c r="B10" s="23" t="s">
        <v>77</v>
      </c>
      <c r="G10" s="12">
        <v>3754</v>
      </c>
      <c r="H10" s="12">
        <v>4687</v>
      </c>
      <c r="I10" s="12">
        <v>5796</v>
      </c>
      <c r="J10" s="12">
        <v>6831</v>
      </c>
      <c r="K10" s="12">
        <v>7827</v>
      </c>
      <c r="L10" s="8">
        <v>8992.5</v>
      </c>
      <c r="M10" s="8">
        <v>10489.7</v>
      </c>
      <c r="N10" s="8"/>
    </row>
    <row r="11" spans="1:20" ht="14.4" customHeight="1" x14ac:dyDescent="0.3">
      <c r="B11" s="23" t="s">
        <v>78</v>
      </c>
      <c r="G11" s="12">
        <v>10289</v>
      </c>
      <c r="H11" s="12">
        <v>13816</v>
      </c>
      <c r="I11" s="12">
        <v>14989</v>
      </c>
      <c r="J11" s="12">
        <v>16372</v>
      </c>
      <c r="K11" s="12">
        <v>17812</v>
      </c>
      <c r="L11" s="8">
        <v>19492.400000000001</v>
      </c>
      <c r="M11" s="8">
        <v>21014.2</v>
      </c>
      <c r="N11" s="8">
        <f>M11*1.01</f>
        <v>21224.342000000001</v>
      </c>
    </row>
    <row r="12" spans="1:20" ht="14.4" customHeight="1" x14ac:dyDescent="0.3">
      <c r="L12" s="8"/>
      <c r="M12" s="8"/>
      <c r="N12" s="8"/>
      <c r="P12" s="8"/>
    </row>
    <row r="13" spans="1:20" ht="14.4" customHeight="1" x14ac:dyDescent="0.3">
      <c r="A13" s="1" t="s">
        <v>73</v>
      </c>
      <c r="B13" s="4" t="s">
        <v>70</v>
      </c>
      <c r="G13" s="12">
        <v>60080</v>
      </c>
      <c r="H13" s="12">
        <v>74965</v>
      </c>
      <c r="I13" s="12">
        <v>72944</v>
      </c>
      <c r="J13" s="8">
        <f>J15+J16+42</f>
        <v>87464</v>
      </c>
      <c r="K13" s="8">
        <f>K15+K16+70</f>
        <v>106265</v>
      </c>
      <c r="L13" s="8">
        <f>134294+495</f>
        <v>134789</v>
      </c>
      <c r="M13" s="8">
        <v>168062</v>
      </c>
      <c r="N13" s="8">
        <f>M13*1.25</f>
        <v>210077.5</v>
      </c>
    </row>
    <row r="14" spans="1:20" ht="14.4" customHeight="1" x14ac:dyDescent="0.3">
      <c r="B14" s="5" t="s">
        <v>12</v>
      </c>
      <c r="G14" s="11">
        <f>(G13-51700)/51700</f>
        <v>0.16208897485493229</v>
      </c>
      <c r="H14" s="11">
        <f t="shared" ref="H14:N14" si="1">(H13-G13)/G13</f>
        <v>0.24775299600532624</v>
      </c>
      <c r="I14" s="11">
        <f t="shared" si="1"/>
        <v>-2.6959247648902823E-2</v>
      </c>
      <c r="J14" s="11">
        <f t="shared" si="1"/>
        <v>0.19905681070410178</v>
      </c>
      <c r="K14" s="11">
        <f t="shared" si="1"/>
        <v>0.21495701088447819</v>
      </c>
      <c r="L14" s="11">
        <f t="shared" si="1"/>
        <v>0.26842328141909377</v>
      </c>
      <c r="M14" s="11">
        <f t="shared" si="1"/>
        <v>0.24685248796266757</v>
      </c>
      <c r="N14" s="11">
        <f t="shared" si="1"/>
        <v>0.25</v>
      </c>
    </row>
    <row r="15" spans="1:20" ht="14.4" customHeight="1" x14ac:dyDescent="0.3">
      <c r="B15" s="23" t="s">
        <v>79</v>
      </c>
      <c r="G15" s="12">
        <v>52589</v>
      </c>
      <c r="H15" s="12">
        <v>67350</v>
      </c>
      <c r="I15" s="12">
        <v>65007</v>
      </c>
      <c r="J15" s="12">
        <v>79828</v>
      </c>
      <c r="K15" s="12">
        <v>98435</v>
      </c>
      <c r="L15" s="8">
        <v>126629</v>
      </c>
      <c r="M15" s="8">
        <v>162267</v>
      </c>
      <c r="N15" s="8">
        <v>208714</v>
      </c>
    </row>
    <row r="16" spans="1:20" ht="14.4" customHeight="1" x14ac:dyDescent="0.3">
      <c r="B16" s="23" t="s">
        <v>80</v>
      </c>
      <c r="G16" s="12">
        <v>6943</v>
      </c>
      <c r="H16" s="12">
        <v>7407</v>
      </c>
      <c r="I16" s="12">
        <v>7722</v>
      </c>
      <c r="J16" s="12">
        <v>7594</v>
      </c>
      <c r="K16" s="12">
        <v>7760</v>
      </c>
      <c r="L16" s="8">
        <v>8096</v>
      </c>
      <c r="M16" s="8">
        <v>8358.33</v>
      </c>
    </row>
    <row r="17" spans="1:16" ht="14.4" customHeight="1" x14ac:dyDescent="0.3">
      <c r="J17" s="8"/>
    </row>
    <row r="18" spans="1:16" ht="14.4" customHeight="1" x14ac:dyDescent="0.3">
      <c r="B18" s="4" t="s">
        <v>81</v>
      </c>
      <c r="G18" s="12">
        <v>54093</v>
      </c>
      <c r="H18" s="12">
        <v>59941</v>
      </c>
      <c r="I18" s="12">
        <v>44820</v>
      </c>
      <c r="J18" s="8">
        <f>J20+J21+J22+3</f>
        <v>50838</v>
      </c>
      <c r="K18" s="8">
        <f>K20+K21+K22+2</f>
        <v>54649</v>
      </c>
      <c r="L18" s="8">
        <f>SUM(L20:L22)</f>
        <v>54804.42</v>
      </c>
      <c r="M18" s="8">
        <f>SUM(M20:M22)</f>
        <v>55742.869200000001</v>
      </c>
      <c r="N18" s="8">
        <f>M18*1.026</f>
        <v>57192.1837992</v>
      </c>
    </row>
    <row r="19" spans="1:16" ht="14.4" customHeight="1" x14ac:dyDescent="0.3">
      <c r="A19" s="1" t="s">
        <v>73</v>
      </c>
      <c r="B19" s="5" t="s">
        <v>12</v>
      </c>
      <c r="G19" s="11">
        <f>(G18-48251)/48251</f>
        <v>0.12107521087645852</v>
      </c>
      <c r="H19" s="11">
        <f t="shared" ref="H19:N19" si="2">(H18-G18)/G18</f>
        <v>0.10811010666814561</v>
      </c>
      <c r="I19" s="11">
        <f t="shared" si="2"/>
        <v>-0.25226472698153185</v>
      </c>
      <c r="J19" s="11">
        <f t="shared" si="2"/>
        <v>0.13427041499330655</v>
      </c>
      <c r="K19" s="11">
        <f t="shared" si="2"/>
        <v>7.4963609898107714E-2</v>
      </c>
      <c r="L19" s="11">
        <f t="shared" si="2"/>
        <v>2.8439678676645181E-3</v>
      </c>
      <c r="M19" s="11">
        <f t="shared" si="2"/>
        <v>1.712360426403569E-2</v>
      </c>
      <c r="N19" s="11">
        <f t="shared" si="2"/>
        <v>2.5999999999999981E-2</v>
      </c>
    </row>
    <row r="20" spans="1:16" ht="14.4" customHeight="1" x14ac:dyDescent="0.3">
      <c r="B20" s="23" t="s">
        <v>82</v>
      </c>
      <c r="G20" s="12">
        <f>22488+7143</f>
        <v>29631</v>
      </c>
      <c r="H20" s="12">
        <f>24732+4687</f>
        <v>29419</v>
      </c>
      <c r="I20" s="12">
        <v>17147</v>
      </c>
      <c r="J20" s="12">
        <v>17026</v>
      </c>
      <c r="K20" s="12">
        <v>17314</v>
      </c>
      <c r="L20" s="8">
        <f>K20*0.94</f>
        <v>16275.16</v>
      </c>
      <c r="M20" s="8">
        <f>L20*0.99</f>
        <v>16112.4084</v>
      </c>
    </row>
    <row r="21" spans="1:16" ht="14.4" customHeight="1" x14ac:dyDescent="0.3">
      <c r="B21" s="23" t="s">
        <v>83</v>
      </c>
      <c r="G21" s="12">
        <v>7407</v>
      </c>
      <c r="H21" s="12">
        <v>7722</v>
      </c>
      <c r="I21" s="12">
        <v>12125</v>
      </c>
      <c r="J21" s="12">
        <v>12306</v>
      </c>
      <c r="K21" s="12">
        <v>13878</v>
      </c>
      <c r="L21" s="8">
        <f>K21*1.12</f>
        <v>15543.36</v>
      </c>
      <c r="M21" s="8">
        <f>L21*1.13</f>
        <v>17563.996800000001</v>
      </c>
    </row>
    <row r="22" spans="1:16" ht="14.4" customHeight="1" x14ac:dyDescent="0.3">
      <c r="B22" s="23" t="s">
        <v>84</v>
      </c>
      <c r="G22" s="12">
        <v>15370</v>
      </c>
      <c r="H22" s="12">
        <v>16230</v>
      </c>
      <c r="I22" s="12">
        <v>15466</v>
      </c>
      <c r="J22" s="12">
        <v>21503</v>
      </c>
      <c r="K22" s="12">
        <v>23455</v>
      </c>
      <c r="L22" s="8">
        <f>K22*0.98</f>
        <v>22985.899999999998</v>
      </c>
      <c r="M22" s="8">
        <f>L22*0.96</f>
        <v>22066.463999999996</v>
      </c>
    </row>
    <row r="23" spans="1:16" ht="14.4" customHeight="1" x14ac:dyDescent="0.3">
      <c r="B23" s="23"/>
      <c r="G23" s="12"/>
      <c r="H23" s="12"/>
      <c r="I23" s="12"/>
      <c r="J23" s="12"/>
      <c r="K23" s="12"/>
      <c r="L23" s="8"/>
      <c r="M23" s="8"/>
    </row>
    <row r="24" spans="1:16" ht="14.4" customHeight="1" x14ac:dyDescent="0.3">
      <c r="B24" s="4" t="s">
        <v>97</v>
      </c>
      <c r="C24" s="4"/>
      <c r="D24" s="4"/>
      <c r="E24" s="4"/>
      <c r="F24" s="4"/>
      <c r="G24" s="28">
        <f>G18+G13+G6</f>
        <v>168088</v>
      </c>
      <c r="H24" s="28">
        <f t="shared" ref="H24:N24" si="3">H18+H13+H6</f>
        <v>198270</v>
      </c>
      <c r="I24" s="28">
        <f t="shared" si="3"/>
        <v>211915</v>
      </c>
      <c r="J24" s="28">
        <f t="shared" si="3"/>
        <v>245122</v>
      </c>
      <c r="K24" s="28">
        <f t="shared" si="3"/>
        <v>281724</v>
      </c>
      <c r="L24" s="28">
        <f t="shared" si="3"/>
        <v>326350.33999999997</v>
      </c>
      <c r="M24" s="28">
        <f t="shared" si="3"/>
        <v>377478.46120000002</v>
      </c>
      <c r="N24" s="28">
        <f t="shared" si="3"/>
        <v>437847.37091920001</v>
      </c>
      <c r="O24" s="4"/>
      <c r="P24" s="4"/>
    </row>
    <row r="25" spans="1:16" ht="14.4" customHeight="1" x14ac:dyDescent="0.3">
      <c r="L25" s="8"/>
    </row>
    <row r="26" spans="1:16" ht="14.4" customHeight="1" x14ac:dyDescent="0.3">
      <c r="B26" s="2" t="s">
        <v>85</v>
      </c>
      <c r="C26" s="2"/>
      <c r="D26" s="2"/>
      <c r="E26" s="2"/>
      <c r="F26" s="2"/>
      <c r="G26" s="2">
        <v>2021</v>
      </c>
      <c r="H26" s="2">
        <f>G26+1</f>
        <v>2022</v>
      </c>
      <c r="I26" s="2">
        <f>H26+1</f>
        <v>2023</v>
      </c>
      <c r="J26" s="2">
        <f>I26+1</f>
        <v>2024</v>
      </c>
      <c r="K26" s="2">
        <f>J26+1</f>
        <v>2025</v>
      </c>
      <c r="L26" s="3" t="s">
        <v>6</v>
      </c>
      <c r="M26" s="3" t="s">
        <v>7</v>
      </c>
      <c r="N26" s="3" t="s">
        <v>8</v>
      </c>
      <c r="O26" s="3" t="s">
        <v>9</v>
      </c>
      <c r="P26" s="3" t="s">
        <v>10</v>
      </c>
    </row>
    <row r="27" spans="1:16" s="24" customFormat="1" ht="1.95" customHeight="1" x14ac:dyDescent="0.3">
      <c r="B27" s="25"/>
      <c r="C27" s="25"/>
      <c r="D27" s="25"/>
      <c r="E27" s="25"/>
      <c r="F27" s="25"/>
      <c r="G27" s="25"/>
      <c r="H27" s="25"/>
      <c r="I27" s="25"/>
      <c r="J27" s="25"/>
      <c r="K27" s="25"/>
      <c r="L27" s="26"/>
      <c r="M27" s="26"/>
      <c r="N27" s="26"/>
      <c r="O27" s="26"/>
      <c r="P27" s="26"/>
    </row>
    <row r="28" spans="1:16" ht="14.4" customHeight="1" x14ac:dyDescent="0.3">
      <c r="B28" s="1" t="s">
        <v>71</v>
      </c>
      <c r="G28" s="12">
        <v>24351</v>
      </c>
      <c r="H28" s="12">
        <v>29690</v>
      </c>
      <c r="I28" s="12">
        <v>50074</v>
      </c>
      <c r="J28" s="12">
        <v>59661</v>
      </c>
      <c r="K28" s="12">
        <v>69773</v>
      </c>
      <c r="L28" s="8">
        <f>L6*0.5758</f>
        <v>78744.634535999983</v>
      </c>
      <c r="M28" s="8">
        <f>M6*0.5555</f>
        <v>85365.680356000012</v>
      </c>
      <c r="N28" s="8">
        <f>N6*0.58</f>
        <v>98935.058529600021</v>
      </c>
    </row>
    <row r="29" spans="1:16" ht="14.4" customHeight="1" x14ac:dyDescent="0.3">
      <c r="B29" s="5" t="s">
        <v>86</v>
      </c>
      <c r="G29" s="11">
        <f t="shared" ref="G29:N29" si="4">G28/G6</f>
        <v>0.45165538347398682</v>
      </c>
      <c r="H29" s="11">
        <f t="shared" si="4"/>
        <v>0.46856259074553375</v>
      </c>
      <c r="I29" s="11">
        <f t="shared" si="4"/>
        <v>0.53184777644422254</v>
      </c>
      <c r="J29" s="11">
        <f t="shared" si="4"/>
        <v>0.55851900393184795</v>
      </c>
      <c r="K29" s="11">
        <f t="shared" si="4"/>
        <v>0.57754324973098259</v>
      </c>
      <c r="L29" s="11">
        <f t="shared" si="4"/>
        <v>0.57579999999999998</v>
      </c>
      <c r="M29" s="11">
        <f t="shared" si="4"/>
        <v>0.55549999999999999</v>
      </c>
      <c r="N29" s="11">
        <f t="shared" si="4"/>
        <v>0.57999999999999996</v>
      </c>
    </row>
    <row r="31" spans="1:16" ht="14.4" customHeight="1" x14ac:dyDescent="0.3">
      <c r="B31" s="1" t="s">
        <v>70</v>
      </c>
      <c r="G31" s="12">
        <v>26126</v>
      </c>
      <c r="H31" s="12">
        <v>33203</v>
      </c>
      <c r="I31" s="12">
        <v>28411</v>
      </c>
      <c r="J31" s="12">
        <v>37813</v>
      </c>
      <c r="K31" s="12">
        <v>44589</v>
      </c>
      <c r="L31" s="8">
        <f>L13*0.435</f>
        <v>58633.214999999997</v>
      </c>
      <c r="M31" s="8">
        <f>M13*0.44925</f>
        <v>75501.853499999997</v>
      </c>
      <c r="N31" s="8">
        <f>N13*0.447</f>
        <v>93904.642500000002</v>
      </c>
    </row>
    <row r="32" spans="1:16" ht="14.4" customHeight="1" x14ac:dyDescent="0.3">
      <c r="B32" s="5" t="s">
        <v>86</v>
      </c>
      <c r="G32" s="11">
        <f t="shared" ref="G32:N32" si="5">G31/G13</f>
        <v>0.43485352862849536</v>
      </c>
      <c r="H32" s="11">
        <f t="shared" si="5"/>
        <v>0.44291335956779831</v>
      </c>
      <c r="I32" s="11">
        <f t="shared" si="5"/>
        <v>0.38949056810704102</v>
      </c>
      <c r="J32" s="11">
        <f t="shared" si="5"/>
        <v>0.43232644287935607</v>
      </c>
      <c r="K32" s="11">
        <f t="shared" si="5"/>
        <v>0.41960193854985178</v>
      </c>
      <c r="L32" s="11">
        <f t="shared" si="5"/>
        <v>0.435</v>
      </c>
      <c r="M32" s="11">
        <f t="shared" si="5"/>
        <v>0.44924999999999998</v>
      </c>
      <c r="N32" s="11">
        <f t="shared" si="5"/>
        <v>0.44700000000000001</v>
      </c>
    </row>
    <row r="34" spans="2:16" ht="14.4" customHeight="1" x14ac:dyDescent="0.3">
      <c r="B34" s="1" t="s">
        <v>81</v>
      </c>
      <c r="G34" s="12">
        <v>19439</v>
      </c>
      <c r="H34" s="12">
        <v>20490</v>
      </c>
      <c r="I34" s="12">
        <v>10038</v>
      </c>
      <c r="J34" s="12">
        <v>11959</v>
      </c>
      <c r="K34" s="12">
        <v>14166</v>
      </c>
      <c r="L34" s="8">
        <f>L18*0.2623</f>
        <v>14375.199365999999</v>
      </c>
      <c r="M34" s="8">
        <f>M18*0.263</f>
        <v>14660.374599600002</v>
      </c>
      <c r="N34" s="8">
        <f>N18*0.265</f>
        <v>15155.928706788001</v>
      </c>
    </row>
    <row r="35" spans="2:16" ht="14.4" customHeight="1" x14ac:dyDescent="0.3">
      <c r="B35" s="5" t="s">
        <v>86</v>
      </c>
      <c r="G35" s="11">
        <f>G34/G18</f>
        <v>0.359362579261642</v>
      </c>
      <c r="H35" s="11">
        <f t="shared" ref="H35:N35" si="6">H34/H18</f>
        <v>0.34183613886988873</v>
      </c>
      <c r="I35" s="11">
        <f t="shared" si="6"/>
        <v>0.22396251673360107</v>
      </c>
      <c r="J35" s="11">
        <f t="shared" si="6"/>
        <v>0.23523742082694049</v>
      </c>
      <c r="K35" s="11">
        <f t="shared" si="6"/>
        <v>0.25921791798569049</v>
      </c>
      <c r="L35" s="11">
        <f t="shared" si="6"/>
        <v>0.26229999999999998</v>
      </c>
      <c r="M35" s="11">
        <f t="shared" si="6"/>
        <v>0.26300000000000001</v>
      </c>
      <c r="N35" s="11">
        <f t="shared" si="6"/>
        <v>0.26500000000000001</v>
      </c>
    </row>
    <row r="36" spans="2:16" ht="14.4" customHeight="1" x14ac:dyDescent="0.3">
      <c r="B36" s="5"/>
      <c r="G36" s="11"/>
      <c r="H36" s="11"/>
      <c r="I36" s="11"/>
      <c r="J36" s="11"/>
      <c r="K36" s="11"/>
      <c r="L36" s="11"/>
      <c r="M36" s="11"/>
      <c r="N36" s="11"/>
    </row>
    <row r="37" spans="2:16" ht="14.4" customHeight="1" x14ac:dyDescent="0.3">
      <c r="B37" s="4" t="s">
        <v>98</v>
      </c>
      <c r="C37" s="4"/>
      <c r="D37" s="4"/>
      <c r="E37" s="4"/>
      <c r="F37" s="4"/>
      <c r="G37" s="28">
        <f>G28+G31+G34</f>
        <v>69916</v>
      </c>
      <c r="H37" s="28">
        <f t="shared" ref="H37:N37" si="7">H28+H31+H34</f>
        <v>83383</v>
      </c>
      <c r="I37" s="28">
        <f t="shared" si="7"/>
        <v>88523</v>
      </c>
      <c r="J37" s="28">
        <f t="shared" si="7"/>
        <v>109433</v>
      </c>
      <c r="K37" s="28">
        <f t="shared" si="7"/>
        <v>128528</v>
      </c>
      <c r="L37" s="28">
        <f t="shared" si="7"/>
        <v>151753.04890199998</v>
      </c>
      <c r="M37" s="28">
        <f t="shared" si="7"/>
        <v>175527.9084556</v>
      </c>
      <c r="N37" s="28">
        <f t="shared" si="7"/>
        <v>207995.62973638801</v>
      </c>
      <c r="O37" s="4"/>
      <c r="P37" s="4"/>
    </row>
    <row r="39" spans="2:16" ht="14.4" customHeight="1" x14ac:dyDescent="0.3">
      <c r="B39" s="2" t="s">
        <v>91</v>
      </c>
      <c r="C39" s="2"/>
      <c r="D39" s="2"/>
      <c r="E39" s="2"/>
      <c r="F39" s="2"/>
      <c r="G39" s="2">
        <v>2021</v>
      </c>
      <c r="H39" s="2">
        <f>G39+1</f>
        <v>2022</v>
      </c>
      <c r="I39" s="2">
        <f>H39+1</f>
        <v>2023</v>
      </c>
      <c r="J39" s="2">
        <f>I39+1</f>
        <v>2024</v>
      </c>
      <c r="K39" s="2">
        <f>J39+1</f>
        <v>2025</v>
      </c>
      <c r="L39" s="3" t="s">
        <v>6</v>
      </c>
      <c r="M39" s="3" t="s">
        <v>7</v>
      </c>
      <c r="N39" s="3" t="s">
        <v>8</v>
      </c>
      <c r="O39" s="3" t="s">
        <v>9</v>
      </c>
      <c r="P39" s="3" t="s">
        <v>10</v>
      </c>
    </row>
    <row r="40" spans="2:16" s="24" customFormat="1" ht="1.95" customHeight="1" x14ac:dyDescent="0.3">
      <c r="B40" s="25"/>
      <c r="C40" s="25"/>
      <c r="D40" s="25"/>
      <c r="E40" s="25"/>
      <c r="F40" s="25"/>
      <c r="G40" s="25"/>
      <c r="H40" s="25"/>
      <c r="I40" s="25"/>
      <c r="J40" s="25"/>
      <c r="K40" s="25"/>
      <c r="L40" s="26"/>
      <c r="M40" s="26"/>
      <c r="N40" s="26"/>
      <c r="O40" s="26"/>
      <c r="P40" s="26"/>
    </row>
    <row r="41" spans="2:16" ht="14.4" customHeight="1" x14ac:dyDescent="0.3">
      <c r="B41" s="1" t="s">
        <v>89</v>
      </c>
      <c r="G41" s="12">
        <v>83953</v>
      </c>
      <c r="H41" s="12">
        <v>100218</v>
      </c>
      <c r="I41" s="12">
        <v>106744</v>
      </c>
      <c r="J41" s="12">
        <v>124704</v>
      </c>
      <c r="K41" s="12">
        <v>144546</v>
      </c>
    </row>
    <row r="42" spans="2:16" ht="14.4" customHeight="1" x14ac:dyDescent="0.3">
      <c r="B42" s="5" t="s">
        <v>12</v>
      </c>
      <c r="G42" s="11">
        <f>(G41-73160)/73160</f>
        <v>0.14752597047566976</v>
      </c>
      <c r="H42" s="11">
        <f>(H41-G41)/G41</f>
        <v>0.19373935416244803</v>
      </c>
      <c r="I42" s="11">
        <f>(I41-H41)/H41</f>
        <v>6.5118042666985967E-2</v>
      </c>
      <c r="J42" s="11">
        <f>(J41-I41)/I41</f>
        <v>0.16825301656299183</v>
      </c>
      <c r="K42" s="11">
        <f>(K41-J41)/J41</f>
        <v>0.159112779060816</v>
      </c>
      <c r="L42" s="11"/>
      <c r="M42" s="11"/>
    </row>
    <row r="43" spans="2:16" ht="14.4" customHeight="1" x14ac:dyDescent="0.3">
      <c r="B43" s="1" t="s">
        <v>90</v>
      </c>
      <c r="G43" s="12">
        <v>84135</v>
      </c>
      <c r="H43" s="12">
        <v>98052</v>
      </c>
      <c r="I43" s="12">
        <v>105171</v>
      </c>
      <c r="J43" s="12">
        <v>120518</v>
      </c>
      <c r="K43" s="12">
        <v>137178</v>
      </c>
    </row>
    <row r="44" spans="2:16" ht="14.4" customHeight="1" x14ac:dyDescent="0.3">
      <c r="B44" s="5" t="s">
        <v>12</v>
      </c>
      <c r="G44" s="11">
        <f>(G43-69855)/69855</f>
        <v>0.20442344857204209</v>
      </c>
      <c r="H44" s="11">
        <f>(H43-G43)/G43</f>
        <v>0.1654127295418078</v>
      </c>
      <c r="I44" s="11">
        <f>(I43-H43)/H43</f>
        <v>7.260433239505569E-2</v>
      </c>
      <c r="J44" s="11">
        <f>(J43-I43)/I43</f>
        <v>0.14592425668672923</v>
      </c>
      <c r="K44" s="11">
        <f>(K43-J43)/J43</f>
        <v>0.13823661195837966</v>
      </c>
      <c r="L44" s="11"/>
      <c r="M44" s="11"/>
    </row>
    <row r="46" spans="2:16" ht="14.4" customHeight="1" x14ac:dyDescent="0.3">
      <c r="B46" s="2" t="s">
        <v>69</v>
      </c>
      <c r="C46" s="2"/>
      <c r="D46" s="2"/>
      <c r="E46" s="2"/>
      <c r="F46" s="2"/>
      <c r="G46" s="2">
        <v>2021</v>
      </c>
      <c r="H46" s="2">
        <f>G46+1</f>
        <v>2022</v>
      </c>
      <c r="I46" s="2">
        <f>H46+1</f>
        <v>2023</v>
      </c>
      <c r="J46" s="2">
        <f>I46+1</f>
        <v>2024</v>
      </c>
      <c r="K46" s="2">
        <f>J46+1</f>
        <v>2025</v>
      </c>
      <c r="L46" s="3" t="s">
        <v>6</v>
      </c>
      <c r="M46" s="3" t="s">
        <v>7</v>
      </c>
      <c r="N46" s="3" t="s">
        <v>8</v>
      </c>
      <c r="O46" s="3" t="s">
        <v>9</v>
      </c>
      <c r="P46" s="3" t="s">
        <v>10</v>
      </c>
    </row>
    <row r="47" spans="2:16" s="24" customFormat="1" ht="1.95" customHeight="1" x14ac:dyDescent="0.3">
      <c r="B47" s="25"/>
      <c r="C47" s="25"/>
      <c r="D47" s="25"/>
      <c r="E47" s="25"/>
      <c r="F47" s="25"/>
      <c r="G47" s="25"/>
      <c r="H47" s="25"/>
      <c r="I47" s="25"/>
      <c r="J47" s="25"/>
      <c r="K47" s="25"/>
      <c r="L47" s="26"/>
      <c r="M47" s="26"/>
      <c r="N47" s="26"/>
      <c r="O47" s="26"/>
      <c r="P47" s="26"/>
    </row>
    <row r="48" spans="2:16" ht="14.4" customHeight="1" x14ac:dyDescent="0.3">
      <c r="B48" s="1" t="s">
        <v>92</v>
      </c>
      <c r="C48" s="25"/>
      <c r="D48" s="25"/>
      <c r="E48" s="25"/>
      <c r="F48" s="25"/>
      <c r="G48" s="12">
        <v>173049</v>
      </c>
      <c r="H48" s="12">
        <v>202537</v>
      </c>
      <c r="I48" s="12">
        <v>217320</v>
      </c>
      <c r="J48" s="12">
        <v>268695</v>
      </c>
      <c r="K48" s="12">
        <v>288805</v>
      </c>
      <c r="L48" s="26">
        <v>333705</v>
      </c>
      <c r="M48" s="26" t="s">
        <v>75</v>
      </c>
      <c r="N48" s="26" t="s">
        <v>75</v>
      </c>
      <c r="O48" s="26"/>
      <c r="P48" s="26"/>
    </row>
    <row r="49" spans="2:16" ht="14.4" customHeight="1" x14ac:dyDescent="0.3">
      <c r="B49" s="1" t="s">
        <v>96</v>
      </c>
      <c r="G49" s="12">
        <v>141000</v>
      </c>
      <c r="H49" s="12">
        <v>189000</v>
      </c>
      <c r="I49" s="12">
        <v>224000</v>
      </c>
      <c r="J49" s="12">
        <v>269000</v>
      </c>
      <c r="K49" s="12">
        <v>368000</v>
      </c>
      <c r="L49" s="12">
        <v>392000</v>
      </c>
    </row>
    <row r="50" spans="2:16" ht="14.4" customHeight="1" x14ac:dyDescent="0.3">
      <c r="B50" s="5" t="s">
        <v>93</v>
      </c>
      <c r="G50" s="11">
        <v>0.498</v>
      </c>
      <c r="H50" s="11">
        <v>0.45</v>
      </c>
      <c r="I50" s="11">
        <v>0.28999999999999998</v>
      </c>
      <c r="J50" s="11">
        <v>0.3</v>
      </c>
      <c r="K50" s="11">
        <v>0.34200000000000003</v>
      </c>
      <c r="L50" s="11">
        <v>0.38</v>
      </c>
      <c r="M50" s="11">
        <v>0.34300000000000003</v>
      </c>
      <c r="N50" s="11">
        <v>0.28100000000000003</v>
      </c>
    </row>
    <row r="51" spans="2:16" ht="14.4" customHeight="1" x14ac:dyDescent="0.3">
      <c r="B51" s="5" t="s">
        <v>94</v>
      </c>
      <c r="G51" s="11"/>
      <c r="H51" s="11">
        <v>0.47</v>
      </c>
      <c r="I51" s="11">
        <v>0.34</v>
      </c>
      <c r="J51" s="11">
        <v>0.28999999999999998</v>
      </c>
      <c r="K51" s="11">
        <v>0.34699999999999998</v>
      </c>
      <c r="L51" s="11">
        <v>0.375</v>
      </c>
      <c r="M51" s="11">
        <v>0.34499999999999997</v>
      </c>
      <c r="N51" s="11">
        <v>0.29699999999999999</v>
      </c>
    </row>
    <row r="52" spans="2:16" ht="14.4" customHeight="1" x14ac:dyDescent="0.3">
      <c r="B52" s="1" t="s">
        <v>95</v>
      </c>
      <c r="G52" s="12"/>
      <c r="H52" s="12"/>
      <c r="I52" s="12">
        <v>31900</v>
      </c>
      <c r="J52" s="12">
        <v>55700</v>
      </c>
      <c r="K52" s="12">
        <v>88200</v>
      </c>
      <c r="L52" s="8">
        <f>K52*1.62</f>
        <v>142884</v>
      </c>
      <c r="M52" s="8">
        <f>L52*1.116</f>
        <v>159458.54400000002</v>
      </c>
      <c r="N52" s="8">
        <f>M52*1.045</f>
        <v>166634.17848</v>
      </c>
    </row>
    <row r="53" spans="2:16" ht="14.4" customHeight="1" x14ac:dyDescent="0.3">
      <c r="B53" s="1" t="s">
        <v>214</v>
      </c>
      <c r="L53" s="8">
        <f>Main!J27*L55</f>
        <v>246916.66724399998</v>
      </c>
      <c r="M53" s="8">
        <f>Main!K27*M55</f>
        <v>288318.04866456002</v>
      </c>
      <c r="N53" s="8">
        <f>Main!L27*N55</f>
        <v>336441.9198143133</v>
      </c>
    </row>
    <row r="54" spans="2:16" ht="14.4" customHeight="1" x14ac:dyDescent="0.3">
      <c r="B54" s="1" t="s">
        <v>215</v>
      </c>
      <c r="L54" s="8">
        <f>Main!J27-L53</f>
        <v>79433.672755999985</v>
      </c>
      <c r="M54" s="8">
        <f>Main!K27-M53</f>
        <v>89160.412535440002</v>
      </c>
      <c r="N54" s="8">
        <f>Main!L27-N53</f>
        <v>101405.45110488671</v>
      </c>
    </row>
    <row r="55" spans="2:16" ht="14.4" customHeight="1" x14ac:dyDescent="0.3">
      <c r="B55" s="5" t="s">
        <v>216</v>
      </c>
      <c r="C55" s="5"/>
      <c r="D55" s="5"/>
      <c r="E55" s="5"/>
      <c r="F55" s="5"/>
      <c r="G55" s="5"/>
      <c r="H55" s="5"/>
      <c r="I55" s="5"/>
      <c r="J55" s="5"/>
      <c r="K55" s="5"/>
      <c r="L55" s="11">
        <v>0.75660000000000005</v>
      </c>
      <c r="M55" s="11">
        <v>0.76380000000000003</v>
      </c>
      <c r="N55" s="11">
        <v>0.76839999999999997</v>
      </c>
    </row>
    <row r="56" spans="2:16" ht="14.4" customHeight="1" x14ac:dyDescent="0.3">
      <c r="B56" s="1" t="s">
        <v>244</v>
      </c>
      <c r="L56" s="13">
        <f>-40000*0.27</f>
        <v>-10800</v>
      </c>
      <c r="M56" s="13">
        <f>-27500*0.27</f>
        <v>-7425.0000000000009</v>
      </c>
      <c r="N56" s="13">
        <f>-12500*0.27</f>
        <v>-3375</v>
      </c>
      <c r="O56" s="13"/>
      <c r="P56" s="13"/>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82438-1AC1-43DF-96FD-76E4B45DFDBC}">
  <sheetPr codeName="Sheet3"/>
  <dimension ref="B2:AK80"/>
  <sheetViews>
    <sheetView showGridLines="0" zoomScaleNormal="100" workbookViewId="0">
      <selection activeCell="B1" sqref="B1"/>
    </sheetView>
  </sheetViews>
  <sheetFormatPr defaultColWidth="8.69921875" defaultRowHeight="14.4" x14ac:dyDescent="0.3"/>
  <cols>
    <col min="1" max="5" width="8.69921875" style="1"/>
    <col min="6" max="6" width="9.796875" style="1" bestFit="1" customWidth="1"/>
    <col min="7" max="16384" width="8.69921875" style="1"/>
  </cols>
  <sheetData>
    <row r="2" spans="2:37" x14ac:dyDescent="0.3">
      <c r="B2" s="2" t="s">
        <v>108</v>
      </c>
      <c r="C2" s="2"/>
      <c r="D2" s="2"/>
      <c r="E2" s="2">
        <v>2021</v>
      </c>
      <c r="F2" s="2">
        <v>2022</v>
      </c>
      <c r="G2" s="2">
        <v>2023</v>
      </c>
      <c r="H2" s="2">
        <v>2024</v>
      </c>
      <c r="I2" s="2">
        <v>2025</v>
      </c>
      <c r="J2" s="3" t="s">
        <v>6</v>
      </c>
      <c r="K2" s="3" t="s">
        <v>7</v>
      </c>
      <c r="L2" s="3" t="s">
        <v>8</v>
      </c>
      <c r="M2" s="3" t="s">
        <v>9</v>
      </c>
      <c r="N2" s="3" t="s">
        <v>10</v>
      </c>
      <c r="P2" s="2" t="s">
        <v>304</v>
      </c>
      <c r="Q2" s="2"/>
      <c r="R2" s="2" t="s">
        <v>217</v>
      </c>
      <c r="S2" s="2" t="s">
        <v>218</v>
      </c>
      <c r="T2" s="2" t="s">
        <v>219</v>
      </c>
      <c r="U2" s="2" t="s">
        <v>220</v>
      </c>
      <c r="V2" s="2" t="s">
        <v>221</v>
      </c>
      <c r="W2" s="2" t="s">
        <v>222</v>
      </c>
      <c r="X2" s="2" t="s">
        <v>223</v>
      </c>
      <c r="Y2" s="2" t="s">
        <v>224</v>
      </c>
      <c r="Z2" s="2" t="s">
        <v>225</v>
      </c>
      <c r="AA2" s="2" t="s">
        <v>226</v>
      </c>
      <c r="AB2" s="2" t="s">
        <v>227</v>
      </c>
      <c r="AC2" s="2" t="s">
        <v>228</v>
      </c>
      <c r="AD2" s="2" t="s">
        <v>229</v>
      </c>
      <c r="AE2" s="2" t="s">
        <v>230</v>
      </c>
      <c r="AF2" s="2" t="s">
        <v>231</v>
      </c>
      <c r="AG2" s="2" t="s">
        <v>232</v>
      </c>
      <c r="AH2" s="2" t="s">
        <v>233</v>
      </c>
      <c r="AI2" s="2" t="s">
        <v>234</v>
      </c>
      <c r="AJ2" s="2" t="s">
        <v>235</v>
      </c>
      <c r="AK2" s="2" t="s">
        <v>236</v>
      </c>
    </row>
    <row r="3" spans="2:37" ht="15.6" x14ac:dyDescent="0.3">
      <c r="B3" s="1" t="s">
        <v>24</v>
      </c>
      <c r="E3" s="13">
        <v>56118</v>
      </c>
      <c r="F3" s="13">
        <v>65149</v>
      </c>
      <c r="G3" s="13">
        <v>59475</v>
      </c>
      <c r="H3" s="13">
        <v>74071</v>
      </c>
      <c r="I3" s="13">
        <v>71611</v>
      </c>
      <c r="J3" s="13">
        <v>75264.926682000005</v>
      </c>
      <c r="K3" s="13">
        <v>82894.543678069982</v>
      </c>
      <c r="L3" s="13">
        <v>104408.56690800063</v>
      </c>
      <c r="M3" s="13">
        <v>150978.8510565102</v>
      </c>
      <c r="N3" s="13">
        <v>178723.13532467111</v>
      </c>
      <c r="P3" s="1" t="s">
        <v>237</v>
      </c>
      <c r="Q3" s="40"/>
      <c r="R3" s="21">
        <v>1.95</v>
      </c>
      <c r="S3" s="21">
        <v>2.17</v>
      </c>
      <c r="T3" s="21">
        <v>2.27</v>
      </c>
      <c r="U3" s="21">
        <v>2.48</v>
      </c>
      <c r="V3" s="21">
        <v>2.2200000000000002</v>
      </c>
      <c r="W3" s="21">
        <v>2.23</v>
      </c>
      <c r="X3" s="21">
        <v>2.35</v>
      </c>
      <c r="Y3" s="21">
        <v>2.3199999999999998</v>
      </c>
      <c r="Z3" s="21">
        <v>2.4500000000000002</v>
      </c>
      <c r="AA3" s="21">
        <v>2.69</v>
      </c>
      <c r="AB3" s="21">
        <v>2.99</v>
      </c>
      <c r="AC3" s="21">
        <v>2.93</v>
      </c>
      <c r="AD3" s="21">
        <v>2.94</v>
      </c>
      <c r="AE3" s="21">
        <v>2.95</v>
      </c>
      <c r="AF3" s="21">
        <v>3.3</v>
      </c>
      <c r="AG3" s="21">
        <v>3.23</v>
      </c>
      <c r="AH3" s="21">
        <v>3.46</v>
      </c>
      <c r="AI3" s="21">
        <v>3.65</v>
      </c>
      <c r="AJ3" s="21">
        <v>4.13</v>
      </c>
    </row>
    <row r="4" spans="2:37" ht="15.6" x14ac:dyDescent="0.3">
      <c r="B4" s="1" t="s">
        <v>19</v>
      </c>
      <c r="E4" s="27">
        <f>Main!E54</f>
        <v>20622</v>
      </c>
      <c r="F4" s="27">
        <f>Main!F54</f>
        <v>23886</v>
      </c>
      <c r="G4" s="27">
        <f>Main!G54</f>
        <v>28107</v>
      </c>
      <c r="H4" s="27">
        <f>Main!H54</f>
        <v>44477</v>
      </c>
      <c r="I4" s="27">
        <f>Main!I54</f>
        <v>64551</v>
      </c>
      <c r="J4" s="27">
        <f>Main!J54</f>
        <v>98328</v>
      </c>
      <c r="K4" s="27">
        <f>Main!K54</f>
        <v>116359</v>
      </c>
      <c r="L4" s="27">
        <f>Main!L54</f>
        <v>124504.13</v>
      </c>
      <c r="M4" s="27">
        <f>Main!M54</f>
        <v>120769.0061</v>
      </c>
      <c r="N4" s="27">
        <f>Main!N54</f>
        <v>118353.625978</v>
      </c>
      <c r="P4" s="1" t="s">
        <v>238</v>
      </c>
      <c r="Q4" s="40"/>
      <c r="R4" s="21">
        <v>1.7813000000000001</v>
      </c>
      <c r="S4" s="21">
        <v>1.9180200000000001</v>
      </c>
      <c r="T4" s="21">
        <v>2.07687</v>
      </c>
      <c r="U4" s="21">
        <v>2.3189600000000001</v>
      </c>
      <c r="V4" s="21">
        <v>2.18879</v>
      </c>
      <c r="W4" s="21">
        <v>2.2922400000000001</v>
      </c>
      <c r="X4" s="21">
        <v>2.3045900000000001</v>
      </c>
      <c r="Y4" s="21">
        <v>2.29332</v>
      </c>
      <c r="Z4" s="21">
        <v>2.2391000000000001</v>
      </c>
      <c r="AA4" s="21">
        <v>2.55063</v>
      </c>
      <c r="AB4" s="21">
        <v>2.65401</v>
      </c>
      <c r="AC4" s="21">
        <v>2.7713199999999998</v>
      </c>
      <c r="AD4" s="21">
        <v>2.82464</v>
      </c>
      <c r="AE4" s="21">
        <v>2.9375</v>
      </c>
      <c r="AF4" s="21">
        <v>3.1012200000000001</v>
      </c>
      <c r="AG4" s="21">
        <v>3.1194899999999999</v>
      </c>
      <c r="AH4" s="21">
        <v>3.2222200000000001</v>
      </c>
      <c r="AI4" s="21">
        <v>3.3747099999999999</v>
      </c>
      <c r="AJ4" s="21">
        <v>3.6715599999999999</v>
      </c>
    </row>
    <row r="5" spans="2:37" ht="15.6" x14ac:dyDescent="0.3">
      <c r="B5" s="1" t="s">
        <v>100</v>
      </c>
      <c r="E5" s="13">
        <f t="shared" ref="E5:N5" si="0">E3+E4</f>
        <v>76740</v>
      </c>
      <c r="F5" s="13">
        <f t="shared" si="0"/>
        <v>89035</v>
      </c>
      <c r="G5" s="13">
        <f t="shared" si="0"/>
        <v>87582</v>
      </c>
      <c r="H5" s="13">
        <f t="shared" si="0"/>
        <v>118548</v>
      </c>
      <c r="I5" s="13">
        <f t="shared" si="0"/>
        <v>136162</v>
      </c>
      <c r="J5" s="13">
        <f t="shared" si="0"/>
        <v>173592.92668199999</v>
      </c>
      <c r="K5" s="13">
        <f t="shared" si="0"/>
        <v>199253.54367806998</v>
      </c>
      <c r="L5" s="13">
        <f t="shared" si="0"/>
        <v>228912.69690800062</v>
      </c>
      <c r="M5" s="13">
        <f t="shared" si="0"/>
        <v>271747.85715651023</v>
      </c>
      <c r="N5" s="13">
        <f t="shared" si="0"/>
        <v>297076.7613026711</v>
      </c>
      <c r="P5" s="5" t="s">
        <v>239</v>
      </c>
      <c r="Q5" s="43"/>
      <c r="R5" s="41">
        <f t="shared" ref="R5:AJ5" si="1">R3/R4-1</f>
        <v>9.4706113512603052E-2</v>
      </c>
      <c r="S5" s="41">
        <f t="shared" si="1"/>
        <v>0.13137506386794717</v>
      </c>
      <c r="T5" s="41">
        <f t="shared" si="1"/>
        <v>9.299089495250068E-2</v>
      </c>
      <c r="U5" s="41">
        <f t="shared" si="1"/>
        <v>6.944492358643517E-2</v>
      </c>
      <c r="V5" s="41">
        <f t="shared" si="1"/>
        <v>1.4259019823738228E-2</v>
      </c>
      <c r="W5" s="41">
        <f t="shared" si="1"/>
        <v>-2.7152479670540686E-2</v>
      </c>
      <c r="X5" s="41">
        <f t="shared" si="1"/>
        <v>1.9704155619871599E-2</v>
      </c>
      <c r="Y5" s="41">
        <f t="shared" si="1"/>
        <v>1.1633788568538028E-2</v>
      </c>
      <c r="Z5" s="41">
        <f t="shared" si="1"/>
        <v>9.4189629761957994E-2</v>
      </c>
      <c r="AA5" s="41">
        <f t="shared" si="1"/>
        <v>5.4641402320211085E-2</v>
      </c>
      <c r="AB5" s="41">
        <f t="shared" si="1"/>
        <v>0.1265971115406499</v>
      </c>
      <c r="AC5" s="41">
        <f t="shared" si="1"/>
        <v>5.7257913196599564E-2</v>
      </c>
      <c r="AD5" s="41">
        <f t="shared" si="1"/>
        <v>4.0840602696272876E-2</v>
      </c>
      <c r="AE5" s="41">
        <f t="shared" si="1"/>
        <v>4.2553191489362874E-3</v>
      </c>
      <c r="AF5" s="41">
        <f t="shared" si="1"/>
        <v>6.4097355234391529E-2</v>
      </c>
      <c r="AG5" s="41">
        <f t="shared" si="1"/>
        <v>3.5425662528169699E-2</v>
      </c>
      <c r="AH5" s="41">
        <f t="shared" si="1"/>
        <v>7.3793843995754393E-2</v>
      </c>
      <c r="AI5" s="41">
        <f t="shared" si="1"/>
        <v>8.1574416764699897E-2</v>
      </c>
      <c r="AJ5" s="41">
        <f t="shared" si="1"/>
        <v>0.12486245628561154</v>
      </c>
    </row>
    <row r="6" spans="2:37" ht="15.6" x14ac:dyDescent="0.3">
      <c r="B6" s="5" t="s">
        <v>101</v>
      </c>
      <c r="C6" s="5"/>
      <c r="D6" s="5"/>
      <c r="E6" s="44">
        <f t="shared" ref="E6:N6" si="2">E4/E5</f>
        <v>0.26872556684910087</v>
      </c>
      <c r="F6" s="44">
        <f t="shared" si="2"/>
        <v>0.26827652046947831</v>
      </c>
      <c r="G6" s="44">
        <f t="shared" si="2"/>
        <v>0.32092210728231829</v>
      </c>
      <c r="H6" s="44">
        <f t="shared" si="2"/>
        <v>0.37518136113641731</v>
      </c>
      <c r="I6" s="44">
        <f t="shared" si="2"/>
        <v>0.47407499889837107</v>
      </c>
      <c r="J6" s="44">
        <f t="shared" si="2"/>
        <v>0.56642860904191272</v>
      </c>
      <c r="K6" s="44">
        <f t="shared" si="2"/>
        <v>0.58397455750146632</v>
      </c>
      <c r="L6" s="44">
        <f t="shared" si="2"/>
        <v>0.54389350910507983</v>
      </c>
      <c r="M6" s="44">
        <f t="shared" si="2"/>
        <v>0.44441567033385804</v>
      </c>
      <c r="N6" s="44">
        <f t="shared" si="2"/>
        <v>0.39839408999554032</v>
      </c>
      <c r="P6" s="1" t="s">
        <v>240</v>
      </c>
      <c r="Q6" s="40"/>
      <c r="R6" s="42">
        <v>41706</v>
      </c>
      <c r="S6" s="42">
        <v>46152</v>
      </c>
      <c r="T6" s="42">
        <v>45317</v>
      </c>
      <c r="U6" s="42">
        <v>51728</v>
      </c>
      <c r="V6" s="42">
        <v>49360</v>
      </c>
      <c r="W6" s="42">
        <v>51865</v>
      </c>
      <c r="X6" s="42">
        <v>50122</v>
      </c>
      <c r="Y6" s="42">
        <v>52747</v>
      </c>
      <c r="Z6" s="42">
        <v>52857</v>
      </c>
      <c r="AA6" s="42">
        <v>56189</v>
      </c>
      <c r="AB6" s="42">
        <v>56517</v>
      </c>
      <c r="AC6" s="42">
        <v>62020</v>
      </c>
      <c r="AD6" s="42">
        <v>61858</v>
      </c>
      <c r="AE6" s="42">
        <v>64727</v>
      </c>
      <c r="AF6" s="42">
        <v>65585</v>
      </c>
      <c r="AG6" s="42">
        <v>69632</v>
      </c>
      <c r="AH6" s="42">
        <v>70066</v>
      </c>
      <c r="AI6" s="42">
        <v>76441</v>
      </c>
      <c r="AJ6" s="42">
        <v>77673</v>
      </c>
    </row>
    <row r="7" spans="2:37" ht="15.6" x14ac:dyDescent="0.3">
      <c r="P7" s="1" t="s">
        <v>241</v>
      </c>
      <c r="Q7" s="40"/>
      <c r="R7" s="42">
        <v>41035.5</v>
      </c>
      <c r="S7" s="42">
        <v>44260.4</v>
      </c>
      <c r="T7" s="42">
        <v>44011.8</v>
      </c>
      <c r="U7" s="42">
        <v>50745.5</v>
      </c>
      <c r="V7" s="42">
        <v>49022.6</v>
      </c>
      <c r="W7" s="42">
        <v>52384.3</v>
      </c>
      <c r="X7" s="42">
        <v>49609.2</v>
      </c>
      <c r="Y7" s="42">
        <v>52986.7</v>
      </c>
      <c r="Z7" s="42">
        <v>51018.6</v>
      </c>
      <c r="AA7" s="42">
        <v>55485.4</v>
      </c>
      <c r="AB7" s="42">
        <v>54523.4</v>
      </c>
      <c r="AC7" s="42">
        <v>61140.9</v>
      </c>
      <c r="AD7" s="42">
        <v>60846</v>
      </c>
      <c r="AE7" s="42">
        <v>64382.3</v>
      </c>
      <c r="AF7" s="42">
        <v>64562.400000000001</v>
      </c>
      <c r="AG7" s="42">
        <v>68816.7</v>
      </c>
      <c r="AH7" s="42">
        <v>68439.899999999994</v>
      </c>
      <c r="AI7" s="42">
        <v>73961.100000000006</v>
      </c>
      <c r="AJ7" s="42">
        <v>75494.7</v>
      </c>
    </row>
    <row r="8" spans="2:37" ht="15.6" x14ac:dyDescent="0.3">
      <c r="B8" s="2" t="s">
        <v>110</v>
      </c>
      <c r="C8" s="2"/>
      <c r="D8" s="2"/>
      <c r="E8" s="58" t="s">
        <v>45</v>
      </c>
      <c r="F8" s="58"/>
      <c r="G8" s="58"/>
      <c r="H8" s="13"/>
      <c r="I8" s="13"/>
      <c r="J8" s="32" t="s">
        <v>161</v>
      </c>
      <c r="K8" s="33"/>
      <c r="L8" s="33"/>
      <c r="M8" s="33"/>
      <c r="N8" s="34"/>
      <c r="P8" s="5" t="s">
        <v>239</v>
      </c>
      <c r="Q8" s="43"/>
      <c r="R8" s="41">
        <f t="shared" ref="R8:AJ8" si="3">R6/R7-1</f>
        <v>1.633951091128405E-2</v>
      </c>
      <c r="S8" s="41">
        <f t="shared" si="3"/>
        <v>4.2737977966760266E-2</v>
      </c>
      <c r="T8" s="41">
        <f t="shared" si="3"/>
        <v>2.9655683248583253E-2</v>
      </c>
      <c r="U8" s="41">
        <f t="shared" si="3"/>
        <v>1.9361322678858262E-2</v>
      </c>
      <c r="V8" s="41">
        <f t="shared" si="3"/>
        <v>6.8825398897651713E-3</v>
      </c>
      <c r="W8" s="41">
        <f t="shared" si="3"/>
        <v>-9.9132755424813368E-3</v>
      </c>
      <c r="X8" s="41">
        <f t="shared" si="3"/>
        <v>1.0336792369157299E-2</v>
      </c>
      <c r="Y8" s="41">
        <f t="shared" si="3"/>
        <v>-4.5237767213280877E-3</v>
      </c>
      <c r="Z8" s="41">
        <f t="shared" si="3"/>
        <v>3.6033917042020081E-2</v>
      </c>
      <c r="AA8" s="41">
        <f t="shared" si="3"/>
        <v>1.2680813331074514E-2</v>
      </c>
      <c r="AB8" s="41">
        <f t="shared" si="3"/>
        <v>3.6564117424812137E-2</v>
      </c>
      <c r="AC8" s="41">
        <f t="shared" si="3"/>
        <v>1.4378263977141259E-2</v>
      </c>
      <c r="AD8" s="41">
        <f t="shared" si="3"/>
        <v>1.6632153305065289E-2</v>
      </c>
      <c r="AE8" s="41">
        <f t="shared" si="3"/>
        <v>5.353955978584235E-3</v>
      </c>
      <c r="AF8" s="41">
        <f t="shared" si="3"/>
        <v>1.5838940312008276E-2</v>
      </c>
      <c r="AG8" s="41">
        <f t="shared" si="3"/>
        <v>1.184741494433772E-2</v>
      </c>
      <c r="AH8" s="41">
        <f t="shared" si="3"/>
        <v>2.3759532085815493E-2</v>
      </c>
      <c r="AI8" s="41">
        <f t="shared" si="3"/>
        <v>3.3529787956101176E-2</v>
      </c>
      <c r="AJ8" s="41">
        <f t="shared" si="3"/>
        <v>2.8853681119336949E-2</v>
      </c>
    </row>
    <row r="9" spans="2:37" x14ac:dyDescent="0.3">
      <c r="B9" s="1" t="s">
        <v>111</v>
      </c>
      <c r="E9" s="57" t="s">
        <v>245</v>
      </c>
      <c r="F9" s="57"/>
      <c r="G9" s="57"/>
      <c r="J9" s="35" t="s">
        <v>302</v>
      </c>
      <c r="K9" s="6"/>
      <c r="L9" s="6" t="s">
        <v>59</v>
      </c>
      <c r="M9" s="6"/>
      <c r="N9" s="36"/>
    </row>
    <row r="10" spans="2:37" x14ac:dyDescent="0.3">
      <c r="B10" s="1" t="s">
        <v>190</v>
      </c>
      <c r="E10" s="17"/>
      <c r="F10" s="17"/>
      <c r="G10" s="17"/>
      <c r="J10" s="37" t="s">
        <v>166</v>
      </c>
      <c r="L10" s="1" t="s">
        <v>188</v>
      </c>
      <c r="N10" s="38"/>
      <c r="P10" s="1" t="s">
        <v>242</v>
      </c>
      <c r="S10" s="41">
        <f>AVERAGE(R5:AJ5)</f>
        <v>6.1289325986018314E-2</v>
      </c>
    </row>
    <row r="11" spans="2:37" x14ac:dyDescent="0.3">
      <c r="B11" s="1" t="s">
        <v>191</v>
      </c>
      <c r="E11" s="17"/>
      <c r="F11" s="17"/>
      <c r="G11" s="17"/>
      <c r="J11" s="37" t="s">
        <v>162</v>
      </c>
      <c r="L11" s="1" t="s">
        <v>167</v>
      </c>
      <c r="N11" s="39"/>
      <c r="O11" s="12"/>
      <c r="P11" s="1" t="s">
        <v>298</v>
      </c>
      <c r="S11" s="41">
        <f>MAX(R5:AJ5)</f>
        <v>0.13137506386794717</v>
      </c>
      <c r="T11" s="8"/>
      <c r="U11" s="8"/>
      <c r="V11" s="8"/>
    </row>
    <row r="12" spans="2:37" ht="15.6" customHeight="1" x14ac:dyDescent="0.3">
      <c r="B12" s="1" t="s">
        <v>192</v>
      </c>
      <c r="E12" s="57" t="s">
        <v>246</v>
      </c>
      <c r="F12" s="57"/>
      <c r="G12" s="57"/>
      <c r="J12" s="35" t="s">
        <v>176</v>
      </c>
      <c r="K12" s="6"/>
      <c r="L12" s="6" t="s">
        <v>181</v>
      </c>
      <c r="M12" s="6"/>
      <c r="N12" s="36"/>
      <c r="P12" s="1" t="s">
        <v>300</v>
      </c>
      <c r="S12" s="41">
        <f>MIN(R5:AJ5)</f>
        <v>-2.7152479670540686E-2</v>
      </c>
    </row>
    <row r="13" spans="2:37" ht="15.6" customHeight="1" x14ac:dyDescent="0.3">
      <c r="B13" s="1" t="s">
        <v>212</v>
      </c>
      <c r="E13" s="57" t="s">
        <v>213</v>
      </c>
      <c r="F13" s="57"/>
      <c r="G13" s="57"/>
      <c r="J13" s="37" t="s">
        <v>177</v>
      </c>
      <c r="L13" s="1" t="s">
        <v>182</v>
      </c>
      <c r="N13" s="38"/>
      <c r="P13" s="1" t="s">
        <v>243</v>
      </c>
      <c r="Q13" s="12"/>
      <c r="R13" s="12"/>
      <c r="S13" s="41">
        <f>AVERAGE(R8:AJ8)</f>
        <v>1.8228913277731369E-2</v>
      </c>
    </row>
    <row r="14" spans="2:37" ht="15.6" customHeight="1" x14ac:dyDescent="0.3">
      <c r="B14" s="1" t="s">
        <v>193</v>
      </c>
      <c r="E14" s="57" t="s">
        <v>247</v>
      </c>
      <c r="F14" s="57"/>
      <c r="G14" s="57"/>
      <c r="J14" s="37" t="s">
        <v>178</v>
      </c>
      <c r="L14" s="1" t="s">
        <v>183</v>
      </c>
      <c r="N14" s="38"/>
      <c r="P14" s="1" t="s">
        <v>299</v>
      </c>
      <c r="S14" s="41">
        <f>MAX(R8:AJ8)</f>
        <v>4.2737977966760266E-2</v>
      </c>
    </row>
    <row r="15" spans="2:37" x14ac:dyDescent="0.3">
      <c r="B15" s="1" t="s">
        <v>112</v>
      </c>
      <c r="E15" s="57" t="s">
        <v>248</v>
      </c>
      <c r="F15" s="57"/>
      <c r="G15" s="57"/>
      <c r="J15" s="35" t="s">
        <v>186</v>
      </c>
      <c r="K15" s="6"/>
      <c r="L15" s="6" t="s">
        <v>187</v>
      </c>
      <c r="M15" s="6"/>
      <c r="N15" s="36"/>
      <c r="P15" s="1" t="s">
        <v>301</v>
      </c>
      <c r="S15" s="41">
        <f>MIN(R8:AJ8)</f>
        <v>-9.9132755424813368E-3</v>
      </c>
    </row>
    <row r="16" spans="2:37" ht="15.6" customHeight="1" x14ac:dyDescent="0.3">
      <c r="B16" s="1" t="s">
        <v>113</v>
      </c>
      <c r="E16" s="57" t="s">
        <v>250</v>
      </c>
      <c r="F16" s="57"/>
      <c r="G16" s="57"/>
      <c r="J16" s="37" t="s">
        <v>179</v>
      </c>
      <c r="L16" s="1" t="s">
        <v>184</v>
      </c>
      <c r="N16" s="38"/>
    </row>
    <row r="17" spans="2:30" x14ac:dyDescent="0.3">
      <c r="B17" s="1" t="s">
        <v>114</v>
      </c>
      <c r="E17" s="57" t="s">
        <v>115</v>
      </c>
      <c r="F17" s="57"/>
      <c r="G17" s="57"/>
      <c r="J17" s="37" t="s">
        <v>180</v>
      </c>
      <c r="L17" s="1" t="s">
        <v>185</v>
      </c>
      <c r="N17" s="38"/>
    </row>
    <row r="18" spans="2:30" ht="15.6" customHeight="1" x14ac:dyDescent="0.3">
      <c r="B18" s="1" t="s">
        <v>116</v>
      </c>
      <c r="E18" s="57" t="s">
        <v>249</v>
      </c>
      <c r="F18" s="57"/>
      <c r="G18" s="57"/>
      <c r="J18" s="37" t="s">
        <v>163</v>
      </c>
      <c r="L18" s="1" t="s">
        <v>168</v>
      </c>
      <c r="N18" s="38"/>
      <c r="P18" s="8"/>
    </row>
    <row r="19" spans="2:30" ht="15.6" customHeight="1" x14ac:dyDescent="0.3">
      <c r="B19" s="1" t="s">
        <v>117</v>
      </c>
      <c r="J19" s="37" t="s">
        <v>164</v>
      </c>
      <c r="L19" s="1" t="s">
        <v>169</v>
      </c>
      <c r="N19" s="38"/>
    </row>
    <row r="20" spans="2:30" ht="15.6" customHeight="1" x14ac:dyDescent="0.3">
      <c r="B20" s="1" t="s">
        <v>118</v>
      </c>
      <c r="E20" s="57" t="s">
        <v>251</v>
      </c>
      <c r="F20" s="57"/>
      <c r="G20" s="57"/>
      <c r="J20" s="35" t="s">
        <v>165</v>
      </c>
      <c r="K20" s="6"/>
      <c r="L20" s="6" t="s">
        <v>175</v>
      </c>
      <c r="M20" s="6"/>
      <c r="N20" s="36"/>
    </row>
    <row r="21" spans="2:30" ht="15.6" customHeight="1" x14ac:dyDescent="0.3">
      <c r="B21" s="1" t="s">
        <v>119</v>
      </c>
      <c r="E21" s="57" t="s">
        <v>252</v>
      </c>
      <c r="F21" s="57"/>
      <c r="G21" s="57"/>
    </row>
    <row r="22" spans="2:30" ht="15.6" customHeight="1" x14ac:dyDescent="0.3"/>
    <row r="23" spans="2:30" ht="15.6" customHeight="1" x14ac:dyDescent="0.3">
      <c r="B23" s="2" t="s">
        <v>120</v>
      </c>
      <c r="C23" s="2"/>
      <c r="D23" s="2"/>
      <c r="E23" s="58" t="s">
        <v>45</v>
      </c>
      <c r="F23" s="58"/>
      <c r="G23" s="58"/>
    </row>
    <row r="24" spans="2:30" ht="15.6" customHeight="1" x14ac:dyDescent="0.3">
      <c r="B24" s="1" t="s">
        <v>194</v>
      </c>
      <c r="E24" s="57" t="s">
        <v>253</v>
      </c>
      <c r="F24" s="57"/>
      <c r="G24" s="57"/>
      <c r="M24" s="57"/>
      <c r="N24" s="57"/>
      <c r="O24" s="57"/>
      <c r="T24" s="57"/>
      <c r="U24" s="57"/>
      <c r="V24" s="57"/>
      <c r="Z24" s="57"/>
      <c r="AA24" s="57"/>
      <c r="AB24" s="57"/>
      <c r="AC24" s="57"/>
      <c r="AD24" s="57"/>
    </row>
    <row r="25" spans="2:30" ht="15.6" customHeight="1" x14ac:dyDescent="0.3">
      <c r="B25" s="1" t="s">
        <v>195</v>
      </c>
      <c r="E25" s="57" t="s">
        <v>254</v>
      </c>
      <c r="F25" s="57"/>
      <c r="G25" s="57"/>
      <c r="M25" s="17"/>
      <c r="N25" s="17"/>
      <c r="O25" s="17"/>
      <c r="T25" s="57"/>
      <c r="U25" s="57"/>
      <c r="V25" s="57"/>
    </row>
    <row r="26" spans="2:30" ht="15.6" customHeight="1" x14ac:dyDescent="0.3">
      <c r="B26" s="1" t="s">
        <v>196</v>
      </c>
      <c r="E26" s="57" t="s">
        <v>255</v>
      </c>
      <c r="F26" s="57"/>
      <c r="G26" s="57"/>
      <c r="M26" s="17"/>
      <c r="N26" s="17"/>
      <c r="O26" s="17"/>
      <c r="T26" s="57"/>
      <c r="U26" s="57"/>
      <c r="V26" s="57"/>
    </row>
    <row r="27" spans="2:30" ht="15.6" customHeight="1" x14ac:dyDescent="0.3">
      <c r="B27" s="1" t="s">
        <v>197</v>
      </c>
      <c r="E27" s="57" t="s">
        <v>256</v>
      </c>
      <c r="F27" s="57"/>
      <c r="G27" s="57"/>
      <c r="M27" s="57"/>
      <c r="N27" s="57"/>
      <c r="O27" s="57"/>
      <c r="T27" s="57"/>
      <c r="U27" s="57"/>
      <c r="V27" s="57"/>
      <c r="AA27" s="57"/>
      <c r="AB27" s="57"/>
      <c r="AC27" s="57"/>
    </row>
    <row r="28" spans="2:30" x14ac:dyDescent="0.3">
      <c r="B28" s="1" t="s">
        <v>198</v>
      </c>
      <c r="E28" s="57" t="s">
        <v>259</v>
      </c>
      <c r="F28" s="57"/>
      <c r="G28" s="57"/>
      <c r="M28" s="57"/>
      <c r="N28" s="57"/>
      <c r="O28" s="57"/>
      <c r="T28" s="57"/>
      <c r="U28" s="57"/>
      <c r="V28" s="57"/>
      <c r="AA28" s="57"/>
      <c r="AB28" s="57"/>
      <c r="AC28" s="57"/>
    </row>
    <row r="29" spans="2:30" ht="15.6" customHeight="1" x14ac:dyDescent="0.3">
      <c r="B29" s="1" t="s">
        <v>121</v>
      </c>
      <c r="E29" s="57" t="s">
        <v>257</v>
      </c>
      <c r="F29" s="57"/>
      <c r="G29" s="57"/>
      <c r="M29" s="57"/>
      <c r="N29" s="57"/>
      <c r="O29" s="57"/>
      <c r="T29" s="57"/>
      <c r="U29" s="57"/>
      <c r="V29" s="57"/>
      <c r="AA29" s="57"/>
      <c r="AB29" s="57"/>
      <c r="AC29" s="57"/>
    </row>
    <row r="30" spans="2:30" ht="15.6" customHeight="1" x14ac:dyDescent="0.3">
      <c r="B30" s="1" t="s">
        <v>189</v>
      </c>
      <c r="E30" s="1" t="s">
        <v>258</v>
      </c>
      <c r="M30" s="57"/>
      <c r="N30" s="57"/>
      <c r="O30" s="57"/>
      <c r="AA30" s="57"/>
      <c r="AB30" s="57"/>
      <c r="AC30" s="57"/>
    </row>
    <row r="31" spans="2:30" ht="15.6" customHeight="1" x14ac:dyDescent="0.3">
      <c r="B31" s="1" t="s">
        <v>122</v>
      </c>
      <c r="E31" s="1" t="s">
        <v>260</v>
      </c>
      <c r="M31" s="57"/>
      <c r="N31" s="57"/>
      <c r="O31" s="57"/>
      <c r="AA31" s="57"/>
      <c r="AB31" s="57"/>
      <c r="AC31" s="57"/>
    </row>
    <row r="32" spans="2:30" ht="15.6" customHeight="1" x14ac:dyDescent="0.3">
      <c r="B32" s="1" t="s">
        <v>123</v>
      </c>
      <c r="E32" s="57" t="s">
        <v>261</v>
      </c>
      <c r="F32" s="57"/>
      <c r="G32" s="57"/>
      <c r="M32" s="57"/>
      <c r="N32" s="57"/>
      <c r="O32" s="57"/>
      <c r="T32" s="57"/>
      <c r="U32" s="57"/>
      <c r="V32" s="57"/>
    </row>
    <row r="33" spans="2:30" x14ac:dyDescent="0.3">
      <c r="B33" s="1" t="s">
        <v>124</v>
      </c>
      <c r="E33" s="57" t="s">
        <v>158</v>
      </c>
      <c r="F33" s="57"/>
      <c r="G33" s="57"/>
      <c r="M33" s="57"/>
      <c r="N33" s="57"/>
      <c r="O33" s="57"/>
      <c r="T33" s="57"/>
      <c r="U33" s="57"/>
      <c r="V33" s="57"/>
      <c r="AA33" s="57"/>
      <c r="AB33" s="57"/>
      <c r="AC33" s="57"/>
    </row>
    <row r="34" spans="2:30" x14ac:dyDescent="0.3">
      <c r="B34" s="1" t="s">
        <v>125</v>
      </c>
      <c r="E34" s="57" t="s">
        <v>262</v>
      </c>
      <c r="F34" s="57"/>
      <c r="G34" s="57"/>
      <c r="T34" s="57"/>
      <c r="U34" s="57"/>
      <c r="V34" s="57"/>
      <c r="AA34" s="57"/>
      <c r="AB34" s="57"/>
      <c r="AC34" s="57"/>
    </row>
    <row r="35" spans="2:30" x14ac:dyDescent="0.3">
      <c r="B35" s="1" t="s">
        <v>126</v>
      </c>
      <c r="E35" s="57" t="s">
        <v>127</v>
      </c>
      <c r="F35" s="57"/>
      <c r="G35" s="57"/>
      <c r="M35" s="57"/>
      <c r="N35" s="57"/>
      <c r="O35" s="57"/>
      <c r="T35" s="57"/>
      <c r="U35" s="57"/>
      <c r="V35" s="57"/>
      <c r="AA35" s="57"/>
      <c r="AB35" s="57"/>
      <c r="AC35" s="57"/>
    </row>
    <row r="36" spans="2:30" x14ac:dyDescent="0.3">
      <c r="B36" s="1" t="s">
        <v>128</v>
      </c>
      <c r="E36" s="57" t="s">
        <v>157</v>
      </c>
      <c r="F36" s="57"/>
      <c r="G36" s="57"/>
      <c r="T36" s="57"/>
      <c r="U36" s="57"/>
      <c r="V36" s="57"/>
      <c r="AA36" s="17"/>
      <c r="AB36" s="17"/>
      <c r="AC36" s="17"/>
    </row>
    <row r="37" spans="2:30" ht="15.6" customHeight="1" x14ac:dyDescent="0.3">
      <c r="B37" s="1" t="s">
        <v>129</v>
      </c>
      <c r="E37" s="57" t="s">
        <v>263</v>
      </c>
      <c r="F37" s="57"/>
      <c r="G37" s="57"/>
      <c r="T37" s="57"/>
      <c r="U37" s="57"/>
      <c r="V37" s="57"/>
      <c r="Z37" s="57"/>
      <c r="AA37" s="57"/>
      <c r="AB37" s="57"/>
      <c r="AC37" s="57"/>
      <c r="AD37" s="57"/>
    </row>
    <row r="38" spans="2:30" ht="15.6" customHeight="1" x14ac:dyDescent="0.3">
      <c r="B38" s="1" t="s">
        <v>130</v>
      </c>
      <c r="E38" s="57" t="s">
        <v>264</v>
      </c>
      <c r="F38" s="57"/>
      <c r="G38" s="57"/>
      <c r="T38" s="57"/>
      <c r="U38" s="57"/>
      <c r="V38" s="57"/>
      <c r="AA38" s="17"/>
      <c r="AB38" s="17"/>
      <c r="AC38" s="17"/>
    </row>
    <row r="39" spans="2:30" ht="15.6" customHeight="1" x14ac:dyDescent="0.3">
      <c r="B39" s="1" t="s">
        <v>199</v>
      </c>
      <c r="E39" s="57" t="s">
        <v>265</v>
      </c>
      <c r="F39" s="57"/>
      <c r="G39" s="57"/>
      <c r="T39" s="57"/>
      <c r="U39" s="57"/>
      <c r="V39" s="57"/>
      <c r="AA39" s="57"/>
      <c r="AB39" s="57"/>
      <c r="AC39" s="57"/>
    </row>
    <row r="40" spans="2:30" ht="15.6" customHeight="1" x14ac:dyDescent="0.3">
      <c r="B40" s="1" t="s">
        <v>200</v>
      </c>
      <c r="E40" s="57" t="s">
        <v>266</v>
      </c>
      <c r="F40" s="57"/>
      <c r="G40" s="57"/>
      <c r="T40" s="57"/>
      <c r="U40" s="57"/>
      <c r="V40" s="57"/>
    </row>
    <row r="41" spans="2:30" ht="15.6" customHeight="1" x14ac:dyDescent="0.3">
      <c r="B41" s="1" t="s">
        <v>201</v>
      </c>
      <c r="E41" s="57" t="s">
        <v>267</v>
      </c>
      <c r="F41" s="57"/>
      <c r="G41" s="57"/>
      <c r="T41" s="57"/>
      <c r="U41" s="57"/>
      <c r="V41" s="57"/>
    </row>
    <row r="42" spans="2:30" ht="15.6" customHeight="1" x14ac:dyDescent="0.3">
      <c r="B42" s="1" t="s">
        <v>202</v>
      </c>
      <c r="E42" s="57" t="s">
        <v>268</v>
      </c>
      <c r="F42" s="57"/>
      <c r="G42" s="57"/>
      <c r="T42" s="57"/>
      <c r="U42" s="57"/>
      <c r="V42" s="57"/>
    </row>
    <row r="43" spans="2:30" ht="15.6" customHeight="1" x14ac:dyDescent="0.3">
      <c r="B43" s="1" t="s">
        <v>203</v>
      </c>
      <c r="E43" s="57" t="s">
        <v>269</v>
      </c>
      <c r="F43" s="57"/>
      <c r="G43" s="57"/>
      <c r="T43" s="57"/>
      <c r="U43" s="57"/>
      <c r="V43" s="57"/>
    </row>
    <row r="44" spans="2:30" x14ac:dyDescent="0.3">
      <c r="B44" s="1" t="s">
        <v>204</v>
      </c>
      <c r="F44" s="1" t="s">
        <v>270</v>
      </c>
    </row>
    <row r="45" spans="2:30" x14ac:dyDescent="0.3">
      <c r="B45" s="1" t="s">
        <v>131</v>
      </c>
      <c r="F45" s="1" t="s">
        <v>271</v>
      </c>
    </row>
    <row r="46" spans="2:30" ht="15.6" customHeight="1" x14ac:dyDescent="0.3">
      <c r="B46" s="1" t="s">
        <v>132</v>
      </c>
      <c r="E46" s="57" t="s">
        <v>272</v>
      </c>
      <c r="F46" s="57"/>
      <c r="G46" s="57"/>
      <c r="T46" s="57"/>
      <c r="U46" s="57"/>
      <c r="V46" s="57"/>
    </row>
    <row r="47" spans="2:30" ht="15.6" customHeight="1" x14ac:dyDescent="0.3">
      <c r="B47" s="1" t="s">
        <v>133</v>
      </c>
      <c r="E47" s="57" t="s">
        <v>273</v>
      </c>
      <c r="F47" s="57"/>
      <c r="G47" s="57"/>
      <c r="T47" s="57"/>
      <c r="U47" s="57"/>
      <c r="V47" s="57"/>
    </row>
    <row r="48" spans="2:30" ht="15.6" customHeight="1" x14ac:dyDescent="0.3">
      <c r="B48" s="1" t="s">
        <v>134</v>
      </c>
      <c r="E48" s="57" t="s">
        <v>274</v>
      </c>
      <c r="F48" s="57"/>
      <c r="G48" s="57"/>
      <c r="T48" s="57"/>
      <c r="U48" s="57"/>
      <c r="V48" s="57"/>
    </row>
    <row r="49" spans="2:22" x14ac:dyDescent="0.3">
      <c r="B49" s="1" t="s">
        <v>135</v>
      </c>
      <c r="E49" s="57" t="s">
        <v>275</v>
      </c>
      <c r="F49" s="57"/>
      <c r="G49" s="57"/>
      <c r="T49" s="57"/>
      <c r="U49" s="57"/>
      <c r="V49" s="57"/>
    </row>
    <row r="50" spans="2:22" x14ac:dyDescent="0.3">
      <c r="B50" s="1" t="s">
        <v>136</v>
      </c>
      <c r="E50" s="57" t="s">
        <v>146</v>
      </c>
      <c r="F50" s="57"/>
      <c r="G50" s="57"/>
      <c r="T50" s="57"/>
      <c r="U50" s="57"/>
      <c r="V50" s="57"/>
    </row>
    <row r="51" spans="2:22" x14ac:dyDescent="0.3">
      <c r="B51" s="1" t="s">
        <v>159</v>
      </c>
      <c r="E51" s="17"/>
      <c r="F51" s="17" t="s">
        <v>160</v>
      </c>
      <c r="G51" s="17"/>
      <c r="T51" s="17"/>
      <c r="U51" s="17"/>
      <c r="V51" s="17"/>
    </row>
    <row r="53" spans="2:22" x14ac:dyDescent="0.3">
      <c r="B53" s="2" t="s">
        <v>137</v>
      </c>
      <c r="C53" s="2"/>
      <c r="D53" s="2"/>
      <c r="E53" s="58" t="s">
        <v>45</v>
      </c>
      <c r="F53" s="58"/>
      <c r="G53" s="58"/>
    </row>
    <row r="54" spans="2:22" ht="15.6" customHeight="1" x14ac:dyDescent="0.3">
      <c r="B54" s="1" t="s">
        <v>138</v>
      </c>
      <c r="E54" s="1" t="s">
        <v>276</v>
      </c>
    </row>
    <row r="55" spans="2:22" ht="15.6" customHeight="1" x14ac:dyDescent="0.3">
      <c r="B55" s="1" t="s">
        <v>143</v>
      </c>
      <c r="E55" s="57" t="s">
        <v>277</v>
      </c>
      <c r="F55" s="57"/>
      <c r="G55" s="57"/>
    </row>
    <row r="56" spans="2:22" x14ac:dyDescent="0.3">
      <c r="B56" s="1" t="s">
        <v>145</v>
      </c>
      <c r="E56" s="1" t="s">
        <v>147</v>
      </c>
    </row>
    <row r="57" spans="2:22" ht="15.6" customHeight="1" x14ac:dyDescent="0.3">
      <c r="B57" s="1" t="s">
        <v>139</v>
      </c>
      <c r="E57" s="57" t="s">
        <v>278</v>
      </c>
      <c r="F57" s="57"/>
      <c r="G57" s="57"/>
    </row>
    <row r="58" spans="2:22" ht="15.6" customHeight="1" x14ac:dyDescent="0.3">
      <c r="B58" s="1" t="s">
        <v>140</v>
      </c>
      <c r="E58" s="57" t="s">
        <v>279</v>
      </c>
      <c r="F58" s="57"/>
      <c r="G58" s="57"/>
    </row>
    <row r="59" spans="2:22" ht="15.6" customHeight="1" x14ac:dyDescent="0.3">
      <c r="B59" s="1" t="s">
        <v>141</v>
      </c>
      <c r="E59" s="57" t="s">
        <v>280</v>
      </c>
      <c r="F59" s="57"/>
      <c r="G59" s="57"/>
    </row>
    <row r="60" spans="2:22" x14ac:dyDescent="0.3">
      <c r="B60" s="1" t="s">
        <v>142</v>
      </c>
      <c r="E60" s="57" t="s">
        <v>282</v>
      </c>
      <c r="F60" s="57"/>
      <c r="G60" s="57"/>
    </row>
    <row r="61" spans="2:22" x14ac:dyDescent="0.3">
      <c r="B61" s="1" t="s">
        <v>210</v>
      </c>
      <c r="E61" s="57" t="s">
        <v>211</v>
      </c>
      <c r="F61" s="57"/>
      <c r="G61" s="57"/>
    </row>
    <row r="62" spans="2:22" x14ac:dyDescent="0.3">
      <c r="B62" s="1" t="s">
        <v>209</v>
      </c>
      <c r="E62" s="1" t="s">
        <v>281</v>
      </c>
    </row>
    <row r="63" spans="2:22" ht="15.6" customHeight="1" x14ac:dyDescent="0.3">
      <c r="B63" s="1" t="s">
        <v>144</v>
      </c>
      <c r="E63" s="57" t="s">
        <v>283</v>
      </c>
      <c r="F63" s="57"/>
      <c r="G63" s="57"/>
    </row>
    <row r="64" spans="2:22" x14ac:dyDescent="0.3">
      <c r="B64" s="1" t="s">
        <v>170</v>
      </c>
      <c r="E64" s="57" t="s">
        <v>284</v>
      </c>
      <c r="F64" s="57"/>
      <c r="G64" s="57"/>
    </row>
    <row r="65" spans="2:8" x14ac:dyDescent="0.3">
      <c r="B65" s="1" t="s">
        <v>205</v>
      </c>
      <c r="E65" s="57" t="s">
        <v>285</v>
      </c>
      <c r="F65" s="57"/>
      <c r="G65" s="57"/>
    </row>
    <row r="66" spans="2:8" x14ac:dyDescent="0.3">
      <c r="B66" s="1" t="s">
        <v>206</v>
      </c>
      <c r="E66" s="17"/>
      <c r="F66" s="17" t="s">
        <v>286</v>
      </c>
      <c r="G66" s="17"/>
    </row>
    <row r="67" spans="2:8" ht="15.6" customHeight="1" x14ac:dyDescent="0.3">
      <c r="B67" s="1" t="s">
        <v>207</v>
      </c>
      <c r="D67" s="57" t="s">
        <v>287</v>
      </c>
      <c r="E67" s="57"/>
      <c r="F67" s="57"/>
      <c r="G67" s="57"/>
      <c r="H67" s="57"/>
    </row>
    <row r="68" spans="2:8" x14ac:dyDescent="0.3">
      <c r="B68" s="1" t="s">
        <v>208</v>
      </c>
      <c r="E68" s="17"/>
      <c r="F68" s="17" t="s">
        <v>288</v>
      </c>
      <c r="G68" s="17"/>
    </row>
    <row r="69" spans="2:8" ht="15.6" customHeight="1" x14ac:dyDescent="0.3">
      <c r="B69" s="1" t="s">
        <v>171</v>
      </c>
      <c r="E69" s="57" t="s">
        <v>289</v>
      </c>
      <c r="F69" s="57"/>
      <c r="G69" s="57"/>
    </row>
    <row r="71" spans="2:8" x14ac:dyDescent="0.3">
      <c r="B71" s="2" t="s">
        <v>172</v>
      </c>
      <c r="C71" s="2"/>
      <c r="D71" s="2"/>
      <c r="E71" s="30" t="s">
        <v>173</v>
      </c>
      <c r="F71" s="30" t="s">
        <v>174</v>
      </c>
    </row>
    <row r="72" spans="2:8" x14ac:dyDescent="0.3">
      <c r="B72" s="1" t="s">
        <v>148</v>
      </c>
      <c r="E72" s="45" t="s">
        <v>149</v>
      </c>
      <c r="F72" s="31">
        <v>45212</v>
      </c>
    </row>
    <row r="73" spans="2:8" x14ac:dyDescent="0.3">
      <c r="B73" s="1" t="s">
        <v>290</v>
      </c>
      <c r="E73" s="45" t="s">
        <v>291</v>
      </c>
      <c r="F73" s="31">
        <v>44949</v>
      </c>
    </row>
    <row r="74" spans="2:8" x14ac:dyDescent="0.3">
      <c r="B74" s="1" t="s">
        <v>150</v>
      </c>
      <c r="E74" s="45" t="s">
        <v>155</v>
      </c>
      <c r="F74" s="31">
        <v>44677</v>
      </c>
    </row>
    <row r="75" spans="2:8" x14ac:dyDescent="0.3">
      <c r="B75" s="1" t="s">
        <v>151</v>
      </c>
      <c r="E75" s="45" t="s">
        <v>156</v>
      </c>
      <c r="F75" s="31">
        <v>44624</v>
      </c>
    </row>
    <row r="76" spans="2:8" x14ac:dyDescent="0.3">
      <c r="B76" s="1" t="s">
        <v>152</v>
      </c>
      <c r="E76" s="45" t="s">
        <v>153</v>
      </c>
      <c r="F76" s="31">
        <v>44264</v>
      </c>
    </row>
    <row r="77" spans="2:8" x14ac:dyDescent="0.3">
      <c r="B77" s="1" t="s">
        <v>294</v>
      </c>
      <c r="E77" s="45" t="s">
        <v>295</v>
      </c>
      <c r="F77" s="31">
        <v>43668</v>
      </c>
    </row>
    <row r="78" spans="2:8" x14ac:dyDescent="0.3">
      <c r="B78" s="1" t="s">
        <v>292</v>
      </c>
      <c r="E78" s="45" t="s">
        <v>293</v>
      </c>
      <c r="F78" s="31">
        <v>43399</v>
      </c>
    </row>
    <row r="79" spans="2:8" x14ac:dyDescent="0.3">
      <c r="B79" s="1" t="s">
        <v>296</v>
      </c>
      <c r="E79" s="45" t="s">
        <v>297</v>
      </c>
      <c r="F79" s="31">
        <v>41897</v>
      </c>
    </row>
    <row r="80" spans="2:8" x14ac:dyDescent="0.3">
      <c r="B80" s="1" t="s">
        <v>154</v>
      </c>
      <c r="E80" s="17"/>
      <c r="F80" s="1">
        <v>2014</v>
      </c>
    </row>
  </sheetData>
  <sortState xmlns:xlrd2="http://schemas.microsoft.com/office/spreadsheetml/2017/richdata2" ref="B72:F80">
    <sortCondition descending="1" ref="F72:F80"/>
  </sortState>
  <mergeCells count="90">
    <mergeCell ref="E69:G69"/>
    <mergeCell ref="E60:G60"/>
    <mergeCell ref="E63:G63"/>
    <mergeCell ref="E65:G65"/>
    <mergeCell ref="D67:H67"/>
    <mergeCell ref="E64:G64"/>
    <mergeCell ref="E61:G61"/>
    <mergeCell ref="E55:G55"/>
    <mergeCell ref="E57:G57"/>
    <mergeCell ref="E58:G58"/>
    <mergeCell ref="E59:G59"/>
    <mergeCell ref="E42:G42"/>
    <mergeCell ref="E43:G43"/>
    <mergeCell ref="E46:G46"/>
    <mergeCell ref="E47:G47"/>
    <mergeCell ref="E48:G48"/>
    <mergeCell ref="E32:G32"/>
    <mergeCell ref="E34:G34"/>
    <mergeCell ref="E24:G24"/>
    <mergeCell ref="E25:G25"/>
    <mergeCell ref="E26:G26"/>
    <mergeCell ref="E27:G27"/>
    <mergeCell ref="E29:G29"/>
    <mergeCell ref="E28:G28"/>
    <mergeCell ref="E36:G36"/>
    <mergeCell ref="E49:G49"/>
    <mergeCell ref="E50:G50"/>
    <mergeCell ref="E53:G53"/>
    <mergeCell ref="E33:G33"/>
    <mergeCell ref="E35:G35"/>
    <mergeCell ref="E37:G37"/>
    <mergeCell ref="E38:G38"/>
    <mergeCell ref="E39:G39"/>
    <mergeCell ref="E40:G40"/>
    <mergeCell ref="E41:G41"/>
    <mergeCell ref="E8:G8"/>
    <mergeCell ref="E17:G17"/>
    <mergeCell ref="E9:G9"/>
    <mergeCell ref="E15:G15"/>
    <mergeCell ref="E23:G23"/>
    <mergeCell ref="E12:G12"/>
    <mergeCell ref="E21:G21"/>
    <mergeCell ref="E13:G13"/>
    <mergeCell ref="E16:G16"/>
    <mergeCell ref="E14:G14"/>
    <mergeCell ref="E18:G18"/>
    <mergeCell ref="E20:G20"/>
    <mergeCell ref="M32:O32"/>
    <mergeCell ref="M33:O33"/>
    <mergeCell ref="M35:O35"/>
    <mergeCell ref="M24:O24"/>
    <mergeCell ref="M27:O27"/>
    <mergeCell ref="M28:O28"/>
    <mergeCell ref="M29:O29"/>
    <mergeCell ref="T24:V24"/>
    <mergeCell ref="T25:V25"/>
    <mergeCell ref="T26:V26"/>
    <mergeCell ref="M30:O30"/>
    <mergeCell ref="M31:O31"/>
    <mergeCell ref="T27:V27"/>
    <mergeCell ref="T28:V28"/>
    <mergeCell ref="T29:V29"/>
    <mergeCell ref="T32:V32"/>
    <mergeCell ref="T33:V33"/>
    <mergeCell ref="T34:V34"/>
    <mergeCell ref="T35:V35"/>
    <mergeCell ref="T36:V36"/>
    <mergeCell ref="T47:V47"/>
    <mergeCell ref="T48:V48"/>
    <mergeCell ref="T37:V37"/>
    <mergeCell ref="T38:V38"/>
    <mergeCell ref="T39:V39"/>
    <mergeCell ref="T40:V40"/>
    <mergeCell ref="T41:V41"/>
    <mergeCell ref="T49:V49"/>
    <mergeCell ref="T50:V50"/>
    <mergeCell ref="Z37:AD37"/>
    <mergeCell ref="AA39:AC39"/>
    <mergeCell ref="Z24:AD24"/>
    <mergeCell ref="AA30:AC30"/>
    <mergeCell ref="AA31:AC31"/>
    <mergeCell ref="AA33:AC33"/>
    <mergeCell ref="AA34:AC34"/>
    <mergeCell ref="AA35:AC35"/>
    <mergeCell ref="AA27:AC27"/>
    <mergeCell ref="AA28:AC28"/>
    <mergeCell ref="AA29:AC29"/>
    <mergeCell ref="T42:V42"/>
    <mergeCell ref="T43:V43"/>
    <mergeCell ref="T46:V46"/>
  </mergeCells>
  <conditionalFormatting sqref="R5:AJ5">
    <cfRule type="colorScale" priority="3">
      <colorScale>
        <cfvo type="min"/>
        <cfvo type="num" val="0"/>
        <cfvo type="max"/>
        <color rgb="FFFF0000"/>
        <color theme="2"/>
        <color rgb="FF00B050"/>
      </colorScale>
    </cfRule>
  </conditionalFormatting>
  <conditionalFormatting sqref="R8:AJ8">
    <cfRule type="colorScale" priority="2">
      <colorScale>
        <cfvo type="min"/>
        <cfvo type="num" val="0"/>
        <cfvo type="max"/>
        <color rgb="FFFF0000"/>
        <color theme="2"/>
        <color rgb="FF00B050"/>
      </colorScale>
    </cfRule>
  </conditionalFormatting>
  <conditionalFormatting sqref="S10:S15">
    <cfRule type="colorScale" priority="6">
      <colorScale>
        <cfvo type="min"/>
        <cfvo type="num" val="0"/>
        <cfvo type="max"/>
        <color rgb="FFFF0000"/>
        <color theme="2"/>
        <color rgb="FF00B050"/>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0403-82B0-4D95-9EE0-190662644949}">
  <sheetPr codeName="Sheet4"/>
  <dimension ref="B3:G7"/>
  <sheetViews>
    <sheetView showGridLines="0" topLeftCell="A4" zoomScale="85" zoomScaleNormal="85" workbookViewId="0">
      <selection activeCell="AC12" sqref="AC12"/>
    </sheetView>
  </sheetViews>
  <sheetFormatPr defaultRowHeight="15.6" x14ac:dyDescent="0.3"/>
  <cols>
    <col min="1" max="1" width="3.69921875" customWidth="1"/>
    <col min="9" max="9" width="14.8984375" bestFit="1" customWidth="1"/>
    <col min="10" max="10" width="15.19921875" bestFit="1" customWidth="1"/>
    <col min="11" max="11" width="5.8984375" bestFit="1" customWidth="1"/>
    <col min="12" max="14" width="6.8984375" bestFit="1" customWidth="1"/>
    <col min="15" max="15" width="8.8984375" bestFit="1" customWidth="1"/>
    <col min="16" max="16" width="10.8984375" bestFit="1" customWidth="1"/>
    <col min="17" max="17" width="8.8984375" bestFit="1" customWidth="1"/>
    <col min="18" max="18" width="10.8984375" bestFit="1" customWidth="1"/>
    <col min="19" max="19" width="6.8984375" bestFit="1" customWidth="1"/>
    <col min="20" max="20" width="10.8984375" bestFit="1" customWidth="1"/>
  </cols>
  <sheetData>
    <row r="3" spans="2:7" x14ac:dyDescent="0.3">
      <c r="B3">
        <v>1</v>
      </c>
    </row>
    <row r="5" spans="2:7" ht="15.6" customHeight="1" x14ac:dyDescent="0.3">
      <c r="B5" s="59" t="s">
        <v>305</v>
      </c>
      <c r="C5" s="59"/>
      <c r="D5" s="59"/>
      <c r="E5" s="59"/>
      <c r="F5" s="59"/>
      <c r="G5" s="59"/>
    </row>
    <row r="6" spans="2:7" ht="15.6" customHeight="1" x14ac:dyDescent="0.3">
      <c r="B6" s="59"/>
      <c r="C6" s="59"/>
      <c r="D6" s="59"/>
      <c r="E6" s="59"/>
      <c r="F6" s="59"/>
      <c r="G6" s="59"/>
    </row>
    <row r="7" spans="2:7" ht="15.6" customHeight="1" x14ac:dyDescent="0.3">
      <c r="B7" s="59"/>
      <c r="C7" s="59"/>
      <c r="D7" s="59"/>
      <c r="E7" s="59"/>
      <c r="F7" s="59"/>
      <c r="G7" s="59"/>
    </row>
  </sheetData>
  <mergeCells count="1">
    <mergeCell ref="B5:G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3073" r:id="rId3" name="Button 1">
              <controlPr defaultSize="0" print="0" autoFill="0" autoPict="0" macro="[0]!Module2.ToggleCharts">
                <anchor moveWithCells="1" sizeWithCells="1">
                  <from>
                    <xdr:col>1</xdr:col>
                    <xdr:colOff>7620</xdr:colOff>
                    <xdr:row>0</xdr:row>
                    <xdr:rowOff>68580</xdr:rowOff>
                  </from>
                  <to>
                    <xdr:col>6</xdr:col>
                    <xdr:colOff>624840</xdr:colOff>
                    <xdr:row>3</xdr:row>
                    <xdr:rowOff>190500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5E31-87AA-4F5F-A759-A991F8F140E0}">
  <sheetPr codeName="Sheet5"/>
  <dimension ref="A1:K433"/>
  <sheetViews>
    <sheetView zoomScale="85" zoomScaleNormal="85" workbookViewId="0">
      <selection activeCell="H29" sqref="H29"/>
    </sheetView>
  </sheetViews>
  <sheetFormatPr defaultRowHeight="15.6" x14ac:dyDescent="0.3"/>
  <cols>
    <col min="1" max="1" width="48.19921875" bestFit="1" customWidth="1"/>
    <col min="2" max="2" width="26.3984375" bestFit="1" customWidth="1"/>
    <col min="3" max="3" width="6.59765625" bestFit="1" customWidth="1"/>
    <col min="4" max="4" width="10.8984375" bestFit="1" customWidth="1"/>
    <col min="6" max="6" width="12.796875" bestFit="1" customWidth="1"/>
    <col min="7" max="7" width="16.69921875" bestFit="1" customWidth="1"/>
    <col min="8" max="8" width="15" bestFit="1" customWidth="1"/>
    <col min="9" max="9" width="14.796875" bestFit="1" customWidth="1"/>
    <col min="10" max="10" width="23.8984375" bestFit="1" customWidth="1"/>
    <col min="11" max="11" width="33" bestFit="1" customWidth="1"/>
    <col min="12" max="12" width="21.3984375" bestFit="1" customWidth="1"/>
    <col min="13" max="13" width="12.5" bestFit="1" customWidth="1"/>
    <col min="14" max="14" width="13.69921875" bestFit="1" customWidth="1"/>
    <col min="15" max="15" width="13.5" bestFit="1" customWidth="1"/>
    <col min="16" max="16" width="17.296875" bestFit="1" customWidth="1"/>
    <col min="17" max="17" width="12.5" bestFit="1" customWidth="1"/>
    <col min="18" max="18" width="14.69921875" bestFit="1" customWidth="1"/>
    <col min="19" max="19" width="12.5" bestFit="1" customWidth="1"/>
  </cols>
  <sheetData>
    <row r="1" spans="1:9" x14ac:dyDescent="0.3">
      <c r="A1" t="s">
        <v>306</v>
      </c>
      <c r="B1" t="s">
        <v>309</v>
      </c>
      <c r="C1" t="s">
        <v>307</v>
      </c>
      <c r="D1" t="s">
        <v>308</v>
      </c>
    </row>
    <row r="2" spans="1:9" x14ac:dyDescent="0.3">
      <c r="A2" t="s">
        <v>27</v>
      </c>
      <c r="B2" t="s">
        <v>26</v>
      </c>
      <c r="C2" t="s">
        <v>336</v>
      </c>
      <c r="D2">
        <v>270.89999999999998</v>
      </c>
      <c r="F2" s="50" t="s">
        <v>309</v>
      </c>
      <c r="G2" t="s">
        <v>344</v>
      </c>
      <c r="I2" t="e">
        <f>NA()</f>
        <v>#N/A</v>
      </c>
    </row>
    <row r="3" spans="1:9" x14ac:dyDescent="0.3">
      <c r="A3" t="s">
        <v>27</v>
      </c>
      <c r="B3" t="s">
        <v>26</v>
      </c>
      <c r="C3" t="s">
        <v>337</v>
      </c>
      <c r="D3">
        <v>256.83</v>
      </c>
    </row>
    <row r="4" spans="1:9" x14ac:dyDescent="0.3">
      <c r="A4" t="s">
        <v>27</v>
      </c>
      <c r="B4" t="s">
        <v>26</v>
      </c>
      <c r="C4" t="s">
        <v>338</v>
      </c>
      <c r="D4">
        <v>350.54</v>
      </c>
      <c r="F4" s="50" t="s">
        <v>342</v>
      </c>
      <c r="G4" s="50" t="s">
        <v>343</v>
      </c>
    </row>
    <row r="5" spans="1:9" x14ac:dyDescent="0.3">
      <c r="A5" t="s">
        <v>27</v>
      </c>
      <c r="B5" t="s">
        <v>26</v>
      </c>
      <c r="C5" t="s">
        <v>339</v>
      </c>
      <c r="D5">
        <v>446.95</v>
      </c>
      <c r="F5" s="50" t="s">
        <v>341</v>
      </c>
      <c r="G5" t="s">
        <v>19</v>
      </c>
      <c r="H5" t="s">
        <v>324</v>
      </c>
    </row>
    <row r="6" spans="1:9" x14ac:dyDescent="0.3">
      <c r="A6" t="s">
        <v>27</v>
      </c>
      <c r="B6" t="s">
        <v>26</v>
      </c>
      <c r="C6" t="s">
        <v>340</v>
      </c>
      <c r="D6">
        <v>497.41</v>
      </c>
      <c r="F6" s="51" t="s">
        <v>336</v>
      </c>
      <c r="G6" s="52">
        <v>20622</v>
      </c>
      <c r="H6" s="52">
        <v>0.1227</v>
      </c>
    </row>
    <row r="7" spans="1:9" x14ac:dyDescent="0.3">
      <c r="A7" t="s">
        <v>27</v>
      </c>
      <c r="B7" t="s">
        <v>26</v>
      </c>
      <c r="C7" t="s">
        <v>6</v>
      </c>
      <c r="D7">
        <v>661.41</v>
      </c>
      <c r="F7" s="51" t="s">
        <v>337</v>
      </c>
      <c r="G7" s="52">
        <v>23886</v>
      </c>
      <c r="H7" s="52">
        <v>0.1205</v>
      </c>
    </row>
    <row r="8" spans="1:9" x14ac:dyDescent="0.3">
      <c r="A8" t="s">
        <v>27</v>
      </c>
      <c r="B8" t="s">
        <v>26</v>
      </c>
      <c r="C8" t="s">
        <v>7</v>
      </c>
      <c r="D8">
        <v>718.54</v>
      </c>
      <c r="F8" s="51" t="s">
        <v>338</v>
      </c>
      <c r="G8" s="52">
        <v>28107</v>
      </c>
      <c r="H8" s="52">
        <v>0.1326</v>
      </c>
    </row>
    <row r="9" spans="1:9" x14ac:dyDescent="0.3">
      <c r="A9" t="s">
        <v>49</v>
      </c>
      <c r="B9" t="s">
        <v>26</v>
      </c>
      <c r="C9" t="s">
        <v>336</v>
      </c>
      <c r="D9">
        <v>7608</v>
      </c>
      <c r="F9" s="51" t="s">
        <v>339</v>
      </c>
      <c r="G9" s="52">
        <v>44477</v>
      </c>
      <c r="H9" s="52">
        <v>0.18140000000000001</v>
      </c>
    </row>
    <row r="10" spans="1:9" x14ac:dyDescent="0.3">
      <c r="A10" t="s">
        <v>49</v>
      </c>
      <c r="B10" t="s">
        <v>26</v>
      </c>
      <c r="C10" t="s">
        <v>337</v>
      </c>
      <c r="D10">
        <v>7540</v>
      </c>
      <c r="F10" s="51" t="s">
        <v>340</v>
      </c>
      <c r="G10" s="52">
        <v>64551</v>
      </c>
      <c r="H10" s="52">
        <v>0.2291</v>
      </c>
    </row>
    <row r="11" spans="1:9" x14ac:dyDescent="0.3">
      <c r="A11" t="s">
        <v>49</v>
      </c>
      <c r="B11" t="s">
        <v>26</v>
      </c>
      <c r="C11" t="s">
        <v>338</v>
      </c>
      <c r="D11">
        <v>7472</v>
      </c>
      <c r="F11" s="51" t="s">
        <v>6</v>
      </c>
      <c r="G11" s="52">
        <v>98328</v>
      </c>
      <c r="H11" s="52">
        <v>0.30130000000000001</v>
      </c>
    </row>
    <row r="12" spans="1:9" x14ac:dyDescent="0.3">
      <c r="A12" t="s">
        <v>49</v>
      </c>
      <c r="B12" t="s">
        <v>26</v>
      </c>
      <c r="C12" t="s">
        <v>339</v>
      </c>
      <c r="D12">
        <v>7469</v>
      </c>
      <c r="F12" s="51" t="s">
        <v>7</v>
      </c>
      <c r="G12" s="52">
        <v>116359</v>
      </c>
      <c r="H12" s="52">
        <v>0.30830000000000002</v>
      </c>
    </row>
    <row r="13" spans="1:9" x14ac:dyDescent="0.3">
      <c r="A13" t="s">
        <v>49</v>
      </c>
      <c r="B13" t="s">
        <v>26</v>
      </c>
      <c r="C13" t="s">
        <v>340</v>
      </c>
      <c r="D13">
        <v>7466</v>
      </c>
      <c r="F13" s="51" t="s">
        <v>8</v>
      </c>
      <c r="G13" s="52">
        <v>124504.13</v>
      </c>
      <c r="H13" s="52">
        <v>0.28439999999999999</v>
      </c>
    </row>
    <row r="14" spans="1:9" x14ac:dyDescent="0.3">
      <c r="A14" t="s">
        <v>49</v>
      </c>
      <c r="B14" t="s">
        <v>26</v>
      </c>
      <c r="C14" t="s">
        <v>6</v>
      </c>
      <c r="D14">
        <v>7450</v>
      </c>
      <c r="F14" s="51" t="s">
        <v>9</v>
      </c>
      <c r="G14" s="52">
        <v>120769.01</v>
      </c>
      <c r="H14" s="52">
        <v>0.23880000000000001</v>
      </c>
    </row>
    <row r="15" spans="1:9" x14ac:dyDescent="0.3">
      <c r="A15" t="s">
        <v>49</v>
      </c>
      <c r="B15" t="s">
        <v>26</v>
      </c>
      <c r="C15" t="s">
        <v>7</v>
      </c>
      <c r="D15">
        <v>7450</v>
      </c>
      <c r="F15" s="51" t="s">
        <v>10</v>
      </c>
      <c r="G15" s="52">
        <v>118353.63</v>
      </c>
      <c r="H15" s="52">
        <v>0.2044</v>
      </c>
    </row>
    <row r="16" spans="1:9" x14ac:dyDescent="0.3">
      <c r="A16" t="s">
        <v>28</v>
      </c>
      <c r="B16" t="s">
        <v>26</v>
      </c>
      <c r="C16" t="s">
        <v>336</v>
      </c>
      <c r="D16">
        <v>2061007.2</v>
      </c>
    </row>
    <row r="17" spans="1:11" x14ac:dyDescent="0.3">
      <c r="A17" t="s">
        <v>28</v>
      </c>
      <c r="B17" t="s">
        <v>26</v>
      </c>
      <c r="C17" t="s">
        <v>337</v>
      </c>
      <c r="D17">
        <v>1936498.2</v>
      </c>
      <c r="J17" s="52" t="str">
        <f>IF(ABS(G6)&gt;1,G$5,IF(ABS(H6)&gt;1,H$5,""))</f>
        <v>CapEx</v>
      </c>
      <c r="K17" s="52" t="str">
        <f>IF(ABS(G6)&lt;=1,G$5,IF(ABS(H6)&lt;=1,H$5,""))</f>
        <v>CapEx % of Sales</v>
      </c>
    </row>
    <row r="18" spans="1:11" x14ac:dyDescent="0.3">
      <c r="A18" t="s">
        <v>28</v>
      </c>
      <c r="B18" t="s">
        <v>26</v>
      </c>
      <c r="C18" t="s">
        <v>338</v>
      </c>
      <c r="D18">
        <v>2619234.88</v>
      </c>
      <c r="I18" t="str" cm="1">
        <f t="array" ref="I18:I27">F6:F15</f>
        <v>2021</v>
      </c>
      <c r="J18" s="48">
        <f>IF(ABS(G6)&gt;1,
     IF(G6=0,NA(),G6),
     IF(ABS(H6)&gt;1,
        IF(H6=0,NA(),H6),
        NA()
     )
)</f>
        <v>20622</v>
      </c>
      <c r="K18" s="52">
        <f>IF(ABS(G6)&lt;=1,
     IF(G6=0,NA(),G6),
     IF(ABS(H6)&lt;=1,
        IF(H6=0,NA(),H6),
        NA()
     )
)</f>
        <v>0.1227</v>
      </c>
    </row>
    <row r="19" spans="1:11" x14ac:dyDescent="0.3">
      <c r="A19" t="s">
        <v>28</v>
      </c>
      <c r="B19" t="s">
        <v>26</v>
      </c>
      <c r="C19" t="s">
        <v>339</v>
      </c>
      <c r="D19">
        <v>3338269.55</v>
      </c>
      <c r="I19" t="str">
        <v>2022</v>
      </c>
      <c r="J19" s="48">
        <f t="shared" ref="J19:J27" si="0">IF(ABS(G7)&gt;1,
     IF(G7=0,NA(),G7),
     IF(ABS(H7)&gt;1,
        IF(H7=0,NA(),H7),
        NA()
     )
)</f>
        <v>23886</v>
      </c>
      <c r="K19" s="52">
        <f t="shared" ref="K19:K27" si="1">IF(ABS(G7)&lt;=1,
     IF(G7=0,NA(),G7),
     IF(ABS(H7)&lt;=1,
        IF(H7=0,NA(),H7),
        NA()
     )
)</f>
        <v>0.1205</v>
      </c>
    </row>
    <row r="20" spans="1:11" x14ac:dyDescent="0.3">
      <c r="A20" t="s">
        <v>28</v>
      </c>
      <c r="B20" t="s">
        <v>26</v>
      </c>
      <c r="C20" t="s">
        <v>340</v>
      </c>
      <c r="D20">
        <v>3713663.06</v>
      </c>
      <c r="I20" t="str">
        <v>2023</v>
      </c>
      <c r="J20" s="48">
        <f t="shared" si="0"/>
        <v>28107</v>
      </c>
      <c r="K20" s="52">
        <f t="shared" si="1"/>
        <v>0.1326</v>
      </c>
    </row>
    <row r="21" spans="1:11" x14ac:dyDescent="0.3">
      <c r="A21" t="s">
        <v>28</v>
      </c>
      <c r="B21" t="s">
        <v>26</v>
      </c>
      <c r="C21" t="s">
        <v>6</v>
      </c>
      <c r="D21">
        <v>4927486.18</v>
      </c>
      <c r="I21" t="str">
        <v>2024</v>
      </c>
      <c r="J21" s="48">
        <f t="shared" si="0"/>
        <v>44477</v>
      </c>
      <c r="K21" s="52">
        <f t="shared" si="1"/>
        <v>0.18140000000000001</v>
      </c>
    </row>
    <row r="22" spans="1:11" x14ac:dyDescent="0.3">
      <c r="A22" t="s">
        <v>28</v>
      </c>
      <c r="B22" t="s">
        <v>26</v>
      </c>
      <c r="C22" t="s">
        <v>7</v>
      </c>
      <c r="D22">
        <v>5353102.3899999997</v>
      </c>
      <c r="I22" t="str">
        <v>2025</v>
      </c>
      <c r="J22" s="48">
        <f t="shared" si="0"/>
        <v>64551</v>
      </c>
      <c r="K22" s="52">
        <f t="shared" si="1"/>
        <v>0.2291</v>
      </c>
    </row>
    <row r="23" spans="1:11" x14ac:dyDescent="0.3">
      <c r="A23" t="s">
        <v>29</v>
      </c>
      <c r="B23" t="s">
        <v>26</v>
      </c>
      <c r="C23" t="s">
        <v>336</v>
      </c>
      <c r="D23">
        <v>130256</v>
      </c>
      <c r="I23" t="str">
        <v>2026E</v>
      </c>
      <c r="J23" s="48">
        <f t="shared" si="0"/>
        <v>98328</v>
      </c>
      <c r="K23" s="52">
        <f t="shared" si="1"/>
        <v>0.30130000000000001</v>
      </c>
    </row>
    <row r="24" spans="1:11" x14ac:dyDescent="0.3">
      <c r="A24" t="s">
        <v>29</v>
      </c>
      <c r="B24" t="s">
        <v>26</v>
      </c>
      <c r="C24" t="s">
        <v>337</v>
      </c>
      <c r="D24">
        <v>104749</v>
      </c>
      <c r="I24" t="str">
        <v>2027E</v>
      </c>
      <c r="J24" s="48">
        <f t="shared" si="0"/>
        <v>116359</v>
      </c>
      <c r="K24" s="52">
        <f t="shared" si="1"/>
        <v>0.30830000000000002</v>
      </c>
    </row>
    <row r="25" spans="1:11" x14ac:dyDescent="0.3">
      <c r="A25" t="s">
        <v>29</v>
      </c>
      <c r="B25" t="s">
        <v>26</v>
      </c>
      <c r="C25" t="s">
        <v>338</v>
      </c>
      <c r="D25">
        <v>111256</v>
      </c>
      <c r="I25" t="str">
        <v>2028E</v>
      </c>
      <c r="J25" s="48">
        <f t="shared" si="0"/>
        <v>124504.13</v>
      </c>
      <c r="K25" s="52">
        <f t="shared" si="1"/>
        <v>0.28439999999999999</v>
      </c>
    </row>
    <row r="26" spans="1:11" x14ac:dyDescent="0.3">
      <c r="A26" t="s">
        <v>29</v>
      </c>
      <c r="B26" t="s">
        <v>26</v>
      </c>
      <c r="C26" t="s">
        <v>339</v>
      </c>
      <c r="D26">
        <v>75543</v>
      </c>
      <c r="I26" t="str">
        <v>2029E</v>
      </c>
      <c r="J26" s="48">
        <f t="shared" si="0"/>
        <v>120769.01</v>
      </c>
      <c r="K26" s="52">
        <f t="shared" si="1"/>
        <v>0.23880000000000001</v>
      </c>
    </row>
    <row r="27" spans="1:11" x14ac:dyDescent="0.3">
      <c r="A27" t="s">
        <v>29</v>
      </c>
      <c r="B27" t="s">
        <v>26</v>
      </c>
      <c r="C27" t="s">
        <v>340</v>
      </c>
      <c r="D27">
        <v>94565</v>
      </c>
      <c r="I27" t="str">
        <v>2030E</v>
      </c>
      <c r="J27" s="48">
        <f t="shared" si="0"/>
        <v>118353.63</v>
      </c>
      <c r="K27" s="52">
        <f t="shared" si="1"/>
        <v>0.2044</v>
      </c>
    </row>
    <row r="28" spans="1:11" x14ac:dyDescent="0.3">
      <c r="A28" t="s">
        <v>29</v>
      </c>
      <c r="B28" t="s">
        <v>26</v>
      </c>
      <c r="C28" t="s">
        <v>6</v>
      </c>
      <c r="D28">
        <v>102012</v>
      </c>
    </row>
    <row r="29" spans="1:11" x14ac:dyDescent="0.3">
      <c r="A29" t="s">
        <v>29</v>
      </c>
      <c r="B29" t="s">
        <v>26</v>
      </c>
      <c r="C29" t="s">
        <v>7</v>
      </c>
      <c r="D29">
        <v>102012</v>
      </c>
    </row>
    <row r="30" spans="1:11" x14ac:dyDescent="0.3">
      <c r="A30" t="s">
        <v>30</v>
      </c>
      <c r="B30" t="s">
        <v>26</v>
      </c>
      <c r="C30" t="s">
        <v>336</v>
      </c>
      <c r="D30">
        <v>71463</v>
      </c>
    </row>
    <row r="31" spans="1:11" x14ac:dyDescent="0.3">
      <c r="A31" t="s">
        <v>30</v>
      </c>
      <c r="B31" t="s">
        <v>26</v>
      </c>
      <c r="C31" t="s">
        <v>337</v>
      </c>
      <c r="D31">
        <v>72363</v>
      </c>
    </row>
    <row r="32" spans="1:11" x14ac:dyDescent="0.3">
      <c r="A32" t="s">
        <v>30</v>
      </c>
      <c r="B32" t="s">
        <v>26</v>
      </c>
      <c r="C32" t="s">
        <v>338</v>
      </c>
      <c r="D32">
        <v>70588</v>
      </c>
    </row>
    <row r="33" spans="1:4" x14ac:dyDescent="0.3">
      <c r="A33" t="s">
        <v>30</v>
      </c>
      <c r="B33" t="s">
        <v>26</v>
      </c>
      <c r="C33" t="s">
        <v>339</v>
      </c>
      <c r="D33">
        <v>89674</v>
      </c>
    </row>
    <row r="34" spans="1:4" x14ac:dyDescent="0.3">
      <c r="A34" t="s">
        <v>30</v>
      </c>
      <c r="B34" t="s">
        <v>26</v>
      </c>
      <c r="C34" t="s">
        <v>340</v>
      </c>
      <c r="D34">
        <v>100589</v>
      </c>
    </row>
    <row r="35" spans="1:4" x14ac:dyDescent="0.3">
      <c r="A35" t="s">
        <v>30</v>
      </c>
      <c r="B35" t="s">
        <v>26</v>
      </c>
      <c r="C35" t="s">
        <v>6</v>
      </c>
      <c r="D35">
        <v>104723</v>
      </c>
    </row>
    <row r="36" spans="1:4" x14ac:dyDescent="0.3">
      <c r="A36" t="s">
        <v>30</v>
      </c>
      <c r="B36" t="s">
        <v>26</v>
      </c>
      <c r="C36" t="s">
        <v>7</v>
      </c>
      <c r="D36">
        <v>104723</v>
      </c>
    </row>
    <row r="37" spans="1:4" x14ac:dyDescent="0.3">
      <c r="A37" t="s">
        <v>31</v>
      </c>
      <c r="B37" t="s">
        <v>26</v>
      </c>
      <c r="C37" t="s">
        <v>336</v>
      </c>
      <c r="D37">
        <v>2002214.2</v>
      </c>
    </row>
    <row r="38" spans="1:4" x14ac:dyDescent="0.3">
      <c r="A38" t="s">
        <v>31</v>
      </c>
      <c r="B38" t="s">
        <v>26</v>
      </c>
      <c r="C38" t="s">
        <v>337</v>
      </c>
      <c r="D38">
        <v>1904112.2</v>
      </c>
    </row>
    <row r="39" spans="1:4" x14ac:dyDescent="0.3">
      <c r="A39" t="s">
        <v>31</v>
      </c>
      <c r="B39" t="s">
        <v>26</v>
      </c>
      <c r="C39" t="s">
        <v>338</v>
      </c>
      <c r="D39">
        <v>2578566.88</v>
      </c>
    </row>
    <row r="40" spans="1:4" x14ac:dyDescent="0.3">
      <c r="A40" t="s">
        <v>31</v>
      </c>
      <c r="B40" t="s">
        <v>26</v>
      </c>
      <c r="C40" t="s">
        <v>339</v>
      </c>
      <c r="D40">
        <v>3352400.55</v>
      </c>
    </row>
    <row r="41" spans="1:4" x14ac:dyDescent="0.3">
      <c r="A41" t="s">
        <v>31</v>
      </c>
      <c r="B41" t="s">
        <v>26</v>
      </c>
      <c r="C41" t="s">
        <v>340</v>
      </c>
      <c r="D41">
        <v>3719687.06</v>
      </c>
    </row>
    <row r="42" spans="1:4" x14ac:dyDescent="0.3">
      <c r="A42" t="s">
        <v>31</v>
      </c>
      <c r="B42" t="s">
        <v>26</v>
      </c>
      <c r="C42" t="s">
        <v>6</v>
      </c>
      <c r="D42">
        <v>4930197.18</v>
      </c>
    </row>
    <row r="43" spans="1:4" x14ac:dyDescent="0.3">
      <c r="A43" t="s">
        <v>31</v>
      </c>
      <c r="B43" t="s">
        <v>26</v>
      </c>
      <c r="C43" t="s">
        <v>7</v>
      </c>
      <c r="D43">
        <v>5355813.3899999997</v>
      </c>
    </row>
    <row r="44" spans="1:4" x14ac:dyDescent="0.3">
      <c r="A44" t="s">
        <v>11</v>
      </c>
      <c r="B44" t="s">
        <v>5</v>
      </c>
      <c r="C44" t="s">
        <v>336</v>
      </c>
      <c r="D44">
        <v>168088</v>
      </c>
    </row>
    <row r="45" spans="1:4" x14ac:dyDescent="0.3">
      <c r="A45" t="s">
        <v>11</v>
      </c>
      <c r="B45" t="s">
        <v>5</v>
      </c>
      <c r="C45" t="s">
        <v>337</v>
      </c>
      <c r="D45">
        <v>198270</v>
      </c>
    </row>
    <row r="46" spans="1:4" x14ac:dyDescent="0.3">
      <c r="A46" t="s">
        <v>11</v>
      </c>
      <c r="B46" t="s">
        <v>5</v>
      </c>
      <c r="C46" t="s">
        <v>338</v>
      </c>
      <c r="D46">
        <v>211915</v>
      </c>
    </row>
    <row r="47" spans="1:4" x14ac:dyDescent="0.3">
      <c r="A47" t="s">
        <v>11</v>
      </c>
      <c r="B47" t="s">
        <v>5</v>
      </c>
      <c r="C47" t="s">
        <v>339</v>
      </c>
      <c r="D47">
        <v>245122</v>
      </c>
    </row>
    <row r="48" spans="1:4" x14ac:dyDescent="0.3">
      <c r="A48" t="s">
        <v>11</v>
      </c>
      <c r="B48" t="s">
        <v>5</v>
      </c>
      <c r="C48" t="s">
        <v>340</v>
      </c>
      <c r="D48">
        <v>281724</v>
      </c>
    </row>
    <row r="49" spans="1:4" x14ac:dyDescent="0.3">
      <c r="A49" t="s">
        <v>11</v>
      </c>
      <c r="B49" t="s">
        <v>5</v>
      </c>
      <c r="C49" t="s">
        <v>6</v>
      </c>
      <c r="D49">
        <v>326350.34000000003</v>
      </c>
    </row>
    <row r="50" spans="1:4" x14ac:dyDescent="0.3">
      <c r="A50" t="s">
        <v>11</v>
      </c>
      <c r="B50" t="s">
        <v>5</v>
      </c>
      <c r="C50" t="s">
        <v>7</v>
      </c>
      <c r="D50">
        <v>377478.46</v>
      </c>
    </row>
    <row r="51" spans="1:4" x14ac:dyDescent="0.3">
      <c r="A51" t="s">
        <v>11</v>
      </c>
      <c r="B51" t="s">
        <v>5</v>
      </c>
      <c r="C51" t="s">
        <v>8</v>
      </c>
      <c r="D51">
        <v>437847.37</v>
      </c>
    </row>
    <row r="52" spans="1:4" x14ac:dyDescent="0.3">
      <c r="A52" t="s">
        <v>11</v>
      </c>
      <c r="B52" t="s">
        <v>5</v>
      </c>
      <c r="C52" t="s">
        <v>9</v>
      </c>
      <c r="D52">
        <v>505713.71</v>
      </c>
    </row>
    <row r="53" spans="1:4" x14ac:dyDescent="0.3">
      <c r="A53" t="s">
        <v>11</v>
      </c>
      <c r="B53" t="s">
        <v>5</v>
      </c>
      <c r="C53" t="s">
        <v>10</v>
      </c>
      <c r="D53">
        <v>579042.19999999995</v>
      </c>
    </row>
    <row r="54" spans="1:4" x14ac:dyDescent="0.3">
      <c r="A54" t="s">
        <v>64</v>
      </c>
      <c r="B54" t="s">
        <v>5</v>
      </c>
      <c r="C54" t="s">
        <v>336</v>
      </c>
      <c r="D54">
        <v>52232</v>
      </c>
    </row>
    <row r="55" spans="1:4" x14ac:dyDescent="0.3">
      <c r="A55" t="s">
        <v>64</v>
      </c>
      <c r="B55" t="s">
        <v>5</v>
      </c>
      <c r="C55" t="s">
        <v>337</v>
      </c>
      <c r="D55">
        <v>62650</v>
      </c>
    </row>
    <row r="56" spans="1:4" x14ac:dyDescent="0.3">
      <c r="A56" t="s">
        <v>64</v>
      </c>
      <c r="B56" t="s">
        <v>5</v>
      </c>
      <c r="C56" t="s">
        <v>338</v>
      </c>
      <c r="D56">
        <v>65863</v>
      </c>
    </row>
    <row r="57" spans="1:4" x14ac:dyDescent="0.3">
      <c r="A57" t="s">
        <v>64</v>
      </c>
      <c r="B57" t="s">
        <v>5</v>
      </c>
      <c r="C57" t="s">
        <v>339</v>
      </c>
      <c r="D57">
        <v>74114</v>
      </c>
    </row>
    <row r="58" spans="1:4" x14ac:dyDescent="0.3">
      <c r="A58" t="s">
        <v>64</v>
      </c>
      <c r="B58" t="s">
        <v>5</v>
      </c>
      <c r="C58" t="s">
        <v>340</v>
      </c>
      <c r="D58">
        <v>87831</v>
      </c>
    </row>
    <row r="59" spans="1:4" x14ac:dyDescent="0.3">
      <c r="A59" t="s">
        <v>64</v>
      </c>
      <c r="B59" t="s">
        <v>5</v>
      </c>
      <c r="C59" t="s">
        <v>6</v>
      </c>
      <c r="D59">
        <v>104432.11</v>
      </c>
    </row>
    <row r="60" spans="1:4" x14ac:dyDescent="0.3">
      <c r="A60" t="s">
        <v>64</v>
      </c>
      <c r="B60" t="s">
        <v>5</v>
      </c>
      <c r="C60" t="s">
        <v>7</v>
      </c>
      <c r="D60">
        <v>120793.11</v>
      </c>
    </row>
    <row r="61" spans="1:4" x14ac:dyDescent="0.3">
      <c r="A61" t="s">
        <v>64</v>
      </c>
      <c r="B61" t="s">
        <v>5</v>
      </c>
      <c r="C61" t="s">
        <v>8</v>
      </c>
      <c r="D61">
        <v>140111.16</v>
      </c>
    </row>
    <row r="62" spans="1:4" x14ac:dyDescent="0.3">
      <c r="A62" t="s">
        <v>64</v>
      </c>
      <c r="B62" t="s">
        <v>5</v>
      </c>
      <c r="C62" t="s">
        <v>9</v>
      </c>
      <c r="D62">
        <v>161828.39000000001</v>
      </c>
    </row>
    <row r="63" spans="1:4" x14ac:dyDescent="0.3">
      <c r="A63" t="s">
        <v>64</v>
      </c>
      <c r="B63" t="s">
        <v>5</v>
      </c>
      <c r="C63" t="s">
        <v>10</v>
      </c>
      <c r="D63">
        <v>185293.5</v>
      </c>
    </row>
    <row r="64" spans="1:4" x14ac:dyDescent="0.3">
      <c r="A64" t="s">
        <v>65</v>
      </c>
      <c r="B64" t="s">
        <v>5</v>
      </c>
      <c r="C64" t="s">
        <v>336</v>
      </c>
      <c r="D64">
        <v>115856</v>
      </c>
    </row>
    <row r="65" spans="1:4" x14ac:dyDescent="0.3">
      <c r="A65" t="s">
        <v>65</v>
      </c>
      <c r="B65" t="s">
        <v>5</v>
      </c>
      <c r="C65" t="s">
        <v>337</v>
      </c>
      <c r="D65">
        <v>135620</v>
      </c>
    </row>
    <row r="66" spans="1:4" x14ac:dyDescent="0.3">
      <c r="A66" t="s">
        <v>65</v>
      </c>
      <c r="B66" t="s">
        <v>5</v>
      </c>
      <c r="C66" t="s">
        <v>338</v>
      </c>
      <c r="D66">
        <v>146052</v>
      </c>
    </row>
    <row r="67" spans="1:4" x14ac:dyDescent="0.3">
      <c r="A67" t="s">
        <v>65</v>
      </c>
      <c r="B67" t="s">
        <v>5</v>
      </c>
      <c r="C67" t="s">
        <v>339</v>
      </c>
      <c r="D67">
        <v>171008</v>
      </c>
    </row>
    <row r="68" spans="1:4" x14ac:dyDescent="0.3">
      <c r="A68" t="s">
        <v>65</v>
      </c>
      <c r="B68" t="s">
        <v>5</v>
      </c>
      <c r="C68" t="s">
        <v>340</v>
      </c>
      <c r="D68">
        <v>193893</v>
      </c>
    </row>
    <row r="69" spans="1:4" x14ac:dyDescent="0.3">
      <c r="A69" t="s">
        <v>65</v>
      </c>
      <c r="B69" t="s">
        <v>5</v>
      </c>
      <c r="C69" t="s">
        <v>6</v>
      </c>
      <c r="D69">
        <v>221918.23</v>
      </c>
    </row>
    <row r="70" spans="1:4" x14ac:dyDescent="0.3">
      <c r="A70" t="s">
        <v>65</v>
      </c>
      <c r="B70" t="s">
        <v>5</v>
      </c>
      <c r="C70" t="s">
        <v>7</v>
      </c>
      <c r="D70">
        <v>256685.35</v>
      </c>
    </row>
    <row r="71" spans="1:4" x14ac:dyDescent="0.3">
      <c r="A71" t="s">
        <v>65</v>
      </c>
      <c r="B71" t="s">
        <v>5</v>
      </c>
      <c r="C71" t="s">
        <v>8</v>
      </c>
      <c r="D71">
        <v>297736.21000000002</v>
      </c>
    </row>
    <row r="72" spans="1:4" x14ac:dyDescent="0.3">
      <c r="A72" t="s">
        <v>65</v>
      </c>
      <c r="B72" t="s">
        <v>5</v>
      </c>
      <c r="C72" t="s">
        <v>9</v>
      </c>
      <c r="D72">
        <v>343885.33</v>
      </c>
    </row>
    <row r="73" spans="1:4" x14ac:dyDescent="0.3">
      <c r="A73" t="s">
        <v>65</v>
      </c>
      <c r="B73" t="s">
        <v>5</v>
      </c>
      <c r="C73" t="s">
        <v>10</v>
      </c>
      <c r="D73">
        <v>393748.7</v>
      </c>
    </row>
    <row r="74" spans="1:4" x14ac:dyDescent="0.3">
      <c r="A74" t="s">
        <v>66</v>
      </c>
      <c r="B74" t="s">
        <v>5</v>
      </c>
      <c r="C74" t="s">
        <v>336</v>
      </c>
      <c r="D74">
        <v>25224</v>
      </c>
    </row>
    <row r="75" spans="1:4" x14ac:dyDescent="0.3">
      <c r="A75" t="s">
        <v>66</v>
      </c>
      <c r="B75" t="s">
        <v>5</v>
      </c>
      <c r="C75" t="s">
        <v>337</v>
      </c>
      <c r="D75">
        <v>27725</v>
      </c>
    </row>
    <row r="76" spans="1:4" x14ac:dyDescent="0.3">
      <c r="A76" t="s">
        <v>66</v>
      </c>
      <c r="B76" t="s">
        <v>5</v>
      </c>
      <c r="C76" t="s">
        <v>338</v>
      </c>
      <c r="D76">
        <v>30334</v>
      </c>
    </row>
    <row r="77" spans="1:4" x14ac:dyDescent="0.3">
      <c r="A77" t="s">
        <v>66</v>
      </c>
      <c r="B77" t="s">
        <v>5</v>
      </c>
      <c r="C77" t="s">
        <v>339</v>
      </c>
      <c r="D77">
        <v>32065</v>
      </c>
    </row>
    <row r="78" spans="1:4" x14ac:dyDescent="0.3">
      <c r="A78" t="s">
        <v>66</v>
      </c>
      <c r="B78" t="s">
        <v>5</v>
      </c>
      <c r="C78" t="s">
        <v>340</v>
      </c>
      <c r="D78">
        <v>32877</v>
      </c>
    </row>
    <row r="79" spans="1:4" x14ac:dyDescent="0.3">
      <c r="A79" t="s">
        <v>66</v>
      </c>
      <c r="B79" t="s">
        <v>5</v>
      </c>
      <c r="C79" t="s">
        <v>6</v>
      </c>
      <c r="D79">
        <v>39162.04</v>
      </c>
    </row>
    <row r="80" spans="1:4" x14ac:dyDescent="0.3">
      <c r="A80" t="s">
        <v>66</v>
      </c>
      <c r="B80" t="s">
        <v>5</v>
      </c>
      <c r="C80" t="s">
        <v>7</v>
      </c>
      <c r="D80">
        <v>41522.629999999997</v>
      </c>
    </row>
    <row r="81" spans="1:4" x14ac:dyDescent="0.3">
      <c r="A81" t="s">
        <v>66</v>
      </c>
      <c r="B81" t="s">
        <v>5</v>
      </c>
      <c r="C81" t="s">
        <v>8</v>
      </c>
      <c r="D81">
        <v>45973.97</v>
      </c>
    </row>
    <row r="82" spans="1:4" x14ac:dyDescent="0.3">
      <c r="A82" t="s">
        <v>66</v>
      </c>
      <c r="B82" t="s">
        <v>5</v>
      </c>
      <c r="C82" t="s">
        <v>9</v>
      </c>
      <c r="D82">
        <v>53099.94</v>
      </c>
    </row>
    <row r="83" spans="1:4" x14ac:dyDescent="0.3">
      <c r="A83" t="s">
        <v>66</v>
      </c>
      <c r="B83" t="s">
        <v>5</v>
      </c>
      <c r="C83" t="s">
        <v>10</v>
      </c>
      <c r="D83">
        <v>60799.43</v>
      </c>
    </row>
    <row r="84" spans="1:4" x14ac:dyDescent="0.3">
      <c r="A84" t="s">
        <v>67</v>
      </c>
      <c r="B84" t="s">
        <v>5</v>
      </c>
      <c r="C84" t="s">
        <v>336</v>
      </c>
      <c r="D84">
        <v>20716</v>
      </c>
    </row>
    <row r="85" spans="1:4" x14ac:dyDescent="0.3">
      <c r="A85" t="s">
        <v>67</v>
      </c>
      <c r="B85" t="s">
        <v>5</v>
      </c>
      <c r="C85" t="s">
        <v>337</v>
      </c>
      <c r="D85">
        <v>24512</v>
      </c>
    </row>
    <row r="86" spans="1:4" x14ac:dyDescent="0.3">
      <c r="A86" t="s">
        <v>67</v>
      </c>
      <c r="B86" t="s">
        <v>5</v>
      </c>
      <c r="C86" t="s">
        <v>338</v>
      </c>
      <c r="D86">
        <v>27195</v>
      </c>
    </row>
    <row r="87" spans="1:4" x14ac:dyDescent="0.3">
      <c r="A87" t="s">
        <v>67</v>
      </c>
      <c r="B87" t="s">
        <v>5</v>
      </c>
      <c r="C87" t="s">
        <v>339</v>
      </c>
      <c r="D87">
        <v>29510</v>
      </c>
    </row>
    <row r="88" spans="1:4" x14ac:dyDescent="0.3">
      <c r="A88" t="s">
        <v>67</v>
      </c>
      <c r="B88" t="s">
        <v>5</v>
      </c>
      <c r="C88" t="s">
        <v>340</v>
      </c>
      <c r="D88">
        <v>32488</v>
      </c>
    </row>
    <row r="89" spans="1:4" x14ac:dyDescent="0.3">
      <c r="A89" t="s">
        <v>67</v>
      </c>
      <c r="B89" t="s">
        <v>5</v>
      </c>
      <c r="C89" t="s">
        <v>6</v>
      </c>
      <c r="D89">
        <v>35572.19</v>
      </c>
    </row>
    <row r="90" spans="1:4" x14ac:dyDescent="0.3">
      <c r="A90" t="s">
        <v>67</v>
      </c>
      <c r="B90" t="s">
        <v>5</v>
      </c>
      <c r="C90" t="s">
        <v>7</v>
      </c>
      <c r="D90">
        <v>39823.980000000003</v>
      </c>
    </row>
    <row r="91" spans="1:4" x14ac:dyDescent="0.3">
      <c r="A91" t="s">
        <v>67</v>
      </c>
      <c r="B91" t="s">
        <v>5</v>
      </c>
      <c r="C91" t="s">
        <v>8</v>
      </c>
      <c r="D91">
        <v>45536.13</v>
      </c>
    </row>
    <row r="92" spans="1:4" x14ac:dyDescent="0.3">
      <c r="A92" t="s">
        <v>67</v>
      </c>
      <c r="B92" t="s">
        <v>5</v>
      </c>
      <c r="C92" t="s">
        <v>9</v>
      </c>
      <c r="D92">
        <v>50571.37</v>
      </c>
    </row>
    <row r="93" spans="1:4" x14ac:dyDescent="0.3">
      <c r="A93" t="s">
        <v>67</v>
      </c>
      <c r="B93" t="s">
        <v>5</v>
      </c>
      <c r="C93" t="s">
        <v>10</v>
      </c>
      <c r="D93">
        <v>57904.22</v>
      </c>
    </row>
    <row r="94" spans="1:4" x14ac:dyDescent="0.3">
      <c r="A94" t="s">
        <v>13</v>
      </c>
      <c r="B94" t="s">
        <v>5</v>
      </c>
      <c r="C94" t="s">
        <v>336</v>
      </c>
      <c r="D94">
        <v>69916</v>
      </c>
    </row>
    <row r="95" spans="1:4" x14ac:dyDescent="0.3">
      <c r="A95" t="s">
        <v>13</v>
      </c>
      <c r="B95" t="s">
        <v>5</v>
      </c>
      <c r="C95" t="s">
        <v>337</v>
      </c>
      <c r="D95">
        <v>83383</v>
      </c>
    </row>
    <row r="96" spans="1:4" x14ac:dyDescent="0.3">
      <c r="A96" t="s">
        <v>13</v>
      </c>
      <c r="B96" t="s">
        <v>5</v>
      </c>
      <c r="C96" t="s">
        <v>338</v>
      </c>
      <c r="D96">
        <v>88523</v>
      </c>
    </row>
    <row r="97" spans="1:4" x14ac:dyDescent="0.3">
      <c r="A97" t="s">
        <v>13</v>
      </c>
      <c r="B97" t="s">
        <v>5</v>
      </c>
      <c r="C97" t="s">
        <v>339</v>
      </c>
      <c r="D97">
        <v>109433</v>
      </c>
    </row>
    <row r="98" spans="1:4" x14ac:dyDescent="0.3">
      <c r="A98" t="s">
        <v>13</v>
      </c>
      <c r="B98" t="s">
        <v>5</v>
      </c>
      <c r="C98" t="s">
        <v>340</v>
      </c>
      <c r="D98">
        <v>128528</v>
      </c>
    </row>
    <row r="99" spans="1:4" x14ac:dyDescent="0.3">
      <c r="A99" t="s">
        <v>13</v>
      </c>
      <c r="B99" t="s">
        <v>5</v>
      </c>
      <c r="C99" t="s">
        <v>6</v>
      </c>
      <c r="D99">
        <v>147184</v>
      </c>
    </row>
    <row r="100" spans="1:4" x14ac:dyDescent="0.3">
      <c r="A100" t="s">
        <v>13</v>
      </c>
      <c r="B100" t="s">
        <v>5</v>
      </c>
      <c r="C100" t="s">
        <v>7</v>
      </c>
      <c r="D100">
        <v>175338.75</v>
      </c>
    </row>
    <row r="101" spans="1:4" x14ac:dyDescent="0.3">
      <c r="A101" t="s">
        <v>13</v>
      </c>
      <c r="B101" t="s">
        <v>5</v>
      </c>
      <c r="C101" t="s">
        <v>8</v>
      </c>
      <c r="D101">
        <v>206226.11</v>
      </c>
    </row>
    <row r="102" spans="1:4" x14ac:dyDescent="0.3">
      <c r="A102" t="s">
        <v>13</v>
      </c>
      <c r="B102" t="s">
        <v>5</v>
      </c>
      <c r="C102" t="s">
        <v>9</v>
      </c>
      <c r="D102">
        <v>240214.01</v>
      </c>
    </row>
    <row r="103" spans="1:4" x14ac:dyDescent="0.3">
      <c r="A103" t="s">
        <v>13</v>
      </c>
      <c r="B103" t="s">
        <v>5</v>
      </c>
      <c r="C103" t="s">
        <v>10</v>
      </c>
      <c r="D103">
        <v>275045.05</v>
      </c>
    </row>
    <row r="104" spans="1:4" x14ac:dyDescent="0.3">
      <c r="A104" t="s">
        <v>14</v>
      </c>
      <c r="B104" t="s">
        <v>5</v>
      </c>
      <c r="C104" t="s">
        <v>336</v>
      </c>
      <c r="D104">
        <v>9831</v>
      </c>
    </row>
    <row r="105" spans="1:4" x14ac:dyDescent="0.3">
      <c r="A105" t="s">
        <v>14</v>
      </c>
      <c r="B105" t="s">
        <v>5</v>
      </c>
      <c r="C105" t="s">
        <v>337</v>
      </c>
      <c r="D105">
        <v>10978</v>
      </c>
    </row>
    <row r="106" spans="1:4" x14ac:dyDescent="0.3">
      <c r="A106" t="s">
        <v>14</v>
      </c>
      <c r="B106" t="s">
        <v>5</v>
      </c>
      <c r="C106" t="s">
        <v>338</v>
      </c>
      <c r="D106">
        <v>16950</v>
      </c>
    </row>
    <row r="107" spans="1:4" x14ac:dyDescent="0.3">
      <c r="A107" t="s">
        <v>14</v>
      </c>
      <c r="B107" t="s">
        <v>5</v>
      </c>
      <c r="C107" t="s">
        <v>339</v>
      </c>
      <c r="D107">
        <v>19651</v>
      </c>
    </row>
    <row r="108" spans="1:4" x14ac:dyDescent="0.3">
      <c r="A108" t="s">
        <v>14</v>
      </c>
      <c r="B108" t="s">
        <v>5</v>
      </c>
      <c r="C108" t="s">
        <v>340</v>
      </c>
      <c r="D108">
        <v>21795</v>
      </c>
    </row>
    <row r="109" spans="1:4" x14ac:dyDescent="0.3">
      <c r="A109" t="s">
        <v>14</v>
      </c>
      <c r="B109" t="s">
        <v>5</v>
      </c>
      <c r="C109" t="s">
        <v>6</v>
      </c>
      <c r="D109">
        <v>27229.040000000001</v>
      </c>
    </row>
    <row r="110" spans="1:4" x14ac:dyDescent="0.3">
      <c r="A110" t="s">
        <v>14</v>
      </c>
      <c r="B110" t="s">
        <v>5</v>
      </c>
      <c r="C110" t="s">
        <v>7</v>
      </c>
      <c r="D110">
        <v>32437.67</v>
      </c>
    </row>
    <row r="111" spans="1:4" x14ac:dyDescent="0.3">
      <c r="A111" t="s">
        <v>14</v>
      </c>
      <c r="B111" t="s">
        <v>5</v>
      </c>
      <c r="C111" t="s">
        <v>8</v>
      </c>
      <c r="D111">
        <v>39182.959999999999</v>
      </c>
    </row>
    <row r="112" spans="1:4" x14ac:dyDescent="0.3">
      <c r="A112" t="s">
        <v>14</v>
      </c>
      <c r="B112" t="s">
        <v>5</v>
      </c>
      <c r="C112" t="s">
        <v>9</v>
      </c>
      <c r="D112">
        <v>48042.8</v>
      </c>
    </row>
    <row r="113" spans="1:4" x14ac:dyDescent="0.3">
      <c r="A113" t="s">
        <v>14</v>
      </c>
      <c r="B113" t="s">
        <v>5</v>
      </c>
      <c r="C113" t="s">
        <v>10</v>
      </c>
      <c r="D113">
        <v>57759.46</v>
      </c>
    </row>
    <row r="114" spans="1:4" x14ac:dyDescent="0.3">
      <c r="A114" t="s">
        <v>18</v>
      </c>
      <c r="B114" t="s">
        <v>310</v>
      </c>
      <c r="C114" t="s">
        <v>336</v>
      </c>
      <c r="D114">
        <v>11686</v>
      </c>
    </row>
    <row r="115" spans="1:4" x14ac:dyDescent="0.3">
      <c r="A115" t="s">
        <v>18</v>
      </c>
      <c r="B115" t="s">
        <v>310</v>
      </c>
      <c r="C115" t="s">
        <v>337</v>
      </c>
      <c r="D115">
        <v>14460</v>
      </c>
    </row>
    <row r="116" spans="1:4" x14ac:dyDescent="0.3">
      <c r="A116" t="s">
        <v>18</v>
      </c>
      <c r="B116" t="s">
        <v>310</v>
      </c>
      <c r="C116" t="s">
        <v>338</v>
      </c>
      <c r="D116">
        <v>13861</v>
      </c>
    </row>
    <row r="117" spans="1:4" x14ac:dyDescent="0.3">
      <c r="A117" t="s">
        <v>18</v>
      </c>
      <c r="B117" t="s">
        <v>310</v>
      </c>
      <c r="C117" t="s">
        <v>339</v>
      </c>
      <c r="D117">
        <v>22287</v>
      </c>
    </row>
    <row r="118" spans="1:4" x14ac:dyDescent="0.3">
      <c r="A118" t="s">
        <v>18</v>
      </c>
      <c r="B118" t="s">
        <v>310</v>
      </c>
      <c r="C118" t="s">
        <v>340</v>
      </c>
      <c r="D118">
        <v>34153</v>
      </c>
    </row>
    <row r="119" spans="1:4" x14ac:dyDescent="0.3">
      <c r="A119" t="s">
        <v>18</v>
      </c>
      <c r="B119" t="s">
        <v>310</v>
      </c>
      <c r="C119" t="s">
        <v>6</v>
      </c>
      <c r="D119">
        <v>47295.77</v>
      </c>
    </row>
    <row r="120" spans="1:4" x14ac:dyDescent="0.3">
      <c r="A120" t="s">
        <v>18</v>
      </c>
      <c r="B120" t="s">
        <v>310</v>
      </c>
      <c r="C120" t="s">
        <v>7</v>
      </c>
      <c r="D120">
        <v>54921.45</v>
      </c>
    </row>
    <row r="121" spans="1:4" x14ac:dyDescent="0.3">
      <c r="A121" t="s">
        <v>18</v>
      </c>
      <c r="B121" t="s">
        <v>310</v>
      </c>
      <c r="C121" t="s">
        <v>8</v>
      </c>
      <c r="D121">
        <v>59575.23</v>
      </c>
    </row>
    <row r="122" spans="1:4" x14ac:dyDescent="0.3">
      <c r="A122" t="s">
        <v>18</v>
      </c>
      <c r="B122" t="s">
        <v>310</v>
      </c>
      <c r="C122" t="s">
        <v>9</v>
      </c>
      <c r="D122">
        <v>57787.97</v>
      </c>
    </row>
    <row r="123" spans="1:4" x14ac:dyDescent="0.3">
      <c r="A123" t="s">
        <v>18</v>
      </c>
      <c r="B123" t="s">
        <v>310</v>
      </c>
      <c r="C123" t="s">
        <v>10</v>
      </c>
      <c r="D123">
        <v>56632.21</v>
      </c>
    </row>
    <row r="124" spans="1:4" x14ac:dyDescent="0.3">
      <c r="A124" t="s">
        <v>19</v>
      </c>
      <c r="B124" t="s">
        <v>310</v>
      </c>
      <c r="C124" t="s">
        <v>336</v>
      </c>
      <c r="D124">
        <v>20622</v>
      </c>
    </row>
    <row r="125" spans="1:4" x14ac:dyDescent="0.3">
      <c r="A125" t="s">
        <v>19</v>
      </c>
      <c r="B125" t="s">
        <v>310</v>
      </c>
      <c r="C125" t="s">
        <v>337</v>
      </c>
      <c r="D125">
        <v>23886</v>
      </c>
    </row>
    <row r="126" spans="1:4" x14ac:dyDescent="0.3">
      <c r="A126" t="s">
        <v>19</v>
      </c>
      <c r="B126" t="s">
        <v>310</v>
      </c>
      <c r="C126" t="s">
        <v>338</v>
      </c>
      <c r="D126">
        <v>28107</v>
      </c>
    </row>
    <row r="127" spans="1:4" x14ac:dyDescent="0.3">
      <c r="A127" t="s">
        <v>19</v>
      </c>
      <c r="B127" t="s">
        <v>310</v>
      </c>
      <c r="C127" t="s">
        <v>339</v>
      </c>
      <c r="D127">
        <v>44477</v>
      </c>
    </row>
    <row r="128" spans="1:4" x14ac:dyDescent="0.3">
      <c r="A128" t="s">
        <v>19</v>
      </c>
      <c r="B128" t="s">
        <v>310</v>
      </c>
      <c r="C128" t="s">
        <v>340</v>
      </c>
      <c r="D128">
        <v>64551</v>
      </c>
    </row>
    <row r="129" spans="1:4" x14ac:dyDescent="0.3">
      <c r="A129" t="s">
        <v>19</v>
      </c>
      <c r="B129" t="s">
        <v>310</v>
      </c>
      <c r="C129" t="s">
        <v>6</v>
      </c>
      <c r="D129">
        <v>98328</v>
      </c>
    </row>
    <row r="130" spans="1:4" x14ac:dyDescent="0.3">
      <c r="A130" t="s">
        <v>19</v>
      </c>
      <c r="B130" t="s">
        <v>310</v>
      </c>
      <c r="C130" t="s">
        <v>7</v>
      </c>
      <c r="D130">
        <v>116359</v>
      </c>
    </row>
    <row r="131" spans="1:4" x14ac:dyDescent="0.3">
      <c r="A131" t="s">
        <v>19</v>
      </c>
      <c r="B131" t="s">
        <v>310</v>
      </c>
      <c r="C131" t="s">
        <v>8</v>
      </c>
      <c r="D131">
        <v>124504.13</v>
      </c>
    </row>
    <row r="132" spans="1:4" x14ac:dyDescent="0.3">
      <c r="A132" t="s">
        <v>19</v>
      </c>
      <c r="B132" t="s">
        <v>310</v>
      </c>
      <c r="C132" t="s">
        <v>9</v>
      </c>
      <c r="D132">
        <v>120769.01</v>
      </c>
    </row>
    <row r="133" spans="1:4" x14ac:dyDescent="0.3">
      <c r="A133" t="s">
        <v>19</v>
      </c>
      <c r="B133" t="s">
        <v>310</v>
      </c>
      <c r="C133" t="s">
        <v>10</v>
      </c>
      <c r="D133">
        <v>118353.63</v>
      </c>
    </row>
    <row r="134" spans="1:4" x14ac:dyDescent="0.3">
      <c r="A134" t="s">
        <v>20</v>
      </c>
      <c r="B134" t="s">
        <v>310</v>
      </c>
      <c r="C134" t="s">
        <v>336</v>
      </c>
      <c r="D134">
        <v>-940</v>
      </c>
    </row>
    <row r="135" spans="1:4" x14ac:dyDescent="0.3">
      <c r="A135" t="s">
        <v>20</v>
      </c>
      <c r="B135" t="s">
        <v>310</v>
      </c>
      <c r="C135" t="s">
        <v>337</v>
      </c>
      <c r="D135">
        <v>450</v>
      </c>
    </row>
    <row r="136" spans="1:4" x14ac:dyDescent="0.3">
      <c r="A136" t="s">
        <v>20</v>
      </c>
      <c r="B136" t="s">
        <v>310</v>
      </c>
      <c r="C136" t="s">
        <v>338</v>
      </c>
      <c r="D136">
        <v>-2390</v>
      </c>
    </row>
    <row r="137" spans="1:4" x14ac:dyDescent="0.3">
      <c r="A137" t="s">
        <v>20</v>
      </c>
      <c r="B137" t="s">
        <v>310</v>
      </c>
      <c r="C137" t="s">
        <v>339</v>
      </c>
      <c r="D137">
        <v>1820</v>
      </c>
    </row>
    <row r="138" spans="1:4" x14ac:dyDescent="0.3">
      <c r="A138" t="s">
        <v>20</v>
      </c>
      <c r="B138" t="s">
        <v>310</v>
      </c>
      <c r="C138" t="s">
        <v>340</v>
      </c>
      <c r="D138">
        <v>-5350</v>
      </c>
    </row>
    <row r="139" spans="1:4" x14ac:dyDescent="0.3">
      <c r="A139" t="s">
        <v>20</v>
      </c>
      <c r="B139" t="s">
        <v>310</v>
      </c>
      <c r="C139" t="s">
        <v>6</v>
      </c>
      <c r="D139">
        <v>-1958.1</v>
      </c>
    </row>
    <row r="140" spans="1:4" x14ac:dyDescent="0.3">
      <c r="A140" t="s">
        <v>20</v>
      </c>
      <c r="B140" t="s">
        <v>310</v>
      </c>
      <c r="C140" t="s">
        <v>7</v>
      </c>
      <c r="D140">
        <v>-1509.91</v>
      </c>
    </row>
    <row r="141" spans="1:4" x14ac:dyDescent="0.3">
      <c r="A141" t="s">
        <v>20</v>
      </c>
      <c r="B141" t="s">
        <v>310</v>
      </c>
      <c r="C141" t="s">
        <v>8</v>
      </c>
      <c r="D141">
        <v>-875.69</v>
      </c>
    </row>
    <row r="142" spans="1:4" x14ac:dyDescent="0.3">
      <c r="A142" t="s">
        <v>20</v>
      </c>
      <c r="B142" t="s">
        <v>310</v>
      </c>
      <c r="C142" t="s">
        <v>9</v>
      </c>
      <c r="D142">
        <v>-1011.43</v>
      </c>
    </row>
    <row r="143" spans="1:4" x14ac:dyDescent="0.3">
      <c r="A143" t="s">
        <v>20</v>
      </c>
      <c r="B143" t="s">
        <v>310</v>
      </c>
      <c r="C143" t="s">
        <v>10</v>
      </c>
      <c r="D143">
        <v>579.04</v>
      </c>
    </row>
    <row r="144" spans="1:4" x14ac:dyDescent="0.3">
      <c r="A144" t="s">
        <v>23</v>
      </c>
      <c r="B144" t="s">
        <v>22</v>
      </c>
      <c r="C144" t="s">
        <v>336</v>
      </c>
      <c r="D144">
        <v>60085</v>
      </c>
    </row>
    <row r="145" spans="1:4" x14ac:dyDescent="0.3">
      <c r="A145" t="s">
        <v>23</v>
      </c>
      <c r="B145" t="s">
        <v>22</v>
      </c>
      <c r="C145" t="s">
        <v>337</v>
      </c>
      <c r="D145">
        <v>72405</v>
      </c>
    </row>
    <row r="146" spans="1:4" x14ac:dyDescent="0.3">
      <c r="A146" t="s">
        <v>23</v>
      </c>
      <c r="B146" t="s">
        <v>22</v>
      </c>
      <c r="C146" t="s">
        <v>338</v>
      </c>
      <c r="D146">
        <v>71573</v>
      </c>
    </row>
    <row r="147" spans="1:4" x14ac:dyDescent="0.3">
      <c r="A147" t="s">
        <v>23</v>
      </c>
      <c r="B147" t="s">
        <v>22</v>
      </c>
      <c r="C147" t="s">
        <v>339</v>
      </c>
      <c r="D147">
        <v>89782</v>
      </c>
    </row>
    <row r="148" spans="1:4" x14ac:dyDescent="0.3">
      <c r="A148" t="s">
        <v>23</v>
      </c>
      <c r="B148" t="s">
        <v>22</v>
      </c>
      <c r="C148" t="s">
        <v>340</v>
      </c>
      <c r="D148">
        <v>106733</v>
      </c>
    </row>
    <row r="149" spans="1:4" x14ac:dyDescent="0.3">
      <c r="A149" t="s">
        <v>23</v>
      </c>
      <c r="B149" t="s">
        <v>22</v>
      </c>
      <c r="C149" t="s">
        <v>6</v>
      </c>
      <c r="D149">
        <v>119954.96</v>
      </c>
    </row>
    <row r="150" spans="1:4" x14ac:dyDescent="0.3">
      <c r="A150" t="s">
        <v>23</v>
      </c>
      <c r="B150" t="s">
        <v>22</v>
      </c>
      <c r="C150" t="s">
        <v>7</v>
      </c>
      <c r="D150">
        <v>142901.07999999999</v>
      </c>
    </row>
    <row r="151" spans="1:4" x14ac:dyDescent="0.3">
      <c r="A151" t="s">
        <v>23</v>
      </c>
      <c r="B151" t="s">
        <v>22</v>
      </c>
      <c r="C151" t="s">
        <v>8</v>
      </c>
      <c r="D151">
        <v>167043.15</v>
      </c>
    </row>
    <row r="152" spans="1:4" x14ac:dyDescent="0.3">
      <c r="A152" t="s">
        <v>23</v>
      </c>
      <c r="B152" t="s">
        <v>22</v>
      </c>
      <c r="C152" t="s">
        <v>9</v>
      </c>
      <c r="D152">
        <v>192171.21</v>
      </c>
    </row>
    <row r="153" spans="1:4" x14ac:dyDescent="0.3">
      <c r="A153" t="s">
        <v>23</v>
      </c>
      <c r="B153" t="s">
        <v>22</v>
      </c>
      <c r="C153" t="s">
        <v>10</v>
      </c>
      <c r="D153">
        <v>217285.59</v>
      </c>
    </row>
    <row r="154" spans="1:4" x14ac:dyDescent="0.3">
      <c r="A154" t="s">
        <v>109</v>
      </c>
      <c r="B154" t="s">
        <v>22</v>
      </c>
      <c r="C154" t="s">
        <v>336</v>
      </c>
      <c r="D154">
        <v>6118</v>
      </c>
    </row>
    <row r="155" spans="1:4" x14ac:dyDescent="0.3">
      <c r="A155" t="s">
        <v>109</v>
      </c>
      <c r="B155" t="s">
        <v>22</v>
      </c>
      <c r="C155" t="s">
        <v>337</v>
      </c>
      <c r="D155">
        <v>7502</v>
      </c>
    </row>
    <row r="156" spans="1:4" x14ac:dyDescent="0.3">
      <c r="A156" t="s">
        <v>109</v>
      </c>
      <c r="B156" t="s">
        <v>22</v>
      </c>
      <c r="C156" t="s">
        <v>338</v>
      </c>
      <c r="D156">
        <v>9611</v>
      </c>
    </row>
    <row r="157" spans="1:4" x14ac:dyDescent="0.3">
      <c r="A157" t="s">
        <v>109</v>
      </c>
      <c r="B157" t="s">
        <v>22</v>
      </c>
      <c r="C157" t="s">
        <v>339</v>
      </c>
      <c r="D157">
        <v>10734</v>
      </c>
    </row>
    <row r="158" spans="1:4" x14ac:dyDescent="0.3">
      <c r="A158" t="s">
        <v>109</v>
      </c>
      <c r="B158" t="s">
        <v>22</v>
      </c>
      <c r="C158" t="s">
        <v>340</v>
      </c>
      <c r="D158">
        <v>11974</v>
      </c>
    </row>
    <row r="159" spans="1:4" x14ac:dyDescent="0.3">
      <c r="A159" t="s">
        <v>109</v>
      </c>
      <c r="B159" t="s">
        <v>22</v>
      </c>
      <c r="C159" t="s">
        <v>6</v>
      </c>
      <c r="D159">
        <v>12401.31</v>
      </c>
    </row>
    <row r="160" spans="1:4" x14ac:dyDescent="0.3">
      <c r="A160" t="s">
        <v>109</v>
      </c>
      <c r="B160" t="s">
        <v>22</v>
      </c>
      <c r="C160" t="s">
        <v>7</v>
      </c>
      <c r="D160">
        <v>14344.18</v>
      </c>
    </row>
    <row r="161" spans="1:4" x14ac:dyDescent="0.3">
      <c r="A161" t="s">
        <v>109</v>
      </c>
      <c r="B161" t="s">
        <v>22</v>
      </c>
      <c r="C161" t="s">
        <v>8</v>
      </c>
      <c r="D161">
        <v>16638.2</v>
      </c>
    </row>
    <row r="162" spans="1:4" x14ac:dyDescent="0.3">
      <c r="A162" t="s">
        <v>109</v>
      </c>
      <c r="B162" t="s">
        <v>22</v>
      </c>
      <c r="C162" t="s">
        <v>9</v>
      </c>
      <c r="D162">
        <v>19217.12</v>
      </c>
    </row>
    <row r="163" spans="1:4" x14ac:dyDescent="0.3">
      <c r="A163" t="s">
        <v>109</v>
      </c>
      <c r="B163" t="s">
        <v>22</v>
      </c>
      <c r="C163" t="s">
        <v>10</v>
      </c>
      <c r="D163">
        <v>22003.599999999999</v>
      </c>
    </row>
    <row r="164" spans="1:4" x14ac:dyDescent="0.3">
      <c r="A164" t="s">
        <v>24</v>
      </c>
      <c r="B164" t="s">
        <v>22</v>
      </c>
      <c r="C164" t="s">
        <v>336</v>
      </c>
      <c r="D164">
        <v>56120</v>
      </c>
    </row>
    <row r="165" spans="1:4" x14ac:dyDescent="0.3">
      <c r="A165" t="s">
        <v>24</v>
      </c>
      <c r="B165" t="s">
        <v>22</v>
      </c>
      <c r="C165" t="s">
        <v>337</v>
      </c>
      <c r="D165">
        <v>65150</v>
      </c>
    </row>
    <row r="166" spans="1:4" x14ac:dyDescent="0.3">
      <c r="A166" t="s">
        <v>24</v>
      </c>
      <c r="B166" t="s">
        <v>22</v>
      </c>
      <c r="C166" t="s">
        <v>338</v>
      </c>
      <c r="D166">
        <v>59480</v>
      </c>
    </row>
    <row r="167" spans="1:4" x14ac:dyDescent="0.3">
      <c r="A167" t="s">
        <v>24</v>
      </c>
      <c r="B167" t="s">
        <v>22</v>
      </c>
      <c r="C167" t="s">
        <v>339</v>
      </c>
      <c r="D167">
        <v>74070</v>
      </c>
    </row>
    <row r="168" spans="1:4" x14ac:dyDescent="0.3">
      <c r="A168" t="s">
        <v>24</v>
      </c>
      <c r="B168" t="s">
        <v>22</v>
      </c>
      <c r="C168" t="s">
        <v>340</v>
      </c>
      <c r="D168">
        <v>71610</v>
      </c>
    </row>
    <row r="169" spans="1:4" x14ac:dyDescent="0.3">
      <c r="A169" t="s">
        <v>24</v>
      </c>
      <c r="B169" t="s">
        <v>22</v>
      </c>
      <c r="C169" t="s">
        <v>6</v>
      </c>
      <c r="D169">
        <v>83282.149999999994</v>
      </c>
    </row>
    <row r="170" spans="1:4" x14ac:dyDescent="0.3">
      <c r="A170" t="s">
        <v>24</v>
      </c>
      <c r="B170" t="s">
        <v>22</v>
      </c>
      <c r="C170" t="s">
        <v>7</v>
      </c>
      <c r="D170">
        <v>97317.62</v>
      </c>
    </row>
    <row r="171" spans="1:4" x14ac:dyDescent="0.3">
      <c r="A171" t="s">
        <v>24</v>
      </c>
      <c r="B171" t="s">
        <v>22</v>
      </c>
      <c r="C171" t="s">
        <v>8</v>
      </c>
      <c r="D171">
        <v>119628.14</v>
      </c>
    </row>
    <row r="172" spans="1:4" x14ac:dyDescent="0.3">
      <c r="A172" t="s">
        <v>24</v>
      </c>
      <c r="B172" t="s">
        <v>22</v>
      </c>
      <c r="C172" t="s">
        <v>9</v>
      </c>
      <c r="D172">
        <v>149418.72</v>
      </c>
    </row>
    <row r="173" spans="1:4" x14ac:dyDescent="0.3">
      <c r="A173" t="s">
        <v>24</v>
      </c>
      <c r="B173" t="s">
        <v>22</v>
      </c>
      <c r="C173" t="s">
        <v>10</v>
      </c>
      <c r="D173">
        <v>176988.73</v>
      </c>
    </row>
    <row r="174" spans="1:4" x14ac:dyDescent="0.3">
      <c r="A174" t="s">
        <v>71</v>
      </c>
      <c r="B174" t="s">
        <v>72</v>
      </c>
      <c r="C174" t="s">
        <v>336</v>
      </c>
      <c r="D174">
        <v>53915</v>
      </c>
    </row>
    <row r="175" spans="1:4" x14ac:dyDescent="0.3">
      <c r="A175" t="s">
        <v>71</v>
      </c>
      <c r="B175" t="s">
        <v>72</v>
      </c>
      <c r="C175" t="s">
        <v>337</v>
      </c>
      <c r="D175">
        <v>63364</v>
      </c>
    </row>
    <row r="176" spans="1:4" x14ac:dyDescent="0.3">
      <c r="A176" t="s">
        <v>71</v>
      </c>
      <c r="B176" t="s">
        <v>72</v>
      </c>
      <c r="C176" t="s">
        <v>338</v>
      </c>
      <c r="D176">
        <v>94151</v>
      </c>
    </row>
    <row r="177" spans="1:4" x14ac:dyDescent="0.3">
      <c r="A177" t="s">
        <v>71</v>
      </c>
      <c r="B177" t="s">
        <v>72</v>
      </c>
      <c r="C177" t="s">
        <v>339</v>
      </c>
      <c r="D177">
        <v>106820</v>
      </c>
    </row>
    <row r="178" spans="1:4" x14ac:dyDescent="0.3">
      <c r="A178" t="s">
        <v>71</v>
      </c>
      <c r="B178" t="s">
        <v>72</v>
      </c>
      <c r="C178" t="s">
        <v>340</v>
      </c>
      <c r="D178">
        <v>120810</v>
      </c>
    </row>
    <row r="179" spans="1:4" x14ac:dyDescent="0.3">
      <c r="A179" t="s">
        <v>71</v>
      </c>
      <c r="B179" t="s">
        <v>72</v>
      </c>
      <c r="C179" t="s">
        <v>6</v>
      </c>
      <c r="D179">
        <v>136756.92000000001</v>
      </c>
    </row>
    <row r="180" spans="1:4" x14ac:dyDescent="0.3">
      <c r="A180" t="s">
        <v>71</v>
      </c>
      <c r="B180" t="s">
        <v>72</v>
      </c>
      <c r="C180" t="s">
        <v>7</v>
      </c>
      <c r="D180">
        <v>153673.59</v>
      </c>
    </row>
    <row r="181" spans="1:4" x14ac:dyDescent="0.3">
      <c r="A181" t="s">
        <v>71</v>
      </c>
      <c r="B181" t="s">
        <v>72</v>
      </c>
      <c r="C181" t="s">
        <v>8</v>
      </c>
      <c r="D181">
        <v>170577.69</v>
      </c>
    </row>
    <row r="182" spans="1:4" x14ac:dyDescent="0.3">
      <c r="A182" t="s">
        <v>70</v>
      </c>
      <c r="B182" t="s">
        <v>72</v>
      </c>
      <c r="C182" t="s">
        <v>336</v>
      </c>
      <c r="D182">
        <v>60080</v>
      </c>
    </row>
    <row r="183" spans="1:4" x14ac:dyDescent="0.3">
      <c r="A183" t="s">
        <v>70</v>
      </c>
      <c r="B183" t="s">
        <v>72</v>
      </c>
      <c r="C183" t="s">
        <v>337</v>
      </c>
      <c r="D183">
        <v>74965</v>
      </c>
    </row>
    <row r="184" spans="1:4" x14ac:dyDescent="0.3">
      <c r="A184" t="s">
        <v>70</v>
      </c>
      <c r="B184" t="s">
        <v>72</v>
      </c>
      <c r="C184" t="s">
        <v>338</v>
      </c>
      <c r="D184">
        <v>72944</v>
      </c>
    </row>
    <row r="185" spans="1:4" x14ac:dyDescent="0.3">
      <c r="A185" t="s">
        <v>70</v>
      </c>
      <c r="B185" t="s">
        <v>72</v>
      </c>
      <c r="C185" t="s">
        <v>339</v>
      </c>
      <c r="D185">
        <v>87464</v>
      </c>
    </row>
    <row r="186" spans="1:4" x14ac:dyDescent="0.3">
      <c r="A186" t="s">
        <v>70</v>
      </c>
      <c r="B186" t="s">
        <v>72</v>
      </c>
      <c r="C186" t="s">
        <v>340</v>
      </c>
      <c r="D186">
        <v>106265</v>
      </c>
    </row>
    <row r="187" spans="1:4" x14ac:dyDescent="0.3">
      <c r="A187" t="s">
        <v>70</v>
      </c>
      <c r="B187" t="s">
        <v>72</v>
      </c>
      <c r="C187" t="s">
        <v>6</v>
      </c>
      <c r="D187">
        <v>134789</v>
      </c>
    </row>
    <row r="188" spans="1:4" x14ac:dyDescent="0.3">
      <c r="A188" t="s">
        <v>70</v>
      </c>
      <c r="B188" t="s">
        <v>72</v>
      </c>
      <c r="C188" t="s">
        <v>7</v>
      </c>
      <c r="D188">
        <v>168062</v>
      </c>
    </row>
    <row r="189" spans="1:4" x14ac:dyDescent="0.3">
      <c r="A189" t="s">
        <v>70</v>
      </c>
      <c r="B189" t="s">
        <v>72</v>
      </c>
      <c r="C189" t="s">
        <v>8</v>
      </c>
      <c r="D189">
        <v>210077.5</v>
      </c>
    </row>
    <row r="190" spans="1:4" x14ac:dyDescent="0.3">
      <c r="A190" t="s">
        <v>81</v>
      </c>
      <c r="B190" t="s">
        <v>72</v>
      </c>
      <c r="C190" t="s">
        <v>336</v>
      </c>
      <c r="D190">
        <v>54093</v>
      </c>
    </row>
    <row r="191" spans="1:4" x14ac:dyDescent="0.3">
      <c r="A191" t="s">
        <v>81</v>
      </c>
      <c r="B191" t="s">
        <v>72</v>
      </c>
      <c r="C191" t="s">
        <v>337</v>
      </c>
      <c r="D191">
        <v>59941</v>
      </c>
    </row>
    <row r="192" spans="1:4" x14ac:dyDescent="0.3">
      <c r="A192" t="s">
        <v>81</v>
      </c>
      <c r="B192" t="s">
        <v>72</v>
      </c>
      <c r="C192" t="s">
        <v>338</v>
      </c>
      <c r="D192">
        <v>44820</v>
      </c>
    </row>
    <row r="193" spans="1:4" x14ac:dyDescent="0.3">
      <c r="A193" t="s">
        <v>81</v>
      </c>
      <c r="B193" t="s">
        <v>72</v>
      </c>
      <c r="C193" t="s">
        <v>339</v>
      </c>
      <c r="D193">
        <v>50838</v>
      </c>
    </row>
    <row r="194" spans="1:4" x14ac:dyDescent="0.3">
      <c r="A194" t="s">
        <v>81</v>
      </c>
      <c r="B194" t="s">
        <v>72</v>
      </c>
      <c r="C194" t="s">
        <v>340</v>
      </c>
      <c r="D194">
        <v>54649</v>
      </c>
    </row>
    <row r="195" spans="1:4" x14ac:dyDescent="0.3">
      <c r="A195" t="s">
        <v>81</v>
      </c>
      <c r="B195" t="s">
        <v>72</v>
      </c>
      <c r="C195" t="s">
        <v>6</v>
      </c>
      <c r="D195">
        <v>54804.42</v>
      </c>
    </row>
    <row r="196" spans="1:4" x14ac:dyDescent="0.3">
      <c r="A196" t="s">
        <v>81</v>
      </c>
      <c r="B196" t="s">
        <v>72</v>
      </c>
      <c r="C196" t="s">
        <v>7</v>
      </c>
      <c r="D196">
        <v>55742.87</v>
      </c>
    </row>
    <row r="197" spans="1:4" x14ac:dyDescent="0.3">
      <c r="A197" t="s">
        <v>81</v>
      </c>
      <c r="B197" t="s">
        <v>72</v>
      </c>
      <c r="C197" t="s">
        <v>8</v>
      </c>
      <c r="D197">
        <v>57192.18</v>
      </c>
    </row>
    <row r="198" spans="1:4" x14ac:dyDescent="0.3">
      <c r="A198" t="s">
        <v>311</v>
      </c>
      <c r="B198" t="s">
        <v>85</v>
      </c>
      <c r="C198" t="s">
        <v>336</v>
      </c>
      <c r="D198">
        <v>24351</v>
      </c>
    </row>
    <row r="199" spans="1:4" x14ac:dyDescent="0.3">
      <c r="A199" t="s">
        <v>311</v>
      </c>
      <c r="B199" t="s">
        <v>85</v>
      </c>
      <c r="C199" t="s">
        <v>337</v>
      </c>
      <c r="D199">
        <v>29690</v>
      </c>
    </row>
    <row r="200" spans="1:4" x14ac:dyDescent="0.3">
      <c r="A200" t="s">
        <v>311</v>
      </c>
      <c r="B200" t="s">
        <v>85</v>
      </c>
      <c r="C200" t="s">
        <v>338</v>
      </c>
      <c r="D200">
        <v>50074</v>
      </c>
    </row>
    <row r="201" spans="1:4" x14ac:dyDescent="0.3">
      <c r="A201" t="s">
        <v>311</v>
      </c>
      <c r="B201" t="s">
        <v>85</v>
      </c>
      <c r="C201" t="s">
        <v>339</v>
      </c>
      <c r="D201">
        <v>59661</v>
      </c>
    </row>
    <row r="202" spans="1:4" x14ac:dyDescent="0.3">
      <c r="A202" t="s">
        <v>311</v>
      </c>
      <c r="B202" t="s">
        <v>85</v>
      </c>
      <c r="C202" t="s">
        <v>340</v>
      </c>
      <c r="D202">
        <v>69773</v>
      </c>
    </row>
    <row r="203" spans="1:4" x14ac:dyDescent="0.3">
      <c r="A203" t="s">
        <v>311</v>
      </c>
      <c r="B203" t="s">
        <v>85</v>
      </c>
      <c r="C203" t="s">
        <v>6</v>
      </c>
      <c r="D203">
        <v>78744.63</v>
      </c>
    </row>
    <row r="204" spans="1:4" x14ac:dyDescent="0.3">
      <c r="A204" t="s">
        <v>311</v>
      </c>
      <c r="B204" t="s">
        <v>85</v>
      </c>
      <c r="C204" t="s">
        <v>7</v>
      </c>
      <c r="D204">
        <v>85365.68</v>
      </c>
    </row>
    <row r="205" spans="1:4" x14ac:dyDescent="0.3">
      <c r="A205" t="s">
        <v>311</v>
      </c>
      <c r="B205" t="s">
        <v>85</v>
      </c>
      <c r="C205" t="s">
        <v>8</v>
      </c>
      <c r="D205">
        <v>98935.06</v>
      </c>
    </row>
    <row r="206" spans="1:4" x14ac:dyDescent="0.3">
      <c r="A206" t="s">
        <v>312</v>
      </c>
      <c r="B206" t="s">
        <v>85</v>
      </c>
      <c r="C206" t="s">
        <v>336</v>
      </c>
      <c r="D206">
        <v>26126</v>
      </c>
    </row>
    <row r="207" spans="1:4" x14ac:dyDescent="0.3">
      <c r="A207" t="s">
        <v>312</v>
      </c>
      <c r="B207" t="s">
        <v>85</v>
      </c>
      <c r="C207" t="s">
        <v>337</v>
      </c>
      <c r="D207">
        <v>33203</v>
      </c>
    </row>
    <row r="208" spans="1:4" x14ac:dyDescent="0.3">
      <c r="A208" t="s">
        <v>312</v>
      </c>
      <c r="B208" t="s">
        <v>85</v>
      </c>
      <c r="C208" t="s">
        <v>338</v>
      </c>
      <c r="D208">
        <v>28411</v>
      </c>
    </row>
    <row r="209" spans="1:4" x14ac:dyDescent="0.3">
      <c r="A209" t="s">
        <v>312</v>
      </c>
      <c r="B209" t="s">
        <v>85</v>
      </c>
      <c r="C209" t="s">
        <v>339</v>
      </c>
      <c r="D209">
        <v>37813</v>
      </c>
    </row>
    <row r="210" spans="1:4" x14ac:dyDescent="0.3">
      <c r="A210" t="s">
        <v>312</v>
      </c>
      <c r="B210" t="s">
        <v>85</v>
      </c>
      <c r="C210" t="s">
        <v>340</v>
      </c>
      <c r="D210">
        <v>44589</v>
      </c>
    </row>
    <row r="211" spans="1:4" x14ac:dyDescent="0.3">
      <c r="A211" t="s">
        <v>312</v>
      </c>
      <c r="B211" t="s">
        <v>85</v>
      </c>
      <c r="C211" t="s">
        <v>6</v>
      </c>
      <c r="D211">
        <v>58633.22</v>
      </c>
    </row>
    <row r="212" spans="1:4" x14ac:dyDescent="0.3">
      <c r="A212" t="s">
        <v>312</v>
      </c>
      <c r="B212" t="s">
        <v>85</v>
      </c>
      <c r="C212" t="s">
        <v>7</v>
      </c>
      <c r="D212">
        <v>75501.850000000006</v>
      </c>
    </row>
    <row r="213" spans="1:4" x14ac:dyDescent="0.3">
      <c r="A213" t="s">
        <v>312</v>
      </c>
      <c r="B213" t="s">
        <v>85</v>
      </c>
      <c r="C213" t="s">
        <v>8</v>
      </c>
      <c r="D213">
        <v>93904.639999999999</v>
      </c>
    </row>
    <row r="214" spans="1:4" x14ac:dyDescent="0.3">
      <c r="A214" t="s">
        <v>313</v>
      </c>
      <c r="B214" t="s">
        <v>85</v>
      </c>
      <c r="C214" t="s">
        <v>336</v>
      </c>
      <c r="D214">
        <v>19439</v>
      </c>
    </row>
    <row r="215" spans="1:4" x14ac:dyDescent="0.3">
      <c r="A215" t="s">
        <v>313</v>
      </c>
      <c r="B215" t="s">
        <v>85</v>
      </c>
      <c r="C215" t="s">
        <v>337</v>
      </c>
      <c r="D215">
        <v>20490</v>
      </c>
    </row>
    <row r="216" spans="1:4" x14ac:dyDescent="0.3">
      <c r="A216" t="s">
        <v>313</v>
      </c>
      <c r="B216" t="s">
        <v>85</v>
      </c>
      <c r="C216" t="s">
        <v>338</v>
      </c>
      <c r="D216">
        <v>10038</v>
      </c>
    </row>
    <row r="217" spans="1:4" x14ac:dyDescent="0.3">
      <c r="A217" t="s">
        <v>313</v>
      </c>
      <c r="B217" t="s">
        <v>85</v>
      </c>
      <c r="C217" t="s">
        <v>339</v>
      </c>
      <c r="D217">
        <v>11959</v>
      </c>
    </row>
    <row r="218" spans="1:4" x14ac:dyDescent="0.3">
      <c r="A218" t="s">
        <v>313</v>
      </c>
      <c r="B218" t="s">
        <v>85</v>
      </c>
      <c r="C218" t="s">
        <v>340</v>
      </c>
      <c r="D218">
        <v>14166</v>
      </c>
    </row>
    <row r="219" spans="1:4" x14ac:dyDescent="0.3">
      <c r="A219" t="s">
        <v>313</v>
      </c>
      <c r="B219" t="s">
        <v>85</v>
      </c>
      <c r="C219" t="s">
        <v>6</v>
      </c>
      <c r="D219">
        <v>14375.2</v>
      </c>
    </row>
    <row r="220" spans="1:4" x14ac:dyDescent="0.3">
      <c r="A220" t="s">
        <v>313</v>
      </c>
      <c r="B220" t="s">
        <v>85</v>
      </c>
      <c r="C220" t="s">
        <v>7</v>
      </c>
      <c r="D220">
        <v>14660.37</v>
      </c>
    </row>
    <row r="221" spans="1:4" x14ac:dyDescent="0.3">
      <c r="A221" t="s">
        <v>313</v>
      </c>
      <c r="B221" t="s">
        <v>85</v>
      </c>
      <c r="C221" t="s">
        <v>8</v>
      </c>
      <c r="D221">
        <v>15155.93</v>
      </c>
    </row>
    <row r="222" spans="1:4" x14ac:dyDescent="0.3">
      <c r="A222" t="s">
        <v>98</v>
      </c>
      <c r="B222" t="s">
        <v>85</v>
      </c>
      <c r="C222" t="s">
        <v>336</v>
      </c>
      <c r="D222">
        <v>69916</v>
      </c>
    </row>
    <row r="223" spans="1:4" x14ac:dyDescent="0.3">
      <c r="A223" t="s">
        <v>98</v>
      </c>
      <c r="B223" t="s">
        <v>85</v>
      </c>
      <c r="C223" t="s">
        <v>337</v>
      </c>
      <c r="D223">
        <v>83383</v>
      </c>
    </row>
    <row r="224" spans="1:4" x14ac:dyDescent="0.3">
      <c r="A224" t="s">
        <v>98</v>
      </c>
      <c r="B224" t="s">
        <v>85</v>
      </c>
      <c r="C224" t="s">
        <v>338</v>
      </c>
      <c r="D224">
        <v>88523</v>
      </c>
    </row>
    <row r="225" spans="1:4" x14ac:dyDescent="0.3">
      <c r="A225" t="s">
        <v>98</v>
      </c>
      <c r="B225" t="s">
        <v>85</v>
      </c>
      <c r="C225" t="s">
        <v>339</v>
      </c>
      <c r="D225">
        <v>109433</v>
      </c>
    </row>
    <row r="226" spans="1:4" x14ac:dyDescent="0.3">
      <c r="A226" t="s">
        <v>98</v>
      </c>
      <c r="B226" t="s">
        <v>85</v>
      </c>
      <c r="C226" t="s">
        <v>340</v>
      </c>
      <c r="D226">
        <v>128528</v>
      </c>
    </row>
    <row r="227" spans="1:4" x14ac:dyDescent="0.3">
      <c r="A227" t="s">
        <v>98</v>
      </c>
      <c r="B227" t="s">
        <v>85</v>
      </c>
      <c r="C227" t="s">
        <v>6</v>
      </c>
      <c r="D227">
        <v>151753.04999999999</v>
      </c>
    </row>
    <row r="228" spans="1:4" x14ac:dyDescent="0.3">
      <c r="A228" t="s">
        <v>98</v>
      </c>
      <c r="B228" t="s">
        <v>85</v>
      </c>
      <c r="C228" t="s">
        <v>7</v>
      </c>
      <c r="D228">
        <v>175527.91</v>
      </c>
    </row>
    <row r="229" spans="1:4" x14ac:dyDescent="0.3">
      <c r="A229" t="s">
        <v>98</v>
      </c>
      <c r="B229" t="s">
        <v>85</v>
      </c>
      <c r="C229" t="s">
        <v>8</v>
      </c>
      <c r="D229">
        <v>207995.63</v>
      </c>
    </row>
    <row r="230" spans="1:4" x14ac:dyDescent="0.3">
      <c r="A230" t="s">
        <v>314</v>
      </c>
      <c r="B230" t="s">
        <v>315</v>
      </c>
      <c r="C230" t="s">
        <v>336</v>
      </c>
      <c r="D230">
        <v>83953</v>
      </c>
    </row>
    <row r="231" spans="1:4" x14ac:dyDescent="0.3">
      <c r="A231" t="s">
        <v>314</v>
      </c>
      <c r="B231" t="s">
        <v>315</v>
      </c>
      <c r="C231" t="s">
        <v>337</v>
      </c>
      <c r="D231">
        <v>100218</v>
      </c>
    </row>
    <row r="232" spans="1:4" x14ac:dyDescent="0.3">
      <c r="A232" t="s">
        <v>314</v>
      </c>
      <c r="B232" t="s">
        <v>315</v>
      </c>
      <c r="C232" t="s">
        <v>338</v>
      </c>
      <c r="D232">
        <v>106744</v>
      </c>
    </row>
    <row r="233" spans="1:4" x14ac:dyDescent="0.3">
      <c r="A233" t="s">
        <v>314</v>
      </c>
      <c r="B233" t="s">
        <v>315</v>
      </c>
      <c r="C233" t="s">
        <v>339</v>
      </c>
      <c r="D233">
        <v>124704</v>
      </c>
    </row>
    <row r="234" spans="1:4" x14ac:dyDescent="0.3">
      <c r="A234" t="s">
        <v>314</v>
      </c>
      <c r="B234" t="s">
        <v>315</v>
      </c>
      <c r="C234" t="s">
        <v>340</v>
      </c>
      <c r="D234">
        <v>144546</v>
      </c>
    </row>
    <row r="235" spans="1:4" x14ac:dyDescent="0.3">
      <c r="A235" t="s">
        <v>316</v>
      </c>
      <c r="B235" t="s">
        <v>315</v>
      </c>
      <c r="C235" t="s">
        <v>336</v>
      </c>
      <c r="D235">
        <v>84135</v>
      </c>
    </row>
    <row r="236" spans="1:4" x14ac:dyDescent="0.3">
      <c r="A236" t="s">
        <v>316</v>
      </c>
      <c r="B236" t="s">
        <v>315</v>
      </c>
      <c r="C236" t="s">
        <v>337</v>
      </c>
      <c r="D236">
        <v>98052</v>
      </c>
    </row>
    <row r="237" spans="1:4" x14ac:dyDescent="0.3">
      <c r="A237" t="s">
        <v>316</v>
      </c>
      <c r="B237" t="s">
        <v>315</v>
      </c>
      <c r="C237" t="s">
        <v>338</v>
      </c>
      <c r="D237">
        <v>105171</v>
      </c>
    </row>
    <row r="238" spans="1:4" x14ac:dyDescent="0.3">
      <c r="A238" t="s">
        <v>316</v>
      </c>
      <c r="B238" t="s">
        <v>315</v>
      </c>
      <c r="C238" t="s">
        <v>339</v>
      </c>
      <c r="D238">
        <v>120518</v>
      </c>
    </row>
    <row r="239" spans="1:4" x14ac:dyDescent="0.3">
      <c r="A239" t="s">
        <v>316</v>
      </c>
      <c r="B239" t="s">
        <v>315</v>
      </c>
      <c r="C239" t="s">
        <v>340</v>
      </c>
      <c r="D239">
        <v>137178</v>
      </c>
    </row>
    <row r="240" spans="1:4" x14ac:dyDescent="0.3">
      <c r="A240" t="s">
        <v>92</v>
      </c>
      <c r="B240" t="s">
        <v>69</v>
      </c>
      <c r="C240" t="s">
        <v>336</v>
      </c>
      <c r="D240">
        <v>173049</v>
      </c>
    </row>
    <row r="241" spans="1:4" x14ac:dyDescent="0.3">
      <c r="A241" t="s">
        <v>92</v>
      </c>
      <c r="B241" t="s">
        <v>69</v>
      </c>
      <c r="C241" t="s">
        <v>337</v>
      </c>
      <c r="D241">
        <v>202537</v>
      </c>
    </row>
    <row r="242" spans="1:4" x14ac:dyDescent="0.3">
      <c r="A242" t="s">
        <v>92</v>
      </c>
      <c r="B242" t="s">
        <v>69</v>
      </c>
      <c r="C242" t="s">
        <v>338</v>
      </c>
      <c r="D242">
        <v>217320</v>
      </c>
    </row>
    <row r="243" spans="1:4" x14ac:dyDescent="0.3">
      <c r="A243" t="s">
        <v>92</v>
      </c>
      <c r="B243" t="s">
        <v>69</v>
      </c>
      <c r="C243" t="s">
        <v>339</v>
      </c>
      <c r="D243">
        <v>268695</v>
      </c>
    </row>
    <row r="244" spans="1:4" x14ac:dyDescent="0.3">
      <c r="A244" t="s">
        <v>92</v>
      </c>
      <c r="B244" t="s">
        <v>69</v>
      </c>
      <c r="C244" t="s">
        <v>340</v>
      </c>
      <c r="D244">
        <v>288805</v>
      </c>
    </row>
    <row r="245" spans="1:4" x14ac:dyDescent="0.3">
      <c r="A245" t="s">
        <v>92</v>
      </c>
      <c r="B245" t="s">
        <v>69</v>
      </c>
      <c r="C245" t="s">
        <v>6</v>
      </c>
      <c r="D245">
        <v>333705</v>
      </c>
    </row>
    <row r="246" spans="1:4" x14ac:dyDescent="0.3">
      <c r="A246" t="s">
        <v>96</v>
      </c>
      <c r="B246" t="s">
        <v>69</v>
      </c>
      <c r="C246" t="s">
        <v>336</v>
      </c>
      <c r="D246">
        <v>141000</v>
      </c>
    </row>
    <row r="247" spans="1:4" x14ac:dyDescent="0.3">
      <c r="A247" t="s">
        <v>96</v>
      </c>
      <c r="B247" t="s">
        <v>69</v>
      </c>
      <c r="C247" t="s">
        <v>337</v>
      </c>
      <c r="D247">
        <v>189000</v>
      </c>
    </row>
    <row r="248" spans="1:4" x14ac:dyDescent="0.3">
      <c r="A248" t="s">
        <v>96</v>
      </c>
      <c r="B248" t="s">
        <v>69</v>
      </c>
      <c r="C248" t="s">
        <v>338</v>
      </c>
      <c r="D248">
        <v>224000</v>
      </c>
    </row>
    <row r="249" spans="1:4" x14ac:dyDescent="0.3">
      <c r="A249" t="s">
        <v>96</v>
      </c>
      <c r="B249" t="s">
        <v>69</v>
      </c>
      <c r="C249" t="s">
        <v>339</v>
      </c>
      <c r="D249">
        <v>269000</v>
      </c>
    </row>
    <row r="250" spans="1:4" x14ac:dyDescent="0.3">
      <c r="A250" t="s">
        <v>96</v>
      </c>
      <c r="B250" t="s">
        <v>69</v>
      </c>
      <c r="C250" t="s">
        <v>340</v>
      </c>
      <c r="D250">
        <v>368000</v>
      </c>
    </row>
    <row r="251" spans="1:4" x14ac:dyDescent="0.3">
      <c r="A251" t="s">
        <v>96</v>
      </c>
      <c r="B251" t="s">
        <v>69</v>
      </c>
      <c r="C251" t="s">
        <v>6</v>
      </c>
      <c r="D251">
        <v>392000</v>
      </c>
    </row>
    <row r="252" spans="1:4" x14ac:dyDescent="0.3">
      <c r="A252" t="s">
        <v>93</v>
      </c>
      <c r="B252" t="s">
        <v>69</v>
      </c>
      <c r="C252" t="s">
        <v>336</v>
      </c>
      <c r="D252">
        <v>0.498</v>
      </c>
    </row>
    <row r="253" spans="1:4" x14ac:dyDescent="0.3">
      <c r="A253" t="s">
        <v>93</v>
      </c>
      <c r="B253" t="s">
        <v>69</v>
      </c>
      <c r="C253" t="s">
        <v>337</v>
      </c>
      <c r="D253">
        <v>0.45</v>
      </c>
    </row>
    <row r="254" spans="1:4" x14ac:dyDescent="0.3">
      <c r="A254" t="s">
        <v>93</v>
      </c>
      <c r="B254" t="s">
        <v>69</v>
      </c>
      <c r="C254" t="s">
        <v>338</v>
      </c>
      <c r="D254">
        <v>0.28999999999999998</v>
      </c>
    </row>
    <row r="255" spans="1:4" x14ac:dyDescent="0.3">
      <c r="A255" t="s">
        <v>93</v>
      </c>
      <c r="B255" t="s">
        <v>69</v>
      </c>
      <c r="C255" t="s">
        <v>339</v>
      </c>
      <c r="D255">
        <v>0.3</v>
      </c>
    </row>
    <row r="256" spans="1:4" x14ac:dyDescent="0.3">
      <c r="A256" t="s">
        <v>93</v>
      </c>
      <c r="B256" t="s">
        <v>69</v>
      </c>
      <c r="C256" t="s">
        <v>340</v>
      </c>
      <c r="D256">
        <v>0.34200000000000003</v>
      </c>
    </row>
    <row r="257" spans="1:4" x14ac:dyDescent="0.3">
      <c r="A257" t="s">
        <v>93</v>
      </c>
      <c r="B257" t="s">
        <v>69</v>
      </c>
      <c r="C257" t="s">
        <v>6</v>
      </c>
      <c r="D257">
        <v>0.38</v>
      </c>
    </row>
    <row r="258" spans="1:4" x14ac:dyDescent="0.3">
      <c r="A258" t="s">
        <v>93</v>
      </c>
      <c r="B258" t="s">
        <v>69</v>
      </c>
      <c r="C258" t="s">
        <v>7</v>
      </c>
      <c r="D258">
        <v>0.34300000000000003</v>
      </c>
    </row>
    <row r="259" spans="1:4" x14ac:dyDescent="0.3">
      <c r="A259" t="s">
        <v>93</v>
      </c>
      <c r="B259" t="s">
        <v>69</v>
      </c>
      <c r="C259" t="s">
        <v>8</v>
      </c>
      <c r="D259">
        <v>0.28100000000000003</v>
      </c>
    </row>
    <row r="260" spans="1:4" x14ac:dyDescent="0.3">
      <c r="A260" t="s">
        <v>95</v>
      </c>
      <c r="B260" t="s">
        <v>69</v>
      </c>
      <c r="C260" t="s">
        <v>338</v>
      </c>
      <c r="D260">
        <v>31900</v>
      </c>
    </row>
    <row r="261" spans="1:4" x14ac:dyDescent="0.3">
      <c r="A261" t="s">
        <v>95</v>
      </c>
      <c r="B261" t="s">
        <v>69</v>
      </c>
      <c r="C261" t="s">
        <v>339</v>
      </c>
      <c r="D261">
        <v>55700</v>
      </c>
    </row>
    <row r="262" spans="1:4" x14ac:dyDescent="0.3">
      <c r="A262" t="s">
        <v>95</v>
      </c>
      <c r="B262" t="s">
        <v>69</v>
      </c>
      <c r="C262" t="s">
        <v>340</v>
      </c>
      <c r="D262">
        <v>88200</v>
      </c>
    </row>
    <row r="263" spans="1:4" x14ac:dyDescent="0.3">
      <c r="A263" t="s">
        <v>95</v>
      </c>
      <c r="B263" t="s">
        <v>69</v>
      </c>
      <c r="C263" t="s">
        <v>6</v>
      </c>
      <c r="D263">
        <v>142884</v>
      </c>
    </row>
    <row r="264" spans="1:4" x14ac:dyDescent="0.3">
      <c r="A264" t="s">
        <v>95</v>
      </c>
      <c r="B264" t="s">
        <v>69</v>
      </c>
      <c r="C264" t="s">
        <v>7</v>
      </c>
      <c r="D264">
        <v>159458.54</v>
      </c>
    </row>
    <row r="265" spans="1:4" x14ac:dyDescent="0.3">
      <c r="A265" t="s">
        <v>95</v>
      </c>
      <c r="B265" t="s">
        <v>69</v>
      </c>
      <c r="C265" t="s">
        <v>8</v>
      </c>
      <c r="D265">
        <v>166634.18</v>
      </c>
    </row>
    <row r="266" spans="1:4" x14ac:dyDescent="0.3">
      <c r="A266" t="s">
        <v>317</v>
      </c>
      <c r="B266" t="s">
        <v>5</v>
      </c>
      <c r="C266" t="s">
        <v>336</v>
      </c>
      <c r="D266">
        <v>0.17530000000000001</v>
      </c>
    </row>
    <row r="267" spans="1:4" x14ac:dyDescent="0.3">
      <c r="A267" t="s">
        <v>317</v>
      </c>
      <c r="B267" t="s">
        <v>5</v>
      </c>
      <c r="C267" t="s">
        <v>337</v>
      </c>
      <c r="D267">
        <v>0.17960000000000001</v>
      </c>
    </row>
    <row r="268" spans="1:4" x14ac:dyDescent="0.3">
      <c r="A268" t="s">
        <v>317</v>
      </c>
      <c r="B268" t="s">
        <v>5</v>
      </c>
      <c r="C268" t="s">
        <v>338</v>
      </c>
      <c r="D268">
        <v>6.88E-2</v>
      </c>
    </row>
    <row r="269" spans="1:4" x14ac:dyDescent="0.3">
      <c r="A269" t="s">
        <v>317</v>
      </c>
      <c r="B269" t="s">
        <v>5</v>
      </c>
      <c r="C269" t="s">
        <v>339</v>
      </c>
      <c r="D269">
        <v>0.15670000000000001</v>
      </c>
    </row>
    <row r="270" spans="1:4" x14ac:dyDescent="0.3">
      <c r="A270" t="s">
        <v>317</v>
      </c>
      <c r="B270" t="s">
        <v>5</v>
      </c>
      <c r="C270" t="s">
        <v>340</v>
      </c>
      <c r="D270">
        <v>0.14929999999999999</v>
      </c>
    </row>
    <row r="271" spans="1:4" x14ac:dyDescent="0.3">
      <c r="A271" t="s">
        <v>317</v>
      </c>
      <c r="B271" t="s">
        <v>5</v>
      </c>
      <c r="C271" t="s">
        <v>6</v>
      </c>
      <c r="D271">
        <v>0.15840000000000001</v>
      </c>
    </row>
    <row r="272" spans="1:4" x14ac:dyDescent="0.3">
      <c r="A272" t="s">
        <v>317</v>
      </c>
      <c r="B272" t="s">
        <v>5</v>
      </c>
      <c r="C272" t="s">
        <v>7</v>
      </c>
      <c r="D272">
        <v>0.15670000000000001</v>
      </c>
    </row>
    <row r="273" spans="1:4" x14ac:dyDescent="0.3">
      <c r="A273" t="s">
        <v>317</v>
      </c>
      <c r="B273" t="s">
        <v>5</v>
      </c>
      <c r="C273" t="s">
        <v>8</v>
      </c>
      <c r="D273">
        <v>0.15989999999999999</v>
      </c>
    </row>
    <row r="274" spans="1:4" x14ac:dyDescent="0.3">
      <c r="A274" t="s">
        <v>317</v>
      </c>
      <c r="B274" t="s">
        <v>5</v>
      </c>
      <c r="C274" t="s">
        <v>9</v>
      </c>
      <c r="D274">
        <v>0.155</v>
      </c>
    </row>
    <row r="275" spans="1:4" x14ac:dyDescent="0.3">
      <c r="A275" t="s">
        <v>317</v>
      </c>
      <c r="B275" t="s">
        <v>5</v>
      </c>
      <c r="C275" t="s">
        <v>10</v>
      </c>
      <c r="D275">
        <v>0.14499999999999999</v>
      </c>
    </row>
    <row r="276" spans="1:4" x14ac:dyDescent="0.3">
      <c r="A276" t="s">
        <v>318</v>
      </c>
      <c r="B276" t="s">
        <v>5</v>
      </c>
      <c r="C276" t="s">
        <v>336</v>
      </c>
      <c r="D276">
        <v>0.31069999999999998</v>
      </c>
    </row>
    <row r="277" spans="1:4" x14ac:dyDescent="0.3">
      <c r="A277" t="s">
        <v>318</v>
      </c>
      <c r="B277" t="s">
        <v>5</v>
      </c>
      <c r="C277" t="s">
        <v>337</v>
      </c>
      <c r="D277">
        <v>0.316</v>
      </c>
    </row>
    <row r="278" spans="1:4" x14ac:dyDescent="0.3">
      <c r="A278" t="s">
        <v>318</v>
      </c>
      <c r="B278" t="s">
        <v>5</v>
      </c>
      <c r="C278" t="s">
        <v>338</v>
      </c>
      <c r="D278">
        <v>0.31080000000000002</v>
      </c>
    </row>
    <row r="279" spans="1:4" x14ac:dyDescent="0.3">
      <c r="A279" t="s">
        <v>318</v>
      </c>
      <c r="B279" t="s">
        <v>5</v>
      </c>
      <c r="C279" t="s">
        <v>339</v>
      </c>
      <c r="D279">
        <v>0.3024</v>
      </c>
    </row>
    <row r="280" spans="1:4" x14ac:dyDescent="0.3">
      <c r="A280" t="s">
        <v>318</v>
      </c>
      <c r="B280" t="s">
        <v>5</v>
      </c>
      <c r="C280" t="s">
        <v>340</v>
      </c>
      <c r="D280">
        <v>0.31180000000000002</v>
      </c>
    </row>
    <row r="281" spans="1:4" x14ac:dyDescent="0.3">
      <c r="A281" t="s">
        <v>318</v>
      </c>
      <c r="B281" t="s">
        <v>5</v>
      </c>
      <c r="C281" t="s">
        <v>6</v>
      </c>
      <c r="D281">
        <v>0.32</v>
      </c>
    </row>
    <row r="282" spans="1:4" x14ac:dyDescent="0.3">
      <c r="A282" t="s">
        <v>318</v>
      </c>
      <c r="B282" t="s">
        <v>5</v>
      </c>
      <c r="C282" t="s">
        <v>7</v>
      </c>
      <c r="D282">
        <v>0.32</v>
      </c>
    </row>
    <row r="283" spans="1:4" x14ac:dyDescent="0.3">
      <c r="A283" t="s">
        <v>318</v>
      </c>
      <c r="B283" t="s">
        <v>5</v>
      </c>
      <c r="C283" t="s">
        <v>8</v>
      </c>
      <c r="D283">
        <v>0.32</v>
      </c>
    </row>
    <row r="284" spans="1:4" x14ac:dyDescent="0.3">
      <c r="A284" t="s">
        <v>318</v>
      </c>
      <c r="B284" t="s">
        <v>5</v>
      </c>
      <c r="C284" t="s">
        <v>9</v>
      </c>
      <c r="D284">
        <v>0.32</v>
      </c>
    </row>
    <row r="285" spans="1:4" x14ac:dyDescent="0.3">
      <c r="A285" t="s">
        <v>318</v>
      </c>
      <c r="B285" t="s">
        <v>5</v>
      </c>
      <c r="C285" t="s">
        <v>10</v>
      </c>
      <c r="D285">
        <v>0.32</v>
      </c>
    </row>
    <row r="286" spans="1:4" x14ac:dyDescent="0.3">
      <c r="A286" t="s">
        <v>319</v>
      </c>
      <c r="B286" t="s">
        <v>5</v>
      </c>
      <c r="C286" t="s">
        <v>336</v>
      </c>
      <c r="D286">
        <v>0.68930000000000002</v>
      </c>
    </row>
    <row r="287" spans="1:4" x14ac:dyDescent="0.3">
      <c r="A287" t="s">
        <v>319</v>
      </c>
      <c r="B287" t="s">
        <v>5</v>
      </c>
      <c r="C287" t="s">
        <v>337</v>
      </c>
      <c r="D287">
        <v>0.68400000000000005</v>
      </c>
    </row>
    <row r="288" spans="1:4" x14ac:dyDescent="0.3">
      <c r="A288" t="s">
        <v>319</v>
      </c>
      <c r="B288" t="s">
        <v>5</v>
      </c>
      <c r="C288" t="s">
        <v>338</v>
      </c>
      <c r="D288">
        <v>0.68920000000000003</v>
      </c>
    </row>
    <row r="289" spans="1:4" x14ac:dyDescent="0.3">
      <c r="A289" t="s">
        <v>319</v>
      </c>
      <c r="B289" t="s">
        <v>5</v>
      </c>
      <c r="C289" t="s">
        <v>339</v>
      </c>
      <c r="D289">
        <v>0.6976</v>
      </c>
    </row>
    <row r="290" spans="1:4" x14ac:dyDescent="0.3">
      <c r="A290" t="s">
        <v>319</v>
      </c>
      <c r="B290" t="s">
        <v>5</v>
      </c>
      <c r="C290" t="s">
        <v>340</v>
      </c>
      <c r="D290">
        <v>0.68820000000000003</v>
      </c>
    </row>
    <row r="291" spans="1:4" x14ac:dyDescent="0.3">
      <c r="A291" t="s">
        <v>319</v>
      </c>
      <c r="B291" t="s">
        <v>5</v>
      </c>
      <c r="C291" t="s">
        <v>6</v>
      </c>
      <c r="D291">
        <v>0.68</v>
      </c>
    </row>
    <row r="292" spans="1:4" x14ac:dyDescent="0.3">
      <c r="A292" t="s">
        <v>319</v>
      </c>
      <c r="B292" t="s">
        <v>5</v>
      </c>
      <c r="C292" t="s">
        <v>7</v>
      </c>
      <c r="D292">
        <v>0.68</v>
      </c>
    </row>
    <row r="293" spans="1:4" x14ac:dyDescent="0.3">
      <c r="A293" t="s">
        <v>319</v>
      </c>
      <c r="B293" t="s">
        <v>5</v>
      </c>
      <c r="C293" t="s">
        <v>8</v>
      </c>
      <c r="D293">
        <v>0.68</v>
      </c>
    </row>
    <row r="294" spans="1:4" x14ac:dyDescent="0.3">
      <c r="A294" t="s">
        <v>319</v>
      </c>
      <c r="B294" t="s">
        <v>5</v>
      </c>
      <c r="C294" t="s">
        <v>9</v>
      </c>
      <c r="D294">
        <v>0.68</v>
      </c>
    </row>
    <row r="295" spans="1:4" x14ac:dyDescent="0.3">
      <c r="A295" t="s">
        <v>319</v>
      </c>
      <c r="B295" t="s">
        <v>5</v>
      </c>
      <c r="C295" t="s">
        <v>10</v>
      </c>
      <c r="D295">
        <v>0.68</v>
      </c>
    </row>
    <row r="296" spans="1:4" x14ac:dyDescent="0.3">
      <c r="A296" t="s">
        <v>320</v>
      </c>
      <c r="B296" t="s">
        <v>5</v>
      </c>
      <c r="C296" t="s">
        <v>336</v>
      </c>
      <c r="D296">
        <v>0.15010000000000001</v>
      </c>
    </row>
    <row r="297" spans="1:4" x14ac:dyDescent="0.3">
      <c r="A297" t="s">
        <v>320</v>
      </c>
      <c r="B297" t="s">
        <v>5</v>
      </c>
      <c r="C297" t="s">
        <v>337</v>
      </c>
      <c r="D297">
        <v>0.13980000000000001</v>
      </c>
    </row>
    <row r="298" spans="1:4" x14ac:dyDescent="0.3">
      <c r="A298" t="s">
        <v>320</v>
      </c>
      <c r="B298" t="s">
        <v>5</v>
      </c>
      <c r="C298" t="s">
        <v>338</v>
      </c>
      <c r="D298">
        <v>0.1431</v>
      </c>
    </row>
    <row r="299" spans="1:4" x14ac:dyDescent="0.3">
      <c r="A299" t="s">
        <v>320</v>
      </c>
      <c r="B299" t="s">
        <v>5</v>
      </c>
      <c r="C299" t="s">
        <v>339</v>
      </c>
      <c r="D299">
        <v>0.1308</v>
      </c>
    </row>
    <row r="300" spans="1:4" x14ac:dyDescent="0.3">
      <c r="A300" t="s">
        <v>320</v>
      </c>
      <c r="B300" t="s">
        <v>5</v>
      </c>
      <c r="C300" t="s">
        <v>340</v>
      </c>
      <c r="D300">
        <v>0.1167</v>
      </c>
    </row>
    <row r="301" spans="1:4" x14ac:dyDescent="0.3">
      <c r="A301" t="s">
        <v>320</v>
      </c>
      <c r="B301" t="s">
        <v>5</v>
      </c>
      <c r="C301" t="s">
        <v>6</v>
      </c>
      <c r="D301">
        <v>0.12</v>
      </c>
    </row>
    <row r="302" spans="1:4" x14ac:dyDescent="0.3">
      <c r="A302" t="s">
        <v>320</v>
      </c>
      <c r="B302" t="s">
        <v>5</v>
      </c>
      <c r="C302" t="s">
        <v>7</v>
      </c>
      <c r="D302">
        <v>0.11</v>
      </c>
    </row>
    <row r="303" spans="1:4" x14ac:dyDescent="0.3">
      <c r="A303" t="s">
        <v>320</v>
      </c>
      <c r="B303" t="s">
        <v>5</v>
      </c>
      <c r="C303" t="s">
        <v>8</v>
      </c>
      <c r="D303">
        <v>0.105</v>
      </c>
    </row>
    <row r="304" spans="1:4" x14ac:dyDescent="0.3">
      <c r="A304" t="s">
        <v>320</v>
      </c>
      <c r="B304" t="s">
        <v>5</v>
      </c>
      <c r="C304" t="s">
        <v>9</v>
      </c>
      <c r="D304">
        <v>0.105</v>
      </c>
    </row>
    <row r="305" spans="1:4" x14ac:dyDescent="0.3">
      <c r="A305" t="s">
        <v>320</v>
      </c>
      <c r="B305" t="s">
        <v>5</v>
      </c>
      <c r="C305" t="s">
        <v>10</v>
      </c>
      <c r="D305">
        <v>0.105</v>
      </c>
    </row>
    <row r="306" spans="1:4" x14ac:dyDescent="0.3">
      <c r="A306" t="s">
        <v>321</v>
      </c>
      <c r="B306" t="s">
        <v>5</v>
      </c>
      <c r="C306" t="s">
        <v>336</v>
      </c>
      <c r="D306">
        <v>0.1232</v>
      </c>
    </row>
    <row r="307" spans="1:4" x14ac:dyDescent="0.3">
      <c r="A307" t="s">
        <v>321</v>
      </c>
      <c r="B307" t="s">
        <v>5</v>
      </c>
      <c r="C307" t="s">
        <v>337</v>
      </c>
      <c r="D307">
        <v>0.1236</v>
      </c>
    </row>
    <row r="308" spans="1:4" x14ac:dyDescent="0.3">
      <c r="A308" t="s">
        <v>321</v>
      </c>
      <c r="B308" t="s">
        <v>5</v>
      </c>
      <c r="C308" t="s">
        <v>338</v>
      </c>
      <c r="D308">
        <v>0.1283</v>
      </c>
    </row>
    <row r="309" spans="1:4" x14ac:dyDescent="0.3">
      <c r="A309" t="s">
        <v>321</v>
      </c>
      <c r="B309" t="s">
        <v>5</v>
      </c>
      <c r="C309" t="s">
        <v>339</v>
      </c>
      <c r="D309">
        <v>0.12039999999999999</v>
      </c>
    </row>
    <row r="310" spans="1:4" x14ac:dyDescent="0.3">
      <c r="A310" t="s">
        <v>321</v>
      </c>
      <c r="B310" t="s">
        <v>5</v>
      </c>
      <c r="C310" t="s">
        <v>340</v>
      </c>
      <c r="D310">
        <v>0.1153</v>
      </c>
    </row>
    <row r="311" spans="1:4" x14ac:dyDescent="0.3">
      <c r="A311" t="s">
        <v>321</v>
      </c>
      <c r="B311" t="s">
        <v>5</v>
      </c>
      <c r="C311" t="s">
        <v>6</v>
      </c>
      <c r="D311">
        <v>0.109</v>
      </c>
    </row>
    <row r="312" spans="1:4" x14ac:dyDescent="0.3">
      <c r="A312" t="s">
        <v>321</v>
      </c>
      <c r="B312" t="s">
        <v>5</v>
      </c>
      <c r="C312" t="s">
        <v>7</v>
      </c>
      <c r="D312">
        <v>0.1055</v>
      </c>
    </row>
    <row r="313" spans="1:4" x14ac:dyDescent="0.3">
      <c r="A313" t="s">
        <v>321</v>
      </c>
      <c r="B313" t="s">
        <v>5</v>
      </c>
      <c r="C313" t="s">
        <v>8</v>
      </c>
      <c r="D313">
        <v>0.104</v>
      </c>
    </row>
    <row r="314" spans="1:4" x14ac:dyDescent="0.3">
      <c r="A314" t="s">
        <v>321</v>
      </c>
      <c r="B314" t="s">
        <v>5</v>
      </c>
      <c r="C314" t="s">
        <v>9</v>
      </c>
      <c r="D314">
        <v>0.1</v>
      </c>
    </row>
    <row r="315" spans="1:4" x14ac:dyDescent="0.3">
      <c r="A315" t="s">
        <v>321</v>
      </c>
      <c r="B315" t="s">
        <v>5</v>
      </c>
      <c r="C315" t="s">
        <v>10</v>
      </c>
      <c r="D315">
        <v>0.1</v>
      </c>
    </row>
    <row r="316" spans="1:4" x14ac:dyDescent="0.3">
      <c r="A316" t="s">
        <v>322</v>
      </c>
      <c r="B316" t="s">
        <v>5</v>
      </c>
      <c r="C316" t="s">
        <v>336</v>
      </c>
      <c r="D316">
        <v>0.41589999999999999</v>
      </c>
    </row>
    <row r="317" spans="1:4" x14ac:dyDescent="0.3">
      <c r="A317" t="s">
        <v>322</v>
      </c>
      <c r="B317" t="s">
        <v>5</v>
      </c>
      <c r="C317" t="s">
        <v>337</v>
      </c>
      <c r="D317">
        <v>0.42059999999999997</v>
      </c>
    </row>
    <row r="318" spans="1:4" x14ac:dyDescent="0.3">
      <c r="A318" t="s">
        <v>322</v>
      </c>
      <c r="B318" t="s">
        <v>5</v>
      </c>
      <c r="C318" t="s">
        <v>338</v>
      </c>
      <c r="D318">
        <v>0.41770000000000002</v>
      </c>
    </row>
    <row r="319" spans="1:4" x14ac:dyDescent="0.3">
      <c r="A319" t="s">
        <v>322</v>
      </c>
      <c r="B319" t="s">
        <v>5</v>
      </c>
      <c r="C319" t="s">
        <v>339</v>
      </c>
      <c r="D319">
        <v>0.44640000000000002</v>
      </c>
    </row>
    <row r="320" spans="1:4" x14ac:dyDescent="0.3">
      <c r="A320" t="s">
        <v>322</v>
      </c>
      <c r="B320" t="s">
        <v>5</v>
      </c>
      <c r="C320" t="s">
        <v>340</v>
      </c>
      <c r="D320">
        <v>0.45619999999999999</v>
      </c>
    </row>
    <row r="321" spans="1:4" x14ac:dyDescent="0.3">
      <c r="A321" t="s">
        <v>322</v>
      </c>
      <c r="B321" t="s">
        <v>5</v>
      </c>
      <c r="C321" t="s">
        <v>6</v>
      </c>
      <c r="D321">
        <v>0.45100000000000001</v>
      </c>
    </row>
    <row r="322" spans="1:4" x14ac:dyDescent="0.3">
      <c r="A322" t="s">
        <v>322</v>
      </c>
      <c r="B322" t="s">
        <v>5</v>
      </c>
      <c r="C322" t="s">
        <v>7</v>
      </c>
      <c r="D322">
        <v>0.46450000000000002</v>
      </c>
    </row>
    <row r="323" spans="1:4" x14ac:dyDescent="0.3">
      <c r="A323" t="s">
        <v>322</v>
      </c>
      <c r="B323" t="s">
        <v>5</v>
      </c>
      <c r="C323" t="s">
        <v>8</v>
      </c>
      <c r="D323">
        <v>0.47099999999999997</v>
      </c>
    </row>
    <row r="324" spans="1:4" x14ac:dyDescent="0.3">
      <c r="A324" t="s">
        <v>322</v>
      </c>
      <c r="B324" t="s">
        <v>5</v>
      </c>
      <c r="C324" t="s">
        <v>9</v>
      </c>
      <c r="D324">
        <v>0.47499999999999998</v>
      </c>
    </row>
    <row r="325" spans="1:4" x14ac:dyDescent="0.3">
      <c r="A325" t="s">
        <v>322</v>
      </c>
      <c r="B325" t="s">
        <v>5</v>
      </c>
      <c r="C325" t="s">
        <v>10</v>
      </c>
      <c r="D325">
        <v>0.47499999999999998</v>
      </c>
    </row>
    <row r="326" spans="1:4" x14ac:dyDescent="0.3">
      <c r="A326" t="s">
        <v>323</v>
      </c>
      <c r="B326" t="s">
        <v>310</v>
      </c>
      <c r="C326" t="s">
        <v>336</v>
      </c>
      <c r="D326">
        <v>6.9500000000000006E-2</v>
      </c>
    </row>
    <row r="327" spans="1:4" x14ac:dyDescent="0.3">
      <c r="A327" t="s">
        <v>323</v>
      </c>
      <c r="B327" t="s">
        <v>310</v>
      </c>
      <c r="C327" t="s">
        <v>337</v>
      </c>
      <c r="D327">
        <v>7.2900000000000006E-2</v>
      </c>
    </row>
    <row r="328" spans="1:4" x14ac:dyDescent="0.3">
      <c r="A328" t="s">
        <v>323</v>
      </c>
      <c r="B328" t="s">
        <v>310</v>
      </c>
      <c r="C328" t="s">
        <v>338</v>
      </c>
      <c r="D328">
        <v>6.54E-2</v>
      </c>
    </row>
    <row r="329" spans="1:4" x14ac:dyDescent="0.3">
      <c r="A329" t="s">
        <v>323</v>
      </c>
      <c r="B329" t="s">
        <v>310</v>
      </c>
      <c r="C329" t="s">
        <v>339</v>
      </c>
      <c r="D329">
        <v>9.0899999999999995E-2</v>
      </c>
    </row>
    <row r="330" spans="1:4" x14ac:dyDescent="0.3">
      <c r="A330" t="s">
        <v>323</v>
      </c>
      <c r="B330" t="s">
        <v>310</v>
      </c>
      <c r="C330" t="s">
        <v>340</v>
      </c>
      <c r="D330">
        <v>0.1212</v>
      </c>
    </row>
    <row r="331" spans="1:4" x14ac:dyDescent="0.3">
      <c r="A331" t="s">
        <v>323</v>
      </c>
      <c r="B331" t="s">
        <v>310</v>
      </c>
      <c r="C331" t="s">
        <v>6</v>
      </c>
      <c r="D331">
        <v>0.1449</v>
      </c>
    </row>
    <row r="332" spans="1:4" x14ac:dyDescent="0.3">
      <c r="A332" t="s">
        <v>323</v>
      </c>
      <c r="B332" t="s">
        <v>310</v>
      </c>
      <c r="C332" t="s">
        <v>7</v>
      </c>
      <c r="D332">
        <v>0.14549999999999999</v>
      </c>
    </row>
    <row r="333" spans="1:4" x14ac:dyDescent="0.3">
      <c r="A333" t="s">
        <v>323</v>
      </c>
      <c r="B333" t="s">
        <v>310</v>
      </c>
      <c r="C333" t="s">
        <v>8</v>
      </c>
      <c r="D333">
        <v>0.1361</v>
      </c>
    </row>
    <row r="334" spans="1:4" x14ac:dyDescent="0.3">
      <c r="A334" t="s">
        <v>323</v>
      </c>
      <c r="B334" t="s">
        <v>310</v>
      </c>
      <c r="C334" t="s">
        <v>9</v>
      </c>
      <c r="D334">
        <v>0.1143</v>
      </c>
    </row>
    <row r="335" spans="1:4" x14ac:dyDescent="0.3">
      <c r="A335" t="s">
        <v>323</v>
      </c>
      <c r="B335" t="s">
        <v>310</v>
      </c>
      <c r="C335" t="s">
        <v>10</v>
      </c>
      <c r="D335">
        <v>9.7799999999999998E-2</v>
      </c>
    </row>
    <row r="336" spans="1:4" x14ac:dyDescent="0.3">
      <c r="A336" t="s">
        <v>324</v>
      </c>
      <c r="B336" t="s">
        <v>310</v>
      </c>
      <c r="C336" t="s">
        <v>336</v>
      </c>
      <c r="D336">
        <v>0.1227</v>
      </c>
    </row>
    <row r="337" spans="1:4" x14ac:dyDescent="0.3">
      <c r="A337" t="s">
        <v>324</v>
      </c>
      <c r="B337" t="s">
        <v>310</v>
      </c>
      <c r="C337" t="s">
        <v>337</v>
      </c>
      <c r="D337">
        <v>0.1205</v>
      </c>
    </row>
    <row r="338" spans="1:4" x14ac:dyDescent="0.3">
      <c r="A338" t="s">
        <v>324</v>
      </c>
      <c r="B338" t="s">
        <v>310</v>
      </c>
      <c r="C338" t="s">
        <v>338</v>
      </c>
      <c r="D338">
        <v>0.1326</v>
      </c>
    </row>
    <row r="339" spans="1:4" x14ac:dyDescent="0.3">
      <c r="A339" t="s">
        <v>324</v>
      </c>
      <c r="B339" t="s">
        <v>310</v>
      </c>
      <c r="C339" t="s">
        <v>339</v>
      </c>
      <c r="D339">
        <v>0.18140000000000001</v>
      </c>
    </row>
    <row r="340" spans="1:4" x14ac:dyDescent="0.3">
      <c r="A340" t="s">
        <v>324</v>
      </c>
      <c r="B340" t="s">
        <v>310</v>
      </c>
      <c r="C340" t="s">
        <v>340</v>
      </c>
      <c r="D340">
        <v>0.2291</v>
      </c>
    </row>
    <row r="341" spans="1:4" x14ac:dyDescent="0.3">
      <c r="A341" t="s">
        <v>324</v>
      </c>
      <c r="B341" t="s">
        <v>310</v>
      </c>
      <c r="C341" t="s">
        <v>6</v>
      </c>
      <c r="D341">
        <v>0.30130000000000001</v>
      </c>
    </row>
    <row r="342" spans="1:4" x14ac:dyDescent="0.3">
      <c r="A342" t="s">
        <v>324</v>
      </c>
      <c r="B342" t="s">
        <v>310</v>
      </c>
      <c r="C342" t="s">
        <v>7</v>
      </c>
      <c r="D342">
        <v>0.30830000000000002</v>
      </c>
    </row>
    <row r="343" spans="1:4" x14ac:dyDescent="0.3">
      <c r="A343" t="s">
        <v>324</v>
      </c>
      <c r="B343" t="s">
        <v>310</v>
      </c>
      <c r="C343" t="s">
        <v>8</v>
      </c>
      <c r="D343">
        <v>0.28439999999999999</v>
      </c>
    </row>
    <row r="344" spans="1:4" x14ac:dyDescent="0.3">
      <c r="A344" t="s">
        <v>324</v>
      </c>
      <c r="B344" t="s">
        <v>310</v>
      </c>
      <c r="C344" t="s">
        <v>9</v>
      </c>
      <c r="D344">
        <v>0.23880000000000001</v>
      </c>
    </row>
    <row r="345" spans="1:4" x14ac:dyDescent="0.3">
      <c r="A345" t="s">
        <v>324</v>
      </c>
      <c r="B345" t="s">
        <v>310</v>
      </c>
      <c r="C345" t="s">
        <v>10</v>
      </c>
      <c r="D345">
        <v>0.2044</v>
      </c>
    </row>
    <row r="346" spans="1:4" x14ac:dyDescent="0.3">
      <c r="A346" t="s">
        <v>325</v>
      </c>
      <c r="B346" t="s">
        <v>310</v>
      </c>
      <c r="C346" t="s">
        <v>336</v>
      </c>
      <c r="D346">
        <v>-5.5999999999999999E-3</v>
      </c>
    </row>
    <row r="347" spans="1:4" x14ac:dyDescent="0.3">
      <c r="A347" t="s">
        <v>325</v>
      </c>
      <c r="B347" t="s">
        <v>310</v>
      </c>
      <c r="C347" t="s">
        <v>337</v>
      </c>
      <c r="D347">
        <v>2.3E-3</v>
      </c>
    </row>
    <row r="348" spans="1:4" x14ac:dyDescent="0.3">
      <c r="A348" t="s">
        <v>325</v>
      </c>
      <c r="B348" t="s">
        <v>310</v>
      </c>
      <c r="C348" t="s">
        <v>338</v>
      </c>
      <c r="D348">
        <v>-1.1299999999999999E-2</v>
      </c>
    </row>
    <row r="349" spans="1:4" x14ac:dyDescent="0.3">
      <c r="A349" t="s">
        <v>325</v>
      </c>
      <c r="B349" t="s">
        <v>310</v>
      </c>
      <c r="C349" t="s">
        <v>339</v>
      </c>
      <c r="D349">
        <v>7.4000000000000003E-3</v>
      </c>
    </row>
    <row r="350" spans="1:4" x14ac:dyDescent="0.3">
      <c r="A350" t="s">
        <v>325</v>
      </c>
      <c r="B350" t="s">
        <v>310</v>
      </c>
      <c r="C350" t="s">
        <v>340</v>
      </c>
      <c r="D350">
        <v>-1.9E-2</v>
      </c>
    </row>
    <row r="351" spans="1:4" x14ac:dyDescent="0.3">
      <c r="A351" t="s">
        <v>325</v>
      </c>
      <c r="B351" t="s">
        <v>310</v>
      </c>
      <c r="C351" t="s">
        <v>6</v>
      </c>
      <c r="D351">
        <v>-6.0000000000000001E-3</v>
      </c>
    </row>
    <row r="352" spans="1:4" x14ac:dyDescent="0.3">
      <c r="A352" t="s">
        <v>325</v>
      </c>
      <c r="B352" t="s">
        <v>310</v>
      </c>
      <c r="C352" t="s">
        <v>7</v>
      </c>
      <c r="D352">
        <v>-4.0000000000000001E-3</v>
      </c>
    </row>
    <row r="353" spans="1:4" x14ac:dyDescent="0.3">
      <c r="A353" t="s">
        <v>325</v>
      </c>
      <c r="B353" t="s">
        <v>310</v>
      </c>
      <c r="C353" t="s">
        <v>8</v>
      </c>
      <c r="D353">
        <v>-2E-3</v>
      </c>
    </row>
    <row r="354" spans="1:4" x14ac:dyDescent="0.3">
      <c r="A354" t="s">
        <v>325</v>
      </c>
      <c r="B354" t="s">
        <v>310</v>
      </c>
      <c r="C354" t="s">
        <v>9</v>
      </c>
      <c r="D354">
        <v>-2E-3</v>
      </c>
    </row>
    <row r="355" spans="1:4" x14ac:dyDescent="0.3">
      <c r="A355" t="s">
        <v>325</v>
      </c>
      <c r="B355" t="s">
        <v>310</v>
      </c>
      <c r="C355" t="s">
        <v>10</v>
      </c>
      <c r="D355">
        <v>1E-3</v>
      </c>
    </row>
    <row r="356" spans="1:4" x14ac:dyDescent="0.3">
      <c r="A356" t="s">
        <v>326</v>
      </c>
      <c r="B356" t="s">
        <v>22</v>
      </c>
      <c r="C356" t="s">
        <v>336</v>
      </c>
      <c r="D356">
        <v>0.33389999999999997</v>
      </c>
    </row>
    <row r="357" spans="1:4" x14ac:dyDescent="0.3">
      <c r="A357" t="s">
        <v>326</v>
      </c>
      <c r="B357" t="s">
        <v>22</v>
      </c>
      <c r="C357" t="s">
        <v>337</v>
      </c>
      <c r="D357">
        <v>0.3286</v>
      </c>
    </row>
    <row r="358" spans="1:4" x14ac:dyDescent="0.3">
      <c r="A358" t="s">
        <v>326</v>
      </c>
      <c r="B358" t="s">
        <v>22</v>
      </c>
      <c r="C358" t="s">
        <v>338</v>
      </c>
      <c r="D358">
        <v>0.28070000000000001</v>
      </c>
    </row>
    <row r="359" spans="1:4" x14ac:dyDescent="0.3">
      <c r="A359" t="s">
        <v>326</v>
      </c>
      <c r="B359" t="s">
        <v>22</v>
      </c>
      <c r="C359" t="s">
        <v>339</v>
      </c>
      <c r="D359">
        <v>0.30220000000000002</v>
      </c>
    </row>
    <row r="360" spans="1:4" x14ac:dyDescent="0.3">
      <c r="A360" t="s">
        <v>326</v>
      </c>
      <c r="B360" t="s">
        <v>22</v>
      </c>
      <c r="C360" t="s">
        <v>340</v>
      </c>
      <c r="D360">
        <v>0.25419999999999998</v>
      </c>
    </row>
    <row r="361" spans="1:4" x14ac:dyDescent="0.3">
      <c r="A361" t="s">
        <v>326</v>
      </c>
      <c r="B361" t="s">
        <v>22</v>
      </c>
      <c r="C361" t="s">
        <v>6</v>
      </c>
      <c r="D361">
        <v>0.25519999999999998</v>
      </c>
    </row>
    <row r="362" spans="1:4" x14ac:dyDescent="0.3">
      <c r="A362" t="s">
        <v>326</v>
      </c>
      <c r="B362" t="s">
        <v>22</v>
      </c>
      <c r="C362" t="s">
        <v>7</v>
      </c>
      <c r="D362">
        <v>0.25779999999999997</v>
      </c>
    </row>
    <row r="363" spans="1:4" x14ac:dyDescent="0.3">
      <c r="A363" t="s">
        <v>326</v>
      </c>
      <c r="B363" t="s">
        <v>22</v>
      </c>
      <c r="C363" t="s">
        <v>8</v>
      </c>
      <c r="D363">
        <v>0.2732</v>
      </c>
    </row>
    <row r="364" spans="1:4" x14ac:dyDescent="0.3">
      <c r="A364" t="s">
        <v>326</v>
      </c>
      <c r="B364" t="s">
        <v>22</v>
      </c>
      <c r="C364" t="s">
        <v>9</v>
      </c>
      <c r="D364">
        <v>0.29549999999999998</v>
      </c>
    </row>
    <row r="365" spans="1:4" x14ac:dyDescent="0.3">
      <c r="A365" t="s">
        <v>326</v>
      </c>
      <c r="B365" t="s">
        <v>22</v>
      </c>
      <c r="C365" t="s">
        <v>10</v>
      </c>
      <c r="D365">
        <v>0.30570000000000003</v>
      </c>
    </row>
    <row r="366" spans="1:4" x14ac:dyDescent="0.3">
      <c r="A366" t="s">
        <v>327</v>
      </c>
      <c r="B366" t="s">
        <v>22</v>
      </c>
      <c r="C366" t="s">
        <v>336</v>
      </c>
      <c r="D366">
        <v>3.6400000000000002E-2</v>
      </c>
    </row>
    <row r="367" spans="1:4" x14ac:dyDescent="0.3">
      <c r="A367" t="s">
        <v>327</v>
      </c>
      <c r="B367" t="s">
        <v>22</v>
      </c>
      <c r="C367" t="s">
        <v>337</v>
      </c>
      <c r="D367">
        <v>3.78E-2</v>
      </c>
    </row>
    <row r="368" spans="1:4" x14ac:dyDescent="0.3">
      <c r="A368" t="s">
        <v>327</v>
      </c>
      <c r="B368" t="s">
        <v>22</v>
      </c>
      <c r="C368" t="s">
        <v>338</v>
      </c>
      <c r="D368">
        <v>4.5400000000000003E-2</v>
      </c>
    </row>
    <row r="369" spans="1:4" x14ac:dyDescent="0.3">
      <c r="A369" t="s">
        <v>327</v>
      </c>
      <c r="B369" t="s">
        <v>22</v>
      </c>
      <c r="C369" t="s">
        <v>339</v>
      </c>
      <c r="D369">
        <v>4.3799999999999999E-2</v>
      </c>
    </row>
    <row r="370" spans="1:4" x14ac:dyDescent="0.3">
      <c r="A370" t="s">
        <v>327</v>
      </c>
      <c r="B370" t="s">
        <v>22</v>
      </c>
      <c r="C370" t="s">
        <v>340</v>
      </c>
      <c r="D370">
        <v>4.2500000000000003E-2</v>
      </c>
    </row>
    <row r="371" spans="1:4" x14ac:dyDescent="0.3">
      <c r="A371" t="s">
        <v>327</v>
      </c>
      <c r="B371" t="s">
        <v>22</v>
      </c>
      <c r="C371" t="s">
        <v>6</v>
      </c>
      <c r="D371">
        <v>3.7999999999999999E-2</v>
      </c>
    </row>
    <row r="372" spans="1:4" x14ac:dyDescent="0.3">
      <c r="A372" t="s">
        <v>327</v>
      </c>
      <c r="B372" t="s">
        <v>22</v>
      </c>
      <c r="C372" t="s">
        <v>7</v>
      </c>
      <c r="D372">
        <v>3.7999999999999999E-2</v>
      </c>
    </row>
    <row r="373" spans="1:4" x14ac:dyDescent="0.3">
      <c r="A373" t="s">
        <v>327</v>
      </c>
      <c r="B373" t="s">
        <v>22</v>
      </c>
      <c r="C373" t="s">
        <v>8</v>
      </c>
      <c r="D373">
        <v>3.7999999999999999E-2</v>
      </c>
    </row>
    <row r="374" spans="1:4" x14ac:dyDescent="0.3">
      <c r="A374" t="s">
        <v>327</v>
      </c>
      <c r="B374" t="s">
        <v>22</v>
      </c>
      <c r="C374" t="s">
        <v>9</v>
      </c>
      <c r="D374">
        <v>3.7999999999999999E-2</v>
      </c>
    </row>
    <row r="375" spans="1:4" x14ac:dyDescent="0.3">
      <c r="A375" t="s">
        <v>327</v>
      </c>
      <c r="B375" t="s">
        <v>22</v>
      </c>
      <c r="C375" t="s">
        <v>10</v>
      </c>
      <c r="D375">
        <v>3.7999999999999999E-2</v>
      </c>
    </row>
    <row r="376" spans="1:4" x14ac:dyDescent="0.3">
      <c r="A376" t="s">
        <v>328</v>
      </c>
      <c r="B376" t="s">
        <v>72</v>
      </c>
      <c r="C376" t="s">
        <v>336</v>
      </c>
      <c r="D376">
        <v>0.16200000000000001</v>
      </c>
    </row>
    <row r="377" spans="1:4" x14ac:dyDescent="0.3">
      <c r="A377" t="s">
        <v>328</v>
      </c>
      <c r="B377" t="s">
        <v>72</v>
      </c>
      <c r="C377" t="s">
        <v>337</v>
      </c>
      <c r="D377">
        <v>0.17530000000000001</v>
      </c>
    </row>
    <row r="378" spans="1:4" x14ac:dyDescent="0.3">
      <c r="A378" t="s">
        <v>328</v>
      </c>
      <c r="B378" t="s">
        <v>72</v>
      </c>
      <c r="C378" t="s">
        <v>338</v>
      </c>
      <c r="D378">
        <v>0.4859</v>
      </c>
    </row>
    <row r="379" spans="1:4" x14ac:dyDescent="0.3">
      <c r="A379" t="s">
        <v>328</v>
      </c>
      <c r="B379" t="s">
        <v>72</v>
      </c>
      <c r="C379" t="s">
        <v>339</v>
      </c>
      <c r="D379">
        <v>0.1346</v>
      </c>
    </row>
    <row r="380" spans="1:4" x14ac:dyDescent="0.3">
      <c r="A380" t="s">
        <v>328</v>
      </c>
      <c r="B380" t="s">
        <v>72</v>
      </c>
      <c r="C380" t="s">
        <v>340</v>
      </c>
      <c r="D380">
        <v>0.13100000000000001</v>
      </c>
    </row>
    <row r="381" spans="1:4" x14ac:dyDescent="0.3">
      <c r="A381" t="s">
        <v>328</v>
      </c>
      <c r="B381" t="s">
        <v>72</v>
      </c>
      <c r="C381" t="s">
        <v>6</v>
      </c>
      <c r="D381">
        <v>0.13200000000000001</v>
      </c>
    </row>
    <row r="382" spans="1:4" x14ac:dyDescent="0.3">
      <c r="A382" t="s">
        <v>328</v>
      </c>
      <c r="B382" t="s">
        <v>72</v>
      </c>
      <c r="C382" t="s">
        <v>7</v>
      </c>
      <c r="D382">
        <v>0.1237</v>
      </c>
    </row>
    <row r="383" spans="1:4" x14ac:dyDescent="0.3">
      <c r="A383" t="s">
        <v>328</v>
      </c>
      <c r="B383" t="s">
        <v>72</v>
      </c>
      <c r="C383" t="s">
        <v>8</v>
      </c>
      <c r="D383">
        <v>0.11</v>
      </c>
    </row>
    <row r="384" spans="1:4" x14ac:dyDescent="0.3">
      <c r="A384" t="s">
        <v>329</v>
      </c>
      <c r="B384" t="s">
        <v>72</v>
      </c>
      <c r="C384" t="s">
        <v>336</v>
      </c>
      <c r="D384">
        <v>0.16209999999999999</v>
      </c>
    </row>
    <row r="385" spans="1:4" x14ac:dyDescent="0.3">
      <c r="A385" t="s">
        <v>329</v>
      </c>
      <c r="B385" t="s">
        <v>72</v>
      </c>
      <c r="C385" t="s">
        <v>337</v>
      </c>
      <c r="D385">
        <v>0.24779999999999999</v>
      </c>
    </row>
    <row r="386" spans="1:4" x14ac:dyDescent="0.3">
      <c r="A386" t="s">
        <v>329</v>
      </c>
      <c r="B386" t="s">
        <v>72</v>
      </c>
      <c r="C386" t="s">
        <v>338</v>
      </c>
      <c r="D386">
        <v>-2.7E-2</v>
      </c>
    </row>
    <row r="387" spans="1:4" x14ac:dyDescent="0.3">
      <c r="A387" t="s">
        <v>329</v>
      </c>
      <c r="B387" t="s">
        <v>72</v>
      </c>
      <c r="C387" t="s">
        <v>339</v>
      </c>
      <c r="D387">
        <v>0.1991</v>
      </c>
    </row>
    <row r="388" spans="1:4" x14ac:dyDescent="0.3">
      <c r="A388" t="s">
        <v>329</v>
      </c>
      <c r="B388" t="s">
        <v>72</v>
      </c>
      <c r="C388" t="s">
        <v>340</v>
      </c>
      <c r="D388">
        <v>0.215</v>
      </c>
    </row>
    <row r="389" spans="1:4" x14ac:dyDescent="0.3">
      <c r="A389" t="s">
        <v>329</v>
      </c>
      <c r="B389" t="s">
        <v>72</v>
      </c>
      <c r="C389" t="s">
        <v>6</v>
      </c>
      <c r="D389">
        <v>0.26840000000000003</v>
      </c>
    </row>
    <row r="390" spans="1:4" x14ac:dyDescent="0.3">
      <c r="A390" t="s">
        <v>329</v>
      </c>
      <c r="B390" t="s">
        <v>72</v>
      </c>
      <c r="C390" t="s">
        <v>7</v>
      </c>
      <c r="D390">
        <v>0.24690000000000001</v>
      </c>
    </row>
    <row r="391" spans="1:4" x14ac:dyDescent="0.3">
      <c r="A391" t="s">
        <v>329</v>
      </c>
      <c r="B391" t="s">
        <v>72</v>
      </c>
      <c r="C391" t="s">
        <v>8</v>
      </c>
      <c r="D391">
        <v>0.25</v>
      </c>
    </row>
    <row r="392" spans="1:4" x14ac:dyDescent="0.3">
      <c r="A392" t="s">
        <v>330</v>
      </c>
      <c r="B392" t="s">
        <v>72</v>
      </c>
      <c r="C392" t="s">
        <v>336</v>
      </c>
      <c r="D392">
        <v>0.1211</v>
      </c>
    </row>
    <row r="393" spans="1:4" x14ac:dyDescent="0.3">
      <c r="A393" t="s">
        <v>330</v>
      </c>
      <c r="B393" t="s">
        <v>72</v>
      </c>
      <c r="C393" t="s">
        <v>337</v>
      </c>
      <c r="D393">
        <v>0.1081</v>
      </c>
    </row>
    <row r="394" spans="1:4" x14ac:dyDescent="0.3">
      <c r="A394" t="s">
        <v>330</v>
      </c>
      <c r="B394" t="s">
        <v>72</v>
      </c>
      <c r="C394" t="s">
        <v>338</v>
      </c>
      <c r="D394">
        <v>-0.25230000000000002</v>
      </c>
    </row>
    <row r="395" spans="1:4" x14ac:dyDescent="0.3">
      <c r="A395" t="s">
        <v>330</v>
      </c>
      <c r="B395" t="s">
        <v>72</v>
      </c>
      <c r="C395" t="s">
        <v>339</v>
      </c>
      <c r="D395">
        <v>0.1343</v>
      </c>
    </row>
    <row r="396" spans="1:4" x14ac:dyDescent="0.3">
      <c r="A396" t="s">
        <v>330</v>
      </c>
      <c r="B396" t="s">
        <v>72</v>
      </c>
      <c r="C396" t="s">
        <v>340</v>
      </c>
      <c r="D396">
        <v>7.4999999999999997E-2</v>
      </c>
    </row>
    <row r="397" spans="1:4" x14ac:dyDescent="0.3">
      <c r="A397" t="s">
        <v>330</v>
      </c>
      <c r="B397" t="s">
        <v>72</v>
      </c>
      <c r="C397" t="s">
        <v>6</v>
      </c>
      <c r="D397">
        <v>2.8E-3</v>
      </c>
    </row>
    <row r="398" spans="1:4" x14ac:dyDescent="0.3">
      <c r="A398" t="s">
        <v>330</v>
      </c>
      <c r="B398" t="s">
        <v>72</v>
      </c>
      <c r="C398" t="s">
        <v>7</v>
      </c>
      <c r="D398">
        <v>1.7100000000000001E-2</v>
      </c>
    </row>
    <row r="399" spans="1:4" x14ac:dyDescent="0.3">
      <c r="A399" t="s">
        <v>330</v>
      </c>
      <c r="B399" t="s">
        <v>72</v>
      </c>
      <c r="C399" t="s">
        <v>8</v>
      </c>
      <c r="D399">
        <v>2.5999999999999999E-2</v>
      </c>
    </row>
    <row r="400" spans="1:4" x14ac:dyDescent="0.3">
      <c r="A400" t="s">
        <v>331</v>
      </c>
      <c r="B400" t="s">
        <v>85</v>
      </c>
      <c r="C400" t="s">
        <v>336</v>
      </c>
      <c r="D400">
        <v>0.45169999999999999</v>
      </c>
    </row>
    <row r="401" spans="1:4" x14ac:dyDescent="0.3">
      <c r="A401" t="s">
        <v>331</v>
      </c>
      <c r="B401" t="s">
        <v>85</v>
      </c>
      <c r="C401" t="s">
        <v>337</v>
      </c>
      <c r="D401">
        <v>0.46860000000000002</v>
      </c>
    </row>
    <row r="402" spans="1:4" x14ac:dyDescent="0.3">
      <c r="A402" t="s">
        <v>331</v>
      </c>
      <c r="B402" t="s">
        <v>85</v>
      </c>
      <c r="C402" t="s">
        <v>338</v>
      </c>
      <c r="D402">
        <v>0.53180000000000005</v>
      </c>
    </row>
    <row r="403" spans="1:4" x14ac:dyDescent="0.3">
      <c r="A403" t="s">
        <v>331</v>
      </c>
      <c r="B403" t="s">
        <v>85</v>
      </c>
      <c r="C403" t="s">
        <v>339</v>
      </c>
      <c r="D403">
        <v>0.5585</v>
      </c>
    </row>
    <row r="404" spans="1:4" x14ac:dyDescent="0.3">
      <c r="A404" t="s">
        <v>331</v>
      </c>
      <c r="B404" t="s">
        <v>85</v>
      </c>
      <c r="C404" t="s">
        <v>340</v>
      </c>
      <c r="D404">
        <v>0.57750000000000001</v>
      </c>
    </row>
    <row r="405" spans="1:4" x14ac:dyDescent="0.3">
      <c r="A405" t="s">
        <v>331</v>
      </c>
      <c r="B405" t="s">
        <v>85</v>
      </c>
      <c r="C405" t="s">
        <v>6</v>
      </c>
      <c r="D405">
        <v>0.57579999999999998</v>
      </c>
    </row>
    <row r="406" spans="1:4" x14ac:dyDescent="0.3">
      <c r="A406" t="s">
        <v>331</v>
      </c>
      <c r="B406" t="s">
        <v>85</v>
      </c>
      <c r="C406" t="s">
        <v>7</v>
      </c>
      <c r="D406">
        <v>0.55549999999999999</v>
      </c>
    </row>
    <row r="407" spans="1:4" x14ac:dyDescent="0.3">
      <c r="A407" t="s">
        <v>331</v>
      </c>
      <c r="B407" t="s">
        <v>85</v>
      </c>
      <c r="C407" t="s">
        <v>8</v>
      </c>
      <c r="D407">
        <v>0.57999999999999996</v>
      </c>
    </row>
    <row r="408" spans="1:4" x14ac:dyDescent="0.3">
      <c r="A408" t="s">
        <v>332</v>
      </c>
      <c r="B408" t="s">
        <v>85</v>
      </c>
      <c r="C408" t="s">
        <v>336</v>
      </c>
      <c r="D408">
        <v>0.43490000000000001</v>
      </c>
    </row>
    <row r="409" spans="1:4" x14ac:dyDescent="0.3">
      <c r="A409" t="s">
        <v>332</v>
      </c>
      <c r="B409" t="s">
        <v>85</v>
      </c>
      <c r="C409" t="s">
        <v>337</v>
      </c>
      <c r="D409">
        <v>0.44290000000000002</v>
      </c>
    </row>
    <row r="410" spans="1:4" x14ac:dyDescent="0.3">
      <c r="A410" t="s">
        <v>332</v>
      </c>
      <c r="B410" t="s">
        <v>85</v>
      </c>
      <c r="C410" t="s">
        <v>338</v>
      </c>
      <c r="D410">
        <v>0.38950000000000001</v>
      </c>
    </row>
    <row r="411" spans="1:4" x14ac:dyDescent="0.3">
      <c r="A411" t="s">
        <v>332</v>
      </c>
      <c r="B411" t="s">
        <v>85</v>
      </c>
      <c r="C411" t="s">
        <v>339</v>
      </c>
      <c r="D411">
        <v>0.43230000000000002</v>
      </c>
    </row>
    <row r="412" spans="1:4" x14ac:dyDescent="0.3">
      <c r="A412" t="s">
        <v>332</v>
      </c>
      <c r="B412" t="s">
        <v>85</v>
      </c>
      <c r="C412" t="s">
        <v>340</v>
      </c>
      <c r="D412">
        <v>0.41959999999999997</v>
      </c>
    </row>
    <row r="413" spans="1:4" x14ac:dyDescent="0.3">
      <c r="A413" t="s">
        <v>332</v>
      </c>
      <c r="B413" t="s">
        <v>85</v>
      </c>
      <c r="C413" t="s">
        <v>6</v>
      </c>
      <c r="D413">
        <v>0.435</v>
      </c>
    </row>
    <row r="414" spans="1:4" x14ac:dyDescent="0.3">
      <c r="A414" t="s">
        <v>332</v>
      </c>
      <c r="B414" t="s">
        <v>85</v>
      </c>
      <c r="C414" t="s">
        <v>7</v>
      </c>
      <c r="D414">
        <v>0.44929999999999998</v>
      </c>
    </row>
    <row r="415" spans="1:4" x14ac:dyDescent="0.3">
      <c r="A415" t="s">
        <v>332</v>
      </c>
      <c r="B415" t="s">
        <v>85</v>
      </c>
      <c r="C415" t="s">
        <v>8</v>
      </c>
      <c r="D415">
        <v>0.44700000000000001</v>
      </c>
    </row>
    <row r="416" spans="1:4" x14ac:dyDescent="0.3">
      <c r="A416" t="s">
        <v>333</v>
      </c>
      <c r="B416" t="s">
        <v>85</v>
      </c>
      <c r="C416" t="s">
        <v>336</v>
      </c>
      <c r="D416">
        <v>0.3594</v>
      </c>
    </row>
    <row r="417" spans="1:4" x14ac:dyDescent="0.3">
      <c r="A417" t="s">
        <v>333</v>
      </c>
      <c r="B417" t="s">
        <v>85</v>
      </c>
      <c r="C417" t="s">
        <v>337</v>
      </c>
      <c r="D417">
        <v>0.34179999999999999</v>
      </c>
    </row>
    <row r="418" spans="1:4" x14ac:dyDescent="0.3">
      <c r="A418" t="s">
        <v>333</v>
      </c>
      <c r="B418" t="s">
        <v>85</v>
      </c>
      <c r="C418" t="s">
        <v>338</v>
      </c>
      <c r="D418">
        <v>0.224</v>
      </c>
    </row>
    <row r="419" spans="1:4" x14ac:dyDescent="0.3">
      <c r="A419" t="s">
        <v>333</v>
      </c>
      <c r="B419" t="s">
        <v>85</v>
      </c>
      <c r="C419" t="s">
        <v>339</v>
      </c>
      <c r="D419">
        <v>0.23519999999999999</v>
      </c>
    </row>
    <row r="420" spans="1:4" x14ac:dyDescent="0.3">
      <c r="A420" t="s">
        <v>333</v>
      </c>
      <c r="B420" t="s">
        <v>85</v>
      </c>
      <c r="C420" t="s">
        <v>340</v>
      </c>
      <c r="D420">
        <v>0.25919999999999999</v>
      </c>
    </row>
    <row r="421" spans="1:4" x14ac:dyDescent="0.3">
      <c r="A421" t="s">
        <v>333</v>
      </c>
      <c r="B421" t="s">
        <v>85</v>
      </c>
      <c r="C421" t="s">
        <v>6</v>
      </c>
      <c r="D421">
        <v>0.26229999999999998</v>
      </c>
    </row>
    <row r="422" spans="1:4" x14ac:dyDescent="0.3">
      <c r="A422" t="s">
        <v>333</v>
      </c>
      <c r="B422" t="s">
        <v>85</v>
      </c>
      <c r="C422" t="s">
        <v>7</v>
      </c>
      <c r="D422">
        <v>0.26300000000000001</v>
      </c>
    </row>
    <row r="423" spans="1:4" x14ac:dyDescent="0.3">
      <c r="A423" t="s">
        <v>333</v>
      </c>
      <c r="B423" t="s">
        <v>85</v>
      </c>
      <c r="C423" t="s">
        <v>8</v>
      </c>
      <c r="D423">
        <v>0.26500000000000001</v>
      </c>
    </row>
    <row r="424" spans="1:4" x14ac:dyDescent="0.3">
      <c r="A424" t="s">
        <v>334</v>
      </c>
      <c r="B424" t="s">
        <v>315</v>
      </c>
      <c r="C424" t="s">
        <v>336</v>
      </c>
      <c r="D424">
        <v>0.14749999999999999</v>
      </c>
    </row>
    <row r="425" spans="1:4" x14ac:dyDescent="0.3">
      <c r="A425" t="s">
        <v>334</v>
      </c>
      <c r="B425" t="s">
        <v>315</v>
      </c>
      <c r="C425" t="s">
        <v>337</v>
      </c>
      <c r="D425">
        <v>0.19370000000000001</v>
      </c>
    </row>
    <row r="426" spans="1:4" x14ac:dyDescent="0.3">
      <c r="A426" t="s">
        <v>334</v>
      </c>
      <c r="B426" t="s">
        <v>315</v>
      </c>
      <c r="C426" t="s">
        <v>338</v>
      </c>
      <c r="D426">
        <v>6.5100000000000005E-2</v>
      </c>
    </row>
    <row r="427" spans="1:4" x14ac:dyDescent="0.3">
      <c r="A427" t="s">
        <v>334</v>
      </c>
      <c r="B427" t="s">
        <v>315</v>
      </c>
      <c r="C427" t="s">
        <v>339</v>
      </c>
      <c r="D427">
        <v>0.16830000000000001</v>
      </c>
    </row>
    <row r="428" spans="1:4" x14ac:dyDescent="0.3">
      <c r="A428" t="s">
        <v>334</v>
      </c>
      <c r="B428" t="s">
        <v>315</v>
      </c>
      <c r="C428" t="s">
        <v>340</v>
      </c>
      <c r="D428">
        <v>0.15909999999999999</v>
      </c>
    </row>
    <row r="429" spans="1:4" x14ac:dyDescent="0.3">
      <c r="A429" t="s">
        <v>335</v>
      </c>
      <c r="B429" t="s">
        <v>315</v>
      </c>
      <c r="C429" t="s">
        <v>336</v>
      </c>
      <c r="D429">
        <v>0.2044</v>
      </c>
    </row>
    <row r="430" spans="1:4" x14ac:dyDescent="0.3">
      <c r="A430" t="s">
        <v>335</v>
      </c>
      <c r="B430" t="s">
        <v>315</v>
      </c>
      <c r="C430" t="s">
        <v>337</v>
      </c>
      <c r="D430">
        <v>0.16539999999999999</v>
      </c>
    </row>
    <row r="431" spans="1:4" x14ac:dyDescent="0.3">
      <c r="A431" t="s">
        <v>335</v>
      </c>
      <c r="B431" t="s">
        <v>315</v>
      </c>
      <c r="C431" t="s">
        <v>338</v>
      </c>
      <c r="D431">
        <v>7.2599999999999998E-2</v>
      </c>
    </row>
    <row r="432" spans="1:4" x14ac:dyDescent="0.3">
      <c r="A432" t="s">
        <v>335</v>
      </c>
      <c r="B432" t="s">
        <v>315</v>
      </c>
      <c r="C432" t="s">
        <v>339</v>
      </c>
      <c r="D432">
        <v>0.1459</v>
      </c>
    </row>
    <row r="433" spans="1:4" x14ac:dyDescent="0.3">
      <c r="A433" t="s">
        <v>335</v>
      </c>
      <c r="B433" t="s">
        <v>315</v>
      </c>
      <c r="C433" t="s">
        <v>340</v>
      </c>
      <c r="D433">
        <v>0.13819999999999999</v>
      </c>
    </row>
  </sheetData>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9D6DB-7E6B-43ED-BBDC-1A5D2D68884D}">
  <sheetPr codeName="Sheet12"/>
  <dimension ref="A1:L52"/>
  <sheetViews>
    <sheetView zoomScale="70" zoomScaleNormal="70" workbookViewId="0">
      <selection activeCell="E17" sqref="E17"/>
    </sheetView>
  </sheetViews>
  <sheetFormatPr defaultRowHeight="15.6" x14ac:dyDescent="0.3"/>
  <cols>
    <col min="1" max="1" width="50" customWidth="1"/>
    <col min="2" max="12" width="16.69921875" customWidth="1"/>
  </cols>
  <sheetData>
    <row r="1" spans="1:12" x14ac:dyDescent="0.3">
      <c r="A1" s="46" t="s">
        <v>306</v>
      </c>
      <c r="B1" s="46" t="s">
        <v>309</v>
      </c>
      <c r="C1" s="46" t="s">
        <v>336</v>
      </c>
      <c r="D1" s="46" t="s">
        <v>337</v>
      </c>
      <c r="E1" s="46" t="s">
        <v>338</v>
      </c>
      <c r="F1" s="46" t="s">
        <v>339</v>
      </c>
      <c r="G1" s="49" t="s">
        <v>340</v>
      </c>
      <c r="H1" s="49" t="s">
        <v>6</v>
      </c>
      <c r="I1" s="49" t="s">
        <v>7</v>
      </c>
      <c r="J1" s="49" t="s">
        <v>8</v>
      </c>
      <c r="K1" s="49" t="s">
        <v>9</v>
      </c>
      <c r="L1" s="49" t="s">
        <v>10</v>
      </c>
    </row>
    <row r="2" spans="1:12" x14ac:dyDescent="0.3">
      <c r="A2" t="s">
        <v>27</v>
      </c>
      <c r="B2" t="s">
        <v>26</v>
      </c>
      <c r="C2" s="48">
        <v>270.89999999999998</v>
      </c>
      <c r="D2" s="48">
        <v>256.83</v>
      </c>
      <c r="E2" s="48">
        <v>350.54</v>
      </c>
      <c r="F2" s="48">
        <v>446.95</v>
      </c>
      <c r="G2" s="48">
        <v>497.41</v>
      </c>
      <c r="H2" s="48">
        <v>661.41</v>
      </c>
      <c r="I2" s="48">
        <v>718.54</v>
      </c>
      <c r="J2" s="48"/>
      <c r="K2" s="48"/>
      <c r="L2" s="48"/>
    </row>
    <row r="3" spans="1:12" x14ac:dyDescent="0.3">
      <c r="A3" t="s">
        <v>49</v>
      </c>
      <c r="B3" t="s">
        <v>26</v>
      </c>
      <c r="C3" s="48">
        <v>7608</v>
      </c>
      <c r="D3" s="48">
        <v>7540</v>
      </c>
      <c r="E3" s="48">
        <v>7472</v>
      </c>
      <c r="F3" s="48">
        <v>7469</v>
      </c>
      <c r="G3" s="48">
        <v>7466</v>
      </c>
      <c r="H3" s="48">
        <v>7450</v>
      </c>
      <c r="I3" s="48">
        <v>7450</v>
      </c>
      <c r="J3" s="48"/>
      <c r="K3" s="48"/>
      <c r="L3" s="48"/>
    </row>
    <row r="4" spans="1:12" x14ac:dyDescent="0.3">
      <c r="A4" t="s">
        <v>28</v>
      </c>
      <c r="B4" t="s">
        <v>26</v>
      </c>
      <c r="C4" s="48">
        <v>2061007.2</v>
      </c>
      <c r="D4" s="48">
        <v>1936498.2</v>
      </c>
      <c r="E4" s="48">
        <v>2619234.88</v>
      </c>
      <c r="F4" s="48">
        <v>3338269.55</v>
      </c>
      <c r="G4" s="48">
        <v>3713663.06</v>
      </c>
      <c r="H4" s="48">
        <v>4927486.18</v>
      </c>
      <c r="I4" s="48">
        <v>5353102.3899999997</v>
      </c>
      <c r="J4" s="48"/>
      <c r="K4" s="48"/>
      <c r="L4" s="48"/>
    </row>
    <row r="5" spans="1:12" x14ac:dyDescent="0.3">
      <c r="A5" t="s">
        <v>29</v>
      </c>
      <c r="B5" t="s">
        <v>26</v>
      </c>
      <c r="C5" s="48">
        <v>130256</v>
      </c>
      <c r="D5" s="48">
        <v>104749</v>
      </c>
      <c r="E5" s="48">
        <v>111256</v>
      </c>
      <c r="F5" s="48">
        <v>75543</v>
      </c>
      <c r="G5" s="48">
        <v>94565</v>
      </c>
      <c r="H5" s="48">
        <v>102012</v>
      </c>
      <c r="I5" s="48">
        <v>102012</v>
      </c>
      <c r="J5" s="48"/>
      <c r="K5" s="48"/>
      <c r="L5" s="48"/>
    </row>
    <row r="6" spans="1:12" x14ac:dyDescent="0.3">
      <c r="A6" t="s">
        <v>30</v>
      </c>
      <c r="B6" t="s">
        <v>26</v>
      </c>
      <c r="C6" s="48">
        <v>71463</v>
      </c>
      <c r="D6" s="48">
        <v>72363</v>
      </c>
      <c r="E6" s="48">
        <v>70588</v>
      </c>
      <c r="F6" s="48">
        <v>89674</v>
      </c>
      <c r="G6" s="48">
        <v>100589</v>
      </c>
      <c r="H6" s="48">
        <v>104723</v>
      </c>
      <c r="I6" s="48">
        <v>104723</v>
      </c>
      <c r="J6" s="48"/>
      <c r="K6" s="48"/>
      <c r="L6" s="48"/>
    </row>
    <row r="7" spans="1:12" x14ac:dyDescent="0.3">
      <c r="A7" t="s">
        <v>31</v>
      </c>
      <c r="B7" t="s">
        <v>26</v>
      </c>
      <c r="C7" s="48">
        <v>2002214.2</v>
      </c>
      <c r="D7" s="48">
        <v>1904112.2</v>
      </c>
      <c r="E7" s="48">
        <v>2578566.88</v>
      </c>
      <c r="F7" s="48">
        <v>3352400.55</v>
      </c>
      <c r="G7" s="48">
        <v>3719687.06</v>
      </c>
      <c r="H7" s="48">
        <v>4930197.18</v>
      </c>
      <c r="I7" s="48">
        <v>5355813.3899999997</v>
      </c>
      <c r="J7" s="48"/>
      <c r="K7" s="48"/>
      <c r="L7" s="48"/>
    </row>
    <row r="8" spans="1:12" x14ac:dyDescent="0.3">
      <c r="A8" t="s">
        <v>11</v>
      </c>
      <c r="B8" t="s">
        <v>5</v>
      </c>
      <c r="C8" s="48">
        <v>168088</v>
      </c>
      <c r="D8" s="48">
        <v>198270</v>
      </c>
      <c r="E8" s="48">
        <v>211915</v>
      </c>
      <c r="F8" s="48">
        <v>245122</v>
      </c>
      <c r="G8" s="48">
        <v>281724</v>
      </c>
      <c r="H8" s="48">
        <v>326350.34000000003</v>
      </c>
      <c r="I8" s="48">
        <v>377478.46</v>
      </c>
      <c r="J8" s="48">
        <v>437847.37</v>
      </c>
      <c r="K8" s="48">
        <v>505713.71</v>
      </c>
      <c r="L8" s="48">
        <v>579042.19999999995</v>
      </c>
    </row>
    <row r="9" spans="1:12" x14ac:dyDescent="0.3">
      <c r="A9" t="s">
        <v>64</v>
      </c>
      <c r="B9" t="s">
        <v>5</v>
      </c>
      <c r="C9" s="48">
        <v>52232</v>
      </c>
      <c r="D9" s="48">
        <v>62650</v>
      </c>
      <c r="E9" s="48">
        <v>65863</v>
      </c>
      <c r="F9" s="48">
        <v>74114</v>
      </c>
      <c r="G9" s="48">
        <v>87831</v>
      </c>
      <c r="H9" s="48">
        <v>104432.11</v>
      </c>
      <c r="I9" s="48">
        <v>120793.11</v>
      </c>
      <c r="J9" s="48">
        <v>140111.16</v>
      </c>
      <c r="K9" s="48">
        <v>161828.39000000001</v>
      </c>
      <c r="L9" s="48">
        <v>185293.5</v>
      </c>
    </row>
    <row r="10" spans="1:12" x14ac:dyDescent="0.3">
      <c r="A10" t="s">
        <v>65</v>
      </c>
      <c r="B10" t="s">
        <v>5</v>
      </c>
      <c r="C10" s="48">
        <v>115856</v>
      </c>
      <c r="D10" s="48">
        <v>135620</v>
      </c>
      <c r="E10" s="48">
        <v>146052</v>
      </c>
      <c r="F10" s="48">
        <v>171008</v>
      </c>
      <c r="G10" s="48">
        <v>193893</v>
      </c>
      <c r="H10" s="48">
        <v>221918.23</v>
      </c>
      <c r="I10" s="48">
        <v>256685.35</v>
      </c>
      <c r="J10" s="48">
        <v>297736.21000000002</v>
      </c>
      <c r="K10" s="48">
        <v>343885.33</v>
      </c>
      <c r="L10" s="48">
        <v>393748.7</v>
      </c>
    </row>
    <row r="11" spans="1:12" x14ac:dyDescent="0.3">
      <c r="A11" t="s">
        <v>66</v>
      </c>
      <c r="B11" t="s">
        <v>5</v>
      </c>
      <c r="C11" s="48">
        <v>25224</v>
      </c>
      <c r="D11" s="48">
        <v>27725</v>
      </c>
      <c r="E11" s="48">
        <v>30334</v>
      </c>
      <c r="F11" s="48">
        <v>32065</v>
      </c>
      <c r="G11" s="48">
        <v>32877</v>
      </c>
      <c r="H11" s="48">
        <v>39162.04</v>
      </c>
      <c r="I11" s="48">
        <v>41522.629999999997</v>
      </c>
      <c r="J11" s="48">
        <v>45973.97</v>
      </c>
      <c r="K11" s="48">
        <v>53099.94</v>
      </c>
      <c r="L11" s="48">
        <v>60799.43</v>
      </c>
    </row>
    <row r="12" spans="1:12" x14ac:dyDescent="0.3">
      <c r="A12" t="s">
        <v>67</v>
      </c>
      <c r="B12" t="s">
        <v>5</v>
      </c>
      <c r="C12" s="48">
        <v>20716</v>
      </c>
      <c r="D12" s="48">
        <v>24512</v>
      </c>
      <c r="E12" s="48">
        <v>27195</v>
      </c>
      <c r="F12" s="48">
        <v>29510</v>
      </c>
      <c r="G12" s="48">
        <v>32488</v>
      </c>
      <c r="H12" s="48">
        <v>35572.19</v>
      </c>
      <c r="I12" s="48">
        <v>39823.980000000003</v>
      </c>
      <c r="J12" s="48">
        <v>45536.13</v>
      </c>
      <c r="K12" s="48">
        <v>50571.37</v>
      </c>
      <c r="L12" s="48">
        <v>57904.22</v>
      </c>
    </row>
    <row r="13" spans="1:12" x14ac:dyDescent="0.3">
      <c r="A13" t="s">
        <v>13</v>
      </c>
      <c r="B13" t="s">
        <v>5</v>
      </c>
      <c r="C13" s="48">
        <v>69916</v>
      </c>
      <c r="D13" s="48">
        <v>83383</v>
      </c>
      <c r="E13" s="48">
        <v>88523</v>
      </c>
      <c r="F13" s="48">
        <v>109433</v>
      </c>
      <c r="G13" s="48">
        <v>128528</v>
      </c>
      <c r="H13" s="48">
        <v>147184</v>
      </c>
      <c r="I13" s="48">
        <v>175338.75</v>
      </c>
      <c r="J13" s="48">
        <v>206226.11</v>
      </c>
      <c r="K13" s="48">
        <v>240214.01</v>
      </c>
      <c r="L13" s="48">
        <v>275045.05</v>
      </c>
    </row>
    <row r="14" spans="1:12" x14ac:dyDescent="0.3">
      <c r="A14" t="s">
        <v>14</v>
      </c>
      <c r="B14" t="s">
        <v>5</v>
      </c>
      <c r="C14" s="48">
        <v>9831</v>
      </c>
      <c r="D14" s="48">
        <v>10978</v>
      </c>
      <c r="E14" s="48">
        <v>16950</v>
      </c>
      <c r="F14" s="48">
        <v>19651</v>
      </c>
      <c r="G14" s="48">
        <v>21795</v>
      </c>
      <c r="H14" s="48">
        <v>27229.040000000001</v>
      </c>
      <c r="I14" s="48">
        <v>32437.67</v>
      </c>
      <c r="J14" s="48">
        <v>39182.959999999999</v>
      </c>
      <c r="K14" s="48">
        <v>48042.8</v>
      </c>
      <c r="L14" s="48">
        <v>57759.46</v>
      </c>
    </row>
    <row r="15" spans="1:12" x14ac:dyDescent="0.3">
      <c r="A15" t="s">
        <v>18</v>
      </c>
      <c r="B15" t="s">
        <v>310</v>
      </c>
      <c r="C15" s="48">
        <v>11686</v>
      </c>
      <c r="D15" s="48">
        <v>14460</v>
      </c>
      <c r="E15" s="48">
        <v>13861</v>
      </c>
      <c r="F15" s="48">
        <v>22287</v>
      </c>
      <c r="G15" s="48">
        <v>34153</v>
      </c>
      <c r="H15" s="48">
        <v>47295.77</v>
      </c>
      <c r="I15" s="48">
        <v>54921.45</v>
      </c>
      <c r="J15" s="48">
        <v>59575.23</v>
      </c>
      <c r="K15" s="48">
        <v>57787.97</v>
      </c>
      <c r="L15" s="48">
        <v>56632.21</v>
      </c>
    </row>
    <row r="16" spans="1:12" x14ac:dyDescent="0.3">
      <c r="A16" t="s">
        <v>19</v>
      </c>
      <c r="B16" t="s">
        <v>310</v>
      </c>
      <c r="C16" s="48">
        <v>20622</v>
      </c>
      <c r="D16" s="48">
        <v>23886</v>
      </c>
      <c r="E16" s="48">
        <v>28107</v>
      </c>
      <c r="F16" s="48">
        <v>44477</v>
      </c>
      <c r="G16" s="48">
        <v>64551</v>
      </c>
      <c r="H16" s="48">
        <v>98328</v>
      </c>
      <c r="I16" s="48">
        <v>116359</v>
      </c>
      <c r="J16" s="48">
        <v>124504.13</v>
      </c>
      <c r="K16" s="48">
        <v>120769.01</v>
      </c>
      <c r="L16" s="48">
        <v>118353.63</v>
      </c>
    </row>
    <row r="17" spans="1:12" x14ac:dyDescent="0.3">
      <c r="A17" t="s">
        <v>20</v>
      </c>
      <c r="B17" t="s">
        <v>310</v>
      </c>
      <c r="C17" s="48">
        <v>-940</v>
      </c>
      <c r="D17" s="48">
        <v>450</v>
      </c>
      <c r="E17" s="48">
        <v>-2390</v>
      </c>
      <c r="F17" s="48">
        <v>1820</v>
      </c>
      <c r="G17" s="48">
        <v>-5350</v>
      </c>
      <c r="H17" s="48">
        <v>-1958.1</v>
      </c>
      <c r="I17" s="48">
        <v>-1509.91</v>
      </c>
      <c r="J17" s="48">
        <v>-875.69</v>
      </c>
      <c r="K17" s="48">
        <v>-1011.43</v>
      </c>
      <c r="L17" s="48">
        <v>579.04</v>
      </c>
    </row>
    <row r="18" spans="1:12" x14ac:dyDescent="0.3">
      <c r="A18" t="s">
        <v>23</v>
      </c>
      <c r="B18" t="s">
        <v>22</v>
      </c>
      <c r="C18" s="48">
        <v>60085</v>
      </c>
      <c r="D18" s="48">
        <v>72405</v>
      </c>
      <c r="E18" s="48">
        <v>71573</v>
      </c>
      <c r="F18" s="48">
        <v>89782</v>
      </c>
      <c r="G18" s="48">
        <v>106733</v>
      </c>
      <c r="H18" s="48">
        <v>119954.96</v>
      </c>
      <c r="I18" s="48">
        <v>142901.07999999999</v>
      </c>
      <c r="J18" s="48">
        <v>167043.15</v>
      </c>
      <c r="K18" s="48">
        <v>192171.21</v>
      </c>
      <c r="L18" s="48">
        <v>217285.59</v>
      </c>
    </row>
    <row r="19" spans="1:12" x14ac:dyDescent="0.3">
      <c r="A19" t="s">
        <v>109</v>
      </c>
      <c r="B19" t="s">
        <v>22</v>
      </c>
      <c r="C19" s="48">
        <v>6118</v>
      </c>
      <c r="D19" s="48">
        <v>7502</v>
      </c>
      <c r="E19" s="48">
        <v>9611</v>
      </c>
      <c r="F19" s="48">
        <v>10734</v>
      </c>
      <c r="G19" s="48">
        <v>11974</v>
      </c>
      <c r="H19" s="48">
        <v>12401.31</v>
      </c>
      <c r="I19" s="48">
        <v>14344.18</v>
      </c>
      <c r="J19" s="48">
        <v>16638.2</v>
      </c>
      <c r="K19" s="48">
        <v>19217.12</v>
      </c>
      <c r="L19" s="48">
        <v>22003.599999999999</v>
      </c>
    </row>
    <row r="20" spans="1:12" x14ac:dyDescent="0.3">
      <c r="A20" t="s">
        <v>24</v>
      </c>
      <c r="B20" t="s">
        <v>22</v>
      </c>
      <c r="C20" s="48">
        <v>56120</v>
      </c>
      <c r="D20" s="48">
        <v>65150</v>
      </c>
      <c r="E20" s="48">
        <v>59480</v>
      </c>
      <c r="F20" s="48">
        <v>74070</v>
      </c>
      <c r="G20" s="48">
        <v>71610</v>
      </c>
      <c r="H20" s="48">
        <v>83282.149999999994</v>
      </c>
      <c r="I20" s="48">
        <v>97317.62</v>
      </c>
      <c r="J20" s="48">
        <v>119628.14</v>
      </c>
      <c r="K20" s="48">
        <v>149418.72</v>
      </c>
      <c r="L20" s="48">
        <v>176988.73</v>
      </c>
    </row>
    <row r="21" spans="1:12" x14ac:dyDescent="0.3">
      <c r="A21" t="s">
        <v>71</v>
      </c>
      <c r="B21" t="s">
        <v>72</v>
      </c>
      <c r="C21" s="48">
        <v>53915</v>
      </c>
      <c r="D21" s="48">
        <v>63364</v>
      </c>
      <c r="E21" s="48">
        <v>94151</v>
      </c>
      <c r="F21" s="48">
        <v>106820</v>
      </c>
      <c r="G21" s="48">
        <v>120810</v>
      </c>
      <c r="H21" s="48">
        <v>136756.92000000001</v>
      </c>
      <c r="I21" s="48">
        <v>153673.59</v>
      </c>
      <c r="J21" s="48">
        <v>170577.69</v>
      </c>
      <c r="K21" s="48"/>
      <c r="L21" s="48"/>
    </row>
    <row r="22" spans="1:12" x14ac:dyDescent="0.3">
      <c r="A22" t="s">
        <v>70</v>
      </c>
      <c r="B22" t="s">
        <v>72</v>
      </c>
      <c r="C22" s="48">
        <v>60080</v>
      </c>
      <c r="D22" s="48">
        <v>74965</v>
      </c>
      <c r="E22" s="48">
        <v>72944</v>
      </c>
      <c r="F22" s="48">
        <v>87464</v>
      </c>
      <c r="G22" s="48">
        <v>106265</v>
      </c>
      <c r="H22" s="48">
        <v>134789</v>
      </c>
      <c r="I22" s="48">
        <v>168062</v>
      </c>
      <c r="J22" s="48">
        <v>210077.5</v>
      </c>
      <c r="K22" s="48"/>
      <c r="L22" s="48"/>
    </row>
    <row r="23" spans="1:12" x14ac:dyDescent="0.3">
      <c r="A23" t="s">
        <v>81</v>
      </c>
      <c r="B23" t="s">
        <v>72</v>
      </c>
      <c r="C23" s="48">
        <v>54093</v>
      </c>
      <c r="D23" s="48">
        <v>59941</v>
      </c>
      <c r="E23" s="48">
        <v>44820</v>
      </c>
      <c r="F23" s="48">
        <v>50838</v>
      </c>
      <c r="G23" s="48">
        <v>54649</v>
      </c>
      <c r="H23" s="48">
        <v>54804.42</v>
      </c>
      <c r="I23" s="48">
        <v>55742.87</v>
      </c>
      <c r="J23" s="48">
        <v>57192.18</v>
      </c>
      <c r="K23" s="48"/>
      <c r="L23" s="48"/>
    </row>
    <row r="24" spans="1:12" x14ac:dyDescent="0.3">
      <c r="A24" t="s">
        <v>311</v>
      </c>
      <c r="B24" t="s">
        <v>85</v>
      </c>
      <c r="C24" s="48">
        <v>24351</v>
      </c>
      <c r="D24" s="48">
        <v>29690</v>
      </c>
      <c r="E24" s="48">
        <v>50074</v>
      </c>
      <c r="F24" s="48">
        <v>59661</v>
      </c>
      <c r="G24" s="48">
        <v>69773</v>
      </c>
      <c r="H24" s="48">
        <v>78744.63</v>
      </c>
      <c r="I24" s="48">
        <v>85365.68</v>
      </c>
      <c r="J24" s="48">
        <v>98935.06</v>
      </c>
      <c r="K24" s="48"/>
      <c r="L24" s="48"/>
    </row>
    <row r="25" spans="1:12" x14ac:dyDescent="0.3">
      <c r="A25" t="s">
        <v>312</v>
      </c>
      <c r="B25" t="s">
        <v>85</v>
      </c>
      <c r="C25" s="48">
        <v>26126</v>
      </c>
      <c r="D25" s="48">
        <v>33203</v>
      </c>
      <c r="E25" s="48">
        <v>28411</v>
      </c>
      <c r="F25" s="48">
        <v>37813</v>
      </c>
      <c r="G25" s="48">
        <v>44589</v>
      </c>
      <c r="H25" s="48">
        <v>58633.22</v>
      </c>
      <c r="I25" s="48">
        <v>75501.850000000006</v>
      </c>
      <c r="J25" s="48">
        <v>93904.639999999999</v>
      </c>
      <c r="K25" s="48"/>
      <c r="L25" s="48"/>
    </row>
    <row r="26" spans="1:12" x14ac:dyDescent="0.3">
      <c r="A26" t="s">
        <v>313</v>
      </c>
      <c r="B26" t="s">
        <v>85</v>
      </c>
      <c r="C26" s="48">
        <v>19439</v>
      </c>
      <c r="D26" s="48">
        <v>20490</v>
      </c>
      <c r="E26" s="48">
        <v>10038</v>
      </c>
      <c r="F26" s="48">
        <v>11959</v>
      </c>
      <c r="G26" s="48">
        <v>14166</v>
      </c>
      <c r="H26" s="48">
        <v>14375.2</v>
      </c>
      <c r="I26" s="48">
        <v>14660.37</v>
      </c>
      <c r="J26" s="48">
        <v>15155.93</v>
      </c>
      <c r="K26" s="48"/>
      <c r="L26" s="48"/>
    </row>
    <row r="27" spans="1:12" x14ac:dyDescent="0.3">
      <c r="A27" t="s">
        <v>98</v>
      </c>
      <c r="B27" t="s">
        <v>85</v>
      </c>
      <c r="C27" s="48">
        <v>69916</v>
      </c>
      <c r="D27" s="48">
        <v>83383</v>
      </c>
      <c r="E27" s="48">
        <v>88523</v>
      </c>
      <c r="F27" s="48">
        <v>109433</v>
      </c>
      <c r="G27" s="48">
        <v>128528</v>
      </c>
      <c r="H27" s="48">
        <v>151753.04999999999</v>
      </c>
      <c r="I27" s="48">
        <v>175527.91</v>
      </c>
      <c r="J27" s="48">
        <v>207995.63</v>
      </c>
      <c r="K27" s="48"/>
      <c r="L27" s="48"/>
    </row>
    <row r="28" spans="1:12" x14ac:dyDescent="0.3">
      <c r="A28" t="s">
        <v>314</v>
      </c>
      <c r="B28" t="s">
        <v>315</v>
      </c>
      <c r="C28" s="48">
        <v>83953</v>
      </c>
      <c r="D28" s="48">
        <v>100218</v>
      </c>
      <c r="E28" s="48">
        <v>106744</v>
      </c>
      <c r="F28" s="48">
        <v>124704</v>
      </c>
      <c r="G28" s="48">
        <v>144546</v>
      </c>
      <c r="H28" s="48"/>
      <c r="I28" s="48"/>
      <c r="J28" s="48"/>
      <c r="K28" s="48"/>
      <c r="L28" s="48"/>
    </row>
    <row r="29" spans="1:12" x14ac:dyDescent="0.3">
      <c r="A29" t="s">
        <v>316</v>
      </c>
      <c r="B29" t="s">
        <v>315</v>
      </c>
      <c r="C29" s="48">
        <v>84135</v>
      </c>
      <c r="D29" s="48">
        <v>98052</v>
      </c>
      <c r="E29" s="48">
        <v>105171</v>
      </c>
      <c r="F29" s="48">
        <v>120518</v>
      </c>
      <c r="G29" s="48">
        <v>137178</v>
      </c>
      <c r="H29" s="48"/>
      <c r="I29" s="48"/>
      <c r="J29" s="48"/>
      <c r="K29" s="48"/>
      <c r="L29" s="48"/>
    </row>
    <row r="30" spans="1:12" x14ac:dyDescent="0.3">
      <c r="A30" t="s">
        <v>92</v>
      </c>
      <c r="B30" t="s">
        <v>69</v>
      </c>
      <c r="C30" s="48">
        <v>173049</v>
      </c>
      <c r="D30" s="48">
        <v>202537</v>
      </c>
      <c r="E30" s="48">
        <v>217320</v>
      </c>
      <c r="F30" s="48">
        <v>268695</v>
      </c>
      <c r="G30" s="48">
        <v>288805</v>
      </c>
      <c r="H30" s="48">
        <v>333705</v>
      </c>
      <c r="I30" s="48"/>
      <c r="J30" s="48"/>
      <c r="K30" s="48"/>
      <c r="L30" s="48"/>
    </row>
    <row r="31" spans="1:12" x14ac:dyDescent="0.3">
      <c r="A31" t="s">
        <v>96</v>
      </c>
      <c r="B31" t="s">
        <v>69</v>
      </c>
      <c r="C31" s="48">
        <v>141000</v>
      </c>
      <c r="D31" s="48">
        <v>189000</v>
      </c>
      <c r="E31" s="48">
        <v>224000</v>
      </c>
      <c r="F31" s="48">
        <v>269000</v>
      </c>
      <c r="G31" s="48">
        <v>368000</v>
      </c>
      <c r="H31" s="48">
        <v>392000</v>
      </c>
      <c r="I31" s="48"/>
      <c r="J31" s="48"/>
      <c r="K31" s="48"/>
      <c r="L31" s="48"/>
    </row>
    <row r="32" spans="1:12" x14ac:dyDescent="0.3">
      <c r="A32" t="s">
        <v>93</v>
      </c>
      <c r="B32" t="s">
        <v>69</v>
      </c>
      <c r="C32" s="47">
        <v>0.498</v>
      </c>
      <c r="D32" s="47">
        <v>0.45</v>
      </c>
      <c r="E32" s="47">
        <v>0.28999999999999998</v>
      </c>
      <c r="F32" s="47">
        <v>0.3</v>
      </c>
      <c r="G32" s="47">
        <v>0.34200000000000003</v>
      </c>
      <c r="H32" s="47">
        <v>0.38</v>
      </c>
      <c r="I32" s="47">
        <v>0.34300000000000003</v>
      </c>
      <c r="J32" s="47">
        <v>0.28100000000000003</v>
      </c>
      <c r="K32" s="48"/>
      <c r="L32" s="48"/>
    </row>
    <row r="33" spans="1:12" x14ac:dyDescent="0.3">
      <c r="A33" t="s">
        <v>95</v>
      </c>
      <c r="B33" t="s">
        <v>69</v>
      </c>
      <c r="C33" s="48"/>
      <c r="D33" s="48"/>
      <c r="E33" s="48">
        <v>31900</v>
      </c>
      <c r="F33" s="48">
        <v>55700</v>
      </c>
      <c r="G33" s="48">
        <v>88200</v>
      </c>
      <c r="H33" s="48">
        <v>142884</v>
      </c>
      <c r="I33" s="48">
        <v>159458.54</v>
      </c>
      <c r="J33" s="48">
        <v>166634.18</v>
      </c>
      <c r="K33" s="48"/>
      <c r="L33" s="48"/>
    </row>
    <row r="34" spans="1:12" x14ac:dyDescent="0.3">
      <c r="A34" t="s">
        <v>317</v>
      </c>
      <c r="B34" t="s">
        <v>5</v>
      </c>
      <c r="C34" s="47">
        <v>0.17530000000000001</v>
      </c>
      <c r="D34" s="47">
        <v>0.17960000000000001</v>
      </c>
      <c r="E34" s="47">
        <v>6.88E-2</v>
      </c>
      <c r="F34" s="47">
        <v>0.15670000000000001</v>
      </c>
      <c r="G34" s="47">
        <v>0.14929999999999999</v>
      </c>
      <c r="H34" s="47">
        <v>0.15840000000000001</v>
      </c>
      <c r="I34" s="47">
        <v>0.15670000000000001</v>
      </c>
      <c r="J34" s="47">
        <v>0.15989999999999999</v>
      </c>
      <c r="K34" s="47">
        <v>0.155</v>
      </c>
      <c r="L34" s="47">
        <v>0.14499999999999999</v>
      </c>
    </row>
    <row r="35" spans="1:12" x14ac:dyDescent="0.3">
      <c r="A35" t="s">
        <v>318</v>
      </c>
      <c r="B35" t="s">
        <v>5</v>
      </c>
      <c r="C35" s="47">
        <v>0.31069999999999998</v>
      </c>
      <c r="D35" s="47">
        <v>0.316</v>
      </c>
      <c r="E35" s="47">
        <v>0.31080000000000002</v>
      </c>
      <c r="F35" s="47">
        <v>0.3024</v>
      </c>
      <c r="G35" s="47">
        <v>0.31180000000000002</v>
      </c>
      <c r="H35" s="47">
        <v>0.32</v>
      </c>
      <c r="I35" s="47">
        <v>0.32</v>
      </c>
      <c r="J35" s="47">
        <v>0.32</v>
      </c>
      <c r="K35" s="47">
        <v>0.32</v>
      </c>
      <c r="L35" s="47">
        <v>0.32</v>
      </c>
    </row>
    <row r="36" spans="1:12" x14ac:dyDescent="0.3">
      <c r="A36" t="s">
        <v>319</v>
      </c>
      <c r="B36" t="s">
        <v>5</v>
      </c>
      <c r="C36" s="47">
        <v>0.68930000000000002</v>
      </c>
      <c r="D36" s="47">
        <v>0.68400000000000005</v>
      </c>
      <c r="E36" s="47">
        <v>0.68920000000000003</v>
      </c>
      <c r="F36" s="47">
        <v>0.6976</v>
      </c>
      <c r="G36" s="47">
        <v>0.68820000000000003</v>
      </c>
      <c r="H36" s="47">
        <v>0.68</v>
      </c>
      <c r="I36" s="47">
        <v>0.68</v>
      </c>
      <c r="J36" s="47">
        <v>0.68</v>
      </c>
      <c r="K36" s="47">
        <v>0.68</v>
      </c>
      <c r="L36" s="47">
        <v>0.68</v>
      </c>
    </row>
    <row r="37" spans="1:12" x14ac:dyDescent="0.3">
      <c r="A37" t="s">
        <v>320</v>
      </c>
      <c r="B37" t="s">
        <v>5</v>
      </c>
      <c r="C37" s="47">
        <v>0.15010000000000001</v>
      </c>
      <c r="D37" s="47">
        <v>0.13980000000000001</v>
      </c>
      <c r="E37" s="47">
        <v>0.1431</v>
      </c>
      <c r="F37" s="47">
        <v>0.1308</v>
      </c>
      <c r="G37" s="47">
        <v>0.1167</v>
      </c>
      <c r="H37" s="47">
        <v>0.12</v>
      </c>
      <c r="I37" s="47">
        <v>0.11</v>
      </c>
      <c r="J37" s="47">
        <v>0.105</v>
      </c>
      <c r="K37" s="47">
        <v>0.105</v>
      </c>
      <c r="L37" s="47">
        <v>0.105</v>
      </c>
    </row>
    <row r="38" spans="1:12" x14ac:dyDescent="0.3">
      <c r="A38" t="s">
        <v>321</v>
      </c>
      <c r="B38" t="s">
        <v>5</v>
      </c>
      <c r="C38" s="47">
        <v>0.1232</v>
      </c>
      <c r="D38" s="47">
        <v>0.1236</v>
      </c>
      <c r="E38" s="47">
        <v>0.1283</v>
      </c>
      <c r="F38" s="47">
        <v>0.12039999999999999</v>
      </c>
      <c r="G38" s="47">
        <v>0.1153</v>
      </c>
      <c r="H38" s="47">
        <v>0.109</v>
      </c>
      <c r="I38" s="47">
        <v>0.1055</v>
      </c>
      <c r="J38" s="47">
        <v>0.104</v>
      </c>
      <c r="K38" s="47">
        <v>0.1</v>
      </c>
      <c r="L38" s="47">
        <v>0.1</v>
      </c>
    </row>
    <row r="39" spans="1:12" x14ac:dyDescent="0.3">
      <c r="A39" t="s">
        <v>322</v>
      </c>
      <c r="B39" t="s">
        <v>5</v>
      </c>
      <c r="C39" s="47">
        <v>0.41589999999999999</v>
      </c>
      <c r="D39" s="47">
        <v>0.42059999999999997</v>
      </c>
      <c r="E39" s="47">
        <v>0.41770000000000002</v>
      </c>
      <c r="F39" s="47">
        <v>0.44640000000000002</v>
      </c>
      <c r="G39" s="47">
        <v>0.45619999999999999</v>
      </c>
      <c r="H39" s="47">
        <v>0.45100000000000001</v>
      </c>
      <c r="I39" s="47">
        <v>0.46450000000000002</v>
      </c>
      <c r="J39" s="47">
        <v>0.47099999999999997</v>
      </c>
      <c r="K39" s="47">
        <v>0.47499999999999998</v>
      </c>
      <c r="L39" s="47">
        <v>0.47499999999999998</v>
      </c>
    </row>
    <row r="40" spans="1:12" x14ac:dyDescent="0.3">
      <c r="A40" t="s">
        <v>323</v>
      </c>
      <c r="B40" t="s">
        <v>310</v>
      </c>
      <c r="C40" s="47">
        <v>6.9500000000000006E-2</v>
      </c>
      <c r="D40" s="47">
        <v>7.2900000000000006E-2</v>
      </c>
      <c r="E40" s="47">
        <v>6.54E-2</v>
      </c>
      <c r="F40" s="47">
        <v>9.0899999999999995E-2</v>
      </c>
      <c r="G40" s="47">
        <v>0.1212</v>
      </c>
      <c r="H40" s="47">
        <v>0.1449</v>
      </c>
      <c r="I40" s="47">
        <v>0.14549999999999999</v>
      </c>
      <c r="J40" s="47">
        <v>0.1361</v>
      </c>
      <c r="K40" s="47">
        <v>0.1143</v>
      </c>
      <c r="L40" s="47">
        <v>9.7799999999999998E-2</v>
      </c>
    </row>
    <row r="41" spans="1:12" x14ac:dyDescent="0.3">
      <c r="A41" t="s">
        <v>324</v>
      </c>
      <c r="B41" t="s">
        <v>310</v>
      </c>
      <c r="C41" s="47">
        <v>0.1227</v>
      </c>
      <c r="D41" s="47">
        <v>0.1205</v>
      </c>
      <c r="E41" s="47">
        <v>0.1326</v>
      </c>
      <c r="F41" s="47">
        <v>0.18140000000000001</v>
      </c>
      <c r="G41" s="47">
        <v>0.2291</v>
      </c>
      <c r="H41" s="47">
        <v>0.30130000000000001</v>
      </c>
      <c r="I41" s="47">
        <v>0.30830000000000002</v>
      </c>
      <c r="J41" s="47">
        <v>0.28439999999999999</v>
      </c>
      <c r="K41" s="47">
        <v>0.23880000000000001</v>
      </c>
      <c r="L41" s="47">
        <v>0.2044</v>
      </c>
    </row>
    <row r="42" spans="1:12" x14ac:dyDescent="0.3">
      <c r="A42" t="s">
        <v>325</v>
      </c>
      <c r="B42" t="s">
        <v>310</v>
      </c>
      <c r="C42" s="47">
        <v>-5.5999999999999999E-3</v>
      </c>
      <c r="D42" s="47">
        <v>2.3E-3</v>
      </c>
      <c r="E42" s="47">
        <v>-1.1299999999999999E-2</v>
      </c>
      <c r="F42" s="47">
        <v>7.4000000000000003E-3</v>
      </c>
      <c r="G42" s="47">
        <v>-1.9E-2</v>
      </c>
      <c r="H42" s="47">
        <v>-6.0000000000000001E-3</v>
      </c>
      <c r="I42" s="47">
        <v>-4.0000000000000001E-3</v>
      </c>
      <c r="J42" s="47">
        <v>-2E-3</v>
      </c>
      <c r="K42" s="47">
        <v>-2E-3</v>
      </c>
      <c r="L42" s="47">
        <v>1E-3</v>
      </c>
    </row>
    <row r="43" spans="1:12" x14ac:dyDescent="0.3">
      <c r="A43" t="s">
        <v>326</v>
      </c>
      <c r="B43" t="s">
        <v>22</v>
      </c>
      <c r="C43" s="47">
        <v>0.33389999999999997</v>
      </c>
      <c r="D43" s="47">
        <v>0.3286</v>
      </c>
      <c r="E43" s="47">
        <v>0.28070000000000001</v>
      </c>
      <c r="F43" s="47">
        <v>0.30220000000000002</v>
      </c>
      <c r="G43" s="47">
        <v>0.25419999999999998</v>
      </c>
      <c r="H43" s="47">
        <v>0.25519999999999998</v>
      </c>
      <c r="I43" s="47">
        <v>0.25779999999999997</v>
      </c>
      <c r="J43" s="47">
        <v>0.2732</v>
      </c>
      <c r="K43" s="47">
        <v>0.29549999999999998</v>
      </c>
      <c r="L43" s="47">
        <v>0.30570000000000003</v>
      </c>
    </row>
    <row r="44" spans="1:12" x14ac:dyDescent="0.3">
      <c r="A44" t="s">
        <v>327</v>
      </c>
      <c r="B44" t="s">
        <v>22</v>
      </c>
      <c r="C44" s="47">
        <v>3.6400000000000002E-2</v>
      </c>
      <c r="D44" s="47">
        <v>3.78E-2</v>
      </c>
      <c r="E44" s="47">
        <v>4.5400000000000003E-2</v>
      </c>
      <c r="F44" s="47">
        <v>4.3799999999999999E-2</v>
      </c>
      <c r="G44" s="47">
        <v>4.2500000000000003E-2</v>
      </c>
      <c r="H44" s="47">
        <v>3.7999999999999999E-2</v>
      </c>
      <c r="I44" s="47">
        <v>3.7999999999999999E-2</v>
      </c>
      <c r="J44" s="47">
        <v>3.7999999999999999E-2</v>
      </c>
      <c r="K44" s="47">
        <v>3.7999999999999999E-2</v>
      </c>
      <c r="L44" s="47">
        <v>3.7999999999999999E-2</v>
      </c>
    </row>
    <row r="45" spans="1:12" x14ac:dyDescent="0.3">
      <c r="A45" t="s">
        <v>328</v>
      </c>
      <c r="B45" t="s">
        <v>72</v>
      </c>
      <c r="C45" s="47">
        <v>0.16200000000000001</v>
      </c>
      <c r="D45" s="47">
        <v>0.17530000000000001</v>
      </c>
      <c r="E45" s="47">
        <v>0.4859</v>
      </c>
      <c r="F45" s="47">
        <v>0.1346</v>
      </c>
      <c r="G45" s="47">
        <v>0.13100000000000001</v>
      </c>
      <c r="H45" s="47">
        <v>0.13200000000000001</v>
      </c>
      <c r="I45" s="47">
        <v>0.1237</v>
      </c>
      <c r="J45" s="47">
        <v>0.11</v>
      </c>
    </row>
    <row r="46" spans="1:12" x14ac:dyDescent="0.3">
      <c r="A46" t="s">
        <v>329</v>
      </c>
      <c r="B46" t="s">
        <v>72</v>
      </c>
      <c r="C46" s="47">
        <v>0.16209999999999999</v>
      </c>
      <c r="D46" s="47">
        <v>0.24779999999999999</v>
      </c>
      <c r="E46" s="47">
        <v>-2.7E-2</v>
      </c>
      <c r="F46" s="47">
        <v>0.1991</v>
      </c>
      <c r="G46" s="47">
        <v>0.215</v>
      </c>
      <c r="H46" s="47">
        <v>0.26840000000000003</v>
      </c>
      <c r="I46" s="47">
        <v>0.24690000000000001</v>
      </c>
      <c r="J46" s="47">
        <v>0.25</v>
      </c>
    </row>
    <row r="47" spans="1:12" x14ac:dyDescent="0.3">
      <c r="A47" t="s">
        <v>330</v>
      </c>
      <c r="B47" t="s">
        <v>72</v>
      </c>
      <c r="C47" s="47">
        <v>0.1211</v>
      </c>
      <c r="D47" s="47">
        <v>0.1081</v>
      </c>
      <c r="E47" s="47">
        <v>-0.25230000000000002</v>
      </c>
      <c r="F47" s="47">
        <v>0.1343</v>
      </c>
      <c r="G47" s="47">
        <v>7.4999999999999997E-2</v>
      </c>
      <c r="H47" s="47">
        <v>2.8E-3</v>
      </c>
      <c r="I47" s="47">
        <v>1.7100000000000001E-2</v>
      </c>
      <c r="J47" s="47">
        <v>2.5999999999999999E-2</v>
      </c>
    </row>
    <row r="48" spans="1:12" x14ac:dyDescent="0.3">
      <c r="A48" t="s">
        <v>331</v>
      </c>
      <c r="B48" t="s">
        <v>85</v>
      </c>
      <c r="C48" s="47">
        <v>0.45169999999999999</v>
      </c>
      <c r="D48" s="47">
        <v>0.46860000000000002</v>
      </c>
      <c r="E48" s="47">
        <v>0.53180000000000005</v>
      </c>
      <c r="F48" s="47">
        <v>0.5585</v>
      </c>
      <c r="G48" s="47">
        <v>0.57750000000000001</v>
      </c>
      <c r="H48" s="47">
        <v>0.57579999999999998</v>
      </c>
      <c r="I48" s="47">
        <v>0.55549999999999999</v>
      </c>
      <c r="J48" s="47">
        <v>0.57999999999999996</v>
      </c>
    </row>
    <row r="49" spans="1:10" x14ac:dyDescent="0.3">
      <c r="A49" t="s">
        <v>332</v>
      </c>
      <c r="B49" t="s">
        <v>85</v>
      </c>
      <c r="C49" s="47">
        <v>0.43490000000000001</v>
      </c>
      <c r="D49" s="47">
        <v>0.44290000000000002</v>
      </c>
      <c r="E49" s="47">
        <v>0.38950000000000001</v>
      </c>
      <c r="F49" s="47">
        <v>0.43230000000000002</v>
      </c>
      <c r="G49" s="47">
        <v>0.41959999999999997</v>
      </c>
      <c r="H49" s="47">
        <v>0.435</v>
      </c>
      <c r="I49" s="47">
        <v>0.44929999999999998</v>
      </c>
      <c r="J49" s="47">
        <v>0.44700000000000001</v>
      </c>
    </row>
    <row r="50" spans="1:10" x14ac:dyDescent="0.3">
      <c r="A50" t="s">
        <v>333</v>
      </c>
      <c r="B50" t="s">
        <v>85</v>
      </c>
      <c r="C50" s="47">
        <v>0.3594</v>
      </c>
      <c r="D50" s="47">
        <v>0.34179999999999999</v>
      </c>
      <c r="E50" s="47">
        <v>0.224</v>
      </c>
      <c r="F50" s="47">
        <v>0.23519999999999999</v>
      </c>
      <c r="G50" s="47">
        <v>0.25919999999999999</v>
      </c>
      <c r="H50" s="47">
        <v>0.26229999999999998</v>
      </c>
      <c r="I50" s="47">
        <v>0.26300000000000001</v>
      </c>
      <c r="J50" s="47">
        <v>0.26500000000000001</v>
      </c>
    </row>
    <row r="51" spans="1:10" x14ac:dyDescent="0.3">
      <c r="A51" t="s">
        <v>334</v>
      </c>
      <c r="B51" t="s">
        <v>315</v>
      </c>
      <c r="C51" s="47">
        <v>0.14749999999999999</v>
      </c>
      <c r="D51" s="47">
        <v>0.19370000000000001</v>
      </c>
      <c r="E51" s="47">
        <v>6.5100000000000005E-2</v>
      </c>
      <c r="F51" s="47">
        <v>0.16830000000000001</v>
      </c>
      <c r="G51" s="47">
        <v>0.15909999999999999</v>
      </c>
    </row>
    <row r="52" spans="1:10" x14ac:dyDescent="0.3">
      <c r="A52" t="s">
        <v>335</v>
      </c>
      <c r="B52" t="s">
        <v>315</v>
      </c>
      <c r="C52" s="47">
        <v>0.2044</v>
      </c>
      <c r="D52" s="47">
        <v>0.16539999999999999</v>
      </c>
      <c r="E52" s="47">
        <v>7.2599999999999998E-2</v>
      </c>
      <c r="F52" s="47">
        <v>0.1459</v>
      </c>
      <c r="G52" s="47">
        <v>0.13819999999999999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33EDB6-DC4D-429B-B195-AAD0F82632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Segments</vt:lpstr>
      <vt:lpstr>Extras</vt:lpstr>
      <vt:lpstr>Charts</vt:lpstr>
      <vt:lpstr>Data</vt:lpstr>
      <vt:lpstr>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Kerem Odabasi</dc:creator>
  <cp:lastModifiedBy>Kerem Odabasi</cp:lastModifiedBy>
  <dcterms:created xsi:type="dcterms:W3CDTF">2026-01-02T23:21:27Z</dcterms:created>
  <dcterms:modified xsi:type="dcterms:W3CDTF">2026-02-18T04:22:40Z</dcterms:modified>
</cp:coreProperties>
</file>