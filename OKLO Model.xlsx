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erem\OneDrive\Masaüstü\Models\"/>
    </mc:Choice>
  </mc:AlternateContent>
  <xr:revisionPtr revIDLastSave="0" documentId="13_ncr:1_{C4CE176C-7628-47CD-A9A7-9431D47D57C6}" xr6:coauthVersionLast="47" xr6:coauthVersionMax="47" xr10:uidLastSave="{00000000-0000-0000-0000-000000000000}"/>
  <bookViews>
    <workbookView xWindow="26292" yWindow="504" windowWidth="32016" windowHeight="15900" xr2:uid="{DBB58204-97E1-4A2D-BE5B-DE967648F2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H11" i="1"/>
  <c r="G11" i="1"/>
  <c r="F11" i="1"/>
  <c r="E11" i="1"/>
  <c r="D11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M7" i="1"/>
  <c r="N7" i="1"/>
  <c r="F10" i="1"/>
  <c r="E10" i="1"/>
  <c r="D10" i="1"/>
  <c r="H8" i="1"/>
  <c r="H10" i="1" s="1"/>
  <c r="G8" i="1"/>
  <c r="G10" i="1" s="1"/>
  <c r="I17" i="1"/>
  <c r="I6" i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T11" i="1" s="1"/>
  <c r="L11" i="1" l="1"/>
  <c r="M11" i="1"/>
  <c r="N11" i="1"/>
  <c r="O11" i="1"/>
  <c r="P11" i="1"/>
  <c r="Q11" i="1"/>
  <c r="R11" i="1"/>
  <c r="S11" i="1"/>
  <c r="P8" i="1"/>
  <c r="P10" i="1" s="1"/>
  <c r="D12" i="1"/>
  <c r="E12" i="1"/>
  <c r="F12" i="1"/>
  <c r="F13" i="1" s="1"/>
  <c r="G12" i="1"/>
  <c r="Q8" i="1"/>
  <c r="Q10" i="1" s="1"/>
  <c r="R8" i="1"/>
  <c r="R10" i="1" s="1"/>
  <c r="S8" i="1"/>
  <c r="S10" i="1" s="1"/>
  <c r="I11" i="1"/>
  <c r="H12" i="1"/>
  <c r="J11" i="1"/>
  <c r="K11" i="1"/>
  <c r="O8" i="1"/>
  <c r="O10" i="1" s="1"/>
  <c r="M8" i="1"/>
  <c r="M10" i="1" s="1"/>
  <c r="N8" i="1"/>
  <c r="N10" i="1" s="1"/>
  <c r="I8" i="1"/>
  <c r="I10" i="1" s="1"/>
  <c r="J8" i="1"/>
  <c r="J10" i="1" s="1"/>
  <c r="K8" i="1"/>
  <c r="K10" i="1" s="1"/>
  <c r="L8" i="1"/>
  <c r="L10" i="1" s="1"/>
  <c r="U6" i="1"/>
  <c r="U11" i="1" s="1"/>
  <c r="T8" i="1"/>
  <c r="T10" i="1" s="1"/>
  <c r="M12" i="1" l="1"/>
  <c r="M13" i="1" s="1"/>
  <c r="I12" i="1"/>
  <c r="I13" i="1"/>
  <c r="I14" i="1" s="1"/>
  <c r="J12" i="1"/>
  <c r="J13" i="1"/>
  <c r="J14" i="1" s="1"/>
  <c r="S12" i="1"/>
  <c r="N12" i="1"/>
  <c r="Q12" i="1"/>
  <c r="Q13" i="1"/>
  <c r="E13" i="1"/>
  <c r="E14" i="1" s="1"/>
  <c r="O12" i="1"/>
  <c r="O13" i="1" s="1"/>
  <c r="F14" i="1"/>
  <c r="T12" i="1"/>
  <c r="D13" i="1"/>
  <c r="D14" i="1" s="1"/>
  <c r="L12" i="1"/>
  <c r="L13" i="1"/>
  <c r="L14" i="1" s="1"/>
  <c r="H13" i="1"/>
  <c r="H14" i="1" s="1"/>
  <c r="R12" i="1"/>
  <c r="R13" i="1"/>
  <c r="P12" i="1"/>
  <c r="K12" i="1"/>
  <c r="K13" i="1" s="1"/>
  <c r="G13" i="1"/>
  <c r="G14" i="1" s="1"/>
  <c r="V6" i="1"/>
  <c r="V11" i="1" s="1"/>
  <c r="U8" i="1"/>
  <c r="U10" i="1" s="1"/>
  <c r="Q14" i="1" l="1"/>
  <c r="R14" i="1"/>
  <c r="M14" i="1"/>
  <c r="K14" i="1"/>
  <c r="N13" i="1"/>
  <c r="N14" i="1" s="1"/>
  <c r="P13" i="1"/>
  <c r="P14" i="1" s="1"/>
  <c r="O14" i="1"/>
  <c r="S13" i="1"/>
  <c r="S14" i="1" s="1"/>
  <c r="T13" i="1"/>
  <c r="T14" i="1" s="1"/>
  <c r="U12" i="1"/>
  <c r="U13" i="1" s="1"/>
  <c r="W6" i="1"/>
  <c r="W11" i="1" s="1"/>
  <c r="V8" i="1"/>
  <c r="V10" i="1" s="1"/>
  <c r="U14" i="1" l="1"/>
  <c r="V12" i="1"/>
  <c r="V13" i="1" s="1"/>
  <c r="X6" i="1"/>
  <c r="X11" i="1" s="1"/>
  <c r="W8" i="1"/>
  <c r="W10" i="1" s="1"/>
  <c r="W12" i="1" l="1"/>
  <c r="V14" i="1"/>
  <c r="Y6" i="1"/>
  <c r="Y11" i="1" s="1"/>
  <c r="X8" i="1"/>
  <c r="X10" i="1" s="1"/>
  <c r="W13" i="1" l="1"/>
  <c r="W14" i="1" s="1"/>
  <c r="X12" i="1"/>
  <c r="Z6" i="1"/>
  <c r="Z11" i="1" s="1"/>
  <c r="Y8" i="1"/>
  <c r="Y10" i="1" s="1"/>
  <c r="Y12" i="1" l="1"/>
  <c r="Y13" i="1" s="1"/>
  <c r="Y14" i="1" s="1"/>
  <c r="X13" i="1"/>
  <c r="X14" i="1" s="1"/>
  <c r="AA6" i="1"/>
  <c r="AA11" i="1" s="1"/>
  <c r="Z8" i="1"/>
  <c r="Z10" i="1" s="1"/>
  <c r="Z12" i="1" l="1"/>
  <c r="AB6" i="1"/>
  <c r="AB11" i="1" s="1"/>
  <c r="AA8" i="1"/>
  <c r="AA10" i="1" s="1"/>
  <c r="AA12" i="1" l="1"/>
  <c r="Z13" i="1"/>
  <c r="Z14" i="1" s="1"/>
  <c r="AC6" i="1"/>
  <c r="AC11" i="1" s="1"/>
  <c r="AB8" i="1"/>
  <c r="AB10" i="1" s="1"/>
  <c r="AB12" i="1" l="1"/>
  <c r="AB13" i="1" s="1"/>
  <c r="AB14" i="1" s="1"/>
  <c r="AA13" i="1"/>
  <c r="AA14" i="1" s="1"/>
  <c r="K17" i="1"/>
  <c r="AC8" i="1"/>
  <c r="AC10" i="1" s="1"/>
  <c r="AC12" i="1" l="1"/>
  <c r="AC13" i="1" l="1"/>
  <c r="AC14" i="1" s="1"/>
  <c r="D18" i="1" l="1"/>
  <c r="D17" i="1"/>
  <c r="D19" i="1" l="1"/>
  <c r="D20" i="1" s="1"/>
</calcChain>
</file>

<file path=xl/sharedStrings.xml><?xml version="1.0" encoding="utf-8"?>
<sst xmlns="http://schemas.openxmlformats.org/spreadsheetml/2006/main" count="49" uniqueCount="48">
  <si>
    <t>$ millions</t>
  </si>
  <si>
    <t>New Reactors</t>
  </si>
  <si>
    <t>Total MW</t>
  </si>
  <si>
    <t>Capex</t>
  </si>
  <si>
    <t>Power Revenue</t>
  </si>
  <si>
    <t>Other Revenue</t>
  </si>
  <si>
    <t>Total Revenue</t>
  </si>
  <si>
    <t>FCF</t>
  </si>
  <si>
    <t>Valuation</t>
  </si>
  <si>
    <t>NPV of FCF</t>
  </si>
  <si>
    <t>Terminal Value</t>
  </si>
  <si>
    <t>Notes</t>
  </si>
  <si>
    <t>Total Value</t>
  </si>
  <si>
    <t>Share Price</t>
  </si>
  <si>
    <t>156.25M S/O</t>
  </si>
  <si>
    <t>Total Reactors Built</t>
  </si>
  <si>
    <t>Total GW Built</t>
  </si>
  <si>
    <t>O&amp;M</t>
  </si>
  <si>
    <t>Maintenance</t>
  </si>
  <si>
    <t>Taxes</t>
  </si>
  <si>
    <t>18x 2050 FCF</t>
  </si>
  <si>
    <t>Diluted Share Price (est.)</t>
  </si>
  <si>
    <t>400M S/O</t>
  </si>
  <si>
    <t>OKLO Reverse DCF</t>
  </si>
  <si>
    <t>Variable</t>
  </si>
  <si>
    <t>Value</t>
  </si>
  <si>
    <t>Reactor Size (Commercial)</t>
  </si>
  <si>
    <t>Capacity Factor</t>
  </si>
  <si>
    <t>PPA Price (Revenue)</t>
  </si>
  <si>
    <t>O&amp;M Cost</t>
  </si>
  <si>
    <t>Fuel Cost</t>
  </si>
  <si>
    <t>Maintenance Capex</t>
  </si>
  <si>
    <t>Tax Rate</t>
  </si>
  <si>
    <t>15 Mwe</t>
  </si>
  <si>
    <t>75 Mwe</t>
  </si>
  <si>
    <t>$100/MWh</t>
  </si>
  <si>
    <t>$15/MWh</t>
  </si>
  <si>
    <t>$0/MWh</t>
  </si>
  <si>
    <t>2% of Revs</t>
  </si>
  <si>
    <t>Oklo's "Aurora" design for Idaho National Labs (INL)</t>
  </si>
  <si>
    <t>Upgraded size targeted for data centers</t>
  </si>
  <si>
    <t>Standard uptime for nuclear baseload</t>
  </si>
  <si>
    <t>Premium pricing for 24/7 Clean Power</t>
  </si>
  <si>
    <t>Aggressive Assumption. Standard Nuclear is $30/MWh</t>
  </si>
  <si>
    <t>Assumes Oklo successfully recycles spent fuel (waste) from reactors for free</t>
  </si>
  <si>
    <t>Replacing pumps, valve and electronics as the fleet ages</t>
  </si>
  <si>
    <t>Standard U.S. Federal Corporate Tax Rate on operating profits</t>
  </si>
  <si>
    <t>Reactor Size (Pilot)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</si>
</sst>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$&quot;#,##0_);\(&quot;$&quot;#,##0\)"/>
    <numFmt numFmtId="7" formatCode="&quot;$&quot;#,##0.00_);\(&quot;$&quot;#,##0.00\)"/>
  </numFmts>
  <fonts count="4" x14ac:knownFonts="1">
    <font>
      <sz val="12"/>
      <color theme="1"/>
      <name val="calibri"/>
      <family val="2"/>
    </font>
    <font>
      <b/>
      <sz val="12"/>
      <color theme="0"/>
      <name val="calibri"/>
      <family val="2"/>
    </font>
    <font>
      <i/>
      <sz val="12"/>
      <color theme="1"/>
      <name val="calibri"/>
      <family val="2"/>
    </font>
    <font>
      <sz val="2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4" xfId="0" applyBorder="1"/>
    <xf numFmtId="0" fontId="0" fillId="0" borderId="0" xfId="0" applyAlignment="1">
      <alignment horizontal="center"/>
    </xf>
    <xf numFmtId="5" fontId="0" fillId="0" borderId="0" xfId="0" applyNumberFormat="1" applyAlignment="1">
      <alignment horizontal="center"/>
    </xf>
    <xf numFmtId="5" fontId="0" fillId="0" borderId="5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5" fontId="0" fillId="0" borderId="7" xfId="0" applyNumberFormat="1" applyBorder="1" applyAlignment="1">
      <alignment horizontal="center"/>
    </xf>
    <xf numFmtId="5" fontId="0" fillId="0" borderId="8" xfId="0" applyNumberForma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5" fontId="0" fillId="0" borderId="3" xfId="0" applyNumberFormat="1" applyBorder="1" applyAlignment="1">
      <alignment horizontal="center"/>
    </xf>
    <xf numFmtId="0" fontId="0" fillId="0" borderId="12" xfId="0" applyBorder="1"/>
    <xf numFmtId="0" fontId="0" fillId="0" borderId="13" xfId="0" applyBorder="1"/>
    <xf numFmtId="5" fontId="0" fillId="0" borderId="13" xfId="0" applyNumberFormat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5" fontId="0" fillId="0" borderId="0" xfId="0" applyNumberFormat="1"/>
    <xf numFmtId="3" fontId="0" fillId="0" borderId="5" xfId="0" applyNumberFormat="1" applyBorder="1" applyAlignment="1">
      <alignment horizontal="center"/>
    </xf>
    <xf numFmtId="5" fontId="0" fillId="0" borderId="15" xfId="0" applyNumberFormat="1" applyBorder="1" applyAlignment="1">
      <alignment horizontal="center"/>
    </xf>
    <xf numFmtId="5" fontId="0" fillId="0" borderId="16" xfId="0" applyNumberFormat="1" applyBorder="1" applyAlignment="1">
      <alignment horizontal="center"/>
    </xf>
    <xf numFmtId="0" fontId="0" fillId="0" borderId="17" xfId="0" applyBorder="1"/>
    <xf numFmtId="0" fontId="0" fillId="0" borderId="15" xfId="0" applyBorder="1"/>
    <xf numFmtId="7" fontId="0" fillId="0" borderId="7" xfId="0" applyNumberFormat="1" applyBorder="1"/>
    <xf numFmtId="0" fontId="0" fillId="2" borderId="2" xfId="0" applyFill="1" applyBorder="1"/>
    <xf numFmtId="5" fontId="0" fillId="0" borderId="14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9" fontId="2" fillId="0" borderId="0" xfId="0" applyNumberFormat="1" applyFont="1" applyAlignment="1">
      <alignment horizontal="center"/>
    </xf>
    <xf numFmtId="9" fontId="2" fillId="0" borderId="5" xfId="0" applyNumberFormat="1" applyFont="1" applyBorder="1" applyAlignment="1">
      <alignment horizontal="center"/>
    </xf>
    <xf numFmtId="7" fontId="0" fillId="0" borderId="13" xfId="0" applyNumberForma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6" xfId="0" applyFill="1" applyBorder="1"/>
    <xf numFmtId="0" fontId="0" fillId="0" borderId="8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2" borderId="1" xfId="0" applyFont="1" applyFill="1" applyBorder="1"/>
    <xf numFmtId="0" fontId="1" fillId="2" borderId="2" xfId="0" applyFont="1" applyFill="1" applyBorder="1"/>
    <xf numFmtId="7" fontId="1" fillId="2" borderId="2" xfId="0" applyNumberFormat="1" applyFont="1" applyFill="1" applyBorder="1"/>
    <xf numFmtId="0" fontId="1" fillId="2" borderId="3" xfId="0" applyFont="1" applyFill="1" applyBorder="1"/>
    <xf numFmtId="0" fontId="0" fillId="0" borderId="0" xfId="0" applyBorder="1"/>
    <xf numFmtId="0" fontId="0" fillId="0" borderId="5" xfId="0" applyBorder="1"/>
    <xf numFmtId="0" fontId="1" fillId="2" borderId="20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9" fontId="0" fillId="0" borderId="21" xfId="0" applyNumberFormat="1" applyBorder="1" applyAlignment="1">
      <alignment horizontal="center"/>
    </xf>
    <xf numFmtId="9" fontId="0" fillId="0" borderId="2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Finance">
      <a:dk1>
        <a:sysClr val="windowText" lastClr="000000"/>
      </a:dk1>
      <a:lt1>
        <a:sysClr val="window" lastClr="FFFFFF"/>
      </a:lt1>
      <a:dk2>
        <a:srgbClr val="1F497D"/>
      </a:dk2>
      <a:lt2>
        <a:srgbClr val="D9D9D9"/>
      </a:lt2>
      <a:accent1>
        <a:srgbClr val="0066CC"/>
      </a:accent1>
      <a:accent2>
        <a:srgbClr val="00B050"/>
      </a:accent2>
      <a:accent3>
        <a:srgbClr val="E6E6E6"/>
      </a:accent3>
      <a:accent4>
        <a:srgbClr val="4F81BD"/>
      </a:accent4>
      <a:accent5>
        <a:srgbClr val="4472C4"/>
      </a:accent5>
      <a:accent6>
        <a:srgbClr val="FF6600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E7B6D-C532-4ABB-9760-EA44083D8F40}">
  <dimension ref="A1:AC24"/>
  <sheetViews>
    <sheetView showGridLines="0" tabSelected="1" zoomScaleNormal="100" workbookViewId="0">
      <selection activeCell="B19" sqref="B19"/>
    </sheetView>
  </sheetViews>
  <sheetFormatPr defaultColWidth="10.69921875" defaultRowHeight="16.05" customHeight="1" x14ac:dyDescent="0.3"/>
  <sheetData>
    <row r="1" spans="1:29" ht="16.05" customHeight="1" x14ac:dyDescent="0.3">
      <c r="A1" s="46" t="s">
        <v>23</v>
      </c>
      <c r="B1" s="46"/>
      <c r="C1" s="46"/>
      <c r="D1" s="46"/>
      <c r="E1" s="46"/>
      <c r="F1" s="46"/>
      <c r="G1" s="47"/>
      <c r="H1" s="47"/>
    </row>
    <row r="2" spans="1:29" ht="16.05" customHeight="1" x14ac:dyDescent="0.3">
      <c r="A2" s="46"/>
      <c r="B2" s="46"/>
      <c r="C2" s="46"/>
      <c r="D2" s="46"/>
      <c r="E2" s="46"/>
      <c r="F2" s="46"/>
      <c r="G2" s="47"/>
      <c r="H2" s="47"/>
    </row>
    <row r="3" spans="1:29" ht="16.05" customHeight="1" x14ac:dyDescent="0.3">
      <c r="A3" s="46"/>
      <c r="B3" s="46"/>
      <c r="C3" s="46"/>
      <c r="D3" s="46"/>
      <c r="E3" s="46"/>
      <c r="F3" s="46"/>
      <c r="G3" s="47"/>
      <c r="H3" s="47"/>
    </row>
    <row r="4" spans="1:29" ht="16.05" customHeight="1" x14ac:dyDescent="0.3">
      <c r="B4" s="9" t="s">
        <v>0</v>
      </c>
      <c r="C4" s="10"/>
      <c r="D4" s="15">
        <v>2025</v>
      </c>
      <c r="E4" s="15">
        <v>2026</v>
      </c>
      <c r="F4" s="15">
        <v>2027</v>
      </c>
      <c r="G4" s="15">
        <v>2028</v>
      </c>
      <c r="H4" s="15">
        <v>2029</v>
      </c>
      <c r="I4" s="15">
        <v>2030</v>
      </c>
      <c r="J4" s="15">
        <v>2031</v>
      </c>
      <c r="K4" s="15">
        <v>2032</v>
      </c>
      <c r="L4" s="15">
        <v>2033</v>
      </c>
      <c r="M4" s="15">
        <v>2034</v>
      </c>
      <c r="N4" s="15">
        <v>2035</v>
      </c>
      <c r="O4" s="15">
        <v>2036</v>
      </c>
      <c r="P4" s="15">
        <v>2037</v>
      </c>
      <c r="Q4" s="15">
        <v>2038</v>
      </c>
      <c r="R4" s="15">
        <v>2039</v>
      </c>
      <c r="S4" s="15">
        <v>2040</v>
      </c>
      <c r="T4" s="15">
        <v>2041</v>
      </c>
      <c r="U4" s="15">
        <v>2042</v>
      </c>
      <c r="V4" s="15">
        <v>2043</v>
      </c>
      <c r="W4" s="15">
        <v>2044</v>
      </c>
      <c r="X4" s="15">
        <v>2045</v>
      </c>
      <c r="Y4" s="15">
        <v>2046</v>
      </c>
      <c r="Z4" s="15">
        <v>2047</v>
      </c>
      <c r="AA4" s="15">
        <v>2048</v>
      </c>
      <c r="AB4" s="15">
        <v>2049</v>
      </c>
      <c r="AC4" s="16">
        <v>2050</v>
      </c>
    </row>
    <row r="5" spans="1:29" ht="16.05" customHeight="1" x14ac:dyDescent="0.3">
      <c r="B5" s="1" t="s">
        <v>1</v>
      </c>
      <c r="D5" s="2">
        <v>0</v>
      </c>
      <c r="E5" s="2">
        <v>0</v>
      </c>
      <c r="F5" s="2">
        <v>0</v>
      </c>
      <c r="G5" s="2">
        <v>1</v>
      </c>
      <c r="H5" s="2">
        <v>0</v>
      </c>
      <c r="I5" s="2">
        <v>1</v>
      </c>
      <c r="J5" s="2">
        <v>2</v>
      </c>
      <c r="K5" s="2">
        <v>3</v>
      </c>
      <c r="L5" s="2">
        <v>5</v>
      </c>
      <c r="M5" s="2">
        <v>7</v>
      </c>
      <c r="N5" s="2">
        <v>10</v>
      </c>
      <c r="O5" s="2">
        <v>15</v>
      </c>
      <c r="P5" s="2">
        <v>20</v>
      </c>
      <c r="Q5" s="2">
        <v>25</v>
      </c>
      <c r="R5" s="2">
        <v>30</v>
      </c>
      <c r="S5" s="19">
        <v>35</v>
      </c>
      <c r="T5" s="19">
        <v>40</v>
      </c>
      <c r="U5" s="19">
        <v>45</v>
      </c>
      <c r="V5" s="19">
        <v>50</v>
      </c>
      <c r="W5" s="19">
        <v>55</v>
      </c>
      <c r="X5" s="19">
        <v>60</v>
      </c>
      <c r="Y5" s="19">
        <v>60</v>
      </c>
      <c r="Z5" s="19">
        <v>60</v>
      </c>
      <c r="AA5" s="19">
        <v>50</v>
      </c>
      <c r="AB5" s="19">
        <v>40</v>
      </c>
      <c r="AC5" s="21">
        <v>30</v>
      </c>
    </row>
    <row r="6" spans="1:29" ht="16.05" customHeight="1" x14ac:dyDescent="0.3">
      <c r="B6" s="5" t="s">
        <v>2</v>
      </c>
      <c r="C6" s="6"/>
      <c r="D6" s="17">
        <v>0</v>
      </c>
      <c r="E6" s="17">
        <v>0</v>
      </c>
      <c r="F6" s="17">
        <v>0</v>
      </c>
      <c r="G6" s="17">
        <v>15</v>
      </c>
      <c r="H6" s="17">
        <v>15</v>
      </c>
      <c r="I6" s="17">
        <f t="shared" ref="I6:N6" si="0">I5*75+H6</f>
        <v>90</v>
      </c>
      <c r="J6" s="17">
        <f t="shared" si="0"/>
        <v>240</v>
      </c>
      <c r="K6" s="17">
        <f t="shared" si="0"/>
        <v>465</v>
      </c>
      <c r="L6" s="17">
        <f t="shared" si="0"/>
        <v>840</v>
      </c>
      <c r="M6" s="17">
        <f t="shared" si="0"/>
        <v>1365</v>
      </c>
      <c r="N6" s="17">
        <f t="shared" si="0"/>
        <v>2115</v>
      </c>
      <c r="O6" s="17">
        <f>O5*75+N6</f>
        <v>3240</v>
      </c>
      <c r="P6" s="17">
        <f t="shared" ref="P6:S6" si="1">P5*75+O6</f>
        <v>4740</v>
      </c>
      <c r="Q6" s="17">
        <f t="shared" si="1"/>
        <v>6615</v>
      </c>
      <c r="R6" s="17">
        <f t="shared" si="1"/>
        <v>8865</v>
      </c>
      <c r="S6" s="17">
        <f t="shared" si="1"/>
        <v>11490</v>
      </c>
      <c r="T6" s="17">
        <f t="shared" ref="T6" si="2">T5*75+S6</f>
        <v>14490</v>
      </c>
      <c r="U6" s="17">
        <f t="shared" ref="U6" si="3">U5*75+T6</f>
        <v>17865</v>
      </c>
      <c r="V6" s="17">
        <f t="shared" ref="V6" si="4">V5*75+U6</f>
        <v>21615</v>
      </c>
      <c r="W6" s="17">
        <f t="shared" ref="W6" si="5">W5*75+V6</f>
        <v>25740</v>
      </c>
      <c r="X6" s="17">
        <f t="shared" ref="X6" si="6">X5*75+W6</f>
        <v>30240</v>
      </c>
      <c r="Y6" s="17">
        <f t="shared" ref="Y6" si="7">Y5*75+X6</f>
        <v>34740</v>
      </c>
      <c r="Z6" s="17">
        <f t="shared" ref="Z6" si="8">Z5*75+Y6</f>
        <v>39240</v>
      </c>
      <c r="AA6" s="17">
        <f t="shared" ref="AA6" si="9">AA5*75+Z6</f>
        <v>42990</v>
      </c>
      <c r="AB6" s="17">
        <f t="shared" ref="AB6" si="10">AB5*75+AA6</f>
        <v>45990</v>
      </c>
      <c r="AC6" s="18">
        <f t="shared" ref="AC6" si="11">AC5*75+AB6</f>
        <v>48240</v>
      </c>
    </row>
    <row r="7" spans="1:29" ht="16.05" customHeight="1" x14ac:dyDescent="0.3">
      <c r="B7" s="5" t="s">
        <v>3</v>
      </c>
      <c r="C7" s="6"/>
      <c r="D7" s="7">
        <v>50</v>
      </c>
      <c r="E7" s="7">
        <v>100</v>
      </c>
      <c r="F7" s="7">
        <v>135</v>
      </c>
      <c r="G7" s="7">
        <v>135</v>
      </c>
      <c r="H7" s="7">
        <v>225</v>
      </c>
      <c r="I7" s="7">
        <v>450</v>
      </c>
      <c r="J7" s="7">
        <v>675</v>
      </c>
      <c r="K7" s="7">
        <v>900</v>
      </c>
      <c r="L7" s="7">
        <v>1200</v>
      </c>
      <c r="M7" s="7">
        <f>M5*225</f>
        <v>1575</v>
      </c>
      <c r="N7" s="7">
        <f>N5*225</f>
        <v>2250</v>
      </c>
      <c r="O7" s="7">
        <f>O5*165</f>
        <v>2475</v>
      </c>
      <c r="P7" s="7">
        <f t="shared" ref="P7:AC7" si="12">P5*165</f>
        <v>3300</v>
      </c>
      <c r="Q7" s="7">
        <f t="shared" si="12"/>
        <v>4125</v>
      </c>
      <c r="R7" s="7">
        <f t="shared" si="12"/>
        <v>4950</v>
      </c>
      <c r="S7" s="7">
        <f t="shared" si="12"/>
        <v>5775</v>
      </c>
      <c r="T7" s="7">
        <f t="shared" si="12"/>
        <v>6600</v>
      </c>
      <c r="U7" s="7">
        <f t="shared" si="12"/>
        <v>7425</v>
      </c>
      <c r="V7" s="7">
        <f t="shared" si="12"/>
        <v>8250</v>
      </c>
      <c r="W7" s="7">
        <f t="shared" si="12"/>
        <v>9075</v>
      </c>
      <c r="X7" s="7">
        <f t="shared" si="12"/>
        <v>9900</v>
      </c>
      <c r="Y7" s="7">
        <f t="shared" si="12"/>
        <v>9900</v>
      </c>
      <c r="Z7" s="7">
        <f t="shared" si="12"/>
        <v>9900</v>
      </c>
      <c r="AA7" s="7">
        <f t="shared" si="12"/>
        <v>8250</v>
      </c>
      <c r="AB7" s="7">
        <f t="shared" si="12"/>
        <v>6600</v>
      </c>
      <c r="AC7" s="8">
        <f t="shared" si="12"/>
        <v>4950</v>
      </c>
    </row>
    <row r="8" spans="1:29" ht="16.05" customHeight="1" x14ac:dyDescent="0.3">
      <c r="B8" s="5" t="s">
        <v>4</v>
      </c>
      <c r="C8" s="6"/>
      <c r="D8" s="7">
        <v>0</v>
      </c>
      <c r="E8" s="7">
        <v>0</v>
      </c>
      <c r="F8" s="7">
        <v>0</v>
      </c>
      <c r="G8" s="7">
        <f t="shared" ref="G8:S8" si="13">(G6 * 8760 * 0.9 * 100) / 1000000</f>
        <v>11.826000000000001</v>
      </c>
      <c r="H8" s="7">
        <f t="shared" si="13"/>
        <v>11.826000000000001</v>
      </c>
      <c r="I8" s="7">
        <f t="shared" si="13"/>
        <v>70.956000000000003</v>
      </c>
      <c r="J8" s="7">
        <f t="shared" si="13"/>
        <v>189.21600000000001</v>
      </c>
      <c r="K8" s="7">
        <f t="shared" si="13"/>
        <v>366.60599999999999</v>
      </c>
      <c r="L8" s="7">
        <f t="shared" si="13"/>
        <v>662.25599999999997</v>
      </c>
      <c r="M8" s="7">
        <f t="shared" si="13"/>
        <v>1076.1659999999999</v>
      </c>
      <c r="N8" s="7">
        <f t="shared" si="13"/>
        <v>1667.4659999999999</v>
      </c>
      <c r="O8" s="7">
        <f t="shared" si="13"/>
        <v>2554.4160000000002</v>
      </c>
      <c r="P8" s="7">
        <f t="shared" si="13"/>
        <v>3737.0160000000001</v>
      </c>
      <c r="Q8" s="7">
        <f t="shared" si="13"/>
        <v>5215.2659999999996</v>
      </c>
      <c r="R8" s="7">
        <f t="shared" si="13"/>
        <v>6989.1660000000002</v>
      </c>
      <c r="S8" s="7">
        <f t="shared" si="13"/>
        <v>9058.7160000000003</v>
      </c>
      <c r="T8" s="7">
        <f>(T6 * 8760 * 0.9 * 100) / 1000000</f>
        <v>11423.915999999999</v>
      </c>
      <c r="U8" s="7">
        <f t="shared" ref="U8:AC8" si="14">(U6 * 8760 * 0.9 * 100) / 1000000</f>
        <v>14084.766</v>
      </c>
      <c r="V8" s="7">
        <f t="shared" si="14"/>
        <v>17041.266</v>
      </c>
      <c r="W8" s="7">
        <f t="shared" si="14"/>
        <v>20293.416000000001</v>
      </c>
      <c r="X8" s="7">
        <f t="shared" si="14"/>
        <v>23841.216</v>
      </c>
      <c r="Y8" s="7">
        <f t="shared" si="14"/>
        <v>27389.016</v>
      </c>
      <c r="Z8" s="7">
        <f t="shared" si="14"/>
        <v>30936.815999999999</v>
      </c>
      <c r="AA8" s="7">
        <f t="shared" si="14"/>
        <v>33893.315999999999</v>
      </c>
      <c r="AB8" s="7">
        <f t="shared" si="14"/>
        <v>36258.516000000003</v>
      </c>
      <c r="AC8" s="8">
        <f t="shared" si="14"/>
        <v>38032.415999999997</v>
      </c>
    </row>
    <row r="9" spans="1:29" ht="16.05" customHeight="1" thickBot="1" x14ac:dyDescent="0.35">
      <c r="B9" s="12" t="s">
        <v>5</v>
      </c>
      <c r="C9" s="13"/>
      <c r="D9" s="14">
        <v>0</v>
      </c>
      <c r="E9" s="14">
        <v>5</v>
      </c>
      <c r="F9" s="14">
        <v>15</v>
      </c>
      <c r="G9" s="14">
        <v>25</v>
      </c>
      <c r="H9" s="14">
        <v>35</v>
      </c>
      <c r="I9" s="14">
        <v>50</v>
      </c>
      <c r="J9" s="14">
        <v>65</v>
      </c>
      <c r="K9" s="14">
        <v>80</v>
      </c>
      <c r="L9" s="14">
        <v>100</v>
      </c>
      <c r="M9" s="14">
        <v>125</v>
      </c>
      <c r="N9" s="14">
        <v>150</v>
      </c>
      <c r="O9" s="14">
        <v>200</v>
      </c>
      <c r="P9" s="14">
        <v>300</v>
      </c>
      <c r="Q9" s="14">
        <v>450</v>
      </c>
      <c r="R9" s="14">
        <v>650</v>
      </c>
      <c r="S9" s="14">
        <v>900</v>
      </c>
      <c r="T9" s="14">
        <v>1200</v>
      </c>
      <c r="U9" s="14">
        <v>1500</v>
      </c>
      <c r="V9" s="14">
        <v>1800</v>
      </c>
      <c r="W9" s="14">
        <v>2100</v>
      </c>
      <c r="X9" s="14">
        <v>2500</v>
      </c>
      <c r="Y9" s="14">
        <v>3000</v>
      </c>
      <c r="Z9" s="14">
        <v>3500</v>
      </c>
      <c r="AA9" s="14">
        <v>4000</v>
      </c>
      <c r="AB9" s="14">
        <v>4500</v>
      </c>
      <c r="AC9" s="28">
        <v>5000</v>
      </c>
    </row>
    <row r="10" spans="1:29" ht="16.05" customHeight="1" thickTop="1" x14ac:dyDescent="0.3">
      <c r="B10" s="5" t="s">
        <v>6</v>
      </c>
      <c r="C10" s="6"/>
      <c r="D10" s="7">
        <f t="shared" ref="D10:R10" si="15">D9+D8</f>
        <v>0</v>
      </c>
      <c r="E10" s="7">
        <f t="shared" si="15"/>
        <v>5</v>
      </c>
      <c r="F10" s="7">
        <f t="shared" si="15"/>
        <v>15</v>
      </c>
      <c r="G10" s="7">
        <f t="shared" si="15"/>
        <v>36.826000000000001</v>
      </c>
      <c r="H10" s="7">
        <f t="shared" si="15"/>
        <v>46.826000000000001</v>
      </c>
      <c r="I10" s="7">
        <f t="shared" si="15"/>
        <v>120.956</v>
      </c>
      <c r="J10" s="7">
        <f t="shared" si="15"/>
        <v>254.21600000000001</v>
      </c>
      <c r="K10" s="7">
        <f t="shared" si="15"/>
        <v>446.60599999999999</v>
      </c>
      <c r="L10" s="7">
        <f t="shared" si="15"/>
        <v>762.25599999999997</v>
      </c>
      <c r="M10" s="7">
        <f t="shared" si="15"/>
        <v>1201.1659999999999</v>
      </c>
      <c r="N10" s="7">
        <f t="shared" si="15"/>
        <v>1817.4659999999999</v>
      </c>
      <c r="O10" s="7">
        <f t="shared" si="15"/>
        <v>2754.4160000000002</v>
      </c>
      <c r="P10" s="7">
        <f t="shared" si="15"/>
        <v>4037.0160000000001</v>
      </c>
      <c r="Q10" s="7">
        <f t="shared" si="15"/>
        <v>5665.2659999999996</v>
      </c>
      <c r="R10" s="7">
        <f t="shared" si="15"/>
        <v>7639.1660000000002</v>
      </c>
      <c r="S10" s="7">
        <f>S9+S8</f>
        <v>9958.7160000000003</v>
      </c>
      <c r="T10" s="7">
        <f t="shared" ref="T10:AC10" si="16">T9+T8</f>
        <v>12623.915999999999</v>
      </c>
      <c r="U10" s="7">
        <f t="shared" si="16"/>
        <v>15584.766</v>
      </c>
      <c r="V10" s="7">
        <f t="shared" si="16"/>
        <v>18841.266</v>
      </c>
      <c r="W10" s="7">
        <f t="shared" si="16"/>
        <v>22393.416000000001</v>
      </c>
      <c r="X10" s="7">
        <f t="shared" si="16"/>
        <v>26341.216</v>
      </c>
      <c r="Y10" s="7">
        <f t="shared" si="16"/>
        <v>30389.016</v>
      </c>
      <c r="Z10" s="7">
        <f t="shared" si="16"/>
        <v>34436.815999999999</v>
      </c>
      <c r="AA10" s="7">
        <f t="shared" si="16"/>
        <v>37893.315999999999</v>
      </c>
      <c r="AB10" s="7">
        <f t="shared" si="16"/>
        <v>40758.516000000003</v>
      </c>
      <c r="AC10" s="8">
        <f t="shared" si="16"/>
        <v>43032.415999999997</v>
      </c>
    </row>
    <row r="11" spans="1:29" ht="16.05" customHeight="1" x14ac:dyDescent="0.3">
      <c r="B11" s="1" t="s">
        <v>17</v>
      </c>
      <c r="D11" s="3">
        <f t="shared" ref="D11:AB11" si="17">(D6 * 8760 * 0.9 * 15) / 1000000</f>
        <v>0</v>
      </c>
      <c r="E11" s="3">
        <f t="shared" si="17"/>
        <v>0</v>
      </c>
      <c r="F11" s="3">
        <f t="shared" si="17"/>
        <v>0</v>
      </c>
      <c r="G11" s="3">
        <f t="shared" si="17"/>
        <v>1.7739</v>
      </c>
      <c r="H11" s="3">
        <f t="shared" si="17"/>
        <v>1.7739</v>
      </c>
      <c r="I11" s="3">
        <f t="shared" si="17"/>
        <v>10.6434</v>
      </c>
      <c r="J11" s="3">
        <f t="shared" si="17"/>
        <v>28.382400000000001</v>
      </c>
      <c r="K11" s="3">
        <f t="shared" si="17"/>
        <v>54.990900000000003</v>
      </c>
      <c r="L11" s="3">
        <f t="shared" si="17"/>
        <v>99.338399999999993</v>
      </c>
      <c r="M11" s="3">
        <f t="shared" si="17"/>
        <v>161.42490000000001</v>
      </c>
      <c r="N11" s="3">
        <f t="shared" si="17"/>
        <v>250.1199</v>
      </c>
      <c r="O11" s="3">
        <f t="shared" si="17"/>
        <v>383.16239999999999</v>
      </c>
      <c r="P11" s="3">
        <f t="shared" si="17"/>
        <v>560.55240000000003</v>
      </c>
      <c r="Q11" s="3">
        <f t="shared" si="17"/>
        <v>782.28989999999999</v>
      </c>
      <c r="R11" s="3">
        <f t="shared" si="17"/>
        <v>1048.3749</v>
      </c>
      <c r="S11" s="3">
        <f t="shared" si="17"/>
        <v>1358.8073999999999</v>
      </c>
      <c r="T11" s="3">
        <f t="shared" si="17"/>
        <v>1713.5873999999999</v>
      </c>
      <c r="U11" s="3">
        <f t="shared" si="17"/>
        <v>2112.7148999999999</v>
      </c>
      <c r="V11" s="3">
        <f t="shared" si="17"/>
        <v>2556.1898999999999</v>
      </c>
      <c r="W11" s="3">
        <f t="shared" si="17"/>
        <v>3044.0124000000001</v>
      </c>
      <c r="X11" s="3">
        <f t="shared" si="17"/>
        <v>3576.1824000000001</v>
      </c>
      <c r="Y11" s="3">
        <f t="shared" si="17"/>
        <v>4108.3523999999998</v>
      </c>
      <c r="Z11" s="3">
        <f t="shared" si="17"/>
        <v>4640.5223999999998</v>
      </c>
      <c r="AA11" s="3">
        <f t="shared" si="17"/>
        <v>5083.9974000000002</v>
      </c>
      <c r="AB11" s="3">
        <f t="shared" si="17"/>
        <v>5438.7773999999999</v>
      </c>
      <c r="AC11" s="11">
        <f>(AC6 * 8760 * 0.9 * 15) / 1000000</f>
        <v>5704.8624</v>
      </c>
    </row>
    <row r="12" spans="1:29" ht="16.05" customHeight="1" x14ac:dyDescent="0.3">
      <c r="B12" s="1" t="s">
        <v>18</v>
      </c>
      <c r="D12" s="3">
        <f>D10*0.02</f>
        <v>0</v>
      </c>
      <c r="E12" s="3">
        <f t="shared" ref="E12:AC12" si="18">E10*0.02</f>
        <v>0.1</v>
      </c>
      <c r="F12" s="3">
        <f t="shared" si="18"/>
        <v>0.3</v>
      </c>
      <c r="G12" s="3">
        <f t="shared" si="18"/>
        <v>0.73652000000000006</v>
      </c>
      <c r="H12" s="3">
        <f t="shared" si="18"/>
        <v>0.93652000000000002</v>
      </c>
      <c r="I12" s="3">
        <f t="shared" si="18"/>
        <v>2.4191199999999999</v>
      </c>
      <c r="J12" s="3">
        <f t="shared" si="18"/>
        <v>5.08432</v>
      </c>
      <c r="K12" s="3">
        <f t="shared" si="18"/>
        <v>8.9321199999999994</v>
      </c>
      <c r="L12" s="3">
        <f t="shared" si="18"/>
        <v>15.24512</v>
      </c>
      <c r="M12" s="3">
        <f t="shared" si="18"/>
        <v>24.023319999999998</v>
      </c>
      <c r="N12" s="3">
        <f t="shared" si="18"/>
        <v>36.349319999999999</v>
      </c>
      <c r="O12" s="3">
        <f t="shared" si="18"/>
        <v>55.088320000000003</v>
      </c>
      <c r="P12" s="3">
        <f t="shared" si="18"/>
        <v>80.740319999999997</v>
      </c>
      <c r="Q12" s="3">
        <f t="shared" si="18"/>
        <v>113.30531999999999</v>
      </c>
      <c r="R12" s="3">
        <f t="shared" si="18"/>
        <v>152.78332</v>
      </c>
      <c r="S12" s="3">
        <f t="shared" si="18"/>
        <v>199.17432000000002</v>
      </c>
      <c r="T12" s="3">
        <f t="shared" si="18"/>
        <v>252.47832</v>
      </c>
      <c r="U12" s="3">
        <f t="shared" si="18"/>
        <v>311.69531999999998</v>
      </c>
      <c r="V12" s="3">
        <f t="shared" si="18"/>
        <v>376.82531999999998</v>
      </c>
      <c r="W12" s="3">
        <f t="shared" si="18"/>
        <v>447.86832000000004</v>
      </c>
      <c r="X12" s="3">
        <f t="shared" si="18"/>
        <v>526.82432000000006</v>
      </c>
      <c r="Y12" s="3">
        <f t="shared" si="18"/>
        <v>607.78031999999996</v>
      </c>
      <c r="Z12" s="3">
        <f t="shared" si="18"/>
        <v>688.73631999999998</v>
      </c>
      <c r="AA12" s="3">
        <f t="shared" si="18"/>
        <v>757.86631999999997</v>
      </c>
      <c r="AB12" s="3">
        <f t="shared" si="18"/>
        <v>815.17032000000006</v>
      </c>
      <c r="AC12" s="4">
        <f t="shared" si="18"/>
        <v>860.64832000000001</v>
      </c>
    </row>
    <row r="13" spans="1:29" ht="16.05" customHeight="1" thickBot="1" x14ac:dyDescent="0.35">
      <c r="B13" s="24" t="s">
        <v>19</v>
      </c>
      <c r="C13" s="25"/>
      <c r="D13" s="22">
        <f>IF((D10-D11-D12) &gt; 0, (D10-D11-D12)*0.21, 0)</f>
        <v>0</v>
      </c>
      <c r="E13" s="22">
        <f t="shared" ref="E13:AC13" si="19">IF((E10-E11-E12) &gt; 0, (E10-E11-E12)*0.21, 0)</f>
        <v>1.0290000000000001</v>
      </c>
      <c r="F13" s="22">
        <f t="shared" si="19"/>
        <v>3.0869999999999997</v>
      </c>
      <c r="G13" s="22">
        <f t="shared" si="19"/>
        <v>7.2062718000000006</v>
      </c>
      <c r="H13" s="22">
        <f t="shared" si="19"/>
        <v>9.2642717999999995</v>
      </c>
      <c r="I13" s="22">
        <f t="shared" si="19"/>
        <v>22.6576308</v>
      </c>
      <c r="J13" s="22">
        <f t="shared" si="19"/>
        <v>46.357348800000004</v>
      </c>
      <c r="K13" s="22">
        <f t="shared" si="19"/>
        <v>80.363425799999987</v>
      </c>
      <c r="L13" s="22">
        <f t="shared" si="19"/>
        <v>136.01122079999999</v>
      </c>
      <c r="M13" s="22">
        <f t="shared" si="19"/>
        <v>213.30073379999999</v>
      </c>
      <c r="N13" s="22">
        <f t="shared" si="19"/>
        <v>321.5093238</v>
      </c>
      <c r="O13" s="22">
        <f t="shared" si="19"/>
        <v>486.39470879999999</v>
      </c>
      <c r="P13" s="22">
        <f t="shared" si="19"/>
        <v>713.10188879999998</v>
      </c>
      <c r="Q13" s="22">
        <f t="shared" si="19"/>
        <v>1001.6308637999998</v>
      </c>
      <c r="R13" s="22">
        <f t="shared" si="19"/>
        <v>1351.9816337999998</v>
      </c>
      <c r="S13" s="22">
        <f t="shared" si="19"/>
        <v>1764.1541988000001</v>
      </c>
      <c r="T13" s="22">
        <f t="shared" si="19"/>
        <v>2238.1485587999996</v>
      </c>
      <c r="U13" s="22">
        <f t="shared" si="19"/>
        <v>2763.6747138000001</v>
      </c>
      <c r="V13" s="22">
        <f t="shared" si="19"/>
        <v>3340.7326638</v>
      </c>
      <c r="W13" s="22">
        <f t="shared" si="19"/>
        <v>3969.3224087999997</v>
      </c>
      <c r="X13" s="22">
        <f t="shared" si="19"/>
        <v>4670.0239487999997</v>
      </c>
      <c r="Y13" s="22">
        <f t="shared" si="19"/>
        <v>5391.3054887999997</v>
      </c>
      <c r="Z13" s="22">
        <f t="shared" si="19"/>
        <v>6112.5870287999996</v>
      </c>
      <c r="AA13" s="22">
        <f t="shared" si="19"/>
        <v>6730.8049787999989</v>
      </c>
      <c r="AB13" s="22">
        <f t="shared" si="19"/>
        <v>7245.9593388000012</v>
      </c>
      <c r="AC13" s="23">
        <f t="shared" si="19"/>
        <v>7658.0501087999992</v>
      </c>
    </row>
    <row r="14" spans="1:29" ht="16.05" customHeight="1" thickTop="1" x14ac:dyDescent="0.3">
      <c r="B14" s="5" t="s">
        <v>7</v>
      </c>
      <c r="C14" s="6"/>
      <c r="D14" s="7">
        <f t="shared" ref="D14:Q14" si="20">D10-D11-D12-D7-D13</f>
        <v>-50</v>
      </c>
      <c r="E14" s="7">
        <f t="shared" si="20"/>
        <v>-96.128999999999991</v>
      </c>
      <c r="F14" s="7">
        <f t="shared" si="20"/>
        <v>-123.387</v>
      </c>
      <c r="G14" s="7">
        <f t="shared" si="20"/>
        <v>-107.89069179999998</v>
      </c>
      <c r="H14" s="7">
        <f t="shared" si="20"/>
        <v>-190.14869179999999</v>
      </c>
      <c r="I14" s="7">
        <f t="shared" si="20"/>
        <v>-364.76415079999998</v>
      </c>
      <c r="J14" s="7">
        <f t="shared" si="20"/>
        <v>-500.60806880000001</v>
      </c>
      <c r="K14" s="7">
        <f t="shared" si="20"/>
        <v>-597.68044579999992</v>
      </c>
      <c r="L14" s="7">
        <f t="shared" si="20"/>
        <v>-688.3387408000001</v>
      </c>
      <c r="M14" s="7">
        <f t="shared" si="20"/>
        <v>-772.58295380000004</v>
      </c>
      <c r="N14" s="7">
        <f t="shared" si="20"/>
        <v>-1040.5125438</v>
      </c>
      <c r="O14" s="7">
        <f t="shared" si="20"/>
        <v>-645.22942879999982</v>
      </c>
      <c r="P14" s="7">
        <f t="shared" si="20"/>
        <v>-617.37860879999982</v>
      </c>
      <c r="Q14" s="7">
        <f t="shared" si="20"/>
        <v>-356.96008380000035</v>
      </c>
      <c r="R14" s="7">
        <f>R10-R11-R12-R7-R13</f>
        <v>136.02614620000008</v>
      </c>
      <c r="S14" s="7">
        <f t="shared" ref="S14:AC14" si="21">S10-S11-S12-S7-S13</f>
        <v>861.58008120000045</v>
      </c>
      <c r="T14" s="7">
        <f t="shared" si="21"/>
        <v>1819.7017211999992</v>
      </c>
      <c r="U14" s="7">
        <f t="shared" si="21"/>
        <v>2971.6810661999998</v>
      </c>
      <c r="V14" s="7">
        <f t="shared" si="21"/>
        <v>4317.5181162000008</v>
      </c>
      <c r="W14" s="7">
        <f t="shared" si="21"/>
        <v>5857.2128712000003</v>
      </c>
      <c r="X14" s="7">
        <f t="shared" si="21"/>
        <v>7668.1853311999994</v>
      </c>
      <c r="Y14" s="7">
        <f t="shared" si="21"/>
        <v>10381.577791199998</v>
      </c>
      <c r="Z14" s="7">
        <f t="shared" si="21"/>
        <v>13094.970251199997</v>
      </c>
      <c r="AA14" s="7">
        <f t="shared" si="21"/>
        <v>17070.647301199999</v>
      </c>
      <c r="AB14" s="7">
        <f t="shared" si="21"/>
        <v>20658.608941200007</v>
      </c>
      <c r="AC14" s="8">
        <f t="shared" si="21"/>
        <v>23858.855171200001</v>
      </c>
    </row>
    <row r="16" spans="1:29" ht="16.05" customHeight="1" x14ac:dyDescent="0.3">
      <c r="B16" s="29" t="s">
        <v>8</v>
      </c>
      <c r="C16" s="30"/>
      <c r="D16" s="30"/>
      <c r="E16" s="27"/>
      <c r="F16" s="30" t="s">
        <v>11</v>
      </c>
      <c r="G16" s="33"/>
      <c r="I16" s="29" t="s">
        <v>15</v>
      </c>
      <c r="J16" s="30"/>
      <c r="K16" s="30" t="s">
        <v>16</v>
      </c>
      <c r="L16" s="33"/>
      <c r="N16" s="48" t="s">
        <v>24</v>
      </c>
      <c r="O16" s="49"/>
      <c r="P16" s="49"/>
      <c r="Q16" s="54" t="s">
        <v>25</v>
      </c>
      <c r="R16" s="49" t="s">
        <v>11</v>
      </c>
      <c r="S16" s="50"/>
      <c r="T16" s="49"/>
      <c r="U16" s="49"/>
      <c r="V16" s="49"/>
      <c r="W16" s="51"/>
    </row>
    <row r="17" spans="2:23" ht="16.05" customHeight="1" x14ac:dyDescent="0.3">
      <c r="B17" s="1" t="s">
        <v>9</v>
      </c>
      <c r="D17" s="20">
        <f>NPV(F17,E14:AC14)-80</f>
        <v>3040.5827852431544</v>
      </c>
      <c r="F17" s="37">
        <v>0.15</v>
      </c>
      <c r="G17" s="38"/>
      <c r="I17" s="31">
        <f>SUM(I5:AC5)</f>
        <v>643</v>
      </c>
      <c r="J17" s="32"/>
      <c r="K17" s="32">
        <f>AC6/1000</f>
        <v>48.24</v>
      </c>
      <c r="L17" s="34"/>
      <c r="N17" s="1" t="s">
        <v>47</v>
      </c>
      <c r="O17" s="52"/>
      <c r="P17" s="52"/>
      <c r="Q17" s="55" t="s">
        <v>33</v>
      </c>
      <c r="R17" s="52" t="s">
        <v>39</v>
      </c>
      <c r="S17" s="52"/>
      <c r="T17" s="52"/>
      <c r="U17" s="52"/>
      <c r="V17" s="52"/>
      <c r="W17" s="53"/>
    </row>
    <row r="18" spans="2:23" ht="16.05" customHeight="1" x14ac:dyDescent="0.3">
      <c r="B18" s="1" t="s">
        <v>10</v>
      </c>
      <c r="D18" s="20">
        <f>PV(F17, 25, 0, (AC14*18))*-1</f>
        <v>13045.961639235924</v>
      </c>
      <c r="F18" s="35" t="s">
        <v>20</v>
      </c>
      <c r="G18" s="36"/>
      <c r="N18" s="1" t="s">
        <v>26</v>
      </c>
      <c r="O18" s="52"/>
      <c r="P18" s="52"/>
      <c r="Q18" s="55" t="s">
        <v>34</v>
      </c>
      <c r="R18" s="52" t="s">
        <v>40</v>
      </c>
      <c r="S18" s="52"/>
      <c r="T18" s="52"/>
      <c r="U18" s="52"/>
      <c r="V18" s="52"/>
      <c r="W18" s="53"/>
    </row>
    <row r="19" spans="2:23" ht="16.05" customHeight="1" x14ac:dyDescent="0.3">
      <c r="B19" s="1" t="s">
        <v>12</v>
      </c>
      <c r="D19" s="20">
        <f>D18+D17</f>
        <v>16086.544424479078</v>
      </c>
      <c r="F19" s="35"/>
      <c r="G19" s="36"/>
      <c r="N19" s="1" t="s">
        <v>27</v>
      </c>
      <c r="O19" s="52"/>
      <c r="P19" s="52"/>
      <c r="Q19" s="56">
        <v>0.9</v>
      </c>
      <c r="R19" s="52" t="s">
        <v>41</v>
      </c>
      <c r="S19" s="52"/>
      <c r="T19" s="52"/>
      <c r="U19" s="52"/>
      <c r="V19" s="52"/>
      <c r="W19" s="53"/>
    </row>
    <row r="20" spans="2:23" ht="16.05" customHeight="1" thickBot="1" x14ac:dyDescent="0.35">
      <c r="B20" s="12" t="s">
        <v>13</v>
      </c>
      <c r="C20" s="13"/>
      <c r="D20" s="39">
        <f>D19/156.25</f>
        <v>102.95388431666611</v>
      </c>
      <c r="E20" s="13"/>
      <c r="F20" s="40" t="s">
        <v>14</v>
      </c>
      <c r="G20" s="41"/>
      <c r="N20" s="1" t="s">
        <v>28</v>
      </c>
      <c r="O20" s="52"/>
      <c r="P20" s="52"/>
      <c r="Q20" s="55" t="s">
        <v>35</v>
      </c>
      <c r="R20" s="52" t="s">
        <v>42</v>
      </c>
      <c r="S20" s="52"/>
      <c r="T20" s="52"/>
      <c r="U20" s="52"/>
      <c r="V20" s="52"/>
      <c r="W20" s="53"/>
    </row>
    <row r="21" spans="2:23" ht="16.05" customHeight="1" thickTop="1" x14ac:dyDescent="0.3">
      <c r="B21" s="42" t="s">
        <v>21</v>
      </c>
      <c r="C21" s="6"/>
      <c r="D21" s="26">
        <f>D19/400</f>
        <v>40.216361061197695</v>
      </c>
      <c r="E21" s="6"/>
      <c r="F21" s="44" t="s">
        <v>22</v>
      </c>
      <c r="G21" s="45"/>
      <c r="N21" s="1" t="s">
        <v>29</v>
      </c>
      <c r="O21" s="52"/>
      <c r="P21" s="52"/>
      <c r="Q21" s="55" t="s">
        <v>36</v>
      </c>
      <c r="R21" s="52" t="s">
        <v>43</v>
      </c>
      <c r="S21" s="52"/>
      <c r="T21" s="52"/>
      <c r="U21" s="52"/>
      <c r="V21" s="52"/>
      <c r="W21" s="53"/>
    </row>
    <row r="22" spans="2:23" ht="16.05" customHeight="1" x14ac:dyDescent="0.3">
      <c r="N22" s="1" t="s">
        <v>30</v>
      </c>
      <c r="O22" s="52"/>
      <c r="P22" s="52"/>
      <c r="Q22" s="55" t="s">
        <v>37</v>
      </c>
      <c r="R22" s="52" t="s">
        <v>44</v>
      </c>
      <c r="S22" s="52"/>
      <c r="T22" s="52"/>
      <c r="U22" s="52"/>
      <c r="V22" s="52"/>
      <c r="W22" s="53"/>
    </row>
    <row r="23" spans="2:23" ht="16.05" customHeight="1" x14ac:dyDescent="0.3">
      <c r="N23" s="1" t="s">
        <v>31</v>
      </c>
      <c r="O23" s="52"/>
      <c r="P23" s="52"/>
      <c r="Q23" s="55" t="s">
        <v>38</v>
      </c>
      <c r="R23" s="52" t="s">
        <v>45</v>
      </c>
      <c r="S23" s="52"/>
      <c r="T23" s="52"/>
      <c r="U23" s="52"/>
      <c r="V23" s="52"/>
      <c r="W23" s="53"/>
    </row>
    <row r="24" spans="2:23" ht="16.05" customHeight="1" x14ac:dyDescent="0.3">
      <c r="N24" s="5" t="s">
        <v>32</v>
      </c>
      <c r="O24" s="6"/>
      <c r="P24" s="6"/>
      <c r="Q24" s="57">
        <v>0.21</v>
      </c>
      <c r="R24" s="6" t="s">
        <v>46</v>
      </c>
      <c r="S24" s="6"/>
      <c r="T24" s="6"/>
      <c r="U24" s="6"/>
      <c r="V24" s="6"/>
      <c r="W24" s="43"/>
    </row>
  </sheetData>
  <mergeCells count="12">
    <mergeCell ref="A1:F3"/>
    <mergeCell ref="B16:D16"/>
    <mergeCell ref="F18:G18"/>
    <mergeCell ref="F17:G17"/>
    <mergeCell ref="F16:G16"/>
    <mergeCell ref="F21:G21"/>
    <mergeCell ref="I16:J16"/>
    <mergeCell ref="I17:J17"/>
    <mergeCell ref="K16:L16"/>
    <mergeCell ref="K17:L17"/>
    <mergeCell ref="F20:G20"/>
    <mergeCell ref="F19:G19"/>
  </mergeCells>
  <pageMargins left="0.7" right="0.7" top="0.75" bottom="0.75" header="0.3" footer="0.3"/>
  <ignoredErrors>
    <ignoredError sqref="I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 Odabasi</dc:creator>
  <cp:lastModifiedBy>Kerem Odabasi</cp:lastModifiedBy>
  <dcterms:created xsi:type="dcterms:W3CDTF">2025-12-17T02:30:28Z</dcterms:created>
  <dcterms:modified xsi:type="dcterms:W3CDTF">2026-01-04T04:12:27Z</dcterms:modified>
</cp:coreProperties>
</file>