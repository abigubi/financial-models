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87B16C55-4552-4DE1-89F9-E3DA4695BCDE}" xr6:coauthVersionLast="47" xr6:coauthVersionMax="47" xr10:uidLastSave="{00000000-0000-0000-0000-000000000000}"/>
  <bookViews>
    <workbookView xWindow="4416" yWindow="0" windowWidth="21384" windowHeight="16200" xr2:uid="{15DD2EF7-3D38-48BE-91C3-905AF47E584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" l="1"/>
  <c r="Q18" i="1"/>
  <c r="P18" i="1"/>
  <c r="O18" i="1"/>
  <c r="M18" i="1"/>
  <c r="N18" i="1"/>
  <c r="L18" i="1"/>
  <c r="K34" i="1"/>
  <c r="S34" i="1"/>
  <c r="T34" i="1"/>
  <c r="O26" i="1"/>
  <c r="P26" i="1"/>
  <c r="Q26" i="1"/>
  <c r="R26" i="1"/>
  <c r="S26" i="1"/>
  <c r="T26" i="1"/>
  <c r="J34" i="1"/>
  <c r="M26" i="1"/>
  <c r="L26" i="1"/>
  <c r="N26" i="1"/>
  <c r="T15" i="1"/>
  <c r="S15" i="1"/>
  <c r="R15" i="1"/>
  <c r="Q15" i="1"/>
  <c r="P15" i="1"/>
  <c r="O15" i="1"/>
  <c r="N15" i="1"/>
  <c r="M15" i="1"/>
  <c r="L15" i="1"/>
  <c r="K15" i="1"/>
  <c r="J15" i="1"/>
  <c r="S63" i="1"/>
  <c r="R63" i="1" s="1"/>
  <c r="Q63" i="1" s="1"/>
  <c r="P63" i="1" s="1"/>
  <c r="O63" i="1" s="1"/>
  <c r="N63" i="1" s="1"/>
  <c r="M63" i="1" s="1"/>
  <c r="L63" i="1" s="1"/>
  <c r="K63" i="1" s="1"/>
  <c r="J63" i="1" s="1"/>
  <c r="K24" i="1"/>
  <c r="J24" i="1"/>
  <c r="J35" i="1" s="1"/>
  <c r="K22" i="1"/>
  <c r="J22" i="1"/>
  <c r="I28" i="1"/>
  <c r="H28" i="1"/>
  <c r="G28" i="1"/>
  <c r="F28" i="1"/>
  <c r="E28" i="1"/>
  <c r="I27" i="1"/>
  <c r="F27" i="1"/>
  <c r="E27" i="1"/>
  <c r="J26" i="1"/>
  <c r="J27" i="1" s="1"/>
  <c r="J32" i="1"/>
  <c r="I32" i="1"/>
  <c r="H32" i="1"/>
  <c r="G32" i="1"/>
  <c r="F32" i="1"/>
  <c r="E32" i="1"/>
  <c r="K30" i="1"/>
  <c r="K31" i="1" s="1"/>
  <c r="J19" i="1"/>
  <c r="I19" i="1"/>
  <c r="H19" i="1"/>
  <c r="G19" i="1"/>
  <c r="F19" i="1"/>
  <c r="E19" i="1"/>
  <c r="K13" i="1"/>
  <c r="K19" i="1" s="1"/>
  <c r="N52" i="1"/>
  <c r="R9" i="1"/>
  <c r="R10" i="1" s="1"/>
  <c r="N49" i="1"/>
  <c r="N51" i="1"/>
  <c r="N50" i="1"/>
  <c r="E50" i="1"/>
  <c r="E53" i="1" s="1"/>
  <c r="I40" i="1"/>
  <c r="H40" i="1"/>
  <c r="G40" i="1"/>
  <c r="F40" i="1"/>
  <c r="E40" i="1"/>
  <c r="J31" i="1"/>
  <c r="G31" i="1"/>
  <c r="F31" i="1"/>
  <c r="J14" i="1"/>
  <c r="I14" i="1"/>
  <c r="H14" i="1"/>
  <c r="G14" i="1"/>
  <c r="F14" i="1"/>
  <c r="P8" i="2"/>
  <c r="Q7" i="2"/>
  <c r="P7" i="2"/>
  <c r="F9" i="2"/>
  <c r="F10" i="2" s="1"/>
  <c r="G9" i="2"/>
  <c r="G10" i="2" s="1"/>
  <c r="I8" i="2"/>
  <c r="I7" i="2"/>
  <c r="H8" i="2"/>
  <c r="H7" i="2"/>
  <c r="L8" i="2"/>
  <c r="L7" i="2"/>
  <c r="L9" i="2" s="1"/>
  <c r="L10" i="2" s="1"/>
  <c r="K8" i="2"/>
  <c r="O8" i="2"/>
  <c r="K7" i="2"/>
  <c r="O7" i="2"/>
  <c r="K36" i="1" l="1"/>
  <c r="K37" i="1" s="1"/>
  <c r="J16" i="1"/>
  <c r="J36" i="1"/>
  <c r="J37" i="1" s="1"/>
  <c r="K16" i="1"/>
  <c r="K35" i="1"/>
  <c r="J39" i="1"/>
  <c r="J40" i="1" s="1"/>
  <c r="J28" i="1"/>
  <c r="N53" i="1"/>
  <c r="K26" i="1"/>
  <c r="K39" i="1" s="1"/>
  <c r="K40" i="1" s="1"/>
  <c r="K32" i="1"/>
  <c r="L30" i="1"/>
  <c r="M30" i="1" s="1"/>
  <c r="L13" i="1"/>
  <c r="L16" i="1" s="1"/>
  <c r="L31" i="1"/>
  <c r="K14" i="1"/>
  <c r="F15" i="2"/>
  <c r="F24" i="2" s="1"/>
  <c r="F29" i="2" s="1"/>
  <c r="J30" i="2" s="1"/>
  <c r="G15" i="2"/>
  <c r="G24" i="2" s="1"/>
  <c r="L15" i="2"/>
  <c r="L24" i="2" s="1"/>
  <c r="P11" i="2"/>
  <c r="N8" i="2"/>
  <c r="N7" i="2"/>
  <c r="P9" i="2"/>
  <c r="I9" i="2"/>
  <c r="H9" i="2"/>
  <c r="M8" i="2"/>
  <c r="J7" i="2"/>
  <c r="K9" i="2"/>
  <c r="J8" i="2"/>
  <c r="O9" i="2"/>
  <c r="L14" i="1" l="1"/>
  <c r="N30" i="1"/>
  <c r="O30" i="1" s="1"/>
  <c r="P30" i="1" s="1"/>
  <c r="Q30" i="1" s="1"/>
  <c r="R30" i="1" s="1"/>
  <c r="S30" i="1" s="1"/>
  <c r="T30" i="1" s="1"/>
  <c r="K27" i="1"/>
  <c r="K28" i="1"/>
  <c r="L32" i="1"/>
  <c r="L24" i="1"/>
  <c r="L34" i="1" s="1"/>
  <c r="M13" i="1"/>
  <c r="M16" i="1" s="1"/>
  <c r="N9" i="2"/>
  <c r="G29" i="2"/>
  <c r="G27" i="2"/>
  <c r="L29" i="2"/>
  <c r="L27" i="2"/>
  <c r="P10" i="2"/>
  <c r="P15" i="2"/>
  <c r="L20" i="2"/>
  <c r="L16" i="2"/>
  <c r="G16" i="2"/>
  <c r="G20" i="2"/>
  <c r="F16" i="2"/>
  <c r="F20" i="2"/>
  <c r="I10" i="2"/>
  <c r="I15" i="2"/>
  <c r="I24" i="2" s="1"/>
  <c r="H10" i="2"/>
  <c r="H15" i="2"/>
  <c r="H24" i="2" s="1"/>
  <c r="N10" i="2"/>
  <c r="N15" i="2"/>
  <c r="N24" i="2" s="1"/>
  <c r="K10" i="2"/>
  <c r="K15" i="2"/>
  <c r="K24" i="2" s="1"/>
  <c r="O10" i="2"/>
  <c r="O15" i="2"/>
  <c r="O24" i="2" s="1"/>
  <c r="M7" i="2"/>
  <c r="J9" i="2"/>
  <c r="Q8" i="2"/>
  <c r="Q9" i="2" s="1"/>
  <c r="L39" i="1" l="1"/>
  <c r="L40" i="1" s="1"/>
  <c r="L19" i="1"/>
  <c r="L22" i="1"/>
  <c r="L27" i="1"/>
  <c r="L28" i="1"/>
  <c r="M32" i="1"/>
  <c r="M31" i="1"/>
  <c r="N13" i="1"/>
  <c r="M14" i="1"/>
  <c r="K29" i="2"/>
  <c r="K30" i="2" s="1"/>
  <c r="K27" i="2"/>
  <c r="O27" i="2"/>
  <c r="O29" i="2"/>
  <c r="O30" i="2" s="1"/>
  <c r="H29" i="2"/>
  <c r="H27" i="2"/>
  <c r="N27" i="2"/>
  <c r="N29" i="2"/>
  <c r="I29" i="2"/>
  <c r="I27" i="2"/>
  <c r="P20" i="2"/>
  <c r="P24" i="2"/>
  <c r="L30" i="2"/>
  <c r="K20" i="2"/>
  <c r="K16" i="2"/>
  <c r="K17" i="2"/>
  <c r="O16" i="2"/>
  <c r="O17" i="2"/>
  <c r="O20" i="2"/>
  <c r="N20" i="2"/>
  <c r="N16" i="2"/>
  <c r="H20" i="2"/>
  <c r="H16" i="2"/>
  <c r="L17" i="2"/>
  <c r="P17" i="2"/>
  <c r="P16" i="2"/>
  <c r="I16" i="2"/>
  <c r="I20" i="2"/>
  <c r="Q10" i="2"/>
  <c r="Q15" i="2"/>
  <c r="J10" i="2"/>
  <c r="J15" i="2"/>
  <c r="J24" i="2" s="1"/>
  <c r="Q11" i="2"/>
  <c r="M9" i="2"/>
  <c r="N16" i="1" l="1"/>
  <c r="L35" i="1"/>
  <c r="L36" i="1"/>
  <c r="L37" i="1" s="1"/>
  <c r="M19" i="1"/>
  <c r="M21" i="1"/>
  <c r="M22" i="1" s="1"/>
  <c r="M27" i="1"/>
  <c r="M28" i="1"/>
  <c r="N32" i="1"/>
  <c r="N31" i="1"/>
  <c r="O13" i="1"/>
  <c r="N14" i="1"/>
  <c r="P29" i="2"/>
  <c r="P30" i="2" s="1"/>
  <c r="P27" i="2"/>
  <c r="J29" i="2"/>
  <c r="N30" i="2" s="1"/>
  <c r="J27" i="2"/>
  <c r="Q20" i="2"/>
  <c r="Q24" i="2"/>
  <c r="Q16" i="2"/>
  <c r="J20" i="2"/>
  <c r="J16" i="2"/>
  <c r="N17" i="2"/>
  <c r="M10" i="2"/>
  <c r="M15" i="2"/>
  <c r="M24" i="2" s="1"/>
  <c r="O16" i="1" l="1"/>
  <c r="M24" i="1"/>
  <c r="M34" i="1" s="1"/>
  <c r="N19" i="1"/>
  <c r="N21" i="1"/>
  <c r="N22" i="1" s="1"/>
  <c r="N27" i="1"/>
  <c r="N28" i="1"/>
  <c r="O32" i="1"/>
  <c r="O31" i="1"/>
  <c r="P13" i="1"/>
  <c r="P16" i="1" s="1"/>
  <c r="O14" i="1"/>
  <c r="M29" i="2"/>
  <c r="M30" i="2" s="1"/>
  <c r="M27" i="2"/>
  <c r="Q29" i="2"/>
  <c r="Q30" i="2" s="1"/>
  <c r="Q27" i="2"/>
  <c r="M20" i="2"/>
  <c r="M17" i="2"/>
  <c r="M16" i="2"/>
  <c r="Q17" i="2"/>
  <c r="M39" i="1" l="1"/>
  <c r="M40" i="1" s="1"/>
  <c r="P28" i="1"/>
  <c r="N24" i="1"/>
  <c r="N34" i="1" s="1"/>
  <c r="O19" i="1"/>
  <c r="O21" i="1"/>
  <c r="O22" i="1" s="1"/>
  <c r="O27" i="1"/>
  <c r="O28" i="1"/>
  <c r="P27" i="1"/>
  <c r="P32" i="1"/>
  <c r="P31" i="1"/>
  <c r="P14" i="1"/>
  <c r="Q13" i="1"/>
  <c r="Q16" i="1" s="1"/>
  <c r="M35" i="1" l="1"/>
  <c r="M36" i="1"/>
  <c r="M37" i="1" s="1"/>
  <c r="N39" i="1"/>
  <c r="N40" i="1" s="1"/>
  <c r="Q28" i="1"/>
  <c r="O24" i="1"/>
  <c r="O34" i="1" s="1"/>
  <c r="P19" i="1"/>
  <c r="P21" i="1"/>
  <c r="P22" i="1" s="1"/>
  <c r="Q27" i="1"/>
  <c r="Q32" i="1"/>
  <c r="Q31" i="1"/>
  <c r="Q14" i="1"/>
  <c r="R13" i="1"/>
  <c r="R16" i="1" s="1"/>
  <c r="N35" i="1" l="1"/>
  <c r="N36" i="1"/>
  <c r="N37" i="1" s="1"/>
  <c r="O39" i="1"/>
  <c r="O40" i="1" s="1"/>
  <c r="R28" i="1"/>
  <c r="P24" i="1"/>
  <c r="P34" i="1" s="1"/>
  <c r="Q19" i="1"/>
  <c r="Q21" i="1"/>
  <c r="Q22" i="1" s="1"/>
  <c r="R32" i="1"/>
  <c r="R27" i="1"/>
  <c r="R31" i="1"/>
  <c r="R14" i="1"/>
  <c r="S13" i="1"/>
  <c r="S16" i="1" s="1"/>
  <c r="O35" i="1" l="1"/>
  <c r="O36" i="1"/>
  <c r="O37" i="1" s="1"/>
  <c r="P39" i="1"/>
  <c r="P40" i="1" s="1"/>
  <c r="S28" i="1"/>
  <c r="Q24" i="1"/>
  <c r="Q34" i="1" s="1"/>
  <c r="R19" i="1"/>
  <c r="R21" i="1"/>
  <c r="R22" i="1" s="1"/>
  <c r="S27" i="1"/>
  <c r="S32" i="1"/>
  <c r="S31" i="1"/>
  <c r="T13" i="1"/>
  <c r="T16" i="1" s="1"/>
  <c r="S18" i="1"/>
  <c r="S14" i="1"/>
  <c r="P35" i="1" l="1"/>
  <c r="P36" i="1"/>
  <c r="P37" i="1" s="1"/>
  <c r="Q39" i="1"/>
  <c r="Q40" i="1" s="1"/>
  <c r="T28" i="1"/>
  <c r="R24" i="1"/>
  <c r="R34" i="1" s="1"/>
  <c r="S19" i="1"/>
  <c r="S21" i="1"/>
  <c r="S22" i="1" s="1"/>
  <c r="T32" i="1"/>
  <c r="T31" i="1"/>
  <c r="T18" i="1"/>
  <c r="T14" i="1"/>
  <c r="Q35" i="1" l="1"/>
  <c r="Q36" i="1"/>
  <c r="Q37" i="1" s="1"/>
  <c r="R39" i="1"/>
  <c r="R40" i="1" s="1"/>
  <c r="T27" i="1"/>
  <c r="S24" i="1"/>
  <c r="T19" i="1"/>
  <c r="T21" i="1"/>
  <c r="T22" i="1" s="1"/>
  <c r="R35" i="1" l="1"/>
  <c r="R36" i="1"/>
  <c r="R37" i="1" s="1"/>
  <c r="S39" i="1"/>
  <c r="S40" i="1" s="1"/>
  <c r="T24" i="1"/>
  <c r="S35" i="1" l="1"/>
  <c r="S36" i="1"/>
  <c r="S37" i="1" s="1"/>
  <c r="T39" i="1"/>
  <c r="N44" i="1" s="1"/>
  <c r="N46" i="1"/>
  <c r="T40" i="1" l="1"/>
  <c r="T35" i="1"/>
  <c r="T36" i="1"/>
  <c r="T37" i="1" s="1"/>
  <c r="N48" i="1"/>
  <c r="N54" i="1" s="1"/>
  <c r="D9" i="1" l="1"/>
  <c r="D10" i="1" s="1"/>
</calcChain>
</file>

<file path=xl/sharedStrings.xml><?xml version="1.0" encoding="utf-8"?>
<sst xmlns="http://schemas.openxmlformats.org/spreadsheetml/2006/main" count="127" uniqueCount="112">
  <si>
    <t>Company Overview</t>
  </si>
  <si>
    <t>Target:</t>
  </si>
  <si>
    <t>Price</t>
  </si>
  <si>
    <t>Ticker</t>
  </si>
  <si>
    <t>Current Price</t>
  </si>
  <si>
    <t>Target Price</t>
  </si>
  <si>
    <t>TP Upside</t>
  </si>
  <si>
    <t>Key Stats</t>
  </si>
  <si>
    <t>Employees</t>
  </si>
  <si>
    <t>Founded</t>
  </si>
  <si>
    <t>CEO</t>
  </si>
  <si>
    <t>Headquarter</t>
  </si>
  <si>
    <t>Valuation</t>
  </si>
  <si>
    <t>Share Price</t>
  </si>
  <si>
    <t>Shares O/S (million)</t>
  </si>
  <si>
    <t>Enterprise Value</t>
  </si>
  <si>
    <t>Net Debt (millions)</t>
  </si>
  <si>
    <t>Market</t>
  </si>
  <si>
    <t>Date:</t>
  </si>
  <si>
    <t>Revenue</t>
  </si>
  <si>
    <t>EBITDA</t>
  </si>
  <si>
    <t>Net Income</t>
  </si>
  <si>
    <t>EPS</t>
  </si>
  <si>
    <t>Income Statement</t>
  </si>
  <si>
    <t>COGS</t>
  </si>
  <si>
    <t>Gross Profit</t>
  </si>
  <si>
    <t>SG&amp;A</t>
  </si>
  <si>
    <t>EBIT</t>
  </si>
  <si>
    <t>EBT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</si>
  <si>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</si>
  <si>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</si>
  <si>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</si>
  <si>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</si>
  <si>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</si>
  <si>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</si>
  <si>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</si>
  <si>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</si>
  <si>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</si>
  <si>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</si>
  <si>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D&amp;A</t>
  </si>
  <si>
    <t>Interest Expense</t>
  </si>
  <si>
    <t>FCF</t>
  </si>
  <si>
    <t>Last Updated:</t>
  </si>
  <si>
    <t>Total Revenue</t>
  </si>
  <si>
    <t>Q3 2025E</t>
  </si>
  <si>
    <t>Q4 2025E</t>
  </si>
  <si>
    <t>Margin</t>
  </si>
  <si>
    <t>YoY Growth</t>
  </si>
  <si>
    <t>Opex</t>
  </si>
  <si>
    <t>Interest &amp; Investment Income</t>
  </si>
  <si>
    <t>Income Tax</t>
  </si>
  <si>
    <t>Tax Rate</t>
  </si>
  <si>
    <t>Market Cap</t>
  </si>
  <si>
    <t>2026E</t>
  </si>
  <si>
    <t>2027E</t>
  </si>
  <si>
    <t>2028E</t>
  </si>
  <si>
    <t>2029E</t>
  </si>
  <si>
    <t>2030E</t>
  </si>
  <si>
    <t>WACC</t>
  </si>
  <si>
    <t>All figures in USD millions unless stated</t>
  </si>
  <si>
    <t>DCF</t>
  </si>
  <si>
    <t>% of sales</t>
  </si>
  <si>
    <t>CapEx</t>
  </si>
  <si>
    <t>% of Equity</t>
  </si>
  <si>
    <t>Risk Free Rate</t>
  </si>
  <si>
    <t>Beta</t>
  </si>
  <si>
    <t>Market Risk Premium</t>
  </si>
  <si>
    <t>Debt</t>
  </si>
  <si>
    <t>% of Debt</t>
  </si>
  <si>
    <t>Cost of Debt</t>
  </si>
  <si>
    <t>2031E</t>
  </si>
  <si>
    <t>2032E</t>
  </si>
  <si>
    <t>2033E</t>
  </si>
  <si>
    <t>2034E</t>
  </si>
  <si>
    <t>2035E</t>
  </si>
  <si>
    <t>2025E</t>
  </si>
  <si>
    <t>% change</t>
  </si>
  <si>
    <t>Notes</t>
  </si>
  <si>
    <t>Billion</t>
  </si>
  <si>
    <t>10-yr Treasury</t>
  </si>
  <si>
    <t>Cost of Equity</t>
  </si>
  <si>
    <t>Terminal Value</t>
  </si>
  <si>
    <t>Terminal Growth</t>
  </si>
  <si>
    <t>NPV</t>
  </si>
  <si>
    <t>Total DCF Value</t>
  </si>
  <si>
    <t>Toloka</t>
  </si>
  <si>
    <t>Triple Ten</t>
  </si>
  <si>
    <t>ClickHouse</t>
  </si>
  <si>
    <t>Assuming 80% stake at 200m valuation</t>
  </si>
  <si>
    <t>Assuming 60% Stake at 1b valuation</t>
  </si>
  <si>
    <t>Avride Stake</t>
  </si>
  <si>
    <t>Q3 25</t>
  </si>
  <si>
    <t>Nebius</t>
  </si>
  <si>
    <t>Nasdaq: NBIS</t>
  </si>
  <si>
    <t>Arkady Volozh</t>
  </si>
  <si>
    <t>Amsterdam, Netherlands</t>
  </si>
  <si>
    <t>75% stake at 4b valuation (17% employees, 9% uber)</t>
  </si>
  <si>
    <t>Offset by 4.795b in cash</t>
  </si>
  <si>
    <t>Sum of Parts Valuation</t>
  </si>
  <si>
    <t>DCF till 2035</t>
  </si>
  <si>
    <t xml:space="preserve"> </t>
  </si>
  <si>
    <t>Discounted Minority Stake</t>
  </si>
  <si>
    <t>30% Discount</t>
  </si>
  <si>
    <t>Total</t>
  </si>
  <si>
    <t>% of capex</t>
  </si>
  <si>
    <t>EBIAT</t>
  </si>
  <si>
    <t>% of EBIT</t>
  </si>
  <si>
    <t>Tax Expense</t>
  </si>
  <si>
    <t>18x multiple stock price</t>
  </si>
  <si>
    <t>PV of stock price</t>
  </si>
  <si>
    <t>28% stake at 15b valuation</t>
  </si>
  <si>
    <t>3x multiple stock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</si>
</sst>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8" formatCode="&quot;$&quot;#,##0.00_);[Red]\(&quot;$&quot;#,##0.00\)"/>
    <numFmt numFmtId="43" formatCode="_(* #,##0.00_);_(* \(#,##0.00\);_(* &quot;-&quot;??_);_(@_)"/>
    <numFmt numFmtId="164" formatCode="[$-409]d\-mmm;@"/>
    <numFmt numFmtId="165" formatCode="_(* #,##0.0_);_(* \(#,##0.0\);_(* &quot;-&quot;?_);_(@_)"/>
    <numFmt numFmtId="166" formatCode="0.0%"/>
  </numFmts>
  <fonts count="11" x14ac:knownFonts="1"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color theme="0"/>
      <name val="Calibri"/>
      <family val="2"/>
    </font>
    <font>
      <i/>
      <sz val="12"/>
      <color theme="6" tint="-0.499984740745262"/>
      <name val="Calibri"/>
      <family val="2"/>
    </font>
    <font>
      <b/>
      <sz val="12"/>
      <color theme="1"/>
      <name val="Calibri"/>
      <family val="2"/>
    </font>
    <font>
      <i/>
      <sz val="12"/>
      <color theme="4"/>
      <name val="Calibri"/>
      <family val="2"/>
    </font>
    <font>
      <i/>
      <sz val="12"/>
      <color theme="4" tint="-0.249977111117893"/>
      <name val="Calibri"/>
      <family val="2"/>
    </font>
    <font>
      <i/>
      <sz val="12"/>
      <color theme="1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165" fontId="3" fillId="0" borderId="0" xfId="0" applyNumberFormat="1" applyFont="1"/>
    <xf numFmtId="3" fontId="3" fillId="0" borderId="0" xfId="0" applyNumberFormat="1" applyFont="1"/>
    <xf numFmtId="0" fontId="7" fillId="0" borderId="0" xfId="0" applyFont="1"/>
    <xf numFmtId="10" fontId="7" fillId="0" borderId="0" xfId="0" applyNumberFormat="1" applyFont="1"/>
    <xf numFmtId="10" fontId="8" fillId="0" borderId="0" xfId="0" applyNumberFormat="1" applyFont="1"/>
    <xf numFmtId="37" fontId="7" fillId="0" borderId="0" xfId="0" applyNumberFormat="1" applyFont="1" applyAlignment="1">
      <alignment horizontal="right"/>
    </xf>
    <xf numFmtId="10" fontId="3" fillId="0" borderId="0" xfId="0" applyNumberFormat="1" applyFont="1"/>
    <xf numFmtId="37" fontId="3" fillId="0" borderId="0" xfId="0" applyNumberFormat="1" applyFont="1"/>
    <xf numFmtId="37" fontId="7" fillId="0" borderId="0" xfId="0" applyNumberFormat="1" applyFont="1"/>
    <xf numFmtId="0" fontId="6" fillId="0" borderId="0" xfId="0" applyFont="1"/>
    <xf numFmtId="0" fontId="9" fillId="0" borderId="0" xfId="0" applyFont="1"/>
    <xf numFmtId="37" fontId="9" fillId="0" borderId="0" xfId="0" applyNumberFormat="1" applyFont="1"/>
    <xf numFmtId="165" fontId="6" fillId="0" borderId="0" xfId="0" applyNumberFormat="1" applyFont="1"/>
    <xf numFmtId="43" fontId="3" fillId="0" borderId="0" xfId="0" applyNumberFormat="1" applyFont="1"/>
    <xf numFmtId="9" fontId="7" fillId="0" borderId="0" xfId="0" applyNumberFormat="1" applyFont="1"/>
    <xf numFmtId="14" fontId="3" fillId="0" borderId="0" xfId="0" applyNumberFormat="1" applyFont="1"/>
    <xf numFmtId="0" fontId="10" fillId="2" borderId="0" xfId="0" applyFont="1" applyFill="1"/>
    <xf numFmtId="0" fontId="3" fillId="2" borderId="0" xfId="0" applyFont="1" applyFill="1"/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2" borderId="0" xfId="0" applyFont="1" applyFill="1" applyAlignment="1">
      <alignment horizontal="right"/>
    </xf>
    <xf numFmtId="37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9" fontId="9" fillId="0" borderId="0" xfId="0" applyNumberFormat="1" applyFont="1"/>
    <xf numFmtId="37" fontId="6" fillId="0" borderId="0" xfId="0" applyNumberFormat="1" applyFont="1"/>
    <xf numFmtId="37" fontId="6" fillId="0" borderId="0" xfId="0" applyNumberFormat="1" applyFont="1" applyAlignment="1">
      <alignment horizontal="center"/>
    </xf>
    <xf numFmtId="0" fontId="10" fillId="2" borderId="0" xfId="0" applyFont="1" applyFill="1" applyAlignment="1">
      <alignment horizontal="center"/>
    </xf>
    <xf numFmtId="8" fontId="3" fillId="0" borderId="0" xfId="0" applyNumberFormat="1" applyFont="1"/>
    <xf numFmtId="0" fontId="3" fillId="0" borderId="1" xfId="0" applyFont="1" applyBorder="1"/>
    <xf numFmtId="166" fontId="3" fillId="0" borderId="0" xfId="0" applyNumberFormat="1" applyFont="1"/>
    <xf numFmtId="8" fontId="3" fillId="0" borderId="1" xfId="0" applyNumberFormat="1" applyFont="1" applyBorder="1"/>
    <xf numFmtId="10" fontId="3" fillId="0" borderId="1" xfId="0" applyNumberFormat="1" applyFont="1" applyBorder="1"/>
    <xf numFmtId="0" fontId="3" fillId="4" borderId="0" xfId="0" applyFont="1" applyFill="1"/>
    <xf numFmtId="0" fontId="2" fillId="0" borderId="0" xfId="0" applyFont="1"/>
    <xf numFmtId="0" fontId="2" fillId="0" borderId="1" xfId="0" applyFont="1" applyBorder="1"/>
    <xf numFmtId="5" fontId="3" fillId="0" borderId="0" xfId="0" applyNumberFormat="1" applyFont="1"/>
    <xf numFmtId="9" fontId="3" fillId="0" borderId="0" xfId="0" applyNumberFormat="1" applyFont="1"/>
    <xf numFmtId="0" fontId="1" fillId="0" borderId="0" xfId="0" applyFont="1"/>
    <xf numFmtId="0" fontId="10" fillId="2" borderId="0" xfId="0" applyFont="1" applyFill="1" applyAlignment="1">
      <alignment horizontal="center"/>
    </xf>
    <xf numFmtId="9" fontId="3" fillId="0" borderId="0" xfId="0" applyNumberFormat="1" applyFont="1" applyAlignment="1">
      <alignment horizontal="center"/>
    </xf>
    <xf numFmtId="14" fontId="3" fillId="0" borderId="0" xfId="0" applyNumberFormat="1" applyFont="1"/>
    <xf numFmtId="3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6" fillId="0" borderId="1" xfId="0" applyFont="1" applyBorder="1"/>
    <xf numFmtId="0" fontId="4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141515</xdr:colOff>
      <xdr:row>1</xdr:row>
      <xdr:rowOff>0</xdr:rowOff>
    </xdr:from>
    <xdr:to>
      <xdr:col>2</xdr:col>
      <xdr:colOff>268493</xdr:colOff>
      <xdr:row>3</xdr:row>
      <xdr:rowOff>190416</xdr:rowOff>
    </xdr:to>
    <xdr:pic>
      <xdr:nvPicPr>
        <xdr:cNvPr id="2" name="Picture 1" descr="Nebius User Experience: A Field Report - True Theta">
          <a:extLst>
            <a:ext uri="{FF2B5EF4-FFF2-40B4-BE49-F238E27FC236}">
              <a16:creationId xmlns:a16="http://schemas.microsoft.com/office/drawing/2014/main" id="{A6282E5F-A031-04BA-C854-EAE5A4484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235" y="198120"/>
          <a:ext cx="1006416" cy="586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4F81BD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9371-19EA-41D7-B8D8-BE7C845CD03C}">
  <dimension ref="A2:U63"/>
  <sheetViews>
    <sheetView showGridLines="0" tabSelected="1" zoomScale="70" zoomScaleNormal="70" workbookViewId="0">
      <selection activeCell="A58" sqref="A58"/>
    </sheetView>
  </sheetViews>
  <sheetFormatPr defaultColWidth="12.77734375" defaultRowHeight="15.6" x14ac:dyDescent="0.3"/>
  <cols>
    <col min="1" max="16384" width="12.77734375" style="1"/>
  </cols>
  <sheetData>
    <row r="2" spans="1:21" x14ac:dyDescent="0.3">
      <c r="B2" s="55"/>
      <c r="C2" s="55"/>
      <c r="D2" s="56" t="s">
        <v>92</v>
      </c>
      <c r="E2" s="56"/>
      <c r="F2" s="56"/>
    </row>
    <row r="3" spans="1:21" x14ac:dyDescent="0.3">
      <c r="B3" s="55"/>
      <c r="C3" s="55"/>
      <c r="D3" s="56"/>
      <c r="E3" s="56"/>
      <c r="F3" s="56"/>
      <c r="H3" s="13"/>
      <c r="J3" s="13"/>
      <c r="L3" s="13" t="s">
        <v>1</v>
      </c>
      <c r="M3" s="1">
        <v>119.64</v>
      </c>
      <c r="O3" s="13" t="s">
        <v>42</v>
      </c>
      <c r="Q3" s="19" t="s">
        <v>91</v>
      </c>
      <c r="R3" s="13" t="s">
        <v>18</v>
      </c>
      <c r="S3" s="47">
        <v>46037</v>
      </c>
      <c r="T3" s="47"/>
    </row>
    <row r="4" spans="1:21" x14ac:dyDescent="0.3">
      <c r="B4" s="55"/>
      <c r="C4" s="55"/>
      <c r="D4" s="56"/>
      <c r="E4" s="56"/>
      <c r="F4" s="56"/>
    </row>
    <row r="5" spans="1:21" x14ac:dyDescent="0.3">
      <c r="B5" s="20" t="s">
        <v>0</v>
      </c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39"/>
    </row>
    <row r="6" spans="1:21" s="13" customFormat="1" x14ac:dyDescent="0.3">
      <c r="A6" s="1"/>
      <c r="B6" s="57" t="s">
        <v>2</v>
      </c>
      <c r="C6" s="57"/>
      <c r="D6" s="57"/>
      <c r="E6" s="57"/>
      <c r="F6" s="57"/>
      <c r="H6" s="57" t="s">
        <v>7</v>
      </c>
      <c r="I6" s="57"/>
      <c r="J6" s="57"/>
      <c r="K6" s="57"/>
      <c r="L6" s="57"/>
      <c r="M6" s="57"/>
      <c r="O6" s="57" t="s">
        <v>12</v>
      </c>
      <c r="P6" s="57"/>
      <c r="Q6" s="57"/>
      <c r="R6" s="22" t="s">
        <v>17</v>
      </c>
    </row>
    <row r="7" spans="1:21" x14ac:dyDescent="0.3">
      <c r="B7" s="54" t="s">
        <v>3</v>
      </c>
      <c r="C7" s="54"/>
      <c r="D7" s="50" t="s">
        <v>93</v>
      </c>
      <c r="E7" s="51"/>
      <c r="F7" s="51"/>
      <c r="H7" s="54" t="s">
        <v>8</v>
      </c>
      <c r="I7" s="54"/>
      <c r="J7" s="48">
        <v>1371</v>
      </c>
      <c r="K7" s="48"/>
      <c r="L7" s="48"/>
      <c r="M7" s="48"/>
      <c r="O7" s="1" t="s">
        <v>13</v>
      </c>
      <c r="R7" s="11">
        <v>87.41</v>
      </c>
      <c r="S7" s="23"/>
      <c r="T7" s="23"/>
    </row>
    <row r="8" spans="1:21" x14ac:dyDescent="0.3">
      <c r="B8" s="55" t="s">
        <v>4</v>
      </c>
      <c r="C8" s="55"/>
      <c r="D8" s="52">
        <v>70</v>
      </c>
      <c r="E8" s="52"/>
      <c r="F8" s="52"/>
      <c r="H8" s="55" t="s">
        <v>9</v>
      </c>
      <c r="I8" s="55"/>
      <c r="J8" s="49">
        <v>2000</v>
      </c>
      <c r="K8" s="49"/>
      <c r="L8" s="49"/>
      <c r="M8" s="49"/>
      <c r="O8" s="1" t="s">
        <v>14</v>
      </c>
      <c r="R8" s="11">
        <v>259</v>
      </c>
      <c r="S8" s="23"/>
      <c r="T8" s="23"/>
    </row>
    <row r="9" spans="1:21" x14ac:dyDescent="0.3">
      <c r="B9" s="55" t="s">
        <v>5</v>
      </c>
      <c r="C9" s="55"/>
      <c r="D9" s="52">
        <f>N54/R8</f>
        <v>102.39055573940966</v>
      </c>
      <c r="E9" s="52"/>
      <c r="F9" s="52"/>
      <c r="H9" s="55" t="s">
        <v>10</v>
      </c>
      <c r="I9" s="55"/>
      <c r="J9" s="49" t="s">
        <v>94</v>
      </c>
      <c r="K9" s="49"/>
      <c r="L9" s="49"/>
      <c r="M9" s="49"/>
      <c r="O9" s="1" t="s">
        <v>16</v>
      </c>
      <c r="R9" s="11">
        <f>-4795-107.1+4091+405.4</f>
        <v>-405.70000000000039</v>
      </c>
      <c r="S9" s="27"/>
      <c r="T9" s="27"/>
    </row>
    <row r="10" spans="1:21" x14ac:dyDescent="0.3">
      <c r="B10" s="55" t="s">
        <v>6</v>
      </c>
      <c r="C10" s="55"/>
      <c r="D10" s="46">
        <f>D9/D8-1</f>
        <v>0.46272222484870951</v>
      </c>
      <c r="E10" s="46"/>
      <c r="F10" s="46"/>
      <c r="H10" s="55" t="s">
        <v>11</v>
      </c>
      <c r="I10" s="55"/>
      <c r="J10" s="49" t="s">
        <v>95</v>
      </c>
      <c r="K10" s="49"/>
      <c r="L10" s="49"/>
      <c r="M10" s="49"/>
      <c r="O10" s="1" t="s">
        <v>15</v>
      </c>
      <c r="R10" s="11">
        <f>R7*R8+R9</f>
        <v>22233.489999999998</v>
      </c>
      <c r="S10" s="23"/>
      <c r="T10" s="23"/>
    </row>
    <row r="11" spans="1:21" x14ac:dyDescent="0.3">
      <c r="B11" s="55"/>
      <c r="C11" s="55"/>
      <c r="D11" s="46"/>
      <c r="E11" s="46"/>
      <c r="F11" s="46"/>
      <c r="H11" s="55"/>
      <c r="I11" s="55"/>
      <c r="J11" s="53"/>
      <c r="K11" s="53"/>
      <c r="L11" s="53"/>
      <c r="M11" s="53"/>
      <c r="S11" s="28"/>
      <c r="T11" s="28"/>
    </row>
    <row r="12" spans="1:21" x14ac:dyDescent="0.3">
      <c r="B12" s="20" t="s">
        <v>60</v>
      </c>
      <c r="C12" s="20"/>
      <c r="D12" s="21"/>
      <c r="E12" s="20">
        <v>2020</v>
      </c>
      <c r="F12" s="20">
        <v>2021</v>
      </c>
      <c r="G12" s="20">
        <v>2022</v>
      </c>
      <c r="H12" s="20">
        <v>2023</v>
      </c>
      <c r="I12" s="20">
        <v>2024</v>
      </c>
      <c r="J12" s="24" t="s">
        <v>75</v>
      </c>
      <c r="K12" s="24" t="s">
        <v>53</v>
      </c>
      <c r="L12" s="24" t="s">
        <v>54</v>
      </c>
      <c r="M12" s="24" t="s">
        <v>55</v>
      </c>
      <c r="N12" s="24" t="s">
        <v>56</v>
      </c>
      <c r="O12" s="24" t="s">
        <v>57</v>
      </c>
      <c r="P12" s="24" t="s">
        <v>70</v>
      </c>
      <c r="Q12" s="24" t="s">
        <v>71</v>
      </c>
      <c r="R12" s="24" t="s">
        <v>72</v>
      </c>
      <c r="S12" s="24" t="s">
        <v>73</v>
      </c>
      <c r="T12" s="24" t="s">
        <v>74</v>
      </c>
    </row>
    <row r="13" spans="1:21" x14ac:dyDescent="0.3">
      <c r="B13" s="13" t="s">
        <v>19</v>
      </c>
      <c r="C13" s="13"/>
      <c r="D13" s="13"/>
      <c r="E13" s="31">
        <v>2967</v>
      </c>
      <c r="F13" s="31">
        <v>4709.3</v>
      </c>
      <c r="G13" s="31">
        <v>6528.2</v>
      </c>
      <c r="H13" s="31">
        <v>8643</v>
      </c>
      <c r="I13" s="31">
        <v>117.5</v>
      </c>
      <c r="J13" s="31">
        <v>552.6</v>
      </c>
      <c r="K13" s="13">
        <f>J13*6.05</f>
        <v>3343.23</v>
      </c>
      <c r="L13" s="31">
        <f>K13*2.7</f>
        <v>9026.7210000000014</v>
      </c>
      <c r="M13" s="31">
        <f>L13*1.8</f>
        <v>16248.097800000003</v>
      </c>
      <c r="N13" s="31">
        <f>M13*1.6</f>
        <v>25996.956480000008</v>
      </c>
      <c r="O13" s="31">
        <f>N13*1.3</f>
        <v>33796.04342400001</v>
      </c>
      <c r="P13" s="31">
        <f>O13*1.2</f>
        <v>40555.252108800014</v>
      </c>
      <c r="Q13" s="31">
        <f>P13*1.17</f>
        <v>47449.644967296015</v>
      </c>
      <c r="R13" s="31">
        <f>Q13*1.15</f>
        <v>54567.091712390415</v>
      </c>
      <c r="S13" s="31">
        <f>R13*1.1</f>
        <v>60023.800883629461</v>
      </c>
      <c r="T13" s="31">
        <f>S13*1.07</f>
        <v>64225.466945483524</v>
      </c>
      <c r="U13" s="29"/>
    </row>
    <row r="14" spans="1:21" x14ac:dyDescent="0.3">
      <c r="B14" s="14" t="s">
        <v>76</v>
      </c>
      <c r="C14" s="14"/>
      <c r="D14" s="14"/>
      <c r="E14" s="30"/>
      <c r="F14" s="30">
        <f t="shared" ref="F14:J14" si="0">F13/E13-1</f>
        <v>0.58722615436467818</v>
      </c>
      <c r="G14" s="30">
        <f t="shared" si="0"/>
        <v>0.38623574628925739</v>
      </c>
      <c r="H14" s="30">
        <f t="shared" si="0"/>
        <v>0.32394840844336881</v>
      </c>
      <c r="I14" s="30">
        <f t="shared" si="0"/>
        <v>-0.98640518338539862</v>
      </c>
      <c r="J14" s="30">
        <f t="shared" si="0"/>
        <v>3.7029787234042555</v>
      </c>
      <c r="K14" s="30">
        <f>K13/J13-1</f>
        <v>5.05</v>
      </c>
      <c r="L14" s="30">
        <f t="shared" ref="L14:T14" si="1">L13/K13-1</f>
        <v>1.7000000000000002</v>
      </c>
      <c r="M14" s="30">
        <f t="shared" si="1"/>
        <v>0.8</v>
      </c>
      <c r="N14" s="30">
        <f t="shared" si="1"/>
        <v>0.60000000000000009</v>
      </c>
      <c r="O14" s="30">
        <f t="shared" si="1"/>
        <v>0.30000000000000004</v>
      </c>
      <c r="P14" s="30">
        <f t="shared" si="1"/>
        <v>0.19999999999999996</v>
      </c>
      <c r="Q14" s="30">
        <f t="shared" si="1"/>
        <v>0.16999999999999993</v>
      </c>
      <c r="R14" s="30">
        <f t="shared" si="1"/>
        <v>0.14999999999999991</v>
      </c>
      <c r="S14" s="30">
        <f t="shared" si="1"/>
        <v>0.10000000000000009</v>
      </c>
      <c r="T14" s="30">
        <f t="shared" si="1"/>
        <v>7.0000000000000062E-2</v>
      </c>
      <c r="U14" s="32"/>
    </row>
    <row r="15" spans="1:21" x14ac:dyDescent="0.3">
      <c r="B15" s="44" t="s">
        <v>111</v>
      </c>
      <c r="E15" s="11"/>
      <c r="F15" s="11"/>
      <c r="G15" s="11"/>
      <c r="H15" s="11"/>
      <c r="I15" s="11"/>
      <c r="J15" s="42">
        <f>J13*3/$R$8</f>
        <v>6.4007722007722014</v>
      </c>
      <c r="K15" s="42">
        <f t="shared" ref="K15:T15" si="2">K13*3/$R$8</f>
        <v>38.724671814671815</v>
      </c>
      <c r="L15" s="42">
        <f t="shared" si="2"/>
        <v>104.55661389961392</v>
      </c>
      <c r="M15" s="42">
        <f t="shared" si="2"/>
        <v>188.20190501930506</v>
      </c>
      <c r="N15" s="42">
        <f t="shared" si="2"/>
        <v>301.12304803088813</v>
      </c>
      <c r="O15" s="42">
        <f t="shared" si="2"/>
        <v>391.45996244015458</v>
      </c>
      <c r="P15" s="42">
        <f t="shared" si="2"/>
        <v>469.75195492818546</v>
      </c>
      <c r="Q15" s="42">
        <f t="shared" si="2"/>
        <v>549.60978726597705</v>
      </c>
      <c r="R15" s="42">
        <f t="shared" si="2"/>
        <v>632.05125535587354</v>
      </c>
      <c r="S15" s="42">
        <f t="shared" si="2"/>
        <v>695.25638089146094</v>
      </c>
      <c r="T15" s="42">
        <f t="shared" si="2"/>
        <v>743.92432755386324</v>
      </c>
      <c r="U15" s="26"/>
    </row>
    <row r="16" spans="1:21" x14ac:dyDescent="0.3">
      <c r="B16" s="40" t="s">
        <v>109</v>
      </c>
      <c r="E16" s="11"/>
      <c r="F16" s="11"/>
      <c r="G16" s="11"/>
      <c r="H16" s="11"/>
      <c r="I16" s="11"/>
      <c r="J16" s="42">
        <f t="shared" ref="J16:T16" si="3">PV($E$53, J63, 0, J15)*-1</f>
        <v>6.4007722007722014</v>
      </c>
      <c r="K16" s="42">
        <f t="shared" si="3"/>
        <v>34.758703720197303</v>
      </c>
      <c r="L16" s="42">
        <f t="shared" si="3"/>
        <v>84.237052369206296</v>
      </c>
      <c r="M16" s="42">
        <f t="shared" si="3"/>
        <v>136.09792142946893</v>
      </c>
      <c r="N16" s="42">
        <f t="shared" si="3"/>
        <v>195.45523228359238</v>
      </c>
      <c r="O16" s="42">
        <f t="shared" si="3"/>
        <v>228.06911585016613</v>
      </c>
      <c r="P16" s="42">
        <f t="shared" si="3"/>
        <v>245.65383629853633</v>
      </c>
      <c r="Q16" s="42">
        <f t="shared" si="3"/>
        <v>257.97952470091332</v>
      </c>
      <c r="R16" s="42">
        <f t="shared" si="3"/>
        <v>266.29248129077303</v>
      </c>
      <c r="S16" s="42">
        <f t="shared" si="3"/>
        <v>262.92229550296236</v>
      </c>
      <c r="T16" s="42">
        <f t="shared" si="3"/>
        <v>252.51490547362869</v>
      </c>
      <c r="U16" s="26"/>
    </row>
    <row r="17" spans="2:21" x14ac:dyDescent="0.3">
      <c r="B17" s="44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25"/>
      <c r="R17" s="25"/>
      <c r="T17" s="6"/>
      <c r="U17" s="26"/>
    </row>
    <row r="18" spans="2:21" x14ac:dyDescent="0.3">
      <c r="B18" s="1" t="s">
        <v>27</v>
      </c>
      <c r="E18" s="11">
        <v>220.5</v>
      </c>
      <c r="F18" s="11">
        <v>-174</v>
      </c>
      <c r="G18" s="11">
        <v>0</v>
      </c>
      <c r="H18" s="11">
        <v>0</v>
      </c>
      <c r="I18" s="11">
        <v>-386.4</v>
      </c>
      <c r="J18" s="11">
        <v>-651.6</v>
      </c>
      <c r="K18" s="11">
        <v>-294.60000000000002</v>
      </c>
      <c r="L18" s="11">
        <f>L13*0.04</f>
        <v>361.06884000000008</v>
      </c>
      <c r="M18" s="11">
        <f>M13*0.09</f>
        <v>1462.3288020000002</v>
      </c>
      <c r="N18" s="11">
        <f>N13*0.12</f>
        <v>3119.6347776000007</v>
      </c>
      <c r="O18" s="11">
        <f>O13*0.15</f>
        <v>5069.4065136000017</v>
      </c>
      <c r="P18" s="11">
        <f>P13*0.18</f>
        <v>7299.9453795840027</v>
      </c>
      <c r="Q18" s="11">
        <f>Q13*0.21</f>
        <v>9964.4254431321624</v>
      </c>
      <c r="R18" s="11">
        <f>R13*0.23</f>
        <v>12550.431093849797</v>
      </c>
      <c r="S18" s="11">
        <f>S13*0.24</f>
        <v>14405.71221207107</v>
      </c>
      <c r="T18" s="11">
        <f>T13*0.25</f>
        <v>16056.366736370881</v>
      </c>
      <c r="U18" s="6"/>
    </row>
    <row r="19" spans="2:21" x14ac:dyDescent="0.3">
      <c r="B19" s="14" t="s">
        <v>61</v>
      </c>
      <c r="C19" s="14"/>
      <c r="D19" s="14"/>
      <c r="E19" s="30">
        <f t="shared" ref="E19:T19" si="4">E18/E13</f>
        <v>7.4317492416582406E-2</v>
      </c>
      <c r="F19" s="30">
        <f t="shared" si="4"/>
        <v>-3.694816639415624E-2</v>
      </c>
      <c r="G19" s="30">
        <f t="shared" si="4"/>
        <v>0</v>
      </c>
      <c r="H19" s="30">
        <f t="shared" si="4"/>
        <v>0</v>
      </c>
      <c r="I19" s="30">
        <f t="shared" si="4"/>
        <v>-3.2885106382978719</v>
      </c>
      <c r="J19" s="30">
        <f t="shared" si="4"/>
        <v>-1.1791530944625408</v>
      </c>
      <c r="K19" s="30">
        <f t="shared" si="4"/>
        <v>-8.8118376540052584E-2</v>
      </c>
      <c r="L19" s="30">
        <f t="shared" si="4"/>
        <v>0.04</v>
      </c>
      <c r="M19" s="30">
        <f t="shared" si="4"/>
        <v>0.09</v>
      </c>
      <c r="N19" s="30">
        <f t="shared" si="4"/>
        <v>0.12</v>
      </c>
      <c r="O19" s="30">
        <f t="shared" si="4"/>
        <v>0.15</v>
      </c>
      <c r="P19" s="30">
        <f t="shared" si="4"/>
        <v>0.18</v>
      </c>
      <c r="Q19" s="30">
        <f t="shared" si="4"/>
        <v>0.21</v>
      </c>
      <c r="R19" s="30">
        <f t="shared" si="4"/>
        <v>0.23</v>
      </c>
      <c r="S19" s="30">
        <f t="shared" si="4"/>
        <v>0.24</v>
      </c>
      <c r="T19" s="30">
        <f t="shared" si="4"/>
        <v>0.25</v>
      </c>
      <c r="U19" s="26"/>
    </row>
    <row r="20" spans="2:21" x14ac:dyDescent="0.3">
      <c r="B20" s="14"/>
      <c r="C20" s="14"/>
      <c r="D20" s="14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26"/>
    </row>
    <row r="21" spans="2:21" x14ac:dyDescent="0.3">
      <c r="B21" s="40" t="s">
        <v>107</v>
      </c>
      <c r="E21" s="11"/>
      <c r="F21" s="11"/>
      <c r="G21" s="11"/>
      <c r="H21" s="11"/>
      <c r="I21" s="11"/>
      <c r="J21" s="11">
        <v>0</v>
      </c>
      <c r="K21" s="11">
        <v>0</v>
      </c>
      <c r="L21" s="11">
        <v>0</v>
      </c>
      <c r="M21" s="11">
        <f>M18*0.1</f>
        <v>146.23288020000004</v>
      </c>
      <c r="N21" s="11">
        <f>N18*0.12</f>
        <v>374.35617331200007</v>
      </c>
      <c r="O21" s="11">
        <f>O18*0.14</f>
        <v>709.71691190400031</v>
      </c>
      <c r="P21" s="11">
        <f t="shared" ref="P21:Q21" si="5">P18*0.15</f>
        <v>1094.9918069376004</v>
      </c>
      <c r="Q21" s="11">
        <f t="shared" si="5"/>
        <v>1494.6638164698243</v>
      </c>
      <c r="R21" s="11">
        <f>R18*0.17</f>
        <v>2133.5732859544655</v>
      </c>
      <c r="S21" s="11">
        <f>S18*0.18</f>
        <v>2593.0281981727926</v>
      </c>
      <c r="T21" s="11">
        <f>T18*0.2</f>
        <v>3211.2733472741766</v>
      </c>
      <c r="U21" s="26"/>
    </row>
    <row r="22" spans="2:21" x14ac:dyDescent="0.3">
      <c r="B22" s="14" t="s">
        <v>106</v>
      </c>
      <c r="C22" s="14"/>
      <c r="D22" s="14"/>
      <c r="E22" s="30"/>
      <c r="F22" s="30"/>
      <c r="G22" s="30"/>
      <c r="H22" s="30"/>
      <c r="I22" s="30"/>
      <c r="J22" s="30">
        <f>J21/J18</f>
        <v>0</v>
      </c>
      <c r="K22" s="30">
        <f t="shared" ref="K22:T22" si="6">K21/K18</f>
        <v>0</v>
      </c>
      <c r="L22" s="30">
        <f t="shared" si="6"/>
        <v>0</v>
      </c>
      <c r="M22" s="30">
        <f t="shared" si="6"/>
        <v>0.1</v>
      </c>
      <c r="N22" s="30">
        <f t="shared" si="6"/>
        <v>0.12</v>
      </c>
      <c r="O22" s="30">
        <f t="shared" si="6"/>
        <v>0.14000000000000001</v>
      </c>
      <c r="P22" s="30">
        <f t="shared" si="6"/>
        <v>0.15</v>
      </c>
      <c r="Q22" s="30">
        <f t="shared" si="6"/>
        <v>0.15</v>
      </c>
      <c r="R22" s="30">
        <f t="shared" si="6"/>
        <v>0.17</v>
      </c>
      <c r="S22" s="30">
        <f t="shared" si="6"/>
        <v>0.18</v>
      </c>
      <c r="T22" s="30">
        <f t="shared" si="6"/>
        <v>0.2</v>
      </c>
      <c r="U22" s="26"/>
    </row>
    <row r="23" spans="2:21" x14ac:dyDescent="0.3">
      <c r="B23" s="14"/>
      <c r="C23" s="14"/>
      <c r="D23" s="14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26"/>
    </row>
    <row r="24" spans="2:21" x14ac:dyDescent="0.3">
      <c r="B24" s="1" t="s">
        <v>105</v>
      </c>
      <c r="E24" s="11"/>
      <c r="F24" s="11"/>
      <c r="G24" s="11"/>
      <c r="H24" s="11"/>
      <c r="I24" s="11"/>
      <c r="J24" s="11">
        <f>J18-J21</f>
        <v>-651.6</v>
      </c>
      <c r="K24" s="11">
        <f t="shared" ref="K24:T24" si="7">K18-K21</f>
        <v>-294.60000000000002</v>
      </c>
      <c r="L24" s="11">
        <f t="shared" si="7"/>
        <v>361.06884000000008</v>
      </c>
      <c r="M24" s="11">
        <f t="shared" si="7"/>
        <v>1316.0959218000003</v>
      </c>
      <c r="N24" s="11">
        <f t="shared" si="7"/>
        <v>2745.2786042880007</v>
      </c>
      <c r="O24" s="11">
        <f t="shared" si="7"/>
        <v>4359.6896016960018</v>
      </c>
      <c r="P24" s="11">
        <f t="shared" si="7"/>
        <v>6204.9535726464019</v>
      </c>
      <c r="Q24" s="11">
        <f t="shared" si="7"/>
        <v>8469.7616266623372</v>
      </c>
      <c r="R24" s="11">
        <f t="shared" si="7"/>
        <v>10416.857807895331</v>
      </c>
      <c r="S24" s="11">
        <f t="shared" si="7"/>
        <v>11812.684013898277</v>
      </c>
      <c r="T24" s="11">
        <f t="shared" si="7"/>
        <v>12845.093389096704</v>
      </c>
      <c r="U24" s="26"/>
    </row>
    <row r="25" spans="2:21" x14ac:dyDescent="0.3">
      <c r="P25" s="11"/>
      <c r="Q25" s="11"/>
    </row>
    <row r="26" spans="2:21" x14ac:dyDescent="0.3">
      <c r="B26" s="40" t="s">
        <v>39</v>
      </c>
      <c r="E26" s="11">
        <v>240.3</v>
      </c>
      <c r="F26" s="11">
        <v>317.8</v>
      </c>
      <c r="G26" s="11">
        <v>0</v>
      </c>
      <c r="H26" s="11">
        <v>0</v>
      </c>
      <c r="I26" s="11">
        <v>77.3</v>
      </c>
      <c r="J26" s="11">
        <f>J30*0.105</f>
        <v>464.17349999999999</v>
      </c>
      <c r="K26" s="11">
        <f>K30*0.18</f>
        <v>2068.8876</v>
      </c>
      <c r="L26" s="11">
        <f>L30*0.34</f>
        <v>5275.6633800000009</v>
      </c>
      <c r="M26" s="11">
        <f>M30*0.4</f>
        <v>7758.3285000000005</v>
      </c>
      <c r="N26" s="11">
        <f t="shared" ref="N26:T26" si="8">N13*0.4</f>
        <v>10398.782592000003</v>
      </c>
      <c r="O26" s="11">
        <f t="shared" si="8"/>
        <v>13518.417369600005</v>
      </c>
      <c r="P26" s="11">
        <f t="shared" si="8"/>
        <v>16222.100843520006</v>
      </c>
      <c r="Q26" s="11">
        <f t="shared" si="8"/>
        <v>18979.857986918407</v>
      </c>
      <c r="R26" s="11">
        <f t="shared" si="8"/>
        <v>21826.836684956168</v>
      </c>
      <c r="S26" s="11">
        <f t="shared" si="8"/>
        <v>24009.520353451786</v>
      </c>
      <c r="T26" s="11">
        <f t="shared" si="8"/>
        <v>25690.186778193412</v>
      </c>
    </row>
    <row r="27" spans="2:21" x14ac:dyDescent="0.3">
      <c r="B27" s="14" t="s">
        <v>104</v>
      </c>
      <c r="C27" s="14"/>
      <c r="D27" s="14"/>
      <c r="E27" s="30">
        <f>E26/E30</f>
        <v>0.72598187311178253</v>
      </c>
      <c r="F27" s="30">
        <f>F26/F30</f>
        <v>0.53864406779661023</v>
      </c>
      <c r="G27" s="30"/>
      <c r="H27" s="30"/>
      <c r="I27" s="30">
        <f t="shared" ref="I27:T27" si="9">I26/I30</f>
        <v>9.566831683168317E-2</v>
      </c>
      <c r="J27" s="30">
        <f t="shared" si="9"/>
        <v>0.105</v>
      </c>
      <c r="K27" s="30">
        <f t="shared" si="9"/>
        <v>0.18</v>
      </c>
      <c r="L27" s="30">
        <f t="shared" si="9"/>
        <v>0.34</v>
      </c>
      <c r="M27" s="30">
        <f t="shared" si="9"/>
        <v>0.4</v>
      </c>
      <c r="N27" s="30">
        <f t="shared" si="9"/>
        <v>0.48739564043981909</v>
      </c>
      <c r="O27" s="30">
        <f t="shared" si="9"/>
        <v>0.57601302961069523</v>
      </c>
      <c r="P27" s="30">
        <f t="shared" si="9"/>
        <v>0.64001447734521688</v>
      </c>
      <c r="Q27" s="30">
        <f t="shared" si="9"/>
        <v>0.73413425342539584</v>
      </c>
      <c r="R27" s="30">
        <f t="shared" si="9"/>
        <v>0.82770038376392674</v>
      </c>
      <c r="S27" s="30">
        <f t="shared" si="9"/>
        <v>0.8926180609218819</v>
      </c>
      <c r="T27" s="30">
        <f t="shared" si="9"/>
        <v>0.93637384822197423</v>
      </c>
    </row>
    <row r="28" spans="2:21" x14ac:dyDescent="0.3">
      <c r="B28" s="14" t="s">
        <v>61</v>
      </c>
      <c r="C28" s="14"/>
      <c r="D28" s="14"/>
      <c r="E28" s="30">
        <f t="shared" ref="E28:T28" si="10">E26/E13</f>
        <v>8.0990899898887775E-2</v>
      </c>
      <c r="F28" s="30">
        <f t="shared" si="10"/>
        <v>6.748349011530376E-2</v>
      </c>
      <c r="G28" s="30">
        <f t="shared" si="10"/>
        <v>0</v>
      </c>
      <c r="H28" s="30">
        <f t="shared" si="10"/>
        <v>0</v>
      </c>
      <c r="I28" s="30">
        <f t="shared" si="10"/>
        <v>0.65787234042553189</v>
      </c>
      <c r="J28" s="30">
        <f t="shared" si="10"/>
        <v>0.83998099891422362</v>
      </c>
      <c r="K28" s="30">
        <f t="shared" si="10"/>
        <v>0.61882897676797588</v>
      </c>
      <c r="L28" s="30">
        <f t="shared" si="10"/>
        <v>0.58444958916975498</v>
      </c>
      <c r="M28" s="30">
        <f t="shared" si="10"/>
        <v>0.47749149441973443</v>
      </c>
      <c r="N28" s="30">
        <f t="shared" si="10"/>
        <v>0.4</v>
      </c>
      <c r="O28" s="30">
        <f t="shared" si="10"/>
        <v>0.4</v>
      </c>
      <c r="P28" s="30">
        <f t="shared" si="10"/>
        <v>0.4</v>
      </c>
      <c r="Q28" s="30">
        <f t="shared" si="10"/>
        <v>0.4</v>
      </c>
      <c r="R28" s="30">
        <f t="shared" si="10"/>
        <v>0.4</v>
      </c>
      <c r="S28" s="30">
        <f t="shared" si="10"/>
        <v>0.4</v>
      </c>
      <c r="T28" s="30">
        <f t="shared" si="10"/>
        <v>0.4</v>
      </c>
    </row>
    <row r="29" spans="2:21" x14ac:dyDescent="0.3">
      <c r="P29" s="30"/>
      <c r="Q29" s="30"/>
      <c r="R29" s="30"/>
      <c r="S29" s="30"/>
      <c r="T29" s="30"/>
    </row>
    <row r="30" spans="2:21" x14ac:dyDescent="0.3">
      <c r="B30" s="1" t="s">
        <v>62</v>
      </c>
      <c r="E30" s="11">
        <v>331</v>
      </c>
      <c r="F30" s="11">
        <v>590</v>
      </c>
      <c r="G30" s="11">
        <v>0</v>
      </c>
      <c r="H30" s="11">
        <v>0</v>
      </c>
      <c r="I30" s="11">
        <v>808</v>
      </c>
      <c r="J30" s="11">
        <v>4420.7</v>
      </c>
      <c r="K30" s="11">
        <f>J30*2.6</f>
        <v>11493.82</v>
      </c>
      <c r="L30" s="11">
        <f>K30*1.35</f>
        <v>15516.657000000001</v>
      </c>
      <c r="M30" s="11">
        <f>L30*1.25</f>
        <v>19395.821250000001</v>
      </c>
      <c r="N30" s="11">
        <f>M30*1.1</f>
        <v>21335.403375000002</v>
      </c>
      <c r="O30" s="11">
        <f>N30*1.1</f>
        <v>23468.943712500004</v>
      </c>
      <c r="P30" s="11">
        <f>O30*1.08</f>
        <v>25346.459209500004</v>
      </c>
      <c r="Q30" s="11">
        <f>P30*1.02</f>
        <v>25853.388393690006</v>
      </c>
      <c r="R30" s="11">
        <f t="shared" ref="R30:T30" si="11">Q30*1.02</f>
        <v>26370.456161563805</v>
      </c>
      <c r="S30" s="11">
        <f t="shared" si="11"/>
        <v>26897.86528479508</v>
      </c>
      <c r="T30" s="11">
        <f t="shared" si="11"/>
        <v>27435.822590490981</v>
      </c>
    </row>
    <row r="31" spans="2:21" x14ac:dyDescent="0.3">
      <c r="B31" s="14" t="s">
        <v>76</v>
      </c>
      <c r="C31" s="14"/>
      <c r="D31" s="14"/>
      <c r="E31" s="30"/>
      <c r="F31" s="30">
        <f t="shared" ref="F31" si="12">F30/E30-1</f>
        <v>0.78247734138972813</v>
      </c>
      <c r="G31" s="30">
        <f t="shared" ref="G31" si="13">G30/F30-1</f>
        <v>-1</v>
      </c>
      <c r="H31" s="30"/>
      <c r="I31" s="30"/>
      <c r="J31" s="30">
        <f t="shared" ref="J31" si="14">J30/I30-1</f>
        <v>4.4711633663366337</v>
      </c>
      <c r="K31" s="30">
        <f t="shared" ref="K31" si="15">K30/J30-1</f>
        <v>1.6</v>
      </c>
      <c r="L31" s="30">
        <f t="shared" ref="L31" si="16">L30/K30-1</f>
        <v>0.35000000000000009</v>
      </c>
      <c r="M31" s="30">
        <f t="shared" ref="M31" si="17">M30/L30-1</f>
        <v>0.25</v>
      </c>
      <c r="N31" s="30">
        <f t="shared" ref="N31" si="18">N30/M30-1</f>
        <v>0.10000000000000009</v>
      </c>
      <c r="O31" s="30">
        <f t="shared" ref="O31" si="19">O30/N30-1</f>
        <v>0.10000000000000009</v>
      </c>
      <c r="P31" s="30">
        <f t="shared" ref="P31" si="20">P30/O30-1</f>
        <v>8.0000000000000071E-2</v>
      </c>
      <c r="Q31" s="30">
        <f t="shared" ref="Q31" si="21">Q30/P30-1</f>
        <v>2.0000000000000018E-2</v>
      </c>
      <c r="R31" s="30">
        <f t="shared" ref="R31" si="22">R30/Q30-1</f>
        <v>2.0000000000000018E-2</v>
      </c>
      <c r="S31" s="30">
        <f t="shared" ref="S31" si="23">S30/R30-1</f>
        <v>2.0000000000000018E-2</v>
      </c>
      <c r="T31" s="30">
        <f t="shared" ref="T31" si="24">T30/S30-1</f>
        <v>2.0000000000000018E-2</v>
      </c>
    </row>
    <row r="32" spans="2:21" x14ac:dyDescent="0.3">
      <c r="B32" s="14" t="s">
        <v>61</v>
      </c>
      <c r="C32" s="14"/>
      <c r="D32" s="14"/>
      <c r="E32" s="30">
        <f t="shared" ref="E32:T32" si="25">E30/E13</f>
        <v>0.11156049882035726</v>
      </c>
      <c r="F32" s="30">
        <f t="shared" si="25"/>
        <v>0.1252840124859321</v>
      </c>
      <c r="G32" s="30">
        <f t="shared" si="25"/>
        <v>0</v>
      </c>
      <c r="H32" s="30">
        <f t="shared" si="25"/>
        <v>0</v>
      </c>
      <c r="I32" s="30">
        <f t="shared" si="25"/>
        <v>6.8765957446808512</v>
      </c>
      <c r="J32" s="30">
        <f t="shared" si="25"/>
        <v>7.9998190372783204</v>
      </c>
      <c r="K32" s="30">
        <f t="shared" si="25"/>
        <v>3.4379387598220883</v>
      </c>
      <c r="L32" s="30">
        <f t="shared" si="25"/>
        <v>1.7189693799110439</v>
      </c>
      <c r="M32" s="30">
        <f t="shared" si="25"/>
        <v>1.193728736049336</v>
      </c>
      <c r="N32" s="30">
        <f t="shared" si="25"/>
        <v>0.82068850603391841</v>
      </c>
      <c r="O32" s="30">
        <f t="shared" si="25"/>
        <v>0.6944287358748541</v>
      </c>
      <c r="P32" s="30">
        <f t="shared" si="25"/>
        <v>0.62498586228736874</v>
      </c>
      <c r="Q32" s="30">
        <f t="shared" si="25"/>
        <v>0.54485946968642407</v>
      </c>
      <c r="R32" s="30">
        <f t="shared" si="25"/>
        <v>0.48326666006969782</v>
      </c>
      <c r="S32" s="30">
        <f t="shared" si="25"/>
        <v>0.44811999388281065</v>
      </c>
      <c r="T32" s="30">
        <f t="shared" si="25"/>
        <v>0.42717980725277277</v>
      </c>
    </row>
    <row r="33" spans="2:21" x14ac:dyDescent="0.3">
      <c r="B33" s="14"/>
      <c r="C33" s="14"/>
      <c r="D33" s="14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 spans="2:21" x14ac:dyDescent="0.3">
      <c r="B34" s="1" t="s">
        <v>21</v>
      </c>
      <c r="E34" s="11"/>
      <c r="F34" s="11"/>
      <c r="G34" s="11"/>
      <c r="H34" s="11"/>
      <c r="I34" s="11"/>
      <c r="J34" s="11">
        <f>J24-J26</f>
        <v>-1115.7735</v>
      </c>
      <c r="K34" s="11">
        <f t="shared" ref="K34:T34" si="26">K24</f>
        <v>-294.60000000000002</v>
      </c>
      <c r="L34" s="11">
        <f t="shared" si="26"/>
        <v>361.06884000000008</v>
      </c>
      <c r="M34" s="11">
        <f t="shared" si="26"/>
        <v>1316.0959218000003</v>
      </c>
      <c r="N34" s="11">
        <f t="shared" si="26"/>
        <v>2745.2786042880007</v>
      </c>
      <c r="O34" s="11">
        <f t="shared" si="26"/>
        <v>4359.6896016960018</v>
      </c>
      <c r="P34" s="11">
        <f t="shared" si="26"/>
        <v>6204.9535726464019</v>
      </c>
      <c r="Q34" s="11">
        <f t="shared" si="26"/>
        <v>8469.7616266623372</v>
      </c>
      <c r="R34" s="11">
        <f t="shared" si="26"/>
        <v>10416.857807895331</v>
      </c>
      <c r="S34" s="11">
        <f t="shared" si="26"/>
        <v>11812.684013898277</v>
      </c>
      <c r="T34" s="11">
        <f t="shared" si="26"/>
        <v>12845.093389096704</v>
      </c>
    </row>
    <row r="35" spans="2:21" x14ac:dyDescent="0.3">
      <c r="B35" s="14" t="s">
        <v>61</v>
      </c>
      <c r="C35" s="14"/>
      <c r="D35" s="14"/>
      <c r="E35" s="30"/>
      <c r="F35" s="30"/>
      <c r="G35" s="30"/>
      <c r="H35" s="30"/>
      <c r="I35" s="30"/>
      <c r="J35" s="30">
        <f t="shared" ref="J35:T35" si="27">J34/J13</f>
        <v>-2.0191340933767643</v>
      </c>
      <c r="K35" s="30">
        <f t="shared" si="27"/>
        <v>-8.8118376540052584E-2</v>
      </c>
      <c r="L35" s="30">
        <f t="shared" si="27"/>
        <v>0.04</v>
      </c>
      <c r="M35" s="30">
        <f t="shared" si="27"/>
        <v>8.1000000000000003E-2</v>
      </c>
      <c r="N35" s="30">
        <f t="shared" si="27"/>
        <v>0.1056</v>
      </c>
      <c r="O35" s="30">
        <f t="shared" si="27"/>
        <v>0.129</v>
      </c>
      <c r="P35" s="30">
        <f t="shared" si="27"/>
        <v>0.153</v>
      </c>
      <c r="Q35" s="30">
        <f t="shared" si="27"/>
        <v>0.17849999999999996</v>
      </c>
      <c r="R35" s="30">
        <f t="shared" si="27"/>
        <v>0.19090000000000001</v>
      </c>
      <c r="S35" s="30">
        <f t="shared" si="27"/>
        <v>0.19679999999999997</v>
      </c>
      <c r="T35" s="30">
        <f t="shared" si="27"/>
        <v>0.19999999999999998</v>
      </c>
    </row>
    <row r="36" spans="2:21" x14ac:dyDescent="0.3">
      <c r="B36" s="40" t="s">
        <v>108</v>
      </c>
      <c r="E36" s="11"/>
      <c r="F36" s="11"/>
      <c r="G36" s="11"/>
      <c r="H36" s="11"/>
      <c r="I36" s="11"/>
      <c r="J36" s="42">
        <f>J34*18/$R$8</f>
        <v>-77.544104247104244</v>
      </c>
      <c r="K36" s="42">
        <f t="shared" ref="K36:T36" si="28">K34*18/$R$8</f>
        <v>-20.474131274131274</v>
      </c>
      <c r="L36" s="42">
        <f t="shared" si="28"/>
        <v>25.09358733590734</v>
      </c>
      <c r="M36" s="42">
        <f t="shared" si="28"/>
        <v>91.466125839382258</v>
      </c>
      <c r="N36" s="42">
        <f t="shared" si="28"/>
        <v>190.79156323237069</v>
      </c>
      <c r="O36" s="42">
        <f t="shared" si="28"/>
        <v>302.99001092867968</v>
      </c>
      <c r="P36" s="42">
        <f t="shared" si="28"/>
        <v>431.23229462407426</v>
      </c>
      <c r="Q36" s="42">
        <f t="shared" si="28"/>
        <v>588.63208216186126</v>
      </c>
      <c r="R36" s="42">
        <f t="shared" si="28"/>
        <v>723.95150788461751</v>
      </c>
      <c r="S36" s="42">
        <f t="shared" si="28"/>
        <v>820.95873455663707</v>
      </c>
      <c r="T36" s="42">
        <f t="shared" si="28"/>
        <v>892.70919306463577</v>
      </c>
    </row>
    <row r="37" spans="2:21" x14ac:dyDescent="0.3">
      <c r="B37" s="40" t="s">
        <v>109</v>
      </c>
      <c r="E37" s="11"/>
      <c r="F37" s="11"/>
      <c r="G37" s="11"/>
      <c r="H37" s="11"/>
      <c r="I37" s="11"/>
      <c r="J37" s="42">
        <f t="shared" ref="J37:T37" si="29">PV($E$53, J63, 0, J36)*-1</f>
        <v>-77.544104247104244</v>
      </c>
      <c r="K37" s="42">
        <f t="shared" si="29"/>
        <v>-18.377283254762833</v>
      </c>
      <c r="L37" s="42">
        <f t="shared" si="29"/>
        <v>20.216892568609509</v>
      </c>
      <c r="M37" s="42">
        <f t="shared" si="29"/>
        <v>66.143589814721892</v>
      </c>
      <c r="N37" s="42">
        <f t="shared" si="29"/>
        <v>123.84043517488412</v>
      </c>
      <c r="O37" s="42">
        <f t="shared" si="29"/>
        <v>176.52549566802858</v>
      </c>
      <c r="P37" s="42">
        <f t="shared" si="29"/>
        <v>225.51022172205637</v>
      </c>
      <c r="Q37" s="42">
        <f t="shared" si="29"/>
        <v>276.2960709546781</v>
      </c>
      <c r="R37" s="42">
        <f t="shared" si="29"/>
        <v>305.01140807045141</v>
      </c>
      <c r="S37" s="42">
        <f t="shared" si="29"/>
        <v>310.45864652989792</v>
      </c>
      <c r="T37" s="42">
        <f t="shared" si="29"/>
        <v>303.01788656835436</v>
      </c>
    </row>
    <row r="38" spans="2:21" x14ac:dyDescent="0.3">
      <c r="U38" s="14"/>
    </row>
    <row r="39" spans="2:21" x14ac:dyDescent="0.3">
      <c r="B39" s="1" t="s">
        <v>41</v>
      </c>
      <c r="E39" s="11">
        <v>-93.1</v>
      </c>
      <c r="F39" s="11">
        <v>45.3</v>
      </c>
      <c r="G39" s="11">
        <v>0</v>
      </c>
      <c r="H39" s="11">
        <v>0</v>
      </c>
      <c r="I39" s="11">
        <v>-1115</v>
      </c>
      <c r="J39" s="11">
        <f t="shared" ref="J39:T39" si="30">J24+J26-J30</f>
        <v>-4608.1265000000003</v>
      </c>
      <c r="K39" s="11">
        <f t="shared" si="30"/>
        <v>-9719.5324000000001</v>
      </c>
      <c r="L39" s="11">
        <f t="shared" si="30"/>
        <v>-9879.9247800000012</v>
      </c>
      <c r="M39" s="11">
        <f t="shared" si="30"/>
        <v>-10321.396828200001</v>
      </c>
      <c r="N39" s="11">
        <f t="shared" si="30"/>
        <v>-8191.3421787119987</v>
      </c>
      <c r="O39" s="11">
        <f t="shared" si="30"/>
        <v>-5590.8367412039952</v>
      </c>
      <c r="P39" s="11">
        <f t="shared" si="30"/>
        <v>-2919.4047933335969</v>
      </c>
      <c r="Q39" s="11">
        <f t="shared" si="30"/>
        <v>1596.2312198907384</v>
      </c>
      <c r="R39" s="11">
        <f t="shared" si="30"/>
        <v>5873.2383312876955</v>
      </c>
      <c r="S39" s="11">
        <f t="shared" si="30"/>
        <v>8924.3390825549795</v>
      </c>
      <c r="T39" s="11">
        <f t="shared" si="30"/>
        <v>11099.457576799137</v>
      </c>
    </row>
    <row r="40" spans="2:21" x14ac:dyDescent="0.3">
      <c r="B40" s="14" t="s">
        <v>61</v>
      </c>
      <c r="C40" s="14"/>
      <c r="D40" s="14"/>
      <c r="E40" s="30">
        <f t="shared" ref="E40:T40" si="31">E39/E13</f>
        <v>-3.1378496798112568E-2</v>
      </c>
      <c r="F40" s="30">
        <f t="shared" si="31"/>
        <v>9.6192640095130906E-3</v>
      </c>
      <c r="G40" s="30">
        <f t="shared" si="31"/>
        <v>0</v>
      </c>
      <c r="H40" s="30">
        <f t="shared" si="31"/>
        <v>0</v>
      </c>
      <c r="I40" s="30">
        <f t="shared" si="31"/>
        <v>-9.4893617021276597</v>
      </c>
      <c r="J40" s="30">
        <f t="shared" si="31"/>
        <v>-8.3389911328266386</v>
      </c>
      <c r="K40" s="30">
        <f t="shared" si="31"/>
        <v>-2.9072281595941649</v>
      </c>
      <c r="L40" s="30">
        <f t="shared" si="31"/>
        <v>-1.0945197907412891</v>
      </c>
      <c r="M40" s="30">
        <f t="shared" si="31"/>
        <v>-0.6352372416296016</v>
      </c>
      <c r="N40" s="30">
        <f t="shared" si="31"/>
        <v>-0.31508850603391847</v>
      </c>
      <c r="O40" s="30">
        <f t="shared" si="31"/>
        <v>-0.16542873587485404</v>
      </c>
      <c r="P40" s="30">
        <f t="shared" si="31"/>
        <v>-7.1985862287368696E-2</v>
      </c>
      <c r="Q40" s="30">
        <f t="shared" si="31"/>
        <v>3.3640530313575959E-2</v>
      </c>
      <c r="R40" s="30">
        <f t="shared" si="31"/>
        <v>0.10763333993030223</v>
      </c>
      <c r="S40" s="30">
        <f t="shared" si="31"/>
        <v>0.14868000611718929</v>
      </c>
      <c r="T40" s="30">
        <f t="shared" si="31"/>
        <v>0.17282019274722729</v>
      </c>
    </row>
    <row r="42" spans="2:21" x14ac:dyDescent="0.3">
      <c r="B42" s="45" t="s">
        <v>58</v>
      </c>
      <c r="C42" s="45"/>
      <c r="D42" s="45"/>
      <c r="E42" s="45"/>
      <c r="F42" s="45" t="s">
        <v>77</v>
      </c>
      <c r="G42" s="45"/>
      <c r="H42" s="45"/>
      <c r="I42" s="45"/>
      <c r="J42" s="33"/>
      <c r="K42" s="45" t="s">
        <v>98</v>
      </c>
      <c r="L42" s="45"/>
      <c r="M42" s="45"/>
      <c r="N42" s="45"/>
      <c r="O42" s="45" t="s">
        <v>77</v>
      </c>
      <c r="P42" s="45"/>
      <c r="Q42" s="45"/>
      <c r="R42" s="45"/>
      <c r="S42" s="45"/>
      <c r="T42" s="45"/>
    </row>
    <row r="43" spans="2:21" x14ac:dyDescent="0.3">
      <c r="B43" s="1" t="s">
        <v>52</v>
      </c>
      <c r="E43" s="1">
        <v>22</v>
      </c>
      <c r="G43" s="14" t="s">
        <v>78</v>
      </c>
      <c r="I43" s="13"/>
      <c r="J43" s="13"/>
      <c r="K43" s="1" t="s">
        <v>82</v>
      </c>
      <c r="N43" s="36">
        <v>2.5000000000000001E-2</v>
      </c>
    </row>
    <row r="44" spans="2:21" x14ac:dyDescent="0.3">
      <c r="B44" s="1" t="s">
        <v>63</v>
      </c>
      <c r="E44" s="10">
        <v>1</v>
      </c>
      <c r="K44" s="1" t="s">
        <v>81</v>
      </c>
      <c r="N44" s="34">
        <f>(T39*(1+N43)/(E53-N43)) / (1 + E53)^10</f>
        <v>43341.723246761925</v>
      </c>
      <c r="T44" s="43"/>
    </row>
    <row r="45" spans="2:21" x14ac:dyDescent="0.3">
      <c r="B45" s="1" t="s">
        <v>64</v>
      </c>
      <c r="E45" s="10">
        <v>4.1300000000000003E-2</v>
      </c>
      <c r="G45" s="14" t="s">
        <v>79</v>
      </c>
    </row>
    <row r="46" spans="2:21" x14ac:dyDescent="0.3">
      <c r="B46" s="1" t="s">
        <v>65</v>
      </c>
      <c r="E46" s="1">
        <v>1.1200000000000001</v>
      </c>
      <c r="K46" s="1" t="s">
        <v>83</v>
      </c>
      <c r="N46" s="34">
        <f>NPV(E53,K39:T39)</f>
        <v>-23882.569310254821</v>
      </c>
      <c r="P46" s="14" t="s">
        <v>99</v>
      </c>
    </row>
    <row r="47" spans="2:21" x14ac:dyDescent="0.3">
      <c r="B47" s="1" t="s">
        <v>66</v>
      </c>
      <c r="E47" s="10">
        <v>6.5000000000000002E-2</v>
      </c>
    </row>
    <row r="48" spans="2:21" x14ac:dyDescent="0.3">
      <c r="B48" s="1" t="s">
        <v>67</v>
      </c>
      <c r="E48" s="1">
        <v>4.0910000000000002</v>
      </c>
      <c r="G48" s="14" t="s">
        <v>97</v>
      </c>
      <c r="K48" s="1" t="s">
        <v>84</v>
      </c>
      <c r="N48" s="34">
        <f>N44+N46</f>
        <v>19459.153936507104</v>
      </c>
    </row>
    <row r="49" spans="2:20" x14ac:dyDescent="0.3">
      <c r="B49" s="1" t="s">
        <v>68</v>
      </c>
      <c r="E49" s="10">
        <v>0</v>
      </c>
      <c r="K49" s="1" t="s">
        <v>90</v>
      </c>
      <c r="N49" s="34">
        <f>4000*0.75</f>
        <v>3000</v>
      </c>
      <c r="P49" s="14" t="s">
        <v>96</v>
      </c>
    </row>
    <row r="50" spans="2:20" x14ac:dyDescent="0.3">
      <c r="B50" s="1" t="s">
        <v>80</v>
      </c>
      <c r="E50" s="10">
        <f>E45+E46*E47</f>
        <v>0.11410000000000001</v>
      </c>
      <c r="K50" s="1" t="s">
        <v>85</v>
      </c>
      <c r="N50" s="34">
        <f>1000*0.6</f>
        <v>600</v>
      </c>
      <c r="P50" s="14" t="s">
        <v>89</v>
      </c>
    </row>
    <row r="51" spans="2:20" x14ac:dyDescent="0.3">
      <c r="B51" s="1" t="s">
        <v>69</v>
      </c>
      <c r="E51" s="10">
        <v>0.08</v>
      </c>
      <c r="K51" s="1" t="s">
        <v>86</v>
      </c>
      <c r="N51" s="34">
        <f>200*0.8</f>
        <v>160</v>
      </c>
      <c r="P51" s="14" t="s">
        <v>88</v>
      </c>
    </row>
    <row r="52" spans="2:20" x14ac:dyDescent="0.3">
      <c r="B52" s="35" t="s">
        <v>51</v>
      </c>
      <c r="C52" s="35"/>
      <c r="D52" s="35"/>
      <c r="E52" s="38">
        <v>0.27</v>
      </c>
      <c r="K52" s="1" t="s">
        <v>87</v>
      </c>
      <c r="N52" s="34">
        <f>15000*0.28</f>
        <v>4200</v>
      </c>
      <c r="P52" s="14" t="s">
        <v>110</v>
      </c>
    </row>
    <row r="53" spans="2:20" x14ac:dyDescent="0.3">
      <c r="B53" s="1" t="s">
        <v>58</v>
      </c>
      <c r="E53" s="10">
        <f>E44*E50+E49*E51*(1-E52)</f>
        <v>0.11410000000000001</v>
      </c>
      <c r="K53" s="41" t="s">
        <v>101</v>
      </c>
      <c r="L53" s="35"/>
      <c r="M53" s="35"/>
      <c r="N53" s="37">
        <f>N52+N51+N50+N49*0.7</f>
        <v>7060</v>
      </c>
      <c r="P53" s="14" t="s">
        <v>102</v>
      </c>
    </row>
    <row r="54" spans="2:20" x14ac:dyDescent="0.3">
      <c r="K54" s="40" t="s">
        <v>103</v>
      </c>
      <c r="N54" s="34">
        <f>N53+N48</f>
        <v>26519.153936507104</v>
      </c>
    </row>
    <row r="61" spans="2:20" x14ac:dyDescent="0.3">
      <c r="L61" s="1" t="s">
        <v>100</v>
      </c>
    </row>
    <row r="63" spans="2:20" x14ac:dyDescent="0.3">
      <c r="J63" s="11">
        <f t="shared" ref="J63:R63" si="32">K63-1</f>
        <v>0</v>
      </c>
      <c r="K63" s="11">
        <f t="shared" si="32"/>
        <v>1</v>
      </c>
      <c r="L63" s="11">
        <f t="shared" si="32"/>
        <v>2</v>
      </c>
      <c r="M63" s="11">
        <f t="shared" si="32"/>
        <v>3</v>
      </c>
      <c r="N63" s="11">
        <f t="shared" si="32"/>
        <v>4</v>
      </c>
      <c r="O63" s="11">
        <f t="shared" si="32"/>
        <v>5</v>
      </c>
      <c r="P63" s="11">
        <f t="shared" si="32"/>
        <v>6</v>
      </c>
      <c r="Q63" s="11">
        <f t="shared" si="32"/>
        <v>7</v>
      </c>
      <c r="R63" s="11">
        <f t="shared" si="32"/>
        <v>8</v>
      </c>
      <c r="S63" s="11">
        <f>T63-1</f>
        <v>9</v>
      </c>
      <c r="T63" s="11">
        <v>10</v>
      </c>
    </row>
  </sheetData>
  <mergeCells count="30">
    <mergeCell ref="B2:C4"/>
    <mergeCell ref="D2:F4"/>
    <mergeCell ref="H6:M6"/>
    <mergeCell ref="B6:F6"/>
    <mergeCell ref="O6:Q6"/>
    <mergeCell ref="B7:C7"/>
    <mergeCell ref="B8:C8"/>
    <mergeCell ref="B9:C9"/>
    <mergeCell ref="B42:E42"/>
    <mergeCell ref="F42:I42"/>
    <mergeCell ref="B10:C10"/>
    <mergeCell ref="B11:C11"/>
    <mergeCell ref="H7:I7"/>
    <mergeCell ref="H8:I8"/>
    <mergeCell ref="H9:I9"/>
    <mergeCell ref="H10:I10"/>
    <mergeCell ref="H11:I11"/>
    <mergeCell ref="K42:N42"/>
    <mergeCell ref="D10:F10"/>
    <mergeCell ref="D11:F11"/>
    <mergeCell ref="S3:T3"/>
    <mergeCell ref="J7:M7"/>
    <mergeCell ref="J8:M8"/>
    <mergeCell ref="J9:M9"/>
    <mergeCell ref="J10:M10"/>
    <mergeCell ref="D7:F7"/>
    <mergeCell ref="D8:F8"/>
    <mergeCell ref="D9:F9"/>
    <mergeCell ref="O42:T42"/>
    <mergeCell ref="J11:M1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ABAF3-2E83-4667-B377-939AB0CCC065}">
  <dimension ref="A1:Z74"/>
  <sheetViews>
    <sheetView showGridLines="0" zoomScaleNormal="100" workbookViewId="0">
      <selection activeCell="B20" sqref="B20:L21"/>
    </sheetView>
  </sheetViews>
  <sheetFormatPr defaultColWidth="11.77734375" defaultRowHeight="16.05" customHeight="1" x14ac:dyDescent="0.3"/>
  <cols>
    <col min="1" max="5" width="11.77734375" style="1"/>
    <col min="6" max="6" width="12" style="1" bestFit="1" customWidth="1"/>
    <col min="7" max="13" width="12" style="4" bestFit="1" customWidth="1"/>
    <col min="14" max="14" width="12.88671875" style="4" bestFit="1" customWidth="1"/>
    <col min="15" max="17" width="12" style="4" bestFit="1" customWidth="1"/>
    <col min="18" max="18" width="11.77734375" style="4"/>
    <col min="19" max="16384" width="11.77734375" style="1"/>
  </cols>
  <sheetData>
    <row r="1" spans="1:20" ht="16.05" customHeight="1" x14ac:dyDescent="0.3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s="58" customFormat="1" ht="16.05" customHeight="1" x14ac:dyDescent="0.3">
      <c r="A2" s="1"/>
      <c r="B2" s="58" t="s">
        <v>23</v>
      </c>
    </row>
    <row r="3" spans="1:20" s="58" customFormat="1" ht="16.05" customHeight="1" x14ac:dyDescent="0.3">
      <c r="A3" s="1"/>
    </row>
    <row r="4" spans="1:20" ht="16.05" customHeight="1" x14ac:dyDescent="0.3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0" ht="16.05" customHeight="1" x14ac:dyDescent="0.3">
      <c r="B5" s="2" t="s">
        <v>59</v>
      </c>
      <c r="C5" s="2"/>
      <c r="D5" s="2"/>
      <c r="E5" s="2"/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  <c r="L5" s="3" t="s">
        <v>35</v>
      </c>
      <c r="M5" s="3" t="s">
        <v>36</v>
      </c>
      <c r="N5" s="3" t="s">
        <v>37</v>
      </c>
      <c r="O5" s="3" t="s">
        <v>38</v>
      </c>
      <c r="P5" s="3" t="s">
        <v>44</v>
      </c>
      <c r="Q5" s="3" t="s">
        <v>45</v>
      </c>
    </row>
    <row r="6" spans="1:20" ht="16.05" customHeight="1" x14ac:dyDescent="0.3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0" ht="16.05" customHeight="1" x14ac:dyDescent="0.3">
      <c r="B7" s="13" t="s">
        <v>43</v>
      </c>
      <c r="E7" s="11"/>
      <c r="F7" s="11">
        <v>6574</v>
      </c>
      <c r="G7" s="11">
        <v>14537</v>
      </c>
      <c r="H7" s="11" t="e">
        <f>#REF!+#REF!+#REF!</f>
        <v>#REF!</v>
      </c>
      <c r="I7" s="11" t="e">
        <f>#REF!+#REF!+#REF!</f>
        <v>#REF!</v>
      </c>
      <c r="J7" s="11" t="e">
        <f>#REF!+#REF!+#REF!</f>
        <v>#REF!</v>
      </c>
      <c r="K7" s="11" t="e">
        <f>#REF!+#REF!+#REF!</f>
        <v>#REF!</v>
      </c>
      <c r="L7" s="11" t="e">
        <f>#REF!+#REF!+#REF!</f>
        <v>#REF!</v>
      </c>
      <c r="M7" s="11" t="e">
        <f>#REF!+#REF!+#REF!</f>
        <v>#REF!</v>
      </c>
      <c r="N7" s="11" t="e">
        <f>#REF!+#REF!+#REF!</f>
        <v>#REF!</v>
      </c>
      <c r="O7" s="11" t="e">
        <f>#REF!+#REF!+#REF!</f>
        <v>#REF!</v>
      </c>
      <c r="P7" s="11" t="e">
        <f>#REF!+#REF!+#REF!</f>
        <v>#REF!</v>
      </c>
      <c r="Q7" s="11" t="e">
        <f>#REF!+#REF!+#REF!</f>
        <v>#REF!</v>
      </c>
      <c r="T7" s="5"/>
    </row>
    <row r="8" spans="1:20" ht="16.05" customHeight="1" x14ac:dyDescent="0.3">
      <c r="B8" s="1" t="s">
        <v>24</v>
      </c>
      <c r="E8" s="11"/>
      <c r="F8" s="11">
        <v>4888</v>
      </c>
      <c r="G8" s="11">
        <v>11315</v>
      </c>
      <c r="H8" s="11" t="e">
        <f>#REF!+#REF!+#REF!</f>
        <v>#REF!</v>
      </c>
      <c r="I8" s="11" t="e">
        <f>#REF!+#REF!+#REF!</f>
        <v>#REF!</v>
      </c>
      <c r="J8" s="11" t="e">
        <f>#REF!+#REF!+#REF!</f>
        <v>#REF!</v>
      </c>
      <c r="K8" s="11" t="e">
        <f>#REF!+#REF!+#REF!</f>
        <v>#REF!</v>
      </c>
      <c r="L8" s="11" t="e">
        <f>#REF!+#REF!+#REF!</f>
        <v>#REF!</v>
      </c>
      <c r="M8" s="11" t="e">
        <f>#REF!+#REF!+#REF!</f>
        <v>#REF!</v>
      </c>
      <c r="N8" s="11" t="e">
        <f>#REF!+#REF!+#REF!</f>
        <v>#REF!</v>
      </c>
      <c r="O8" s="11" t="e">
        <f>#REF!+#REF!+#REF!</f>
        <v>#REF!</v>
      </c>
      <c r="P8" s="11" t="e">
        <f>#REF!+#REF!+#REF!</f>
        <v>#REF!</v>
      </c>
      <c r="Q8" s="11" t="e">
        <f>#REF!+#REF!+#REF!</f>
        <v>#REF!</v>
      </c>
    </row>
    <row r="9" spans="1:20" ht="16.05" customHeight="1" x14ac:dyDescent="0.3">
      <c r="B9" s="13" t="s">
        <v>25</v>
      </c>
      <c r="E9" s="11"/>
      <c r="F9" s="11">
        <f t="shared" ref="F9:Q9" si="0">F7-F8</f>
        <v>1686</v>
      </c>
      <c r="G9" s="11">
        <f t="shared" si="0"/>
        <v>3222</v>
      </c>
      <c r="H9" s="11" t="e">
        <f t="shared" si="0"/>
        <v>#REF!</v>
      </c>
      <c r="I9" s="11" t="e">
        <f t="shared" si="0"/>
        <v>#REF!</v>
      </c>
      <c r="J9" s="11" t="e">
        <f t="shared" si="0"/>
        <v>#REF!</v>
      </c>
      <c r="K9" s="11" t="e">
        <f t="shared" si="0"/>
        <v>#REF!</v>
      </c>
      <c r="L9" s="11" t="e">
        <f t="shared" si="0"/>
        <v>#REF!</v>
      </c>
      <c r="M9" s="11" t="e">
        <f t="shared" si="0"/>
        <v>#REF!</v>
      </c>
      <c r="N9" s="11" t="e">
        <f t="shared" si="0"/>
        <v>#REF!</v>
      </c>
      <c r="O9" s="11" t="e">
        <f t="shared" si="0"/>
        <v>#REF!</v>
      </c>
      <c r="P9" s="11" t="e">
        <f t="shared" si="0"/>
        <v>#REF!</v>
      </c>
      <c r="Q9" s="11" t="e">
        <f t="shared" si="0"/>
        <v>#REF!</v>
      </c>
    </row>
    <row r="10" spans="1:20" ht="16.05" customHeight="1" x14ac:dyDescent="0.3">
      <c r="B10" s="6" t="s">
        <v>46</v>
      </c>
      <c r="C10" s="6"/>
      <c r="D10" s="6"/>
      <c r="E10" s="12"/>
      <c r="F10" s="7">
        <f t="shared" ref="F10:Q10" si="1">F9/F7</f>
        <v>0.25646486157590509</v>
      </c>
      <c r="G10" s="7">
        <f t="shared" si="1"/>
        <v>0.22164132902249434</v>
      </c>
      <c r="H10" s="7" t="e">
        <f t="shared" si="1"/>
        <v>#REF!</v>
      </c>
      <c r="I10" s="7" t="e">
        <f t="shared" si="1"/>
        <v>#REF!</v>
      </c>
      <c r="J10" s="7" t="e">
        <f t="shared" si="1"/>
        <v>#REF!</v>
      </c>
      <c r="K10" s="7" t="e">
        <f t="shared" si="1"/>
        <v>#REF!</v>
      </c>
      <c r="L10" s="7" t="e">
        <f t="shared" si="1"/>
        <v>#REF!</v>
      </c>
      <c r="M10" s="7" t="e">
        <f t="shared" si="1"/>
        <v>#REF!</v>
      </c>
      <c r="N10" s="7" t="e">
        <f t="shared" si="1"/>
        <v>#REF!</v>
      </c>
      <c r="O10" s="7" t="e">
        <f t="shared" si="1"/>
        <v>#REF!</v>
      </c>
      <c r="P10" s="8" t="e">
        <f t="shared" si="1"/>
        <v>#REF!</v>
      </c>
      <c r="Q10" s="8" t="e">
        <f t="shared" si="1"/>
        <v>#REF!</v>
      </c>
    </row>
    <row r="11" spans="1:20" ht="16.05" customHeight="1" x14ac:dyDescent="0.3">
      <c r="P11" s="8" t="e">
        <f t="shared" ref="P11:Q11" si="2">P7/L7-1</f>
        <v>#REF!</v>
      </c>
      <c r="Q11" s="8" t="e">
        <f t="shared" si="2"/>
        <v>#REF!</v>
      </c>
    </row>
    <row r="12" spans="1:20" ht="16.05" customHeight="1" x14ac:dyDescent="0.3"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4"/>
    </row>
    <row r="13" spans="1:20" ht="16.05" customHeight="1" x14ac:dyDescent="0.3">
      <c r="B13" s="1" t="s">
        <v>26</v>
      </c>
      <c r="E13" s="11"/>
      <c r="F13" s="11">
        <v>2262</v>
      </c>
      <c r="G13" s="11">
        <v>2159</v>
      </c>
      <c r="H13" s="11">
        <v>2043</v>
      </c>
      <c r="I13" s="11">
        <v>2467</v>
      </c>
      <c r="J13" s="11">
        <v>2389</v>
      </c>
      <c r="K13" s="11">
        <v>2719</v>
      </c>
      <c r="L13" s="11">
        <v>3885</v>
      </c>
      <c r="M13" s="11">
        <v>4247</v>
      </c>
      <c r="N13" s="11">
        <v>4887</v>
      </c>
      <c r="O13" s="11">
        <v>4735</v>
      </c>
      <c r="P13" s="11">
        <v>6986</v>
      </c>
      <c r="Q13" s="11">
        <v>4769</v>
      </c>
    </row>
    <row r="14" spans="1:20" ht="16.05" customHeight="1" x14ac:dyDescent="0.3">
      <c r="B14" s="1" t="s">
        <v>48</v>
      </c>
      <c r="E14" s="11"/>
      <c r="F14" s="11">
        <v>2351</v>
      </c>
      <c r="G14" s="11">
        <v>2247</v>
      </c>
      <c r="H14" s="11">
        <v>2115</v>
      </c>
      <c r="I14" s="11">
        <v>2538</v>
      </c>
      <c r="J14" s="11">
        <v>2461</v>
      </c>
      <c r="K14" s="11">
        <v>2836</v>
      </c>
      <c r="L14" s="11">
        <v>4093</v>
      </c>
      <c r="M14" s="11">
        <v>4458</v>
      </c>
      <c r="N14" s="11">
        <v>5097</v>
      </c>
      <c r="O14" s="11">
        <v>5579</v>
      </c>
      <c r="P14" s="11">
        <v>7568</v>
      </c>
      <c r="Q14" s="11">
        <v>5135</v>
      </c>
    </row>
    <row r="15" spans="1:20" ht="16.05" customHeight="1" x14ac:dyDescent="0.3">
      <c r="B15" s="13" t="s">
        <v>27</v>
      </c>
      <c r="E15" s="11"/>
      <c r="F15" s="11">
        <f t="shared" ref="F15:N15" si="3">F9-F14</f>
        <v>-665</v>
      </c>
      <c r="G15" s="11">
        <f t="shared" si="3"/>
        <v>975</v>
      </c>
      <c r="H15" s="11" t="e">
        <f t="shared" si="3"/>
        <v>#REF!</v>
      </c>
      <c r="I15" s="11" t="e">
        <f t="shared" si="3"/>
        <v>#REF!</v>
      </c>
      <c r="J15" s="11" t="e">
        <f t="shared" si="3"/>
        <v>#REF!</v>
      </c>
      <c r="K15" s="11" t="e">
        <f t="shared" si="3"/>
        <v>#REF!</v>
      </c>
      <c r="L15" s="11" t="e">
        <f t="shared" si="3"/>
        <v>#REF!</v>
      </c>
      <c r="M15" s="11" t="e">
        <f t="shared" si="3"/>
        <v>#REF!</v>
      </c>
      <c r="N15" s="11" t="e">
        <f t="shared" si="3"/>
        <v>#REF!</v>
      </c>
      <c r="O15" s="11" t="e">
        <f>O9-O14</f>
        <v>#REF!</v>
      </c>
      <c r="P15" s="11" t="e">
        <f>P9-P14</f>
        <v>#REF!</v>
      </c>
      <c r="Q15" s="11" t="e">
        <f>Q9-Q14</f>
        <v>#REF!</v>
      </c>
    </row>
    <row r="16" spans="1:20" ht="16.05" customHeight="1" x14ac:dyDescent="0.3">
      <c r="B16" s="14" t="s">
        <v>46</v>
      </c>
      <c r="C16" s="14"/>
      <c r="D16" s="14"/>
      <c r="E16" s="15"/>
      <c r="F16" s="7">
        <f t="shared" ref="F16:N16" si="4">F15/F7</f>
        <v>-0.10115606936416185</v>
      </c>
      <c r="G16" s="7">
        <f t="shared" si="4"/>
        <v>6.7070234573846046E-2</v>
      </c>
      <c r="H16" s="7" t="e">
        <f t="shared" si="4"/>
        <v>#REF!</v>
      </c>
      <c r="I16" s="7" t="e">
        <f t="shared" si="4"/>
        <v>#REF!</v>
      </c>
      <c r="J16" s="7" t="e">
        <f t="shared" si="4"/>
        <v>#REF!</v>
      </c>
      <c r="K16" s="7" t="e">
        <f t="shared" si="4"/>
        <v>#REF!</v>
      </c>
      <c r="L16" s="7" t="e">
        <f t="shared" si="4"/>
        <v>#REF!</v>
      </c>
      <c r="M16" s="7" t="e">
        <f t="shared" si="4"/>
        <v>#REF!</v>
      </c>
      <c r="N16" s="7" t="e">
        <f t="shared" si="4"/>
        <v>#REF!</v>
      </c>
      <c r="O16" s="7" t="e">
        <f>O15/O7</f>
        <v>#REF!</v>
      </c>
      <c r="P16" s="7" t="e">
        <f>P15/P7</f>
        <v>#REF!</v>
      </c>
      <c r="Q16" s="7" t="e">
        <f>Q15/Q7</f>
        <v>#REF!</v>
      </c>
    </row>
    <row r="17" spans="2:19" ht="16.05" customHeight="1" x14ac:dyDescent="0.3">
      <c r="B17" s="14" t="s">
        <v>47</v>
      </c>
      <c r="E17" s="11"/>
      <c r="F17" s="7"/>
      <c r="G17" s="7"/>
      <c r="H17" s="7"/>
      <c r="I17" s="7"/>
      <c r="J17" s="7"/>
      <c r="K17" s="7" t="e">
        <f t="shared" ref="K17:N17" si="5">K15/G15-1</f>
        <v>#REF!</v>
      </c>
      <c r="L17" s="7" t="e">
        <f t="shared" si="5"/>
        <v>#REF!</v>
      </c>
      <c r="M17" s="7" t="e">
        <f t="shared" si="5"/>
        <v>#REF!</v>
      </c>
      <c r="N17" s="7" t="e">
        <f t="shared" si="5"/>
        <v>#REF!</v>
      </c>
      <c r="O17" s="7" t="e">
        <f>O15/K15-1</f>
        <v>#REF!</v>
      </c>
      <c r="P17" s="7" t="e">
        <f>P15/L15-1</f>
        <v>#REF!</v>
      </c>
      <c r="Q17" s="7" t="e">
        <f>Q15/M15-1</f>
        <v>#REF!</v>
      </c>
    </row>
    <row r="18" spans="2:19" ht="16.05" customHeight="1" x14ac:dyDescent="0.3"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2:19" ht="16.05" customHeight="1" x14ac:dyDescent="0.3">
      <c r="B19" s="1" t="s">
        <v>39</v>
      </c>
      <c r="E19" s="11"/>
      <c r="F19" s="11">
        <v>89</v>
      </c>
      <c r="G19" s="11">
        <v>88</v>
      </c>
      <c r="H19" s="11">
        <v>95</v>
      </c>
      <c r="I19" s="11">
        <v>48</v>
      </c>
      <c r="J19" s="11">
        <v>72</v>
      </c>
      <c r="K19" s="11">
        <v>116</v>
      </c>
      <c r="L19" s="11">
        <v>209</v>
      </c>
      <c r="M19" s="11">
        <v>211</v>
      </c>
      <c r="N19" s="11">
        <v>210</v>
      </c>
      <c r="O19" s="11">
        <v>844</v>
      </c>
      <c r="P19" s="4">
        <v>830</v>
      </c>
      <c r="Q19" s="4">
        <v>890</v>
      </c>
    </row>
    <row r="20" spans="2:19" ht="16.05" customHeight="1" x14ac:dyDescent="0.3">
      <c r="B20" s="13" t="s">
        <v>20</v>
      </c>
      <c r="E20" s="11"/>
      <c r="F20" s="11">
        <f t="shared" ref="F20:N20" si="6">F15+F19</f>
        <v>-576</v>
      </c>
      <c r="G20" s="11">
        <f t="shared" si="6"/>
        <v>1063</v>
      </c>
      <c r="H20" s="11" t="e">
        <f t="shared" si="6"/>
        <v>#REF!</v>
      </c>
      <c r="I20" s="11" t="e">
        <f t="shared" si="6"/>
        <v>#REF!</v>
      </c>
      <c r="J20" s="11" t="e">
        <f t="shared" si="6"/>
        <v>#REF!</v>
      </c>
      <c r="K20" s="11" t="e">
        <f t="shared" si="6"/>
        <v>#REF!</v>
      </c>
      <c r="L20" s="11" t="e">
        <f t="shared" si="6"/>
        <v>#REF!</v>
      </c>
      <c r="M20" s="11" t="e">
        <f t="shared" si="6"/>
        <v>#REF!</v>
      </c>
      <c r="N20" s="11" t="e">
        <f t="shared" si="6"/>
        <v>#REF!</v>
      </c>
      <c r="O20" s="11" t="e">
        <f>O15+O19</f>
        <v>#REF!</v>
      </c>
      <c r="P20" s="11" t="e">
        <f>P15+P19</f>
        <v>#REF!</v>
      </c>
      <c r="Q20" s="11" t="e">
        <f>Q15+Q19</f>
        <v>#REF!</v>
      </c>
    </row>
    <row r="21" spans="2:19" ht="16.05" customHeight="1" x14ac:dyDescent="0.3"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2:19" ht="16.05" customHeight="1" x14ac:dyDescent="0.3">
      <c r="B22" s="1" t="s">
        <v>40</v>
      </c>
      <c r="E22" s="11"/>
      <c r="F22" s="11">
        <v>-112</v>
      </c>
      <c r="G22" s="11">
        <v>648</v>
      </c>
      <c r="H22" s="11">
        <v>-481</v>
      </c>
      <c r="I22" s="11">
        <v>-729</v>
      </c>
      <c r="J22" s="11">
        <v>-328</v>
      </c>
      <c r="K22" s="11">
        <v>-378</v>
      </c>
      <c r="L22" s="11">
        <v>-1128</v>
      </c>
      <c r="M22" s="11">
        <v>-1109</v>
      </c>
      <c r="N22" s="11">
        <v>-1468</v>
      </c>
      <c r="O22" s="11">
        <v>-859</v>
      </c>
      <c r="P22" s="11">
        <v>-850</v>
      </c>
      <c r="Q22" s="11">
        <v>-800</v>
      </c>
    </row>
    <row r="23" spans="2:19" ht="16.05" customHeight="1" x14ac:dyDescent="0.3">
      <c r="B23" s="1" t="s">
        <v>49</v>
      </c>
      <c r="F23" s="11">
        <v>0</v>
      </c>
      <c r="G23" s="11">
        <v>0</v>
      </c>
      <c r="H23" s="11">
        <v>0</v>
      </c>
      <c r="I23" s="11">
        <v>355</v>
      </c>
      <c r="J23" s="11">
        <v>100</v>
      </c>
      <c r="K23" s="11">
        <v>106</v>
      </c>
      <c r="L23" s="11">
        <v>0</v>
      </c>
      <c r="M23" s="11">
        <v>562</v>
      </c>
      <c r="N23" s="11">
        <v>383</v>
      </c>
      <c r="O23" s="11">
        <v>175</v>
      </c>
      <c r="P23" s="11">
        <v>200</v>
      </c>
      <c r="Q23" s="11">
        <v>180</v>
      </c>
    </row>
    <row r="24" spans="2:19" ht="16.05" customHeight="1" x14ac:dyDescent="0.3">
      <c r="B24" s="13" t="s">
        <v>28</v>
      </c>
      <c r="E24" s="11"/>
      <c r="F24" s="11">
        <f t="shared" ref="F24:N24" si="7">F15+F22+F23</f>
        <v>-777</v>
      </c>
      <c r="G24" s="11">
        <f t="shared" si="7"/>
        <v>1623</v>
      </c>
      <c r="H24" s="11" t="e">
        <f t="shared" si="7"/>
        <v>#REF!</v>
      </c>
      <c r="I24" s="11" t="e">
        <f t="shared" si="7"/>
        <v>#REF!</v>
      </c>
      <c r="J24" s="11" t="e">
        <f t="shared" si="7"/>
        <v>#REF!</v>
      </c>
      <c r="K24" s="11" t="e">
        <f t="shared" si="7"/>
        <v>#REF!</v>
      </c>
      <c r="L24" s="11" t="e">
        <f t="shared" si="7"/>
        <v>#REF!</v>
      </c>
      <c r="M24" s="11" t="e">
        <f t="shared" si="7"/>
        <v>#REF!</v>
      </c>
      <c r="N24" s="11" t="e">
        <f t="shared" si="7"/>
        <v>#REF!</v>
      </c>
      <c r="O24" s="11" t="e">
        <f>O15+O22+O23</f>
        <v>#REF!</v>
      </c>
      <c r="P24" s="11" t="e">
        <f>P15+P22+P23</f>
        <v>#REF!</v>
      </c>
      <c r="Q24" s="11" t="e">
        <f>Q15+Q22+Q23</f>
        <v>#REF!</v>
      </c>
    </row>
    <row r="25" spans="2:19" ht="16.05" customHeight="1" x14ac:dyDescent="0.3"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"/>
    </row>
    <row r="26" spans="2:19" ht="16.05" customHeight="1" x14ac:dyDescent="0.3">
      <c r="B26" s="1" t="s">
        <v>50</v>
      </c>
      <c r="F26" s="11">
        <v>9</v>
      </c>
      <c r="G26" s="11">
        <v>12</v>
      </c>
      <c r="H26" s="11">
        <v>24</v>
      </c>
      <c r="I26" s="11">
        <v>15</v>
      </c>
      <c r="J26" s="11">
        <v>10</v>
      </c>
      <c r="K26" s="11">
        <v>26</v>
      </c>
      <c r="L26" s="11">
        <v>20</v>
      </c>
      <c r="M26" s="11">
        <v>102</v>
      </c>
      <c r="N26" s="11">
        <v>49</v>
      </c>
      <c r="O26" s="11">
        <v>69</v>
      </c>
      <c r="P26" s="11">
        <v>225</v>
      </c>
      <c r="Q26" s="11">
        <v>160</v>
      </c>
    </row>
    <row r="27" spans="2:19" ht="16.05" customHeight="1" x14ac:dyDescent="0.3">
      <c r="B27" s="1" t="s">
        <v>51</v>
      </c>
      <c r="F27" s="7">
        <v>0</v>
      </c>
      <c r="G27" s="7">
        <f t="shared" ref="G27:N27" si="8">G26/G24</f>
        <v>7.3937153419593345E-3</v>
      </c>
      <c r="H27" s="7" t="e">
        <f t="shared" si="8"/>
        <v>#REF!</v>
      </c>
      <c r="I27" s="7" t="e">
        <f t="shared" si="8"/>
        <v>#REF!</v>
      </c>
      <c r="J27" s="7" t="e">
        <f t="shared" si="8"/>
        <v>#REF!</v>
      </c>
      <c r="K27" s="7" t="e">
        <f t="shared" si="8"/>
        <v>#REF!</v>
      </c>
      <c r="L27" s="7" t="e">
        <f t="shared" si="8"/>
        <v>#REF!</v>
      </c>
      <c r="M27" s="7" t="e">
        <f t="shared" si="8"/>
        <v>#REF!</v>
      </c>
      <c r="N27" s="7" t="e">
        <f t="shared" si="8"/>
        <v>#REF!</v>
      </c>
      <c r="O27" s="7" t="e">
        <f>O26/O24</f>
        <v>#REF!</v>
      </c>
      <c r="P27" s="7" t="e">
        <f>P26/P24</f>
        <v>#REF!</v>
      </c>
      <c r="Q27" s="7" t="e">
        <f>Q26/Q24</f>
        <v>#REF!</v>
      </c>
      <c r="S27" s="11"/>
    </row>
    <row r="28" spans="2:19" ht="16.05" customHeight="1" x14ac:dyDescent="0.3"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S28" s="11"/>
    </row>
    <row r="29" spans="2:19" ht="16.05" customHeight="1" x14ac:dyDescent="0.3">
      <c r="B29" s="13" t="s">
        <v>21</v>
      </c>
      <c r="F29" s="11">
        <f t="shared" ref="F29:N29" si="9">F24-F26</f>
        <v>-786</v>
      </c>
      <c r="G29" s="11">
        <f t="shared" si="9"/>
        <v>1611</v>
      </c>
      <c r="H29" s="11" t="e">
        <f t="shared" si="9"/>
        <v>#REF!</v>
      </c>
      <c r="I29" s="11" t="e">
        <f t="shared" si="9"/>
        <v>#REF!</v>
      </c>
      <c r="J29" s="11" t="e">
        <f t="shared" si="9"/>
        <v>#REF!</v>
      </c>
      <c r="K29" s="11" t="e">
        <f t="shared" si="9"/>
        <v>#REF!</v>
      </c>
      <c r="L29" s="11" t="e">
        <f t="shared" si="9"/>
        <v>#REF!</v>
      </c>
      <c r="M29" s="11" t="e">
        <f t="shared" si="9"/>
        <v>#REF!</v>
      </c>
      <c r="N29" s="11" t="e">
        <f t="shared" si="9"/>
        <v>#REF!</v>
      </c>
      <c r="O29" s="11" t="e">
        <f>O24-O26</f>
        <v>#REF!</v>
      </c>
      <c r="P29" s="11" t="e">
        <f>P24-P26</f>
        <v>#REF!</v>
      </c>
      <c r="Q29" s="11" t="e">
        <f>Q24-Q26</f>
        <v>#REF!</v>
      </c>
    </row>
    <row r="30" spans="2:19" ht="16.05" customHeight="1" x14ac:dyDescent="0.3">
      <c r="B30" s="6" t="s">
        <v>47</v>
      </c>
      <c r="C30" s="6"/>
      <c r="D30" s="6"/>
      <c r="E30" s="12"/>
      <c r="F30" s="9"/>
      <c r="G30" s="9"/>
      <c r="H30" s="9"/>
      <c r="I30" s="9"/>
      <c r="J30" s="18">
        <f>-(47/F29-1)</f>
        <v>1.059796437659033</v>
      </c>
      <c r="K30" s="18" t="e">
        <f t="shared" ref="K30:N30" si="10">K29/G29-1</f>
        <v>#REF!</v>
      </c>
      <c r="L30" s="18" t="e">
        <f t="shared" si="10"/>
        <v>#REF!</v>
      </c>
      <c r="M30" s="18" t="e">
        <f>-(M29/I29-1)</f>
        <v>#REF!</v>
      </c>
      <c r="N30" s="18" t="e">
        <f t="shared" si="10"/>
        <v>#REF!</v>
      </c>
      <c r="O30" s="7" t="e">
        <f>O29/K29-1</f>
        <v>#REF!</v>
      </c>
      <c r="P30" s="7" t="e">
        <f>P29/L29-1</f>
        <v>#REF!</v>
      </c>
      <c r="Q30" s="7" t="e">
        <f>Q29/M29-1</f>
        <v>#REF!</v>
      </c>
    </row>
    <row r="31" spans="2:19" ht="16.05" customHeight="1" x14ac:dyDescent="0.3">
      <c r="F31" s="11"/>
      <c r="G31" s="11"/>
      <c r="H31" s="11"/>
      <c r="I31" s="11"/>
      <c r="J31" s="11"/>
      <c r="K31" s="11"/>
      <c r="L31" s="11"/>
      <c r="M31" s="11"/>
      <c r="N31" s="11"/>
      <c r="P31" s="11"/>
      <c r="Q31" s="11"/>
    </row>
    <row r="32" spans="2:19" ht="16.05" customHeight="1" x14ac:dyDescent="0.3">
      <c r="B32" s="1" t="s">
        <v>41</v>
      </c>
      <c r="F32" s="11">
        <v>-13730</v>
      </c>
      <c r="G32" s="11">
        <v>17515</v>
      </c>
      <c r="H32" s="11">
        <v>4554</v>
      </c>
      <c r="I32" s="11">
        <v>-16865</v>
      </c>
      <c r="J32" s="11">
        <v>2607</v>
      </c>
      <c r="K32" s="11">
        <v>-6010</v>
      </c>
      <c r="L32" s="11">
        <v>38582</v>
      </c>
      <c r="M32" s="11">
        <v>-28366</v>
      </c>
      <c r="N32" s="11">
        <v>5764</v>
      </c>
      <c r="O32" s="11">
        <v>5430</v>
      </c>
      <c r="P32" s="11">
        <v>-1591</v>
      </c>
      <c r="Q32" s="11">
        <v>-46</v>
      </c>
    </row>
    <row r="33" spans="2:17" ht="16.05" customHeight="1" x14ac:dyDescent="0.3">
      <c r="B33" s="1" t="s">
        <v>22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55" spans="17:26" ht="16.05" customHeight="1" x14ac:dyDescent="0.3">
      <c r="S55" s="4"/>
      <c r="T55" s="4"/>
      <c r="U55" s="4"/>
      <c r="V55" s="4"/>
      <c r="W55" s="4"/>
      <c r="X55" s="4"/>
      <c r="Y55" s="4"/>
      <c r="Z55" s="4"/>
    </row>
    <row r="56" spans="17:26" ht="16.05" customHeight="1" x14ac:dyDescent="0.3">
      <c r="S56" s="4"/>
      <c r="T56" s="4"/>
      <c r="U56" s="4"/>
      <c r="V56" s="4"/>
      <c r="W56" s="4"/>
      <c r="X56" s="4"/>
      <c r="Y56" s="4"/>
      <c r="Z56" s="4"/>
    </row>
    <row r="57" spans="17:26" ht="16.05" customHeight="1" x14ac:dyDescent="0.3">
      <c r="S57" s="4"/>
      <c r="T57" s="4"/>
      <c r="U57" s="4"/>
      <c r="V57" s="4"/>
      <c r="W57" s="4"/>
      <c r="X57" s="4"/>
      <c r="Y57" s="4"/>
      <c r="Z57" s="4"/>
    </row>
    <row r="58" spans="17:26" ht="16.05" customHeight="1" x14ac:dyDescent="0.3">
      <c r="S58" s="4"/>
      <c r="T58" s="4"/>
      <c r="U58" s="4"/>
      <c r="V58" s="4"/>
      <c r="W58" s="4"/>
      <c r="X58" s="4"/>
      <c r="Y58" s="4"/>
      <c r="Z58" s="4"/>
    </row>
    <row r="59" spans="17:26" ht="16.05" customHeight="1" x14ac:dyDescent="0.3">
      <c r="S59" s="4"/>
      <c r="T59" s="4"/>
      <c r="U59" s="4"/>
      <c r="V59" s="4"/>
      <c r="W59" s="4"/>
      <c r="X59" s="4"/>
      <c r="Y59" s="4"/>
      <c r="Z59" s="4"/>
    </row>
    <row r="60" spans="17:26" ht="16.05" customHeight="1" x14ac:dyDescent="0.3"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7:26" ht="16.05" customHeight="1" x14ac:dyDescent="0.3">
      <c r="S61" s="4"/>
      <c r="T61" s="4"/>
      <c r="U61" s="4"/>
      <c r="V61" s="4"/>
      <c r="W61" s="4"/>
      <c r="X61" s="4"/>
      <c r="Y61" s="4"/>
      <c r="Z61" s="4"/>
    </row>
    <row r="62" spans="17:26" ht="16.05" customHeight="1" x14ac:dyDescent="0.3">
      <c r="S62" s="4"/>
      <c r="T62" s="4"/>
      <c r="U62" s="4"/>
      <c r="V62" s="4"/>
      <c r="W62" s="4"/>
      <c r="X62" s="4"/>
      <c r="Y62" s="4"/>
      <c r="Z62" s="4"/>
    </row>
    <row r="63" spans="17:26" ht="16.05" customHeight="1" x14ac:dyDescent="0.3">
      <c r="S63" s="4"/>
      <c r="T63" s="4"/>
      <c r="U63" s="4"/>
      <c r="V63" s="4"/>
      <c r="W63" s="4"/>
      <c r="X63" s="4"/>
      <c r="Y63" s="4"/>
      <c r="Z63" s="4"/>
    </row>
    <row r="64" spans="17:26" ht="16.05" customHeight="1" x14ac:dyDescent="0.3"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7:26" ht="16.05" customHeight="1" x14ac:dyDescent="0.3">
      <c r="S65" s="4"/>
      <c r="T65" s="4"/>
      <c r="U65" s="4"/>
      <c r="V65" s="4"/>
      <c r="W65" s="4"/>
      <c r="X65" s="4"/>
      <c r="Y65" s="4"/>
      <c r="Z65" s="4"/>
    </row>
    <row r="66" spans="17:26" ht="16.05" customHeight="1" x14ac:dyDescent="0.3">
      <c r="S66" s="4"/>
      <c r="T66" s="4"/>
      <c r="U66" s="4"/>
      <c r="V66" s="4"/>
      <c r="W66" s="4"/>
      <c r="X66" s="4"/>
      <c r="Y66" s="4"/>
      <c r="Z66" s="4"/>
    </row>
    <row r="67" spans="17:26" ht="16.05" customHeight="1" x14ac:dyDescent="0.3">
      <c r="S67" s="4"/>
      <c r="T67" s="4"/>
      <c r="U67" s="4"/>
      <c r="V67" s="4"/>
      <c r="W67" s="4"/>
      <c r="X67" s="4"/>
      <c r="Y67" s="4"/>
      <c r="Z67" s="4"/>
    </row>
    <row r="68" spans="17:26" ht="16.05" customHeight="1" x14ac:dyDescent="0.3">
      <c r="S68" s="4"/>
      <c r="T68" s="4"/>
      <c r="U68" s="4"/>
      <c r="V68" s="4"/>
      <c r="W68" s="4"/>
      <c r="X68" s="4"/>
      <c r="Y68" s="4"/>
      <c r="Z68" s="4"/>
    </row>
    <row r="69" spans="17:26" ht="16.05" customHeight="1" x14ac:dyDescent="0.3">
      <c r="S69" s="4"/>
      <c r="T69" s="4"/>
      <c r="U69" s="4"/>
      <c r="V69" s="4"/>
      <c r="W69" s="4"/>
      <c r="X69" s="4"/>
      <c r="Y69" s="4"/>
      <c r="Z69" s="4"/>
    </row>
    <row r="70" spans="17:26" ht="16.05" customHeight="1" x14ac:dyDescent="0.3">
      <c r="S70" s="4"/>
      <c r="T70" s="4"/>
      <c r="U70" s="4"/>
      <c r="V70" s="4"/>
      <c r="W70" s="4"/>
      <c r="X70" s="4"/>
      <c r="Y70" s="4"/>
      <c r="Z70" s="4"/>
    </row>
    <row r="71" spans="17:26" ht="16.05" customHeight="1" x14ac:dyDescent="0.3">
      <c r="S71" s="4"/>
      <c r="T71" s="4"/>
      <c r="U71" s="4"/>
      <c r="V71" s="4"/>
      <c r="W71" s="4"/>
      <c r="X71" s="4"/>
      <c r="Y71" s="4"/>
      <c r="Z71" s="4"/>
    </row>
    <row r="72" spans="17:26" ht="16.05" customHeight="1" x14ac:dyDescent="0.3">
      <c r="S72" s="4"/>
      <c r="T72" s="4"/>
      <c r="U72" s="4"/>
      <c r="V72" s="4"/>
      <c r="W72" s="4"/>
      <c r="X72" s="4"/>
      <c r="Y72" s="4"/>
      <c r="Z72" s="4"/>
    </row>
    <row r="73" spans="17:26" ht="16.05" customHeight="1" x14ac:dyDescent="0.3">
      <c r="S73" s="4"/>
      <c r="T73" s="4"/>
      <c r="U73" s="4"/>
      <c r="V73" s="4"/>
      <c r="W73" s="4"/>
      <c r="X73" s="4"/>
      <c r="Y73" s="4"/>
      <c r="Z73" s="4"/>
    </row>
    <row r="74" spans="17:26" ht="16.05" customHeight="1" x14ac:dyDescent="0.3">
      <c r="Q74" s="17"/>
      <c r="R74" s="17"/>
      <c r="S74" s="17"/>
      <c r="T74" s="17"/>
      <c r="U74" s="17"/>
      <c r="V74" s="17"/>
      <c r="W74" s="17"/>
      <c r="X74" s="17"/>
      <c r="Y74" s="17"/>
      <c r="Z74" s="17"/>
    </row>
  </sheetData>
  <mergeCells count="1">
    <mergeCell ref="B2:XF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2025-11-06T04:15:08Z</dcterms:created>
  <dcterms:modified xsi:type="dcterms:W3CDTF">2026-02-06T08:56:08Z</dcterms:modified>
</cp:coreProperties>
</file>