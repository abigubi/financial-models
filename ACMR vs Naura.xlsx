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8_{6A3FDEC5-F5CF-4444-BDC3-076D57122A2F}" xr6:coauthVersionLast="47" xr6:coauthVersionMax="47" xr10:uidLastSave="{00000000-0000-0000-0000-000000000000}"/>
  <bookViews>
    <workbookView xWindow="5028" yWindow="744" windowWidth="32424" windowHeight="14424" xr2:uid="{B960F72B-CB41-486A-96EB-54BBD62D2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<sst xmlns="http://schemas.openxmlformats.org/spreadsheetml/2006/main" count="29" uniqueCount="26">
  <si>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</si>
  <si>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</si>
  <si>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</si>
  <si>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</si>
  <si>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</si>
  <si>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</si>
  <si>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</si>
  <si>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</si>
  <si>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</si>
  <si>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</si>
  <si>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</si>
  <si>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Q1 2025</t>
  </si>
  <si>
    <t>Q4 2024</t>
  </si>
  <si>
    <t>Q2 2025</t>
  </si>
  <si>
    <t>Q3 2025</t>
  </si>
  <si>
    <t>ACMR Revenue</t>
  </si>
  <si>
    <t>Naura Revenue</t>
  </si>
  <si>
    <t>$ mm</t>
  </si>
  <si>
    <t>ACMR Net Income</t>
  </si>
  <si>
    <t>Naura Net Income</t>
  </si>
  <si>
    <t>Q4 2025E</t>
  </si>
  <si>
    <t>Q1 2026E</t>
  </si>
  <si>
    <t>Q2 2026E</t>
  </si>
  <si>
    <t>Q3 2026E</t>
  </si>
  <si>
    <t>Q4 2026E</t>
  </si>
  <si>
    <t>QoQ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</si>
</sst>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/>
    <xf numFmtId="0" fontId="4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Border="1"/>
    <xf numFmtId="39" fontId="0" fillId="0" borderId="0" xfId="0" applyNumberFormat="1" applyBorder="1"/>
    <xf numFmtId="39" fontId="0" fillId="0" borderId="5" xfId="0" applyNumberFormat="1" applyBorder="1"/>
    <xf numFmtId="0" fontId="3" fillId="0" borderId="4" xfId="0" applyFont="1" applyBorder="1"/>
    <xf numFmtId="0" fontId="3" fillId="0" borderId="0" xfId="0" applyFont="1" applyBorder="1"/>
    <xf numFmtId="10" fontId="3" fillId="0" borderId="0" xfId="0" applyNumberFormat="1" applyFont="1" applyBorder="1"/>
    <xf numFmtId="10" fontId="3" fillId="0" borderId="5" xfId="0" applyNumberFormat="1" applyFont="1" applyBorder="1"/>
    <xf numFmtId="0" fontId="3" fillId="0" borderId="6" xfId="0" applyFont="1" applyBorder="1"/>
    <xf numFmtId="0" fontId="0" fillId="0" borderId="7" xfId="0" applyBorder="1"/>
    <xf numFmtId="10" fontId="3" fillId="0" borderId="7" xfId="0" applyNumberFormat="1" applyFont="1" applyBorder="1"/>
    <xf numFmtId="10" fontId="3" fillId="0" borderId="8" xfId="0" applyNumberFormat="1" applyFont="1" applyBorder="1"/>
    <xf numFmtId="0" fontId="3" fillId="0" borderId="7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ACMR vs Naura Quarterly Revenue - $mm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ACMR Revenue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Sheet1!$D$2:$R$2</c:f>
              <c:strCache>
                <c:ptCount val="15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</c:strCache>
            </c:strRef>
          </c:cat>
          <c:val>
            <c:numRef>
              <c:f>Sheet1!$D$3:$R$3</c:f>
              <c:numCache>
                <c:formatCode>#,##0.00_);\(#,##0.00\)</c:formatCode>
                <c:ptCount val="15"/>
                <c:pt idx="0">
                  <c:v>42.186</c:v>
                </c:pt>
                <c:pt idx="1">
                  <c:v>104.395</c:v>
                </c:pt>
                <c:pt idx="2">
                  <c:v>133.709</c:v>
                </c:pt>
                <c:pt idx="3">
                  <c:v>108.542</c:v>
                </c:pt>
                <c:pt idx="4">
                  <c:v>74.256</c:v>
                </c:pt>
                <c:pt idx="5">
                  <c:v>144.577</c:v>
                </c:pt>
                <c:pt idx="6">
                  <c:v>168.56899999999999</c:v>
                </c:pt>
                <c:pt idx="7">
                  <c:v>170.321</c:v>
                </c:pt>
                <c:pt idx="8">
                  <c:v>152.191</c:v>
                </c:pt>
                <c:pt idx="9">
                  <c:v>202.48</c:v>
                </c:pt>
                <c:pt idx="10">
                  <c:v>203.976</c:v>
                </c:pt>
                <c:pt idx="11">
                  <c:v>223.471</c:v>
                </c:pt>
                <c:pt idx="12">
                  <c:v>172.34700000000001</c:v>
                </c:pt>
                <c:pt idx="13">
                  <c:v>215.37200000000001</c:v>
                </c:pt>
                <c:pt idx="14">
                  <c:v>269.16000000000003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3-46CD-AEA0-6F896F9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74015"/>
        <c:axId val="517974975"/>
      </c:lineChart>
      <c:lineChart>
        <c:grouping val="standard"/>
        <c:varyColors val="0"/>
        <c:ser>
          <c:idx val="2"/>
          <c:order val="1"/>
          <c:tx>
            <c:strRef>
              <c:f>Sheet1!$B$7</c:f>
              <c:strCache>
                <c:ptCount val="1"/>
                <c:pt idx="0">
                  <c:v>Naura Revenue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Sheet1!$D$2:$W$2</c:f>
              <c:strCache>
                <c:ptCount val="20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2025E</c:v>
                </c:pt>
                <c:pt idx="16">
                  <c:v>Q1 2026E</c:v>
                </c:pt>
                <c:pt idx="17">
                  <c:v>Q2 2026E</c:v>
                </c:pt>
                <c:pt idx="18">
                  <c:v>Q3 2026E</c:v>
                </c:pt>
                <c:pt idx="19">
                  <c:v>Q4 2026E</c:v>
                </c:pt>
              </c:strCache>
            </c:strRef>
          </c:cat>
          <c:val>
            <c:numRef>
              <c:f>Sheet1!$D$7:$R$7</c:f>
              <c:numCache>
                <c:formatCode>#,##0.00_);\(#,##0.00\)</c:formatCode>
                <c:ptCount val="15"/>
                <c:pt idx="0">
                  <c:v>323.03899999999999</c:v>
                </c:pt>
                <c:pt idx="1">
                  <c:v>479.44099999999997</c:v>
                </c:pt>
                <c:pt idx="2">
                  <c:v>625.87300000000005</c:v>
                </c:pt>
                <c:pt idx="3">
                  <c:v>674.923</c:v>
                </c:pt>
                <c:pt idx="4">
                  <c:v>558.73099999999999</c:v>
                </c:pt>
                <c:pt idx="5">
                  <c:v>624.66099999999994</c:v>
                </c:pt>
                <c:pt idx="6">
                  <c:v>842.02200000000005</c:v>
                </c:pt>
                <c:pt idx="7">
                  <c:v>1034.45</c:v>
                </c:pt>
                <c:pt idx="8">
                  <c:v>808.51700000000005</c:v>
                </c:pt>
                <c:pt idx="9">
                  <c:v>908.71500000000003</c:v>
                </c:pt>
                <c:pt idx="10">
                  <c:v>1125.6400000000001</c:v>
                </c:pt>
                <c:pt idx="11">
                  <c:v>1302.18</c:v>
                </c:pt>
                <c:pt idx="12">
                  <c:v>1124.23</c:v>
                </c:pt>
                <c:pt idx="13">
                  <c:v>1112.6099999999999</c:v>
                </c:pt>
                <c:pt idx="14">
                  <c:v>1568.87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3-46CD-AEA0-6F896F9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274239"/>
        <c:axId val="1149272799"/>
      </c:lineChart>
      <c:catAx>
        <c:axId val="51797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4975"/>
        <c:crosses val="autoZero"/>
        <c:auto val="1"/>
        <c:lblAlgn val="ctr"/>
        <c:lblOffset val="100"/>
        <c:noMultiLvlLbl val="0"/>
      </c:catAx>
      <c:valAx>
        <c:axId val="5179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4015"/>
        <c:crosses val="autoZero"/>
        <c:crossBetween val="between"/>
      </c:valAx>
      <c:valAx>
        <c:axId val="1149272799"/>
        <c:scaling>
          <c:orientation val="minMax"/>
        </c:scaling>
        <c:delete val="0"/>
        <c:axPos val="r"/>
        <c:numFmt formatCode="#,##0.00_);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74239"/>
        <c:crosses val="max"/>
        <c:crossBetween val="between"/>
      </c:valAx>
      <c:catAx>
        <c:axId val="1149274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92727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ACMR vs Naura Net Income - $mm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Sheet1!$B$5</c:f>
              <c:strCache>
                <c:ptCount val="1"/>
                <c:pt idx="0">
                  <c:v>ACMR 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Sheet1!$D$2:$W$2</c15:sqref>
                  </c15:fullRef>
                </c:ext>
              </c:extLst>
              <c:f>Sheet1!$E$2:$W$2</c:f>
              <c:strCache>
                <c:ptCount val="19"/>
                <c:pt idx="0">
                  <c:v>Q2 2022</c:v>
                </c:pt>
                <c:pt idx="1">
                  <c:v>Q3 2022</c:v>
                </c:pt>
                <c:pt idx="2">
                  <c:v>Q4 2022</c:v>
                </c:pt>
                <c:pt idx="3">
                  <c:v>Q1 2023</c:v>
                </c:pt>
                <c:pt idx="4">
                  <c:v>Q2 2023</c:v>
                </c:pt>
                <c:pt idx="5">
                  <c:v>Q3 2023</c:v>
                </c:pt>
                <c:pt idx="6">
                  <c:v>Q4 2023</c:v>
                </c:pt>
                <c:pt idx="7">
                  <c:v>Q1 2024</c:v>
                </c:pt>
                <c:pt idx="8">
                  <c:v>Q2 2024</c:v>
                </c:pt>
                <c:pt idx="9">
                  <c:v>Q3 2024</c:v>
                </c:pt>
                <c:pt idx="10">
                  <c:v>Q4 2024</c:v>
                </c:pt>
                <c:pt idx="11">
                  <c:v>Q1 2025</c:v>
                </c:pt>
                <c:pt idx="12">
                  <c:v>Q2 2025</c:v>
                </c:pt>
                <c:pt idx="13">
                  <c:v>Q3 2025</c:v>
                </c:pt>
                <c:pt idx="14">
                  <c:v>Q4 2025E</c:v>
                </c:pt>
                <c:pt idx="15">
                  <c:v>Q1 2026E</c:v>
                </c:pt>
                <c:pt idx="16">
                  <c:v>Q2 2026E</c:v>
                </c:pt>
                <c:pt idx="17">
                  <c:v>Q3 2026E</c:v>
                </c:pt>
                <c:pt idx="18">
                  <c:v>Q4 2026E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Sheet1!$E$5:$R$5</c15:sqref>
                  </c15:fullRef>
                </c:ext>
              </c:extLst>
              <c:f>Sheet1!$F$5:$R$5</c:f>
              <c:numCache>
                <c:formatCode>#,##0.00_);\(#,##0.00\)</c:formatCode>
                <c:ptCount val="13"/>
                <c:pt idx="0">
                  <c:v>21.004000000000001</c:v>
                </c:pt>
                <c:pt idx="1">
                  <c:v>11.808999999999999</c:v>
                </c:pt>
                <c:pt idx="2">
                  <c:v>7.1449999999999996</c:v>
                </c:pt>
                <c:pt idx="3">
                  <c:v>26.824999999999999</c:v>
                </c:pt>
                <c:pt idx="4">
                  <c:v>25.678999999999998</c:v>
                </c:pt>
                <c:pt idx="5">
                  <c:v>17.7</c:v>
                </c:pt>
                <c:pt idx="6">
                  <c:v>34.597000000000001</c:v>
                </c:pt>
                <c:pt idx="7">
                  <c:v>24.21</c:v>
                </c:pt>
                <c:pt idx="8">
                  <c:v>42.372</c:v>
                </c:pt>
                <c:pt idx="9">
                  <c:v>31.08</c:v>
                </c:pt>
                <c:pt idx="10">
                  <c:v>20.38</c:v>
                </c:pt>
                <c:pt idx="11">
                  <c:v>29.76</c:v>
                </c:pt>
                <c:pt idx="12">
                  <c:v>35.889000000000003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3-46CD-AEA0-6F896F9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74015"/>
        <c:axId val="517974975"/>
      </c:lineChart>
      <c:lineChart>
        <c:grouping val="standard"/>
        <c:varyColors val="0"/>
        <c:ser>
          <c:idx val="2"/>
          <c:order val="1"/>
          <c:tx>
            <c:strRef>
              <c:f>Sheet1!$B$9</c:f>
              <c:strCache>
                <c:ptCount val="1"/>
                <c:pt idx="0">
                  <c:v>Naura Net Income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Sheet1!$D$2:$W$2</c15:sqref>
                  </c15:fullRef>
                </c:ext>
              </c:extLst>
              <c:f>Sheet1!$E$2:$W$2</c:f>
              <c:strCache>
                <c:ptCount val="19"/>
                <c:pt idx="0">
                  <c:v>Q2 2022</c:v>
                </c:pt>
                <c:pt idx="1">
                  <c:v>Q3 2022</c:v>
                </c:pt>
                <c:pt idx="2">
                  <c:v>Q4 2022</c:v>
                </c:pt>
                <c:pt idx="3">
                  <c:v>Q1 2023</c:v>
                </c:pt>
                <c:pt idx="4">
                  <c:v>Q2 2023</c:v>
                </c:pt>
                <c:pt idx="5">
                  <c:v>Q3 2023</c:v>
                </c:pt>
                <c:pt idx="6">
                  <c:v>Q4 2023</c:v>
                </c:pt>
                <c:pt idx="7">
                  <c:v>Q1 2024</c:v>
                </c:pt>
                <c:pt idx="8">
                  <c:v>Q2 2024</c:v>
                </c:pt>
                <c:pt idx="9">
                  <c:v>Q3 2024</c:v>
                </c:pt>
                <c:pt idx="10">
                  <c:v>Q4 2024</c:v>
                </c:pt>
                <c:pt idx="11">
                  <c:v>Q1 2025</c:v>
                </c:pt>
                <c:pt idx="12">
                  <c:v>Q2 2025</c:v>
                </c:pt>
                <c:pt idx="13">
                  <c:v>Q3 2025</c:v>
                </c:pt>
                <c:pt idx="14">
                  <c:v>Q4 2025E</c:v>
                </c:pt>
                <c:pt idx="15">
                  <c:v>Q1 2026E</c:v>
                </c:pt>
                <c:pt idx="16">
                  <c:v>Q2 2026E</c:v>
                </c:pt>
                <c:pt idx="17">
                  <c:v>Q3 2026E</c:v>
                </c:pt>
                <c:pt idx="18">
                  <c:v>Q4 2026E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Sheet1!$E$9:$R$9</c15:sqref>
                  </c15:fullRef>
                </c:ext>
              </c:extLst>
              <c:f>Sheet1!$F$9:$R$9</c:f>
              <c:numCache>
                <c:formatCode>#,##0.00_);\(#,##0.00\)</c:formatCode>
                <c:ptCount val="13"/>
                <c:pt idx="0">
                  <c:v>127.559</c:v>
                </c:pt>
                <c:pt idx="1">
                  <c:v>96.273200000000003</c:v>
                </c:pt>
                <c:pt idx="2">
                  <c:v>85.447900000000004</c:v>
                </c:pt>
                <c:pt idx="3">
                  <c:v>165.66200000000001</c:v>
                </c:pt>
                <c:pt idx="4">
                  <c:v>148.26300000000001</c:v>
                </c:pt>
                <c:pt idx="5">
                  <c:v>140.16399999999999</c:v>
                </c:pt>
                <c:pt idx="6">
                  <c:v>155.52099999999999</c:v>
                </c:pt>
                <c:pt idx="7">
                  <c:v>232.09</c:v>
                </c:pt>
                <c:pt idx="8">
                  <c:v>236.13499999999999</c:v>
                </c:pt>
                <c:pt idx="9">
                  <c:v>159.11699999999999</c:v>
                </c:pt>
                <c:pt idx="10">
                  <c:v>216.59899999999999</c:v>
                </c:pt>
                <c:pt idx="11">
                  <c:v>228.10300000000001</c:v>
                </c:pt>
                <c:pt idx="12">
                  <c:v>270.19400000000002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3-46CD-AEA0-6F896F9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274239"/>
        <c:axId val="1149272799"/>
      </c:lineChart>
      <c:catAx>
        <c:axId val="51797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4975"/>
        <c:crosses val="autoZero"/>
        <c:auto val="1"/>
        <c:lblAlgn val="ctr"/>
        <c:lblOffset val="100"/>
        <c:noMultiLvlLbl val="0"/>
      </c:catAx>
      <c:valAx>
        <c:axId val="5179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4015"/>
        <c:crosses val="autoZero"/>
        <c:crossBetween val="between"/>
      </c:valAx>
      <c:valAx>
        <c:axId val="1149272799"/>
        <c:scaling>
          <c:orientation val="minMax"/>
        </c:scaling>
        <c:delete val="0"/>
        <c:axPos val="r"/>
        <c:numFmt formatCode="#,##0.00_);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74239"/>
        <c:crosses val="max"/>
        <c:crossBetween val="between"/>
      </c:valAx>
      <c:catAx>
        <c:axId val="1149274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9272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125504</xdr:colOff>
      <xdr:row>11</xdr:row>
      <xdr:rowOff>143435</xdr:rowOff>
    </xdr:from>
    <xdr:to>
      <xdr:col>9</xdr:col>
      <xdr:colOff>690281</xdr:colOff>
      <xdr:row>29</xdr:row>
      <xdr:rowOff>107576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843DFCF-946F-8BA5-4218-FD48B3F60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385481</xdr:colOff>
      <xdr:row>11</xdr:row>
      <xdr:rowOff>161366</xdr:rowOff>
    </xdr:from>
    <xdr:to>
      <xdr:col>20</xdr:col>
      <xdr:colOff>62753</xdr:colOff>
      <xdr:row>29</xdr:row>
      <xdr:rowOff>80683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55378D-0C79-2D54-B163-0BD63FE8A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0.01252</cdr:x>
      <cdr:y>0.92991</cdr:y>
    </cdr:from>
    <cdr:to>
      <cdr:x>0.29624</cdr:x>
      <cdr:y>0.98365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364F08-AC6C-AE94-D707-2A61CE0550C9}"/>
            </a:ext>
          </a:extLst>
        </cdr:cNvPr>
        <cdr:cNvSpPr txBox="1"/>
      </cdr:nvSpPr>
      <cdr:spPr>
        <a:xfrm xmlns:a="http://schemas.openxmlformats.org/drawingml/2006/main">
          <a:off x="80683" y="3567953"/>
          <a:ext cx="1828800" cy="2061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>
              <a:solidFill>
                <a:schemeClr val="tx1">
                  <a:lumMod val="65000"/>
                  <a:lumOff val="35000"/>
                </a:schemeClr>
              </a:solidFill>
            </a:rPr>
            <a:t>Source: FactSet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0.00558</cdr:x>
      <cdr:y>0.93052</cdr:y>
    </cdr:from>
    <cdr:to>
      <cdr:x>0.2496</cdr:x>
      <cdr:y>0.98152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B8ADEE-0774-B662-4C4F-F538B3C07A23}"/>
            </a:ext>
          </a:extLst>
        </cdr:cNvPr>
        <cdr:cNvSpPr txBox="1"/>
      </cdr:nvSpPr>
      <cdr:spPr>
        <a:xfrm xmlns:a="http://schemas.openxmlformats.org/drawingml/2006/main">
          <a:off x="41835" y="3762188"/>
          <a:ext cx="1828800" cy="2061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chemeClr val="tx1">
                  <a:lumMod val="65000"/>
                  <a:lumOff val="35000"/>
                </a:schemeClr>
              </a:solidFill>
            </a:rPr>
            <a:t>Source: FactSet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6EE8-C020-4FB2-8852-EE15E5341288}">
  <dimension ref="B2:X13"/>
  <sheetViews>
    <sheetView showGridLines="0" tabSelected="1" zoomScale="85" zoomScaleNormal="85" workbookViewId="0">
      <selection activeCell="L10" sqref="L10"/>
    </sheetView>
  </sheetViews>
  <sheetFormatPr defaultColWidth="9.69921875" defaultRowHeight="16.95" customHeight="1" x14ac:dyDescent="0.3"/>
  <sheetData>
    <row r="2" spans="2:24" ht="16.95" customHeight="1" x14ac:dyDescent="0.3">
      <c r="B2" s="2" t="s">
        <v>17</v>
      </c>
      <c r="C2" s="3"/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12</v>
      </c>
      <c r="P2" s="3" t="s">
        <v>11</v>
      </c>
      <c r="Q2" s="3" t="s">
        <v>13</v>
      </c>
      <c r="R2" s="3" t="s">
        <v>14</v>
      </c>
      <c r="S2" s="3" t="s">
        <v>20</v>
      </c>
      <c r="T2" s="3" t="s">
        <v>21</v>
      </c>
      <c r="U2" s="3" t="s">
        <v>22</v>
      </c>
      <c r="V2" s="3" t="s">
        <v>23</v>
      </c>
      <c r="W2" s="4" t="s">
        <v>24</v>
      </c>
      <c r="X2" s="1"/>
    </row>
    <row r="3" spans="2:24" ht="16.95" customHeight="1" x14ac:dyDescent="0.3">
      <c r="B3" s="17" t="s">
        <v>15</v>
      </c>
      <c r="C3" s="5"/>
      <c r="D3" s="6">
        <v>42.186</v>
      </c>
      <c r="E3" s="6">
        <v>104.395</v>
      </c>
      <c r="F3" s="6">
        <v>133.709</v>
      </c>
      <c r="G3" s="6">
        <v>108.542</v>
      </c>
      <c r="H3" s="6">
        <v>74.256</v>
      </c>
      <c r="I3" s="6">
        <v>144.577</v>
      </c>
      <c r="J3" s="6">
        <v>168.56899999999999</v>
      </c>
      <c r="K3" s="6">
        <v>170.321</v>
      </c>
      <c r="L3" s="6">
        <v>152.191</v>
      </c>
      <c r="M3" s="6">
        <v>202.48</v>
      </c>
      <c r="N3" s="6">
        <v>203.976</v>
      </c>
      <c r="O3" s="6">
        <v>223.471</v>
      </c>
      <c r="P3" s="6">
        <v>172.34700000000001</v>
      </c>
      <c r="Q3" s="6">
        <v>215.37200000000001</v>
      </c>
      <c r="R3" s="6">
        <v>269.16000000000003</v>
      </c>
      <c r="S3" s="6">
        <v>248.41800000000001</v>
      </c>
      <c r="T3" s="6">
        <v>215.38200000000001</v>
      </c>
      <c r="U3" s="6">
        <v>259.077</v>
      </c>
      <c r="V3" s="6">
        <v>293.02100000000002</v>
      </c>
      <c r="W3" s="7">
        <v>284.92500000000001</v>
      </c>
    </row>
    <row r="4" spans="2:24" ht="16.95" customHeight="1" x14ac:dyDescent="0.3">
      <c r="B4" s="8" t="s">
        <v>25</v>
      </c>
      <c r="C4" s="5"/>
      <c r="D4" s="9"/>
      <c r="E4" s="10">
        <f>(E3-D3)/D3</f>
        <v>1.4746361352107333</v>
      </c>
      <c r="F4" s="10">
        <f t="shared" ref="F4:W4" si="0">(F3-E3)/E3</f>
        <v>0.28079888883567228</v>
      </c>
      <c r="G4" s="10">
        <f t="shared" si="0"/>
        <v>-0.1882221839965896</v>
      </c>
      <c r="H4" s="10">
        <f t="shared" si="0"/>
        <v>-0.315877724751709</v>
      </c>
      <c r="I4" s="10">
        <f t="shared" si="0"/>
        <v>0.94700764921353153</v>
      </c>
      <c r="J4" s="10">
        <f t="shared" si="0"/>
        <v>0.16594617401108053</v>
      </c>
      <c r="K4" s="10">
        <f t="shared" si="0"/>
        <v>1.03933700739757E-2</v>
      </c>
      <c r="L4" s="10">
        <f t="shared" si="0"/>
        <v>-0.10644606360930241</v>
      </c>
      <c r="M4" s="10">
        <f t="shared" si="0"/>
        <v>0.33043346847054023</v>
      </c>
      <c r="N4" s="10">
        <f t="shared" si="0"/>
        <v>7.3883840379297188E-3</v>
      </c>
      <c r="O4" s="10">
        <f t="shared" si="0"/>
        <v>9.5574969604267188E-2</v>
      </c>
      <c r="P4" s="10">
        <f t="shared" si="0"/>
        <v>-0.22877241342277072</v>
      </c>
      <c r="Q4" s="10">
        <f t="shared" si="0"/>
        <v>0.24964171119891848</v>
      </c>
      <c r="R4" s="10">
        <f t="shared" si="0"/>
        <v>0.24974462789963417</v>
      </c>
      <c r="S4" s="10">
        <f t="shared" si="0"/>
        <v>-7.7061970575122665E-2</v>
      </c>
      <c r="T4" s="10">
        <f t="shared" si="0"/>
        <v>-0.13298553244933942</v>
      </c>
      <c r="U4" s="10">
        <f t="shared" si="0"/>
        <v>0.20287210630414795</v>
      </c>
      <c r="V4" s="10">
        <f t="shared" si="0"/>
        <v>0.13101896347417955</v>
      </c>
      <c r="W4" s="11">
        <f t="shared" si="0"/>
        <v>-2.7629419051876838E-2</v>
      </c>
    </row>
    <row r="5" spans="2:24" ht="16.95" customHeight="1" x14ac:dyDescent="0.3">
      <c r="B5" s="17" t="s">
        <v>18</v>
      </c>
      <c r="C5" s="5"/>
      <c r="D5" s="6">
        <v>-5.7859999999999996</v>
      </c>
      <c r="E5" s="6">
        <v>12.236000000000001</v>
      </c>
      <c r="F5" s="6">
        <v>21.004000000000001</v>
      </c>
      <c r="G5" s="6">
        <v>11.808999999999999</v>
      </c>
      <c r="H5" s="6">
        <v>7.1449999999999996</v>
      </c>
      <c r="I5" s="6">
        <v>26.824999999999999</v>
      </c>
      <c r="J5" s="6">
        <v>25.678999999999998</v>
      </c>
      <c r="K5" s="6">
        <v>17.7</v>
      </c>
      <c r="L5" s="6">
        <v>34.597000000000001</v>
      </c>
      <c r="M5" s="6">
        <v>24.21</v>
      </c>
      <c r="N5" s="6">
        <v>42.372</v>
      </c>
      <c r="O5" s="6">
        <v>31.08</v>
      </c>
      <c r="P5" s="6">
        <v>20.38</v>
      </c>
      <c r="Q5" s="6">
        <v>29.76</v>
      </c>
      <c r="R5" s="6">
        <v>35.889000000000003</v>
      </c>
      <c r="S5" s="6">
        <v>29.616700000000002</v>
      </c>
      <c r="T5" s="6">
        <v>22.893799999999999</v>
      </c>
      <c r="U5" s="6">
        <v>32.104399999999998</v>
      </c>
      <c r="V5" s="6">
        <v>38.255200000000002</v>
      </c>
      <c r="W5" s="7">
        <v>38.837200000000003</v>
      </c>
    </row>
    <row r="6" spans="2:24" ht="16.95" customHeight="1" x14ac:dyDescent="0.3">
      <c r="B6" s="12" t="s">
        <v>25</v>
      </c>
      <c r="C6" s="13"/>
      <c r="D6" s="16"/>
      <c r="E6" s="14"/>
      <c r="F6" s="14">
        <f t="shared" ref="F6" si="1">(F5-E5)/E5</f>
        <v>0.7165740438051651</v>
      </c>
      <c r="G6" s="14">
        <f t="shared" ref="G6" si="2">(G5-F5)/F5</f>
        <v>-0.43777375737954682</v>
      </c>
      <c r="H6" s="14">
        <f t="shared" ref="H6" si="3">(H5-G5)/G5</f>
        <v>-0.39495300194766703</v>
      </c>
      <c r="I6" s="14">
        <f t="shared" ref="I6" si="4">(I5-H5)/H5</f>
        <v>2.754373687893632</v>
      </c>
      <c r="J6" s="14">
        <f t="shared" ref="J6" si="5">(J5-I5)/I5</f>
        <v>-4.2721342031686892E-2</v>
      </c>
      <c r="K6" s="14">
        <f t="shared" ref="K6" si="6">(K5-J5)/J5</f>
        <v>-0.31072082246193389</v>
      </c>
      <c r="L6" s="14">
        <f t="shared" ref="L6" si="7">(L5-K5)/K5</f>
        <v>0.95463276836158206</v>
      </c>
      <c r="M6" s="14">
        <f t="shared" ref="M6" si="8">(M5-L5)/L5</f>
        <v>-0.30022834349799116</v>
      </c>
      <c r="N6" s="14">
        <f t="shared" ref="N6" si="9">(N5-M5)/M5</f>
        <v>0.75018587360594791</v>
      </c>
      <c r="O6" s="14">
        <f t="shared" ref="O6" si="10">(O5-N5)/N5</f>
        <v>-0.26649674313225719</v>
      </c>
      <c r="P6" s="14">
        <f t="shared" ref="P6" si="11">(P5-O5)/O5</f>
        <v>-0.34427284427284427</v>
      </c>
      <c r="Q6" s="14">
        <f t="shared" ref="Q6" si="12">(Q5-P5)/P5</f>
        <v>0.4602551521099118</v>
      </c>
      <c r="R6" s="14">
        <f t="shared" ref="R6" si="13">(R5-Q5)/Q5</f>
        <v>0.20594758064516133</v>
      </c>
      <c r="S6" s="14">
        <f t="shared" ref="S6" si="14">(S5-R5)/R5</f>
        <v>-0.1747694279584274</v>
      </c>
      <c r="T6" s="14">
        <f t="shared" ref="T6" si="15">(T5-S5)/S5</f>
        <v>-0.22699693078567168</v>
      </c>
      <c r="U6" s="14">
        <f t="shared" ref="U6" si="16">(U5-T5)/T5</f>
        <v>0.40231853165485854</v>
      </c>
      <c r="V6" s="14">
        <f t="shared" ref="V6" si="17">(V5-U5)/U5</f>
        <v>0.19158744595756358</v>
      </c>
      <c r="W6" s="15">
        <f t="shared" ref="W6" si="18">(W5-V5)/V5</f>
        <v>1.5213618017942677E-2</v>
      </c>
    </row>
    <row r="7" spans="2:24" ht="16.95" customHeight="1" x14ac:dyDescent="0.3">
      <c r="B7" s="17" t="s">
        <v>16</v>
      </c>
      <c r="C7" s="5"/>
      <c r="D7" s="6">
        <v>323.03899999999999</v>
      </c>
      <c r="E7" s="6">
        <v>479.44099999999997</v>
      </c>
      <c r="F7" s="6">
        <v>625.87300000000005</v>
      </c>
      <c r="G7" s="6">
        <v>674.923</v>
      </c>
      <c r="H7" s="6">
        <v>558.73099999999999</v>
      </c>
      <c r="I7" s="6">
        <v>624.66099999999994</v>
      </c>
      <c r="J7" s="6">
        <v>842.02200000000005</v>
      </c>
      <c r="K7" s="6">
        <v>1034.45</v>
      </c>
      <c r="L7" s="6">
        <v>808.51700000000005</v>
      </c>
      <c r="M7" s="6">
        <v>908.71500000000003</v>
      </c>
      <c r="N7" s="6">
        <v>1125.6400000000001</v>
      </c>
      <c r="O7" s="6">
        <v>1302.18</v>
      </c>
      <c r="P7" s="6">
        <v>1124.23</v>
      </c>
      <c r="Q7" s="6">
        <v>1112.6099999999999</v>
      </c>
      <c r="R7" s="6">
        <v>1568.87</v>
      </c>
      <c r="S7" s="6">
        <v>1728.04</v>
      </c>
      <c r="T7" s="6">
        <v>1487.41</v>
      </c>
      <c r="U7" s="6">
        <v>1668.91</v>
      </c>
      <c r="V7" s="6">
        <v>1909.63</v>
      </c>
      <c r="W7" s="7">
        <v>2078.31</v>
      </c>
    </row>
    <row r="8" spans="2:24" ht="16.95" customHeight="1" x14ac:dyDescent="0.3">
      <c r="B8" s="8" t="s">
        <v>25</v>
      </c>
      <c r="C8" s="5"/>
      <c r="D8" s="5"/>
      <c r="E8" s="10">
        <f>(E7-D7)/D7</f>
        <v>0.48415825952903518</v>
      </c>
      <c r="F8" s="10">
        <f t="shared" ref="F8" si="19">(F7-E7)/E7</f>
        <v>0.30542235645261895</v>
      </c>
      <c r="G8" s="10">
        <f t="shared" ref="G8" si="20">(G7-F7)/F7</f>
        <v>7.8370532040845264E-2</v>
      </c>
      <c r="H8" s="10">
        <f t="shared" ref="H8" si="21">(H7-G7)/G7</f>
        <v>-0.17215593482515784</v>
      </c>
      <c r="I8" s="10">
        <f t="shared" ref="I8" si="22">(I7-H7)/H7</f>
        <v>0.11799953823933154</v>
      </c>
      <c r="J8" s="10">
        <f t="shared" ref="J8" si="23">(J7-I7)/I7</f>
        <v>0.34796633694115708</v>
      </c>
      <c r="K8" s="10">
        <f t="shared" ref="K8" si="24">(K7-J7)/J7</f>
        <v>0.22853084598739698</v>
      </c>
      <c r="L8" s="10">
        <f t="shared" ref="L8" si="25">(L7-K7)/K7</f>
        <v>-0.21840881627918216</v>
      </c>
      <c r="M8" s="10">
        <f t="shared" ref="M8" si="26">(M7-L7)/L7</f>
        <v>0.12392813014444962</v>
      </c>
      <c r="N8" s="10">
        <f t="shared" ref="N8" si="27">(N7-M7)/M7</f>
        <v>0.23871620915248462</v>
      </c>
      <c r="O8" s="10">
        <f t="shared" ref="O8" si="28">(O7-N7)/N7</f>
        <v>0.1568352226289044</v>
      </c>
      <c r="P8" s="10">
        <f t="shared" ref="P8" si="29">(P7-O7)/O7</f>
        <v>-0.13665545469904317</v>
      </c>
      <c r="Q8" s="10">
        <f t="shared" ref="Q8" si="30">(Q7-P7)/P7</f>
        <v>-1.0335963281535023E-2</v>
      </c>
      <c r="R8" s="10">
        <f t="shared" ref="R8" si="31">(R7-Q7)/Q7</f>
        <v>0.41008080099945177</v>
      </c>
      <c r="S8" s="10">
        <f t="shared" ref="S8" si="32">(S7-R7)/R7</f>
        <v>0.10145518749163417</v>
      </c>
      <c r="T8" s="10">
        <f t="shared" ref="T8" si="33">(T7-S7)/S7</f>
        <v>-0.1392502488368324</v>
      </c>
      <c r="U8" s="10">
        <f t="shared" ref="U8" si="34">(U7-T7)/T7</f>
        <v>0.12202418969887253</v>
      </c>
      <c r="V8" s="10">
        <f t="shared" ref="V8" si="35">(V7-U7)/U7</f>
        <v>0.14423785584603124</v>
      </c>
      <c r="W8" s="11">
        <f t="shared" ref="W8" si="36">(W7-V7)/V7</f>
        <v>8.83312474144205E-2</v>
      </c>
    </row>
    <row r="9" spans="2:24" ht="16.95" customHeight="1" x14ac:dyDescent="0.3">
      <c r="B9" s="17" t="s">
        <v>19</v>
      </c>
      <c r="C9" s="5"/>
      <c r="D9" s="6">
        <v>31.154499999999999</v>
      </c>
      <c r="E9" s="6">
        <v>79.423699999999997</v>
      </c>
      <c r="F9" s="6">
        <v>127.559</v>
      </c>
      <c r="G9" s="6">
        <v>96.273200000000003</v>
      </c>
      <c r="H9" s="6">
        <v>85.447900000000004</v>
      </c>
      <c r="I9" s="6">
        <v>165.66200000000001</v>
      </c>
      <c r="J9" s="6">
        <v>148.26300000000001</v>
      </c>
      <c r="K9" s="6">
        <v>140.16399999999999</v>
      </c>
      <c r="L9" s="6">
        <v>155.52099999999999</v>
      </c>
      <c r="M9" s="6">
        <v>232.09</v>
      </c>
      <c r="N9" s="6">
        <v>236.13499999999999</v>
      </c>
      <c r="O9" s="6">
        <v>159.11699999999999</v>
      </c>
      <c r="P9" s="6">
        <v>216.59899999999999</v>
      </c>
      <c r="Q9" s="6">
        <v>228.10300000000001</v>
      </c>
      <c r="R9" s="6">
        <v>270.19400000000002</v>
      </c>
      <c r="S9" s="6">
        <v>266.28300000000002</v>
      </c>
      <c r="T9" s="6">
        <v>268.56900000000002</v>
      </c>
      <c r="U9" s="6">
        <v>333.23</v>
      </c>
      <c r="V9" s="6">
        <v>340.43400000000003</v>
      </c>
      <c r="W9" s="7">
        <v>406.15300000000002</v>
      </c>
    </row>
    <row r="10" spans="2:24" ht="16.95" customHeight="1" x14ac:dyDescent="0.3">
      <c r="B10" s="12" t="s">
        <v>25</v>
      </c>
      <c r="C10" s="13"/>
      <c r="D10" s="13"/>
      <c r="E10" s="14">
        <f t="shared" ref="E10:W10" si="37">(E9-D9)/D9</f>
        <v>1.5493492111893947</v>
      </c>
      <c r="F10" s="14">
        <f t="shared" si="37"/>
        <v>0.60605713407962614</v>
      </c>
      <c r="G10" s="14">
        <f t="shared" si="37"/>
        <v>-0.24526532820106769</v>
      </c>
      <c r="H10" s="14">
        <f t="shared" si="37"/>
        <v>-0.11244354607512785</v>
      </c>
      <c r="I10" s="14">
        <f t="shared" si="37"/>
        <v>0.93874864098474042</v>
      </c>
      <c r="J10" s="14">
        <f t="shared" si="37"/>
        <v>-0.10502710337916964</v>
      </c>
      <c r="K10" s="14">
        <f t="shared" si="37"/>
        <v>-5.4625901270040522E-2</v>
      </c>
      <c r="L10" s="14">
        <f t="shared" si="37"/>
        <v>0.10956451014525842</v>
      </c>
      <c r="M10" s="14">
        <f t="shared" si="37"/>
        <v>0.49233865522984049</v>
      </c>
      <c r="N10" s="14">
        <f t="shared" si="37"/>
        <v>1.7428583739066687E-2</v>
      </c>
      <c r="O10" s="14">
        <f t="shared" si="37"/>
        <v>-0.32616088254600123</v>
      </c>
      <c r="P10" s="14">
        <f t="shared" si="37"/>
        <v>0.36125618255748915</v>
      </c>
      <c r="Q10" s="14">
        <f t="shared" si="37"/>
        <v>5.3111971892760443E-2</v>
      </c>
      <c r="R10" s="14">
        <f t="shared" si="37"/>
        <v>0.18452628856262304</v>
      </c>
      <c r="S10" s="14">
        <f t="shared" si="37"/>
        <v>-1.4474784784266123E-2</v>
      </c>
      <c r="T10" s="14">
        <f t="shared" si="37"/>
        <v>8.5848514550309306E-3</v>
      </c>
      <c r="U10" s="14">
        <f t="shared" si="37"/>
        <v>0.24076121964932662</v>
      </c>
      <c r="V10" s="14">
        <f t="shared" si="37"/>
        <v>2.1618701797557264E-2</v>
      </c>
      <c r="W10" s="15">
        <f t="shared" si="37"/>
        <v>0.19304476051158223</v>
      </c>
    </row>
    <row r="12" spans="2:24" ht="16.95" customHeight="1" x14ac:dyDescent="0.3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4" ht="16.95" customHeight="1" x14ac:dyDescent="0.3"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2025-12-30T03:40:57Z</dcterms:created>
  <dcterms:modified xsi:type="dcterms:W3CDTF">2025-12-30T05:36:38Z</dcterms:modified>
</cp:coreProperties>
</file>