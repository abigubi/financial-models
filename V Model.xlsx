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F1B59784-AF38-4C22-9A51-FA43629A808A}" xr6:coauthVersionLast="47" xr6:coauthVersionMax="47" xr10:uidLastSave="{00000000-0000-0000-0000-000000000000}"/>
  <bookViews>
    <workbookView xWindow="31632" yWindow="2280" windowWidth="25716" windowHeight="13956" xr2:uid="{00000000-000D-0000-FFFF-FFFF00000000}"/>
  </bookViews>
  <sheets>
    <sheet name="DCF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8" i="1" l="1"/>
  <c r="E95" i="1"/>
  <c r="C95" i="1"/>
  <c r="E89" i="1"/>
  <c r="D89" i="1"/>
  <c r="C89" i="1"/>
  <c r="D83" i="1"/>
  <c r="D80" i="1"/>
  <c r="D67" i="1"/>
  <c r="C56" i="1"/>
  <c r="C55" i="1"/>
  <c r="C51" i="1"/>
  <c r="C52" i="1" s="1"/>
  <c r="C53" i="1" s="1"/>
  <c r="C49" i="1"/>
  <c r="D45" i="1"/>
  <c r="D56" i="1" s="1"/>
  <c r="E34" i="1"/>
  <c r="E90" i="1" s="1"/>
  <c r="D34" i="1"/>
  <c r="C90" i="1" s="1"/>
  <c r="C34" i="1"/>
  <c r="F13" i="1"/>
  <c r="E12" i="1"/>
  <c r="D12" i="1"/>
  <c r="C12" i="1"/>
  <c r="F11" i="1"/>
  <c r="F10" i="1"/>
  <c r="F7" i="1"/>
  <c r="E96" i="1" l="1"/>
  <c r="C96" i="1"/>
  <c r="D57" i="1"/>
  <c r="D50" i="1"/>
  <c r="D55" i="1" s="1"/>
  <c r="D48" i="1"/>
  <c r="D46" i="1"/>
  <c r="D68" i="1"/>
  <c r="F61" i="1"/>
  <c r="D61" i="1"/>
  <c r="H61" i="1"/>
  <c r="E61" i="1"/>
  <c r="I61" i="1"/>
  <c r="G61" i="1"/>
  <c r="M61" i="1"/>
  <c r="K61" i="1"/>
  <c r="D90" i="1"/>
  <c r="J61" i="1"/>
  <c r="L61" i="1"/>
  <c r="E45" i="1"/>
  <c r="D51" i="1" l="1"/>
  <c r="D52" i="1" s="1"/>
  <c r="D53" i="1" s="1"/>
  <c r="D59" i="1" s="1"/>
  <c r="C101" i="1" s="1"/>
  <c r="D49" i="1"/>
  <c r="F45" i="1"/>
  <c r="E46" i="1"/>
  <c r="E56" i="1"/>
  <c r="E48" i="1"/>
  <c r="E50" i="1"/>
  <c r="E55" i="1" s="1"/>
  <c r="E57" i="1"/>
  <c r="D62" i="1" l="1"/>
  <c r="F48" i="1"/>
  <c r="G45" i="1"/>
  <c r="F50" i="1"/>
  <c r="F55" i="1" s="1"/>
  <c r="F57" i="1"/>
  <c r="F56" i="1"/>
  <c r="F46" i="1"/>
  <c r="E51" i="1"/>
  <c r="E49" i="1"/>
  <c r="E52" i="1" l="1"/>
  <c r="E53" i="1" s="1"/>
  <c r="E59" i="1" s="1"/>
  <c r="D101" i="1" s="1"/>
  <c r="G46" i="1"/>
  <c r="H45" i="1"/>
  <c r="G48" i="1"/>
  <c r="G56" i="1"/>
  <c r="G50" i="1"/>
  <c r="G55" i="1" s="1"/>
  <c r="G57" i="1"/>
  <c r="F49" i="1"/>
  <c r="F51" i="1"/>
  <c r="E62" i="1" l="1"/>
  <c r="F52" i="1"/>
  <c r="F53" i="1" s="1"/>
  <c r="F59" i="1" s="1"/>
  <c r="G51" i="1"/>
  <c r="G49" i="1"/>
  <c r="I45" i="1"/>
  <c r="H48" i="1"/>
  <c r="H56" i="1"/>
  <c r="H46" i="1"/>
  <c r="H50" i="1"/>
  <c r="H55" i="1" s="1"/>
  <c r="H57" i="1"/>
  <c r="F62" i="1" l="1"/>
  <c r="E101" i="1"/>
  <c r="H49" i="1"/>
  <c r="H51" i="1"/>
  <c r="I56" i="1"/>
  <c r="I57" i="1"/>
  <c r="I50" i="1"/>
  <c r="I55" i="1" s="1"/>
  <c r="I48" i="1"/>
  <c r="J45" i="1"/>
  <c r="I46" i="1"/>
  <c r="G52" i="1"/>
  <c r="G53" i="1" s="1"/>
  <c r="G59" i="1" s="1"/>
  <c r="F101" i="1" s="1"/>
  <c r="G62" i="1" l="1"/>
  <c r="I49" i="1"/>
  <c r="I51" i="1"/>
  <c r="J50" i="1"/>
  <c r="J55" i="1" s="1"/>
  <c r="J46" i="1"/>
  <c r="J48" i="1"/>
  <c r="J57" i="1"/>
  <c r="J56" i="1"/>
  <c r="K45" i="1"/>
  <c r="H52" i="1"/>
  <c r="H53" i="1" s="1"/>
  <c r="H59" i="1" s="1"/>
  <c r="G101" i="1" s="1"/>
  <c r="H62" i="1" l="1"/>
  <c r="K48" i="1"/>
  <c r="K50" i="1"/>
  <c r="K55" i="1" s="1"/>
  <c r="L45" i="1"/>
  <c r="K56" i="1"/>
  <c r="K57" i="1"/>
  <c r="K46" i="1"/>
  <c r="J49" i="1"/>
  <c r="J51" i="1"/>
  <c r="I52" i="1"/>
  <c r="I53" i="1" s="1"/>
  <c r="I59" i="1" s="1"/>
  <c r="I62" i="1" l="1"/>
  <c r="J52" i="1"/>
  <c r="J53" i="1" s="1"/>
  <c r="J59" i="1" s="1"/>
  <c r="L57" i="1"/>
  <c r="L48" i="1"/>
  <c r="L50" i="1"/>
  <c r="L55" i="1" s="1"/>
  <c r="L46" i="1"/>
  <c r="L56" i="1"/>
  <c r="M45" i="1"/>
  <c r="D88" i="1" s="1"/>
  <c r="K51" i="1"/>
  <c r="K49" i="1"/>
  <c r="J62" i="1" l="1"/>
  <c r="K52" i="1"/>
  <c r="K53" i="1" s="1"/>
  <c r="K59" i="1" s="1"/>
  <c r="M48" i="1"/>
  <c r="M57" i="1"/>
  <c r="C102" i="1"/>
  <c r="M50" i="1"/>
  <c r="M55" i="1" s="1"/>
  <c r="M46" i="1"/>
  <c r="M56" i="1"/>
  <c r="L49" i="1"/>
  <c r="L51" i="1"/>
  <c r="K62" i="1" l="1"/>
  <c r="L52" i="1"/>
  <c r="L53" i="1" s="1"/>
  <c r="L59" i="1" s="1"/>
  <c r="C103" i="1"/>
  <c r="M51" i="1"/>
  <c r="M49" i="1"/>
  <c r="L62" i="1" l="1"/>
  <c r="M52" i="1"/>
  <c r="M53" i="1" s="1"/>
  <c r="M59" i="1" s="1"/>
  <c r="M62" i="1" l="1"/>
  <c r="D74" i="1" s="1"/>
  <c r="D66" i="1"/>
  <c r="D69" i="1" s="1"/>
  <c r="D70" i="1" s="1"/>
  <c r="D75" i="1" s="1"/>
  <c r="D76" i="1" l="1"/>
  <c r="F99" i="1" l="1"/>
  <c r="E99" i="1"/>
  <c r="D99" i="1"/>
  <c r="C99" i="1"/>
  <c r="G99" i="1"/>
  <c r="D78" i="1"/>
  <c r="D93" i="1"/>
  <c r="C104" i="1"/>
  <c r="D94" i="1" l="1"/>
  <c r="D81" i="1"/>
  <c r="D100" i="1" l="1"/>
  <c r="C100" i="1"/>
  <c r="F100" i="1"/>
  <c r="G100" i="1"/>
  <c r="E100" i="1"/>
  <c r="D95" i="1"/>
  <c r="D96" i="1" s="1"/>
  <c r="D84" i="1"/>
</calcChain>
</file>

<file path=xl/sharedStrings.xml><?xml version="1.0" encoding="utf-8"?>
<sst xmlns="http://schemas.openxmlformats.org/spreadsheetml/2006/main" count="163" uniqueCount="148">
  <si>
    <t>10-Year DCF Valuation Model</t>
  </si>
  <si>
    <t>Key Assumptions &amp; Inputs</t>
  </si>
  <si>
    <t>Ticker</t>
  </si>
  <si>
    <t>V</t>
  </si>
  <si>
    <t>Current Stock Price</t>
  </si>
  <si>
    <t>Source: Market Data, 1/25/2026</t>
  </si>
  <si>
    <t>Fiscal Year End</t>
  </si>
  <si>
    <t>Shares Outstanding (mm)</t>
  </si>
  <si>
    <t>Source: FY2025 10-K</t>
  </si>
  <si>
    <t>Industry</t>
  </si>
  <si>
    <t>Payment Processing</t>
  </si>
  <si>
    <t>Market Cap ($mm)</t>
  </si>
  <si>
    <t>Historical Financials ($mm)</t>
  </si>
  <si>
    <t>FY2023</t>
  </si>
  <si>
    <t>FY2024</t>
  </si>
  <si>
    <t>FY2025</t>
  </si>
  <si>
    <t>CAGR</t>
  </si>
  <si>
    <t>Notes</t>
  </si>
  <si>
    <t>Revenue</t>
  </si>
  <si>
    <t>Source: Visa FY2025 10-K</t>
  </si>
  <si>
    <t>EBITDA</t>
  </si>
  <si>
    <t>Adjusted for one-time items</t>
  </si>
  <si>
    <t>EBITDA Margin</t>
  </si>
  <si>
    <t>Net Income</t>
  </si>
  <si>
    <t>DCF Model Assumptions</t>
  </si>
  <si>
    <t>Base Case</t>
  </si>
  <si>
    <t>Bull Case</t>
  </si>
  <si>
    <t>Bear Case</t>
  </si>
  <si>
    <t>Notes / Sources</t>
  </si>
  <si>
    <t>Revenue Growth Assumptions</t>
  </si>
  <si>
    <t xml:space="preserve">   Years 1-3 Growth Rate</t>
  </si>
  <si>
    <t>Historical: 10.5% CAGR; Consensus est.</t>
  </si>
  <si>
    <t xml:space="preserve">   Years 4-7 Growth Rate</t>
  </si>
  <si>
    <t>Deceleration to market maturity</t>
  </si>
  <si>
    <t xml:space="preserve">   Years 8-10 Growth Rate</t>
  </si>
  <si>
    <t>Converging to long-term growth</t>
  </si>
  <si>
    <t xml:space="preserve">   Terminal Growth Rate</t>
  </si>
  <si>
    <t>Perpetuity growth assumption</t>
  </si>
  <si>
    <t>Profitability Assumptions</t>
  </si>
  <si>
    <t xml:space="preserve">   Target EBITDA Margin</t>
  </si>
  <si>
    <t>FY25 actual: 70.2% (normalized)</t>
  </si>
  <si>
    <t xml:space="preserve">   Tax Rate</t>
  </si>
  <si>
    <t>Source: FY2025 effective tax rate</t>
  </si>
  <si>
    <t>Working Capital &amp; CapEx</t>
  </si>
  <si>
    <t xml:space="preserve">   CapEx (% of Revenue)</t>
  </si>
  <si>
    <t>Technology investments for innovation</t>
  </si>
  <si>
    <t xml:space="preserve">   NWC (% of Revenue)</t>
  </si>
  <si>
    <t>Low working capital business model</t>
  </si>
  <si>
    <t>WACC Calculation</t>
  </si>
  <si>
    <t xml:space="preserve">   Risk-Free Rate</t>
  </si>
  <si>
    <t>Source: 10-Year Treasury yield</t>
  </si>
  <si>
    <t xml:space="preserve">   Equity Risk Premium</t>
  </si>
  <si>
    <t>Market risk premium assumption</t>
  </si>
  <si>
    <t xml:space="preserve">   Beta</t>
  </si>
  <si>
    <t>Source: Bloomberg, market data</t>
  </si>
  <si>
    <t xml:space="preserve">   Cost of Equity</t>
  </si>
  <si>
    <t>CAPM: Rf + Beta * ERP</t>
  </si>
  <si>
    <t xml:space="preserve">   WACC</t>
  </si>
  <si>
    <t>100% Equity financed (minimal debt)</t>
  </si>
  <si>
    <t>Revenue Growth Drivers</t>
  </si>
  <si>
    <t>Growth %</t>
  </si>
  <si>
    <t>Source</t>
  </si>
  <si>
    <t>Payment Volume ($tn)</t>
  </si>
  <si>
    <t>Visa FY2025 Q4 Earnings</t>
  </si>
  <si>
    <t>Processed Transactions (bn)</t>
  </si>
  <si>
    <t>Cross-Border Volume Growth</t>
  </si>
  <si>
    <t>Key growth driver - travel/ecommerce</t>
  </si>
  <si>
    <t>Value-Added Services Growth</t>
  </si>
  <si>
    <t>Fastest growing segment - VAS revenue</t>
  </si>
  <si>
    <t>10-YEAR DCF PROJECTION - BASE CASE (All values in $mm)</t>
  </si>
  <si>
    <t>Year</t>
  </si>
  <si>
    <t>FY2025A</t>
  </si>
  <si>
    <t>FY2026E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</si>
  <si>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</si>
  <si>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</si>
  <si>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</si>
  <si>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</si>
  <si>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</si>
  <si>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</si>
  <si>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</si>
  <si>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</si>
  <si>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</si>
  <si>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 xml:space="preserve">   % Growth</t>
  </si>
  <si>
    <t xml:space="preserve">   EBITDA Margin</t>
  </si>
  <si>
    <t>Less: D&amp;A</t>
  </si>
  <si>
    <t>EBIT</t>
  </si>
  <si>
    <t>Less: Taxes</t>
  </si>
  <si>
    <t>NOPAT</t>
  </si>
  <si>
    <t>Add: D&amp;A</t>
  </si>
  <si>
    <t>Less: CapEx</t>
  </si>
  <si>
    <t>Less: Chg in NWC</t>
  </si>
  <si>
    <t>Unlevered Free Cash Flow</t>
  </si>
  <si>
    <t>Discount Period</t>
  </si>
  <si>
    <t>Discount Factor</t>
  </si>
  <si>
    <t>PV of FCF</t>
  </si>
  <si>
    <t>TERMINAL VALUE CALCULATION</t>
  </si>
  <si>
    <t>Year 10+</t>
  </si>
  <si>
    <t>Terminal Year FCF</t>
  </si>
  <si>
    <t>Terminal Growth Rate</t>
  </si>
  <si>
    <t>WACC</t>
  </si>
  <si>
    <t>Terminal Value</t>
  </si>
  <si>
    <t>PV of Terminal Value</t>
  </si>
  <si>
    <t>VALUATION SUMMARY - BASE CASE</t>
  </si>
  <si>
    <t>PV of Forecast Period FCF</t>
  </si>
  <si>
    <t>Enterprise Value</t>
  </si>
  <si>
    <t>Less: Net Debt</t>
  </si>
  <si>
    <t>Equity Value</t>
  </si>
  <si>
    <t>Implied Price per Share</t>
  </si>
  <si>
    <t>Upside / (Downside)</t>
  </si>
  <si>
    <t>Key Assumption</t>
  </si>
  <si>
    <t>Revenue CAGR (10yr)</t>
  </si>
  <si>
    <t>Growth assumption variance</t>
  </si>
  <si>
    <t>Operating efficiency</t>
  </si>
  <si>
    <t>Discount rate variance</t>
  </si>
  <si>
    <t>Enterprise Value ($mm)</t>
  </si>
  <si>
    <t>Equity Value ($mm)</t>
  </si>
  <si>
    <t>Value</t>
  </si>
  <si>
    <t>Benchmark / Notes</t>
  </si>
  <si>
    <t>Implied EV/EBITDA (FY2026E)</t>
  </si>
  <si>
    <t>High quality payment networks: 20-30x</t>
  </si>
  <si>
    <t>Implied P/E (FY2026E)</t>
  </si>
  <si>
    <t>Current market P/E: ~28x</t>
  </si>
  <si>
    <t>FCF Yield (on Current Price)</t>
  </si>
  <si>
    <t>Strong free cash flow generation</t>
  </si>
  <si>
    <t>Revenue CAGR (FY25-35)</t>
  </si>
  <si>
    <t>Historical: ~11% (FY23-25)</t>
  </si>
  <si>
    <t>EBITDA CAGR (FY25-35)</t>
  </si>
  <si>
    <t>Maintaining strong margins</t>
  </si>
  <si>
    <t>PV of Terminal Value / EV</t>
  </si>
  <si>
    <t>Sanity check: should be 50-80%</t>
  </si>
  <si>
    <t>MODEL NOTES &amp; KEY ASSUMPTIONS</t>
  </si>
  <si>
    <t>Revenue Drivers:</t>
  </si>
  <si>
    <t>• Payment volume growth driven by digital payment adoption, global expansion, and e-commerce trends</t>
  </si>
  <si>
    <t>• Cross-border transactions benefiting from travel recovery and international e-commerce growth</t>
  </si>
  <si>
    <t>• Value-added services (fraud detection, analytics, consulting) growing at 25% annually</t>
  </si>
  <si>
    <t>• Processed transactions volume increasing 10% driven by transaction count growth</t>
  </si>
  <si>
    <t>Key Risks:</t>
  </si>
  <si>
    <t>• Regulatory pressure on interchange fees and potential credit card interest rate caps</t>
  </si>
  <si>
    <t>• Competition from fintech disruptors, alternative payment methods, and regional payment networks</t>
  </si>
  <si>
    <t>• Economic slowdown impacting consumer spending and discretionary payment volumes</t>
  </si>
  <si>
    <t>• Cybersecurity threats and data breach risks</t>
  </si>
  <si>
    <t>Model Prepared: January 25, 2026 | For illustrative purposes only | Not investment advice</t>
  </si>
  <si>
    <t>VISA</t>
  </si>
  <si>
    <t>Key Investment Metrics</t>
  </si>
  <si>
    <t>Scenario Analysis</t>
  </si>
  <si>
    <t>Price Target</t>
  </si>
  <si>
    <t>Upside/Downside</t>
  </si>
  <si>
    <t>Valuation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</si>
</sst>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164" formatCode="&quot;$&quot;#,##0.00"/>
    <numFmt numFmtId="165" formatCode="&quot;$&quot;#,##0"/>
    <numFmt numFmtId="166" formatCode="0.0%"/>
    <numFmt numFmtId="167" formatCode="0.0"/>
    <numFmt numFmtId="168" formatCode="0.000"/>
    <numFmt numFmtId="169" formatCode="0.0\x"/>
    <numFmt numFmtId="170" formatCode="0%;\(0%\)"/>
  </numFmts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0"/>
      <color rgb="FFC00000"/>
      <name val="Calibri"/>
      <family val="2"/>
      <scheme val="minor"/>
    </font>
    <font>
      <i/>
      <sz val="9"/>
      <color rgb="FF7F7F7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0" borderId="0" xfId="0" applyFont="1"/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0" fillId="3" borderId="0" xfId="0" applyNumberFormat="1" applyFill="1"/>
    <xf numFmtId="165" fontId="4" fillId="0" borderId="0" xfId="0" applyNumberFormat="1" applyFont="1"/>
    <xf numFmtId="168" fontId="0" fillId="0" borderId="0" xfId="0" applyNumberFormat="1"/>
    <xf numFmtId="3" fontId="0" fillId="0" borderId="0" xfId="0" applyNumberFormat="1"/>
    <xf numFmtId="166" fontId="4" fillId="0" borderId="0" xfId="0" applyNumberFormat="1" applyFont="1"/>
    <xf numFmtId="169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/>
    <xf numFmtId="14" fontId="12" fillId="0" borderId="0" xfId="0" applyNumberFormat="1" applyFont="1"/>
    <xf numFmtId="0" fontId="6" fillId="5" borderId="0" xfId="0" applyFont="1" applyFill="1"/>
    <xf numFmtId="0" fontId="6" fillId="5" borderId="0" xfId="0" applyFont="1" applyFill="1" applyAlignment="1">
      <alignment horizontal="center"/>
    </xf>
    <xf numFmtId="164" fontId="12" fillId="0" borderId="0" xfId="0" applyNumberFormat="1" applyFont="1"/>
    <xf numFmtId="3" fontId="12" fillId="0" borderId="0" xfId="0" applyNumberFormat="1" applyFont="1"/>
    <xf numFmtId="166" fontId="12" fillId="6" borderId="0" xfId="0" applyNumberFormat="1" applyFont="1" applyFill="1"/>
    <xf numFmtId="166" fontId="0" fillId="6" borderId="0" xfId="0" applyNumberFormat="1" applyFill="1"/>
    <xf numFmtId="2" fontId="0" fillId="6" borderId="0" xfId="0" applyNumberFormat="1" applyFill="1"/>
    <xf numFmtId="0" fontId="4" fillId="7" borderId="1" xfId="0" applyFont="1" applyFill="1" applyBorder="1"/>
    <xf numFmtId="165" fontId="4" fillId="7" borderId="2" xfId="0" applyNumberFormat="1" applyFont="1" applyFill="1" applyBorder="1"/>
    <xf numFmtId="165" fontId="4" fillId="7" borderId="3" xfId="0" applyNumberFormat="1" applyFont="1" applyFill="1" applyBorder="1"/>
    <xf numFmtId="0" fontId="13" fillId="5" borderId="0" xfId="0" applyFont="1" applyFill="1"/>
    <xf numFmtId="0" fontId="6" fillId="5" borderId="0" xfId="0" applyFont="1" applyFill="1" applyAlignment="1">
      <alignment horizontal="center" vertical="center"/>
    </xf>
    <xf numFmtId="0" fontId="3" fillId="5" borderId="0" xfId="0" applyFont="1" applyFill="1"/>
    <xf numFmtId="165" fontId="4" fillId="6" borderId="0" xfId="0" applyNumberFormat="1" applyFont="1" applyFill="1"/>
    <xf numFmtId="0" fontId="7" fillId="0" borderId="0" xfId="0" applyFont="1"/>
    <xf numFmtId="166" fontId="0" fillId="0" borderId="0" xfId="0" applyNumberFormat="1" applyAlignment="1">
      <alignment horizontal="center"/>
    </xf>
    <xf numFmtId="165" fontId="12" fillId="0" borderId="0" xfId="0" applyNumberFormat="1" applyFont="1"/>
    <xf numFmtId="166" fontId="6" fillId="2" borderId="0" xfId="0" applyNumberFormat="1" applyFont="1" applyFill="1"/>
    <xf numFmtId="166" fontId="6" fillId="8" borderId="0" xfId="0" applyNumberFormat="1" applyFont="1" applyFill="1"/>
    <xf numFmtId="166" fontId="6" fillId="9" borderId="0" xfId="0" applyNumberFormat="1" applyFont="1" applyFill="1"/>
    <xf numFmtId="9" fontId="0" fillId="10" borderId="0" xfId="0" applyNumberFormat="1" applyFill="1"/>
    <xf numFmtId="9" fontId="0" fillId="11" borderId="0" xfId="0" applyNumberFormat="1" applyFill="1"/>
    <xf numFmtId="3" fontId="0" fillId="10" borderId="0" xfId="0" applyNumberFormat="1" applyFill="1"/>
    <xf numFmtId="3" fontId="0" fillId="11" borderId="0" xfId="0" applyNumberFormat="1" applyFill="1"/>
    <xf numFmtId="3" fontId="0" fillId="12" borderId="0" xfId="0" applyNumberFormat="1" applyFill="1"/>
    <xf numFmtId="5" fontId="0" fillId="10" borderId="0" xfId="0" applyNumberFormat="1" applyFill="1"/>
    <xf numFmtId="5" fontId="0" fillId="11" borderId="0" xfId="0" applyNumberFormat="1" applyFill="1"/>
    <xf numFmtId="5" fontId="0" fillId="12" borderId="0" xfId="0" applyNumberFormat="1" applyFill="1"/>
    <xf numFmtId="0" fontId="14" fillId="4" borderId="0" xfId="0" applyFont="1" applyFill="1"/>
    <xf numFmtId="164" fontId="14" fillId="4" borderId="0" xfId="0" applyNumberFormat="1" applyFont="1" applyFill="1"/>
    <xf numFmtId="0" fontId="14" fillId="6" borderId="0" xfId="0" applyFont="1" applyFill="1"/>
    <xf numFmtId="166" fontId="14" fillId="6" borderId="0" xfId="0" applyNumberFormat="1" applyFont="1" applyFill="1"/>
    <xf numFmtId="170" fontId="0" fillId="12" borderId="0" xfId="0" applyNumberFormat="1" applyFill="1"/>
    <xf numFmtId="0" fontId="15" fillId="4" borderId="0" xfId="0" applyFont="1" applyFill="1"/>
    <xf numFmtId="0" fontId="12" fillId="4" borderId="0" xfId="0" applyFont="1" applyFill="1"/>
    <xf numFmtId="165" fontId="15" fillId="4" borderId="0" xfId="0" applyNumberFormat="1" applyFont="1" applyFill="1"/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97C9D2-4F2B-4EED-BCD0-F2A66CA37939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20"/>
  <sheetViews>
    <sheetView showGridLines="0" tabSelected="1" zoomScale="85" zoomScaleNormal="85" workbookViewId="0">
      <pane ySplit="3" topLeftCell="A4" activePane="bottomLeft" state="frozen"/>
      <selection pane="bottomLeft" activeCell="I73" sqref="I73:I74"/>
    </sheetView>
  </sheetViews>
  <sheetFormatPr defaultRowHeight="14.4" x14ac:dyDescent="0.3"/>
  <cols>
    <col min="1" max="1" width="3.6640625" customWidth="1"/>
    <col min="2" max="2" width="37" customWidth="1"/>
    <col min="3" max="15" width="17.5546875" customWidth="1"/>
  </cols>
  <sheetData>
    <row r="1" spans="2:9" ht="23.4" x14ac:dyDescent="0.45">
      <c r="B1" s="57" t="s">
        <v>142</v>
      </c>
      <c r="C1" s="57"/>
    </row>
    <row r="2" spans="2:9" ht="18" x14ac:dyDescent="0.35">
      <c r="B2" s="56" t="s">
        <v>0</v>
      </c>
      <c r="C2" s="56"/>
    </row>
    <row r="4" spans="2:9" ht="15.6" x14ac:dyDescent="0.3">
      <c r="B4" s="61" t="s">
        <v>1</v>
      </c>
      <c r="C4" s="61"/>
    </row>
    <row r="5" spans="2:9" x14ac:dyDescent="0.3">
      <c r="B5" s="1" t="s">
        <v>2</v>
      </c>
      <c r="C5" s="17" t="s">
        <v>3</v>
      </c>
      <c r="E5" s="1" t="s">
        <v>4</v>
      </c>
      <c r="F5" s="22">
        <v>328</v>
      </c>
      <c r="H5" s="2" t="s">
        <v>5</v>
      </c>
    </row>
    <row r="6" spans="2:9" x14ac:dyDescent="0.3">
      <c r="B6" s="1" t="s">
        <v>6</v>
      </c>
      <c r="C6" s="19">
        <v>46295</v>
      </c>
      <c r="E6" s="1" t="s">
        <v>7</v>
      </c>
      <c r="F6" s="23">
        <v>1960</v>
      </c>
      <c r="H6" s="2" t="s">
        <v>8</v>
      </c>
    </row>
    <row r="7" spans="2:9" x14ac:dyDescent="0.3">
      <c r="B7" s="1" t="s">
        <v>9</v>
      </c>
      <c r="C7" s="18" t="s">
        <v>10</v>
      </c>
      <c r="E7" s="1" t="s">
        <v>11</v>
      </c>
      <c r="F7" s="4">
        <f>F5*F6</f>
        <v>642880</v>
      </c>
    </row>
    <row r="9" spans="2:9" x14ac:dyDescent="0.3">
      <c r="B9" s="20" t="s">
        <v>12</v>
      </c>
      <c r="C9" s="21" t="s">
        <v>13</v>
      </c>
      <c r="D9" s="21" t="s">
        <v>14</v>
      </c>
      <c r="E9" s="21" t="s">
        <v>15</v>
      </c>
      <c r="F9" s="21" t="s">
        <v>16</v>
      </c>
      <c r="G9" s="21"/>
      <c r="H9" s="60" t="s">
        <v>17</v>
      </c>
      <c r="I9" s="60"/>
    </row>
    <row r="10" spans="2:9" x14ac:dyDescent="0.3">
      <c r="B10" s="1" t="s">
        <v>18</v>
      </c>
      <c r="C10" s="4">
        <v>32653</v>
      </c>
      <c r="D10" s="4">
        <v>35932</v>
      </c>
      <c r="E10" s="4">
        <v>40000</v>
      </c>
      <c r="F10" s="35">
        <f>((E10/C10)^(1/2)-1)</f>
        <v>0.10679821868274919</v>
      </c>
      <c r="H10" s="59" t="s">
        <v>19</v>
      </c>
      <c r="I10" s="59"/>
    </row>
    <row r="11" spans="2:9" x14ac:dyDescent="0.3">
      <c r="B11" s="1" t="s">
        <v>20</v>
      </c>
      <c r="C11" s="4">
        <v>21943</v>
      </c>
      <c r="D11" s="4">
        <v>24629</v>
      </c>
      <c r="E11" s="4">
        <v>28000</v>
      </c>
      <c r="F11" s="35">
        <f>((E11/C11)^(1/2)-1)</f>
        <v>0.12961646551288286</v>
      </c>
      <c r="H11" s="59" t="s">
        <v>21</v>
      </c>
      <c r="I11" s="59"/>
    </row>
    <row r="12" spans="2:9" x14ac:dyDescent="0.3">
      <c r="B12" s="1" t="s">
        <v>22</v>
      </c>
      <c r="C12" s="5">
        <f>C11/C10</f>
        <v>0.67200563501056565</v>
      </c>
      <c r="D12" s="5">
        <f>D11/D10</f>
        <v>0.68543359679394411</v>
      </c>
      <c r="E12" s="5">
        <f>E11/E10</f>
        <v>0.7</v>
      </c>
      <c r="F12" s="16"/>
    </row>
    <row r="13" spans="2:9" x14ac:dyDescent="0.3">
      <c r="B13" s="1" t="s">
        <v>23</v>
      </c>
      <c r="C13" s="4">
        <v>17274</v>
      </c>
      <c r="D13" s="4">
        <v>19749</v>
      </c>
      <c r="E13" s="4">
        <v>20062</v>
      </c>
      <c r="F13" s="35">
        <f>((E13/C13)^(1/2)-1)</f>
        <v>7.7682065260844535E-2</v>
      </c>
    </row>
    <row r="15" spans="2:9" x14ac:dyDescent="0.3">
      <c r="B15" s="20" t="s">
        <v>24</v>
      </c>
      <c r="C15" s="21" t="s">
        <v>25</v>
      </c>
      <c r="D15" s="21" t="s">
        <v>26</v>
      </c>
      <c r="E15" s="21" t="s">
        <v>27</v>
      </c>
      <c r="F15" s="21"/>
      <c r="G15" s="21"/>
      <c r="H15" s="60" t="s">
        <v>28</v>
      </c>
      <c r="I15" s="60"/>
    </row>
    <row r="16" spans="2:9" x14ac:dyDescent="0.3">
      <c r="B16" s="34" t="s">
        <v>29</v>
      </c>
    </row>
    <row r="17" spans="2:9" x14ac:dyDescent="0.3">
      <c r="B17" t="s">
        <v>30</v>
      </c>
      <c r="C17" s="24">
        <v>0.105</v>
      </c>
      <c r="D17" s="24">
        <v>0.13</v>
      </c>
      <c r="E17" s="24">
        <v>7.4999999999999997E-2</v>
      </c>
      <c r="H17" s="59" t="s">
        <v>31</v>
      </c>
      <c r="I17" s="59"/>
    </row>
    <row r="18" spans="2:9" x14ac:dyDescent="0.3">
      <c r="B18" t="s">
        <v>32</v>
      </c>
      <c r="C18" s="24">
        <v>0.09</v>
      </c>
      <c r="D18" s="24">
        <v>0.11</v>
      </c>
      <c r="E18" s="24">
        <v>0.05</v>
      </c>
      <c r="G18" s="5"/>
      <c r="H18" s="59" t="s">
        <v>33</v>
      </c>
      <c r="I18" s="59"/>
    </row>
    <row r="19" spans="2:9" x14ac:dyDescent="0.3">
      <c r="B19" t="s">
        <v>34</v>
      </c>
      <c r="C19" s="24">
        <v>7.4999999999999997E-2</v>
      </c>
      <c r="D19" s="24">
        <v>0.09</v>
      </c>
      <c r="E19" s="24">
        <v>0.03</v>
      </c>
      <c r="H19" s="59" t="s">
        <v>35</v>
      </c>
      <c r="I19" s="59"/>
    </row>
    <row r="20" spans="2:9" x14ac:dyDescent="0.3">
      <c r="B20" t="s">
        <v>36</v>
      </c>
      <c r="C20" s="24">
        <v>3.5000000000000003E-2</v>
      </c>
      <c r="D20" s="24">
        <v>4.4999999999999998E-2</v>
      </c>
      <c r="E20" s="24">
        <v>2.5000000000000001E-2</v>
      </c>
      <c r="H20" s="59" t="s">
        <v>37</v>
      </c>
      <c r="I20" s="59"/>
    </row>
    <row r="22" spans="2:9" x14ac:dyDescent="0.3">
      <c r="B22" s="34" t="s">
        <v>38</v>
      </c>
    </row>
    <row r="23" spans="2:9" x14ac:dyDescent="0.3">
      <c r="B23" t="s">
        <v>39</v>
      </c>
      <c r="C23" s="24">
        <v>0.7</v>
      </c>
      <c r="D23" s="24">
        <v>0.72</v>
      </c>
      <c r="E23" s="24">
        <v>0.68</v>
      </c>
      <c r="H23" s="59" t="s">
        <v>40</v>
      </c>
      <c r="I23" s="59"/>
    </row>
    <row r="24" spans="2:9" x14ac:dyDescent="0.3">
      <c r="B24" t="s">
        <v>41</v>
      </c>
      <c r="C24" s="24">
        <v>0.17499999999999999</v>
      </c>
      <c r="D24" s="24">
        <v>0.16500000000000001</v>
      </c>
      <c r="E24" s="24">
        <v>0.19</v>
      </c>
      <c r="H24" s="59" t="s">
        <v>42</v>
      </c>
      <c r="I24" s="59"/>
    </row>
    <row r="26" spans="2:9" x14ac:dyDescent="0.3">
      <c r="B26" s="34" t="s">
        <v>43</v>
      </c>
    </row>
    <row r="27" spans="2:9" x14ac:dyDescent="0.3">
      <c r="B27" t="s">
        <v>44</v>
      </c>
      <c r="C27" s="24">
        <v>0.05</v>
      </c>
      <c r="D27" s="24">
        <v>0.06</v>
      </c>
      <c r="E27" s="24">
        <v>0.04</v>
      </c>
      <c r="H27" s="59" t="s">
        <v>45</v>
      </c>
      <c r="I27" s="59"/>
    </row>
    <row r="28" spans="2:9" x14ac:dyDescent="0.3">
      <c r="B28" t="s">
        <v>46</v>
      </c>
      <c r="C28" s="24">
        <v>0.02</v>
      </c>
      <c r="D28" s="24">
        <v>0.02</v>
      </c>
      <c r="E28" s="24">
        <v>0.03</v>
      </c>
      <c r="H28" s="59" t="s">
        <v>47</v>
      </c>
      <c r="I28" s="59"/>
    </row>
    <row r="29" spans="2:9" x14ac:dyDescent="0.3">
      <c r="H29" s="59"/>
      <c r="I29" s="59"/>
    </row>
    <row r="30" spans="2:9" x14ac:dyDescent="0.3">
      <c r="B30" s="34" t="s">
        <v>48</v>
      </c>
      <c r="H30" s="59"/>
      <c r="I30" s="59"/>
    </row>
    <row r="31" spans="2:9" x14ac:dyDescent="0.3">
      <c r="B31" t="s">
        <v>49</v>
      </c>
      <c r="C31" s="25">
        <v>4.2000000000000003E-2</v>
      </c>
      <c r="D31" s="25">
        <v>0.04</v>
      </c>
      <c r="E31" s="25">
        <v>0.05</v>
      </c>
      <c r="H31" s="59" t="s">
        <v>50</v>
      </c>
      <c r="I31" s="59"/>
    </row>
    <row r="32" spans="2:9" x14ac:dyDescent="0.3">
      <c r="B32" t="s">
        <v>51</v>
      </c>
      <c r="C32" s="25">
        <v>4.1799999999999997E-2</v>
      </c>
      <c r="D32" s="25">
        <v>0.04</v>
      </c>
      <c r="E32" s="25">
        <v>4.4999999999999998E-2</v>
      </c>
      <c r="H32" s="59" t="s">
        <v>52</v>
      </c>
      <c r="I32" s="59"/>
    </row>
    <row r="33" spans="2:13" x14ac:dyDescent="0.3">
      <c r="B33" t="s">
        <v>53</v>
      </c>
      <c r="C33" s="26">
        <v>0.81</v>
      </c>
      <c r="D33" s="26">
        <v>0.95</v>
      </c>
      <c r="E33" s="26">
        <v>1.05</v>
      </c>
      <c r="H33" s="59" t="s">
        <v>54</v>
      </c>
      <c r="I33" s="59"/>
    </row>
    <row r="34" spans="2:13" x14ac:dyDescent="0.3">
      <c r="B34" t="s">
        <v>55</v>
      </c>
      <c r="C34" s="5">
        <f>C31+C32*C33</f>
        <v>7.5858000000000009E-2</v>
      </c>
      <c r="D34" s="5">
        <f>D31+D32*D33</f>
        <v>7.8E-2</v>
      </c>
      <c r="E34" s="5">
        <f>E31+E32*E33</f>
        <v>9.7250000000000003E-2</v>
      </c>
      <c r="H34" s="59" t="s">
        <v>56</v>
      </c>
      <c r="I34" s="59"/>
    </row>
    <row r="35" spans="2:13" x14ac:dyDescent="0.3">
      <c r="B35" s="1" t="s">
        <v>57</v>
      </c>
      <c r="C35" s="11">
        <v>8.2000000000000003E-2</v>
      </c>
      <c r="D35" s="11">
        <v>7.8E-2</v>
      </c>
      <c r="E35" s="11">
        <v>0.09</v>
      </c>
      <c r="H35" s="59" t="s">
        <v>58</v>
      </c>
      <c r="I35" s="59"/>
    </row>
    <row r="37" spans="2:13" x14ac:dyDescent="0.3">
      <c r="B37" s="20" t="s">
        <v>59</v>
      </c>
      <c r="C37" s="21" t="s">
        <v>15</v>
      </c>
      <c r="D37" s="21" t="s">
        <v>60</v>
      </c>
      <c r="E37" s="21"/>
      <c r="F37" s="21"/>
      <c r="G37" s="21"/>
      <c r="H37" s="60" t="s">
        <v>61</v>
      </c>
      <c r="I37" s="60"/>
    </row>
    <row r="38" spans="2:13" x14ac:dyDescent="0.3">
      <c r="B38" s="1" t="s">
        <v>62</v>
      </c>
      <c r="C38" s="6">
        <v>14</v>
      </c>
      <c r="D38" s="5">
        <v>0.08</v>
      </c>
      <c r="H38" s="59" t="s">
        <v>63</v>
      </c>
      <c r="I38" s="59"/>
    </row>
    <row r="39" spans="2:13" x14ac:dyDescent="0.3">
      <c r="B39" s="1" t="s">
        <v>64</v>
      </c>
      <c r="C39" s="6">
        <v>257.5</v>
      </c>
      <c r="D39" s="5">
        <v>0.1</v>
      </c>
      <c r="H39" s="59" t="s">
        <v>63</v>
      </c>
      <c r="I39" s="59"/>
    </row>
    <row r="40" spans="2:13" x14ac:dyDescent="0.3">
      <c r="B40" s="1" t="s">
        <v>65</v>
      </c>
      <c r="D40" s="5">
        <v>0.13</v>
      </c>
      <c r="H40" s="59" t="s">
        <v>66</v>
      </c>
      <c r="I40" s="59"/>
    </row>
    <row r="41" spans="2:13" x14ac:dyDescent="0.3">
      <c r="B41" s="1" t="s">
        <v>67</v>
      </c>
      <c r="D41" s="5">
        <v>0.25</v>
      </c>
      <c r="H41" s="59" t="s">
        <v>68</v>
      </c>
      <c r="I41" s="59"/>
    </row>
    <row r="43" spans="2:13" ht="15.6" x14ac:dyDescent="0.3">
      <c r="B43" s="63" t="s">
        <v>69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spans="2:13" x14ac:dyDescent="0.3">
      <c r="B44" s="20" t="s">
        <v>70</v>
      </c>
      <c r="C44" s="31" t="s">
        <v>71</v>
      </c>
      <c r="D44" s="31" t="s">
        <v>72</v>
      </c>
      <c r="E44" s="31" t="s">
        <v>73</v>
      </c>
      <c r="F44" s="31" t="s">
        <v>74</v>
      </c>
      <c r="G44" s="31" t="s">
        <v>75</v>
      </c>
      <c r="H44" s="31" t="s">
        <v>76</v>
      </c>
      <c r="I44" s="31" t="s">
        <v>77</v>
      </c>
      <c r="J44" s="31" t="s">
        <v>78</v>
      </c>
      <c r="K44" s="31" t="s">
        <v>79</v>
      </c>
      <c r="L44" s="31" t="s">
        <v>80</v>
      </c>
      <c r="M44" s="31" t="s">
        <v>81</v>
      </c>
    </row>
    <row r="45" spans="2:13" x14ac:dyDescent="0.3">
      <c r="B45" s="1" t="s">
        <v>18</v>
      </c>
      <c r="C45" s="4">
        <v>40000</v>
      </c>
      <c r="D45" s="4">
        <f>C45*(1+$C$17)</f>
        <v>44200</v>
      </c>
      <c r="E45" s="4">
        <f>D45*(1+$C$17)</f>
        <v>48841</v>
      </c>
      <c r="F45" s="4">
        <f>E45*(1+$C$17)</f>
        <v>53969.305</v>
      </c>
      <c r="G45" s="4">
        <f>F45*(1+$C$18)</f>
        <v>58826.542450000008</v>
      </c>
      <c r="H45" s="4">
        <f>G45*(1+$C$18)</f>
        <v>64120.931270500012</v>
      </c>
      <c r="I45" s="4">
        <f>H45*(1+$C$18)</f>
        <v>69891.815084845017</v>
      </c>
      <c r="J45" s="4">
        <f>I45*(1+$C$18)</f>
        <v>76182.07844248107</v>
      </c>
      <c r="K45" s="4">
        <f>J45*(1+$C$19)</f>
        <v>81895.734325667145</v>
      </c>
      <c r="L45" s="4">
        <f>K45*(1+$C$19)</f>
        <v>88037.914400092181</v>
      </c>
      <c r="M45" s="4">
        <f>L45*(1+$C$19)</f>
        <v>94640.757980099093</v>
      </c>
    </row>
    <row r="46" spans="2:13" x14ac:dyDescent="0.3">
      <c r="B46" t="s">
        <v>82</v>
      </c>
      <c r="D46" s="7">
        <f t="shared" ref="D46:M46" si="0">D45/C45-1</f>
        <v>0.10499999999999998</v>
      </c>
      <c r="E46" s="7">
        <f t="shared" si="0"/>
        <v>0.10499999999999998</v>
      </c>
      <c r="F46" s="7">
        <f t="shared" si="0"/>
        <v>0.10499999999999998</v>
      </c>
      <c r="G46" s="7">
        <f t="shared" si="0"/>
        <v>9.000000000000008E-2</v>
      </c>
      <c r="H46" s="7">
        <f t="shared" si="0"/>
        <v>9.000000000000008E-2</v>
      </c>
      <c r="I46" s="7">
        <f t="shared" si="0"/>
        <v>9.000000000000008E-2</v>
      </c>
      <c r="J46" s="7">
        <f t="shared" si="0"/>
        <v>9.000000000000008E-2</v>
      </c>
      <c r="K46" s="7">
        <f t="shared" si="0"/>
        <v>7.4999999999999956E-2</v>
      </c>
      <c r="L46" s="7">
        <f t="shared" si="0"/>
        <v>7.4999999999999956E-2</v>
      </c>
      <c r="M46" s="7">
        <f t="shared" si="0"/>
        <v>7.4999999999999956E-2</v>
      </c>
    </row>
    <row r="48" spans="2:13" x14ac:dyDescent="0.3">
      <c r="B48" s="1" t="s">
        <v>20</v>
      </c>
      <c r="C48" s="4">
        <v>28090</v>
      </c>
      <c r="D48" s="4">
        <f t="shared" ref="D48:M48" si="1">D45*$C$23</f>
        <v>30939.999999999996</v>
      </c>
      <c r="E48" s="4">
        <f t="shared" si="1"/>
        <v>34188.699999999997</v>
      </c>
      <c r="F48" s="4">
        <f t="shared" si="1"/>
        <v>37778.513500000001</v>
      </c>
      <c r="G48" s="4">
        <f t="shared" si="1"/>
        <v>41178.579715</v>
      </c>
      <c r="H48" s="4">
        <f t="shared" si="1"/>
        <v>44884.651889350003</v>
      </c>
      <c r="I48" s="4">
        <f t="shared" si="1"/>
        <v>48924.270559391509</v>
      </c>
      <c r="J48" s="4">
        <f t="shared" si="1"/>
        <v>53327.454909736749</v>
      </c>
      <c r="K48" s="4">
        <f t="shared" si="1"/>
        <v>57327.014027967001</v>
      </c>
      <c r="L48" s="4">
        <f t="shared" si="1"/>
        <v>61626.540080064522</v>
      </c>
      <c r="M48" s="4">
        <f t="shared" si="1"/>
        <v>66248.530586069362</v>
      </c>
    </row>
    <row r="49" spans="2:13" x14ac:dyDescent="0.3">
      <c r="B49" t="s">
        <v>83</v>
      </c>
      <c r="C49" s="7">
        <f t="shared" ref="C49:M49" si="2">C48/C45</f>
        <v>0.70225000000000004</v>
      </c>
      <c r="D49" s="7">
        <f t="shared" si="2"/>
        <v>0.7</v>
      </c>
      <c r="E49" s="7">
        <f t="shared" si="2"/>
        <v>0.7</v>
      </c>
      <c r="F49" s="7">
        <f t="shared" si="2"/>
        <v>0.70000000000000007</v>
      </c>
      <c r="G49" s="7">
        <f t="shared" si="2"/>
        <v>0.7</v>
      </c>
      <c r="H49" s="7">
        <f t="shared" si="2"/>
        <v>0.7</v>
      </c>
      <c r="I49" s="7">
        <f t="shared" si="2"/>
        <v>0.7</v>
      </c>
      <c r="J49" s="7">
        <f t="shared" si="2"/>
        <v>0.7</v>
      </c>
      <c r="K49" s="7">
        <f t="shared" si="2"/>
        <v>0.7</v>
      </c>
      <c r="L49" s="7">
        <f t="shared" si="2"/>
        <v>0.7</v>
      </c>
      <c r="M49" s="7">
        <f t="shared" si="2"/>
        <v>0.7</v>
      </c>
    </row>
    <row r="50" spans="2:13" x14ac:dyDescent="0.3">
      <c r="B50" t="s">
        <v>84</v>
      </c>
      <c r="C50" s="4">
        <v>600</v>
      </c>
      <c r="D50" s="4">
        <f t="shared" ref="D50:M50" si="3">D45*0.015</f>
        <v>663</v>
      </c>
      <c r="E50" s="4">
        <f t="shared" si="3"/>
        <v>732.61500000000001</v>
      </c>
      <c r="F50" s="4">
        <f t="shared" si="3"/>
        <v>809.53957500000001</v>
      </c>
      <c r="G50" s="4">
        <f t="shared" si="3"/>
        <v>882.39813675000005</v>
      </c>
      <c r="H50" s="4">
        <f t="shared" si="3"/>
        <v>961.81396905750012</v>
      </c>
      <c r="I50" s="4">
        <f t="shared" si="3"/>
        <v>1048.3772262726752</v>
      </c>
      <c r="J50" s="4">
        <f t="shared" si="3"/>
        <v>1142.7311766372161</v>
      </c>
      <c r="K50" s="4">
        <f t="shared" si="3"/>
        <v>1228.4360148850071</v>
      </c>
      <c r="L50" s="4">
        <f t="shared" si="3"/>
        <v>1320.5687160013827</v>
      </c>
      <c r="M50" s="4">
        <f t="shared" si="3"/>
        <v>1419.6113697014864</v>
      </c>
    </row>
    <row r="51" spans="2:13" x14ac:dyDescent="0.3">
      <c r="B51" s="1" t="s">
        <v>85</v>
      </c>
      <c r="C51" s="4">
        <f t="shared" ref="C51:M51" si="4">C48-C50</f>
        <v>27490</v>
      </c>
      <c r="D51" s="4">
        <f t="shared" si="4"/>
        <v>30276.999999999996</v>
      </c>
      <c r="E51" s="4">
        <f t="shared" si="4"/>
        <v>33456.084999999999</v>
      </c>
      <c r="F51" s="4">
        <f t="shared" si="4"/>
        <v>36968.973924999998</v>
      </c>
      <c r="G51" s="4">
        <f t="shared" si="4"/>
        <v>40296.181578249998</v>
      </c>
      <c r="H51" s="4">
        <f t="shared" si="4"/>
        <v>43922.837920292506</v>
      </c>
      <c r="I51" s="4">
        <f t="shared" si="4"/>
        <v>47875.893333118831</v>
      </c>
      <c r="J51" s="4">
        <f t="shared" si="4"/>
        <v>52184.723733099534</v>
      </c>
      <c r="K51" s="4">
        <f t="shared" si="4"/>
        <v>56098.578013081991</v>
      </c>
      <c r="L51" s="4">
        <f t="shared" si="4"/>
        <v>60305.971364063138</v>
      </c>
      <c r="M51" s="4">
        <f t="shared" si="4"/>
        <v>64828.919216367874</v>
      </c>
    </row>
    <row r="52" spans="2:13" x14ac:dyDescent="0.3">
      <c r="B52" t="s">
        <v>86</v>
      </c>
      <c r="C52" s="4">
        <f t="shared" ref="C52:M52" si="5">C51*$C$24</f>
        <v>4810.75</v>
      </c>
      <c r="D52" s="4">
        <f t="shared" si="5"/>
        <v>5298.4749999999995</v>
      </c>
      <c r="E52" s="4">
        <f t="shared" si="5"/>
        <v>5854.8148749999991</v>
      </c>
      <c r="F52" s="4">
        <f t="shared" si="5"/>
        <v>6469.5704368749994</v>
      </c>
      <c r="G52" s="4">
        <f t="shared" si="5"/>
        <v>7051.8317761937496</v>
      </c>
      <c r="H52" s="4">
        <f t="shared" si="5"/>
        <v>7686.496636051188</v>
      </c>
      <c r="I52" s="4">
        <f t="shared" si="5"/>
        <v>8378.2813332957958</v>
      </c>
      <c r="J52" s="4">
        <f t="shared" si="5"/>
        <v>9132.3266532924172</v>
      </c>
      <c r="K52" s="4">
        <f t="shared" si="5"/>
        <v>9817.2511522893474</v>
      </c>
      <c r="L52" s="4">
        <f t="shared" si="5"/>
        <v>10553.544988711048</v>
      </c>
      <c r="M52" s="4">
        <f t="shared" si="5"/>
        <v>11345.060862864377</v>
      </c>
    </row>
    <row r="53" spans="2:13" x14ac:dyDescent="0.3">
      <c r="B53" s="27" t="s">
        <v>87</v>
      </c>
      <c r="C53" s="28">
        <f t="shared" ref="C53:M53" si="6">C51-C52</f>
        <v>22679.25</v>
      </c>
      <c r="D53" s="28">
        <f t="shared" si="6"/>
        <v>24978.524999999998</v>
      </c>
      <c r="E53" s="28">
        <f t="shared" si="6"/>
        <v>27601.270124999999</v>
      </c>
      <c r="F53" s="28">
        <f t="shared" si="6"/>
        <v>30499.403488124997</v>
      </c>
      <c r="G53" s="28">
        <f t="shared" si="6"/>
        <v>33244.349802056247</v>
      </c>
      <c r="H53" s="28">
        <f t="shared" si="6"/>
        <v>36236.341284241316</v>
      </c>
      <c r="I53" s="28">
        <f t="shared" si="6"/>
        <v>39497.611999823035</v>
      </c>
      <c r="J53" s="28">
        <f t="shared" si="6"/>
        <v>43052.397079807117</v>
      </c>
      <c r="K53" s="28">
        <f t="shared" si="6"/>
        <v>46281.326860792644</v>
      </c>
      <c r="L53" s="28">
        <f t="shared" si="6"/>
        <v>49752.426375352094</v>
      </c>
      <c r="M53" s="29">
        <f t="shared" si="6"/>
        <v>53483.8583535035</v>
      </c>
    </row>
    <row r="55" spans="2:13" x14ac:dyDescent="0.3">
      <c r="B55" t="s">
        <v>88</v>
      </c>
      <c r="C55" s="4">
        <f t="shared" ref="C55:M55" si="7">C50</f>
        <v>600</v>
      </c>
      <c r="D55" s="4">
        <f t="shared" si="7"/>
        <v>663</v>
      </c>
      <c r="E55" s="4">
        <f t="shared" si="7"/>
        <v>732.61500000000001</v>
      </c>
      <c r="F55" s="4">
        <f t="shared" si="7"/>
        <v>809.53957500000001</v>
      </c>
      <c r="G55" s="4">
        <f t="shared" si="7"/>
        <v>882.39813675000005</v>
      </c>
      <c r="H55" s="4">
        <f t="shared" si="7"/>
        <v>961.81396905750012</v>
      </c>
      <c r="I55" s="4">
        <f t="shared" si="7"/>
        <v>1048.3772262726752</v>
      </c>
      <c r="J55" s="4">
        <f t="shared" si="7"/>
        <v>1142.7311766372161</v>
      </c>
      <c r="K55" s="4">
        <f t="shared" si="7"/>
        <v>1228.4360148850071</v>
      </c>
      <c r="L55" s="4">
        <f t="shared" si="7"/>
        <v>1320.5687160013827</v>
      </c>
      <c r="M55" s="4">
        <f t="shared" si="7"/>
        <v>1419.6113697014864</v>
      </c>
    </row>
    <row r="56" spans="2:13" x14ac:dyDescent="0.3">
      <c r="B56" t="s">
        <v>89</v>
      </c>
      <c r="C56" s="4">
        <f t="shared" ref="C56:M56" si="8">C45*$C$27</f>
        <v>2000</v>
      </c>
      <c r="D56" s="4">
        <f t="shared" si="8"/>
        <v>2210</v>
      </c>
      <c r="E56" s="4">
        <f t="shared" si="8"/>
        <v>2442.0500000000002</v>
      </c>
      <c r="F56" s="4">
        <f t="shared" si="8"/>
        <v>2698.4652500000002</v>
      </c>
      <c r="G56" s="4">
        <f t="shared" si="8"/>
        <v>2941.3271225000008</v>
      </c>
      <c r="H56" s="4">
        <f t="shared" si="8"/>
        <v>3206.0465635250007</v>
      </c>
      <c r="I56" s="4">
        <f t="shared" si="8"/>
        <v>3494.590754242251</v>
      </c>
      <c r="J56" s="4">
        <f t="shared" si="8"/>
        <v>3809.1039221240535</v>
      </c>
      <c r="K56" s="4">
        <f t="shared" si="8"/>
        <v>4094.7867162833572</v>
      </c>
      <c r="L56" s="4">
        <f t="shared" si="8"/>
        <v>4401.8957200046088</v>
      </c>
      <c r="M56" s="4">
        <f t="shared" si="8"/>
        <v>4732.0378990049549</v>
      </c>
    </row>
    <row r="57" spans="2:13" x14ac:dyDescent="0.3">
      <c r="B57" t="s">
        <v>90</v>
      </c>
      <c r="D57" s="4">
        <f t="shared" ref="D57:M57" si="9">(D45-C45)*$C$28</f>
        <v>84</v>
      </c>
      <c r="E57" s="4">
        <f t="shared" si="9"/>
        <v>92.820000000000007</v>
      </c>
      <c r="F57" s="4">
        <f t="shared" si="9"/>
        <v>102.56610000000001</v>
      </c>
      <c r="G57" s="4">
        <f t="shared" si="9"/>
        <v>97.144749000000161</v>
      </c>
      <c r="H57" s="4">
        <f t="shared" si="9"/>
        <v>105.88777641000009</v>
      </c>
      <c r="I57" s="4">
        <f t="shared" si="9"/>
        <v>115.4176762869001</v>
      </c>
      <c r="J57" s="4">
        <f t="shared" si="9"/>
        <v>125.80526715272107</v>
      </c>
      <c r="K57" s="4">
        <f t="shared" si="9"/>
        <v>114.27311766372149</v>
      </c>
      <c r="L57" s="4">
        <f t="shared" si="9"/>
        <v>122.84360148850072</v>
      </c>
      <c r="M57" s="4">
        <f t="shared" si="9"/>
        <v>132.05687160013827</v>
      </c>
    </row>
    <row r="59" spans="2:13" x14ac:dyDescent="0.3">
      <c r="B59" s="53" t="s">
        <v>91</v>
      </c>
      <c r="C59" s="54"/>
      <c r="D59" s="55">
        <f t="shared" ref="D59:M59" si="10">D53+D55-D56-D57</f>
        <v>23347.524999999998</v>
      </c>
      <c r="E59" s="55">
        <f t="shared" si="10"/>
        <v>25799.015125000002</v>
      </c>
      <c r="F59" s="55">
        <f t="shared" si="10"/>
        <v>28507.911713124995</v>
      </c>
      <c r="G59" s="55">
        <f t="shared" si="10"/>
        <v>31088.276067306251</v>
      </c>
      <c r="H59" s="55">
        <f t="shared" si="10"/>
        <v>33886.22091336381</v>
      </c>
      <c r="I59" s="55">
        <f t="shared" si="10"/>
        <v>36935.98079556656</v>
      </c>
      <c r="J59" s="55">
        <f t="shared" si="10"/>
        <v>40260.219067167556</v>
      </c>
      <c r="K59" s="55">
        <f t="shared" si="10"/>
        <v>43300.703041730572</v>
      </c>
      <c r="L59" s="55">
        <f t="shared" si="10"/>
        <v>46548.25576986037</v>
      </c>
      <c r="M59" s="55">
        <f t="shared" si="10"/>
        <v>50039.374952599894</v>
      </c>
    </row>
    <row r="60" spans="2:13" x14ac:dyDescent="0.3">
      <c r="B60" t="s">
        <v>92</v>
      </c>
      <c r="D60" s="6">
        <v>0.5</v>
      </c>
      <c r="E60" s="6">
        <v>1.5</v>
      </c>
      <c r="F60" s="6">
        <v>2.5</v>
      </c>
      <c r="G60" s="6">
        <v>3.5</v>
      </c>
      <c r="H60" s="6">
        <v>4.5</v>
      </c>
      <c r="I60" s="6">
        <v>5.5</v>
      </c>
      <c r="J60" s="6">
        <v>6.5</v>
      </c>
      <c r="K60" s="6">
        <v>7.5</v>
      </c>
      <c r="L60" s="6">
        <v>8.5</v>
      </c>
      <c r="M60" s="6">
        <v>9.5</v>
      </c>
    </row>
    <row r="61" spans="2:13" x14ac:dyDescent="0.3">
      <c r="B61" t="s">
        <v>93</v>
      </c>
      <c r="D61" s="9">
        <f t="shared" ref="D61:M61" si="11">1/(1+$C$35)^D60</f>
        <v>0.9613607115671603</v>
      </c>
      <c r="E61" s="9">
        <f t="shared" si="11"/>
        <v>0.8885034302838819</v>
      </c>
      <c r="F61" s="9">
        <f t="shared" si="11"/>
        <v>0.82116768048417921</v>
      </c>
      <c r="G61" s="9">
        <f t="shared" si="11"/>
        <v>0.75893500968962946</v>
      </c>
      <c r="H61" s="9">
        <f t="shared" si="11"/>
        <v>0.70141867808653369</v>
      </c>
      <c r="I61" s="9">
        <f t="shared" si="11"/>
        <v>0.64826125516315491</v>
      </c>
      <c r="J61" s="9">
        <f t="shared" si="11"/>
        <v>0.59913239848720412</v>
      </c>
      <c r="K61" s="9">
        <f t="shared" si="11"/>
        <v>0.55372680081996684</v>
      </c>
      <c r="L61" s="9">
        <f t="shared" si="11"/>
        <v>0.51176229280958108</v>
      </c>
      <c r="M61" s="9">
        <f t="shared" si="11"/>
        <v>0.47297808947281061</v>
      </c>
    </row>
    <row r="62" spans="2:13" x14ac:dyDescent="0.3">
      <c r="B62" s="1" t="s">
        <v>94</v>
      </c>
      <c r="D62" s="8">
        <f t="shared" ref="D62:M62" si="12">D59*D61</f>
        <v>22445.393247332064</v>
      </c>
      <c r="E62" s="8">
        <f t="shared" si="12"/>
        <v>22922.513436508252</v>
      </c>
      <c r="F62" s="8">
        <f t="shared" si="12"/>
        <v>23409.775736914617</v>
      </c>
      <c r="G62" s="8">
        <f t="shared" si="12"/>
        <v>23593.981098374945</v>
      </c>
      <c r="H62" s="8">
        <f t="shared" si="12"/>
        <v>23768.428278399897</v>
      </c>
      <c r="I62" s="8">
        <f t="shared" si="12"/>
        <v>23944.165271216163</v>
      </c>
      <c r="J62" s="8">
        <f t="shared" si="12"/>
        <v>24121.201613332367</v>
      </c>
      <c r="K62" s="8">
        <f t="shared" si="12"/>
        <v>23976.759768552878</v>
      </c>
      <c r="L62" s="8">
        <f t="shared" si="12"/>
        <v>23821.642099070556</v>
      </c>
      <c r="M62" s="8">
        <f t="shared" si="12"/>
        <v>23667.527963494311</v>
      </c>
    </row>
    <row r="65" spans="2:9" x14ac:dyDescent="0.3">
      <c r="B65" s="31" t="s">
        <v>95</v>
      </c>
      <c r="C65" s="31"/>
      <c r="D65" s="21" t="s">
        <v>96</v>
      </c>
    </row>
    <row r="66" spans="2:9" x14ac:dyDescent="0.3">
      <c r="B66" t="s">
        <v>97</v>
      </c>
      <c r="D66" s="4">
        <f>M59*(1+$C$20)</f>
        <v>51790.753075940884</v>
      </c>
    </row>
    <row r="67" spans="2:9" x14ac:dyDescent="0.3">
      <c r="B67" t="s">
        <v>98</v>
      </c>
      <c r="D67" s="5">
        <f>$C$20</f>
        <v>3.5000000000000003E-2</v>
      </c>
    </row>
    <row r="68" spans="2:9" x14ac:dyDescent="0.3">
      <c r="B68" t="s">
        <v>99</v>
      </c>
      <c r="D68" s="5">
        <f>$C$35</f>
        <v>8.2000000000000003E-2</v>
      </c>
    </row>
    <row r="69" spans="2:9" x14ac:dyDescent="0.3">
      <c r="B69" s="1" t="s">
        <v>100</v>
      </c>
      <c r="D69" s="33">
        <f>D66/(D68-D67)</f>
        <v>1101930.9165093806</v>
      </c>
    </row>
    <row r="70" spans="2:9" x14ac:dyDescent="0.3">
      <c r="B70" s="1" t="s">
        <v>101</v>
      </c>
      <c r="D70" s="33">
        <f>D69*M61</f>
        <v>521189.17962163</v>
      </c>
    </row>
    <row r="73" spans="2:9" ht="15.6" x14ac:dyDescent="0.3">
      <c r="B73" s="32" t="s">
        <v>102</v>
      </c>
      <c r="C73" s="31"/>
      <c r="D73" s="31"/>
    </row>
    <row r="74" spans="2:9" x14ac:dyDescent="0.3">
      <c r="B74" s="1" t="s">
        <v>103</v>
      </c>
      <c r="D74" s="8">
        <f>SUM(D62:M62)</f>
        <v>235671.38851319606</v>
      </c>
    </row>
    <row r="75" spans="2:9" x14ac:dyDescent="0.3">
      <c r="B75" s="1" t="s">
        <v>101</v>
      </c>
      <c r="D75" s="8">
        <f>D70</f>
        <v>521189.17962163</v>
      </c>
    </row>
    <row r="76" spans="2:9" x14ac:dyDescent="0.3">
      <c r="B76" s="1" t="s">
        <v>104</v>
      </c>
      <c r="C76" s="1"/>
      <c r="D76" s="8">
        <f>D74+D75</f>
        <v>756860.56813482603</v>
      </c>
    </row>
    <row r="77" spans="2:9" x14ac:dyDescent="0.3">
      <c r="B77" t="s">
        <v>105</v>
      </c>
      <c r="D77" s="36">
        <v>-15000</v>
      </c>
      <c r="H77" s="58"/>
      <c r="I77" s="58"/>
    </row>
    <row r="78" spans="2:9" x14ac:dyDescent="0.3">
      <c r="B78" s="1" t="s">
        <v>106</v>
      </c>
      <c r="C78" s="1"/>
      <c r="D78" s="8">
        <f>D76-D77</f>
        <v>771860.56813482603</v>
      </c>
    </row>
    <row r="80" spans="2:9" x14ac:dyDescent="0.3">
      <c r="B80" s="1" t="s">
        <v>7</v>
      </c>
      <c r="D80" s="10">
        <f>$F$6</f>
        <v>1960</v>
      </c>
    </row>
    <row r="81" spans="2:9" ht="15.6" x14ac:dyDescent="0.3">
      <c r="B81" s="48" t="s">
        <v>107</v>
      </c>
      <c r="C81" s="48"/>
      <c r="D81" s="49">
        <f>D78/D80</f>
        <v>393.80641231368674</v>
      </c>
    </row>
    <row r="83" spans="2:9" x14ac:dyDescent="0.3">
      <c r="B83" s="1" t="s">
        <v>4</v>
      </c>
      <c r="D83" s="3">
        <f>$F$5</f>
        <v>328</v>
      </c>
    </row>
    <row r="84" spans="2:9" ht="15.6" x14ac:dyDescent="0.3">
      <c r="B84" s="50" t="s">
        <v>108</v>
      </c>
      <c r="C84" s="50"/>
      <c r="D84" s="51">
        <f>D81/D83-1</f>
        <v>0.20062930583441085</v>
      </c>
    </row>
    <row r="87" spans="2:9" x14ac:dyDescent="0.3">
      <c r="B87" s="20" t="s">
        <v>144</v>
      </c>
      <c r="C87" s="21" t="s">
        <v>26</v>
      </c>
      <c r="D87" s="21" t="s">
        <v>25</v>
      </c>
      <c r="E87" s="21" t="s">
        <v>27</v>
      </c>
      <c r="F87" s="21"/>
      <c r="G87" s="21"/>
      <c r="H87" s="60" t="s">
        <v>109</v>
      </c>
      <c r="I87" s="60"/>
    </row>
    <row r="88" spans="2:9" x14ac:dyDescent="0.3">
      <c r="B88" t="s">
        <v>110</v>
      </c>
      <c r="C88" s="5">
        <v>0.112</v>
      </c>
      <c r="D88" s="5">
        <f>((M45/C45)^(1/10)-1)</f>
        <v>8.9938069289417166E-2</v>
      </c>
      <c r="E88" s="5">
        <f>AVERAGE(E18)</f>
        <v>0.05</v>
      </c>
      <c r="H88" s="59" t="s">
        <v>111</v>
      </c>
      <c r="I88" s="59"/>
    </row>
    <row r="89" spans="2:9" x14ac:dyDescent="0.3">
      <c r="B89" t="s">
        <v>22</v>
      </c>
      <c r="C89" s="5">
        <f>$D$23</f>
        <v>0.72</v>
      </c>
      <c r="D89" s="5">
        <f>$C$23</f>
        <v>0.7</v>
      </c>
      <c r="E89" s="5">
        <f>$E$23</f>
        <v>0.68</v>
      </c>
      <c r="H89" s="59" t="s">
        <v>112</v>
      </c>
      <c r="I89" s="59"/>
    </row>
    <row r="90" spans="2:9" x14ac:dyDescent="0.3">
      <c r="B90" t="s">
        <v>99</v>
      </c>
      <c r="C90" s="5">
        <f>$D$35</f>
        <v>7.8E-2</v>
      </c>
      <c r="D90" s="5">
        <f>$C$35</f>
        <v>8.2000000000000003E-2</v>
      </c>
      <c r="E90" s="5">
        <f>$E$35</f>
        <v>0.09</v>
      </c>
      <c r="H90" s="59" t="s">
        <v>113</v>
      </c>
      <c r="I90" s="59"/>
    </row>
    <row r="91" spans="2:9" x14ac:dyDescent="0.3">
      <c r="H91" s="59"/>
      <c r="I91" s="59"/>
    </row>
    <row r="92" spans="2:9" x14ac:dyDescent="0.3">
      <c r="B92" s="30" t="s">
        <v>147</v>
      </c>
      <c r="C92" s="37" t="s">
        <v>26</v>
      </c>
      <c r="D92" s="38" t="s">
        <v>25</v>
      </c>
      <c r="E92" s="39" t="s">
        <v>27</v>
      </c>
    </row>
    <row r="93" spans="2:9" x14ac:dyDescent="0.3">
      <c r="B93" s="1" t="s">
        <v>114</v>
      </c>
      <c r="C93" s="42">
        <v>880000</v>
      </c>
      <c r="D93" s="43">
        <f>D76</f>
        <v>756860.56813482603</v>
      </c>
      <c r="E93" s="44">
        <v>520000</v>
      </c>
    </row>
    <row r="94" spans="2:9" x14ac:dyDescent="0.3">
      <c r="B94" s="1" t="s">
        <v>115</v>
      </c>
      <c r="C94" s="42">
        <v>895000</v>
      </c>
      <c r="D94" s="43">
        <f>D78</f>
        <v>771860.56813482603</v>
      </c>
      <c r="E94" s="44">
        <v>535000</v>
      </c>
    </row>
    <row r="95" spans="2:9" x14ac:dyDescent="0.3">
      <c r="B95" s="1" t="s">
        <v>145</v>
      </c>
      <c r="C95" s="45">
        <f>C94/$F$6</f>
        <v>456.63265306122452</v>
      </c>
      <c r="D95" s="46">
        <f>D81</f>
        <v>393.80641231368674</v>
      </c>
      <c r="E95" s="47">
        <f>E94/$F$6</f>
        <v>272.9591836734694</v>
      </c>
    </row>
    <row r="96" spans="2:9" x14ac:dyDescent="0.3">
      <c r="B96" s="1" t="s">
        <v>146</v>
      </c>
      <c r="C96" s="40">
        <f>(C95-$D$83)/$D$83</f>
        <v>0.3921727227476357</v>
      </c>
      <c r="D96" s="41">
        <f>(D95-$D$83)/$D$83</f>
        <v>0.20062930583441077</v>
      </c>
      <c r="E96" s="52">
        <f>(E95-$D$83)/$D$83</f>
        <v>-0.16780736684917866</v>
      </c>
    </row>
    <row r="98" spans="2:11" x14ac:dyDescent="0.3">
      <c r="B98" s="20" t="s">
        <v>143</v>
      </c>
      <c r="C98" s="21" t="s">
        <v>116</v>
      </c>
      <c r="D98" s="21">
        <v>2027</v>
      </c>
      <c r="E98" s="21">
        <v>2028</v>
      </c>
      <c r="F98" s="21">
        <v>2029</v>
      </c>
      <c r="G98" s="21">
        <v>2030</v>
      </c>
      <c r="H98" s="21"/>
      <c r="I98" s="21"/>
      <c r="J98" s="60" t="s">
        <v>117</v>
      </c>
      <c r="K98" s="60"/>
    </row>
    <row r="99" spans="2:11" x14ac:dyDescent="0.3">
      <c r="B99" t="s">
        <v>118</v>
      </c>
      <c r="C99" s="12">
        <f>$D$76/(D45*(1+$C$17)*$C$23)</f>
        <v>22.137740485447708</v>
      </c>
      <c r="D99" s="12">
        <f t="shared" ref="D99:G99" si="13">$D$76/(E45*(1+$C$17)*$C$23)</f>
        <v>20.034154285473036</v>
      </c>
      <c r="E99" s="12">
        <f t="shared" si="13"/>
        <v>18.130456366943928</v>
      </c>
      <c r="F99" s="12">
        <f t="shared" si="13"/>
        <v>16.633446208205434</v>
      </c>
      <c r="G99" s="12">
        <f t="shared" si="13"/>
        <v>15.260042392849025</v>
      </c>
      <c r="J99" s="58" t="s">
        <v>119</v>
      </c>
      <c r="K99" s="58"/>
    </row>
    <row r="100" spans="2:11" x14ac:dyDescent="0.3">
      <c r="B100" t="s">
        <v>120</v>
      </c>
      <c r="C100" s="12">
        <f>$D$81/((D45*(1+$C$17))*$C$23*(1-0.015)*(1-$C$24)/$F$6)</f>
        <v>27.782165132696957</v>
      </c>
      <c r="D100" s="12">
        <f t="shared" ref="D100:G100" si="14">$D$81/((E45*(1+$C$17))*$C$23*(1-0.015)*(1-$C$24)/$F$6)</f>
        <v>25.142230889318508</v>
      </c>
      <c r="E100" s="12">
        <f t="shared" si="14"/>
        <v>22.753150126080101</v>
      </c>
      <c r="F100" s="12">
        <f t="shared" si="14"/>
        <v>20.874449656954216</v>
      </c>
      <c r="G100" s="12">
        <f t="shared" si="14"/>
        <v>19.150871244912128</v>
      </c>
      <c r="J100" s="58" t="s">
        <v>121</v>
      </c>
      <c r="K100" s="58"/>
    </row>
    <row r="101" spans="2:11" x14ac:dyDescent="0.3">
      <c r="B101" t="s">
        <v>122</v>
      </c>
      <c r="C101" s="5">
        <f>(D$59/$F$6)/$F$5</f>
        <v>3.6317080948232952E-2</v>
      </c>
      <c r="D101" s="5">
        <f t="shared" ref="D101:F101" si="15">(E$59/$F$6)/$F$5</f>
        <v>4.0130374447797414E-2</v>
      </c>
      <c r="E101" s="5">
        <f t="shared" si="15"/>
        <v>4.434406376481613E-2</v>
      </c>
      <c r="F101" s="5">
        <f t="shared" si="15"/>
        <v>4.835782115994626E-2</v>
      </c>
      <c r="G101" s="5">
        <f>(H$59/$F$6)/$F$5</f>
        <v>5.2710025064341415E-2</v>
      </c>
      <c r="J101" s="58" t="s">
        <v>123</v>
      </c>
      <c r="K101" s="58"/>
    </row>
    <row r="102" spans="2:11" x14ac:dyDescent="0.3">
      <c r="B102" t="s">
        <v>124</v>
      </c>
      <c r="C102" s="5">
        <f>((M45/C45)^(1/10))-1</f>
        <v>8.9938069289417166E-2</v>
      </c>
      <c r="J102" s="58" t="s">
        <v>125</v>
      </c>
      <c r="K102" s="58"/>
    </row>
    <row r="103" spans="2:11" x14ac:dyDescent="0.3">
      <c r="B103" t="s">
        <v>126</v>
      </c>
      <c r="C103" s="5">
        <f>((M48/C48)^(1/10))-1</f>
        <v>8.9588350008979134E-2</v>
      </c>
      <c r="J103" s="58" t="s">
        <v>127</v>
      </c>
      <c r="K103" s="58"/>
    </row>
    <row r="104" spans="2:11" x14ac:dyDescent="0.3">
      <c r="B104" t="s">
        <v>128</v>
      </c>
      <c r="C104" s="5">
        <f>D75/D76</f>
        <v>0.68861980867364481</v>
      </c>
      <c r="J104" s="58" t="s">
        <v>129</v>
      </c>
      <c r="K104" s="58"/>
    </row>
    <row r="107" spans="2:11" x14ac:dyDescent="0.3">
      <c r="B107" s="60" t="s">
        <v>130</v>
      </c>
      <c r="C107" s="60"/>
      <c r="D107" s="60"/>
      <c r="E107" s="60"/>
    </row>
    <row r="108" spans="2:11" x14ac:dyDescent="0.3">
      <c r="B108" s="1" t="s">
        <v>131</v>
      </c>
    </row>
    <row r="109" spans="2:11" x14ac:dyDescent="0.3">
      <c r="B109" s="13" t="s">
        <v>132</v>
      </c>
    </row>
    <row r="110" spans="2:11" x14ac:dyDescent="0.3">
      <c r="B110" s="13" t="s">
        <v>133</v>
      </c>
    </row>
    <row r="111" spans="2:11" x14ac:dyDescent="0.3">
      <c r="B111" s="13" t="s">
        <v>134</v>
      </c>
    </row>
    <row r="112" spans="2:11" x14ac:dyDescent="0.3">
      <c r="B112" s="13" t="s">
        <v>135</v>
      </c>
    </row>
    <row r="114" spans="2:4" x14ac:dyDescent="0.3">
      <c r="B114" s="14" t="s">
        <v>136</v>
      </c>
    </row>
    <row r="115" spans="2:4" x14ac:dyDescent="0.3">
      <c r="B115" s="15" t="s">
        <v>137</v>
      </c>
    </row>
    <row r="116" spans="2:4" x14ac:dyDescent="0.3">
      <c r="B116" s="15" t="s">
        <v>138</v>
      </c>
    </row>
    <row r="117" spans="2:4" x14ac:dyDescent="0.3">
      <c r="B117" s="15" t="s">
        <v>139</v>
      </c>
    </row>
    <row r="118" spans="2:4" x14ac:dyDescent="0.3">
      <c r="B118" s="15" t="s">
        <v>140</v>
      </c>
    </row>
    <row r="120" spans="2:4" x14ac:dyDescent="0.3">
      <c r="B120" s="62" t="s">
        <v>141</v>
      </c>
      <c r="C120" s="62"/>
      <c r="D120" s="62"/>
    </row>
  </sheetData>
  <mergeCells count="43">
    <mergeCell ref="B4:C4"/>
    <mergeCell ref="B120:D120"/>
    <mergeCell ref="J98:K98"/>
    <mergeCell ref="B43:M43"/>
    <mergeCell ref="H15:I15"/>
    <mergeCell ref="H9:I9"/>
    <mergeCell ref="H10:I10"/>
    <mergeCell ref="H30:I30"/>
    <mergeCell ref="H31:I31"/>
    <mergeCell ref="H11:I11"/>
    <mergeCell ref="H17:I17"/>
    <mergeCell ref="H18:I18"/>
    <mergeCell ref="H19:I19"/>
    <mergeCell ref="H20:I20"/>
    <mergeCell ref="H23:I23"/>
    <mergeCell ref="B107:E107"/>
    <mergeCell ref="H39:I39"/>
    <mergeCell ref="H40:I40"/>
    <mergeCell ref="H41:I41"/>
    <mergeCell ref="H77:I77"/>
    <mergeCell ref="H87:I87"/>
    <mergeCell ref="J102:K102"/>
    <mergeCell ref="J103:K103"/>
    <mergeCell ref="J104:K104"/>
    <mergeCell ref="H89:I89"/>
    <mergeCell ref="H90:I90"/>
    <mergeCell ref="H91:I91"/>
    <mergeCell ref="B2:C2"/>
    <mergeCell ref="B1:C1"/>
    <mergeCell ref="J99:K99"/>
    <mergeCell ref="J100:K100"/>
    <mergeCell ref="J101:K101"/>
    <mergeCell ref="H32:I32"/>
    <mergeCell ref="H33:I33"/>
    <mergeCell ref="H34:I34"/>
    <mergeCell ref="H35:I35"/>
    <mergeCell ref="H37:I37"/>
    <mergeCell ref="H38:I38"/>
    <mergeCell ref="H24:I24"/>
    <mergeCell ref="H27:I27"/>
    <mergeCell ref="H28:I28"/>
    <mergeCell ref="H29:I29"/>
    <mergeCell ref="H88:I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2015-06-05T18:17:20Z</dcterms:created>
  <dcterms:modified xsi:type="dcterms:W3CDTF">2026-01-30T08:13:50Z</dcterms:modified>
</cp:coreProperties>
</file>