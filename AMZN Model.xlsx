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59FB04BC-66CF-427D-8932-1DD23F902BC1}" xr6:coauthVersionLast="47" xr6:coauthVersionMax="47" xr10:uidLastSave="{00000000-0000-0000-0000-000000000000}"/>
  <bookViews>
    <workbookView xWindow="28404" yWindow="1764" windowWidth="28056" windowHeight="14364" activeTab="1" xr2:uid="{15DD2EF7-3D38-48BE-91C3-905AF47E584F}"/>
  </bookViews>
  <sheets>
    <sheet name="Main" sheetId="1" r:id="rId1"/>
    <sheet name="Model" sheetId="2" r:id="rId2"/>
    <sheet name="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2" l="1"/>
  <c r="O43" i="2"/>
  <c r="N43" i="2"/>
  <c r="M43" i="2"/>
  <c r="L43" i="2"/>
  <c r="K43" i="2"/>
  <c r="J43" i="2"/>
  <c r="I43" i="2"/>
  <c r="H43" i="2"/>
  <c r="G43" i="2"/>
  <c r="F43" i="2"/>
  <c r="E43" i="2"/>
  <c r="F31" i="2"/>
  <c r="L31" i="2"/>
  <c r="O17" i="1"/>
  <c r="K13" i="2"/>
  <c r="F17" i="2"/>
  <c r="O35" i="2"/>
  <c r="N35" i="2"/>
  <c r="M35" i="2"/>
  <c r="L35" i="2"/>
  <c r="K35" i="2"/>
  <c r="J35" i="2"/>
  <c r="I35" i="2"/>
  <c r="H35" i="2"/>
  <c r="G35" i="2"/>
  <c r="F35" i="2"/>
  <c r="O33" i="2"/>
  <c r="N33" i="2"/>
  <c r="M33" i="2"/>
  <c r="L33" i="2"/>
  <c r="K33" i="2"/>
  <c r="J33" i="2"/>
  <c r="I33" i="2"/>
  <c r="H33" i="2"/>
  <c r="G33" i="2"/>
  <c r="F33" i="2"/>
  <c r="O31" i="2"/>
  <c r="N31" i="2"/>
  <c r="K31" i="2"/>
  <c r="J31" i="2"/>
  <c r="I31" i="2"/>
  <c r="H31" i="2"/>
  <c r="G31" i="2"/>
  <c r="J8" i="2"/>
  <c r="I8" i="2"/>
  <c r="H8" i="2"/>
  <c r="G8" i="2"/>
  <c r="F8" i="2"/>
  <c r="E8" i="2"/>
  <c r="O25" i="2"/>
  <c r="N25" i="2"/>
  <c r="M25" i="2"/>
  <c r="L25" i="2"/>
  <c r="K25" i="2"/>
  <c r="J25" i="2"/>
  <c r="I25" i="2"/>
  <c r="H25" i="2"/>
  <c r="G25" i="2"/>
  <c r="F25" i="2"/>
  <c r="O23" i="2"/>
  <c r="N23" i="2"/>
  <c r="M23" i="2"/>
  <c r="L23" i="2"/>
  <c r="K23" i="2"/>
  <c r="J23" i="2"/>
  <c r="I23" i="2"/>
  <c r="H23" i="2"/>
  <c r="G23" i="2"/>
  <c r="F23" i="2"/>
  <c r="O21" i="2"/>
  <c r="N21" i="2"/>
  <c r="M21" i="2"/>
  <c r="L21" i="2"/>
  <c r="K21" i="2"/>
  <c r="J21" i="2"/>
  <c r="I21" i="2"/>
  <c r="H21" i="2"/>
  <c r="G21" i="2"/>
  <c r="O19" i="2"/>
  <c r="N19" i="2"/>
  <c r="M19" i="2"/>
  <c r="L19" i="2"/>
  <c r="K19" i="2"/>
  <c r="J19" i="2"/>
  <c r="I19" i="2"/>
  <c r="H19" i="2"/>
  <c r="G19" i="2"/>
  <c r="F19" i="2"/>
  <c r="O17" i="2"/>
  <c r="N17" i="2"/>
  <c r="M17" i="2"/>
  <c r="L17" i="2"/>
  <c r="K17" i="2"/>
  <c r="J17" i="2"/>
  <c r="I17" i="2"/>
  <c r="H17" i="2"/>
  <c r="G17" i="2"/>
  <c r="O15" i="2"/>
  <c r="N15" i="2"/>
  <c r="M15" i="2"/>
  <c r="L15" i="2"/>
  <c r="K15" i="2"/>
  <c r="J15" i="2"/>
  <c r="I15" i="2"/>
  <c r="H15" i="2"/>
  <c r="G15" i="2"/>
  <c r="F15" i="2"/>
  <c r="O13" i="2"/>
  <c r="N13" i="2"/>
  <c r="M13" i="2"/>
  <c r="J13" i="2"/>
  <c r="I13" i="2"/>
  <c r="H13" i="2"/>
  <c r="G13" i="2"/>
  <c r="F13" i="2"/>
  <c r="J6" i="2"/>
  <c r="J9" i="2" s="1"/>
  <c r="I6" i="2"/>
  <c r="I9" i="2" s="1"/>
  <c r="H6" i="2"/>
  <c r="H9" i="2" s="1"/>
  <c r="G6" i="2"/>
  <c r="G9" i="2" s="1"/>
  <c r="F6" i="2"/>
  <c r="F9" i="2" s="1"/>
  <c r="E6" i="2"/>
  <c r="E9" i="2" s="1"/>
  <c r="E26" i="2"/>
  <c r="Y9" i="1"/>
  <c r="Y11" i="1"/>
  <c r="T39" i="1"/>
  <c r="AE45" i="1" s="1"/>
  <c r="AE46" i="1" s="1"/>
  <c r="AE48" i="1" s="1"/>
  <c r="D9" i="1" s="1"/>
  <c r="D10" i="1" s="1"/>
  <c r="N3" i="1" s="1"/>
  <c r="S40" i="1"/>
  <c r="S39" i="1"/>
  <c r="R39" i="1"/>
  <c r="R40" i="1" s="1"/>
  <c r="Q39" i="1"/>
  <c r="Q40" i="1" s="1"/>
  <c r="P39" i="1"/>
  <c r="AB46" i="1"/>
  <c r="P40" i="1"/>
  <c r="T37" i="1"/>
  <c r="S37" i="1"/>
  <c r="R37" i="1"/>
  <c r="Q37" i="1"/>
  <c r="P37" i="1"/>
  <c r="T36" i="1"/>
  <c r="S36" i="1"/>
  <c r="R36" i="1"/>
  <c r="Q36" i="1"/>
  <c r="P36" i="1"/>
  <c r="T33" i="1"/>
  <c r="T34" i="1" s="1"/>
  <c r="S33" i="1"/>
  <c r="S34" i="1" s="1"/>
  <c r="R33" i="1"/>
  <c r="R34" i="1" s="1"/>
  <c r="Q34" i="1"/>
  <c r="P34" i="1"/>
  <c r="Q33" i="1"/>
  <c r="P33" i="1"/>
  <c r="T31" i="1"/>
  <c r="S31" i="1"/>
  <c r="R31" i="1"/>
  <c r="Q31" i="1"/>
  <c r="P31" i="1"/>
  <c r="T30" i="1"/>
  <c r="S30" i="1"/>
  <c r="R30" i="1"/>
  <c r="Q30" i="1"/>
  <c r="P30" i="1"/>
  <c r="T29" i="1"/>
  <c r="S29" i="1"/>
  <c r="R29" i="1"/>
  <c r="Q29" i="1"/>
  <c r="P29" i="1"/>
  <c r="T27" i="1"/>
  <c r="S27" i="1"/>
  <c r="R27" i="1"/>
  <c r="Q27" i="1"/>
  <c r="P27" i="1"/>
  <c r="T26" i="1"/>
  <c r="S26" i="1"/>
  <c r="R26" i="1"/>
  <c r="Q26" i="1"/>
  <c r="P26" i="1"/>
  <c r="T23" i="1"/>
  <c r="S23" i="1"/>
  <c r="S24" i="1" s="1"/>
  <c r="R23" i="1"/>
  <c r="R24" i="1" s="1"/>
  <c r="Q23" i="1"/>
  <c r="P23" i="1"/>
  <c r="T24" i="1"/>
  <c r="Q24" i="1"/>
  <c r="P24" i="1"/>
  <c r="T17" i="1"/>
  <c r="T18" i="1" s="1"/>
  <c r="T20" i="1" s="1"/>
  <c r="T21" i="1" s="1"/>
  <c r="S17" i="1"/>
  <c r="S18" i="1" s="1"/>
  <c r="S20" i="1" s="1"/>
  <c r="S21" i="1" s="1"/>
  <c r="R17" i="1"/>
  <c r="Q17" i="1"/>
  <c r="Q18" i="1" s="1"/>
  <c r="Q20" i="1" s="1"/>
  <c r="Q21" i="1" s="1"/>
  <c r="P17" i="1"/>
  <c r="O20" i="1"/>
  <c r="O21" i="1" s="1"/>
  <c r="R20" i="1"/>
  <c r="R21" i="1" s="1"/>
  <c r="N20" i="1"/>
  <c r="N21" i="1" s="1"/>
  <c r="R18" i="1"/>
  <c r="P18" i="1"/>
  <c r="P20" i="1" s="1"/>
  <c r="P21" i="1" s="1"/>
  <c r="O18" i="1"/>
  <c r="N18" i="1"/>
  <c r="M18" i="1"/>
  <c r="L18" i="1"/>
  <c r="K18" i="1"/>
  <c r="J18" i="1"/>
  <c r="I18" i="1"/>
  <c r="H18" i="1"/>
  <c r="G18" i="1"/>
  <c r="F18" i="1"/>
  <c r="E18" i="1"/>
  <c r="S14" i="1"/>
  <c r="Q14" i="1"/>
  <c r="P14" i="1"/>
  <c r="R14" i="1"/>
  <c r="T14" i="1" s="1"/>
  <c r="P15" i="1"/>
  <c r="M21" i="1"/>
  <c r="L21" i="1"/>
  <c r="K21" i="1"/>
  <c r="F21" i="1"/>
  <c r="E21" i="1"/>
  <c r="J20" i="1"/>
  <c r="J21" i="1" s="1"/>
  <c r="I20" i="1"/>
  <c r="I21" i="1" s="1"/>
  <c r="H20" i="1"/>
  <c r="H21" i="1" s="1"/>
  <c r="G20" i="1"/>
  <c r="G21" i="1" s="1"/>
  <c r="O27" i="1"/>
  <c r="N27" i="1"/>
  <c r="M27" i="1"/>
  <c r="L27" i="1"/>
  <c r="K27" i="1"/>
  <c r="J27" i="1"/>
  <c r="I27" i="1"/>
  <c r="H27" i="1"/>
  <c r="G27" i="1"/>
  <c r="F27" i="1"/>
  <c r="E27" i="1"/>
  <c r="O40" i="1"/>
  <c r="N40" i="1"/>
  <c r="M40" i="1"/>
  <c r="L40" i="1"/>
  <c r="K40" i="1"/>
  <c r="J40" i="1"/>
  <c r="I40" i="1"/>
  <c r="H40" i="1"/>
  <c r="G40" i="1"/>
  <c r="F40" i="1"/>
  <c r="E40" i="1"/>
  <c r="O37" i="1"/>
  <c r="N37" i="1"/>
  <c r="M37" i="1"/>
  <c r="L37" i="1"/>
  <c r="K37" i="1"/>
  <c r="J37" i="1"/>
  <c r="I37" i="1"/>
  <c r="H37" i="1"/>
  <c r="G37" i="1"/>
  <c r="F37" i="1"/>
  <c r="E37" i="1"/>
  <c r="O33" i="1"/>
  <c r="O34" i="1" s="1"/>
  <c r="N33" i="1"/>
  <c r="N34" i="1" s="1"/>
  <c r="M33" i="1"/>
  <c r="M34" i="1" s="1"/>
  <c r="L33" i="1"/>
  <c r="L34" i="1" s="1"/>
  <c r="K33" i="1"/>
  <c r="K34" i="1" s="1"/>
  <c r="F34" i="1"/>
  <c r="J34" i="1"/>
  <c r="I34" i="1"/>
  <c r="H34" i="1"/>
  <c r="G34" i="1"/>
  <c r="E34" i="1"/>
  <c r="O31" i="1"/>
  <c r="N31" i="1"/>
  <c r="M31" i="1"/>
  <c r="L31" i="1"/>
  <c r="K31" i="1"/>
  <c r="J31" i="1"/>
  <c r="I31" i="1"/>
  <c r="H31" i="1"/>
  <c r="G31" i="1"/>
  <c r="F31" i="1"/>
  <c r="E31" i="1"/>
  <c r="O24" i="1"/>
  <c r="N24" i="1"/>
  <c r="M24" i="1"/>
  <c r="L24" i="1"/>
  <c r="K24" i="1"/>
  <c r="J24" i="1"/>
  <c r="I24" i="1"/>
  <c r="H24" i="1"/>
  <c r="G24" i="1"/>
  <c r="F24" i="1"/>
  <c r="E24" i="1"/>
  <c r="O15" i="1"/>
  <c r="N15" i="1"/>
  <c r="M15" i="1"/>
  <c r="L15" i="1"/>
  <c r="K15" i="1"/>
  <c r="J15" i="1"/>
  <c r="I15" i="1"/>
  <c r="H15" i="1"/>
  <c r="G15" i="1"/>
  <c r="E15" i="1"/>
  <c r="F15" i="1"/>
  <c r="Y8" i="1"/>
  <c r="M31" i="2" l="1"/>
  <c r="M26" i="2"/>
  <c r="H26" i="2"/>
  <c r="F26" i="2"/>
  <c r="F27" i="2" s="1"/>
  <c r="T40" i="1"/>
  <c r="T15" i="1"/>
  <c r="Q15" i="1"/>
  <c r="R15" i="1"/>
  <c r="S15" i="1"/>
  <c r="I26" i="2" l="1"/>
  <c r="I27" i="2" s="1"/>
  <c r="J26" i="2"/>
  <c r="G26" i="2"/>
  <c r="G27" i="2" s="1"/>
  <c r="N26" i="2"/>
  <c r="N27" i="2" s="1"/>
  <c r="J27" i="2" l="1"/>
  <c r="H27" i="2"/>
  <c r="O26" i="2"/>
  <c r="O27" i="2" s="1"/>
  <c r="K26" i="2"/>
  <c r="K27" i="2" s="1"/>
  <c r="L13" i="2"/>
  <c r="L26" i="2"/>
  <c r="L27" i="2" l="1"/>
  <c r="M27" i="2"/>
</calcChain>
</file>

<file path=xl/sharedStrings.xml><?xml version="1.0" encoding="utf-8"?>
<sst xmlns="http://schemas.openxmlformats.org/spreadsheetml/2006/main" count="224" uniqueCount="135">
  <si>
    <t>Company Overview</t>
  </si>
  <si>
    <t>Recommendation:</t>
  </si>
  <si>
    <t>Buy</t>
  </si>
  <si>
    <t>Target:</t>
  </si>
  <si>
    <t>Price</t>
  </si>
  <si>
    <t>Ticker</t>
  </si>
  <si>
    <t>Current Price</t>
  </si>
  <si>
    <t>Target Price</t>
  </si>
  <si>
    <t>TP Upside</t>
  </si>
  <si>
    <t>IRR</t>
  </si>
  <si>
    <t>Key Stats</t>
  </si>
  <si>
    <t>Employees</t>
  </si>
  <si>
    <t>Founded</t>
  </si>
  <si>
    <t>CEO</t>
  </si>
  <si>
    <t>Headquarter</t>
  </si>
  <si>
    <t>Primary Industry</t>
  </si>
  <si>
    <t>Market Data</t>
  </si>
  <si>
    <t>Dividend</t>
  </si>
  <si>
    <t>Fiscal Year End</t>
  </si>
  <si>
    <t>52-Week Low/High</t>
  </si>
  <si>
    <t>Valuation</t>
  </si>
  <si>
    <t>Share Price</t>
  </si>
  <si>
    <t>Shares O/S (million)</t>
  </si>
  <si>
    <t>Minority Interest</t>
  </si>
  <si>
    <t>Enterprise Value</t>
  </si>
  <si>
    <t>Net Debt (millions)</t>
  </si>
  <si>
    <t>Date:</t>
  </si>
  <si>
    <t>Revenue</t>
  </si>
  <si>
    <t>EBITDA</t>
  </si>
  <si>
    <t>D&amp;A</t>
  </si>
  <si>
    <t>FCF</t>
  </si>
  <si>
    <t>Last Updated:</t>
  </si>
  <si>
    <t>Tax Rate</t>
  </si>
  <si>
    <t>Market Cap</t>
  </si>
  <si>
    <t>2026E</t>
  </si>
  <si>
    <t>2027E</t>
  </si>
  <si>
    <t>2028E</t>
  </si>
  <si>
    <t>2029E</t>
  </si>
  <si>
    <t>2030E</t>
  </si>
  <si>
    <t>WACC</t>
  </si>
  <si>
    <t>DCF</t>
  </si>
  <si>
    <t>% growth</t>
  </si>
  <si>
    <t>% of sales</t>
  </si>
  <si>
    <t>CapEx</t>
  </si>
  <si>
    <t>% of Equity</t>
  </si>
  <si>
    <t>Risk Free Rate</t>
  </si>
  <si>
    <t>Beta</t>
  </si>
  <si>
    <t>Market Risk Premium</t>
  </si>
  <si>
    <t>Debt</t>
  </si>
  <si>
    <t>% of Debt</t>
  </si>
  <si>
    <t>Cost of Debt</t>
  </si>
  <si>
    <t>Total</t>
  </si>
  <si>
    <t>AMZN</t>
  </si>
  <si>
    <t>NASDAQ: AMZN</t>
  </si>
  <si>
    <t>161.30 - 258.60</t>
  </si>
  <si>
    <t>Shares O/S (millions)</t>
  </si>
  <si>
    <t>-</t>
  </si>
  <si>
    <t>Andrew R. Jassy</t>
  </si>
  <si>
    <t>Seattle WA</t>
  </si>
  <si>
    <t>Internet Department Stores</t>
  </si>
  <si>
    <t>2025E</t>
  </si>
  <si>
    <t>Operating Income</t>
  </si>
  <si>
    <t>Tax Expense</t>
  </si>
  <si>
    <t>Pretax Income</t>
  </si>
  <si>
    <t>Gross Income</t>
  </si>
  <si>
    <t>% Tax rate</t>
  </si>
  <si>
    <t>% Gross Margin</t>
  </si>
  <si>
    <t>Cost of Sales</t>
  </si>
  <si>
    <t>Q3 2025</t>
  </si>
  <si>
    <t>2031E</t>
  </si>
  <si>
    <t>2032E</t>
  </si>
  <si>
    <t>2033E</t>
  </si>
  <si>
    <t>2034E</t>
  </si>
  <si>
    <t>2035E</t>
  </si>
  <si>
    <t>TV</t>
  </si>
  <si>
    <t>LT GR</t>
  </si>
  <si>
    <t>PV</t>
  </si>
  <si>
    <t xml:space="preserve"> Key Statistics</t>
  </si>
  <si>
    <t xml:space="preserve">  Stock Price</t>
  </si>
  <si>
    <t xml:space="preserve">  shares outsanding</t>
  </si>
  <si>
    <t xml:space="preserve"> Market Cap</t>
  </si>
  <si>
    <t xml:space="preserve">  Cash</t>
  </si>
  <si>
    <t xml:space="preserve">  Debt</t>
  </si>
  <si>
    <t xml:space="preserve"> Enterprise Value</t>
  </si>
  <si>
    <t xml:space="preserve">  Online Stores</t>
  </si>
  <si>
    <t xml:space="preserve">  Physical Stores</t>
  </si>
  <si>
    <t xml:space="preserve">  Third Party Seller Services</t>
  </si>
  <si>
    <t xml:space="preserve">  Subscription Services</t>
  </si>
  <si>
    <t xml:space="preserve">  Advertising Services</t>
  </si>
  <si>
    <t xml:space="preserve">  Other</t>
  </si>
  <si>
    <t xml:space="preserve">  Amazon Web Services</t>
  </si>
  <si>
    <t xml:space="preserve"> Revenue</t>
  </si>
  <si>
    <t>Yoy growth</t>
  </si>
  <si>
    <t>YoY growth</t>
  </si>
  <si>
    <t>CY 21</t>
  </si>
  <si>
    <t>CY 22</t>
  </si>
  <si>
    <t>CY 23</t>
  </si>
  <si>
    <t>CY 24</t>
  </si>
  <si>
    <t>CY 25</t>
  </si>
  <si>
    <t>CY 26E</t>
  </si>
  <si>
    <t>CY 27E</t>
  </si>
  <si>
    <t>CY 28E</t>
  </si>
  <si>
    <t>CY 29E</t>
  </si>
  <si>
    <t>CY 30E</t>
  </si>
  <si>
    <t>CY 31E</t>
  </si>
  <si>
    <t>CY 32E</t>
  </si>
  <si>
    <t>CY 33E</t>
  </si>
  <si>
    <t>CY 34E</t>
  </si>
  <si>
    <t>CY 35E</t>
  </si>
  <si>
    <t>CY20</t>
  </si>
  <si>
    <t xml:space="preserve"> Product Segments</t>
  </si>
  <si>
    <t>Geographic</t>
  </si>
  <si>
    <t>Amazon Web Services</t>
  </si>
  <si>
    <t>International</t>
  </si>
  <si>
    <t>North America</t>
  </si>
  <si>
    <t>Sales</t>
  </si>
  <si>
    <t>Dec '30E</t>
  </si>
  <si>
    <t>Dec '29E</t>
  </si>
  <si>
    <t>Dec '28E</t>
  </si>
  <si>
    <t>Dec '27E</t>
  </si>
  <si>
    <t>Dec '26E</t>
  </si>
  <si>
    <t>Dec '25E</t>
  </si>
  <si>
    <t>Dec '24</t>
  </si>
  <si>
    <t>Dec '23</t>
  </si>
  <si>
    <t>Dec '22</t>
  </si>
  <si>
    <t>Dec '21</t>
  </si>
  <si>
    <t>Dec '20</t>
  </si>
  <si>
    <t>Dec '19</t>
  </si>
  <si>
    <t>Dec '18</t>
  </si>
  <si>
    <t>Geographic Segments (M)</t>
  </si>
  <si>
    <t>AMZN-US</t>
  </si>
  <si>
    <t xml:space="preserve">  North America</t>
  </si>
  <si>
    <t xml:space="preserve">  International</t>
  </si>
  <si>
    <t xml:space="preserve"> </t>
  </si>
  <si>
    <t>EBITDA 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</si>
</sst>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[$-409]d\-mmm;@"/>
    <numFmt numFmtId="165" formatCode="_(* #,##0.0_);_(* \(#,##0.0\);_(* &quot;-&quot;?_);_(@_)"/>
    <numFmt numFmtId="166" formatCode="&quot;$&quot;#,##0.00"/>
  </numFmts>
  <fonts count="20" x14ac:knownFonts="1"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6" tint="-0.499984740745262"/>
      <name val="Calibri"/>
      <family val="2"/>
    </font>
    <font>
      <b/>
      <sz val="12"/>
      <color theme="1"/>
      <name val="Calibri"/>
      <family val="2"/>
    </font>
    <font>
      <i/>
      <sz val="12"/>
      <color theme="4"/>
      <name val="Calibri"/>
      <family val="2"/>
    </font>
    <font>
      <i/>
      <sz val="12"/>
      <color theme="4" tint="-0.249977111117893"/>
      <name val="Calibri"/>
      <family val="2"/>
    </font>
    <font>
      <i/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8"/>
      <name val="Arial"/>
      <family val="2"/>
    </font>
    <font>
      <i/>
      <sz val="12"/>
      <color rgb="FF007EB9"/>
      <name val="Calibri"/>
      <family val="2"/>
    </font>
    <font>
      <sz val="12"/>
      <color rgb="FF007EB9"/>
      <name val="Calibri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CC"/>
      <name val="Calibri"/>
      <family val="2"/>
    </font>
    <font>
      <sz val="12"/>
      <color theme="7"/>
      <name val="Calibri"/>
      <family val="2"/>
    </font>
    <font>
      <i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8AAE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0" borderId="0" xfId="0" applyFont="1"/>
    <xf numFmtId="0" fontId="6" fillId="0" borderId="0" xfId="0" applyFont="1"/>
    <xf numFmtId="10" fontId="3" fillId="0" borderId="0" xfId="0" applyNumberFormat="1" applyFont="1"/>
    <xf numFmtId="37" fontId="3" fillId="0" borderId="0" xfId="0" applyNumberFormat="1" applyFont="1"/>
    <xf numFmtId="0" fontId="5" fillId="0" borderId="0" xfId="0" applyFont="1"/>
    <xf numFmtId="0" fontId="8" fillId="0" borderId="0" xfId="0" applyFont="1"/>
    <xf numFmtId="14" fontId="3" fillId="0" borderId="0" xfId="0" applyNumberFormat="1" applyFont="1"/>
    <xf numFmtId="0" fontId="5" fillId="0" borderId="1" xfId="0" applyFont="1" applyBorder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7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9" fontId="3" fillId="0" borderId="0" xfId="0" applyNumberFormat="1" applyFont="1"/>
    <xf numFmtId="0" fontId="9" fillId="2" borderId="0" xfId="0" applyFont="1" applyFill="1"/>
    <xf numFmtId="0" fontId="3" fillId="2" borderId="0" xfId="0" applyFont="1" applyFill="1"/>
    <xf numFmtId="0" fontId="9" fillId="2" borderId="0" xfId="0" applyFont="1" applyFill="1" applyAlignment="1">
      <alignment horizontal="right"/>
    </xf>
    <xf numFmtId="9" fontId="8" fillId="0" borderId="0" xfId="0" applyNumberFormat="1" applyFont="1"/>
    <xf numFmtId="0" fontId="9" fillId="3" borderId="0" xfId="0" applyFont="1" applyFill="1" applyAlignment="1">
      <alignment horizontal="center"/>
    </xf>
    <xf numFmtId="8" fontId="3" fillId="0" borderId="0" xfId="0" applyNumberFormat="1" applyFont="1"/>
    <xf numFmtId="37" fontId="6" fillId="0" borderId="0" xfId="0" applyNumberFormat="1" applyFont="1"/>
    <xf numFmtId="10" fontId="6" fillId="0" borderId="0" xfId="0" applyNumberFormat="1" applyFont="1"/>
    <xf numFmtId="10" fontId="7" fillId="0" borderId="0" xfId="0" applyNumberFormat="1" applyFont="1"/>
    <xf numFmtId="37" fontId="6" fillId="0" borderId="0" xfId="0" applyNumberFormat="1" applyFont="1" applyAlignment="1">
      <alignment horizontal="right"/>
    </xf>
    <xf numFmtId="9" fontId="6" fillId="0" borderId="0" xfId="0" applyNumberFormat="1" applyFont="1"/>
    <xf numFmtId="165" fontId="5" fillId="0" borderId="0" xfId="0" applyNumberFormat="1" applyFont="1"/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0" borderId="1" xfId="0" applyFont="1" applyBorder="1"/>
    <xf numFmtId="0" fontId="4" fillId="0" borderId="1" xfId="0" applyFont="1" applyBorder="1"/>
    <xf numFmtId="10" fontId="8" fillId="0" borderId="0" xfId="0" applyNumberFormat="1" applyFont="1"/>
    <xf numFmtId="10" fontId="8" fillId="0" borderId="1" xfId="0" applyNumberFormat="1" applyFont="1" applyBorder="1"/>
    <xf numFmtId="0" fontId="9" fillId="2" borderId="0" xfId="0" applyFont="1" applyFill="1" applyAlignment="1">
      <alignment horizontal="center" vertical="center"/>
    </xf>
    <xf numFmtId="41" fontId="13" fillId="0" borderId="1" xfId="0" applyNumberFormat="1" applyFont="1" applyBorder="1"/>
    <xf numFmtId="41" fontId="12" fillId="0" borderId="0" xfId="0" applyNumberFormat="1" applyFont="1"/>
    <xf numFmtId="41" fontId="13" fillId="0" borderId="0" xfId="0" applyNumberFormat="1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 indent="4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0" fontId="0" fillId="4" borderId="0" xfId="0" applyFill="1" applyAlignment="1">
      <alignment horizontal="left" indent="4"/>
    </xf>
    <xf numFmtId="3" fontId="14" fillId="4" borderId="0" xfId="0" applyNumberFormat="1" applyFont="1" applyFill="1" applyAlignment="1">
      <alignment horizontal="right"/>
    </xf>
    <xf numFmtId="0" fontId="14" fillId="4" borderId="0" xfId="0" applyFont="1" applyFill="1" applyAlignment="1">
      <alignment horizontal="left" indent="3"/>
    </xf>
    <xf numFmtId="3" fontId="15" fillId="4" borderId="0" xfId="0" applyNumberFormat="1" applyFont="1" applyFill="1" applyAlignment="1">
      <alignment horizontal="right"/>
    </xf>
    <xf numFmtId="3" fontId="15" fillId="0" borderId="0" xfId="0" applyNumberFormat="1" applyFont="1" applyAlignment="1">
      <alignment horizontal="right"/>
    </xf>
    <xf numFmtId="0" fontId="14" fillId="5" borderId="0" xfId="0" applyFont="1" applyFill="1" applyAlignment="1">
      <alignment horizontal="left"/>
    </xf>
    <xf numFmtId="0" fontId="16" fillId="0" borderId="0" xfId="0" applyFont="1"/>
    <xf numFmtId="37" fontId="8" fillId="0" borderId="0" xfId="0" applyNumberFormat="1" applyFont="1"/>
    <xf numFmtId="166" fontId="17" fillId="0" borderId="0" xfId="0" applyNumberFormat="1" applyFont="1" applyAlignment="1">
      <alignment horizontal="right"/>
    </xf>
    <xf numFmtId="37" fontId="17" fillId="0" borderId="1" xfId="0" applyNumberFormat="1" applyFont="1" applyBorder="1" applyAlignment="1">
      <alignment horizontal="right"/>
    </xf>
    <xf numFmtId="41" fontId="10" fillId="0" borderId="0" xfId="0" applyNumberFormat="1" applyFont="1" applyAlignment="1">
      <alignment horizontal="right"/>
    </xf>
    <xf numFmtId="37" fontId="17" fillId="0" borderId="0" xfId="0" applyNumberFormat="1" applyFont="1" applyAlignment="1">
      <alignment horizontal="right"/>
    </xf>
    <xf numFmtId="41" fontId="17" fillId="0" borderId="0" xfId="0" applyNumberFormat="1" applyFont="1"/>
    <xf numFmtId="41" fontId="18" fillId="0" borderId="0" xfId="0" applyNumberFormat="1" applyFont="1"/>
    <xf numFmtId="41" fontId="18" fillId="0" borderId="0" xfId="0" applyNumberFormat="1" applyFont="1" applyAlignment="1">
      <alignment horizontal="center"/>
    </xf>
    <xf numFmtId="37" fontId="10" fillId="0" borderId="0" xfId="0" applyNumberFormat="1" applyFont="1"/>
    <xf numFmtId="10" fontId="19" fillId="0" borderId="1" xfId="0" applyNumberFormat="1" applyFont="1" applyBorder="1"/>
    <xf numFmtId="10" fontId="19" fillId="0" borderId="0" xfId="0" applyNumberFormat="1" applyFont="1"/>
    <xf numFmtId="0" fontId="10" fillId="0" borderId="0" xfId="0" applyFont="1"/>
    <xf numFmtId="41" fontId="19" fillId="0" borderId="1" xfId="0" applyNumberFormat="1" applyFont="1" applyBorder="1"/>
    <xf numFmtId="0" fontId="10" fillId="0" borderId="0" xfId="0" applyFont="1" applyAlignment="1">
      <alignment horizontal="left"/>
    </xf>
    <xf numFmtId="0" fontId="2" fillId="0" borderId="0" xfId="0" applyFont="1"/>
    <xf numFmtId="0" fontId="9" fillId="0" borderId="0" xfId="0" applyFont="1" applyAlignment="1">
      <alignment vertical="center"/>
    </xf>
    <xf numFmtId="166" fontId="2" fillId="0" borderId="0" xfId="0" applyNumberFormat="1" applyFont="1"/>
    <xf numFmtId="41" fontId="2" fillId="0" borderId="1" xfId="0" applyNumberFormat="1" applyFont="1" applyBorder="1"/>
    <xf numFmtId="165" fontId="2" fillId="0" borderId="0" xfId="0" applyNumberFormat="1" applyFont="1"/>
    <xf numFmtId="37" fontId="2" fillId="0" borderId="0" xfId="0" applyNumberFormat="1" applyFont="1"/>
    <xf numFmtId="3" fontId="2" fillId="0" borderId="0" xfId="0" applyNumberFormat="1" applyFont="1"/>
    <xf numFmtId="0" fontId="2" fillId="0" borderId="1" xfId="0" applyFont="1" applyBorder="1"/>
    <xf numFmtId="37" fontId="2" fillId="0" borderId="1" xfId="0" applyNumberFormat="1" applyFont="1" applyBorder="1"/>
    <xf numFmtId="165" fontId="2" fillId="0" borderId="1" xfId="0" applyNumberFormat="1" applyFont="1" applyBorder="1"/>
    <xf numFmtId="0" fontId="2" fillId="2" borderId="0" xfId="0" applyFont="1" applyFill="1"/>
    <xf numFmtId="41" fontId="2" fillId="0" borderId="0" xfId="0" applyNumberFormat="1" applyFont="1"/>
    <xf numFmtId="0" fontId="2" fillId="0" borderId="0" xfId="0" applyFont="1" applyAlignment="1">
      <alignment horizontal="left"/>
    </xf>
    <xf numFmtId="43" fontId="2" fillId="0" borderId="0" xfId="0" applyNumberFormat="1" applyFont="1"/>
    <xf numFmtId="37" fontId="17" fillId="0" borderId="0" xfId="0" applyNumberFormat="1" applyFont="1"/>
    <xf numFmtId="14" fontId="3" fillId="0" borderId="0" xfId="0" applyNumberFormat="1" applyFont="1"/>
    <xf numFmtId="0" fontId="3" fillId="0" borderId="0" xfId="0" applyFont="1"/>
    <xf numFmtId="3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8" fontId="3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/>
    <xf numFmtId="4" fontId="3" fillId="0" borderId="0" xfId="0" applyNumberFormat="1" applyFont="1" applyAlignment="1">
      <alignment horizontal="center"/>
    </xf>
    <xf numFmtId="10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  <color rgb="FF003399"/>
      <color rgb="FF0000FF"/>
      <color rgb="FF007EB9"/>
      <color rgb="FF37475A"/>
      <color rgb="FF232F3E"/>
      <color rgb="FF08AAE3"/>
      <color rgb="FFFF9900"/>
      <color rgb="FFEA8B00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251013</xdr:colOff>
      <xdr:row>0</xdr:row>
      <xdr:rowOff>194949</xdr:rowOff>
    </xdr:from>
    <xdr:to>
      <xdr:col>3</xdr:col>
      <xdr:colOff>107576</xdr:colOff>
      <xdr:row>3</xdr:row>
      <xdr:rowOff>41238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C71710-97E3-3AD7-07D4-FE3FF27B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225" y="194949"/>
          <a:ext cx="1541928" cy="464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CC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9371-19EA-41D7-B8D8-BE7C845CD03C}">
  <dimension ref="A2:AE50"/>
  <sheetViews>
    <sheetView showGridLines="0" topLeftCell="A19" zoomScale="85" zoomScaleNormal="85" workbookViewId="0">
      <selection activeCell="G3" sqref="G3"/>
    </sheetView>
  </sheetViews>
  <sheetFormatPr defaultColWidth="12.33203125" defaultRowHeight="16.5" customHeight="1" x14ac:dyDescent="0.3"/>
  <cols>
    <col min="1" max="4" width="12.33203125" style="1"/>
    <col min="5" max="5" width="13.109375" style="1" bestFit="1" customWidth="1"/>
    <col min="6" max="9" width="12.33203125" style="1"/>
    <col min="10" max="10" width="12.33203125" style="1" customWidth="1"/>
    <col min="11" max="27" width="12.33203125" style="1"/>
    <col min="28" max="28" width="13.44140625" style="1" bestFit="1" customWidth="1"/>
    <col min="29" max="30" width="12.33203125" style="1"/>
    <col min="31" max="31" width="15.21875" style="1" bestFit="1" customWidth="1"/>
    <col min="32" max="16384" width="12.33203125" style="1"/>
  </cols>
  <sheetData>
    <row r="2" spans="1:28" ht="16.5" customHeight="1" x14ac:dyDescent="0.3">
      <c r="B2" s="79"/>
      <c r="C2" s="79"/>
      <c r="D2" s="89" t="s">
        <v>52</v>
      </c>
      <c r="E2" s="89"/>
      <c r="F2" s="89"/>
    </row>
    <row r="3" spans="1:28" ht="16.5" customHeight="1" x14ac:dyDescent="0.3">
      <c r="B3" s="79"/>
      <c r="C3" s="79"/>
      <c r="D3" s="89"/>
      <c r="E3" s="89"/>
      <c r="F3" s="89"/>
      <c r="H3" s="5" t="s">
        <v>1</v>
      </c>
      <c r="J3" s="19" t="s">
        <v>2</v>
      </c>
      <c r="M3" s="5" t="s">
        <v>3</v>
      </c>
      <c r="N3" s="14">
        <f>D10</f>
        <v>0.10504956733833626</v>
      </c>
      <c r="Q3" s="5" t="s">
        <v>31</v>
      </c>
      <c r="S3" s="7" t="s">
        <v>68</v>
      </c>
      <c r="W3" s="5" t="s">
        <v>26</v>
      </c>
      <c r="X3" s="78">
        <v>45986</v>
      </c>
      <c r="Y3" s="78"/>
    </row>
    <row r="4" spans="1:28" ht="16.5" customHeight="1" x14ac:dyDescent="0.3">
      <c r="B4" s="79"/>
      <c r="C4" s="79"/>
      <c r="D4" s="89"/>
      <c r="E4" s="89"/>
      <c r="F4" s="89"/>
    </row>
    <row r="5" spans="1:28" ht="16.5" customHeight="1" x14ac:dyDescent="0.3">
      <c r="B5" s="15" t="s">
        <v>0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8" s="5" customFormat="1" ht="16.5" customHeight="1" x14ac:dyDescent="0.3">
      <c r="A6" s="1"/>
      <c r="B6" s="90" t="s">
        <v>4</v>
      </c>
      <c r="C6" s="90"/>
      <c r="D6" s="90"/>
      <c r="E6" s="90"/>
      <c r="F6" s="90"/>
      <c r="H6" s="90" t="s">
        <v>10</v>
      </c>
      <c r="I6" s="90"/>
      <c r="J6" s="90"/>
      <c r="K6" s="90"/>
      <c r="L6" s="90"/>
      <c r="M6" s="90"/>
      <c r="O6" s="90" t="s">
        <v>16</v>
      </c>
      <c r="P6" s="90"/>
      <c r="Q6" s="90"/>
      <c r="R6" s="90"/>
      <c r="S6" s="90"/>
      <c r="T6" s="90"/>
      <c r="V6" s="90" t="s">
        <v>20</v>
      </c>
      <c r="W6" s="90"/>
      <c r="X6" s="90"/>
      <c r="Y6" s="8"/>
      <c r="Z6" s="10"/>
      <c r="AA6" s="10"/>
      <c r="AB6" s="1"/>
    </row>
    <row r="7" spans="1:28" ht="16.5" customHeight="1" x14ac:dyDescent="0.3">
      <c r="B7" s="82" t="s">
        <v>5</v>
      </c>
      <c r="C7" s="82"/>
      <c r="D7" s="83" t="s">
        <v>53</v>
      </c>
      <c r="E7" s="83"/>
      <c r="F7" s="83"/>
      <c r="H7" s="82" t="s">
        <v>11</v>
      </c>
      <c r="I7" s="82"/>
      <c r="J7" s="80">
        <v>1556000</v>
      </c>
      <c r="K7" s="80"/>
      <c r="L7" s="80"/>
      <c r="M7" s="80"/>
      <c r="O7" s="79" t="s">
        <v>55</v>
      </c>
      <c r="P7" s="79"/>
      <c r="Q7" s="79"/>
      <c r="R7" s="91">
        <v>10690.22</v>
      </c>
      <c r="S7" s="91"/>
      <c r="T7" s="91"/>
      <c r="V7" s="1" t="s">
        <v>21</v>
      </c>
      <c r="Y7" s="9">
        <v>226.3</v>
      </c>
      <c r="Z7" s="9"/>
      <c r="AA7" s="9"/>
    </row>
    <row r="8" spans="1:28" ht="16.5" customHeight="1" x14ac:dyDescent="0.3">
      <c r="B8" s="79" t="s">
        <v>6</v>
      </c>
      <c r="C8" s="79"/>
      <c r="D8" s="84">
        <v>245</v>
      </c>
      <c r="E8" s="84"/>
      <c r="F8" s="84"/>
      <c r="H8" s="79" t="s">
        <v>12</v>
      </c>
      <c r="I8" s="79"/>
      <c r="J8" s="81">
        <v>1994</v>
      </c>
      <c r="K8" s="81"/>
      <c r="L8" s="81"/>
      <c r="M8" s="81"/>
      <c r="O8" s="79" t="s">
        <v>33</v>
      </c>
      <c r="P8" s="79"/>
      <c r="Q8" s="79"/>
      <c r="R8" s="91">
        <v>2418.98</v>
      </c>
      <c r="S8" s="91"/>
      <c r="T8" s="91"/>
      <c r="V8" s="1" t="s">
        <v>22</v>
      </c>
      <c r="Y8" s="9">
        <f>R7</f>
        <v>10690.22</v>
      </c>
      <c r="Z8" s="10"/>
      <c r="AA8" s="10"/>
    </row>
    <row r="9" spans="1:28" ht="16.5" customHeight="1" x14ac:dyDescent="0.3">
      <c r="B9" s="79" t="s">
        <v>7</v>
      </c>
      <c r="C9" s="79"/>
      <c r="D9" s="84">
        <f>AE48/Y8</f>
        <v>270.73714399789236</v>
      </c>
      <c r="E9" s="84"/>
      <c r="F9" s="84"/>
      <c r="H9" s="79" t="s">
        <v>13</v>
      </c>
      <c r="I9" s="79"/>
      <c r="J9" s="81" t="s">
        <v>57</v>
      </c>
      <c r="K9" s="81"/>
      <c r="L9" s="81"/>
      <c r="M9" s="81"/>
      <c r="O9" s="79" t="s">
        <v>17</v>
      </c>
      <c r="P9" s="79"/>
      <c r="Q9" s="79"/>
      <c r="R9" s="87" t="s">
        <v>56</v>
      </c>
      <c r="S9" s="87"/>
      <c r="T9" s="87"/>
      <c r="V9" s="1" t="s">
        <v>25</v>
      </c>
      <c r="Y9" s="9">
        <f>Y11-R8</f>
        <v>23.230000000000018</v>
      </c>
      <c r="Z9" s="10"/>
      <c r="AA9" s="10"/>
    </row>
    <row r="10" spans="1:28" ht="16.5" customHeight="1" x14ac:dyDescent="0.3">
      <c r="B10" s="79" t="s">
        <v>8</v>
      </c>
      <c r="C10" s="79"/>
      <c r="D10" s="86">
        <f>D9/D8-1</f>
        <v>0.10504956733833626</v>
      </c>
      <c r="E10" s="86"/>
      <c r="F10" s="86"/>
      <c r="H10" s="79" t="s">
        <v>14</v>
      </c>
      <c r="I10" s="79"/>
      <c r="J10" s="81" t="s">
        <v>58</v>
      </c>
      <c r="K10" s="81"/>
      <c r="L10" s="81"/>
      <c r="M10" s="81"/>
      <c r="O10" s="79" t="s">
        <v>19</v>
      </c>
      <c r="P10" s="79"/>
      <c r="Q10" s="79"/>
      <c r="R10" s="84" t="s">
        <v>54</v>
      </c>
      <c r="S10" s="84"/>
      <c r="T10" s="84"/>
      <c r="V10" s="1" t="s">
        <v>23</v>
      </c>
      <c r="Y10" s="10">
        <v>20</v>
      </c>
      <c r="Z10" s="10"/>
      <c r="AA10" s="10"/>
    </row>
    <row r="11" spans="1:28" ht="16.5" customHeight="1" x14ac:dyDescent="0.3">
      <c r="B11" s="79" t="s">
        <v>9</v>
      </c>
      <c r="C11" s="79"/>
      <c r="D11" s="86"/>
      <c r="E11" s="86"/>
      <c r="F11" s="86"/>
      <c r="H11" s="79" t="s">
        <v>15</v>
      </c>
      <c r="I11" s="79"/>
      <c r="J11" s="81" t="s">
        <v>59</v>
      </c>
      <c r="K11" s="81"/>
      <c r="L11" s="81"/>
      <c r="M11" s="81"/>
      <c r="O11" s="79" t="s">
        <v>18</v>
      </c>
      <c r="P11" s="79"/>
      <c r="Q11" s="79"/>
      <c r="R11" s="88">
        <v>46022</v>
      </c>
      <c r="S11" s="88"/>
      <c r="T11" s="88"/>
      <c r="V11" s="1" t="s">
        <v>24</v>
      </c>
      <c r="X11" s="9"/>
      <c r="Y11" s="9">
        <f>2442.21</f>
        <v>2442.21</v>
      </c>
    </row>
    <row r="13" spans="1:28" ht="16.5" customHeight="1" x14ac:dyDescent="0.3">
      <c r="B13" s="15" t="s">
        <v>40</v>
      </c>
      <c r="C13" s="15"/>
      <c r="D13" s="16"/>
      <c r="E13" s="15">
        <v>2020</v>
      </c>
      <c r="F13" s="15">
        <v>2021</v>
      </c>
      <c r="G13" s="15">
        <v>2022</v>
      </c>
      <c r="H13" s="15">
        <v>2023</v>
      </c>
      <c r="I13" s="15">
        <v>2024</v>
      </c>
      <c r="J13" s="17" t="s">
        <v>60</v>
      </c>
      <c r="K13" s="17" t="s">
        <v>34</v>
      </c>
      <c r="L13" s="17" t="s">
        <v>35</v>
      </c>
      <c r="M13" s="17" t="s">
        <v>36</v>
      </c>
      <c r="N13" s="17" t="s">
        <v>37</v>
      </c>
      <c r="O13" s="17" t="s">
        <v>38</v>
      </c>
      <c r="P13" s="17" t="s">
        <v>69</v>
      </c>
      <c r="Q13" s="17" t="s">
        <v>70</v>
      </c>
      <c r="R13" s="17" t="s">
        <v>71</v>
      </c>
      <c r="S13" s="17" t="s">
        <v>72</v>
      </c>
      <c r="T13" s="17" t="s">
        <v>73</v>
      </c>
      <c r="U13" s="13"/>
      <c r="V13" s="85" t="s">
        <v>39</v>
      </c>
      <c r="W13" s="85"/>
      <c r="X13" s="85"/>
      <c r="Y13" s="85"/>
    </row>
    <row r="14" spans="1:28" ht="16.5" customHeight="1" x14ac:dyDescent="0.3">
      <c r="B14" s="79" t="s">
        <v>27</v>
      </c>
      <c r="C14" s="79"/>
      <c r="D14" s="79"/>
      <c r="E14" s="77">
        <v>386064</v>
      </c>
      <c r="F14" s="77">
        <v>469822</v>
      </c>
      <c r="G14" s="77">
        <v>513983</v>
      </c>
      <c r="H14" s="77">
        <v>574785</v>
      </c>
      <c r="I14" s="77">
        <v>637959</v>
      </c>
      <c r="J14" s="77">
        <v>714449</v>
      </c>
      <c r="K14" s="77">
        <v>795024</v>
      </c>
      <c r="L14" s="77">
        <v>883240</v>
      </c>
      <c r="M14" s="77">
        <v>976732</v>
      </c>
      <c r="N14" s="77">
        <v>1087420</v>
      </c>
      <c r="O14" s="77">
        <v>1211330</v>
      </c>
      <c r="P14" s="4">
        <f>O14*1.1</f>
        <v>1332463</v>
      </c>
      <c r="Q14" s="4">
        <f>P14*1.1</f>
        <v>1465709.3</v>
      </c>
      <c r="R14" s="4">
        <f t="shared" ref="R14" si="0">Q14*1.09</f>
        <v>1597623.1370000001</v>
      </c>
      <c r="S14" s="4">
        <f>R14*1.09</f>
        <v>1741409.2193300002</v>
      </c>
      <c r="T14" s="4">
        <f>S14*1.08</f>
        <v>1880721.9568764004</v>
      </c>
      <c r="U14" s="12"/>
      <c r="V14" s="1" t="s">
        <v>33</v>
      </c>
    </row>
    <row r="15" spans="1:28" ht="16.5" customHeight="1" x14ac:dyDescent="0.3">
      <c r="B15" s="6" t="s">
        <v>41</v>
      </c>
      <c r="C15" s="6"/>
      <c r="D15" s="6"/>
      <c r="E15" s="18">
        <f>E14/280520-1</f>
        <v>0.37624411806644797</v>
      </c>
      <c r="F15" s="18">
        <f>F14/E14-1</f>
        <v>0.21695366571345676</v>
      </c>
      <c r="G15" s="18">
        <f t="shared" ref="G15:O15" si="1">G14/F14-1</f>
        <v>9.399517263985091E-2</v>
      </c>
      <c r="H15" s="18">
        <f t="shared" si="1"/>
        <v>0.1182957412988368</v>
      </c>
      <c r="I15" s="18">
        <f t="shared" si="1"/>
        <v>0.1099089224666614</v>
      </c>
      <c r="J15" s="18">
        <f t="shared" si="1"/>
        <v>0.11989798717472433</v>
      </c>
      <c r="K15" s="18">
        <f t="shared" si="1"/>
        <v>0.1127792186706118</v>
      </c>
      <c r="L15" s="18">
        <f t="shared" si="1"/>
        <v>0.11096017227152899</v>
      </c>
      <c r="M15" s="18">
        <f t="shared" si="1"/>
        <v>0.10585118427607454</v>
      </c>
      <c r="N15" s="18">
        <f t="shared" si="1"/>
        <v>0.11332484243374852</v>
      </c>
      <c r="O15" s="18">
        <f t="shared" si="1"/>
        <v>0.11394861231171038</v>
      </c>
      <c r="P15" s="18">
        <f t="shared" ref="P15" si="2">P14/O14-1</f>
        <v>0.10000000000000009</v>
      </c>
      <c r="Q15" s="18">
        <f t="shared" ref="Q15" si="3">Q14/P14-1</f>
        <v>0.10000000000000009</v>
      </c>
      <c r="R15" s="18">
        <f t="shared" ref="R15" si="4">R14/Q14-1</f>
        <v>9.000000000000008E-2</v>
      </c>
      <c r="S15" s="18">
        <f t="shared" ref="S15" si="5">S14/R14-1</f>
        <v>9.000000000000008E-2</v>
      </c>
      <c r="T15" s="18">
        <f t="shared" ref="T15" si="6">T14/S14-1</f>
        <v>8.0000000000000071E-2</v>
      </c>
      <c r="U15" s="12"/>
      <c r="V15" s="1" t="s">
        <v>44</v>
      </c>
      <c r="Y15" s="3"/>
    </row>
    <row r="16" spans="1:28" ht="16.5" customHeight="1" x14ac:dyDescent="0.3"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11"/>
      <c r="R16" s="11"/>
      <c r="T16" s="2"/>
      <c r="U16" s="2"/>
      <c r="V16" s="1" t="s">
        <v>45</v>
      </c>
      <c r="Y16" s="3"/>
    </row>
    <row r="17" spans="2:25" ht="16.5" customHeight="1" x14ac:dyDescent="0.3">
      <c r="B17" s="79" t="s">
        <v>67</v>
      </c>
      <c r="C17" s="79"/>
      <c r="D17" s="79"/>
      <c r="E17" s="77">
        <v>233307</v>
      </c>
      <c r="F17" s="77">
        <v>272344</v>
      </c>
      <c r="G17" s="77">
        <v>288831</v>
      </c>
      <c r="H17" s="77">
        <v>304739</v>
      </c>
      <c r="I17" s="77">
        <v>326288</v>
      </c>
      <c r="J17" s="77">
        <v>355032</v>
      </c>
      <c r="K17" s="77">
        <v>388935</v>
      </c>
      <c r="L17" s="77">
        <v>423812</v>
      </c>
      <c r="M17" s="77">
        <v>455786</v>
      </c>
      <c r="N17" s="77">
        <v>499854</v>
      </c>
      <c r="O17" s="4">
        <f>O14*0.46</f>
        <v>557211.80000000005</v>
      </c>
      <c r="P17" s="4">
        <f>P14*0.45</f>
        <v>599608.35</v>
      </c>
      <c r="Q17" s="4">
        <f>Q14*0.45</f>
        <v>659569.18500000006</v>
      </c>
      <c r="R17" s="4">
        <f>R14*0.44</f>
        <v>702954.18028000009</v>
      </c>
      <c r="S17" s="4">
        <f>S14*0.43</f>
        <v>748805.96431190008</v>
      </c>
      <c r="T17" s="4">
        <f>T14*0.42</f>
        <v>789903.22188808816</v>
      </c>
      <c r="U17" s="12"/>
      <c r="V17" s="1" t="s">
        <v>46</v>
      </c>
    </row>
    <row r="18" spans="2:25" ht="16.5" customHeight="1" x14ac:dyDescent="0.3">
      <c r="B18" s="6" t="s">
        <v>42</v>
      </c>
      <c r="E18" s="18">
        <f>E17/E14</f>
        <v>0.60432208131294296</v>
      </c>
      <c r="F18" s="18">
        <f t="shared" ref="F18:O18" si="7">F17/F14</f>
        <v>0.57967485558360399</v>
      </c>
      <c r="G18" s="18">
        <f t="shared" si="7"/>
        <v>0.56194660134673713</v>
      </c>
      <c r="H18" s="18">
        <f t="shared" si="7"/>
        <v>0.53017911044999433</v>
      </c>
      <c r="I18" s="18">
        <f t="shared" si="7"/>
        <v>0.51145606535843213</v>
      </c>
      <c r="J18" s="18">
        <f t="shared" si="7"/>
        <v>0.49693120152733083</v>
      </c>
      <c r="K18" s="18">
        <f t="shared" si="7"/>
        <v>0.48921164644086218</v>
      </c>
      <c r="L18" s="18">
        <f t="shared" si="7"/>
        <v>0.47983786966170011</v>
      </c>
      <c r="M18" s="18">
        <f t="shared" si="7"/>
        <v>0.46664386955684878</v>
      </c>
      <c r="N18" s="18">
        <f t="shared" si="7"/>
        <v>0.45966967684979126</v>
      </c>
      <c r="O18" s="18">
        <f t="shared" si="7"/>
        <v>0.46</v>
      </c>
      <c r="P18" s="18">
        <f t="shared" ref="P18" si="8">P17/P14</f>
        <v>0.44999999999999996</v>
      </c>
      <c r="Q18" s="18">
        <f t="shared" ref="Q18" si="9">Q17/Q14</f>
        <v>0.45</v>
      </c>
      <c r="R18" s="18">
        <f t="shared" ref="R18" si="10">R17/R14</f>
        <v>0.44</v>
      </c>
      <c r="S18" s="18">
        <f t="shared" ref="S18" si="11">S17/S14</f>
        <v>0.43</v>
      </c>
      <c r="T18" s="18">
        <f t="shared" ref="T18" si="12">T17/T14</f>
        <v>0.42</v>
      </c>
      <c r="V18" s="1" t="s">
        <v>47</v>
      </c>
      <c r="Y18" s="3"/>
    </row>
    <row r="19" spans="2:25" ht="16.5" customHeight="1" x14ac:dyDescent="0.3">
      <c r="P19" s="4"/>
      <c r="Q19" s="4"/>
    </row>
    <row r="20" spans="2:25" ht="16.5" customHeight="1" x14ac:dyDescent="0.3">
      <c r="B20" s="79" t="s">
        <v>64</v>
      </c>
      <c r="C20" s="79"/>
      <c r="D20" s="79"/>
      <c r="E20" s="77">
        <v>153013</v>
      </c>
      <c r="F20" s="77">
        <v>198018</v>
      </c>
      <c r="G20" s="77">
        <f>G14-G17</f>
        <v>225152</v>
      </c>
      <c r="H20" s="77">
        <f>H14-H17</f>
        <v>270046</v>
      </c>
      <c r="I20" s="77">
        <f>I14-I17</f>
        <v>311671</v>
      </c>
      <c r="J20" s="77">
        <f>J14-J17</f>
        <v>359417</v>
      </c>
      <c r="K20" s="77">
        <v>404183</v>
      </c>
      <c r="L20" s="77">
        <v>458878</v>
      </c>
      <c r="M20" s="77">
        <v>515496</v>
      </c>
      <c r="N20" s="4">
        <f>N14*0.54</f>
        <v>587206.80000000005</v>
      </c>
      <c r="O20" s="4">
        <f>O14*0.54</f>
        <v>654118.20000000007</v>
      </c>
      <c r="P20" s="4">
        <f>P14*(1-P18)</f>
        <v>732854.65</v>
      </c>
      <c r="Q20" s="4">
        <f t="shared" ref="Q20:T20" si="13">Q14*(1-Q18)</f>
        <v>806140.11500000011</v>
      </c>
      <c r="R20" s="4">
        <f t="shared" si="13"/>
        <v>894668.95672000013</v>
      </c>
      <c r="S20" s="4">
        <f t="shared" si="13"/>
        <v>992603.25501810026</v>
      </c>
      <c r="T20" s="4">
        <f t="shared" si="13"/>
        <v>1090818.7349883125</v>
      </c>
      <c r="V20" s="1" t="s">
        <v>48</v>
      </c>
    </row>
    <row r="21" spans="2:25" ht="16.5" customHeight="1" x14ac:dyDescent="0.3">
      <c r="B21" s="6" t="s">
        <v>66</v>
      </c>
      <c r="C21" s="6"/>
      <c r="D21" s="6"/>
      <c r="E21" s="18">
        <f t="shared" ref="E21:P21" si="14">E20/E14</f>
        <v>0.39634102117783582</v>
      </c>
      <c r="F21" s="18">
        <f t="shared" si="14"/>
        <v>0.4214745158804824</v>
      </c>
      <c r="G21" s="18">
        <f t="shared" si="14"/>
        <v>0.43805339865326287</v>
      </c>
      <c r="H21" s="18">
        <f t="shared" si="14"/>
        <v>0.46982088955000567</v>
      </c>
      <c r="I21" s="18">
        <f t="shared" si="14"/>
        <v>0.48854393464156787</v>
      </c>
      <c r="J21" s="18">
        <f t="shared" si="14"/>
        <v>0.50306879847266917</v>
      </c>
      <c r="K21" s="18">
        <f t="shared" si="14"/>
        <v>0.50839094165710719</v>
      </c>
      <c r="L21" s="18">
        <f t="shared" si="14"/>
        <v>0.51953942303337708</v>
      </c>
      <c r="M21" s="18">
        <f t="shared" si="14"/>
        <v>0.52777629892334843</v>
      </c>
      <c r="N21" s="18">
        <f t="shared" si="14"/>
        <v>0.54</v>
      </c>
      <c r="O21" s="18">
        <f t="shared" si="14"/>
        <v>0.54</v>
      </c>
      <c r="P21" s="18">
        <f t="shared" si="14"/>
        <v>0.55000000000000004</v>
      </c>
      <c r="Q21" s="18">
        <f t="shared" ref="Q21:T21" si="15">Q20/Q14</f>
        <v>0.55000000000000004</v>
      </c>
      <c r="R21" s="18">
        <f t="shared" si="15"/>
        <v>0.56000000000000005</v>
      </c>
      <c r="S21" s="18">
        <f t="shared" si="15"/>
        <v>0.57000000000000006</v>
      </c>
      <c r="T21" s="18">
        <f t="shared" si="15"/>
        <v>0.58000000000000018</v>
      </c>
      <c r="V21" s="1" t="s">
        <v>49</v>
      </c>
      <c r="Y21" s="3"/>
    </row>
    <row r="22" spans="2:25" ht="16.5" customHeight="1" x14ac:dyDescent="0.3">
      <c r="P22" s="4"/>
      <c r="Q22" s="4"/>
      <c r="V22" s="1" t="s">
        <v>50</v>
      </c>
      <c r="Y22" s="3"/>
    </row>
    <row r="23" spans="2:25" ht="16.5" customHeight="1" x14ac:dyDescent="0.3">
      <c r="B23" s="1" t="s">
        <v>28</v>
      </c>
      <c r="E23" s="77">
        <v>57284</v>
      </c>
      <c r="F23" s="77">
        <v>71994</v>
      </c>
      <c r="G23" s="77">
        <v>73836</v>
      </c>
      <c r="H23" s="77">
        <v>109538</v>
      </c>
      <c r="I23" s="77">
        <v>143399</v>
      </c>
      <c r="J23" s="77">
        <v>166448</v>
      </c>
      <c r="K23" s="77">
        <v>200512</v>
      </c>
      <c r="L23" s="77">
        <v>244607</v>
      </c>
      <c r="M23" s="77">
        <v>289556</v>
      </c>
      <c r="N23" s="77">
        <v>340296</v>
      </c>
      <c r="O23" s="77">
        <v>408136</v>
      </c>
      <c r="P23" s="4">
        <f>P14*0.34</f>
        <v>453037.42000000004</v>
      </c>
      <c r="Q23" s="4">
        <f>Q14*0.34</f>
        <v>498341.16200000007</v>
      </c>
      <c r="R23" s="4">
        <f>R14*0.34</f>
        <v>543191.86658000003</v>
      </c>
      <c r="S23" s="4">
        <f>S14*0.35</f>
        <v>609493.22676550003</v>
      </c>
      <c r="T23" s="4">
        <f>T14*0.36</f>
        <v>677059.90447550407</v>
      </c>
      <c r="V23" s="1" t="s">
        <v>32</v>
      </c>
      <c r="Y23" s="3"/>
    </row>
    <row r="24" spans="2:25" ht="16.5" customHeight="1" x14ac:dyDescent="0.3">
      <c r="B24" s="6" t="s">
        <v>42</v>
      </c>
      <c r="C24" s="6"/>
      <c r="D24" s="6"/>
      <c r="E24" s="18">
        <f t="shared" ref="E24:O24" si="16">E23/E14</f>
        <v>0.14837954328815947</v>
      </c>
      <c r="F24" s="18">
        <f t="shared" si="16"/>
        <v>0.15323675775080775</v>
      </c>
      <c r="G24" s="18">
        <f t="shared" si="16"/>
        <v>0.14365455666821667</v>
      </c>
      <c r="H24" s="18">
        <f t="shared" si="16"/>
        <v>0.19057212696921458</v>
      </c>
      <c r="I24" s="18">
        <f t="shared" si="16"/>
        <v>0.22477776785028505</v>
      </c>
      <c r="J24" s="18">
        <f t="shared" si="16"/>
        <v>0.23297394215682296</v>
      </c>
      <c r="K24" s="18">
        <f t="shared" si="16"/>
        <v>0.25220873835255286</v>
      </c>
      <c r="L24" s="18">
        <f t="shared" si="16"/>
        <v>0.27694284679135911</v>
      </c>
      <c r="M24" s="18">
        <f t="shared" si="16"/>
        <v>0.29645388909137821</v>
      </c>
      <c r="N24" s="18">
        <f t="shared" si="16"/>
        <v>0.31293888286034832</v>
      </c>
      <c r="O24" s="18">
        <f t="shared" si="16"/>
        <v>0.33693213244945636</v>
      </c>
      <c r="P24" s="18">
        <f t="shared" ref="P24" si="17">P23/P14</f>
        <v>0.34</v>
      </c>
      <c r="Q24" s="18">
        <f t="shared" ref="Q24" si="18">Q23/Q14</f>
        <v>0.34</v>
      </c>
      <c r="R24" s="18">
        <f t="shared" ref="R24" si="19">R23/R14</f>
        <v>0.34</v>
      </c>
      <c r="S24" s="18">
        <f t="shared" ref="S24" si="20">S23/S14</f>
        <v>0.35</v>
      </c>
      <c r="T24" s="18">
        <f t="shared" ref="T24" si="21">T23/T14</f>
        <v>0.36</v>
      </c>
    </row>
    <row r="25" spans="2:25" ht="16.5" customHeight="1" x14ac:dyDescent="0.3">
      <c r="E25" s="4"/>
      <c r="I25" s="4"/>
      <c r="J25" s="4"/>
      <c r="K25" s="4"/>
      <c r="L25" s="4"/>
      <c r="M25" s="4"/>
      <c r="N25" s="4"/>
      <c r="O25" s="4"/>
      <c r="P25" s="4"/>
      <c r="Q25" s="4"/>
      <c r="V25" s="1" t="s">
        <v>51</v>
      </c>
      <c r="X25" s="18" t="s">
        <v>133</v>
      </c>
    </row>
    <row r="26" spans="2:25" ht="16.5" customHeight="1" x14ac:dyDescent="0.3">
      <c r="B26" s="1" t="s">
        <v>61</v>
      </c>
      <c r="E26" s="77">
        <v>22899</v>
      </c>
      <c r="F26" s="77">
        <v>24879</v>
      </c>
      <c r="G26" s="77">
        <v>12248</v>
      </c>
      <c r="H26" s="77">
        <v>36852</v>
      </c>
      <c r="I26" s="77">
        <v>68593</v>
      </c>
      <c r="J26" s="77">
        <v>80056</v>
      </c>
      <c r="K26" s="77">
        <v>100391</v>
      </c>
      <c r="L26" s="77">
        <v>123779</v>
      </c>
      <c r="M26" s="77">
        <v>155625</v>
      </c>
      <c r="N26" s="77">
        <v>191842</v>
      </c>
      <c r="O26" s="77">
        <v>240579</v>
      </c>
      <c r="P26" s="4">
        <f>P14*0.2</f>
        <v>266492.60000000003</v>
      </c>
      <c r="Q26" s="4">
        <f t="shared" ref="Q26:R26" si="22">Q14*0.2</f>
        <v>293141.86000000004</v>
      </c>
      <c r="R26" s="4">
        <f t="shared" si="22"/>
        <v>319524.62740000006</v>
      </c>
      <c r="S26" s="4">
        <f>S14*0.21</f>
        <v>365695.93605930003</v>
      </c>
      <c r="T26" s="4">
        <f>T14*0.215</f>
        <v>404355.22072842607</v>
      </c>
    </row>
    <row r="27" spans="2:25" ht="16.5" customHeight="1" x14ac:dyDescent="0.3">
      <c r="B27" s="6" t="s">
        <v>42</v>
      </c>
      <c r="C27" s="6"/>
      <c r="D27" s="6"/>
      <c r="E27" s="18">
        <f t="shared" ref="E27:T27" si="23">E26/E14</f>
        <v>5.9313999751336569E-2</v>
      </c>
      <c r="F27" s="18">
        <f t="shared" si="23"/>
        <v>5.2954097509269465E-2</v>
      </c>
      <c r="G27" s="18">
        <f t="shared" si="23"/>
        <v>2.3829581912242232E-2</v>
      </c>
      <c r="H27" s="18">
        <f t="shared" si="23"/>
        <v>6.4114407996033296E-2</v>
      </c>
      <c r="I27" s="18">
        <f t="shared" si="23"/>
        <v>0.1075194487420038</v>
      </c>
      <c r="J27" s="18">
        <f t="shared" si="23"/>
        <v>0.11205278473340995</v>
      </c>
      <c r="K27" s="18">
        <f t="shared" si="23"/>
        <v>0.12627417537080643</v>
      </c>
      <c r="L27" s="18">
        <f t="shared" si="23"/>
        <v>0.14014197726552238</v>
      </c>
      <c r="M27" s="18">
        <f t="shared" si="23"/>
        <v>0.15933234500354243</v>
      </c>
      <c r="N27" s="18">
        <f t="shared" si="23"/>
        <v>0.17641941476154568</v>
      </c>
      <c r="O27" s="18">
        <f t="shared" si="23"/>
        <v>0.19860731592547035</v>
      </c>
      <c r="P27" s="18">
        <f t="shared" si="23"/>
        <v>0.20000000000000004</v>
      </c>
      <c r="Q27" s="18">
        <f t="shared" si="23"/>
        <v>0.2</v>
      </c>
      <c r="R27" s="18">
        <f t="shared" si="23"/>
        <v>0.2</v>
      </c>
      <c r="S27" s="18">
        <f t="shared" si="23"/>
        <v>0.21</v>
      </c>
      <c r="T27" s="18">
        <f t="shared" si="23"/>
        <v>0.215</v>
      </c>
    </row>
    <row r="28" spans="2:25" ht="16.5" customHeight="1" x14ac:dyDescent="0.3">
      <c r="E28" s="14"/>
      <c r="F28" s="14"/>
      <c r="G28" s="14"/>
      <c r="H28" s="14"/>
      <c r="I28" s="14"/>
      <c r="J28" s="14"/>
      <c r="K28"/>
      <c r="L28" s="14"/>
      <c r="M28" s="14"/>
      <c r="N28" s="14"/>
      <c r="O28" s="14"/>
    </row>
    <row r="29" spans="2:25" ht="16.5" customHeight="1" x14ac:dyDescent="0.3">
      <c r="B29" s="1" t="s">
        <v>63</v>
      </c>
      <c r="E29" s="77">
        <v>24178</v>
      </c>
      <c r="F29" s="77">
        <v>38151</v>
      </c>
      <c r="G29" s="77">
        <v>-5936</v>
      </c>
      <c r="H29" s="77">
        <v>37557</v>
      </c>
      <c r="I29" s="77">
        <v>68614</v>
      </c>
      <c r="J29" s="77">
        <v>95463</v>
      </c>
      <c r="K29" s="77">
        <v>105003</v>
      </c>
      <c r="L29" s="77">
        <v>128037</v>
      </c>
      <c r="M29" s="77">
        <v>163736</v>
      </c>
      <c r="N29" s="77">
        <v>199224</v>
      </c>
      <c r="O29" s="77">
        <v>257136</v>
      </c>
      <c r="P29" s="4">
        <f>P26*1.05</f>
        <v>279817.23000000004</v>
      </c>
      <c r="Q29" s="4">
        <f t="shared" ref="Q29:T29" si="24">Q26*1.05</f>
        <v>307798.95300000004</v>
      </c>
      <c r="R29" s="4">
        <f t="shared" si="24"/>
        <v>335500.85877000005</v>
      </c>
      <c r="S29" s="4">
        <f t="shared" si="24"/>
        <v>383980.73286226502</v>
      </c>
      <c r="T29" s="4">
        <f t="shared" si="24"/>
        <v>424572.98176484741</v>
      </c>
    </row>
    <row r="30" spans="2:25" ht="16.5" customHeight="1" x14ac:dyDescent="0.3">
      <c r="B30" s="1" t="s">
        <v>62</v>
      </c>
      <c r="E30" s="77">
        <v>2863</v>
      </c>
      <c r="F30" s="77">
        <v>4791</v>
      </c>
      <c r="G30" s="77">
        <v>-3217</v>
      </c>
      <c r="H30" s="77">
        <v>7120</v>
      </c>
      <c r="I30" s="77">
        <v>9265</v>
      </c>
      <c r="J30" s="77">
        <v>17750</v>
      </c>
      <c r="K30" s="77">
        <v>17943</v>
      </c>
      <c r="L30" s="77">
        <v>22054</v>
      </c>
      <c r="M30" s="77">
        <v>28782</v>
      </c>
      <c r="N30" s="77">
        <v>34476</v>
      </c>
      <c r="O30" s="77">
        <v>42900</v>
      </c>
      <c r="P30" s="4">
        <f>P29*0.2</f>
        <v>55963.446000000011</v>
      </c>
      <c r="Q30" s="4">
        <f>Q29*0.2</f>
        <v>61559.790600000008</v>
      </c>
      <c r="R30" s="4">
        <f>R29*0.21</f>
        <v>70455.180341700005</v>
      </c>
      <c r="S30" s="4">
        <f t="shared" ref="S30:T30" si="25">S29*0.21</f>
        <v>80635.953901075656</v>
      </c>
      <c r="T30" s="4">
        <f t="shared" si="25"/>
        <v>89160.326170617947</v>
      </c>
    </row>
    <row r="31" spans="2:25" ht="16.5" customHeight="1" x14ac:dyDescent="0.3">
      <c r="B31" s="18" t="s">
        <v>65</v>
      </c>
      <c r="C31" s="18"/>
      <c r="D31" s="18"/>
      <c r="E31" s="18">
        <f>E30/E29</f>
        <v>0.1184134337000579</v>
      </c>
      <c r="F31" s="18">
        <f t="shared" ref="F31:T31" si="26">F30/F29</f>
        <v>0.12557993237398757</v>
      </c>
      <c r="G31" s="18">
        <f t="shared" si="26"/>
        <v>0.54194743935309975</v>
      </c>
      <c r="H31" s="18">
        <f t="shared" si="26"/>
        <v>0.18957850733551668</v>
      </c>
      <c r="I31" s="18">
        <f t="shared" si="26"/>
        <v>0.13503075174162707</v>
      </c>
      <c r="J31" s="18">
        <f t="shared" si="26"/>
        <v>0.185935912343002</v>
      </c>
      <c r="K31" s="18">
        <f t="shared" si="26"/>
        <v>0.17088083197622925</v>
      </c>
      <c r="L31" s="18">
        <f t="shared" si="26"/>
        <v>0.17224708482704218</v>
      </c>
      <c r="M31" s="18">
        <f t="shared" si="26"/>
        <v>0.17578296770410906</v>
      </c>
      <c r="N31" s="18">
        <f t="shared" si="26"/>
        <v>0.1730514395855921</v>
      </c>
      <c r="O31" s="18">
        <f t="shared" si="26"/>
        <v>0.16683778234086241</v>
      </c>
      <c r="P31" s="18">
        <f t="shared" si="26"/>
        <v>0.2</v>
      </c>
      <c r="Q31" s="18">
        <f t="shared" si="26"/>
        <v>0.2</v>
      </c>
      <c r="R31" s="18">
        <f t="shared" si="26"/>
        <v>0.21</v>
      </c>
      <c r="S31" s="18">
        <f t="shared" si="26"/>
        <v>0.21</v>
      </c>
      <c r="T31" s="18">
        <f t="shared" si="26"/>
        <v>0.20999999999999996</v>
      </c>
    </row>
    <row r="32" spans="2:25" ht="16.5" customHeight="1" x14ac:dyDescent="0.3">
      <c r="E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2:31" ht="16.5" customHeight="1" x14ac:dyDescent="0.3">
      <c r="B33" s="1" t="s">
        <v>29</v>
      </c>
      <c r="E33" s="4">
        <v>25251</v>
      </c>
      <c r="F33" s="4">
        <v>41921</v>
      </c>
      <c r="G33" s="4">
        <v>41921</v>
      </c>
      <c r="H33" s="4">
        <v>48663</v>
      </c>
      <c r="I33" s="4">
        <v>52795</v>
      </c>
      <c r="J33" s="4">
        <v>61920</v>
      </c>
      <c r="K33" s="4">
        <f>K14*0.09</f>
        <v>71552.160000000003</v>
      </c>
      <c r="L33" s="4">
        <f>L14*0.09</f>
        <v>79491.599999999991</v>
      </c>
      <c r="M33" s="4">
        <f>M14*0.1</f>
        <v>97673.200000000012</v>
      </c>
      <c r="N33" s="4">
        <f>N14*0.1</f>
        <v>108742</v>
      </c>
      <c r="O33" s="4">
        <f>O14*0.1</f>
        <v>121133</v>
      </c>
      <c r="P33" s="4">
        <f>P14*0.11</f>
        <v>146570.93</v>
      </c>
      <c r="Q33" s="4">
        <f t="shared" ref="Q33" si="27">Q14*0.11</f>
        <v>161228.02300000002</v>
      </c>
      <c r="R33" s="4">
        <f>R14*0.12</f>
        <v>191714.77644000002</v>
      </c>
      <c r="S33" s="4">
        <f>S14*0.12</f>
        <v>208969.10631960002</v>
      </c>
      <c r="T33" s="4">
        <f>T14*0.13</f>
        <v>244493.85439393207</v>
      </c>
    </row>
    <row r="34" spans="2:31" ht="16.5" customHeight="1" x14ac:dyDescent="0.3">
      <c r="B34" s="18" t="s">
        <v>42</v>
      </c>
      <c r="E34" s="18">
        <f t="shared" ref="E34:T34" si="28">E33/E14</f>
        <v>6.5406253885366153E-2</v>
      </c>
      <c r="F34" s="18">
        <f t="shared" si="28"/>
        <v>8.9227409529566523E-2</v>
      </c>
      <c r="G34" s="18">
        <f t="shared" si="28"/>
        <v>8.1561063303650122E-2</v>
      </c>
      <c r="H34" s="18">
        <f t="shared" si="28"/>
        <v>8.4662960933218512E-2</v>
      </c>
      <c r="I34" s="18">
        <f t="shared" si="28"/>
        <v>8.2756101881155369E-2</v>
      </c>
      <c r="J34" s="18">
        <f t="shared" si="28"/>
        <v>8.6668187652302678E-2</v>
      </c>
      <c r="K34" s="18">
        <f t="shared" si="28"/>
        <v>9.0000000000000011E-2</v>
      </c>
      <c r="L34" s="18">
        <f t="shared" si="28"/>
        <v>0.09</v>
      </c>
      <c r="M34" s="18">
        <f t="shared" si="28"/>
        <v>0.1</v>
      </c>
      <c r="N34" s="18">
        <f t="shared" si="28"/>
        <v>0.1</v>
      </c>
      <c r="O34" s="18">
        <f t="shared" si="28"/>
        <v>0.1</v>
      </c>
      <c r="P34" s="18">
        <f t="shared" si="28"/>
        <v>0.11</v>
      </c>
      <c r="Q34" s="18">
        <f t="shared" si="28"/>
        <v>0.11</v>
      </c>
      <c r="R34" s="18">
        <f t="shared" si="28"/>
        <v>0.12</v>
      </c>
      <c r="S34" s="18">
        <f t="shared" si="28"/>
        <v>0.12</v>
      </c>
      <c r="T34" s="18">
        <f t="shared" si="28"/>
        <v>0.13</v>
      </c>
    </row>
    <row r="36" spans="2:31" ht="16.5" customHeight="1" x14ac:dyDescent="0.3">
      <c r="B36" s="1" t="s">
        <v>43</v>
      </c>
      <c r="E36" s="77">
        <v>35046</v>
      </c>
      <c r="F36" s="77">
        <v>55396</v>
      </c>
      <c r="G36" s="77">
        <v>58321</v>
      </c>
      <c r="H36" s="77">
        <v>52729</v>
      </c>
      <c r="I36" s="77">
        <v>82999</v>
      </c>
      <c r="J36" s="77">
        <v>124042</v>
      </c>
      <c r="K36" s="77">
        <v>144340</v>
      </c>
      <c r="L36" s="77">
        <v>160631</v>
      </c>
      <c r="M36" s="77">
        <v>161649</v>
      </c>
      <c r="N36" s="77">
        <v>184607</v>
      </c>
      <c r="O36" s="77">
        <v>190811</v>
      </c>
      <c r="P36" s="4">
        <f>P14*0.16</f>
        <v>213194.08000000002</v>
      </c>
      <c r="Q36" s="4">
        <f>Q14*0.15</f>
        <v>219856.39499999999</v>
      </c>
      <c r="R36" s="4">
        <f>R14*0.15</f>
        <v>239643.47055</v>
      </c>
      <c r="S36" s="4">
        <f>S14*0.14</f>
        <v>243797.29070620006</v>
      </c>
      <c r="T36" s="4">
        <f>T14*0.14</f>
        <v>263301.07396269607</v>
      </c>
    </row>
    <row r="37" spans="2:31" ht="16.5" customHeight="1" x14ac:dyDescent="0.3">
      <c r="B37" s="18" t="s">
        <v>42</v>
      </c>
      <c r="E37" s="18">
        <f t="shared" ref="E37:T37" si="29">E36/E14</f>
        <v>9.0777694889966426E-2</v>
      </c>
      <c r="F37" s="18">
        <f t="shared" si="29"/>
        <v>0.11790848448987064</v>
      </c>
      <c r="G37" s="18">
        <f t="shared" si="29"/>
        <v>0.11346873340168838</v>
      </c>
      <c r="H37" s="18">
        <f t="shared" si="29"/>
        <v>9.1736910322990334E-2</v>
      </c>
      <c r="I37" s="18">
        <f t="shared" si="29"/>
        <v>0.13010083720113674</v>
      </c>
      <c r="J37" s="18">
        <f t="shared" si="29"/>
        <v>0.17361911067130054</v>
      </c>
      <c r="K37" s="18">
        <f t="shared" si="29"/>
        <v>0.18155426754412446</v>
      </c>
      <c r="L37" s="18">
        <f t="shared" si="29"/>
        <v>0.18186563108554865</v>
      </c>
      <c r="M37" s="18">
        <f t="shared" si="29"/>
        <v>0.1654998505219446</v>
      </c>
      <c r="N37" s="18">
        <f t="shared" si="29"/>
        <v>0.16976605175553144</v>
      </c>
      <c r="O37" s="18">
        <f t="shared" si="29"/>
        <v>0.15752189741853995</v>
      </c>
      <c r="P37" s="18">
        <f t="shared" si="29"/>
        <v>0.16</v>
      </c>
      <c r="Q37" s="18">
        <f t="shared" si="29"/>
        <v>0.15</v>
      </c>
      <c r="R37" s="18">
        <f t="shared" si="29"/>
        <v>0.15</v>
      </c>
      <c r="S37" s="18">
        <f t="shared" si="29"/>
        <v>0.14000000000000001</v>
      </c>
      <c r="T37" s="18">
        <f t="shared" si="29"/>
        <v>0.14000000000000001</v>
      </c>
    </row>
    <row r="39" spans="2:31" ht="16.5" customHeight="1" x14ac:dyDescent="0.3">
      <c r="B39" s="1" t="s">
        <v>30</v>
      </c>
      <c r="E39" s="77">
        <v>31018</v>
      </c>
      <c r="F39" s="77">
        <v>-9069</v>
      </c>
      <c r="G39" s="77">
        <v>-11569</v>
      </c>
      <c r="H39" s="77">
        <v>36658</v>
      </c>
      <c r="I39" s="77">
        <v>38219</v>
      </c>
      <c r="J39" s="77">
        <v>21124</v>
      </c>
      <c r="K39" s="77">
        <v>46798</v>
      </c>
      <c r="L39" s="77">
        <v>67351</v>
      </c>
      <c r="M39" s="77">
        <v>113258</v>
      </c>
      <c r="N39" s="77">
        <v>124534</v>
      </c>
      <c r="O39" s="77">
        <v>158038</v>
      </c>
      <c r="P39" s="4">
        <f>P14*0.1</f>
        <v>133246.30000000002</v>
      </c>
      <c r="Q39" s="4">
        <f>Q14*0.1</f>
        <v>146570.93000000002</v>
      </c>
      <c r="R39" s="4">
        <f>R14*0.1</f>
        <v>159762.31370000003</v>
      </c>
      <c r="S39" s="4">
        <f>S14*0.1</f>
        <v>174140.92193300003</v>
      </c>
      <c r="T39" s="4">
        <f>T14*0.1</f>
        <v>188072.19568764005</v>
      </c>
    </row>
    <row r="40" spans="2:31" ht="16.5" customHeight="1" x14ac:dyDescent="0.3">
      <c r="B40" s="18" t="s">
        <v>42</v>
      </c>
      <c r="C40" s="18"/>
      <c r="D40" s="18"/>
      <c r="E40" s="18">
        <f t="shared" ref="E40:T40" si="30">E39/E14</f>
        <v>8.0344191636619836E-2</v>
      </c>
      <c r="F40" s="18">
        <f t="shared" si="30"/>
        <v>-1.9303055199628796E-2</v>
      </c>
      <c r="G40" s="18">
        <f t="shared" si="30"/>
        <v>-2.2508526546597844E-2</v>
      </c>
      <c r="H40" s="18">
        <f t="shared" si="30"/>
        <v>6.377689048948737E-2</v>
      </c>
      <c r="I40" s="18">
        <f t="shared" si="30"/>
        <v>5.9908238617215212E-2</v>
      </c>
      <c r="J40" s="18">
        <f t="shared" si="30"/>
        <v>2.9566841020142794E-2</v>
      </c>
      <c r="K40" s="18">
        <f t="shared" si="30"/>
        <v>5.8863631789732133E-2</v>
      </c>
      <c r="L40" s="18">
        <f t="shared" si="30"/>
        <v>7.6254472170644447E-2</v>
      </c>
      <c r="M40" s="18">
        <f t="shared" si="30"/>
        <v>0.11595606573758206</v>
      </c>
      <c r="N40" s="18">
        <f t="shared" si="30"/>
        <v>0.11452244762833128</v>
      </c>
      <c r="O40" s="18">
        <f t="shared" si="30"/>
        <v>0.13046651201571827</v>
      </c>
      <c r="P40" s="18">
        <f t="shared" si="30"/>
        <v>0.10000000000000002</v>
      </c>
      <c r="Q40" s="18">
        <f t="shared" si="30"/>
        <v>0.1</v>
      </c>
      <c r="R40" s="18">
        <f t="shared" si="30"/>
        <v>0.1</v>
      </c>
      <c r="S40" s="18">
        <f t="shared" si="30"/>
        <v>0.1</v>
      </c>
      <c r="T40" s="18">
        <f t="shared" si="30"/>
        <v>0.1</v>
      </c>
    </row>
    <row r="43" spans="2:31" ht="16.5" customHeight="1" x14ac:dyDescent="0.3">
      <c r="AD43" s="1" t="s">
        <v>39</v>
      </c>
      <c r="AE43" s="18">
        <v>0.09</v>
      </c>
    </row>
    <row r="44" spans="2:31" ht="16.5" customHeight="1" x14ac:dyDescent="0.3">
      <c r="AD44" s="1" t="s">
        <v>75</v>
      </c>
      <c r="AE44" s="18">
        <v>2.5000000000000001E-2</v>
      </c>
    </row>
    <row r="45" spans="2:31" ht="16.5" customHeight="1" x14ac:dyDescent="0.3">
      <c r="L45" s="4"/>
      <c r="AD45" s="1" t="s">
        <v>74</v>
      </c>
      <c r="AE45" s="4">
        <f>(T39*(1+AE44)/(AE43-AE44))</f>
        <v>2965753.8550743237</v>
      </c>
    </row>
    <row r="46" spans="2:31" ht="16.5" customHeight="1" x14ac:dyDescent="0.3">
      <c r="Z46" s="4"/>
      <c r="AB46" s="20">
        <f>NPV(AE43,K39:O39)</f>
        <v>378014.77242799156</v>
      </c>
      <c r="AD46" s="1" t="s">
        <v>76</v>
      </c>
      <c r="AE46" s="20">
        <f>NPV(AE43, 10, AE45)</f>
        <v>2496224.8590811575</v>
      </c>
    </row>
    <row r="48" spans="2:31" ht="16.5" customHeight="1" x14ac:dyDescent="0.3">
      <c r="AE48" s="20">
        <f>AE46+AB46+20000</f>
        <v>2894239.631509149</v>
      </c>
    </row>
    <row r="50" spans="28:28" ht="16.5" customHeight="1" x14ac:dyDescent="0.3">
      <c r="AB50" s="20"/>
    </row>
  </sheetData>
  <mergeCells count="41">
    <mergeCell ref="V6:X6"/>
    <mergeCell ref="O7:Q7"/>
    <mergeCell ref="O8:Q8"/>
    <mergeCell ref="O9:Q9"/>
    <mergeCell ref="O10:Q10"/>
    <mergeCell ref="R7:T7"/>
    <mergeCell ref="R8:T8"/>
    <mergeCell ref="B2:C4"/>
    <mergeCell ref="D2:F4"/>
    <mergeCell ref="O6:T6"/>
    <mergeCell ref="H6:M6"/>
    <mergeCell ref="B6:F6"/>
    <mergeCell ref="D8:F8"/>
    <mergeCell ref="D9:F9"/>
    <mergeCell ref="B17:D17"/>
    <mergeCell ref="B20:D20"/>
    <mergeCell ref="V13:Y13"/>
    <mergeCell ref="O11:Q11"/>
    <mergeCell ref="B9:C9"/>
    <mergeCell ref="D10:F10"/>
    <mergeCell ref="D11:F11"/>
    <mergeCell ref="R9:T9"/>
    <mergeCell ref="R10:T10"/>
    <mergeCell ref="R11:T11"/>
    <mergeCell ref="H11:I11"/>
    <mergeCell ref="X3:Y3"/>
    <mergeCell ref="B14:D14"/>
    <mergeCell ref="J7:M7"/>
    <mergeCell ref="J8:M8"/>
    <mergeCell ref="J9:M9"/>
    <mergeCell ref="J10:M10"/>
    <mergeCell ref="J11:M11"/>
    <mergeCell ref="B10:C10"/>
    <mergeCell ref="B11:C11"/>
    <mergeCell ref="H7:I7"/>
    <mergeCell ref="H8:I8"/>
    <mergeCell ref="H9:I9"/>
    <mergeCell ref="H10:I10"/>
    <mergeCell ref="D7:F7"/>
    <mergeCell ref="B7:C7"/>
    <mergeCell ref="B8:C8"/>
  </mergeCells>
  <pageMargins left="0.7" right="0.7" top="0.75" bottom="0.75" header="0.3" footer="0.3"/>
  <pageSetup orientation="portrait" r:id="rId1"/>
  <ignoredErrors>
    <ignoredError sqref="AB4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BAF3-2E83-4667-B377-939AB0CCC065}">
  <dimension ref="A1:Z84"/>
  <sheetViews>
    <sheetView showGridLines="0" tabSelected="1" topLeftCell="A25" zoomScaleNormal="100" workbookViewId="0">
      <selection activeCell="L47" sqref="L47"/>
    </sheetView>
  </sheetViews>
  <sheetFormatPr defaultColWidth="11.77734375" defaultRowHeight="16.95" customHeight="1" x14ac:dyDescent="0.3"/>
  <cols>
    <col min="1" max="5" width="11.77734375" style="63"/>
    <col min="6" max="6" width="12" style="63" bestFit="1" customWidth="1"/>
    <col min="7" max="13" width="12" style="67" bestFit="1" customWidth="1"/>
    <col min="14" max="14" width="12.88671875" style="67" bestFit="1" customWidth="1"/>
    <col min="15" max="17" width="12" style="67" bestFit="1" customWidth="1"/>
    <col min="18" max="18" width="11.77734375" style="67"/>
    <col min="19" max="16384" width="11.77734375" style="63"/>
  </cols>
  <sheetData>
    <row r="1" spans="1:20" ht="16.95" customHeight="1" x14ac:dyDescent="0.3"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20" s="64" customFormat="1" ht="16.95" customHeight="1" x14ac:dyDescent="0.3">
      <c r="A2" s="63"/>
    </row>
    <row r="3" spans="1:20" s="27" customFormat="1" ht="16.95" customHeight="1" x14ac:dyDescent="0.3">
      <c r="A3" s="63"/>
      <c r="B3" s="28" t="s">
        <v>77</v>
      </c>
      <c r="E3" s="33" t="s">
        <v>109</v>
      </c>
      <c r="F3" s="33" t="s">
        <v>94</v>
      </c>
      <c r="G3" s="33" t="s">
        <v>95</v>
      </c>
      <c r="H3" s="33" t="s">
        <v>96</v>
      </c>
      <c r="I3" s="33" t="s">
        <v>97</v>
      </c>
      <c r="J3" s="33" t="s">
        <v>98</v>
      </c>
      <c r="K3" s="33" t="s">
        <v>99</v>
      </c>
      <c r="L3" s="33" t="s">
        <v>100</v>
      </c>
      <c r="M3" s="33" t="s">
        <v>101</v>
      </c>
      <c r="N3" s="33" t="s">
        <v>102</v>
      </c>
      <c r="O3" s="33" t="s">
        <v>103</v>
      </c>
      <c r="P3" s="33" t="s">
        <v>104</v>
      </c>
      <c r="Q3" s="33" t="s">
        <v>105</v>
      </c>
      <c r="R3" s="33" t="s">
        <v>106</v>
      </c>
      <c r="S3" s="33" t="s">
        <v>107</v>
      </c>
      <c r="T3" s="33" t="s">
        <v>108</v>
      </c>
    </row>
    <row r="4" spans="1:20" s="65" customFormat="1" ht="16.95" customHeight="1" x14ac:dyDescent="0.3">
      <c r="A4" s="63"/>
      <c r="B4" s="5" t="s">
        <v>78</v>
      </c>
      <c r="C4" s="63"/>
      <c r="D4" s="63"/>
      <c r="E4" s="50">
        <v>162.85</v>
      </c>
      <c r="F4" s="50">
        <v>166.72</v>
      </c>
      <c r="G4" s="50">
        <v>84</v>
      </c>
      <c r="H4" s="50">
        <v>151.94</v>
      </c>
      <c r="I4" s="50">
        <v>219.39</v>
      </c>
      <c r="J4" s="50">
        <v>232.38</v>
      </c>
    </row>
    <row r="5" spans="1:20" s="66" customFormat="1" ht="16.95" customHeight="1" x14ac:dyDescent="0.3">
      <c r="A5" s="63"/>
      <c r="B5" s="29" t="s">
        <v>79</v>
      </c>
      <c r="C5" s="30"/>
      <c r="D5" s="30"/>
      <c r="E5" s="51">
        <v>10005</v>
      </c>
      <c r="F5" s="51">
        <v>10117</v>
      </c>
      <c r="G5" s="51">
        <v>10189</v>
      </c>
      <c r="H5" s="51">
        <v>10304</v>
      </c>
      <c r="I5" s="51">
        <v>10473</v>
      </c>
      <c r="J5" s="51">
        <v>10616</v>
      </c>
    </row>
    <row r="6" spans="1:20" ht="16.95" customHeight="1" x14ac:dyDescent="0.3">
      <c r="B6" s="5" t="s">
        <v>80</v>
      </c>
      <c r="E6" s="52">
        <f t="shared" ref="E6:J6" si="0">E5*E4</f>
        <v>1629314.25</v>
      </c>
      <c r="F6" s="52">
        <f t="shared" si="0"/>
        <v>1686706.24</v>
      </c>
      <c r="G6" s="52">
        <f t="shared" si="0"/>
        <v>855876</v>
      </c>
      <c r="H6" s="52">
        <f t="shared" si="0"/>
        <v>1565589.76</v>
      </c>
      <c r="I6" s="52">
        <f t="shared" si="0"/>
        <v>2297671.4699999997</v>
      </c>
      <c r="J6" s="52">
        <f t="shared" si="0"/>
        <v>2466946.08</v>
      </c>
      <c r="K6" s="63"/>
      <c r="L6" s="63"/>
      <c r="M6" s="63"/>
      <c r="N6" s="63"/>
      <c r="O6" s="63"/>
      <c r="P6" s="63"/>
      <c r="Q6" s="63"/>
      <c r="R6" s="63"/>
    </row>
    <row r="7" spans="1:20" ht="16.95" customHeight="1" x14ac:dyDescent="0.3">
      <c r="B7" s="63" t="s">
        <v>81</v>
      </c>
      <c r="E7" s="53">
        <v>84396</v>
      </c>
      <c r="F7" s="53">
        <v>96049</v>
      </c>
      <c r="G7" s="53">
        <v>70026</v>
      </c>
      <c r="H7" s="53">
        <v>86780</v>
      </c>
      <c r="I7" s="53">
        <v>101202</v>
      </c>
      <c r="J7" s="53">
        <v>94197</v>
      </c>
      <c r="M7" s="68"/>
      <c r="N7" s="68"/>
      <c r="O7" s="68"/>
      <c r="P7" s="68"/>
      <c r="Q7" s="68"/>
      <c r="T7" s="69"/>
    </row>
    <row r="8" spans="1:20" s="70" customFormat="1" ht="16.95" customHeight="1" x14ac:dyDescent="0.3">
      <c r="A8" s="63"/>
      <c r="B8" s="70" t="s">
        <v>82</v>
      </c>
      <c r="E8" s="71">
        <f>725+35216+14960+52573</f>
        <v>103474</v>
      </c>
      <c r="F8" s="71">
        <f>1043+54944+14432+67651</f>
        <v>138070</v>
      </c>
      <c r="G8" s="71">
        <f>8000+73850+11855+72968</f>
        <v>166673</v>
      </c>
      <c r="H8" s="71">
        <f>147+64914+10451+77297</f>
        <v>152809</v>
      </c>
      <c r="I8" s="71">
        <f>151+59723+11921+78277</f>
        <v>150072</v>
      </c>
      <c r="J8" s="71">
        <f>220+57942+13321+84677</f>
        <v>156160</v>
      </c>
      <c r="K8" s="71"/>
      <c r="L8" s="71"/>
      <c r="M8" s="71"/>
      <c r="N8" s="71"/>
      <c r="O8" s="71"/>
      <c r="P8" s="71"/>
      <c r="Q8" s="71"/>
      <c r="R8" s="72"/>
    </row>
    <row r="9" spans="1:20" ht="16.95" customHeight="1" x14ac:dyDescent="0.3">
      <c r="B9" s="5" t="s">
        <v>83</v>
      </c>
      <c r="E9" s="68">
        <f t="shared" ref="E9:I9" si="1">E6+E7-E8</f>
        <v>1610236.25</v>
      </c>
      <c r="F9" s="68">
        <f t="shared" si="1"/>
        <v>1644685.24</v>
      </c>
      <c r="G9" s="68">
        <f t="shared" si="1"/>
        <v>759229</v>
      </c>
      <c r="H9" s="68">
        <f t="shared" si="1"/>
        <v>1499560.76</v>
      </c>
      <c r="I9" s="68">
        <f t="shared" si="1"/>
        <v>2248801.4699999997</v>
      </c>
      <c r="J9" s="68">
        <f>J6+J7-J8</f>
        <v>2404983.08</v>
      </c>
      <c r="K9" s="68"/>
      <c r="L9" s="68"/>
      <c r="M9" s="68"/>
      <c r="N9" s="68"/>
      <c r="O9" s="68"/>
      <c r="P9" s="68"/>
      <c r="Q9" s="68"/>
    </row>
    <row r="10" spans="1:20" ht="16.95" customHeight="1" x14ac:dyDescent="0.3">
      <c r="B10" s="2"/>
      <c r="C10" s="2"/>
      <c r="D10" s="2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  <c r="Q10" s="23"/>
    </row>
    <row r="11" spans="1:20" s="73" customFormat="1" ht="16.95" customHeight="1" x14ac:dyDescent="0.3">
      <c r="A11" s="63"/>
      <c r="B11" s="15" t="s">
        <v>110</v>
      </c>
      <c r="E11" s="33" t="s">
        <v>109</v>
      </c>
      <c r="F11" s="33" t="s">
        <v>94</v>
      </c>
      <c r="G11" s="33" t="s">
        <v>95</v>
      </c>
      <c r="H11" s="33" t="s">
        <v>96</v>
      </c>
      <c r="I11" s="33" t="s">
        <v>97</v>
      </c>
      <c r="J11" s="33" t="s">
        <v>98</v>
      </c>
      <c r="K11" s="33" t="s">
        <v>99</v>
      </c>
      <c r="L11" s="33" t="s">
        <v>100</v>
      </c>
      <c r="M11" s="33" t="s">
        <v>101</v>
      </c>
      <c r="N11" s="33" t="s">
        <v>102</v>
      </c>
      <c r="O11" s="33" t="s">
        <v>103</v>
      </c>
      <c r="P11" s="33" t="s">
        <v>104</v>
      </c>
      <c r="Q11" s="33" t="s">
        <v>105</v>
      </c>
      <c r="R11" s="33" t="s">
        <v>106</v>
      </c>
      <c r="S11" s="33" t="s">
        <v>107</v>
      </c>
      <c r="T11" s="33" t="s">
        <v>108</v>
      </c>
    </row>
    <row r="12" spans="1:20" s="74" customFormat="1" ht="16.95" customHeight="1" x14ac:dyDescent="0.3">
      <c r="A12" s="63"/>
      <c r="B12" s="60" t="s">
        <v>84</v>
      </c>
      <c r="C12" s="63"/>
      <c r="D12" s="63"/>
      <c r="E12" s="54">
        <v>197349</v>
      </c>
      <c r="F12" s="54">
        <v>222075</v>
      </c>
      <c r="G12" s="54">
        <v>220004</v>
      </c>
      <c r="H12" s="54">
        <v>231872</v>
      </c>
      <c r="I12" s="54">
        <v>247029</v>
      </c>
      <c r="J12" s="54">
        <v>268635</v>
      </c>
      <c r="K12" s="74">
        <v>288113</v>
      </c>
      <c r="L12" s="74">
        <v>307194</v>
      </c>
      <c r="M12" s="74">
        <v>326805</v>
      </c>
      <c r="N12" s="74">
        <v>347071</v>
      </c>
      <c r="O12" s="74">
        <v>378723</v>
      </c>
    </row>
    <row r="13" spans="1:20" s="66" customFormat="1" ht="16.95" customHeight="1" x14ac:dyDescent="0.3">
      <c r="A13" s="63"/>
      <c r="B13" s="61" t="s">
        <v>92</v>
      </c>
      <c r="C13" s="34"/>
      <c r="D13" s="34"/>
      <c r="E13" s="34"/>
      <c r="F13" s="58">
        <f>F12/E12-1</f>
        <v>0.12529072860769497</v>
      </c>
      <c r="G13" s="58">
        <f t="shared" ref="G13:O13" si="2">G12/F12-1</f>
        <v>-9.3256782618484912E-3</v>
      </c>
      <c r="H13" s="58">
        <f t="shared" si="2"/>
        <v>5.3944473736841081E-2</v>
      </c>
      <c r="I13" s="58">
        <f t="shared" si="2"/>
        <v>6.5367961634005045E-2</v>
      </c>
      <c r="J13" s="58">
        <f t="shared" si="2"/>
        <v>8.7463415226552321E-2</v>
      </c>
      <c r="K13" s="58">
        <f t="shared" si="2"/>
        <v>7.2507305451635196E-2</v>
      </c>
      <c r="L13" s="58">
        <f t="shared" si="2"/>
        <v>6.6227487131785168E-2</v>
      </c>
      <c r="M13" s="58">
        <f t="shared" si="2"/>
        <v>6.3839137483153952E-2</v>
      </c>
      <c r="N13" s="58">
        <f t="shared" si="2"/>
        <v>6.2012515108397892E-2</v>
      </c>
      <c r="O13" s="58">
        <f t="shared" si="2"/>
        <v>9.1197478325760528E-2</v>
      </c>
    </row>
    <row r="14" spans="1:20" s="74" customFormat="1" ht="16.95" customHeight="1" x14ac:dyDescent="0.3">
      <c r="A14" s="63"/>
      <c r="B14" s="60" t="s">
        <v>85</v>
      </c>
      <c r="C14" s="63"/>
      <c r="D14" s="63"/>
      <c r="E14" s="55">
        <v>16224</v>
      </c>
      <c r="F14" s="55">
        <v>17075</v>
      </c>
      <c r="G14" s="55">
        <v>18963</v>
      </c>
      <c r="H14" s="55">
        <v>20030</v>
      </c>
      <c r="I14" s="55">
        <v>21215</v>
      </c>
      <c r="J14" s="55">
        <v>22618.799999999999</v>
      </c>
      <c r="K14" s="74">
        <v>23794.9</v>
      </c>
      <c r="L14" s="74">
        <v>24985.9</v>
      </c>
      <c r="M14" s="74">
        <v>26047</v>
      </c>
      <c r="N14" s="74">
        <v>27103.200000000001</v>
      </c>
      <c r="O14" s="74">
        <v>28286.7</v>
      </c>
    </row>
    <row r="15" spans="1:20" s="66" customFormat="1" ht="16.95" customHeight="1" x14ac:dyDescent="0.3">
      <c r="A15" s="63"/>
      <c r="B15" s="61" t="s">
        <v>92</v>
      </c>
      <c r="C15" s="34"/>
      <c r="D15" s="34"/>
      <c r="E15" s="34"/>
      <c r="F15" s="58">
        <f>F14/E14-1</f>
        <v>5.2453155818540376E-2</v>
      </c>
      <c r="G15" s="58">
        <f t="shared" ref="G15:O15" si="3">G14/F14-1</f>
        <v>0.11057101024890192</v>
      </c>
      <c r="H15" s="58">
        <f t="shared" si="3"/>
        <v>5.6267468227601203E-2</v>
      </c>
      <c r="I15" s="58">
        <f t="shared" si="3"/>
        <v>5.9161258112830684E-2</v>
      </c>
      <c r="J15" s="58">
        <f t="shared" si="3"/>
        <v>6.6170162620787121E-2</v>
      </c>
      <c r="K15" s="58">
        <f t="shared" si="3"/>
        <v>5.1996569225600142E-2</v>
      </c>
      <c r="L15" s="58">
        <f t="shared" si="3"/>
        <v>5.0052742394378624E-2</v>
      </c>
      <c r="M15" s="58">
        <f t="shared" si="3"/>
        <v>4.2467951924885616E-2</v>
      </c>
      <c r="N15" s="58">
        <f t="shared" si="3"/>
        <v>4.0549775405996913E-2</v>
      </c>
      <c r="O15" s="58">
        <f t="shared" si="3"/>
        <v>4.3666430532188105E-2</v>
      </c>
    </row>
    <row r="16" spans="1:20" s="74" customFormat="1" ht="16.95" customHeight="1" x14ac:dyDescent="0.3">
      <c r="A16" s="63"/>
      <c r="B16" s="60" t="s">
        <v>86</v>
      </c>
      <c r="C16" s="63"/>
      <c r="D16" s="63"/>
      <c r="E16" s="55">
        <v>80437</v>
      </c>
      <c r="F16" s="55">
        <v>103366</v>
      </c>
      <c r="G16" s="55">
        <v>117716</v>
      </c>
      <c r="H16" s="55">
        <v>140053</v>
      </c>
      <c r="I16" s="55">
        <v>156146</v>
      </c>
      <c r="J16" s="55">
        <v>172029</v>
      </c>
      <c r="K16" s="74">
        <v>189647</v>
      </c>
      <c r="L16" s="74">
        <v>207729</v>
      </c>
      <c r="M16" s="74">
        <v>225145</v>
      </c>
      <c r="N16" s="74">
        <v>242545</v>
      </c>
      <c r="O16" s="74">
        <v>266842</v>
      </c>
    </row>
    <row r="17" spans="1:20" s="66" customFormat="1" ht="16.95" customHeight="1" x14ac:dyDescent="0.3">
      <c r="A17" s="63"/>
      <c r="B17" s="61" t="s">
        <v>92</v>
      </c>
      <c r="C17" s="34"/>
      <c r="D17" s="34"/>
      <c r="E17" s="34"/>
      <c r="F17" s="58">
        <f t="shared" ref="F17:O17" si="4">F16/E16-1</f>
        <v>0.28505538495965776</v>
      </c>
      <c r="G17" s="58">
        <f t="shared" si="4"/>
        <v>0.13882708047133496</v>
      </c>
      <c r="H17" s="58">
        <f t="shared" si="4"/>
        <v>0.18975330456352579</v>
      </c>
      <c r="I17" s="58">
        <f t="shared" si="4"/>
        <v>0.11490649968226307</v>
      </c>
      <c r="J17" s="58">
        <f t="shared" si="4"/>
        <v>0.10171890410257056</v>
      </c>
      <c r="K17" s="58">
        <f t="shared" si="4"/>
        <v>0.10241296525585808</v>
      </c>
      <c r="L17" s="58">
        <f t="shared" si="4"/>
        <v>9.5345563072445128E-2</v>
      </c>
      <c r="M17" s="58">
        <f t="shared" si="4"/>
        <v>8.3840003080937198E-2</v>
      </c>
      <c r="N17" s="58">
        <f t="shared" si="4"/>
        <v>7.7283528392813494E-2</v>
      </c>
      <c r="O17" s="58">
        <f t="shared" si="4"/>
        <v>0.10017522521593936</v>
      </c>
    </row>
    <row r="18" spans="1:20" s="74" customFormat="1" ht="16.95" customHeight="1" x14ac:dyDescent="0.3">
      <c r="A18" s="63"/>
      <c r="B18" s="60" t="s">
        <v>87</v>
      </c>
      <c r="C18" s="63"/>
      <c r="D18" s="63"/>
      <c r="E18" s="55">
        <v>25207</v>
      </c>
      <c r="F18" s="55">
        <v>31768</v>
      </c>
      <c r="G18" s="55">
        <v>35218</v>
      </c>
      <c r="H18" s="55">
        <v>40209</v>
      </c>
      <c r="I18" s="55">
        <v>44374</v>
      </c>
      <c r="J18" s="55">
        <v>49103.1</v>
      </c>
      <c r="K18" s="74">
        <v>53687.5</v>
      </c>
      <c r="L18" s="74">
        <v>58760.2</v>
      </c>
      <c r="M18" s="74">
        <v>62081.3</v>
      </c>
      <c r="N18" s="74">
        <v>66349.3</v>
      </c>
      <c r="O18" s="74">
        <v>69755.5</v>
      </c>
    </row>
    <row r="19" spans="1:20" s="66" customFormat="1" ht="16.95" customHeight="1" x14ac:dyDescent="0.3">
      <c r="A19" s="63"/>
      <c r="B19" s="61" t="s">
        <v>92</v>
      </c>
      <c r="C19" s="34"/>
      <c r="D19" s="34"/>
      <c r="E19" s="34"/>
      <c r="F19" s="58">
        <f t="shared" ref="F19:O19" si="5">F18/E18-1</f>
        <v>0.26028484151227826</v>
      </c>
      <c r="G19" s="58">
        <f t="shared" si="5"/>
        <v>0.10859984890455809</v>
      </c>
      <c r="H19" s="58">
        <f t="shared" si="5"/>
        <v>0.14171730365154178</v>
      </c>
      <c r="I19" s="58">
        <f t="shared" si="5"/>
        <v>0.10358377477679137</v>
      </c>
      <c r="J19" s="58">
        <f t="shared" si="5"/>
        <v>0.10657366926578615</v>
      </c>
      <c r="K19" s="58">
        <f t="shared" si="5"/>
        <v>9.3362740845282621E-2</v>
      </c>
      <c r="L19" s="58">
        <f t="shared" si="5"/>
        <v>9.4485681024446988E-2</v>
      </c>
      <c r="M19" s="58">
        <f t="shared" si="5"/>
        <v>5.6519548946395881E-2</v>
      </c>
      <c r="N19" s="58">
        <f t="shared" si="5"/>
        <v>6.8748560355533783E-2</v>
      </c>
      <c r="O19" s="58">
        <f t="shared" si="5"/>
        <v>5.1337391652963804E-2</v>
      </c>
    </row>
    <row r="20" spans="1:20" s="74" customFormat="1" ht="16.95" customHeight="1" x14ac:dyDescent="0.3">
      <c r="A20" s="63"/>
      <c r="B20" s="60" t="s">
        <v>88</v>
      </c>
      <c r="C20" s="6"/>
      <c r="D20" s="6"/>
      <c r="E20" s="56" t="s">
        <v>56</v>
      </c>
      <c r="F20" s="55">
        <v>31160</v>
      </c>
      <c r="G20" s="55">
        <v>37739</v>
      </c>
      <c r="H20" s="55">
        <v>46906</v>
      </c>
      <c r="I20" s="55">
        <v>56214</v>
      </c>
      <c r="J20" s="55">
        <v>68338.5</v>
      </c>
      <c r="K20" s="74">
        <v>80736.399999999994</v>
      </c>
      <c r="L20" s="74">
        <v>93774.8</v>
      </c>
      <c r="M20" s="74">
        <v>101972</v>
      </c>
      <c r="N20" s="74">
        <v>113920</v>
      </c>
      <c r="O20" s="74">
        <v>126784</v>
      </c>
    </row>
    <row r="21" spans="1:20" s="66" customFormat="1" ht="16.95" customHeight="1" x14ac:dyDescent="0.3">
      <c r="A21" s="63"/>
      <c r="B21" s="61" t="s">
        <v>92</v>
      </c>
      <c r="C21" s="34"/>
      <c r="D21" s="34"/>
      <c r="E21" s="34"/>
      <c r="F21" s="58"/>
      <c r="G21" s="58">
        <f t="shared" ref="G21:O21" si="6">G20/F20-1</f>
        <v>0.21113607188703476</v>
      </c>
      <c r="H21" s="58">
        <f t="shared" si="6"/>
        <v>0.24290521741434601</v>
      </c>
      <c r="I21" s="58">
        <f t="shared" si="6"/>
        <v>0.19843943205560066</v>
      </c>
      <c r="J21" s="58">
        <f t="shared" si="6"/>
        <v>0.21568470487778835</v>
      </c>
      <c r="K21" s="58">
        <f t="shared" si="6"/>
        <v>0.18141896588306738</v>
      </c>
      <c r="L21" s="58">
        <f t="shared" si="6"/>
        <v>0.16149345276727733</v>
      </c>
      <c r="M21" s="58">
        <f t="shared" si="6"/>
        <v>8.7413676168864196E-2</v>
      </c>
      <c r="N21" s="58">
        <f t="shared" si="6"/>
        <v>0.11716941905621159</v>
      </c>
      <c r="O21" s="58">
        <f t="shared" si="6"/>
        <v>0.11292134831460676</v>
      </c>
    </row>
    <row r="22" spans="1:20" s="74" customFormat="1" ht="16.95" customHeight="1" x14ac:dyDescent="0.3">
      <c r="A22" s="63"/>
      <c r="B22" s="60" t="s">
        <v>90</v>
      </c>
      <c r="C22" s="63"/>
      <c r="D22" s="63"/>
      <c r="E22" s="55">
        <v>45370</v>
      </c>
      <c r="F22" s="55">
        <v>62202</v>
      </c>
      <c r="G22" s="55">
        <v>80096</v>
      </c>
      <c r="H22" s="55">
        <v>90757</v>
      </c>
      <c r="I22" s="55">
        <v>107556</v>
      </c>
      <c r="J22" s="55">
        <v>127774</v>
      </c>
      <c r="K22" s="74">
        <v>153598</v>
      </c>
      <c r="L22" s="74">
        <v>184947</v>
      </c>
      <c r="M22" s="74">
        <v>224669</v>
      </c>
      <c r="N22" s="74">
        <v>261779</v>
      </c>
      <c r="O22" s="74">
        <v>312964</v>
      </c>
    </row>
    <row r="23" spans="1:20" s="66" customFormat="1" ht="16.95" customHeight="1" x14ac:dyDescent="0.3">
      <c r="A23" s="63"/>
      <c r="B23" s="61" t="s">
        <v>92</v>
      </c>
      <c r="C23" s="34"/>
      <c r="D23" s="34"/>
      <c r="E23" s="34"/>
      <c r="F23" s="58">
        <f t="shared" ref="F23" si="7">F22/E22-1</f>
        <v>0.37099404893101173</v>
      </c>
      <c r="G23" s="58">
        <f t="shared" ref="G23" si="8">G22/F22-1</f>
        <v>0.28767563743931057</v>
      </c>
      <c r="H23" s="58">
        <f t="shared" ref="H23" si="9">H22/G22-1</f>
        <v>0.13310277666799841</v>
      </c>
      <c r="I23" s="58">
        <f t="shared" ref="I23" si="10">I22/H22-1</f>
        <v>0.18509867007503544</v>
      </c>
      <c r="J23" s="58">
        <f t="shared" ref="J23" si="11">J22/I22-1</f>
        <v>0.18797649596489263</v>
      </c>
      <c r="K23" s="58">
        <f t="shared" ref="K23" si="12">K22/J22-1</f>
        <v>0.202106844898023</v>
      </c>
      <c r="L23" s="58">
        <f t="shared" ref="L23" si="13">L22/K22-1</f>
        <v>0.20409770960559381</v>
      </c>
      <c r="M23" s="58">
        <f t="shared" ref="M23" si="14">M22/L22-1</f>
        <v>0.21477504366115707</v>
      </c>
      <c r="N23" s="58">
        <f t="shared" ref="N23" si="15">N22/M22-1</f>
        <v>0.16517632606189547</v>
      </c>
      <c r="O23" s="58">
        <f t="shared" ref="O23" si="16">O22/N22-1</f>
        <v>0.19552752512615612</v>
      </c>
    </row>
    <row r="24" spans="1:20" s="74" customFormat="1" ht="16.95" customHeight="1" x14ac:dyDescent="0.3">
      <c r="A24" s="63"/>
      <c r="B24" s="60" t="s">
        <v>89</v>
      </c>
      <c r="C24" s="63"/>
      <c r="D24" s="63"/>
      <c r="E24" s="55">
        <v>21477</v>
      </c>
      <c r="F24" s="55">
        <v>2176</v>
      </c>
      <c r="G24" s="55">
        <v>4247</v>
      </c>
      <c r="H24" s="55">
        <v>4958</v>
      </c>
      <c r="I24" s="55">
        <v>5425</v>
      </c>
      <c r="J24" s="55">
        <v>5901.24</v>
      </c>
      <c r="K24" s="74">
        <v>6286.15</v>
      </c>
      <c r="L24" s="74">
        <v>6719.12</v>
      </c>
      <c r="M24" s="74">
        <v>7076</v>
      </c>
      <c r="N24" s="74">
        <v>7457.67</v>
      </c>
      <c r="O24" s="74">
        <v>7971</v>
      </c>
    </row>
    <row r="25" spans="1:20" s="66" customFormat="1" ht="16.95" customHeight="1" x14ac:dyDescent="0.3">
      <c r="A25" s="63"/>
      <c r="B25" s="61" t="s">
        <v>92</v>
      </c>
      <c r="C25" s="34"/>
      <c r="D25" s="34"/>
      <c r="E25" s="34"/>
      <c r="F25" s="58">
        <f t="shared" ref="F25" si="17">F24/E24-1</f>
        <v>-0.89868231130977327</v>
      </c>
      <c r="G25" s="58">
        <f t="shared" ref="G25" si="18">G24/F24-1</f>
        <v>0.95174632352941169</v>
      </c>
      <c r="H25" s="58">
        <f t="shared" ref="H25" si="19">H24/G24-1</f>
        <v>0.16741229102896171</v>
      </c>
      <c r="I25" s="58">
        <f t="shared" ref="I25" si="20">I24/H24-1</f>
        <v>9.4191206131504668E-2</v>
      </c>
      <c r="J25" s="58">
        <f t="shared" ref="J25" si="21">J24/I24-1</f>
        <v>8.7786175115207365E-2</v>
      </c>
      <c r="K25" s="58">
        <f t="shared" ref="K25" si="22">K24/J24-1</f>
        <v>6.5225274688031742E-2</v>
      </c>
      <c r="L25" s="58">
        <f t="shared" ref="L25" si="23">L24/K24-1</f>
        <v>6.887681649340216E-2</v>
      </c>
      <c r="M25" s="58">
        <f t="shared" ref="M25" si="24">M24/L24-1</f>
        <v>5.3114098274774202E-2</v>
      </c>
      <c r="N25" s="58">
        <f t="shared" ref="N25" si="25">N24/M24-1</f>
        <v>5.3938665912945272E-2</v>
      </c>
      <c r="O25" s="58">
        <f t="shared" ref="O25" si="26">O24/N24-1</f>
        <v>6.8832490576815619E-2</v>
      </c>
    </row>
    <row r="26" spans="1:20" ht="16.95" customHeight="1" x14ac:dyDescent="0.3">
      <c r="B26" s="62" t="s">
        <v>91</v>
      </c>
      <c r="E26" s="57">
        <f>SUM(E12:E18)+E22+E24</f>
        <v>386064</v>
      </c>
      <c r="F26" s="57">
        <f t="shared" ref="F26:O26" si="27">SUM(F12:F18)+F20+F22+F24</f>
        <v>469822.46279926941</v>
      </c>
      <c r="G26" s="57">
        <f t="shared" si="27"/>
        <v>513983.24007241247</v>
      </c>
      <c r="H26" s="57">
        <f t="shared" si="27"/>
        <v>574785.29996524658</v>
      </c>
      <c r="I26" s="57">
        <f t="shared" si="27"/>
        <v>637959.23943571944</v>
      </c>
      <c r="J26" s="57">
        <f t="shared" si="27"/>
        <v>714399.89535248186</v>
      </c>
      <c r="K26" s="68">
        <f t="shared" si="27"/>
        <v>795863.17691684002</v>
      </c>
      <c r="L26" s="68">
        <f t="shared" si="27"/>
        <v>884110.23162579257</v>
      </c>
      <c r="M26" s="68">
        <f t="shared" si="27"/>
        <v>973795.49014709261</v>
      </c>
      <c r="N26" s="68">
        <f t="shared" si="27"/>
        <v>1066225.3498458189</v>
      </c>
      <c r="O26" s="68">
        <f t="shared" si="27"/>
        <v>1191326.435039134</v>
      </c>
    </row>
    <row r="27" spans="1:20" s="32" customFormat="1" ht="16.95" customHeight="1" x14ac:dyDescent="0.3">
      <c r="A27" s="63"/>
      <c r="B27" s="61" t="s">
        <v>93</v>
      </c>
      <c r="C27" s="34"/>
      <c r="D27" s="34"/>
      <c r="E27" s="34"/>
      <c r="F27" s="58">
        <f t="shared" ref="F27" si="28">F26/E26-1</f>
        <v>0.216954864476536</v>
      </c>
      <c r="G27" s="58">
        <f t="shared" ref="G27" si="29">G26/F26-1</f>
        <v>9.399460598377285E-2</v>
      </c>
      <c r="H27" s="58">
        <f t="shared" ref="H27" si="30">H26/G26-1</f>
        <v>0.11829580257182704</v>
      </c>
      <c r="I27" s="58">
        <f t="shared" ref="I27" si="31">I26/H26-1</f>
        <v>0.10990875980003767</v>
      </c>
      <c r="J27" s="58">
        <f t="shared" ref="J27" si="32">J26/I26-1</f>
        <v>0.11982059541041346</v>
      </c>
      <c r="K27" s="58">
        <f t="shared" ref="K27" si="33">K26/J26-1</f>
        <v>0.1140303660377282</v>
      </c>
      <c r="L27" s="58">
        <f t="shared" ref="L27" si="34">L26/K26-1</f>
        <v>0.11088219340769112</v>
      </c>
      <c r="M27" s="58">
        <f t="shared" ref="M27" si="35">M26/L26-1</f>
        <v>0.10144126299316492</v>
      </c>
      <c r="N27" s="58">
        <f t="shared" ref="N27" si="36">N26/M26-1</f>
        <v>9.4917116205543994E-2</v>
      </c>
      <c r="O27" s="58">
        <f t="shared" ref="O27" si="37">O26/N26-1</f>
        <v>0.11733081117552246</v>
      </c>
    </row>
    <row r="28" spans="1:20" ht="16.95" customHeight="1" x14ac:dyDescent="0.3">
      <c r="B28" s="6"/>
      <c r="C28" s="6"/>
      <c r="D28" s="6"/>
      <c r="E28" s="49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68"/>
      <c r="Q28" s="68"/>
    </row>
    <row r="29" spans="1:20" s="73" customFormat="1" ht="16.95" customHeight="1" x14ac:dyDescent="0.3">
      <c r="A29" s="63"/>
      <c r="B29" s="15" t="s">
        <v>111</v>
      </c>
      <c r="E29" s="33" t="s">
        <v>109</v>
      </c>
      <c r="F29" s="33" t="s">
        <v>94</v>
      </c>
      <c r="G29" s="33" t="s">
        <v>95</v>
      </c>
      <c r="H29" s="33" t="s">
        <v>96</v>
      </c>
      <c r="I29" s="33" t="s">
        <v>97</v>
      </c>
      <c r="J29" s="33" t="s">
        <v>98</v>
      </c>
      <c r="K29" s="33" t="s">
        <v>99</v>
      </c>
      <c r="L29" s="33" t="s">
        <v>100</v>
      </c>
      <c r="M29" s="33" t="s">
        <v>101</v>
      </c>
      <c r="N29" s="33" t="s">
        <v>102</v>
      </c>
      <c r="O29" s="33" t="s">
        <v>103</v>
      </c>
      <c r="P29" s="33" t="s">
        <v>104</v>
      </c>
      <c r="Q29" s="33" t="s">
        <v>105</v>
      </c>
      <c r="R29" s="33" t="s">
        <v>106</v>
      </c>
      <c r="S29" s="33" t="s">
        <v>107</v>
      </c>
      <c r="T29" s="33" t="s">
        <v>108</v>
      </c>
    </row>
    <row r="30" spans="1:20" ht="16.95" customHeight="1" x14ac:dyDescent="0.3">
      <c r="B30" s="75" t="s">
        <v>131</v>
      </c>
      <c r="E30" s="55">
        <v>236282</v>
      </c>
      <c r="F30" s="55">
        <v>279833</v>
      </c>
      <c r="G30" s="55">
        <v>315880</v>
      </c>
      <c r="H30" s="55">
        <v>352828</v>
      </c>
      <c r="I30" s="55">
        <v>387497</v>
      </c>
      <c r="J30" s="55">
        <v>426457</v>
      </c>
      <c r="K30" s="68">
        <v>466284</v>
      </c>
      <c r="L30" s="68">
        <v>503076</v>
      </c>
      <c r="M30" s="68">
        <v>545101</v>
      </c>
      <c r="N30" s="68">
        <v>586182</v>
      </c>
      <c r="O30" s="68">
        <v>640996</v>
      </c>
      <c r="P30" s="68"/>
      <c r="Q30" s="68"/>
    </row>
    <row r="31" spans="1:20" ht="16.95" customHeight="1" x14ac:dyDescent="0.3">
      <c r="B31" s="35" t="s">
        <v>92</v>
      </c>
      <c r="C31" s="36"/>
      <c r="D31" s="36"/>
      <c r="E31" s="36"/>
      <c r="F31" s="59">
        <f>F30/E30-1</f>
        <v>0.1843178913332375</v>
      </c>
      <c r="G31" s="59">
        <f t="shared" ref="G31" si="38">G30/F30-1</f>
        <v>0.12881611532592663</v>
      </c>
      <c r="H31" s="59">
        <f t="shared" ref="H31" si="39">H30/G30-1</f>
        <v>0.11696846903887548</v>
      </c>
      <c r="I31" s="59">
        <f t="shared" ref="I31" si="40">I30/H30-1</f>
        <v>9.8260342149715907E-2</v>
      </c>
      <c r="J31" s="59">
        <f t="shared" ref="J31" si="41">J30/I30-1</f>
        <v>0.1005427138790751</v>
      </c>
      <c r="K31" s="59">
        <f t="shared" ref="K31" si="42">K30/J30-1</f>
        <v>9.3390423887988794E-2</v>
      </c>
      <c r="L31" s="59">
        <f t="shared" ref="L31" si="43">L30/K30-1</f>
        <v>7.8904701855521564E-2</v>
      </c>
      <c r="M31" s="59">
        <f t="shared" ref="M31" si="44">M30/L30-1</f>
        <v>8.3536085998934473E-2</v>
      </c>
      <c r="N31" s="59">
        <f t="shared" ref="N31" si="45">N30/M30-1</f>
        <v>7.5364015109126603E-2</v>
      </c>
      <c r="O31" s="59">
        <f t="shared" ref="O31" si="46">O30/N30-1</f>
        <v>9.3510206727603462E-2</v>
      </c>
      <c r="P31" s="68"/>
      <c r="Q31" s="68"/>
    </row>
    <row r="32" spans="1:20" ht="16.95" customHeight="1" x14ac:dyDescent="0.3">
      <c r="B32" s="75" t="s">
        <v>132</v>
      </c>
      <c r="E32" s="55">
        <v>104412</v>
      </c>
      <c r="F32" s="55">
        <v>127787</v>
      </c>
      <c r="G32" s="55">
        <v>118007</v>
      </c>
      <c r="H32" s="55">
        <v>131200</v>
      </c>
      <c r="I32" s="55">
        <v>142906</v>
      </c>
      <c r="J32" s="55">
        <v>160758</v>
      </c>
      <c r="K32" s="68">
        <v>177104</v>
      </c>
      <c r="L32" s="68">
        <v>198824</v>
      </c>
      <c r="M32" s="68">
        <v>216001</v>
      </c>
      <c r="N32" s="68">
        <v>235949</v>
      </c>
      <c r="O32" s="68">
        <v>263800</v>
      </c>
      <c r="P32" s="63"/>
      <c r="Q32" s="63"/>
    </row>
    <row r="33" spans="1:20" ht="16.95" customHeight="1" x14ac:dyDescent="0.3">
      <c r="B33" s="35" t="s">
        <v>92</v>
      </c>
      <c r="C33" s="36"/>
      <c r="D33" s="36"/>
      <c r="E33" s="36"/>
      <c r="F33" s="59">
        <f>F32/E32-1</f>
        <v>0.22387273493468185</v>
      </c>
      <c r="G33" s="59">
        <f t="shared" ref="G33" si="47">G32/F32-1</f>
        <v>-7.6533606704907386E-2</v>
      </c>
      <c r="H33" s="59">
        <f t="shared" ref="H33" si="48">H32/G32-1</f>
        <v>0.11179845263416577</v>
      </c>
      <c r="I33" s="59">
        <f t="shared" ref="I33" si="49">I32/H32-1</f>
        <v>8.9222560975609655E-2</v>
      </c>
      <c r="J33" s="59">
        <f t="shared" ref="J33" si="50">J32/I32-1</f>
        <v>0.12492127692329213</v>
      </c>
      <c r="K33" s="59">
        <f t="shared" ref="K33" si="51">K32/J32-1</f>
        <v>0.10168078727030694</v>
      </c>
      <c r="L33" s="59">
        <f t="shared" ref="L33" si="52">L32/K32-1</f>
        <v>0.12263980486042092</v>
      </c>
      <c r="M33" s="59">
        <f t="shared" ref="M33" si="53">M32/L32-1</f>
        <v>8.6392990785820523E-2</v>
      </c>
      <c r="N33" s="59">
        <f t="shared" ref="N33" si="54">N32/M32-1</f>
        <v>9.2351424298961593E-2</v>
      </c>
      <c r="O33" s="59">
        <f t="shared" ref="O33" si="55">O32/N32-1</f>
        <v>0.11803822012384035</v>
      </c>
    </row>
    <row r="34" spans="1:20" ht="16.95" customHeight="1" x14ac:dyDescent="0.3">
      <c r="B34" s="63" t="s">
        <v>90</v>
      </c>
      <c r="E34" s="55">
        <v>45370</v>
      </c>
      <c r="F34" s="55">
        <v>62202</v>
      </c>
      <c r="G34" s="55">
        <v>80096</v>
      </c>
      <c r="H34" s="55">
        <v>90757</v>
      </c>
      <c r="I34" s="55">
        <v>107556</v>
      </c>
      <c r="J34" s="55">
        <v>128725</v>
      </c>
      <c r="K34" s="68">
        <v>154576</v>
      </c>
      <c r="L34" s="68">
        <v>186847</v>
      </c>
      <c r="M34" s="68">
        <v>225379</v>
      </c>
      <c r="N34" s="68">
        <v>268234</v>
      </c>
      <c r="O34" s="68">
        <v>325441</v>
      </c>
      <c r="P34" s="63"/>
      <c r="Q34" s="63"/>
    </row>
    <row r="35" spans="1:20" ht="16.95" customHeight="1" x14ac:dyDescent="0.3">
      <c r="B35" s="35" t="s">
        <v>92</v>
      </c>
      <c r="C35" s="36"/>
      <c r="D35" s="36"/>
      <c r="E35" s="36"/>
      <c r="F35" s="59">
        <f>F34/E34-1</f>
        <v>0.37099404893101173</v>
      </c>
      <c r="G35" s="59">
        <f t="shared" ref="G35" si="56">G34/F34-1</f>
        <v>0.28767563743931057</v>
      </c>
      <c r="H35" s="59">
        <f t="shared" ref="H35" si="57">H34/G34-1</f>
        <v>0.13310277666799841</v>
      </c>
      <c r="I35" s="59">
        <f t="shared" ref="I35" si="58">I34/H34-1</f>
        <v>0.18509867007503544</v>
      </c>
      <c r="J35" s="59">
        <f t="shared" ref="J35" si="59">J34/I34-1</f>
        <v>0.19681840157685304</v>
      </c>
      <c r="K35" s="59">
        <f t="shared" ref="K35" si="60">K34/J34-1</f>
        <v>0.20082346086618763</v>
      </c>
      <c r="L35" s="59">
        <f t="shared" ref="L35" si="61">L34/K34-1</f>
        <v>0.20877108994928051</v>
      </c>
      <c r="M35" s="59">
        <f t="shared" ref="M35" si="62">M34/L34-1</f>
        <v>0.20622220319298679</v>
      </c>
      <c r="N35" s="59">
        <f t="shared" ref="N35" si="63">N34/M34-1</f>
        <v>0.19014637566055392</v>
      </c>
      <c r="O35" s="59">
        <f t="shared" ref="O35" si="64">O34/N34-1</f>
        <v>0.21327273947374303</v>
      </c>
      <c r="P35" s="63"/>
      <c r="Q35" s="63"/>
      <c r="R35" s="63"/>
    </row>
    <row r="36" spans="1:20" ht="16.95" customHeight="1" x14ac:dyDescent="0.3">
      <c r="G36" s="63"/>
      <c r="H36" s="63"/>
      <c r="I36" s="63"/>
      <c r="J36" s="63"/>
      <c r="K36" s="63"/>
      <c r="L36" s="63"/>
      <c r="M36" s="63"/>
      <c r="N36" s="63"/>
      <c r="O36" s="63"/>
      <c r="P36" s="68"/>
      <c r="Q36" s="68"/>
    </row>
    <row r="37" spans="1:20" s="73" customFormat="1" ht="16.95" customHeight="1" x14ac:dyDescent="0.3">
      <c r="A37" s="63"/>
      <c r="B37" s="15" t="s">
        <v>61</v>
      </c>
      <c r="E37" s="33" t="s">
        <v>109</v>
      </c>
      <c r="F37" s="33" t="s">
        <v>94</v>
      </c>
      <c r="G37" s="33" t="s">
        <v>95</v>
      </c>
      <c r="H37" s="33" t="s">
        <v>96</v>
      </c>
      <c r="I37" s="33" t="s">
        <v>97</v>
      </c>
      <c r="J37" s="33" t="s">
        <v>98</v>
      </c>
      <c r="K37" s="33" t="s">
        <v>99</v>
      </c>
      <c r="L37" s="33" t="s">
        <v>100</v>
      </c>
      <c r="M37" s="33" t="s">
        <v>101</v>
      </c>
      <c r="N37" s="33" t="s">
        <v>102</v>
      </c>
      <c r="O37" s="33" t="s">
        <v>103</v>
      </c>
      <c r="P37" s="33" t="s">
        <v>104</v>
      </c>
      <c r="Q37" s="33" t="s">
        <v>105</v>
      </c>
      <c r="R37" s="33" t="s">
        <v>106</v>
      </c>
      <c r="S37" s="33" t="s">
        <v>107</v>
      </c>
      <c r="T37" s="33" t="s">
        <v>108</v>
      </c>
    </row>
    <row r="38" spans="1:20" ht="16.95" customHeight="1" x14ac:dyDescent="0.3"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S38" s="68"/>
    </row>
    <row r="39" spans="1:20" ht="16.95" customHeight="1" x14ac:dyDescent="0.3">
      <c r="B39" s="5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</row>
    <row r="40" spans="1:20" ht="16.95" customHeight="1" x14ac:dyDescent="0.3">
      <c r="B40" s="2"/>
      <c r="C40" s="2"/>
      <c r="D40" s="2"/>
      <c r="E40" s="21"/>
      <c r="F40" s="24"/>
      <c r="G40" s="24"/>
      <c r="H40" s="24"/>
      <c r="I40" s="24"/>
      <c r="J40" s="25"/>
      <c r="K40" s="25"/>
      <c r="L40" s="25"/>
      <c r="M40" s="25"/>
      <c r="N40" s="25"/>
      <c r="O40" s="22"/>
      <c r="P40" s="22"/>
      <c r="Q40" s="22"/>
    </row>
    <row r="41" spans="1:20" ht="16.95" customHeight="1" x14ac:dyDescent="0.3">
      <c r="F41" s="68"/>
      <c r="G41" s="68"/>
      <c r="H41" s="68"/>
      <c r="I41" s="68"/>
      <c r="J41" s="68"/>
      <c r="K41" s="68"/>
      <c r="L41" s="68"/>
      <c r="M41" s="68"/>
      <c r="N41" s="68"/>
      <c r="P41" s="68"/>
      <c r="Q41" s="68"/>
    </row>
    <row r="42" spans="1:20" ht="16.95" customHeight="1" x14ac:dyDescent="0.3">
      <c r="B42" s="63" t="s">
        <v>90</v>
      </c>
      <c r="E42" s="55">
        <v>13531</v>
      </c>
      <c r="F42" s="55">
        <v>18532</v>
      </c>
      <c r="G42" s="55">
        <v>22841</v>
      </c>
      <c r="H42" s="55">
        <v>24631</v>
      </c>
      <c r="I42" s="55">
        <v>39834</v>
      </c>
      <c r="J42" s="55">
        <v>45606</v>
      </c>
      <c r="K42" s="68">
        <v>52644.7</v>
      </c>
      <c r="L42" s="68">
        <v>63144.4</v>
      </c>
      <c r="M42" s="68">
        <v>75972.3</v>
      </c>
      <c r="N42" s="68">
        <v>90809</v>
      </c>
      <c r="O42" s="68">
        <v>106958</v>
      </c>
      <c r="P42" s="68"/>
      <c r="Q42" s="68"/>
    </row>
    <row r="43" spans="1:20" ht="16.95" customHeight="1" x14ac:dyDescent="0.3">
      <c r="B43" s="35" t="s">
        <v>42</v>
      </c>
      <c r="E43" s="92">
        <f>E42/E34</f>
        <v>0.29823672029975756</v>
      </c>
      <c r="F43" s="92">
        <f t="shared" ref="F43:O43" si="65">F42/F34</f>
        <v>0.29793254236198191</v>
      </c>
      <c r="G43" s="92">
        <f t="shared" si="65"/>
        <v>0.28517029564522572</v>
      </c>
      <c r="H43" s="92">
        <f t="shared" si="65"/>
        <v>0.27139504390845887</v>
      </c>
      <c r="I43" s="92">
        <f t="shared" si="65"/>
        <v>0.37035590762021642</v>
      </c>
      <c r="J43" s="92">
        <f t="shared" si="65"/>
        <v>0.35429015342785009</v>
      </c>
      <c r="K43" s="92">
        <f t="shared" si="65"/>
        <v>0.34057486285063654</v>
      </c>
      <c r="L43" s="92">
        <f t="shared" si="65"/>
        <v>0.33794709040016702</v>
      </c>
      <c r="M43" s="92">
        <f t="shared" si="65"/>
        <v>0.33708686257370918</v>
      </c>
      <c r="N43" s="92">
        <f t="shared" si="65"/>
        <v>0.33854395788751612</v>
      </c>
      <c r="O43" s="92">
        <f t="shared" si="65"/>
        <v>0.32865557812322355</v>
      </c>
      <c r="P43" s="68"/>
      <c r="Q43" s="68"/>
    </row>
    <row r="45" spans="1:20" ht="16.95" customHeight="1" x14ac:dyDescent="0.3">
      <c r="B45" s="93" t="s">
        <v>134</v>
      </c>
      <c r="J45" s="55">
        <v>77003</v>
      </c>
    </row>
    <row r="46" spans="1:20" ht="16.95" customHeight="1" x14ac:dyDescent="0.3">
      <c r="B46" s="35" t="s">
        <v>42</v>
      </c>
      <c r="J46" s="92">
        <f>J45/K34</f>
        <v>0.4981562467653452</v>
      </c>
    </row>
    <row r="65" spans="17:26" ht="16.95" customHeight="1" x14ac:dyDescent="0.3">
      <c r="S65" s="67"/>
      <c r="T65" s="67"/>
      <c r="U65" s="67"/>
      <c r="V65" s="67"/>
      <c r="W65" s="67"/>
      <c r="X65" s="67"/>
      <c r="Y65" s="67"/>
      <c r="Z65" s="67"/>
    </row>
    <row r="66" spans="17:26" ht="16.95" customHeight="1" x14ac:dyDescent="0.3">
      <c r="S66" s="67"/>
      <c r="T66" s="67"/>
      <c r="U66" s="67"/>
      <c r="V66" s="67"/>
      <c r="W66" s="67"/>
      <c r="X66" s="67"/>
      <c r="Y66" s="67"/>
      <c r="Z66" s="67"/>
    </row>
    <row r="67" spans="17:26" ht="16.95" customHeight="1" x14ac:dyDescent="0.3">
      <c r="S67" s="67"/>
      <c r="T67" s="67"/>
      <c r="U67" s="67"/>
      <c r="V67" s="67"/>
      <c r="W67" s="67"/>
      <c r="X67" s="67"/>
      <c r="Y67" s="67"/>
      <c r="Z67" s="67"/>
    </row>
    <row r="68" spans="17:26" ht="16.95" customHeight="1" x14ac:dyDescent="0.3">
      <c r="S68" s="67"/>
      <c r="T68" s="67"/>
      <c r="U68" s="67"/>
      <c r="V68" s="67"/>
      <c r="W68" s="67"/>
      <c r="X68" s="67"/>
      <c r="Y68" s="67"/>
      <c r="Z68" s="67"/>
    </row>
    <row r="69" spans="17:26" ht="16.95" customHeight="1" x14ac:dyDescent="0.3">
      <c r="S69" s="67"/>
      <c r="T69" s="67"/>
      <c r="U69" s="67"/>
      <c r="V69" s="67"/>
      <c r="W69" s="67"/>
      <c r="X69" s="67"/>
      <c r="Y69" s="67"/>
      <c r="Z69" s="67"/>
    </row>
    <row r="70" spans="17:26" ht="16.95" customHeight="1" x14ac:dyDescent="0.3"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7:26" ht="16.95" customHeight="1" x14ac:dyDescent="0.3">
      <c r="S71" s="67"/>
      <c r="T71" s="67"/>
      <c r="U71" s="67"/>
      <c r="V71" s="67"/>
      <c r="W71" s="67"/>
      <c r="X71" s="67"/>
      <c r="Y71" s="67"/>
      <c r="Z71" s="67"/>
    </row>
    <row r="72" spans="17:26" ht="16.95" customHeight="1" x14ac:dyDescent="0.3">
      <c r="S72" s="67"/>
      <c r="T72" s="67"/>
      <c r="U72" s="67"/>
      <c r="V72" s="67"/>
      <c r="W72" s="67"/>
      <c r="X72" s="67"/>
      <c r="Y72" s="67"/>
      <c r="Z72" s="67"/>
    </row>
    <row r="73" spans="17:26" ht="16.95" customHeight="1" x14ac:dyDescent="0.3">
      <c r="S73" s="67"/>
      <c r="T73" s="67"/>
      <c r="U73" s="67"/>
      <c r="V73" s="67"/>
      <c r="W73" s="67"/>
      <c r="X73" s="67"/>
      <c r="Y73" s="67"/>
      <c r="Z73" s="67"/>
    </row>
    <row r="74" spans="17:26" ht="16.95" customHeight="1" x14ac:dyDescent="0.3"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7:26" ht="16.95" customHeight="1" x14ac:dyDescent="0.3">
      <c r="S75" s="67"/>
      <c r="T75" s="67"/>
      <c r="U75" s="67"/>
      <c r="V75" s="67"/>
      <c r="W75" s="67"/>
      <c r="X75" s="67"/>
      <c r="Y75" s="67"/>
      <c r="Z75" s="67"/>
    </row>
    <row r="76" spans="17:26" ht="16.95" customHeight="1" x14ac:dyDescent="0.3">
      <c r="S76" s="67"/>
      <c r="T76" s="67"/>
      <c r="U76" s="67"/>
      <c r="V76" s="67"/>
      <c r="W76" s="67"/>
      <c r="X76" s="67"/>
      <c r="Y76" s="67"/>
      <c r="Z76" s="67"/>
    </row>
    <row r="77" spans="17:26" ht="16.95" customHeight="1" x14ac:dyDescent="0.3">
      <c r="S77" s="67"/>
      <c r="T77" s="67"/>
      <c r="U77" s="67"/>
      <c r="V77" s="67"/>
      <c r="W77" s="67"/>
      <c r="X77" s="67"/>
      <c r="Y77" s="67"/>
      <c r="Z77" s="67"/>
    </row>
    <row r="78" spans="17:26" ht="16.95" customHeight="1" x14ac:dyDescent="0.3">
      <c r="S78" s="67"/>
      <c r="T78" s="67"/>
      <c r="U78" s="67"/>
      <c r="V78" s="67"/>
      <c r="W78" s="67"/>
      <c r="X78" s="67"/>
      <c r="Y78" s="67"/>
      <c r="Z78" s="67"/>
    </row>
    <row r="79" spans="17:26" ht="16.95" customHeight="1" x14ac:dyDescent="0.3">
      <c r="S79" s="67"/>
      <c r="T79" s="67"/>
      <c r="U79" s="67"/>
      <c r="V79" s="67"/>
      <c r="W79" s="67"/>
      <c r="X79" s="67"/>
      <c r="Y79" s="67"/>
      <c r="Z79" s="67"/>
    </row>
    <row r="80" spans="17:26" ht="16.95" customHeight="1" x14ac:dyDescent="0.3">
      <c r="S80" s="67"/>
      <c r="T80" s="67"/>
      <c r="U80" s="67"/>
      <c r="V80" s="67"/>
      <c r="W80" s="67"/>
      <c r="X80" s="67"/>
      <c r="Y80" s="67"/>
      <c r="Z80" s="67"/>
    </row>
    <row r="81" spans="17:26" ht="16.95" customHeight="1" x14ac:dyDescent="0.3">
      <c r="S81" s="67"/>
      <c r="T81" s="67"/>
      <c r="U81" s="67"/>
      <c r="V81" s="67"/>
      <c r="W81" s="67"/>
      <c r="X81" s="67"/>
      <c r="Y81" s="67"/>
      <c r="Z81" s="67"/>
    </row>
    <row r="82" spans="17:26" ht="16.95" customHeight="1" x14ac:dyDescent="0.3">
      <c r="S82" s="67"/>
      <c r="T82" s="67"/>
      <c r="U82" s="67"/>
      <c r="V82" s="67"/>
      <c r="W82" s="67"/>
      <c r="X82" s="67"/>
      <c r="Y82" s="67"/>
      <c r="Z82" s="67"/>
    </row>
    <row r="83" spans="17:26" ht="16.95" customHeight="1" x14ac:dyDescent="0.3">
      <c r="S83" s="67"/>
      <c r="T83" s="67"/>
      <c r="U83" s="67"/>
      <c r="V83" s="67"/>
      <c r="W83" s="67"/>
      <c r="X83" s="67"/>
      <c r="Y83" s="67"/>
      <c r="Z83" s="67"/>
    </row>
    <row r="84" spans="17:26" ht="16.95" customHeight="1" x14ac:dyDescent="0.3">
      <c r="Q84" s="76"/>
      <c r="R84" s="76"/>
      <c r="S84" s="76"/>
      <c r="T84" s="76"/>
      <c r="U84" s="76"/>
      <c r="V84" s="76"/>
      <c r="W84" s="76"/>
      <c r="X84" s="76"/>
      <c r="Y84" s="76"/>
      <c r="Z84" s="76"/>
    </row>
  </sheetData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FFEC-C89B-41DB-9ACF-51003F7C2E57}">
  <dimension ref="A1:N15"/>
  <sheetViews>
    <sheetView workbookViewId="0">
      <selection activeCell="H11" sqref="H11"/>
    </sheetView>
  </sheetViews>
  <sheetFormatPr defaultRowHeight="13.2" x14ac:dyDescent="0.25"/>
  <cols>
    <col min="1" max="1" width="28.6640625" customWidth="1"/>
  </cols>
  <sheetData>
    <row r="1" spans="1:14" x14ac:dyDescent="0.25">
      <c r="A1" s="48" t="s">
        <v>130</v>
      </c>
    </row>
    <row r="2" spans="1:14" x14ac:dyDescent="0.25">
      <c r="A2" t="s">
        <v>129</v>
      </c>
    </row>
    <row r="3" spans="1:14" x14ac:dyDescent="0.25">
      <c r="A3" s="47"/>
      <c r="B3" s="47" t="s">
        <v>128</v>
      </c>
      <c r="C3" s="47" t="s">
        <v>127</v>
      </c>
      <c r="D3" s="47" t="s">
        <v>126</v>
      </c>
      <c r="E3" s="47" t="s">
        <v>125</v>
      </c>
      <c r="F3" s="47" t="s">
        <v>124</v>
      </c>
      <c r="G3" s="47" t="s">
        <v>123</v>
      </c>
      <c r="H3" s="47" t="s">
        <v>122</v>
      </c>
      <c r="I3" s="47" t="s">
        <v>121</v>
      </c>
      <c r="J3" s="47" t="s">
        <v>120</v>
      </c>
      <c r="K3" s="47" t="s">
        <v>119</v>
      </c>
      <c r="L3" s="47" t="s">
        <v>118</v>
      </c>
      <c r="M3" s="47" t="s">
        <v>117</v>
      </c>
      <c r="N3" s="47" t="s">
        <v>116</v>
      </c>
    </row>
    <row r="4" spans="1:14" x14ac:dyDescent="0.25">
      <c r="A4" s="44" t="s">
        <v>115</v>
      </c>
      <c r="B4" s="43">
        <v>232887</v>
      </c>
      <c r="C4" s="43">
        <v>280522</v>
      </c>
      <c r="D4" s="43">
        <v>386064</v>
      </c>
      <c r="E4" s="43">
        <v>469822</v>
      </c>
      <c r="F4" s="43">
        <v>513983</v>
      </c>
      <c r="G4" s="43">
        <v>574785</v>
      </c>
      <c r="H4" s="43">
        <v>637959</v>
      </c>
      <c r="I4" s="43">
        <v>714586</v>
      </c>
      <c r="J4" s="43">
        <v>795691</v>
      </c>
      <c r="K4" s="43">
        <v>884256</v>
      </c>
      <c r="L4" s="43">
        <v>979731</v>
      </c>
      <c r="M4" s="43">
        <v>1088660</v>
      </c>
      <c r="N4" s="43">
        <v>1213470</v>
      </c>
    </row>
    <row r="5" spans="1:14" x14ac:dyDescent="0.25">
      <c r="A5" s="39" t="s">
        <v>114</v>
      </c>
      <c r="B5" s="38">
        <v>141366</v>
      </c>
      <c r="C5" s="38">
        <v>170773</v>
      </c>
      <c r="D5" s="38">
        <v>236282</v>
      </c>
      <c r="E5" s="38">
        <v>279833</v>
      </c>
      <c r="F5" s="38">
        <v>315880</v>
      </c>
      <c r="G5" s="38">
        <v>352828</v>
      </c>
      <c r="H5" s="38">
        <v>387497</v>
      </c>
      <c r="I5" s="38">
        <v>426457</v>
      </c>
      <c r="J5" s="38">
        <v>466284</v>
      </c>
      <c r="K5" s="38">
        <v>503076</v>
      </c>
      <c r="L5" s="38">
        <v>545101</v>
      </c>
      <c r="M5" s="38">
        <v>586182</v>
      </c>
      <c r="N5" s="38">
        <v>640996</v>
      </c>
    </row>
    <row r="6" spans="1:14" x14ac:dyDescent="0.25">
      <c r="A6" s="42" t="s">
        <v>113</v>
      </c>
      <c r="B6" s="41">
        <v>65866</v>
      </c>
      <c r="C6" s="41">
        <v>74723</v>
      </c>
      <c r="D6" s="41">
        <v>104412</v>
      </c>
      <c r="E6" s="41">
        <v>127787</v>
      </c>
      <c r="F6" s="41">
        <v>118007</v>
      </c>
      <c r="G6" s="41">
        <v>131200</v>
      </c>
      <c r="H6" s="41">
        <v>142906</v>
      </c>
      <c r="I6" s="41">
        <v>160758</v>
      </c>
      <c r="J6" s="41">
        <v>177104</v>
      </c>
      <c r="K6" s="41">
        <v>198824</v>
      </c>
      <c r="L6" s="41">
        <v>216001</v>
      </c>
      <c r="M6" s="41">
        <v>235949</v>
      </c>
      <c r="N6" s="41">
        <v>263800</v>
      </c>
    </row>
    <row r="7" spans="1:14" x14ac:dyDescent="0.25">
      <c r="A7" s="39" t="s">
        <v>112</v>
      </c>
      <c r="B7" s="38">
        <v>25655</v>
      </c>
      <c r="C7" s="38">
        <v>35026</v>
      </c>
      <c r="D7" s="38">
        <v>45370</v>
      </c>
      <c r="E7" s="38">
        <v>62202</v>
      </c>
      <c r="F7" s="38">
        <v>80096</v>
      </c>
      <c r="G7" s="38">
        <v>90757</v>
      </c>
      <c r="H7" s="38">
        <v>107556</v>
      </c>
      <c r="I7" s="38">
        <v>127873</v>
      </c>
      <c r="J7" s="38">
        <v>154576</v>
      </c>
      <c r="K7" s="38">
        <v>186847</v>
      </c>
      <c r="L7" s="38">
        <v>225379</v>
      </c>
      <c r="M7" s="38">
        <v>268234</v>
      </c>
      <c r="N7" s="38">
        <v>325441</v>
      </c>
    </row>
    <row r="8" spans="1:14" x14ac:dyDescent="0.25">
      <c r="A8" s="44" t="s">
        <v>61</v>
      </c>
      <c r="B8" s="43">
        <v>12421</v>
      </c>
      <c r="C8" s="43">
        <v>14541</v>
      </c>
      <c r="D8" s="43">
        <v>22899</v>
      </c>
      <c r="E8" s="43">
        <v>24879</v>
      </c>
      <c r="F8" s="43">
        <v>12248</v>
      </c>
      <c r="G8" s="43">
        <v>36852</v>
      </c>
      <c r="H8" s="43">
        <v>68593</v>
      </c>
      <c r="I8" s="43">
        <v>80013</v>
      </c>
      <c r="J8" s="43">
        <v>100626</v>
      </c>
      <c r="K8" s="43">
        <v>124430</v>
      </c>
      <c r="L8" s="43">
        <v>157973</v>
      </c>
      <c r="M8" s="43">
        <v>192249</v>
      </c>
      <c r="N8" s="43">
        <v>241312</v>
      </c>
    </row>
    <row r="9" spans="1:14" x14ac:dyDescent="0.25">
      <c r="A9" s="39" t="s">
        <v>114</v>
      </c>
      <c r="B9" s="38">
        <v>7267</v>
      </c>
      <c r="C9" s="38">
        <v>7033</v>
      </c>
      <c r="D9" s="38">
        <v>8651</v>
      </c>
      <c r="E9" s="38">
        <v>7271</v>
      </c>
      <c r="F9" s="46">
        <v>-2847</v>
      </c>
      <c r="G9" s="38">
        <v>14877</v>
      </c>
      <c r="H9" s="38">
        <v>24967</v>
      </c>
      <c r="I9" s="38">
        <v>29336.9</v>
      </c>
      <c r="J9" s="38">
        <v>40979.199999999997</v>
      </c>
      <c r="K9" s="38">
        <v>48847.1</v>
      </c>
      <c r="L9" s="38">
        <v>75197</v>
      </c>
      <c r="M9" s="38">
        <v>95578</v>
      </c>
      <c r="N9" s="38">
        <v>118301</v>
      </c>
    </row>
    <row r="10" spans="1:14" x14ac:dyDescent="0.25">
      <c r="A10" s="42" t="s">
        <v>113</v>
      </c>
      <c r="B10" s="45">
        <v>-2142</v>
      </c>
      <c r="C10" s="45">
        <v>-1693</v>
      </c>
      <c r="D10" s="41">
        <v>717</v>
      </c>
      <c r="E10" s="45">
        <v>-924</v>
      </c>
      <c r="F10" s="45">
        <v>-7746</v>
      </c>
      <c r="G10" s="45">
        <v>-2656</v>
      </c>
      <c r="H10" s="41">
        <v>3792</v>
      </c>
      <c r="I10" s="41">
        <v>5606.33</v>
      </c>
      <c r="J10" s="41">
        <v>9302.25</v>
      </c>
      <c r="K10" s="41">
        <v>14689.8</v>
      </c>
      <c r="L10" s="41">
        <v>14275</v>
      </c>
      <c r="M10" s="41">
        <v>18157</v>
      </c>
      <c r="N10" s="41">
        <v>22674</v>
      </c>
    </row>
    <row r="11" spans="1:14" x14ac:dyDescent="0.25">
      <c r="A11" s="39" t="s">
        <v>112</v>
      </c>
      <c r="B11" s="38">
        <v>7296</v>
      </c>
      <c r="C11" s="38">
        <v>9201</v>
      </c>
      <c r="D11" s="38">
        <v>13531</v>
      </c>
      <c r="E11" s="38">
        <v>18532</v>
      </c>
      <c r="F11" s="38">
        <v>22841</v>
      </c>
      <c r="G11" s="38">
        <v>24631</v>
      </c>
      <c r="H11" s="38">
        <v>39834</v>
      </c>
      <c r="I11" s="38">
        <v>44985.1</v>
      </c>
      <c r="J11" s="38">
        <v>52644.7</v>
      </c>
      <c r="K11" s="38">
        <v>63144.4</v>
      </c>
      <c r="L11" s="38">
        <v>75972.3</v>
      </c>
      <c r="M11" s="38">
        <v>90809</v>
      </c>
      <c r="N11" s="38">
        <v>106958</v>
      </c>
    </row>
    <row r="12" spans="1:14" x14ac:dyDescent="0.25">
      <c r="A12" s="44" t="s">
        <v>28</v>
      </c>
      <c r="B12" s="43">
        <v>33476</v>
      </c>
      <c r="C12" s="43">
        <v>43245</v>
      </c>
      <c r="D12" s="43">
        <v>57284</v>
      </c>
      <c r="E12" s="43">
        <v>71994</v>
      </c>
      <c r="F12" s="43">
        <v>73836</v>
      </c>
      <c r="G12" s="43">
        <v>109538</v>
      </c>
      <c r="H12" s="43">
        <v>143399</v>
      </c>
      <c r="I12" s="43">
        <v>166624</v>
      </c>
      <c r="J12" s="43">
        <v>199988</v>
      </c>
      <c r="K12" s="43">
        <v>245035</v>
      </c>
      <c r="L12" s="43">
        <v>290552</v>
      </c>
      <c r="M12" s="43">
        <v>340864</v>
      </c>
      <c r="N12" s="43">
        <v>409211</v>
      </c>
    </row>
    <row r="13" spans="1:14" x14ac:dyDescent="0.25">
      <c r="A13" s="39" t="s">
        <v>114</v>
      </c>
      <c r="B13" s="38">
        <v>13492</v>
      </c>
      <c r="C13" s="38">
        <v>16504</v>
      </c>
      <c r="D13" s="38">
        <v>17413</v>
      </c>
      <c r="E13" s="38">
        <v>22762</v>
      </c>
      <c r="F13" s="38">
        <v>17894</v>
      </c>
      <c r="G13" s="38">
        <v>41189</v>
      </c>
      <c r="H13" s="38">
        <v>53000</v>
      </c>
      <c r="I13" s="38">
        <v>62534</v>
      </c>
      <c r="J13" s="38">
        <v>68376</v>
      </c>
      <c r="K13" s="38">
        <v>82145</v>
      </c>
      <c r="L13" s="37" t="s">
        <v>56</v>
      </c>
      <c r="M13" s="37" t="s">
        <v>56</v>
      </c>
      <c r="N13" s="37" t="s">
        <v>56</v>
      </c>
    </row>
    <row r="14" spans="1:14" x14ac:dyDescent="0.25">
      <c r="A14" s="42" t="s">
        <v>113</v>
      </c>
      <c r="B14" s="40" t="s">
        <v>56</v>
      </c>
      <c r="C14" s="41">
        <v>5921</v>
      </c>
      <c r="D14" s="41">
        <v>7269</v>
      </c>
      <c r="E14" s="41">
        <v>14485</v>
      </c>
      <c r="F14" s="41">
        <v>14198</v>
      </c>
      <c r="G14" s="41">
        <v>16832</v>
      </c>
      <c r="H14" s="41">
        <v>27038</v>
      </c>
      <c r="I14" s="41">
        <v>33159</v>
      </c>
      <c r="J14" s="41">
        <v>40518</v>
      </c>
      <c r="K14" s="41">
        <v>48078</v>
      </c>
      <c r="L14" s="40" t="s">
        <v>56</v>
      </c>
      <c r="M14" s="40" t="s">
        <v>56</v>
      </c>
      <c r="N14" s="40" t="s">
        <v>56</v>
      </c>
    </row>
    <row r="15" spans="1:14" x14ac:dyDescent="0.25">
      <c r="A15" s="39" t="s">
        <v>112</v>
      </c>
      <c r="B15" s="38">
        <v>14189</v>
      </c>
      <c r="C15" s="38">
        <v>18239.599999999999</v>
      </c>
      <c r="D15" s="38">
        <v>22953.5</v>
      </c>
      <c r="E15" s="38">
        <v>31239</v>
      </c>
      <c r="F15" s="38">
        <v>37506</v>
      </c>
      <c r="G15" s="38">
        <v>46916</v>
      </c>
      <c r="H15" s="38">
        <v>63347</v>
      </c>
      <c r="I15" s="38">
        <v>76127</v>
      </c>
      <c r="J15" s="37" t="s">
        <v>56</v>
      </c>
      <c r="K15" s="38">
        <v>114816</v>
      </c>
      <c r="L15" s="37" t="s">
        <v>56</v>
      </c>
      <c r="M15" s="37" t="s">
        <v>56</v>
      </c>
      <c r="N15" s="3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2025-11-06T04:15:08Z</dcterms:created>
  <dcterms:modified xsi:type="dcterms:W3CDTF">2026-03-07T04:47:28Z</dcterms:modified>
</cp:coreProperties>
</file>