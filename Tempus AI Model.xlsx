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48EF6A95-F1EC-4C0A-8DFD-A0F7718B2385}" xr6:coauthVersionLast="47" xr6:coauthVersionMax="47" xr10:uidLastSave="{00000000-0000-0000-0000-000000000000}"/>
  <bookViews>
    <workbookView xWindow="33780" yWindow="264" windowWidth="27216" windowHeight="16248" xr2:uid="{64BEE0EA-45A1-4490-9445-11F5F6D37C44}"/>
  </bookViews>
  <sheets>
    <sheet name="Main" sheetId="1" r:id="rId1"/>
    <sheet name="Segments" sheetId="3" r:id="rId2"/>
    <sheet name="Extr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E7" i="3"/>
  <c r="K4" i="3"/>
  <c r="J4" i="3"/>
  <c r="I4" i="3"/>
  <c r="H4" i="3"/>
  <c r="G4" i="3"/>
  <c r="F4" i="3"/>
  <c r="F9" i="3" s="1"/>
  <c r="E4" i="3"/>
  <c r="K40" i="1"/>
  <c r="I40" i="1"/>
  <c r="K37" i="1"/>
  <c r="G79" i="1"/>
  <c r="F79" i="1"/>
  <c r="E79" i="1"/>
  <c r="K76" i="1"/>
  <c r="J76" i="1"/>
  <c r="I76" i="1"/>
  <c r="H76" i="1"/>
  <c r="G76" i="1"/>
  <c r="F76" i="1"/>
  <c r="E76" i="1"/>
  <c r="K52" i="1"/>
  <c r="J52" i="1"/>
  <c r="I52" i="1"/>
  <c r="H52" i="1"/>
  <c r="G52" i="1"/>
  <c r="F52" i="1"/>
  <c r="E52" i="1"/>
  <c r="K73" i="1"/>
  <c r="J73" i="1"/>
  <c r="I73" i="1"/>
  <c r="H73" i="1"/>
  <c r="G73" i="1"/>
  <c r="F73" i="1"/>
  <c r="E73" i="1"/>
  <c r="F57" i="1"/>
  <c r="G57" i="1"/>
  <c r="E57" i="1"/>
  <c r="H51" i="1"/>
  <c r="K34" i="1"/>
  <c r="K42" i="1"/>
  <c r="K65" i="1" s="1"/>
  <c r="K33" i="1"/>
  <c r="I33" i="1"/>
  <c r="I42" i="1" s="1"/>
  <c r="G33" i="1"/>
  <c r="G42" i="1" s="1"/>
  <c r="K31" i="1"/>
  <c r="I31" i="1"/>
  <c r="H31" i="1"/>
  <c r="G31" i="1"/>
  <c r="K28" i="1"/>
  <c r="J28" i="1"/>
  <c r="K27" i="1"/>
  <c r="K62" i="1" s="1"/>
  <c r="J27" i="1"/>
  <c r="J37" i="1" s="1"/>
  <c r="I27" i="1"/>
  <c r="H27" i="1"/>
  <c r="H40" i="1" s="1"/>
  <c r="G27" i="1"/>
  <c r="G40" i="1" s="1"/>
  <c r="E27" i="1"/>
  <c r="E62" i="1" s="1"/>
  <c r="K48" i="3"/>
  <c r="J48" i="3"/>
  <c r="I48" i="3"/>
  <c r="H48" i="3"/>
  <c r="G48" i="3"/>
  <c r="F48" i="3"/>
  <c r="E48" i="3"/>
  <c r="K45" i="3"/>
  <c r="J45" i="3"/>
  <c r="I45" i="3"/>
  <c r="H45" i="3"/>
  <c r="G45" i="3"/>
  <c r="F45" i="3"/>
  <c r="K36" i="3"/>
  <c r="J36" i="3"/>
  <c r="I36" i="3"/>
  <c r="H36" i="3"/>
  <c r="G36" i="3"/>
  <c r="E36" i="3"/>
  <c r="F39" i="3"/>
  <c r="K42" i="3"/>
  <c r="J42" i="3"/>
  <c r="I42" i="3"/>
  <c r="H42" i="3"/>
  <c r="G42" i="3"/>
  <c r="F42" i="3"/>
  <c r="K39" i="3"/>
  <c r="J39" i="3"/>
  <c r="I39" i="3"/>
  <c r="H39" i="3"/>
  <c r="G39" i="3"/>
  <c r="E39" i="3"/>
  <c r="G33" i="3"/>
  <c r="F33" i="3"/>
  <c r="E33" i="3"/>
  <c r="K9" i="3"/>
  <c r="J9" i="3"/>
  <c r="I9" i="3"/>
  <c r="H9" i="3"/>
  <c r="G9" i="3"/>
  <c r="E9" i="3"/>
  <c r="K5" i="3"/>
  <c r="J5" i="3"/>
  <c r="I5" i="3"/>
  <c r="H5" i="3"/>
  <c r="F5" i="3"/>
  <c r="G30" i="3"/>
  <c r="F30" i="3"/>
  <c r="E30" i="3"/>
  <c r="K27" i="3"/>
  <c r="J27" i="3"/>
  <c r="I27" i="3"/>
  <c r="H27" i="3"/>
  <c r="G27" i="3"/>
  <c r="E27" i="3"/>
  <c r="K20" i="3"/>
  <c r="J20" i="3"/>
  <c r="I20" i="3"/>
  <c r="H20" i="3"/>
  <c r="G20" i="3"/>
  <c r="F20" i="3"/>
  <c r="K13" i="3"/>
  <c r="J13" i="3"/>
  <c r="I13" i="3"/>
  <c r="H13" i="3"/>
  <c r="G13" i="3"/>
  <c r="F13" i="3"/>
  <c r="E13" i="3"/>
  <c r="K17" i="3"/>
  <c r="J17" i="3"/>
  <c r="I17" i="3"/>
  <c r="H17" i="3"/>
  <c r="G17" i="3"/>
  <c r="F17" i="3"/>
  <c r="E17" i="3"/>
  <c r="K16" i="3"/>
  <c r="J16" i="3"/>
  <c r="I16" i="3"/>
  <c r="H16" i="3"/>
  <c r="G16" i="3"/>
  <c r="F16" i="3"/>
  <c r="K12" i="3"/>
  <c r="J12" i="3"/>
  <c r="I12" i="3"/>
  <c r="H12" i="3"/>
  <c r="G12" i="3"/>
  <c r="F12" i="3"/>
  <c r="K8" i="3"/>
  <c r="J8" i="3"/>
  <c r="I8" i="3"/>
  <c r="H8" i="3"/>
  <c r="G8" i="3"/>
  <c r="F8" i="3"/>
  <c r="G5" i="3" l="1"/>
  <c r="F27" i="1"/>
  <c r="F40" i="1" s="1"/>
  <c r="F36" i="3"/>
  <c r="F31" i="1"/>
  <c r="E37" i="1"/>
  <c r="E31" i="1"/>
  <c r="K69" i="1"/>
  <c r="K71" i="1"/>
  <c r="K74" i="1"/>
  <c r="K77" i="1"/>
  <c r="K43" i="1"/>
  <c r="K46" i="1"/>
  <c r="K51" i="1"/>
  <c r="G62" i="1"/>
  <c r="G82" i="1" s="1"/>
  <c r="G83" i="1" s="1"/>
  <c r="H62" i="1"/>
  <c r="H74" i="1" s="1"/>
  <c r="I28" i="1"/>
  <c r="I62" i="1"/>
  <c r="I77" i="1" s="1"/>
  <c r="J62" i="1"/>
  <c r="J74" i="1" s="1"/>
  <c r="J31" i="1"/>
  <c r="J33" i="1"/>
  <c r="J42" i="1" s="1"/>
  <c r="J40" i="1"/>
  <c r="H77" i="1"/>
  <c r="F62" i="1"/>
  <c r="F74" i="1" s="1"/>
  <c r="J65" i="1"/>
  <c r="J43" i="1"/>
  <c r="J46" i="1"/>
  <c r="G46" i="1"/>
  <c r="G65" i="1"/>
  <c r="G43" i="1"/>
  <c r="F83" i="1"/>
  <c r="E83" i="1"/>
  <c r="K66" i="1"/>
  <c r="E77" i="1"/>
  <c r="E74" i="1"/>
  <c r="I65" i="1"/>
  <c r="I46" i="1"/>
  <c r="I43" i="1"/>
  <c r="G34" i="1"/>
  <c r="H63" i="1"/>
  <c r="G77" i="1"/>
  <c r="E33" i="1"/>
  <c r="I63" i="1"/>
  <c r="G74" i="1"/>
  <c r="F33" i="1"/>
  <c r="I34" i="1"/>
  <c r="J63" i="1"/>
  <c r="J77" i="1"/>
  <c r="J34" i="1"/>
  <c r="K63" i="1"/>
  <c r="I74" i="1"/>
  <c r="H33" i="1"/>
  <c r="E51" i="1"/>
  <c r="E80" i="1"/>
  <c r="F51" i="1"/>
  <c r="F80" i="1"/>
  <c r="F37" i="1"/>
  <c r="G51" i="1"/>
  <c r="G80" i="1"/>
  <c r="G37" i="1"/>
  <c r="H37" i="1"/>
  <c r="I51" i="1"/>
  <c r="F58" i="1"/>
  <c r="I37" i="1"/>
  <c r="J51" i="1"/>
  <c r="G58" i="1"/>
  <c r="F59" i="1"/>
  <c r="F28" i="1"/>
  <c r="G59" i="1"/>
  <c r="E40" i="1"/>
  <c r="G28" i="1"/>
  <c r="E58" i="1"/>
  <c r="H28" i="1"/>
  <c r="F77" i="1" l="1"/>
  <c r="F63" i="1"/>
  <c r="G63" i="1"/>
  <c r="G69" i="1"/>
  <c r="G71" i="1"/>
  <c r="G66" i="1"/>
  <c r="E42" i="1"/>
  <c r="E34" i="1"/>
  <c r="I69" i="1"/>
  <c r="I66" i="1"/>
  <c r="I71" i="1"/>
  <c r="F42" i="1"/>
  <c r="F34" i="1"/>
  <c r="H42" i="1"/>
  <c r="H34" i="1"/>
  <c r="J69" i="1"/>
  <c r="J66" i="1"/>
  <c r="J71" i="1"/>
  <c r="H65" i="1" l="1"/>
  <c r="H43" i="1"/>
  <c r="H46" i="1"/>
  <c r="E46" i="1"/>
  <c r="E65" i="1"/>
  <c r="E43" i="1"/>
  <c r="F46" i="1"/>
  <c r="F65" i="1"/>
  <c r="F43" i="1"/>
  <c r="F69" i="1" l="1"/>
  <c r="F71" i="1"/>
  <c r="F66" i="1"/>
  <c r="E69" i="1"/>
  <c r="E66" i="1"/>
  <c r="E71" i="1"/>
  <c r="H71" i="1"/>
  <c r="H69" i="1"/>
  <c r="H66" i="1"/>
  <c r="F24" i="3" l="1"/>
  <c r="F2" i="3"/>
  <c r="P16" i="1" l="1"/>
  <c r="F15" i="1" l="1"/>
  <c r="F61" i="1" l="1"/>
  <c r="F48" i="1"/>
  <c r="F25" i="1"/>
</calcChain>
</file>

<file path=xl/sharedStrings.xml><?xml version="1.0" encoding="utf-8"?>
<sst xmlns="http://schemas.openxmlformats.org/spreadsheetml/2006/main" count="182" uniqueCount="110">
  <si>
    <t>Ticker</t>
  </si>
  <si>
    <t>Implied Share Price</t>
  </si>
  <si>
    <t>Current Share Price</t>
  </si>
  <si>
    <t>Implied Upside / (Downside)</t>
  </si>
  <si>
    <t>Income Statement</t>
  </si>
  <si>
    <t>2026E</t>
  </si>
  <si>
    <t>2027E</t>
  </si>
  <si>
    <t>2028E</t>
  </si>
  <si>
    <t>2029E</t>
  </si>
  <si>
    <t>2030E</t>
  </si>
  <si>
    <t>Revenue</t>
  </si>
  <si>
    <t>% growth</t>
  </si>
  <si>
    <t>EBIT</t>
  </si>
  <si>
    <t>Taxes</t>
  </si>
  <si>
    <t>Tax rate</t>
  </si>
  <si>
    <t>% of sales</t>
  </si>
  <si>
    <t>Cash Flow Items</t>
  </si>
  <si>
    <t>D&amp;A</t>
  </si>
  <si>
    <t>CapEx</t>
  </si>
  <si>
    <t>Changes in NWC</t>
  </si>
  <si>
    <t>% of changes in sales</t>
  </si>
  <si>
    <t>DCF</t>
  </si>
  <si>
    <t>EBIAT</t>
  </si>
  <si>
    <t>Free Cash Flow</t>
  </si>
  <si>
    <t>Present Value of FCF</t>
  </si>
  <si>
    <t>Key Statistics</t>
  </si>
  <si>
    <t>Stock Price</t>
  </si>
  <si>
    <t>Market Cap</t>
  </si>
  <si>
    <t>Cash</t>
  </si>
  <si>
    <t>Debt</t>
  </si>
  <si>
    <t>Enterprise Value</t>
  </si>
  <si>
    <t xml:space="preserve">shares outstanding diluted </t>
  </si>
  <si>
    <t>Net Debt</t>
  </si>
  <si>
    <t>% of capex</t>
  </si>
  <si>
    <t>WACC</t>
  </si>
  <si>
    <t>% of Equity</t>
  </si>
  <si>
    <t>Cost of Equity</t>
  </si>
  <si>
    <t>Risk Free Rate</t>
  </si>
  <si>
    <t>Beta</t>
  </si>
  <si>
    <t>Market Risk Premium</t>
  </si>
  <si>
    <t>% of Debt</t>
  </si>
  <si>
    <t>Cost of Debt</t>
  </si>
  <si>
    <t>Tax Rate</t>
  </si>
  <si>
    <t>Total</t>
  </si>
  <si>
    <t>Notes</t>
  </si>
  <si>
    <t>Valuation</t>
  </si>
  <si>
    <t>PV of FCF</t>
  </si>
  <si>
    <t>Terminal Value</t>
  </si>
  <si>
    <t>Shares Outstanding</t>
  </si>
  <si>
    <t>Implied Market Cap</t>
  </si>
  <si>
    <t>all values in millions except per share numbers</t>
  </si>
  <si>
    <t>EV/EBIT Multiple</t>
  </si>
  <si>
    <t>PV of Terminal Value</t>
  </si>
  <si>
    <t>Company Overview</t>
  </si>
  <si>
    <t>Price</t>
  </si>
  <si>
    <t>Key Stats</t>
  </si>
  <si>
    <t>Employees</t>
  </si>
  <si>
    <t>Founded</t>
  </si>
  <si>
    <t>CEO</t>
  </si>
  <si>
    <t>Headquarters</t>
  </si>
  <si>
    <t>Primary Industry</t>
  </si>
  <si>
    <t>Fiscal Year End</t>
  </si>
  <si>
    <t>COGS</t>
  </si>
  <si>
    <t>Gross Income</t>
  </si>
  <si>
    <t>SG&amp;A</t>
  </si>
  <si>
    <t>R&amp;D</t>
  </si>
  <si>
    <t>Last Updated</t>
  </si>
  <si>
    <t>% of fcf</t>
  </si>
  <si>
    <t>P/E (LTM)</t>
  </si>
  <si>
    <t>EV/EBITDA (LTM)</t>
  </si>
  <si>
    <t>P/S (LTM)</t>
  </si>
  <si>
    <t>Financial Ratios</t>
  </si>
  <si>
    <t>P/E (NTM)</t>
  </si>
  <si>
    <t>Stock Based Compensation</t>
  </si>
  <si>
    <t>Product Segments</t>
  </si>
  <si>
    <t>TEM</t>
  </si>
  <si>
    <t>Eric Paul Lefkofsky</t>
  </si>
  <si>
    <t>Chicago, Illinois</t>
  </si>
  <si>
    <t>Healthcare Equipment</t>
  </si>
  <si>
    <t>Genomics</t>
  </si>
  <si>
    <t>- Clinical Oncology</t>
  </si>
  <si>
    <t>- Other Genomics</t>
  </si>
  <si>
    <t>Data and Other</t>
  </si>
  <si>
    <t>Income by Segment</t>
  </si>
  <si>
    <t>- Genomics</t>
  </si>
  <si>
    <t>- Data and Other</t>
  </si>
  <si>
    <t>Sales</t>
  </si>
  <si>
    <t>Cost of Sales</t>
  </si>
  <si>
    <t>-</t>
  </si>
  <si>
    <t>Eric Paul Lefkofsky (CEO) Previous Ventures</t>
  </si>
  <si>
    <t>InnerWorkings</t>
  </si>
  <si>
    <t>Company Name</t>
  </si>
  <si>
    <t>Controversies</t>
  </si>
  <si>
    <t>INWK</t>
  </si>
  <si>
    <t>Outcome</t>
  </si>
  <si>
    <t>IPO in 2006, delisted in 2021</t>
  </si>
  <si>
    <t>Echo Global Logistics</t>
  </si>
  <si>
    <t>ECHO</t>
  </si>
  <si>
    <t>GRPN</t>
  </si>
  <si>
    <t>Groupon</t>
  </si>
  <si>
    <t>IPO in 2009, taken private in 2021</t>
  </si>
  <si>
    <t>$12.7B IPO in 2011, Stock crashed over 95%</t>
  </si>
  <si>
    <t>One of his more stable ventures, lackluster long-term returns for retail investors.</t>
  </si>
  <si>
    <t>Criticized for "fuzzy math" (using a metric called Adjusted Consolidated Segment Operating Income) and investigated by the SEC for accounting irregularities</t>
  </si>
  <si>
    <t>Other Notes</t>
  </si>
  <si>
    <t>History of cashing out early. Him and his family cashed out roughly $398 million through private share sales in Groupon before the crash</t>
  </si>
  <si>
    <t>Tempus AI Controversies</t>
  </si>
  <si>
    <t>"AI-Washing" Allegations: In mid-2025, a short-seller report from Spruce Point Capital alleged that Tempus overstates its AI capabilities, generating most of its revenue from traditional genomic testing and data licensing rather than actual AI solutions.</t>
  </si>
  <si>
    <t>Securities Class Action: A lawsuit was filed in June 2025 alleging that Tempus misled investors by inflating contract values and failing to disclose that many agreements were with "related parties" or were non-binding.</t>
  </si>
  <si>
    <t>Faced financial restatement and disclosed "material weakness" in internal controls shortly after Lefkofsky left.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</si>
</sst>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&quot;$&quot;#,##0"/>
  </numFmts>
  <fonts count="9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7" tint="-0.249977111117893"/>
      <name val="Calibri"/>
      <family val="2"/>
    </font>
    <font>
      <b/>
      <sz val="11"/>
      <name val="calibri"/>
      <family val="2"/>
    </font>
    <font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5" fillId="0" borderId="0" xfId="0" applyFont="1"/>
    <xf numFmtId="0" fontId="2" fillId="0" borderId="1" xfId="0" applyFont="1" applyBorder="1"/>
    <xf numFmtId="164" fontId="6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1" xfId="0" applyNumberFormat="1" applyFont="1" applyBorder="1"/>
    <xf numFmtId="10" fontId="2" fillId="0" borderId="0" xfId="0" applyNumberFormat="1" applyFont="1"/>
    <xf numFmtId="10" fontId="5" fillId="0" borderId="0" xfId="0" applyNumberFormat="1" applyFont="1"/>
    <xf numFmtId="3" fontId="6" fillId="0" borderId="0" xfId="0" applyNumberFormat="1" applyFont="1"/>
    <xf numFmtId="41" fontId="2" fillId="0" borderId="0" xfId="0" applyNumberFormat="1" applyFont="1"/>
    <xf numFmtId="9" fontId="5" fillId="0" borderId="0" xfId="1" applyFont="1"/>
    <xf numFmtId="10" fontId="2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7" fillId="0" borderId="1" xfId="0" applyFont="1" applyBorder="1"/>
    <xf numFmtId="165" fontId="2" fillId="0" borderId="0" xfId="0" applyNumberFormat="1" applyFont="1" applyAlignment="1">
      <alignment horizontal="center" vertical="center"/>
    </xf>
    <xf numFmtId="43" fontId="2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4" fontId="2" fillId="0" borderId="0" xfId="0" applyNumberFormat="1" applyFont="1"/>
    <xf numFmtId="8" fontId="2" fillId="0" borderId="0" xfId="0" applyNumberFormat="1" applyFont="1"/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4" fillId="0" borderId="0" xfId="0" applyFont="1"/>
    <xf numFmtId="0" fontId="2" fillId="0" borderId="0" xfId="0" quotePrefix="1" applyFont="1"/>
    <xf numFmtId="0" fontId="2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3" fontId="8" fillId="0" borderId="0" xfId="0" applyNumberFormat="1" applyFont="1"/>
    <xf numFmtId="41" fontId="6" fillId="0" borderId="0" xfId="0" applyNumberFormat="1" applyFont="1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A36DE"/>
      <color rgb="FFFF00FF"/>
      <color rgb="FFF44336"/>
      <color rgb="FF00A1F1"/>
      <color rgb="FFFFC107"/>
      <color rgb="FF4CAF50"/>
      <color rgb="FF2196F3"/>
      <color rgb="FFF65314"/>
      <color rgb="FFF25022"/>
      <color rgb="FF7CB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36</xdr:row>
      <xdr:rowOff>0</xdr:rowOff>
    </xdr:from>
    <xdr:to>
      <xdr:col>19</xdr:col>
      <xdr:colOff>304800</xdr:colOff>
      <xdr:row>37</xdr:row>
      <xdr:rowOff>121919</xdr:rowOff>
    </xdr:to>
    <xdr:sp macro="" textlink="">
      <xdr:nvSpPr>
        <xdr:cNvPr id="1028" name="AutoShape 4" descr="Microsoft Logo PNG Vector (EPS) Free Download">
          <a:extLst>
            <a:ext uri="{FF2B5EF4-FFF2-40B4-BE49-F238E27FC236}">
              <a16:creationId xmlns:a16="http://schemas.microsoft.com/office/drawing/2014/main" id="{ABBD38CA-2D10-A584-BCE7-0C6FD0BE426D}"/>
            </a:ext>
          </a:extLst>
        </xdr:cNvPr>
        <xdr:cNvSpPr>
          <a:spLocks noChangeAspect="1" noChangeArrowheads="1"/>
        </xdr:cNvSpPr>
      </xdr:nvSpPr>
      <xdr:spPr bwMode="auto">
        <a:xfrm>
          <a:off x="1290066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30</xdr:row>
      <xdr:rowOff>0</xdr:rowOff>
    </xdr:from>
    <xdr:ext cx="304800" cy="307450"/>
    <xdr:sp macro="" textlink="">
      <xdr:nvSpPr>
        <xdr:cNvPr id="8" name="AutoShape 4" descr="Microsoft Logo PNG Vector (EPS) Free Download">
          <a:extLst>
            <a:ext uri="{FF2B5EF4-FFF2-40B4-BE49-F238E27FC236}">
              <a16:creationId xmlns:a16="http://schemas.microsoft.com/office/drawing/2014/main" id="{6FA6B343-2ACA-4CD3-B35E-0E401E86DAD8}"/>
            </a:ext>
          </a:extLst>
        </xdr:cNvPr>
        <xdr:cNvSpPr>
          <a:spLocks noChangeAspect="1" noChangeArrowheads="1"/>
        </xdr:cNvSpPr>
      </xdr:nvSpPr>
      <xdr:spPr bwMode="auto">
        <a:xfrm>
          <a:off x="12934122" y="6195391"/>
          <a:ext cx="304800" cy="30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</xdr:row>
      <xdr:rowOff>0</xdr:rowOff>
    </xdr:from>
    <xdr:ext cx="304800" cy="307450"/>
    <xdr:sp macro="" textlink="">
      <xdr:nvSpPr>
        <xdr:cNvPr id="9" name="AutoShape 4" descr="Microsoft Logo PNG Vector (EPS) Free Download">
          <a:extLst>
            <a:ext uri="{FF2B5EF4-FFF2-40B4-BE49-F238E27FC236}">
              <a16:creationId xmlns:a16="http://schemas.microsoft.com/office/drawing/2014/main" id="{60FAE949-BC8C-4680-841F-42993A3BEC53}"/>
            </a:ext>
          </a:extLst>
        </xdr:cNvPr>
        <xdr:cNvSpPr>
          <a:spLocks noChangeAspect="1" noChangeArrowheads="1"/>
        </xdr:cNvSpPr>
      </xdr:nvSpPr>
      <xdr:spPr bwMode="auto">
        <a:xfrm>
          <a:off x="12934122" y="6195391"/>
          <a:ext cx="304800" cy="30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13252</xdr:colOff>
      <xdr:row>0</xdr:row>
      <xdr:rowOff>133633</xdr:rowOff>
    </xdr:from>
    <xdr:to>
      <xdr:col>3</xdr:col>
      <xdr:colOff>703028</xdr:colOff>
      <xdr:row>2</xdr:row>
      <xdr:rowOff>44044</xdr:rowOff>
    </xdr:to>
    <xdr:pic>
      <xdr:nvPicPr>
        <xdr:cNvPr id="2" name="Picture 1" descr="Tempus | AI-enabled precision medicine">
          <a:extLst>
            <a:ext uri="{FF2B5EF4-FFF2-40B4-BE49-F238E27FC236}">
              <a16:creationId xmlns:a16="http://schemas.microsoft.com/office/drawing/2014/main" id="{B5FE28DC-0895-E97E-8995-26A7E2D18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861" y="133633"/>
          <a:ext cx="2014993" cy="294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6BA9-FD26-46A5-A630-9D65D6C233D8}">
  <dimension ref="B2:X96"/>
  <sheetViews>
    <sheetView showGridLines="0" tabSelected="1" zoomScale="115" zoomScaleNormal="115" workbookViewId="0">
      <selection activeCell="D36" sqref="D36"/>
    </sheetView>
  </sheetViews>
  <sheetFormatPr defaultColWidth="8.69921875" defaultRowHeight="14.4" customHeight="1" x14ac:dyDescent="0.3"/>
  <cols>
    <col min="1" max="3" width="8.69921875" style="1"/>
    <col min="4" max="4" width="11.5" style="1" bestFit="1" customWidth="1"/>
    <col min="5" max="5" width="9.8984375" style="1" bestFit="1" customWidth="1"/>
    <col min="6" max="6" width="9.3984375" style="1" bestFit="1" customWidth="1"/>
    <col min="7" max="7" width="8.69921875" style="1"/>
    <col min="8" max="8" width="9" style="1" bestFit="1" customWidth="1"/>
    <col min="9" max="15" width="8.69921875" style="1"/>
    <col min="16" max="16" width="8.8984375" style="1" bestFit="1" customWidth="1"/>
    <col min="17" max="17" width="10.3984375" style="1" bestFit="1" customWidth="1"/>
    <col min="18" max="21" width="8.69921875" style="1"/>
    <col min="22" max="22" width="10.796875" style="1" bestFit="1" customWidth="1"/>
    <col min="23" max="23" width="8.69921875" style="1"/>
    <col min="24" max="24" width="11.796875" style="1" bestFit="1" customWidth="1"/>
    <col min="25" max="16384" width="8.69921875" style="1"/>
  </cols>
  <sheetData>
    <row r="2" spans="2:24" ht="15.6" x14ac:dyDescent="0.3">
      <c r="B2"/>
      <c r="C2"/>
      <c r="R2" s="2" t="s">
        <v>50</v>
      </c>
    </row>
    <row r="3" spans="2:24" x14ac:dyDescent="0.3">
      <c r="B3" s="2"/>
    </row>
    <row r="4" spans="2:24" ht="14.4" customHeight="1" x14ac:dyDescent="0.3">
      <c r="B4" s="29" t="s">
        <v>53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2:24" s="19" customFormat="1" ht="1.95" customHeight="1" x14ac:dyDescent="0.3"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21"/>
      <c r="N5" s="21"/>
      <c r="O5" s="21"/>
      <c r="P5" s="21"/>
    </row>
    <row r="6" spans="2:24" ht="14.4" customHeight="1" x14ac:dyDescent="0.3">
      <c r="B6" s="13" t="s">
        <v>54</v>
      </c>
      <c r="C6" s="3"/>
      <c r="D6" s="3"/>
      <c r="E6" s="3"/>
      <c r="G6" s="13" t="s">
        <v>55</v>
      </c>
      <c r="H6" s="3"/>
      <c r="I6" s="3"/>
      <c r="J6" s="3"/>
      <c r="K6" s="3"/>
      <c r="M6" s="16" t="s">
        <v>45</v>
      </c>
      <c r="N6" s="16"/>
      <c r="O6" s="16"/>
      <c r="P6" s="3"/>
      <c r="R6" s="16" t="s">
        <v>44</v>
      </c>
      <c r="S6" s="16"/>
      <c r="T6" s="16"/>
      <c r="U6" s="3"/>
    </row>
    <row r="7" spans="2:24" ht="14.4" customHeight="1" x14ac:dyDescent="0.3">
      <c r="B7" s="1" t="s">
        <v>0</v>
      </c>
      <c r="E7" s="14" t="s">
        <v>75</v>
      </c>
      <c r="G7" s="1" t="s">
        <v>56</v>
      </c>
      <c r="I7" s="24">
        <v>2400</v>
      </c>
      <c r="J7" s="24"/>
      <c r="K7" s="24"/>
      <c r="M7" s="1" t="s">
        <v>46</v>
      </c>
      <c r="P7" s="5"/>
      <c r="R7" s="1" t="s">
        <v>34</v>
      </c>
      <c r="U7" s="7"/>
    </row>
    <row r="8" spans="2:24" ht="14.4" customHeight="1" x14ac:dyDescent="0.3">
      <c r="B8" s="1" t="s">
        <v>1</v>
      </c>
      <c r="E8" s="17"/>
      <c r="G8" s="1" t="s">
        <v>57</v>
      </c>
      <c r="I8" s="25">
        <v>42217</v>
      </c>
      <c r="J8" s="28"/>
      <c r="K8" s="28"/>
      <c r="M8" s="1" t="s">
        <v>47</v>
      </c>
      <c r="P8" s="5"/>
      <c r="R8" s="1" t="s">
        <v>51</v>
      </c>
      <c r="U8" s="5"/>
      <c r="X8" s="18"/>
    </row>
    <row r="9" spans="2:24" ht="14.4" customHeight="1" x14ac:dyDescent="0.3">
      <c r="B9" s="1" t="s">
        <v>2</v>
      </c>
      <c r="E9" s="17">
        <v>70.33</v>
      </c>
      <c r="G9" s="1" t="s">
        <v>58</v>
      </c>
      <c r="I9" s="28" t="s">
        <v>76</v>
      </c>
      <c r="J9" s="28"/>
      <c r="K9" s="28"/>
      <c r="M9" s="1" t="s">
        <v>52</v>
      </c>
      <c r="P9" s="5"/>
      <c r="U9" s="5"/>
    </row>
    <row r="10" spans="2:24" ht="14.4" customHeight="1" x14ac:dyDescent="0.3">
      <c r="B10" s="1" t="s">
        <v>3</v>
      </c>
      <c r="E10" s="12"/>
      <c r="G10" s="1" t="s">
        <v>59</v>
      </c>
      <c r="I10" s="28" t="s">
        <v>77</v>
      </c>
      <c r="J10" s="28"/>
      <c r="K10" s="28"/>
      <c r="M10" s="1" t="s">
        <v>32</v>
      </c>
      <c r="P10" s="5"/>
      <c r="R10" s="16" t="s">
        <v>34</v>
      </c>
      <c r="S10" s="16"/>
      <c r="T10" s="16"/>
      <c r="U10" s="5"/>
      <c r="V10" s="5"/>
    </row>
    <row r="11" spans="2:24" ht="14.4" customHeight="1" x14ac:dyDescent="0.3">
      <c r="G11" s="1" t="s">
        <v>60</v>
      </c>
      <c r="I11" s="28" t="s">
        <v>78</v>
      </c>
      <c r="J11" s="28"/>
      <c r="K11" s="28"/>
      <c r="M11" s="1" t="s">
        <v>48</v>
      </c>
      <c r="P11" s="5"/>
      <c r="R11" s="1" t="s">
        <v>27</v>
      </c>
      <c r="T11" s="26"/>
      <c r="U11" s="26"/>
    </row>
    <row r="12" spans="2:24" ht="14.4" customHeight="1" x14ac:dyDescent="0.3">
      <c r="B12" s="1" t="s">
        <v>66</v>
      </c>
      <c r="E12" s="15">
        <v>46041</v>
      </c>
      <c r="G12" s="1" t="s">
        <v>61</v>
      </c>
      <c r="I12" s="25">
        <v>46004</v>
      </c>
      <c r="J12" s="25"/>
      <c r="K12" s="25"/>
      <c r="M12" s="1" t="s">
        <v>49</v>
      </c>
      <c r="P12" s="5"/>
      <c r="R12" s="1" t="s">
        <v>35</v>
      </c>
      <c r="U12" s="7"/>
    </row>
    <row r="13" spans="2:24" ht="14.4" customHeight="1" x14ac:dyDescent="0.3">
      <c r="I13" s="7"/>
      <c r="P13" s="5"/>
      <c r="R13" s="1" t="s">
        <v>36</v>
      </c>
      <c r="U13" s="7"/>
    </row>
    <row r="14" spans="2:24" ht="14.4" customHeight="1" x14ac:dyDescent="0.3">
      <c r="R14" s="1" t="s">
        <v>37</v>
      </c>
      <c r="U14" s="7"/>
    </row>
    <row r="15" spans="2:24" ht="14.4" customHeight="1" x14ac:dyDescent="0.3">
      <c r="B15" s="29" t="s">
        <v>25</v>
      </c>
      <c r="C15" s="29"/>
      <c r="D15" s="29"/>
      <c r="E15" s="29">
        <v>2024</v>
      </c>
      <c r="F15" s="29">
        <f>E15+1</f>
        <v>2025</v>
      </c>
      <c r="G15" s="30" t="s">
        <v>5</v>
      </c>
      <c r="H15" s="30" t="s">
        <v>6</v>
      </c>
      <c r="M15" s="16" t="s">
        <v>71</v>
      </c>
      <c r="N15" s="16"/>
      <c r="O15" s="16"/>
      <c r="P15" s="3"/>
      <c r="R15" s="1" t="s">
        <v>38</v>
      </c>
    </row>
    <row r="16" spans="2:24" s="19" customFormat="1" ht="1.95" customHeight="1" x14ac:dyDescent="0.3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"/>
      <c r="M16" s="1" t="s">
        <v>46</v>
      </c>
      <c r="N16" s="1"/>
      <c r="O16" s="1"/>
      <c r="P16" s="5">
        <f>SUM(J97:N97)</f>
        <v>0</v>
      </c>
    </row>
    <row r="17" spans="2:21" ht="14.4" customHeight="1" x14ac:dyDescent="0.3">
      <c r="B17" s="1" t="s">
        <v>26</v>
      </c>
      <c r="E17" s="4"/>
      <c r="F17" s="4"/>
      <c r="G17" s="4"/>
      <c r="H17" s="4"/>
      <c r="I17" s="4"/>
      <c r="J17" s="4"/>
      <c r="K17" s="4"/>
      <c r="M17" s="1" t="s">
        <v>27</v>
      </c>
      <c r="P17" s="5"/>
      <c r="R17" s="1" t="s">
        <v>39</v>
      </c>
      <c r="U17" s="7"/>
    </row>
    <row r="18" spans="2:21" ht="14.4" customHeight="1" x14ac:dyDescent="0.3">
      <c r="B18" s="1" t="s">
        <v>31</v>
      </c>
      <c r="E18" s="9"/>
      <c r="F18" s="9"/>
      <c r="G18" s="9"/>
      <c r="H18" s="9"/>
      <c r="I18" s="9"/>
      <c r="J18" s="9"/>
      <c r="K18" s="9"/>
      <c r="M18" s="1" t="s">
        <v>30</v>
      </c>
      <c r="P18" s="5"/>
      <c r="R18" s="1" t="s">
        <v>29</v>
      </c>
      <c r="U18" s="5"/>
    </row>
    <row r="19" spans="2:21" ht="14.4" customHeight="1" x14ac:dyDescent="0.3">
      <c r="M19" s="1" t="s">
        <v>68</v>
      </c>
      <c r="P19" s="22"/>
      <c r="R19" s="1" t="s">
        <v>40</v>
      </c>
      <c r="U19" s="7"/>
    </row>
    <row r="20" spans="2:21" ht="14.4" customHeight="1" x14ac:dyDescent="0.3">
      <c r="B20" s="1" t="s">
        <v>27</v>
      </c>
      <c r="E20" s="5"/>
      <c r="F20" s="5"/>
      <c r="G20" s="5"/>
      <c r="H20" s="5"/>
      <c r="I20" s="5"/>
      <c r="J20" s="5"/>
      <c r="K20" s="5"/>
      <c r="M20" s="1" t="s">
        <v>72</v>
      </c>
      <c r="P20" s="22"/>
      <c r="R20" s="1" t="s">
        <v>41</v>
      </c>
      <c r="U20" s="7"/>
    </row>
    <row r="21" spans="2:21" ht="14.4" customHeight="1" x14ac:dyDescent="0.3">
      <c r="B21" s="1" t="s">
        <v>28</v>
      </c>
      <c r="E21" s="9"/>
      <c r="F21" s="9"/>
      <c r="G21" s="9"/>
      <c r="H21" s="9"/>
      <c r="I21" s="9"/>
      <c r="J21" s="9"/>
      <c r="K21" s="9"/>
      <c r="M21" s="1" t="s">
        <v>70</v>
      </c>
      <c r="P21" s="22"/>
      <c r="R21" s="1" t="s">
        <v>42</v>
      </c>
      <c r="U21" s="7"/>
    </row>
    <row r="22" spans="2:21" ht="14.4" customHeight="1" x14ac:dyDescent="0.3">
      <c r="B22" s="3" t="s">
        <v>29</v>
      </c>
      <c r="C22" s="3"/>
      <c r="D22" s="3"/>
      <c r="E22" s="6"/>
      <c r="F22" s="6"/>
      <c r="G22" s="6"/>
      <c r="H22" s="6"/>
      <c r="I22" s="6"/>
      <c r="J22" s="6"/>
      <c r="K22" s="6"/>
      <c r="M22" s="1" t="s">
        <v>69</v>
      </c>
      <c r="P22" s="22"/>
      <c r="R22" s="3" t="s">
        <v>43</v>
      </c>
      <c r="S22" s="3"/>
      <c r="T22" s="27"/>
      <c r="U22" s="27"/>
    </row>
    <row r="23" spans="2:21" ht="14.4" customHeight="1" x14ac:dyDescent="0.3">
      <c r="B23" s="1" t="s">
        <v>30</v>
      </c>
      <c r="E23" s="5"/>
      <c r="F23" s="5"/>
      <c r="G23" s="5"/>
      <c r="H23" s="5"/>
      <c r="I23" s="5"/>
      <c r="J23" s="5"/>
      <c r="K23" s="5"/>
      <c r="R23" s="1" t="s">
        <v>34</v>
      </c>
      <c r="U23" s="7"/>
    </row>
    <row r="25" spans="2:21" ht="14.4" customHeight="1" x14ac:dyDescent="0.3">
      <c r="B25" s="29" t="s">
        <v>4</v>
      </c>
      <c r="C25" s="29"/>
      <c r="D25" s="29"/>
      <c r="E25" s="29">
        <v>2024</v>
      </c>
      <c r="F25" s="29">
        <f>E25+1</f>
        <v>2025</v>
      </c>
      <c r="G25" s="30" t="s">
        <v>5</v>
      </c>
      <c r="H25" s="30" t="s">
        <v>6</v>
      </c>
      <c r="I25" s="30" t="s">
        <v>7</v>
      </c>
      <c r="J25" s="30" t="s">
        <v>8</v>
      </c>
      <c r="K25" s="30" t="s">
        <v>9</v>
      </c>
    </row>
    <row r="26" spans="2:21" s="19" customFormat="1" ht="1.95" customHeight="1" x14ac:dyDescent="0.3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21"/>
      <c r="N26" s="21"/>
      <c r="O26" s="21"/>
      <c r="P26" s="21"/>
    </row>
    <row r="27" spans="2:21" ht="14.4" customHeight="1" x14ac:dyDescent="0.3">
      <c r="B27" s="1" t="s">
        <v>10</v>
      </c>
      <c r="E27" s="35">
        <f>Segments!E4</f>
        <v>693.34900000000005</v>
      </c>
      <c r="F27" s="35">
        <f>Segments!F4</f>
        <v>1265.242</v>
      </c>
      <c r="G27" s="35">
        <f>Segments!G4</f>
        <v>1576.9639999999999</v>
      </c>
      <c r="H27" s="35">
        <f>Segments!H4</f>
        <v>1964.67</v>
      </c>
      <c r="I27" s="35">
        <f>Segments!I4</f>
        <v>2399.7199999999998</v>
      </c>
      <c r="J27" s="35">
        <f>Segments!J4</f>
        <v>2952</v>
      </c>
      <c r="K27" s="35">
        <f>Segments!K4</f>
        <v>3531.3</v>
      </c>
      <c r="L27" s="5"/>
      <c r="M27" s="5"/>
      <c r="N27" s="5"/>
    </row>
    <row r="28" spans="2:21" ht="14.4" customHeight="1" x14ac:dyDescent="0.3">
      <c r="B28" s="2" t="s">
        <v>11</v>
      </c>
      <c r="C28" s="2"/>
      <c r="D28" s="2"/>
      <c r="E28" s="8"/>
      <c r="F28" s="8">
        <f t="shared" ref="F28" si="0">(F27-E27)/E27</f>
        <v>0.82482703515833999</v>
      </c>
      <c r="G28" s="8">
        <f t="shared" ref="G28" si="1">(G27-F27)/F27</f>
        <v>0.24637342105304755</v>
      </c>
      <c r="H28" s="8">
        <f t="shared" ref="H28" si="2">(H27-G27)/G27</f>
        <v>0.24585596120139722</v>
      </c>
      <c r="I28" s="8">
        <f t="shared" ref="I28" si="3">(I27-H27)/H27</f>
        <v>0.22143667893335761</v>
      </c>
      <c r="J28" s="8">
        <f t="shared" ref="J28" si="4">(J27-I27)/I27</f>
        <v>0.23014351674362019</v>
      </c>
      <c r="K28" s="8">
        <f t="shared" ref="K28" si="5">(K27-J27)/J27</f>
        <v>0.19623983739837406</v>
      </c>
      <c r="L28" s="8"/>
      <c r="M28" s="8"/>
      <c r="N28" s="8"/>
      <c r="T28"/>
    </row>
    <row r="29" spans="2:21" ht="14.4" customHeight="1" x14ac:dyDescent="0.3">
      <c r="B29" s="2"/>
      <c r="C29" s="2"/>
      <c r="D29" s="2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2:21" ht="14.4" customHeight="1" x14ac:dyDescent="0.3">
      <c r="B30" s="1" t="s">
        <v>62</v>
      </c>
      <c r="E30" s="9">
        <v>289.7</v>
      </c>
      <c r="F30" s="9">
        <v>470.95600000000002</v>
      </c>
      <c r="G30" s="5">
        <v>575.48800000000006</v>
      </c>
      <c r="H30" s="5">
        <v>697.51</v>
      </c>
      <c r="I30" s="5">
        <v>842.86699999999996</v>
      </c>
      <c r="J30" s="5">
        <v>1036.53</v>
      </c>
      <c r="K30" s="5">
        <v>1247.9000000000001</v>
      </c>
      <c r="L30" s="5"/>
      <c r="M30" s="5"/>
      <c r="N30" s="5"/>
    </row>
    <row r="31" spans="2:21" ht="14.4" customHeight="1" x14ac:dyDescent="0.3">
      <c r="B31" s="2" t="s">
        <v>15</v>
      </c>
      <c r="E31" s="8">
        <f>E30/E27</f>
        <v>0.41782709717616956</v>
      </c>
      <c r="F31" s="8">
        <f t="shared" ref="F31:K31" si="6">F30/F27</f>
        <v>0.37222602474467337</v>
      </c>
      <c r="G31" s="8">
        <f t="shared" si="6"/>
        <v>0.3649341392701419</v>
      </c>
      <c r="H31" s="8">
        <f t="shared" si="6"/>
        <v>0.3550265438979574</v>
      </c>
      <c r="I31" s="8">
        <f t="shared" si="6"/>
        <v>0.3512355608154285</v>
      </c>
      <c r="J31" s="8">
        <f t="shared" si="6"/>
        <v>0.35112804878048781</v>
      </c>
      <c r="K31" s="8">
        <f t="shared" si="6"/>
        <v>0.35338260697193669</v>
      </c>
      <c r="L31" s="8"/>
      <c r="M31" s="8"/>
      <c r="N31" s="8"/>
      <c r="T31"/>
    </row>
    <row r="33" spans="2:20" ht="14.4" customHeight="1" x14ac:dyDescent="0.3">
      <c r="B33" s="1" t="s">
        <v>63</v>
      </c>
      <c r="E33" s="5">
        <f>E27-E30</f>
        <v>403.64900000000006</v>
      </c>
      <c r="F33" s="5">
        <f t="shared" ref="F33:K33" si="7">F27-F30</f>
        <v>794.28599999999994</v>
      </c>
      <c r="G33" s="5">
        <f t="shared" si="7"/>
        <v>1001.4759999999999</v>
      </c>
      <c r="H33" s="5">
        <f t="shared" si="7"/>
        <v>1267.1600000000001</v>
      </c>
      <c r="I33" s="5">
        <f t="shared" si="7"/>
        <v>1556.8529999999998</v>
      </c>
      <c r="J33" s="5">
        <f t="shared" si="7"/>
        <v>1915.47</v>
      </c>
      <c r="K33" s="5">
        <f t="shared" si="7"/>
        <v>2283.4</v>
      </c>
      <c r="L33" s="5"/>
      <c r="M33" s="5"/>
      <c r="N33" s="5"/>
    </row>
    <row r="34" spans="2:20" ht="14.4" customHeight="1" x14ac:dyDescent="0.3">
      <c r="B34" s="2" t="s">
        <v>15</v>
      </c>
      <c r="E34" s="8">
        <f>E33/E27</f>
        <v>0.5821729028238305</v>
      </c>
      <c r="F34" s="8">
        <f t="shared" ref="F34:K34" si="8">F33/F27</f>
        <v>0.62777397525532663</v>
      </c>
      <c r="G34" s="8">
        <f t="shared" si="8"/>
        <v>0.63506586072985804</v>
      </c>
      <c r="H34" s="8">
        <f t="shared" si="8"/>
        <v>0.6449734561020426</v>
      </c>
      <c r="I34" s="8">
        <f t="shared" si="8"/>
        <v>0.6487644391845715</v>
      </c>
      <c r="J34" s="8">
        <f t="shared" si="8"/>
        <v>0.64887195121951224</v>
      </c>
      <c r="K34" s="8">
        <f t="shared" si="8"/>
        <v>0.64661739302806331</v>
      </c>
      <c r="L34" s="8"/>
      <c r="M34" s="8"/>
      <c r="N34" s="8"/>
      <c r="T34"/>
    </row>
    <row r="36" spans="2:20" ht="14.4" customHeight="1" x14ac:dyDescent="0.3">
      <c r="B36" s="1" t="s">
        <v>64</v>
      </c>
      <c r="E36" s="9">
        <v>755.4</v>
      </c>
      <c r="F36" s="9">
        <v>656.46299999999997</v>
      </c>
      <c r="G36" s="5">
        <v>729.92399999999998</v>
      </c>
      <c r="H36" s="5">
        <v>794.09100000000001</v>
      </c>
      <c r="I36" s="5">
        <v>905.26700000000005</v>
      </c>
      <c r="J36" s="5">
        <v>1056</v>
      </c>
      <c r="K36" s="5">
        <v>1257.7</v>
      </c>
      <c r="L36" s="5"/>
      <c r="M36" s="5"/>
      <c r="N36" s="5"/>
    </row>
    <row r="37" spans="2:20" ht="14.4" customHeight="1" x14ac:dyDescent="0.3">
      <c r="B37" s="2" t="s">
        <v>15</v>
      </c>
      <c r="E37" s="8">
        <f t="shared" ref="E37:K37" si="9">E36/E$27</f>
        <v>1.0894946123813547</v>
      </c>
      <c r="F37" s="8">
        <f t="shared" si="9"/>
        <v>0.51884382592421052</v>
      </c>
      <c r="G37" s="8">
        <f t="shared" si="9"/>
        <v>0.46286662219302405</v>
      </c>
      <c r="H37" s="8">
        <f t="shared" si="9"/>
        <v>0.40418543572202964</v>
      </c>
      <c r="I37" s="8">
        <f t="shared" si="9"/>
        <v>0.37723859450269204</v>
      </c>
      <c r="J37" s="8">
        <f t="shared" si="9"/>
        <v>0.35772357723577236</v>
      </c>
      <c r="K37" s="8">
        <f t="shared" si="9"/>
        <v>0.35615778891626315</v>
      </c>
      <c r="L37" s="8"/>
      <c r="M37" s="8"/>
      <c r="N37" s="8"/>
      <c r="T37"/>
    </row>
    <row r="38" spans="2:20" ht="14.4" customHeight="1" x14ac:dyDescent="0.3">
      <c r="T38"/>
    </row>
    <row r="39" spans="2:20" ht="14.4" customHeight="1" x14ac:dyDescent="0.3">
      <c r="B39" s="1" t="s">
        <v>65</v>
      </c>
      <c r="E39" s="9">
        <v>100.1</v>
      </c>
      <c r="F39" s="9">
        <v>163.92099999999999</v>
      </c>
      <c r="G39" s="5">
        <v>195.60400000000001</v>
      </c>
      <c r="H39" s="5">
        <v>221.24</v>
      </c>
      <c r="I39" s="5">
        <v>257.5</v>
      </c>
      <c r="J39" s="5">
        <v>289.25</v>
      </c>
      <c r="K39" s="5">
        <v>322.25</v>
      </c>
      <c r="L39" s="5"/>
      <c r="M39" s="5"/>
      <c r="N39" s="5"/>
    </row>
    <row r="40" spans="2:20" ht="14.4" customHeight="1" x14ac:dyDescent="0.3">
      <c r="B40" s="2" t="s">
        <v>15</v>
      </c>
      <c r="E40" s="8">
        <f>E39/E$27</f>
        <v>0.14437173775400267</v>
      </c>
      <c r="F40" s="8">
        <f t="shared" ref="F40:K40" si="10">F39/F$27</f>
        <v>0.12955703335804533</v>
      </c>
      <c r="G40" s="8">
        <f t="shared" si="10"/>
        <v>0.12403834202936784</v>
      </c>
      <c r="H40" s="8">
        <f t="shared" si="10"/>
        <v>0.11260924226460424</v>
      </c>
      <c r="I40" s="8">
        <f t="shared" si="10"/>
        <v>0.10730418548830697</v>
      </c>
      <c r="J40" s="8">
        <f t="shared" si="10"/>
        <v>9.7984417344173444E-2</v>
      </c>
      <c r="K40" s="8">
        <f t="shared" si="10"/>
        <v>9.1255345057061135E-2</v>
      </c>
      <c r="L40" s="8"/>
      <c r="M40" s="8"/>
      <c r="N40" s="8"/>
    </row>
    <row r="42" spans="2:20" ht="14.4" customHeight="1" x14ac:dyDescent="0.3">
      <c r="B42" s="1" t="s">
        <v>12</v>
      </c>
      <c r="E42" s="36">
        <f>E33-E36-E39</f>
        <v>-451.85099999999989</v>
      </c>
      <c r="F42" s="36">
        <f t="shared" ref="F42:K42" si="11">F33-F36-F39</f>
        <v>-26.098000000000013</v>
      </c>
      <c r="G42" s="10">
        <f t="shared" si="11"/>
        <v>75.947999999999894</v>
      </c>
      <c r="H42" s="10">
        <f t="shared" si="11"/>
        <v>251.82900000000006</v>
      </c>
      <c r="I42" s="10">
        <f t="shared" si="11"/>
        <v>394.08599999999979</v>
      </c>
      <c r="J42" s="10">
        <f t="shared" si="11"/>
        <v>570.22</v>
      </c>
      <c r="K42" s="10">
        <f t="shared" si="11"/>
        <v>703.45</v>
      </c>
      <c r="L42" s="5"/>
      <c r="M42" s="5"/>
      <c r="N42" s="5"/>
    </row>
    <row r="43" spans="2:20" ht="14.4" customHeight="1" x14ac:dyDescent="0.3">
      <c r="B43" s="2" t="s">
        <v>15</v>
      </c>
      <c r="E43" s="8">
        <f t="shared" ref="E43:K43" si="12">E42/E$27</f>
        <v>-0.6516934473115269</v>
      </c>
      <c r="F43" s="8">
        <f t="shared" si="12"/>
        <v>-2.0626884026929245E-2</v>
      </c>
      <c r="G43" s="8">
        <f t="shared" si="12"/>
        <v>4.8160896507466182E-2</v>
      </c>
      <c r="H43" s="8">
        <f t="shared" si="12"/>
        <v>0.12817877811540873</v>
      </c>
      <c r="I43" s="8">
        <f t="shared" si="12"/>
        <v>0.16422165919357251</v>
      </c>
      <c r="J43" s="8">
        <f t="shared" si="12"/>
        <v>0.1931639566395664</v>
      </c>
      <c r="K43" s="8">
        <f t="shared" si="12"/>
        <v>0.19920425905473904</v>
      </c>
      <c r="L43" s="8"/>
      <c r="M43" s="8"/>
      <c r="N43" s="8"/>
    </row>
    <row r="45" spans="2:20" ht="14.4" customHeight="1" x14ac:dyDescent="0.3">
      <c r="B45" s="1" t="s">
        <v>13</v>
      </c>
      <c r="E45" s="9">
        <v>0.3</v>
      </c>
      <c r="F45" s="9">
        <v>-45.631599999999999</v>
      </c>
      <c r="G45" s="5">
        <v>7.0624000000000006E-2</v>
      </c>
      <c r="H45" s="5">
        <v>1.52966</v>
      </c>
      <c r="I45" s="5">
        <v>12.183299999999999</v>
      </c>
      <c r="J45" s="5">
        <v>17.366700000000002</v>
      </c>
      <c r="K45" s="5">
        <v>0.55000000000000004</v>
      </c>
      <c r="L45" s="5"/>
      <c r="M45" s="5"/>
      <c r="N45" s="5"/>
    </row>
    <row r="46" spans="2:20" ht="14.4" customHeight="1" x14ac:dyDescent="0.3">
      <c r="B46" s="2" t="s">
        <v>14</v>
      </c>
      <c r="E46" s="8">
        <f>E45/E42</f>
        <v>-6.6393567791152405E-4</v>
      </c>
      <c r="F46" s="8">
        <f t="shared" ref="F46:K46" si="13">F45/F42</f>
        <v>1.748471147214345</v>
      </c>
      <c r="G46" s="8">
        <f t="shared" si="13"/>
        <v>9.2989940485595549E-4</v>
      </c>
      <c r="H46" s="8">
        <f t="shared" si="13"/>
        <v>6.0742011444273681E-3</v>
      </c>
      <c r="I46" s="8">
        <f t="shared" si="13"/>
        <v>3.0915333201382456E-2</v>
      </c>
      <c r="J46" s="8">
        <f t="shared" si="13"/>
        <v>3.045613973554067E-2</v>
      </c>
      <c r="K46" s="8">
        <f t="shared" si="13"/>
        <v>7.8186082877247849E-4</v>
      </c>
      <c r="L46" s="8"/>
      <c r="M46" s="8"/>
      <c r="N46" s="8"/>
    </row>
    <row r="48" spans="2:20" ht="14.4" customHeight="1" x14ac:dyDescent="0.3">
      <c r="B48" s="29" t="s">
        <v>16</v>
      </c>
      <c r="C48" s="29"/>
      <c r="D48" s="29"/>
      <c r="E48" s="29">
        <v>2024</v>
      </c>
      <c r="F48" s="29">
        <f>E48+1</f>
        <v>2025</v>
      </c>
      <c r="G48" s="30" t="s">
        <v>5</v>
      </c>
      <c r="H48" s="30" t="s">
        <v>6</v>
      </c>
      <c r="I48" s="30" t="s">
        <v>7</v>
      </c>
      <c r="J48" s="30" t="s">
        <v>8</v>
      </c>
      <c r="K48" s="30" t="s">
        <v>9</v>
      </c>
    </row>
    <row r="49" spans="2:16" s="19" customFormat="1" ht="1.95" customHeight="1" x14ac:dyDescent="0.3"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1"/>
      <c r="N49" s="21"/>
      <c r="O49" s="21"/>
      <c r="P49" s="21"/>
    </row>
    <row r="50" spans="2:16" ht="14.4" customHeight="1" x14ac:dyDescent="0.3">
      <c r="B50" s="1" t="s">
        <v>17</v>
      </c>
      <c r="E50" s="9">
        <v>33.1</v>
      </c>
      <c r="F50" s="9">
        <v>72.157799999999995</v>
      </c>
      <c r="G50" s="5">
        <v>79.188000000000002</v>
      </c>
      <c r="H50" s="5">
        <v>68.503100000000003</v>
      </c>
      <c r="I50" s="5">
        <v>74.55</v>
      </c>
      <c r="J50" s="5">
        <v>95.033299999999997</v>
      </c>
      <c r="K50" s="5">
        <v>96.45</v>
      </c>
      <c r="L50" s="5"/>
      <c r="M50" s="5"/>
      <c r="N50" s="5"/>
    </row>
    <row r="51" spans="2:16" ht="14.4" customHeight="1" x14ac:dyDescent="0.3">
      <c r="B51" s="1" t="s">
        <v>15</v>
      </c>
      <c r="E51" s="8">
        <f>E50/E27</f>
        <v>4.7739305890684203E-2</v>
      </c>
      <c r="F51" s="8">
        <f t="shared" ref="F51:K51" si="14">F50/F27</f>
        <v>5.7030828884908971E-2</v>
      </c>
      <c r="G51" s="8">
        <f t="shared" si="14"/>
        <v>5.0215477334929655E-2</v>
      </c>
      <c r="H51" s="8">
        <f t="shared" si="14"/>
        <v>3.4867484106745665E-2</v>
      </c>
      <c r="I51" s="8">
        <f t="shared" si="14"/>
        <v>3.1066124381177805E-2</v>
      </c>
      <c r="J51" s="8">
        <f t="shared" si="14"/>
        <v>3.2192852303523034E-2</v>
      </c>
      <c r="K51" s="8">
        <f t="shared" si="14"/>
        <v>2.7312887605131255E-2</v>
      </c>
      <c r="L51" s="8"/>
      <c r="M51" s="8"/>
      <c r="N51" s="8"/>
    </row>
    <row r="52" spans="2:16" ht="14.4" customHeight="1" x14ac:dyDescent="0.3">
      <c r="B52" s="1" t="s">
        <v>33</v>
      </c>
      <c r="E52" s="8">
        <f>E50/E54</f>
        <v>1.5045454545454546</v>
      </c>
      <c r="F52" s="8">
        <f t="shared" ref="F52:K52" si="15">F50/F54</f>
        <v>3.1372956521739126</v>
      </c>
      <c r="G52" s="8">
        <f t="shared" si="15"/>
        <v>1.9797</v>
      </c>
      <c r="H52" s="8">
        <f t="shared" si="15"/>
        <v>1.3980224489795918</v>
      </c>
      <c r="I52" s="8">
        <f t="shared" si="15"/>
        <v>1.3554545454545455</v>
      </c>
      <c r="J52" s="8">
        <f t="shared" si="15"/>
        <v>1.032970652173913</v>
      </c>
      <c r="K52" s="8">
        <f t="shared" si="15"/>
        <v>1.0152631578947369</v>
      </c>
      <c r="L52" s="8"/>
      <c r="M52" s="8"/>
      <c r="N52" s="8"/>
    </row>
    <row r="54" spans="2:16" ht="14.4" customHeight="1" x14ac:dyDescent="0.3">
      <c r="B54" s="1" t="s">
        <v>18</v>
      </c>
      <c r="E54" s="9">
        <v>22</v>
      </c>
      <c r="F54" s="9">
        <v>23</v>
      </c>
      <c r="G54" s="9">
        <v>40</v>
      </c>
      <c r="H54" s="9">
        <v>49</v>
      </c>
      <c r="I54" s="5">
        <v>55</v>
      </c>
      <c r="J54" s="5">
        <v>92</v>
      </c>
      <c r="K54" s="5">
        <v>95</v>
      </c>
      <c r="L54" s="5"/>
      <c r="M54" s="5"/>
      <c r="N54" s="5"/>
    </row>
    <row r="55" spans="2:16" ht="14.4" customHeight="1" x14ac:dyDescent="0.3">
      <c r="B55" s="1" t="s">
        <v>67</v>
      </c>
      <c r="E55" s="9"/>
      <c r="F55" s="9"/>
      <c r="G55" s="9"/>
      <c r="H55" s="9"/>
      <c r="I55" s="9"/>
      <c r="J55" s="9"/>
      <c r="K55" s="9"/>
      <c r="L55" s="5"/>
      <c r="M55" s="5"/>
      <c r="N55" s="5"/>
    </row>
    <row r="57" spans="2:16" ht="14.4" customHeight="1" x14ac:dyDescent="0.3">
      <c r="B57" s="1" t="s">
        <v>19</v>
      </c>
      <c r="E57" s="9">
        <f>796-377</f>
        <v>419</v>
      </c>
      <c r="F57" s="9">
        <f>911-698</f>
        <v>213</v>
      </c>
      <c r="G57" s="5">
        <f>1070-911</f>
        <v>159</v>
      </c>
      <c r="H57" s="10"/>
      <c r="I57" s="10"/>
      <c r="J57" s="10"/>
      <c r="K57" s="10"/>
      <c r="L57" s="10"/>
      <c r="M57" s="10"/>
      <c r="N57" s="10"/>
    </row>
    <row r="58" spans="2:16" ht="14.4" customHeight="1" x14ac:dyDescent="0.3">
      <c r="B58" s="1" t="s">
        <v>15</v>
      </c>
      <c r="E58" s="8">
        <f>E57/E27</f>
        <v>0.60431326792134976</v>
      </c>
      <c r="F58" s="8">
        <f t="shared" ref="F58:G58" si="16">F57/F27</f>
        <v>0.16834724108115287</v>
      </c>
      <c r="G58" s="8">
        <f t="shared" si="16"/>
        <v>0.10082665171811152</v>
      </c>
      <c r="H58" s="8"/>
      <c r="I58" s="8"/>
      <c r="J58" s="8"/>
      <c r="K58" s="8"/>
      <c r="L58" s="8"/>
      <c r="M58" s="8"/>
      <c r="N58" s="8"/>
    </row>
    <row r="59" spans="2:16" ht="14.4" customHeight="1" x14ac:dyDescent="0.3">
      <c r="B59" s="1" t="s">
        <v>20</v>
      </c>
      <c r="E59" s="8"/>
      <c r="F59" s="8">
        <f>F57/(F27-E27)</f>
        <v>0.37244729346223859</v>
      </c>
      <c r="G59" s="8">
        <f t="shared" ref="G59" si="17">G57/(G27-F27)</f>
        <v>0.51006986994822312</v>
      </c>
      <c r="H59" s="8"/>
      <c r="I59" s="8"/>
      <c r="J59" s="8"/>
      <c r="K59" s="8"/>
      <c r="L59" s="11"/>
      <c r="M59" s="11"/>
      <c r="N59" s="11"/>
    </row>
    <row r="61" spans="2:16" ht="14.4" customHeight="1" x14ac:dyDescent="0.3">
      <c r="B61" s="29" t="s">
        <v>21</v>
      </c>
      <c r="C61" s="29"/>
      <c r="D61" s="29"/>
      <c r="E61" s="29">
        <v>2024</v>
      </c>
      <c r="F61" s="29">
        <f>E61+1</f>
        <v>2025</v>
      </c>
      <c r="G61" s="30" t="s">
        <v>5</v>
      </c>
      <c r="H61" s="30" t="s">
        <v>6</v>
      </c>
      <c r="I61" s="30" t="s">
        <v>7</v>
      </c>
      <c r="J61" s="30" t="s">
        <v>8</v>
      </c>
      <c r="K61" s="30" t="s">
        <v>9</v>
      </c>
    </row>
    <row r="62" spans="2:16" ht="14.4" customHeight="1" x14ac:dyDescent="0.3">
      <c r="B62" s="1" t="s">
        <v>10</v>
      </c>
      <c r="E62" s="5">
        <f>E27</f>
        <v>693.34900000000005</v>
      </c>
      <c r="F62" s="5">
        <f t="shared" ref="F62:K62" si="18">F27</f>
        <v>1265.242</v>
      </c>
      <c r="G62" s="5">
        <f t="shared" si="18"/>
        <v>1576.9639999999999</v>
      </c>
      <c r="H62" s="5">
        <f t="shared" si="18"/>
        <v>1964.67</v>
      </c>
      <c r="I62" s="5">
        <f t="shared" si="18"/>
        <v>2399.7199999999998</v>
      </c>
      <c r="J62" s="5">
        <f t="shared" si="18"/>
        <v>2952</v>
      </c>
      <c r="K62" s="5">
        <f t="shared" si="18"/>
        <v>3531.3</v>
      </c>
      <c r="L62" s="5"/>
      <c r="M62" s="5"/>
      <c r="N62" s="5"/>
    </row>
    <row r="63" spans="2:16" ht="14.4" customHeight="1" x14ac:dyDescent="0.3">
      <c r="B63" s="2" t="s">
        <v>11</v>
      </c>
      <c r="C63" s="2"/>
      <c r="D63" s="2"/>
      <c r="E63" s="8"/>
      <c r="F63" s="8">
        <f t="shared" ref="F63" si="19">(F62-E62)/E62</f>
        <v>0.82482703515833999</v>
      </c>
      <c r="G63" s="8">
        <f t="shared" ref="G63" si="20">(G62-F62)/F62</f>
        <v>0.24637342105304755</v>
      </c>
      <c r="H63" s="8">
        <f t="shared" ref="H63" si="21">(H62-G62)/G62</f>
        <v>0.24585596120139722</v>
      </c>
      <c r="I63" s="8">
        <f t="shared" ref="I63" si="22">(I62-H62)/H62</f>
        <v>0.22143667893335761</v>
      </c>
      <c r="J63" s="8">
        <f t="shared" ref="J63" si="23">(J62-I62)/I62</f>
        <v>0.23014351674362019</v>
      </c>
      <c r="K63" s="8">
        <f t="shared" ref="K63" si="24">(K62-J62)/J62</f>
        <v>0.19623983739837406</v>
      </c>
      <c r="L63" s="8"/>
      <c r="M63" s="8"/>
      <c r="N63" s="8"/>
    </row>
    <row r="64" spans="2:16" ht="14.4" customHeight="1" x14ac:dyDescent="0.3"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2:17" ht="14.4" customHeight="1" x14ac:dyDescent="0.3">
      <c r="B65" s="1" t="s">
        <v>12</v>
      </c>
      <c r="E65" s="10">
        <f>E42</f>
        <v>-451.85099999999989</v>
      </c>
      <c r="F65" s="10">
        <f t="shared" ref="F65:K65" si="25">F42</f>
        <v>-26.098000000000013</v>
      </c>
      <c r="G65" s="10">
        <f t="shared" si="25"/>
        <v>75.947999999999894</v>
      </c>
      <c r="H65" s="10">
        <f t="shared" si="25"/>
        <v>251.82900000000006</v>
      </c>
      <c r="I65" s="10">
        <f t="shared" si="25"/>
        <v>394.08599999999979</v>
      </c>
      <c r="J65" s="10">
        <f t="shared" si="25"/>
        <v>570.22</v>
      </c>
      <c r="K65" s="10">
        <f t="shared" si="25"/>
        <v>703.45</v>
      </c>
      <c r="L65" s="5"/>
      <c r="M65" s="5"/>
      <c r="N65" s="5"/>
    </row>
    <row r="66" spans="2:17" ht="14.4" customHeight="1" x14ac:dyDescent="0.3">
      <c r="B66" s="2" t="s">
        <v>15</v>
      </c>
      <c r="C66" s="2"/>
      <c r="D66" s="2"/>
      <c r="E66" s="8">
        <f>E65/$E$62</f>
        <v>-0.6516934473115269</v>
      </c>
      <c r="F66" s="8">
        <f t="shared" ref="F66:K66" si="26">F65/$E$62</f>
        <v>-3.7640495623416217E-2</v>
      </c>
      <c r="G66" s="8">
        <f t="shared" si="26"/>
        <v>0.10953790947992986</v>
      </c>
      <c r="H66" s="8">
        <f t="shared" si="26"/>
        <v>0.36320669677175571</v>
      </c>
      <c r="I66" s="8">
        <f t="shared" si="26"/>
        <v>0.56838042601921945</v>
      </c>
      <c r="J66" s="8">
        <f t="shared" si="26"/>
        <v>0.82241410891196209</v>
      </c>
      <c r="K66" s="8">
        <f t="shared" si="26"/>
        <v>1.0145684208097221</v>
      </c>
      <c r="L66" s="8"/>
      <c r="M66" s="8"/>
      <c r="N66" s="8"/>
    </row>
    <row r="67" spans="2:17" ht="14.4" customHeight="1" x14ac:dyDescent="0.3">
      <c r="J67" s="5"/>
      <c r="K67" s="5"/>
      <c r="L67" s="5"/>
      <c r="M67" s="5"/>
      <c r="N67" s="5"/>
    </row>
    <row r="68" spans="2:17" ht="14.4" customHeight="1" x14ac:dyDescent="0.3">
      <c r="B68" s="1" t="s">
        <v>13</v>
      </c>
      <c r="E68" s="9">
        <v>0.3</v>
      </c>
      <c r="F68" s="9">
        <v>-45.631599999999999</v>
      </c>
      <c r="G68" s="5">
        <v>7.0624000000000006E-2</v>
      </c>
      <c r="H68" s="5">
        <v>1.52966</v>
      </c>
      <c r="I68" s="5">
        <v>12.183299999999999</v>
      </c>
      <c r="J68" s="5">
        <v>17.366700000000002</v>
      </c>
      <c r="K68" s="5">
        <v>0.55000000000000004</v>
      </c>
      <c r="L68" s="5"/>
      <c r="M68" s="5"/>
      <c r="N68" s="5"/>
    </row>
    <row r="69" spans="2:17" ht="14.4" customHeight="1" x14ac:dyDescent="0.3">
      <c r="B69" s="2" t="s">
        <v>14</v>
      </c>
      <c r="C69" s="2"/>
      <c r="D69" s="2"/>
      <c r="E69" s="8">
        <f>E68/E65</f>
        <v>-6.6393567791152405E-4</v>
      </c>
      <c r="F69" s="8">
        <f t="shared" ref="F69" si="27">F68/F65</f>
        <v>1.748471147214345</v>
      </c>
      <c r="G69" s="8">
        <f t="shared" ref="G69" si="28">G68/G65</f>
        <v>9.2989940485595549E-4</v>
      </c>
      <c r="H69" s="8">
        <f t="shared" ref="H69" si="29">H68/H65</f>
        <v>6.0742011444273681E-3</v>
      </c>
      <c r="I69" s="8">
        <f t="shared" ref="I69" si="30">I68/I65</f>
        <v>3.0915333201382456E-2</v>
      </c>
      <c r="J69" s="8">
        <f t="shared" ref="J69" si="31">J68/J65</f>
        <v>3.045613973554067E-2</v>
      </c>
      <c r="K69" s="8">
        <f t="shared" ref="K69" si="32">K68/K65</f>
        <v>7.8186082877247849E-4</v>
      </c>
      <c r="L69" s="8"/>
      <c r="M69" s="8"/>
      <c r="N69" s="8"/>
    </row>
    <row r="71" spans="2:17" ht="14.4" customHeight="1" x14ac:dyDescent="0.3">
      <c r="B71" s="1" t="s">
        <v>22</v>
      </c>
      <c r="E71" s="10">
        <f>E65+E68</f>
        <v>-451.55099999999987</v>
      </c>
      <c r="F71" s="10">
        <f t="shared" ref="F71:K71" si="33">F65+F68</f>
        <v>-71.729600000000005</v>
      </c>
      <c r="G71" s="10">
        <f t="shared" si="33"/>
        <v>76.018623999999889</v>
      </c>
      <c r="H71" s="10">
        <f t="shared" si="33"/>
        <v>253.35866000000007</v>
      </c>
      <c r="I71" s="10">
        <f t="shared" si="33"/>
        <v>406.26929999999976</v>
      </c>
      <c r="J71" s="10">
        <f t="shared" si="33"/>
        <v>587.58670000000006</v>
      </c>
      <c r="K71" s="10">
        <f t="shared" si="33"/>
        <v>704</v>
      </c>
      <c r="L71" s="5"/>
      <c r="M71" s="5"/>
      <c r="N71" s="5"/>
    </row>
    <row r="73" spans="2:17" ht="14.4" customHeight="1" x14ac:dyDescent="0.3">
      <c r="B73" s="1" t="s">
        <v>17</v>
      </c>
      <c r="E73" s="5">
        <f>E50</f>
        <v>33.1</v>
      </c>
      <c r="F73" s="5">
        <f t="shared" ref="F73:K73" si="34">F50</f>
        <v>72.157799999999995</v>
      </c>
      <c r="G73" s="5">
        <f t="shared" si="34"/>
        <v>79.188000000000002</v>
      </c>
      <c r="H73" s="5">
        <f t="shared" si="34"/>
        <v>68.503100000000003</v>
      </c>
      <c r="I73" s="5">
        <f t="shared" si="34"/>
        <v>74.55</v>
      </c>
      <c r="J73" s="5">
        <f t="shared" si="34"/>
        <v>95.033299999999997</v>
      </c>
      <c r="K73" s="5">
        <f t="shared" si="34"/>
        <v>96.45</v>
      </c>
      <c r="L73" s="5"/>
      <c r="M73" s="5"/>
      <c r="N73" s="5"/>
    </row>
    <row r="74" spans="2:17" ht="14.4" customHeight="1" x14ac:dyDescent="0.3">
      <c r="B74" s="2" t="s">
        <v>15</v>
      </c>
      <c r="C74" s="2"/>
      <c r="D74" s="2"/>
      <c r="E74" s="8">
        <f t="shared" ref="E74:K74" si="35">E73/E$62</f>
        <v>4.7739305890684203E-2</v>
      </c>
      <c r="F74" s="8">
        <f t="shared" si="35"/>
        <v>5.7030828884908971E-2</v>
      </c>
      <c r="G74" s="8">
        <f t="shared" si="35"/>
        <v>5.0215477334929655E-2</v>
      </c>
      <c r="H74" s="8">
        <f t="shared" si="35"/>
        <v>3.4867484106745665E-2</v>
      </c>
      <c r="I74" s="8">
        <f t="shared" si="35"/>
        <v>3.1066124381177805E-2</v>
      </c>
      <c r="J74" s="8">
        <f t="shared" si="35"/>
        <v>3.2192852303523034E-2</v>
      </c>
      <c r="K74" s="8">
        <f t="shared" si="35"/>
        <v>2.7312887605131255E-2</v>
      </c>
      <c r="L74" s="8"/>
      <c r="M74" s="8"/>
      <c r="N74" s="8"/>
    </row>
    <row r="76" spans="2:17" ht="14.4" customHeight="1" x14ac:dyDescent="0.3">
      <c r="B76" s="1" t="s">
        <v>18</v>
      </c>
      <c r="E76" s="5">
        <f>E54</f>
        <v>22</v>
      </c>
      <c r="F76" s="5">
        <f t="shared" ref="F76:K76" si="36">F54</f>
        <v>23</v>
      </c>
      <c r="G76" s="5">
        <f t="shared" si="36"/>
        <v>40</v>
      </c>
      <c r="H76" s="5">
        <f t="shared" si="36"/>
        <v>49</v>
      </c>
      <c r="I76" s="5">
        <f t="shared" si="36"/>
        <v>55</v>
      </c>
      <c r="J76" s="5">
        <f t="shared" si="36"/>
        <v>92</v>
      </c>
      <c r="K76" s="5">
        <f t="shared" si="36"/>
        <v>95</v>
      </c>
      <c r="L76" s="5"/>
      <c r="M76" s="5"/>
      <c r="N76" s="5"/>
      <c r="Q76" s="5"/>
    </row>
    <row r="77" spans="2:17" ht="14.4" customHeight="1" x14ac:dyDescent="0.3">
      <c r="B77" s="2" t="s">
        <v>15</v>
      </c>
      <c r="C77" s="2"/>
      <c r="D77" s="2"/>
      <c r="E77" s="8">
        <f>E76/E$62</f>
        <v>3.1730052253626961E-2</v>
      </c>
      <c r="F77" s="8">
        <f>F76/F$62</f>
        <v>1.8178340586227772E-2</v>
      </c>
      <c r="G77" s="8">
        <f>G76/G$62</f>
        <v>2.5365195400782772E-2</v>
      </c>
      <c r="H77" s="8">
        <f t="shared" ref="H77:K77" si="37">H76/H$62</f>
        <v>2.4940575262003287E-2</v>
      </c>
      <c r="I77" s="8">
        <f t="shared" si="37"/>
        <v>2.2919340589735472E-2</v>
      </c>
      <c r="J77" s="8">
        <f t="shared" si="37"/>
        <v>3.1165311653116531E-2</v>
      </c>
      <c r="K77" s="8">
        <f t="shared" si="37"/>
        <v>2.6902273950103361E-2</v>
      </c>
      <c r="L77" s="8"/>
      <c r="M77" s="8"/>
      <c r="N77" s="8"/>
    </row>
    <row r="79" spans="2:17" ht="14.4" customHeight="1" x14ac:dyDescent="0.3">
      <c r="B79" s="1" t="s">
        <v>19</v>
      </c>
      <c r="E79" s="10">
        <f>E57</f>
        <v>419</v>
      </c>
      <c r="F79" s="10">
        <f t="shared" ref="F79:G79" si="38">F57</f>
        <v>213</v>
      </c>
      <c r="G79" s="10">
        <f t="shared" si="38"/>
        <v>159</v>
      </c>
      <c r="H79" s="10"/>
      <c r="I79" s="10"/>
      <c r="J79" s="10"/>
      <c r="K79" s="10"/>
      <c r="L79" s="10"/>
      <c r="M79" s="10"/>
      <c r="N79" s="10"/>
    </row>
    <row r="80" spans="2:17" ht="14.4" customHeight="1" x14ac:dyDescent="0.3">
      <c r="B80" s="2" t="s">
        <v>15</v>
      </c>
      <c r="C80" s="2"/>
      <c r="D80" s="2"/>
      <c r="E80" s="8">
        <f t="shared" ref="E80:G80" si="39">E79/$E$62</f>
        <v>0.60431326792134976</v>
      </c>
      <c r="F80" s="8">
        <f t="shared" si="39"/>
        <v>0.30720459681920648</v>
      </c>
      <c r="G80" s="8">
        <f t="shared" si="39"/>
        <v>0.22932174128757665</v>
      </c>
      <c r="H80" s="8"/>
      <c r="I80" s="8"/>
      <c r="J80" s="8"/>
      <c r="K80" s="8"/>
      <c r="L80" s="8"/>
      <c r="M80" s="8"/>
      <c r="N80" s="8"/>
    </row>
    <row r="81" spans="2:24" ht="14.4" customHeight="1" x14ac:dyDescent="0.3">
      <c r="B81" s="2"/>
      <c r="C81" s="2"/>
      <c r="D81" s="2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2:24" ht="14.4" customHeight="1" x14ac:dyDescent="0.3">
      <c r="B82" s="1" t="s">
        <v>73</v>
      </c>
      <c r="E82" s="10">
        <v>547.70000000000005</v>
      </c>
      <c r="F82" s="10">
        <v>120</v>
      </c>
      <c r="G82" s="10">
        <f>G62*0.1</f>
        <v>157.69640000000001</v>
      </c>
      <c r="H82" s="10"/>
      <c r="I82" s="10"/>
      <c r="J82" s="10"/>
      <c r="K82" s="10"/>
      <c r="L82" s="10"/>
      <c r="M82" s="10"/>
      <c r="N82" s="10"/>
    </row>
    <row r="83" spans="2:24" ht="14.4" customHeight="1" x14ac:dyDescent="0.3">
      <c r="B83" s="2" t="s">
        <v>15</v>
      </c>
      <c r="C83" s="2"/>
      <c r="D83" s="2"/>
      <c r="E83" s="8">
        <f t="shared" ref="E83" si="40">E82/$E$62</f>
        <v>0.78993407360506762</v>
      </c>
      <c r="F83" s="8">
        <f t="shared" ref="F83" si="41">F82/$E$62</f>
        <v>0.17307301229251068</v>
      </c>
      <c r="G83" s="8">
        <f t="shared" ref="G83" si="42">G82/$E$62</f>
        <v>0.22744159146403903</v>
      </c>
      <c r="H83" s="8"/>
      <c r="I83" s="8"/>
      <c r="J83" s="8"/>
      <c r="K83" s="8"/>
      <c r="L83" s="8"/>
      <c r="M83" s="8"/>
      <c r="N83" s="8"/>
    </row>
    <row r="85" spans="2:24" ht="14.4" customHeight="1" x14ac:dyDescent="0.3">
      <c r="B85" s="1" t="s">
        <v>23</v>
      </c>
      <c r="E85" s="10">
        <v>-126</v>
      </c>
      <c r="F85" s="10">
        <v>501</v>
      </c>
      <c r="G85" s="10">
        <v>-11</v>
      </c>
      <c r="H85" s="10">
        <v>41</v>
      </c>
      <c r="I85" s="10">
        <v>122</v>
      </c>
      <c r="J85" s="10"/>
      <c r="K85" s="10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2:24" ht="14.4" customHeight="1" x14ac:dyDescent="0.3">
      <c r="B86" s="2" t="s">
        <v>15</v>
      </c>
      <c r="C86" s="2"/>
      <c r="D86" s="2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 spans="2:24" ht="14.4" customHeight="1" x14ac:dyDescent="0.3">
      <c r="V87" s="23"/>
    </row>
    <row r="88" spans="2:24" ht="14.4" customHeight="1" x14ac:dyDescent="0.3">
      <c r="B88" s="1" t="s">
        <v>24</v>
      </c>
      <c r="I88" s="5"/>
      <c r="J88" s="5"/>
      <c r="K88" s="5"/>
      <c r="L88" s="5"/>
      <c r="M88" s="5"/>
      <c r="N88" s="5"/>
      <c r="V88" s="5"/>
    </row>
    <row r="90" spans="2:24" ht="14.4" customHeight="1" x14ac:dyDescent="0.3">
      <c r="H90" s="22"/>
      <c r="J90" s="5"/>
      <c r="K90" s="5"/>
    </row>
    <row r="96" spans="2:24" ht="14.4" customHeight="1" x14ac:dyDescent="0.3">
      <c r="J96" s="10"/>
    </row>
  </sheetData>
  <mergeCells count="8">
    <mergeCell ref="I7:K7"/>
    <mergeCell ref="I12:K12"/>
    <mergeCell ref="T11:U11"/>
    <mergeCell ref="T22:U22"/>
    <mergeCell ref="I11:K11"/>
    <mergeCell ref="I10:K10"/>
    <mergeCell ref="I9:K9"/>
    <mergeCell ref="I8:K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55C1-F80B-4C2F-AFEE-9D4756B0A66A}">
  <dimension ref="B2:S60"/>
  <sheetViews>
    <sheetView showGridLines="0" zoomScale="130" zoomScaleNormal="130" workbookViewId="0"/>
  </sheetViews>
  <sheetFormatPr defaultColWidth="8.69921875" defaultRowHeight="14.4" customHeight="1" x14ac:dyDescent="0.3"/>
  <cols>
    <col min="1" max="4" width="8.69921875" style="1"/>
    <col min="5" max="5" width="8.69921875" style="1" customWidth="1"/>
    <col min="6" max="11" width="8.69921875" style="1"/>
    <col min="12" max="12" width="9.69921875" style="1" bestFit="1" customWidth="1"/>
    <col min="13" max="14" width="8.796875" style="1" bestFit="1" customWidth="1"/>
    <col min="15" max="16384" width="8.69921875" style="1"/>
  </cols>
  <sheetData>
    <row r="2" spans="2:19" ht="14.4" customHeight="1" x14ac:dyDescent="0.3">
      <c r="B2" s="29" t="s">
        <v>74</v>
      </c>
      <c r="C2" s="29"/>
      <c r="D2" s="29"/>
      <c r="E2" s="29">
        <v>2024</v>
      </c>
      <c r="F2" s="29">
        <f>E2+1</f>
        <v>2025</v>
      </c>
      <c r="G2" s="30" t="s">
        <v>5</v>
      </c>
      <c r="H2" s="30" t="s">
        <v>6</v>
      </c>
      <c r="I2" s="30" t="s">
        <v>7</v>
      </c>
      <c r="J2" s="30" t="s">
        <v>8</v>
      </c>
      <c r="K2" s="30" t="s">
        <v>9</v>
      </c>
    </row>
    <row r="3" spans="2:19" s="19" customFormat="1" ht="1.95" customHeight="1" x14ac:dyDescent="0.3">
      <c r="B3" s="20"/>
      <c r="C3" s="20"/>
      <c r="D3" s="20"/>
      <c r="E3" s="20"/>
      <c r="F3" s="20"/>
      <c r="G3" s="20"/>
      <c r="H3" s="20"/>
      <c r="I3" s="20"/>
      <c r="J3" s="21"/>
      <c r="K3" s="21"/>
      <c r="N3" s="21"/>
      <c r="O3" s="21"/>
      <c r="P3" s="21"/>
    </row>
    <row r="4" spans="2:19" ht="14.4" customHeight="1" x14ac:dyDescent="0.3">
      <c r="B4" s="31" t="s">
        <v>86</v>
      </c>
      <c r="E4" s="9">
        <f>E7+E19</f>
        <v>693.34900000000005</v>
      </c>
      <c r="F4" s="9">
        <f t="shared" ref="F4:K4" si="0">F7+F19</f>
        <v>1265.242</v>
      </c>
      <c r="G4" s="9">
        <f t="shared" si="0"/>
        <v>1576.9639999999999</v>
      </c>
      <c r="H4" s="9">
        <f t="shared" si="0"/>
        <v>1964.67</v>
      </c>
      <c r="I4" s="9">
        <f t="shared" si="0"/>
        <v>2399.7199999999998</v>
      </c>
      <c r="J4" s="9">
        <f t="shared" si="0"/>
        <v>2952</v>
      </c>
      <c r="K4" s="9">
        <f t="shared" si="0"/>
        <v>3531.3</v>
      </c>
      <c r="M4" s="5"/>
      <c r="N4" s="5"/>
      <c r="O4" s="5"/>
      <c r="P4" s="5"/>
      <c r="Q4" s="5"/>
      <c r="R4" s="5"/>
      <c r="S4" s="5"/>
    </row>
    <row r="5" spans="2:19" ht="14.4" customHeight="1" x14ac:dyDescent="0.3">
      <c r="B5" s="2" t="s">
        <v>11</v>
      </c>
      <c r="C5" s="2"/>
      <c r="D5" s="2"/>
      <c r="E5" s="2"/>
      <c r="F5" s="8">
        <f t="shared" ref="F5:K5" si="1">(F4-E4)/E4</f>
        <v>0.82482703515833999</v>
      </c>
      <c r="G5" s="8">
        <f t="shared" si="1"/>
        <v>0.24637342105304755</v>
      </c>
      <c r="H5" s="8">
        <f t="shared" si="1"/>
        <v>0.24585596120139722</v>
      </c>
      <c r="I5" s="8">
        <f t="shared" si="1"/>
        <v>0.22143667893335761</v>
      </c>
      <c r="J5" s="8">
        <f t="shared" si="1"/>
        <v>0.23014351674362019</v>
      </c>
      <c r="K5" s="8">
        <f t="shared" si="1"/>
        <v>0.19623983739837406</v>
      </c>
    </row>
    <row r="6" spans="2:19" ht="14.4" customHeight="1" x14ac:dyDescent="0.3">
      <c r="B6" s="2"/>
      <c r="C6" s="2"/>
      <c r="D6" s="2"/>
      <c r="E6" s="2"/>
      <c r="F6" s="8"/>
      <c r="G6" s="8"/>
      <c r="H6" s="8"/>
      <c r="I6" s="8"/>
      <c r="J6" s="8"/>
      <c r="K6" s="8"/>
    </row>
    <row r="7" spans="2:19" ht="14.4" customHeight="1" x14ac:dyDescent="0.3">
      <c r="B7" s="31" t="s">
        <v>79</v>
      </c>
      <c r="E7" s="9">
        <f>E11+E15</f>
        <v>451.70000000000005</v>
      </c>
      <c r="F7" s="9">
        <v>950.09199999999998</v>
      </c>
      <c r="G7" s="5">
        <v>1171.1199999999999</v>
      </c>
      <c r="H7" s="5">
        <v>1444.57</v>
      </c>
      <c r="I7" s="5">
        <v>1758.62</v>
      </c>
      <c r="J7" s="5">
        <v>2176.75</v>
      </c>
      <c r="K7" s="5">
        <v>2585.6</v>
      </c>
    </row>
    <row r="8" spans="2:19" ht="14.4" customHeight="1" x14ac:dyDescent="0.3">
      <c r="B8" s="2" t="s">
        <v>11</v>
      </c>
      <c r="C8" s="2"/>
      <c r="D8" s="2"/>
      <c r="E8" s="2"/>
      <c r="F8" s="8">
        <f>(F7-E7)/E7</f>
        <v>1.1033694930263447</v>
      </c>
      <c r="G8" s="8">
        <f>(G7-F7)/F7</f>
        <v>0.23263852342720484</v>
      </c>
      <c r="H8" s="8">
        <f>(H7-G7)/G7</f>
        <v>0.23349443267982792</v>
      </c>
      <c r="I8" s="8">
        <f>(I7-H7)/H7</f>
        <v>0.21740033366330463</v>
      </c>
      <c r="J8" s="8">
        <f>(J7-I7)/I7</f>
        <v>0.23776028931776058</v>
      </c>
      <c r="K8" s="8">
        <f>(K7-J7)/J7</f>
        <v>0.18782588721718155</v>
      </c>
    </row>
    <row r="9" spans="2:19" ht="14.4" customHeight="1" x14ac:dyDescent="0.3">
      <c r="B9" s="2" t="s">
        <v>15</v>
      </c>
      <c r="C9" s="2"/>
      <c r="D9" s="2"/>
      <c r="E9" s="8">
        <f>E7/E4</f>
        <v>0.65147566377105903</v>
      </c>
      <c r="F9" s="8">
        <f t="shared" ref="F9:K9" si="2">F7/F4</f>
        <v>0.75091721583697035</v>
      </c>
      <c r="G9" s="8">
        <f t="shared" si="2"/>
        <v>0.74264219094411787</v>
      </c>
      <c r="H9" s="8">
        <f t="shared" si="2"/>
        <v>0.73527360829045074</v>
      </c>
      <c r="I9" s="8">
        <f t="shared" si="2"/>
        <v>0.73284383178037438</v>
      </c>
      <c r="J9" s="8">
        <f t="shared" si="2"/>
        <v>0.73738143631436315</v>
      </c>
      <c r="K9" s="8">
        <f t="shared" si="2"/>
        <v>0.73219494237249727</v>
      </c>
    </row>
    <row r="10" spans="2:19" ht="14.4" customHeight="1" x14ac:dyDescent="0.3">
      <c r="B10" s="2"/>
      <c r="C10" s="2"/>
      <c r="D10" s="2"/>
      <c r="E10" s="2"/>
      <c r="F10" s="8"/>
      <c r="G10" s="8"/>
      <c r="H10" s="8"/>
      <c r="I10" s="8"/>
      <c r="J10" s="8"/>
      <c r="K10" s="8"/>
    </row>
    <row r="11" spans="2:19" ht="14.4" customHeight="1" x14ac:dyDescent="0.3">
      <c r="B11" s="32" t="s">
        <v>80</v>
      </c>
      <c r="E11" s="9">
        <v>403.1</v>
      </c>
      <c r="F11" s="9">
        <v>537.73299999999995</v>
      </c>
      <c r="G11" s="5">
        <v>681.56700000000001</v>
      </c>
      <c r="H11" s="5">
        <v>882.46699999999998</v>
      </c>
      <c r="I11" s="5">
        <v>1082.83</v>
      </c>
      <c r="J11" s="5">
        <v>1340</v>
      </c>
      <c r="K11" s="5">
        <v>1590.35</v>
      </c>
    </row>
    <row r="12" spans="2:19" ht="14.4" customHeight="1" x14ac:dyDescent="0.3">
      <c r="B12" s="2" t="s">
        <v>11</v>
      </c>
      <c r="C12" s="2"/>
      <c r="D12" s="2"/>
      <c r="E12" s="2"/>
      <c r="F12" s="8">
        <f>(F11-E11)/E11</f>
        <v>0.33399404614239619</v>
      </c>
      <c r="G12" s="8">
        <f t="shared" ref="G12" si="3">(G11-F11)/F11</f>
        <v>0.26748218911616001</v>
      </c>
      <c r="H12" s="8">
        <f t="shared" ref="H12" si="4">(H11-G11)/G11</f>
        <v>0.29476192362599712</v>
      </c>
      <c r="I12" s="8">
        <f t="shared" ref="I12" si="5">(I11-H11)/H11</f>
        <v>0.2270487168358703</v>
      </c>
      <c r="J12" s="8">
        <f t="shared" ref="J12" si="6">(J11-I11)/I11</f>
        <v>0.23749803754975396</v>
      </c>
      <c r="K12" s="8">
        <f t="shared" ref="K12" si="7">(K11-J11)/J11</f>
        <v>0.18682835820895516</v>
      </c>
    </row>
    <row r="13" spans="2:19" ht="14.4" customHeight="1" x14ac:dyDescent="0.3">
      <c r="B13" s="2" t="s">
        <v>15</v>
      </c>
      <c r="C13" s="2"/>
      <c r="D13" s="2"/>
      <c r="E13" s="8">
        <f>E11/E7</f>
        <v>0.89240646446756688</v>
      </c>
      <c r="F13" s="8">
        <f>F11/F7</f>
        <v>0.56597992615451975</v>
      </c>
      <c r="G13" s="8">
        <f>G11/G7</f>
        <v>0.58197878953480431</v>
      </c>
      <c r="H13" s="8">
        <f>H11/H7</f>
        <v>0.61088559225236572</v>
      </c>
      <c r="I13" s="8">
        <f>I11/I7</f>
        <v>0.61572710420670751</v>
      </c>
      <c r="J13" s="8">
        <f>J11/J7</f>
        <v>0.61559664637647871</v>
      </c>
      <c r="K13" s="8">
        <f>K11/K7</f>
        <v>0.61507967202970293</v>
      </c>
    </row>
    <row r="14" spans="2:19" ht="14.4" customHeight="1" x14ac:dyDescent="0.3">
      <c r="B14" s="2"/>
      <c r="C14" s="2"/>
      <c r="D14" s="2"/>
      <c r="E14" s="8"/>
      <c r="F14" s="8"/>
      <c r="G14" s="8"/>
      <c r="H14" s="8"/>
      <c r="I14" s="8"/>
      <c r="J14" s="8"/>
      <c r="K14" s="8"/>
    </row>
    <row r="15" spans="2:19" ht="14.4" customHeight="1" x14ac:dyDescent="0.3">
      <c r="B15" s="32" t="s">
        <v>81</v>
      </c>
      <c r="E15" s="9">
        <v>48.6</v>
      </c>
      <c r="F15" s="9">
        <v>44.924999999999997</v>
      </c>
      <c r="G15" s="5">
        <v>47.15</v>
      </c>
      <c r="H15" s="5">
        <v>50.35</v>
      </c>
      <c r="I15" s="5">
        <v>47.7</v>
      </c>
      <c r="J15" s="5">
        <v>47.1</v>
      </c>
      <c r="K15" s="5">
        <v>48.3</v>
      </c>
    </row>
    <row r="16" spans="2:19" ht="14.4" customHeight="1" x14ac:dyDescent="0.3">
      <c r="B16" s="2" t="s">
        <v>11</v>
      </c>
      <c r="C16" s="2"/>
      <c r="D16" s="2"/>
      <c r="E16" s="2"/>
      <c r="F16" s="8">
        <f>(F15-E15)/E15</f>
        <v>-7.561728395061737E-2</v>
      </c>
      <c r="G16" s="8">
        <f t="shared" ref="G16" si="8">(G15-F15)/F15</f>
        <v>4.9526989426822515E-2</v>
      </c>
      <c r="H16" s="8">
        <f t="shared" ref="H16" si="9">(H15-G15)/G15</f>
        <v>6.7868504772004304E-2</v>
      </c>
      <c r="I16" s="8">
        <f t="shared" ref="I16" si="10">(I15-H15)/H15</f>
        <v>-5.263157894736839E-2</v>
      </c>
      <c r="J16" s="8">
        <f t="shared" ref="J16" si="11">(J15-I15)/I15</f>
        <v>-1.2578616352201286E-2</v>
      </c>
      <c r="K16" s="8">
        <f t="shared" ref="K16" si="12">(K15-J15)/J15</f>
        <v>2.5477707006369334E-2</v>
      </c>
    </row>
    <row r="17" spans="2:16" ht="14.4" customHeight="1" x14ac:dyDescent="0.3">
      <c r="B17" s="2" t="s">
        <v>15</v>
      </c>
      <c r="C17" s="2"/>
      <c r="D17" s="2"/>
      <c r="E17" s="8">
        <f>E15/E7</f>
        <v>0.10759353553243302</v>
      </c>
      <c r="F17" s="8">
        <f>F15/F7</f>
        <v>4.7284894515478501E-2</v>
      </c>
      <c r="G17" s="8">
        <f>G15/G7</f>
        <v>4.0260605232597856E-2</v>
      </c>
      <c r="H17" s="8">
        <f>H15/H7</f>
        <v>3.4854662633171121E-2</v>
      </c>
      <c r="I17" s="8">
        <f>I15/I7</f>
        <v>2.7123540048447081E-2</v>
      </c>
      <c r="J17" s="8">
        <f>J15/J7</f>
        <v>2.1637762719650858E-2</v>
      </c>
      <c r="K17" s="8">
        <f>K15/K7</f>
        <v>1.8680383663366336E-2</v>
      </c>
    </row>
    <row r="18" spans="2:16" ht="14.4" customHeight="1" x14ac:dyDescent="0.3">
      <c r="B18" s="31"/>
    </row>
    <row r="19" spans="2:16" ht="14.4" customHeight="1" x14ac:dyDescent="0.3">
      <c r="B19" s="31" t="s">
        <v>82</v>
      </c>
      <c r="E19" s="9">
        <v>241.649</v>
      </c>
      <c r="F19" s="9">
        <v>315.14999999999998</v>
      </c>
      <c r="G19" s="5">
        <v>405.84399999999999</v>
      </c>
      <c r="H19" s="5">
        <v>520.1</v>
      </c>
      <c r="I19" s="5">
        <v>641.1</v>
      </c>
      <c r="J19" s="5">
        <v>775.25</v>
      </c>
      <c r="K19" s="5">
        <v>945.7</v>
      </c>
    </row>
    <row r="20" spans="2:16" ht="14.4" customHeight="1" x14ac:dyDescent="0.3">
      <c r="B20" s="2" t="s">
        <v>11</v>
      </c>
      <c r="C20" s="2"/>
      <c r="D20" s="2"/>
      <c r="E20" s="2"/>
      <c r="F20" s="8">
        <f>(F19-E19)/E19</f>
        <v>0.30416430442501302</v>
      </c>
      <c r="G20" s="8">
        <f t="shared" ref="G20" si="13">(G19-F19)/F19</f>
        <v>0.28778042202125981</v>
      </c>
      <c r="H20" s="8">
        <f t="shared" ref="H20" si="14">(H19-G19)/G19</f>
        <v>0.28152689210632664</v>
      </c>
      <c r="I20" s="8">
        <f t="shared" ref="I20" si="15">(I19-H19)/H19</f>
        <v>0.2326475677754278</v>
      </c>
      <c r="J20" s="8">
        <f t="shared" ref="J20" si="16">(J19-I19)/I19</f>
        <v>0.20924972703166428</v>
      </c>
      <c r="K20" s="8">
        <f t="shared" ref="K20" si="17">(K19-J19)/J19</f>
        <v>0.21986455981941316</v>
      </c>
    </row>
    <row r="24" spans="2:16" ht="14.4" customHeight="1" x14ac:dyDescent="0.3">
      <c r="B24" s="29" t="s">
        <v>83</v>
      </c>
      <c r="C24" s="29"/>
      <c r="D24" s="29"/>
      <c r="E24" s="29">
        <v>2024</v>
      </c>
      <c r="F24" s="29">
        <f>E24+1</f>
        <v>2025</v>
      </c>
      <c r="G24" s="30" t="s">
        <v>5</v>
      </c>
      <c r="H24" s="30" t="s">
        <v>6</v>
      </c>
      <c r="I24" s="30" t="s">
        <v>7</v>
      </c>
      <c r="J24" s="30" t="s">
        <v>8</v>
      </c>
      <c r="K24" s="30" t="s">
        <v>9</v>
      </c>
    </row>
    <row r="25" spans="2:16" s="19" customFormat="1" ht="1.95" customHeight="1" x14ac:dyDescent="0.3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1"/>
      <c r="M25" s="21"/>
      <c r="N25" s="21"/>
      <c r="O25" s="21"/>
      <c r="P25" s="21"/>
    </row>
    <row r="26" spans="2:16" ht="14.4" customHeight="1" x14ac:dyDescent="0.3">
      <c r="B26" s="31" t="s">
        <v>63</v>
      </c>
      <c r="E26" s="9">
        <v>404</v>
      </c>
      <c r="F26" s="9">
        <v>795.62300000000005</v>
      </c>
      <c r="G26" s="5">
        <v>1003.52</v>
      </c>
      <c r="H26" s="5">
        <v>1248.92</v>
      </c>
      <c r="I26" s="5">
        <v>1536.18</v>
      </c>
      <c r="J26" s="5">
        <v>1837.1</v>
      </c>
      <c r="K26" s="5">
        <v>2297.5</v>
      </c>
    </row>
    <row r="27" spans="2:16" ht="14.4" customHeight="1" x14ac:dyDescent="0.3">
      <c r="B27" s="2" t="s">
        <v>15</v>
      </c>
      <c r="C27" s="2"/>
      <c r="D27" s="2"/>
      <c r="E27" s="8">
        <f>E26/E7</f>
        <v>0.89439893734779707</v>
      </c>
      <c r="F27" s="8">
        <f>F26/F7</f>
        <v>0.83741679753118647</v>
      </c>
      <c r="G27" s="8">
        <f>G26/G7</f>
        <v>0.85688913177129589</v>
      </c>
      <c r="H27" s="8">
        <f>H26/H7</f>
        <v>0.86456177270744938</v>
      </c>
      <c r="I27" s="8">
        <f>I26/I7</f>
        <v>0.87351446020174917</v>
      </c>
      <c r="J27" s="8">
        <f>J26/J7</f>
        <v>0.84396462616285739</v>
      </c>
      <c r="K27" s="8">
        <f>K26/K7</f>
        <v>0.88857518564356441</v>
      </c>
    </row>
    <row r="28" spans="2:16" ht="14.4" customHeight="1" x14ac:dyDescent="0.3">
      <c r="B28" s="31"/>
    </row>
    <row r="29" spans="2:16" ht="14.4" customHeight="1" x14ac:dyDescent="0.3">
      <c r="B29" s="32" t="s">
        <v>84</v>
      </c>
      <c r="E29" s="9">
        <v>222.4</v>
      </c>
      <c r="F29" s="9">
        <v>562.20000000000005</v>
      </c>
      <c r="G29" s="5">
        <v>659.6</v>
      </c>
    </row>
    <row r="30" spans="2:16" ht="14.4" customHeight="1" x14ac:dyDescent="0.3">
      <c r="B30" s="2" t="s">
        <v>15</v>
      </c>
      <c r="C30" s="2"/>
      <c r="D30" s="2"/>
      <c r="E30" s="8">
        <f>E29/E7</f>
        <v>0.49236218729245068</v>
      </c>
      <c r="F30" s="8">
        <f>F29/F7</f>
        <v>0.59173216909520343</v>
      </c>
      <c r="G30" s="8">
        <f>G29/G7</f>
        <v>0.56322153152537746</v>
      </c>
      <c r="H30" s="8"/>
      <c r="I30" s="8"/>
      <c r="J30" s="8"/>
      <c r="K30" s="8"/>
    </row>
    <row r="31" spans="2:16" ht="14.4" customHeight="1" x14ac:dyDescent="0.3">
      <c r="B31" s="32"/>
    </row>
    <row r="32" spans="2:16" ht="14.4" customHeight="1" x14ac:dyDescent="0.3">
      <c r="B32" s="32" t="s">
        <v>85</v>
      </c>
      <c r="E32" s="9">
        <v>181.7</v>
      </c>
      <c r="F32" s="9">
        <v>233</v>
      </c>
      <c r="G32" s="5">
        <v>315</v>
      </c>
    </row>
    <row r="33" spans="2:11" ht="14.4" customHeight="1" x14ac:dyDescent="0.3">
      <c r="B33" s="2" t="s">
        <v>15</v>
      </c>
      <c r="C33" s="2"/>
      <c r="D33" s="2"/>
      <c r="E33" s="8">
        <f>E32/E19</f>
        <v>0.7519170366937169</v>
      </c>
      <c r="F33" s="8">
        <f t="shared" ref="F33:G33" si="18">F32/F19</f>
        <v>0.73933047755037284</v>
      </c>
      <c r="G33" s="8">
        <f t="shared" si="18"/>
        <v>0.77616029804555442</v>
      </c>
      <c r="H33" s="8"/>
      <c r="I33" s="8"/>
      <c r="J33" s="8"/>
      <c r="K33" s="8"/>
    </row>
    <row r="35" spans="2:11" ht="14.4" customHeight="1" x14ac:dyDescent="0.3">
      <c r="B35" s="31" t="s">
        <v>87</v>
      </c>
      <c r="E35" s="9">
        <v>289.7</v>
      </c>
      <c r="F35" s="9">
        <v>470.95600000000002</v>
      </c>
      <c r="G35" s="5">
        <v>575.48800000000006</v>
      </c>
      <c r="H35" s="5">
        <v>697.51</v>
      </c>
      <c r="I35" s="5">
        <v>842.86699999999996</v>
      </c>
      <c r="J35" s="5">
        <v>1036.53</v>
      </c>
      <c r="K35" s="5">
        <v>1247.9000000000001</v>
      </c>
    </row>
    <row r="36" spans="2:11" ht="14.4" customHeight="1" x14ac:dyDescent="0.3">
      <c r="B36" s="2" t="s">
        <v>15</v>
      </c>
      <c r="C36" s="2"/>
      <c r="D36" s="2"/>
      <c r="E36" s="8">
        <f>E35/E4</f>
        <v>0.41782709717616956</v>
      </c>
      <c r="F36" s="8">
        <f>F35/F4</f>
        <v>0.37222602474467337</v>
      </c>
      <c r="G36" s="8">
        <f t="shared" ref="G36:K36" si="19">G35/G4</f>
        <v>0.3649341392701419</v>
      </c>
      <c r="H36" s="8">
        <f t="shared" si="19"/>
        <v>0.3550265438979574</v>
      </c>
      <c r="I36" s="8">
        <f t="shared" si="19"/>
        <v>0.3512355608154285</v>
      </c>
      <c r="J36" s="8">
        <f t="shared" si="19"/>
        <v>0.35112804878048781</v>
      </c>
      <c r="K36" s="8">
        <f t="shared" si="19"/>
        <v>0.35338260697193669</v>
      </c>
    </row>
    <row r="38" spans="2:11" ht="14.4" customHeight="1" x14ac:dyDescent="0.3">
      <c r="B38" s="31" t="s">
        <v>79</v>
      </c>
      <c r="E38" s="9">
        <v>229.8</v>
      </c>
      <c r="F38" s="9">
        <v>389.08699999999999</v>
      </c>
      <c r="G38" s="5">
        <v>472.79899999999998</v>
      </c>
      <c r="H38" s="5">
        <v>564.66</v>
      </c>
      <c r="I38" s="5">
        <v>685.06700000000001</v>
      </c>
      <c r="J38" s="5">
        <v>876</v>
      </c>
      <c r="K38" s="5">
        <v>1062.3</v>
      </c>
    </row>
    <row r="39" spans="2:11" ht="14.4" customHeight="1" x14ac:dyDescent="0.3">
      <c r="B39" s="2" t="s">
        <v>15</v>
      </c>
      <c r="C39" s="2"/>
      <c r="D39" s="2"/>
      <c r="E39" s="8">
        <f>E38/E19</f>
        <v>0.95096607062309391</v>
      </c>
      <c r="F39" s="8">
        <f>F38/F7</f>
        <v>0.40952560383626008</v>
      </c>
      <c r="G39" s="8">
        <f>G38/G19</f>
        <v>1.1649771833512383</v>
      </c>
      <c r="H39" s="8">
        <f>H38/H19</f>
        <v>1.0856758315708517</v>
      </c>
      <c r="I39" s="8">
        <f>I38/I19</f>
        <v>1.0685805646545001</v>
      </c>
      <c r="J39" s="8">
        <f>J38/J19</f>
        <v>1.1299580780393421</v>
      </c>
      <c r="K39" s="8">
        <f>K38/K19</f>
        <v>1.1232949138204504</v>
      </c>
    </row>
    <row r="41" spans="2:11" ht="14.4" customHeight="1" x14ac:dyDescent="0.3">
      <c r="B41" s="32" t="s">
        <v>80</v>
      </c>
      <c r="E41" s="33" t="s">
        <v>88</v>
      </c>
      <c r="F41" s="1">
        <v>278.10000000000002</v>
      </c>
      <c r="G41" s="1">
        <v>352.4</v>
      </c>
      <c r="H41" s="1">
        <v>450.6</v>
      </c>
      <c r="I41" s="1">
        <v>572.4</v>
      </c>
      <c r="J41" s="1">
        <v>712.9</v>
      </c>
      <c r="K41" s="1">
        <v>881</v>
      </c>
    </row>
    <row r="42" spans="2:11" ht="14.4" customHeight="1" x14ac:dyDescent="0.3">
      <c r="B42" s="2" t="s">
        <v>15</v>
      </c>
      <c r="C42" s="2"/>
      <c r="D42" s="2"/>
      <c r="E42" s="34"/>
      <c r="F42" s="8">
        <f>F41/F11</f>
        <v>0.51717116115246797</v>
      </c>
      <c r="G42" s="8">
        <f t="shared" ref="G42:K42" si="20">G41/G11</f>
        <v>0.51704381227377494</v>
      </c>
      <c r="H42" s="8">
        <f t="shared" si="20"/>
        <v>0.51061399463096069</v>
      </c>
      <c r="I42" s="8">
        <f t="shared" si="20"/>
        <v>0.52861483335334269</v>
      </c>
      <c r="J42" s="8">
        <f t="shared" si="20"/>
        <v>0.53201492537313433</v>
      </c>
      <c r="K42" s="8">
        <f t="shared" si="20"/>
        <v>0.55396610808941427</v>
      </c>
    </row>
    <row r="43" spans="2:11" ht="14.4" customHeight="1" x14ac:dyDescent="0.3">
      <c r="E43" s="33"/>
    </row>
    <row r="44" spans="2:11" ht="14.4" customHeight="1" x14ac:dyDescent="0.3">
      <c r="B44" s="32" t="s">
        <v>81</v>
      </c>
      <c r="E44" s="33" t="s">
        <v>88</v>
      </c>
      <c r="F44" s="1">
        <v>19.600000000000001</v>
      </c>
      <c r="G44" s="1">
        <v>18.399999999999999</v>
      </c>
      <c r="H44" s="1">
        <v>18.399999999999999</v>
      </c>
      <c r="I44" s="1">
        <v>18.399999999999999</v>
      </c>
      <c r="J44" s="1">
        <v>18.399999999999999</v>
      </c>
      <c r="K44" s="1">
        <v>18.399999999999999</v>
      </c>
    </row>
    <row r="45" spans="2:11" ht="14.4" customHeight="1" x14ac:dyDescent="0.3">
      <c r="B45" s="2" t="s">
        <v>15</v>
      </c>
      <c r="C45" s="2"/>
      <c r="D45" s="2"/>
      <c r="E45" s="8"/>
      <c r="F45" s="8">
        <f>F44/F15</f>
        <v>0.43628269337785203</v>
      </c>
      <c r="G45" s="8">
        <f t="shared" ref="G45:K45" si="21">G44/G15</f>
        <v>0.39024390243902435</v>
      </c>
      <c r="H45" s="8">
        <f t="shared" si="21"/>
        <v>0.36544190665342596</v>
      </c>
      <c r="I45" s="8">
        <f t="shared" si="21"/>
        <v>0.38574423480083853</v>
      </c>
      <c r="J45" s="8">
        <f t="shared" si="21"/>
        <v>0.39065817409766451</v>
      </c>
      <c r="K45" s="8">
        <f t="shared" si="21"/>
        <v>0.38095238095238093</v>
      </c>
    </row>
    <row r="47" spans="2:11" ht="14.4" customHeight="1" x14ac:dyDescent="0.3">
      <c r="B47" s="31" t="s">
        <v>82</v>
      </c>
      <c r="E47" s="9">
        <v>60.3</v>
      </c>
      <c r="F47" s="9">
        <v>84.776600000000002</v>
      </c>
      <c r="G47" s="5">
        <v>110.09099999999999</v>
      </c>
      <c r="H47" s="5">
        <v>136.68</v>
      </c>
      <c r="I47" s="5">
        <v>165.1</v>
      </c>
      <c r="J47" s="5">
        <v>200.7</v>
      </c>
      <c r="K47" s="5">
        <v>242.2</v>
      </c>
    </row>
    <row r="48" spans="2:11" ht="14.4" customHeight="1" x14ac:dyDescent="0.3">
      <c r="B48" s="2" t="s">
        <v>15</v>
      </c>
      <c r="C48" s="2"/>
      <c r="D48" s="2"/>
      <c r="E48" s="8">
        <f>E47/E19</f>
        <v>0.24953548328360556</v>
      </c>
      <c r="F48" s="8">
        <f t="shared" ref="F48:K48" si="22">F47/F19</f>
        <v>0.26900396636522295</v>
      </c>
      <c r="G48" s="8">
        <f t="shared" si="22"/>
        <v>0.271264328165502</v>
      </c>
      <c r="H48" s="8">
        <f t="shared" si="22"/>
        <v>0.26279561622764852</v>
      </c>
      <c r="I48" s="8">
        <f t="shared" si="22"/>
        <v>0.25752612696927157</v>
      </c>
      <c r="J48" s="8">
        <f t="shared" si="22"/>
        <v>0.25888423089326024</v>
      </c>
      <c r="K48" s="8">
        <f t="shared" si="22"/>
        <v>0.25610658771280531</v>
      </c>
    </row>
    <row r="53" ht="1.95" customHeight="1" x14ac:dyDescent="0.3"/>
    <row r="60" ht="1.9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2438-1AC1-43DF-96FD-76E4B45DFDBC}">
  <dimension ref="B2:P78"/>
  <sheetViews>
    <sheetView showGridLines="0" zoomScale="115" zoomScaleNormal="115" workbookViewId="0">
      <selection activeCell="A14" sqref="A14"/>
    </sheetView>
  </sheetViews>
  <sheetFormatPr defaultColWidth="8.69921875" defaultRowHeight="14.4" x14ac:dyDescent="0.3"/>
  <cols>
    <col min="1" max="5" width="8.69921875" style="1"/>
    <col min="6" max="6" width="9.796875" style="1" bestFit="1" customWidth="1"/>
    <col min="7" max="16384" width="8.69921875" style="1"/>
  </cols>
  <sheetData>
    <row r="2" spans="2:16" x14ac:dyDescent="0.3">
      <c r="B2" s="38" t="s">
        <v>89</v>
      </c>
      <c r="C2" s="38"/>
      <c r="D2" s="38"/>
      <c r="E2" s="38"/>
      <c r="F2" s="38"/>
      <c r="G2" s="38"/>
      <c r="H2" s="38"/>
      <c r="I2" s="38"/>
      <c r="J2" s="38"/>
      <c r="K2" s="38"/>
    </row>
    <row r="3" spans="2:16" x14ac:dyDescent="0.3">
      <c r="B3" s="38" t="s">
        <v>91</v>
      </c>
      <c r="C3" s="38"/>
      <c r="D3" s="37" t="s">
        <v>0</v>
      </c>
      <c r="E3" s="38" t="s">
        <v>94</v>
      </c>
      <c r="F3" s="38"/>
      <c r="G3" s="38"/>
      <c r="H3" s="38" t="s">
        <v>92</v>
      </c>
      <c r="I3" s="38"/>
      <c r="J3" s="38"/>
      <c r="K3" s="38"/>
    </row>
    <row r="4" spans="2:16" s="19" customFormat="1" ht="1.95" customHeight="1" x14ac:dyDescent="0.3"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1"/>
      <c r="N4" s="21"/>
      <c r="O4" s="21"/>
      <c r="P4" s="21"/>
    </row>
    <row r="5" spans="2:16" ht="14.4" customHeight="1" x14ac:dyDescent="0.3">
      <c r="B5" s="39" t="s">
        <v>90</v>
      </c>
      <c r="C5" s="39"/>
      <c r="D5" s="39" t="s">
        <v>93</v>
      </c>
      <c r="E5" s="39" t="s">
        <v>95</v>
      </c>
      <c r="F5" s="39"/>
      <c r="G5" s="39"/>
      <c r="H5" s="40" t="s">
        <v>109</v>
      </c>
      <c r="I5" s="40"/>
      <c r="J5" s="40"/>
      <c r="K5" s="40"/>
    </row>
    <row r="6" spans="2:16" x14ac:dyDescent="0.3">
      <c r="B6" s="39"/>
      <c r="C6" s="39"/>
      <c r="D6" s="39"/>
      <c r="E6" s="39"/>
      <c r="F6" s="39"/>
      <c r="G6" s="39"/>
      <c r="H6" s="40"/>
      <c r="I6" s="40"/>
      <c r="J6" s="40"/>
      <c r="K6" s="40"/>
    </row>
    <row r="7" spans="2:16" x14ac:dyDescent="0.3">
      <c r="B7" s="39"/>
      <c r="C7" s="39"/>
      <c r="D7" s="39"/>
      <c r="E7" s="39"/>
      <c r="F7" s="39"/>
      <c r="G7" s="39"/>
      <c r="H7" s="40"/>
      <c r="I7" s="40"/>
      <c r="J7" s="40"/>
      <c r="K7" s="40"/>
    </row>
    <row r="8" spans="2:16" x14ac:dyDescent="0.3">
      <c r="B8" s="40" t="s">
        <v>96</v>
      </c>
      <c r="C8" s="40"/>
      <c r="D8" s="39" t="s">
        <v>97</v>
      </c>
      <c r="E8" s="39" t="s">
        <v>100</v>
      </c>
      <c r="F8" s="39"/>
      <c r="G8" s="39"/>
      <c r="H8" s="40" t="s">
        <v>102</v>
      </c>
      <c r="I8" s="40"/>
      <c r="J8" s="40"/>
      <c r="K8" s="40"/>
    </row>
    <row r="9" spans="2:16" x14ac:dyDescent="0.3">
      <c r="B9" s="40"/>
      <c r="C9" s="40"/>
      <c r="D9" s="39"/>
      <c r="E9" s="39"/>
      <c r="F9" s="39"/>
      <c r="G9" s="39"/>
      <c r="H9" s="40"/>
      <c r="I9" s="40"/>
      <c r="J9" s="40"/>
      <c r="K9" s="40"/>
    </row>
    <row r="10" spans="2:16" x14ac:dyDescent="0.3">
      <c r="B10" s="40"/>
      <c r="C10" s="40"/>
      <c r="D10" s="39"/>
      <c r="E10" s="39"/>
      <c r="F10" s="39"/>
      <c r="G10" s="39"/>
      <c r="H10" s="40"/>
      <c r="I10" s="40"/>
      <c r="J10" s="40"/>
      <c r="K10" s="40"/>
    </row>
    <row r="11" spans="2:16" ht="14.4" customHeight="1" x14ac:dyDescent="0.3">
      <c r="B11" s="39" t="s">
        <v>99</v>
      </c>
      <c r="C11" s="39"/>
      <c r="D11" s="39" t="s">
        <v>98</v>
      </c>
      <c r="E11" s="40" t="s">
        <v>101</v>
      </c>
      <c r="F11" s="40"/>
      <c r="G11" s="40"/>
      <c r="H11" s="40" t="s">
        <v>103</v>
      </c>
      <c r="I11" s="40"/>
      <c r="J11" s="40"/>
      <c r="K11" s="40"/>
    </row>
    <row r="12" spans="2:16" x14ac:dyDescent="0.3">
      <c r="B12" s="39"/>
      <c r="C12" s="39"/>
      <c r="D12" s="39"/>
      <c r="E12" s="40"/>
      <c r="F12" s="40"/>
      <c r="G12" s="40"/>
      <c r="H12" s="40"/>
      <c r="I12" s="40"/>
      <c r="J12" s="40"/>
      <c r="K12" s="40"/>
    </row>
    <row r="13" spans="2:16" ht="15.6" customHeight="1" x14ac:dyDescent="0.3">
      <c r="B13" s="39"/>
      <c r="C13" s="39"/>
      <c r="D13" s="39"/>
      <c r="E13" s="40"/>
      <c r="F13" s="40"/>
      <c r="G13" s="40"/>
      <c r="H13" s="40"/>
      <c r="I13" s="40"/>
      <c r="J13" s="40"/>
      <c r="K13" s="40"/>
    </row>
    <row r="14" spans="2:16" ht="15.6" customHeight="1" x14ac:dyDescent="0.3">
      <c r="B14" s="39"/>
      <c r="C14" s="39"/>
      <c r="D14" s="39"/>
      <c r="E14" s="40"/>
      <c r="F14" s="40"/>
      <c r="G14" s="40"/>
      <c r="H14" s="40"/>
      <c r="I14" s="40"/>
      <c r="J14" s="40"/>
      <c r="K14" s="40"/>
    </row>
    <row r="15" spans="2:16" ht="15.6" customHeight="1" x14ac:dyDescent="0.3">
      <c r="B15" s="33"/>
      <c r="C15" s="33"/>
      <c r="D15" s="33"/>
      <c r="E15" s="41"/>
      <c r="F15" s="41"/>
      <c r="G15" s="41"/>
      <c r="H15" s="41"/>
      <c r="I15" s="41"/>
      <c r="J15" s="41"/>
      <c r="K15" s="41"/>
    </row>
    <row r="16" spans="2:16" ht="15.6" customHeight="1" x14ac:dyDescent="0.3">
      <c r="B16" s="38" t="s">
        <v>104</v>
      </c>
      <c r="C16" s="38"/>
      <c r="D16" s="38"/>
      <c r="E16" s="38"/>
      <c r="F16" s="38"/>
      <c r="G16" s="38"/>
      <c r="H16" s="38"/>
    </row>
    <row r="17" spans="2:16" s="19" customFormat="1" ht="1.95" customHeight="1" x14ac:dyDescent="0.3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  <c r="M17" s="21"/>
      <c r="N17" s="21"/>
      <c r="O17" s="21"/>
      <c r="P17" s="21"/>
    </row>
    <row r="18" spans="2:16" ht="14.4" customHeight="1" x14ac:dyDescent="0.3">
      <c r="B18" s="42" t="s">
        <v>105</v>
      </c>
      <c r="C18" s="42"/>
      <c r="D18" s="42"/>
      <c r="E18" s="42"/>
      <c r="F18" s="42"/>
      <c r="G18" s="42"/>
      <c r="H18" s="42"/>
    </row>
    <row r="19" spans="2:16" ht="15.6" customHeight="1" x14ac:dyDescent="0.3">
      <c r="B19" s="42"/>
      <c r="C19" s="42"/>
      <c r="D19" s="42"/>
      <c r="E19" s="42"/>
      <c r="F19" s="42"/>
      <c r="G19" s="42"/>
      <c r="H19" s="42"/>
    </row>
    <row r="21" spans="2:16" s="19" customFormat="1" ht="1.95" customHeight="1" x14ac:dyDescent="0.3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21"/>
      <c r="N21" s="21"/>
      <c r="O21" s="21"/>
      <c r="P21" s="21"/>
    </row>
    <row r="22" spans="2:16" ht="15.6" customHeight="1" x14ac:dyDescent="0.3">
      <c r="B22" s="38" t="s">
        <v>106</v>
      </c>
      <c r="C22" s="38"/>
      <c r="D22" s="38"/>
      <c r="E22" s="38"/>
      <c r="F22" s="38"/>
      <c r="G22" s="38"/>
      <c r="H22" s="38"/>
    </row>
    <row r="23" spans="2:16" s="19" customFormat="1" ht="1.95" customHeight="1" x14ac:dyDescent="0.3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1"/>
      <c r="M23" s="21"/>
      <c r="N23" s="21"/>
      <c r="O23" s="21"/>
      <c r="P23" s="21"/>
    </row>
    <row r="24" spans="2:16" ht="15.6" customHeight="1" x14ac:dyDescent="0.3">
      <c r="B24" s="42" t="s">
        <v>107</v>
      </c>
      <c r="C24" s="42"/>
      <c r="D24" s="42"/>
      <c r="E24" s="42"/>
      <c r="F24" s="42"/>
      <c r="G24" s="42"/>
      <c r="H24" s="42"/>
    </row>
    <row r="25" spans="2:16" ht="15.6" customHeight="1" x14ac:dyDescent="0.3">
      <c r="B25" s="42"/>
      <c r="C25" s="42"/>
      <c r="D25" s="42"/>
      <c r="E25" s="42"/>
      <c r="F25" s="42"/>
      <c r="G25" s="42"/>
      <c r="H25" s="42"/>
    </row>
    <row r="26" spans="2:16" ht="15.6" customHeight="1" x14ac:dyDescent="0.3">
      <c r="B26" s="42"/>
      <c r="C26" s="42"/>
      <c r="D26" s="42"/>
      <c r="E26" s="42"/>
      <c r="F26" s="42"/>
      <c r="G26" s="42"/>
      <c r="H26" s="42"/>
    </row>
    <row r="27" spans="2:16" ht="15.6" customHeight="1" x14ac:dyDescent="0.3">
      <c r="B27" s="42"/>
      <c r="C27" s="42"/>
      <c r="D27" s="42"/>
      <c r="E27" s="42"/>
      <c r="F27" s="42"/>
      <c r="G27" s="42"/>
      <c r="H27" s="42"/>
    </row>
    <row r="28" spans="2:16" ht="15.6" customHeight="1" x14ac:dyDescent="0.3">
      <c r="B28" s="42" t="s">
        <v>108</v>
      </c>
      <c r="C28" s="42"/>
      <c r="D28" s="42"/>
      <c r="E28" s="42"/>
      <c r="F28" s="42"/>
      <c r="G28" s="42"/>
      <c r="H28" s="42"/>
    </row>
    <row r="29" spans="2:16" ht="15.6" customHeight="1" x14ac:dyDescent="0.3">
      <c r="B29" s="42"/>
      <c r="C29" s="42"/>
      <c r="D29" s="42"/>
      <c r="E29" s="42"/>
      <c r="F29" s="42"/>
      <c r="G29" s="42"/>
      <c r="H29" s="42"/>
    </row>
    <row r="30" spans="2:16" ht="15.6" customHeight="1" x14ac:dyDescent="0.3">
      <c r="B30" s="42"/>
      <c r="C30" s="42"/>
      <c r="D30" s="42"/>
      <c r="E30" s="42"/>
      <c r="F30" s="42"/>
      <c r="G30" s="42"/>
      <c r="H30" s="42"/>
    </row>
    <row r="31" spans="2:16" ht="15.6" customHeight="1" x14ac:dyDescent="0.3"/>
    <row r="33" s="1" customFormat="1" ht="15.6" customHeight="1" x14ac:dyDescent="0.3"/>
    <row r="34" s="1" customFormat="1" ht="15.6" customHeight="1" x14ac:dyDescent="0.3"/>
    <row r="35" s="1" customFormat="1" ht="15.6" customHeight="1" x14ac:dyDescent="0.3"/>
    <row r="36" s="1" customFormat="1" ht="15.6" customHeight="1" x14ac:dyDescent="0.3"/>
    <row r="41" s="1" customFormat="1" ht="15.6" customHeight="1" x14ac:dyDescent="0.3"/>
    <row r="42" s="1" customFormat="1" ht="15.6" customHeight="1" x14ac:dyDescent="0.3"/>
    <row r="43" s="1" customFormat="1" ht="15.6" customHeight="1" x14ac:dyDescent="0.3"/>
    <row r="44" s="1" customFormat="1" ht="15.6" customHeight="1" x14ac:dyDescent="0.3"/>
    <row r="45" s="1" customFormat="1" ht="15.6" customHeight="1" x14ac:dyDescent="0.3"/>
    <row r="46" s="1" customFormat="1" ht="15.6" customHeight="1" x14ac:dyDescent="0.3"/>
    <row r="47" s="1" customFormat="1" ht="15.6" customHeight="1" x14ac:dyDescent="0.3"/>
    <row r="49" s="1" customFormat="1" x14ac:dyDescent="0.3"/>
    <row r="50" s="1" customFormat="1" ht="15.6" customHeight="1" x14ac:dyDescent="0.3"/>
    <row r="51" s="1" customFormat="1" ht="15.6" customHeight="1" x14ac:dyDescent="0.3"/>
    <row r="52" s="1" customFormat="1" ht="15.6" customHeight="1" x14ac:dyDescent="0.3"/>
    <row r="58" s="1" customFormat="1" ht="15.6" customHeight="1" x14ac:dyDescent="0.3"/>
    <row r="59" s="1" customFormat="1" ht="15.6" customHeight="1" x14ac:dyDescent="0.3"/>
    <row r="61" s="1" customFormat="1" ht="15.6" customHeight="1" x14ac:dyDescent="0.3"/>
    <row r="62" s="1" customFormat="1" ht="15.6" customHeight="1" x14ac:dyDescent="0.3"/>
    <row r="63" s="1" customFormat="1" ht="15.6" customHeight="1" x14ac:dyDescent="0.3"/>
    <row r="64" s="1" customFormat="1" x14ac:dyDescent="0.3"/>
    <row r="65" s="1" customFormat="1" x14ac:dyDescent="0.3"/>
    <row r="66" s="1" customFormat="1" x14ac:dyDescent="0.3"/>
    <row r="67" s="1" customFormat="1" ht="15.6" customHeight="1" x14ac:dyDescent="0.3"/>
    <row r="71" s="1" customFormat="1" ht="15.6" customHeight="1" x14ac:dyDescent="0.3"/>
    <row r="73" s="1" customFormat="1" ht="15.6" customHeigh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</sheetData>
  <sortState xmlns:xlrd2="http://schemas.microsoft.com/office/spreadsheetml/2017/richdata2" ref="B76:F84">
    <sortCondition descending="1" ref="F76:F84"/>
  </sortState>
  <mergeCells count="21">
    <mergeCell ref="B24:H27"/>
    <mergeCell ref="B22:H22"/>
    <mergeCell ref="B18:H19"/>
    <mergeCell ref="B28:H30"/>
    <mergeCell ref="D11:D14"/>
    <mergeCell ref="B11:C14"/>
    <mergeCell ref="B16:H16"/>
    <mergeCell ref="H11:K14"/>
    <mergeCell ref="E11:G14"/>
    <mergeCell ref="B2:K2"/>
    <mergeCell ref="H5:K7"/>
    <mergeCell ref="E5:G7"/>
    <mergeCell ref="D5:D7"/>
    <mergeCell ref="B5:C7"/>
    <mergeCell ref="B8:C10"/>
    <mergeCell ref="D8:D10"/>
    <mergeCell ref="E8:G10"/>
    <mergeCell ref="H8:K10"/>
    <mergeCell ref="H3:K3"/>
    <mergeCell ref="B3:C3"/>
    <mergeCell ref="E3:G3"/>
  </mergeCells>
  <conditionalFormatting sqref="R6:AJ6">
    <cfRule type="colorScale" priority="4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R9:AJ9">
    <cfRule type="colorScale" priority="3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S11:S16 S18">
    <cfRule type="colorScale" priority="7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S22">
    <cfRule type="colorScale" priority="1">
      <colorScale>
        <cfvo type="min"/>
        <cfvo type="num" val="0"/>
        <cfvo type="max"/>
        <color rgb="FFFF0000"/>
        <color theme="2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Segments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2026-01-02T23:21:27Z</dcterms:created>
  <dcterms:modified xsi:type="dcterms:W3CDTF">2026-01-20T01:25:46Z</dcterms:modified>
</cp:coreProperties>
</file>