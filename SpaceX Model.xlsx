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Financial Models\"/>
    </mc:Choice>
  </mc:AlternateContent>
  <xr:revisionPtr revIDLastSave="0" documentId="13_ncr:1_{AEFDC4CA-6D61-4BF8-AC73-AE3C02C3F029}" xr6:coauthVersionLast="47" xr6:coauthVersionMax="47" xr10:uidLastSave="{00000000-0000-0000-0000-000000000000}"/>
  <bookViews>
    <workbookView xWindow="34596" yWindow="0" windowWidth="25872" windowHeight="16200" xr2:uid="{00000000-000D-0000-FFFF-FFFF00000000}"/>
  </bookViews>
  <sheets>
    <sheet name="Main" sheetId="1" r:id="rId1"/>
    <sheet name="Seg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G17" i="1"/>
  <c r="E17" i="1"/>
  <c r="F18" i="1"/>
  <c r="E18" i="1"/>
  <c r="G18" i="1"/>
  <c r="I28" i="1"/>
  <c r="G93" i="1"/>
  <c r="H80" i="1"/>
  <c r="G80" i="1"/>
  <c r="F80" i="1"/>
  <c r="I82" i="1"/>
  <c r="H94" i="1"/>
  <c r="F94" i="1"/>
  <c r="I90" i="1"/>
  <c r="F55" i="1"/>
  <c r="G55" i="1"/>
  <c r="H55" i="1"/>
  <c r="H120" i="1"/>
  <c r="G120" i="1"/>
  <c r="F120" i="1"/>
  <c r="H44" i="1"/>
  <c r="G44" i="1"/>
  <c r="F44" i="1"/>
  <c r="G71" i="1"/>
  <c r="H71" i="1"/>
  <c r="I71" i="1"/>
  <c r="F59" i="1"/>
  <c r="G59" i="1"/>
  <c r="H59" i="1"/>
  <c r="F47" i="1"/>
  <c r="G47" i="1"/>
  <c r="H47" i="1"/>
  <c r="F41" i="1"/>
  <c r="G41" i="1"/>
  <c r="H41" i="1"/>
  <c r="F38" i="1"/>
  <c r="G38" i="1"/>
  <c r="H38" i="1"/>
  <c r="F34" i="1"/>
  <c r="G34" i="1"/>
  <c r="H34" i="1"/>
  <c r="I120" i="1"/>
  <c r="H107" i="1"/>
  <c r="G107" i="1"/>
  <c r="F107" i="1"/>
  <c r="H101" i="1"/>
  <c r="G101" i="1"/>
  <c r="F101" i="1"/>
  <c r="H91" i="1"/>
  <c r="G91" i="1"/>
  <c r="F91" i="1"/>
  <c r="H87" i="1"/>
  <c r="G87" i="1"/>
  <c r="F87" i="1"/>
  <c r="H83" i="1"/>
  <c r="G83" i="1"/>
  <c r="F83" i="1"/>
  <c r="H79" i="1"/>
  <c r="G79" i="1"/>
  <c r="F79" i="1"/>
  <c r="J70" i="1"/>
  <c r="H32" i="1"/>
  <c r="G32" i="1"/>
  <c r="F32" i="1"/>
  <c r="H29" i="1"/>
  <c r="G29" i="1"/>
  <c r="P17" i="1"/>
  <c r="Z4" i="1"/>
  <c r="I78" i="1" l="1"/>
  <c r="J28" i="1"/>
  <c r="K28" i="1" s="1"/>
  <c r="L28" i="1" s="1"/>
  <c r="M28" i="1" s="1"/>
  <c r="N28" i="1" s="1"/>
  <c r="H18" i="1"/>
  <c r="E9" i="1" s="1"/>
  <c r="J82" i="1"/>
  <c r="H56" i="1"/>
  <c r="F56" i="1"/>
  <c r="I31" i="1"/>
  <c r="I37" i="1"/>
  <c r="I40" i="1"/>
  <c r="I41" i="1"/>
  <c r="I80" i="1"/>
  <c r="G94" i="1"/>
  <c r="I94" i="1"/>
  <c r="G56" i="1"/>
  <c r="I44" i="1"/>
  <c r="G49" i="1"/>
  <c r="F49" i="1"/>
  <c r="F61" i="1" s="1"/>
  <c r="F67" i="1" s="1"/>
  <c r="F96" i="1" s="1"/>
  <c r="F84" i="1" s="1"/>
  <c r="H49" i="1"/>
  <c r="H61" i="1" s="1"/>
  <c r="H67" i="1" s="1"/>
  <c r="H96" i="1" s="1"/>
  <c r="H84" i="1" s="1"/>
  <c r="I56" i="1"/>
  <c r="H35" i="1"/>
  <c r="J71" i="1"/>
  <c r="I59" i="1"/>
  <c r="F35" i="1"/>
  <c r="G35" i="1"/>
  <c r="H126" i="1"/>
  <c r="G126" i="1"/>
  <c r="H121" i="1"/>
  <c r="F126" i="1"/>
  <c r="G121" i="1"/>
  <c r="F108" i="1"/>
  <c r="I121" i="1"/>
  <c r="J120" i="1"/>
  <c r="H108" i="1"/>
  <c r="G108" i="1"/>
  <c r="J90" i="1"/>
  <c r="H102" i="1"/>
  <c r="G102" i="1"/>
  <c r="I91" i="1"/>
  <c r="I101" i="1"/>
  <c r="I102" i="1" s="1"/>
  <c r="I86" i="1"/>
  <c r="K70" i="1"/>
  <c r="K71" i="1" s="1"/>
  <c r="I47" i="1"/>
  <c r="I29" i="1"/>
  <c r="AA4" i="1"/>
  <c r="AB4" i="1" s="1"/>
  <c r="AC4" i="1" s="1"/>
  <c r="H52" i="1" l="1"/>
  <c r="H53" i="1" s="1"/>
  <c r="K82" i="1"/>
  <c r="J78" i="1"/>
  <c r="I126" i="1"/>
  <c r="P18" i="1"/>
  <c r="J121" i="1"/>
  <c r="I18" i="1"/>
  <c r="J80" i="1"/>
  <c r="J40" i="1"/>
  <c r="J31" i="1"/>
  <c r="J94" i="1" s="1"/>
  <c r="J37" i="1"/>
  <c r="F52" i="1"/>
  <c r="F53" i="1" s="1"/>
  <c r="G52" i="1"/>
  <c r="G53" i="1" s="1"/>
  <c r="G61" i="1"/>
  <c r="G67" i="1" s="1"/>
  <c r="G96" i="1" s="1"/>
  <c r="G84" i="1" s="1"/>
  <c r="J56" i="1"/>
  <c r="J44" i="1"/>
  <c r="H50" i="1"/>
  <c r="I87" i="1"/>
  <c r="I34" i="1"/>
  <c r="F50" i="1"/>
  <c r="G50" i="1"/>
  <c r="J59" i="1"/>
  <c r="J47" i="1"/>
  <c r="J101" i="1"/>
  <c r="J86" i="1"/>
  <c r="J87" i="1" s="1"/>
  <c r="J29" i="1"/>
  <c r="G124" i="1"/>
  <c r="G125" i="1"/>
  <c r="I32" i="1"/>
  <c r="H125" i="1"/>
  <c r="H124" i="1"/>
  <c r="F125" i="1"/>
  <c r="F124" i="1"/>
  <c r="K90" i="1"/>
  <c r="J91" i="1"/>
  <c r="I107" i="1"/>
  <c r="I108" i="1" s="1"/>
  <c r="I83" i="1"/>
  <c r="L70" i="1"/>
  <c r="K120" i="1"/>
  <c r="J126" i="1"/>
  <c r="K78" i="1" l="1"/>
  <c r="L82" i="1"/>
  <c r="P19" i="1"/>
  <c r="I35" i="1"/>
  <c r="I49" i="1"/>
  <c r="K37" i="1"/>
  <c r="K40" i="1"/>
  <c r="K31" i="1"/>
  <c r="K94" i="1" s="1"/>
  <c r="K80" i="1"/>
  <c r="K56" i="1"/>
  <c r="K44" i="1"/>
  <c r="H62" i="1"/>
  <c r="H65" i="1"/>
  <c r="K101" i="1"/>
  <c r="K86" i="1"/>
  <c r="K87" i="1" s="1"/>
  <c r="K29" i="1"/>
  <c r="F62" i="1"/>
  <c r="F65" i="1"/>
  <c r="G62" i="1"/>
  <c r="G65" i="1"/>
  <c r="K47" i="1"/>
  <c r="K59" i="1"/>
  <c r="J34" i="1"/>
  <c r="J35" i="1" s="1"/>
  <c r="J83" i="1"/>
  <c r="J102" i="1"/>
  <c r="J107" i="1"/>
  <c r="J108" i="1" s="1"/>
  <c r="J32" i="1"/>
  <c r="K91" i="1"/>
  <c r="L90" i="1"/>
  <c r="I79" i="1"/>
  <c r="M70" i="1"/>
  <c r="L71" i="1"/>
  <c r="L120" i="1"/>
  <c r="K126" i="1"/>
  <c r="K121" i="1"/>
  <c r="P24" i="1" l="1"/>
  <c r="L78" i="1"/>
  <c r="M82" i="1"/>
  <c r="P22" i="1"/>
  <c r="L37" i="1"/>
  <c r="L40" i="1"/>
  <c r="L31" i="1"/>
  <c r="L94" i="1" s="1"/>
  <c r="L80" i="1"/>
  <c r="L56" i="1"/>
  <c r="L44" i="1"/>
  <c r="P20" i="1"/>
  <c r="H68" i="1"/>
  <c r="H73" i="1"/>
  <c r="K34" i="1"/>
  <c r="K35" i="1" s="1"/>
  <c r="K102" i="1"/>
  <c r="K107" i="1"/>
  <c r="K108" i="1" s="1"/>
  <c r="K83" i="1"/>
  <c r="K32" i="1"/>
  <c r="L59" i="1"/>
  <c r="L29" i="1"/>
  <c r="L101" i="1"/>
  <c r="L102" i="1" s="1"/>
  <c r="L47" i="1"/>
  <c r="L86" i="1"/>
  <c r="L87" i="1" s="1"/>
  <c r="F68" i="1"/>
  <c r="F73" i="1"/>
  <c r="G68" i="1"/>
  <c r="G73" i="1"/>
  <c r="J79" i="1"/>
  <c r="F104" i="1"/>
  <c r="M90" i="1"/>
  <c r="L91" i="1"/>
  <c r="N70" i="1"/>
  <c r="M71" i="1"/>
  <c r="M120" i="1"/>
  <c r="L126" i="1"/>
  <c r="L121" i="1"/>
  <c r="M78" i="1" l="1"/>
  <c r="N82" i="1"/>
  <c r="N78" i="1" s="1"/>
  <c r="L32" i="1"/>
  <c r="M37" i="1"/>
  <c r="M40" i="1"/>
  <c r="M31" i="1"/>
  <c r="M94" i="1" s="1"/>
  <c r="M80" i="1"/>
  <c r="H104" i="1"/>
  <c r="G104" i="1"/>
  <c r="G97" i="1"/>
  <c r="H97" i="1"/>
  <c r="H74" i="1"/>
  <c r="M56" i="1"/>
  <c r="M44" i="1"/>
  <c r="K79" i="1"/>
  <c r="M29" i="1"/>
  <c r="M59" i="1"/>
  <c r="M101" i="1"/>
  <c r="M102" i="1" s="1"/>
  <c r="M47" i="1"/>
  <c r="M86" i="1"/>
  <c r="M87" i="1" s="1"/>
  <c r="L79" i="1"/>
  <c r="L107" i="1"/>
  <c r="L108" i="1" s="1"/>
  <c r="L83" i="1"/>
  <c r="L34" i="1"/>
  <c r="L35" i="1" s="1"/>
  <c r="G74" i="1"/>
  <c r="G117" i="1"/>
  <c r="H117" i="1"/>
  <c r="H123" i="1" s="1"/>
  <c r="F117" i="1"/>
  <c r="F128" i="1"/>
  <c r="F105" i="1"/>
  <c r="F110" i="1"/>
  <c r="M91" i="1"/>
  <c r="N90" i="1"/>
  <c r="N71" i="1"/>
  <c r="N120" i="1"/>
  <c r="M126" i="1"/>
  <c r="M121" i="1"/>
  <c r="M32" i="1" l="1"/>
  <c r="N44" i="1"/>
  <c r="N37" i="1"/>
  <c r="N40" i="1"/>
  <c r="N31" i="1"/>
  <c r="N94" i="1" s="1"/>
  <c r="N80" i="1"/>
  <c r="H110" i="1"/>
  <c r="H105" i="1"/>
  <c r="H128" i="1"/>
  <c r="G105" i="1"/>
  <c r="G110" i="1"/>
  <c r="G128" i="1"/>
  <c r="N56" i="1"/>
  <c r="M107" i="1"/>
  <c r="M108" i="1" s="1"/>
  <c r="M83" i="1"/>
  <c r="M79" i="1"/>
  <c r="N101" i="1"/>
  <c r="N58" i="1"/>
  <c r="N47" i="1"/>
  <c r="N29" i="1"/>
  <c r="N86" i="1"/>
  <c r="N87" i="1" s="1"/>
  <c r="M34" i="1"/>
  <c r="M35" i="1" s="1"/>
  <c r="G123" i="1"/>
  <c r="H118" i="1"/>
  <c r="G118" i="1"/>
  <c r="F123" i="1"/>
  <c r="F127" i="1"/>
  <c r="F111" i="1"/>
  <c r="N91" i="1"/>
  <c r="N126" i="1"/>
  <c r="N121" i="1"/>
  <c r="N32" i="1" l="1"/>
  <c r="H127" i="1"/>
  <c r="H111" i="1"/>
  <c r="G111" i="1"/>
  <c r="G127" i="1"/>
  <c r="N107" i="1"/>
  <c r="N108" i="1" s="1"/>
  <c r="N83" i="1"/>
  <c r="Y6" i="1"/>
  <c r="N102" i="1"/>
  <c r="N34" i="1"/>
  <c r="N35" i="1" s="1"/>
  <c r="N79" i="1" l="1"/>
  <c r="Z6" i="1"/>
  <c r="Y10" i="1"/>
  <c r="Y7" i="1"/>
  <c r="AA6" i="1" l="1"/>
  <c r="Z7" i="1"/>
  <c r="Z10" i="1"/>
  <c r="Y11" i="1"/>
  <c r="Y13" i="1"/>
  <c r="AA10" i="1" l="1"/>
  <c r="AA7" i="1"/>
  <c r="AB6" i="1"/>
  <c r="Z11" i="1"/>
  <c r="Z13" i="1"/>
  <c r="AA13" i="1" l="1"/>
  <c r="AA11" i="1"/>
  <c r="AB7" i="1"/>
  <c r="AC6" i="1"/>
  <c r="AB10" i="1"/>
  <c r="AC7" i="1" l="1"/>
  <c r="AC10" i="1"/>
  <c r="AB13" i="1"/>
  <c r="AB11" i="1"/>
  <c r="AC13" i="1" l="1"/>
  <c r="AC11" i="1"/>
  <c r="T18" i="1"/>
  <c r="I52" i="1" l="1"/>
  <c r="I53" i="1" s="1"/>
  <c r="I61" i="1" l="1"/>
  <c r="I64" i="1" s="1"/>
  <c r="I65" i="1" s="1"/>
  <c r="P23" i="1"/>
  <c r="I50" i="1"/>
  <c r="I124" i="1"/>
  <c r="I125" i="1"/>
  <c r="I38" i="1" l="1"/>
  <c r="I67" i="1"/>
  <c r="I96" i="1" s="1"/>
  <c r="I84" i="1" s="1"/>
  <c r="I62" i="1"/>
  <c r="I97" i="1" l="1"/>
  <c r="P21" i="1" l="1"/>
  <c r="I68" i="1"/>
  <c r="I73" i="1"/>
  <c r="I104" i="1"/>
  <c r="I117" i="1" l="1"/>
  <c r="I105" i="1"/>
  <c r="I110" i="1"/>
  <c r="I74" i="1"/>
  <c r="I128" i="1"/>
  <c r="I123" i="1" l="1"/>
  <c r="I118" i="1"/>
  <c r="I111" i="1"/>
  <c r="I127" i="1"/>
  <c r="I113" i="1"/>
  <c r="T17" i="1" l="1"/>
  <c r="T21" i="1" s="1"/>
  <c r="T23" i="1" s="1"/>
  <c r="N41" i="1" l="1"/>
  <c r="J41" i="1"/>
  <c r="K41" i="1"/>
  <c r="M41" i="1"/>
  <c r="L41" i="1"/>
  <c r="K49" i="1" l="1"/>
  <c r="J49" i="1"/>
  <c r="L49" i="1"/>
  <c r="L61" i="1" s="1"/>
  <c r="M49" i="1"/>
  <c r="M61" i="1" s="1"/>
  <c r="M38" i="1"/>
  <c r="L38" i="1"/>
  <c r="K38" i="1"/>
  <c r="J38" i="1"/>
  <c r="L125" i="1" l="1"/>
  <c r="L124" i="1"/>
  <c r="L62" i="1"/>
  <c r="L64" i="1"/>
  <c r="L65" i="1" s="1"/>
  <c r="M62" i="1"/>
  <c r="M64" i="1"/>
  <c r="M65" i="1" s="1"/>
  <c r="M52" i="1"/>
  <c r="M53" i="1" s="1"/>
  <c r="M125" i="1"/>
  <c r="M124" i="1"/>
  <c r="M50" i="1"/>
  <c r="J52" i="1"/>
  <c r="K52" i="1"/>
  <c r="K53" i="1" s="1"/>
  <c r="L50" i="1"/>
  <c r="K61" i="1"/>
  <c r="K64" i="1" s="1"/>
  <c r="K65" i="1" s="1"/>
  <c r="J61" i="1"/>
  <c r="J64" i="1" s="1"/>
  <c r="J65" i="1" s="1"/>
  <c r="J50" i="1"/>
  <c r="J124" i="1"/>
  <c r="K50" i="1"/>
  <c r="K125" i="1"/>
  <c r="K124" i="1"/>
  <c r="J125" i="1"/>
  <c r="L52" i="1"/>
  <c r="L53" i="1" s="1"/>
  <c r="M67" i="1" l="1"/>
  <c r="L67" i="1"/>
  <c r="J53" i="1"/>
  <c r="K62" i="1"/>
  <c r="J62" i="1"/>
  <c r="M96" i="1" l="1"/>
  <c r="M68" i="1"/>
  <c r="M73" i="1"/>
  <c r="L96" i="1"/>
  <c r="L68" i="1"/>
  <c r="L73" i="1"/>
  <c r="L117" i="1" s="1"/>
  <c r="L123" i="1" s="1"/>
  <c r="K67" i="1"/>
  <c r="J67" i="1"/>
  <c r="M104" i="1" l="1"/>
  <c r="M97" i="1"/>
  <c r="M84" i="1"/>
  <c r="M117" i="1"/>
  <c r="M74" i="1"/>
  <c r="L104" i="1"/>
  <c r="L84" i="1"/>
  <c r="K73" i="1"/>
  <c r="K96" i="1"/>
  <c r="K84" i="1" s="1"/>
  <c r="K68" i="1"/>
  <c r="J73" i="1"/>
  <c r="J68" i="1"/>
  <c r="J96" i="1"/>
  <c r="J84" i="1" s="1"/>
  <c r="M128" i="1" l="1"/>
  <c r="M110" i="1"/>
  <c r="M105" i="1"/>
  <c r="M118" i="1"/>
  <c r="M123" i="1"/>
  <c r="L110" i="1"/>
  <c r="L128" i="1"/>
  <c r="L105" i="1"/>
  <c r="L74" i="1"/>
  <c r="K117" i="1"/>
  <c r="K104" i="1"/>
  <c r="L97" i="1"/>
  <c r="J117" i="1"/>
  <c r="J74" i="1"/>
  <c r="J97" i="1"/>
  <c r="J104" i="1"/>
  <c r="K74" i="1"/>
  <c r="K97" i="1"/>
  <c r="M113" i="1" l="1"/>
  <c r="M127" i="1"/>
  <c r="M111" i="1"/>
  <c r="L113" i="1"/>
  <c r="L111" i="1"/>
  <c r="L127" i="1"/>
  <c r="L118" i="1"/>
  <c r="K110" i="1"/>
  <c r="K105" i="1"/>
  <c r="K123" i="1"/>
  <c r="K128" i="1"/>
  <c r="J123" i="1"/>
  <c r="J118" i="1"/>
  <c r="J128" i="1"/>
  <c r="J105" i="1"/>
  <c r="J110" i="1"/>
  <c r="K118" i="1"/>
  <c r="K113" i="1" l="1"/>
  <c r="K127" i="1"/>
  <c r="K111" i="1"/>
  <c r="J113" i="1"/>
  <c r="J111" i="1"/>
  <c r="J127" i="1"/>
  <c r="N49" i="1" l="1"/>
  <c r="N61" i="1" s="1"/>
  <c r="N38" i="1"/>
  <c r="N52" i="1" l="1"/>
  <c r="N124" i="1"/>
  <c r="N125" i="1"/>
  <c r="N50" i="1"/>
  <c r="N62" i="1"/>
  <c r="N64" i="1"/>
  <c r="N65" i="1" s="1"/>
  <c r="N67" i="1" l="1"/>
  <c r="P8" i="1"/>
  <c r="P9" i="1" s="1"/>
  <c r="N53" i="1"/>
  <c r="N73" i="1" l="1"/>
  <c r="N96" i="1"/>
  <c r="N68" i="1"/>
  <c r="N74" i="1" l="1"/>
  <c r="N117" i="1"/>
  <c r="N97" i="1"/>
  <c r="N104" i="1"/>
  <c r="N84" i="1"/>
  <c r="N118" i="1" l="1"/>
  <c r="N123" i="1"/>
  <c r="N110" i="1"/>
  <c r="N105" i="1"/>
  <c r="N128" i="1"/>
  <c r="N127" i="1" l="1"/>
  <c r="N113" i="1"/>
  <c r="P7" i="1" s="1"/>
  <c r="P13" i="1" s="1"/>
  <c r="N111" i="1"/>
  <c r="U13" i="1" l="1"/>
  <c r="E8" i="1"/>
  <c r="E10" i="1" s="1"/>
  <c r="H17" i="1" l="1"/>
  <c r="H20" i="1" s="1"/>
  <c r="H23" i="1" s="1"/>
  <c r="I17" i="1"/>
  <c r="E11" i="1" l="1"/>
  <c r="I20" i="1"/>
  <c r="I23" i="1" s="1"/>
</calcChain>
</file>

<file path=xl/sharedStrings.xml><?xml version="1.0" encoding="utf-8"?>
<sst xmlns="http://schemas.openxmlformats.org/spreadsheetml/2006/main" count="207" uniqueCount="103">
  <si>
    <t>Company Overview</t>
  </si>
  <si>
    <t>Key Stats</t>
  </si>
  <si>
    <t>Price</t>
  </si>
  <si>
    <t>Ticker</t>
  </si>
  <si>
    <t>SPCE</t>
  </si>
  <si>
    <t>Employees</t>
  </si>
  <si>
    <t>Implied Share Price</t>
  </si>
  <si>
    <t>Founded</t>
  </si>
  <si>
    <t>CEO</t>
  </si>
  <si>
    <t>Elon Musk</t>
  </si>
  <si>
    <t>Implied Upside / (Downside)</t>
  </si>
  <si>
    <t>Headquarters</t>
  </si>
  <si>
    <t>Starbase, Texas</t>
  </si>
  <si>
    <t>Primary Industry</t>
  </si>
  <si>
    <t>Aerospace / Satcom / AI</t>
  </si>
  <si>
    <t>Last Updated</t>
  </si>
  <si>
    <t>Fiscal Year End</t>
  </si>
  <si>
    <t>Key Statistics</t>
  </si>
  <si>
    <t>Debt</t>
  </si>
  <si>
    <t>Enterprise Value</t>
  </si>
  <si>
    <t>2026E</t>
  </si>
  <si>
    <t>2027E</t>
  </si>
  <si>
    <t>2028E</t>
  </si>
  <si>
    <t>2029E</t>
  </si>
  <si>
    <t>2030E</t>
  </si>
  <si>
    <t>2031E</t>
  </si>
  <si>
    <t>x</t>
  </si>
  <si>
    <t>10 Year DCF</t>
  </si>
  <si>
    <t>Valuation</t>
  </si>
  <si>
    <t>Notes</t>
  </si>
  <si>
    <t>Revenue</t>
  </si>
  <si>
    <t>PV of FCF</t>
  </si>
  <si>
    <t>WACC</t>
  </si>
  <si>
    <t>% growth</t>
  </si>
  <si>
    <t>Terminal Value</t>
  </si>
  <si>
    <t>EV/EBITDA Multiple</t>
  </si>
  <si>
    <t>PV of Terminal Value</t>
  </si>
  <si>
    <t>Net Debt</t>
  </si>
  <si>
    <t>Free Cash Flow</t>
  </si>
  <si>
    <t>IRR</t>
  </si>
  <si>
    <t>Strategic Investments</t>
  </si>
  <si>
    <t>% of sales</t>
  </si>
  <si>
    <t>Shares Outstanding</t>
  </si>
  <si>
    <t>Implied Market Cap</t>
  </si>
  <si>
    <t>Share Price</t>
  </si>
  <si>
    <t>Present Value of FCF</t>
  </si>
  <si>
    <t>Financial Ratios</t>
  </si>
  <si>
    <t>Gordon Growth Method</t>
  </si>
  <si>
    <t>Stock Price</t>
  </si>
  <si>
    <t>Market Cap</t>
  </si>
  <si>
    <t>FCF Value</t>
  </si>
  <si>
    <t>shares outstanding</t>
  </si>
  <si>
    <t>P/E (LTM)</t>
  </si>
  <si>
    <t>P/E (NTM)</t>
  </si>
  <si>
    <t>Cash</t>
  </si>
  <si>
    <t>EV/EBITDA (LTM)</t>
  </si>
  <si>
    <t>Total</t>
  </si>
  <si>
    <t>EV/EBITDA (NTM)</t>
  </si>
  <si>
    <t>EV/EBIT (LTM)</t>
  </si>
  <si>
    <t>Income Statement ($M)</t>
  </si>
  <si>
    <t>COGS</t>
  </si>
  <si>
    <t>Gross Profit</t>
  </si>
  <si>
    <t>Research &amp; Development</t>
  </si>
  <si>
    <t>SG&amp;A</t>
  </si>
  <si>
    <t>Operating Income (EBIT)</t>
  </si>
  <si>
    <t>EBITDA</t>
  </si>
  <si>
    <t xml:space="preserve">  Tax Rate %</t>
  </si>
  <si>
    <t>Net Income</t>
  </si>
  <si>
    <t xml:space="preserve"> % of sales </t>
  </si>
  <si>
    <t>EPS</t>
  </si>
  <si>
    <t>Cash Flow Items</t>
  </si>
  <si>
    <t>D&amp;A</t>
  </si>
  <si>
    <t>% of capex</t>
  </si>
  <si>
    <t>CapEx</t>
  </si>
  <si>
    <t>% of ocf</t>
  </si>
  <si>
    <t>Change in NWC</t>
  </si>
  <si>
    <t>% of changes in sales</t>
  </si>
  <si>
    <t>Stock Based Compensation</t>
  </si>
  <si>
    <t>Cash Flow from Operations</t>
  </si>
  <si>
    <t>DCF</t>
  </si>
  <si>
    <t>Operating Cash Flow</t>
  </si>
  <si>
    <t>Per Share</t>
  </si>
  <si>
    <t>% change</t>
  </si>
  <si>
    <t>P/E</t>
  </si>
  <si>
    <t>P/EBIT</t>
  </si>
  <si>
    <t>P/EBITDA</t>
  </si>
  <si>
    <t>P/S</t>
  </si>
  <si>
    <t>P/FCF</t>
  </si>
  <si>
    <t>P/OCF</t>
  </si>
  <si>
    <t>all values in millions except per share numbers</t>
  </si>
  <si>
    <t>Levers</t>
  </si>
  <si>
    <t>Product Segments ($M)</t>
  </si>
  <si>
    <t>Operating Income by Segment</t>
  </si>
  <si>
    <t>Operating Income</t>
  </si>
  <si>
    <t>Core Levers</t>
  </si>
  <si>
    <t>Impairment</t>
  </si>
  <si>
    <t>Other Income</t>
  </si>
  <si>
    <t>Income Before Taxes</t>
  </si>
  <si>
    <t>Provision for Income Taxes</t>
  </si>
  <si>
    <t>Restructuring</t>
  </si>
  <si>
    <t>Shares Outsanding</t>
  </si>
  <si>
    <t>Interest Income (Expense)</t>
  </si>
  <si>
    <t>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</si>
</sst>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6" formatCode="&quot;$&quot;#,##0_);[Red]\(&quot;$&quot;#,##0\)"/>
    <numFmt numFmtId="41" formatCode="_(* #,##0_);_(* \(#,##0\);_(* &quot;-&quot;_);_(@_)"/>
    <numFmt numFmtId="164" formatCode="&quot;$&quot;#,##0.00"/>
    <numFmt numFmtId="165" formatCode="mm/dd/yyyy"/>
    <numFmt numFmtId="166" formatCode="0.0%"/>
    <numFmt numFmtId="169" formatCode="&quot;$&quot;#,##0"/>
    <numFmt numFmtId="170" formatCode="#.00%;\(#.00%\)"/>
    <numFmt numFmtId="171" formatCode="#,##0;\(#,##0\)"/>
    <numFmt numFmtId="172" formatCode="#,##0.00;\(#,##0.00\)"/>
    <numFmt numFmtId="173" formatCode="0.0&quot;x&quot;"/>
    <numFmt numFmtId="174" formatCode="0.0%;\(0.0%\);\-"/>
    <numFmt numFmtId="175" formatCode="0.00;\(0.00\)"/>
    <numFmt numFmtId="176" formatCode="#,##0;\(#,##0\);\-"/>
    <numFmt numFmtId="177" formatCode="0.0%;\(0.0%\)"/>
    <numFmt numFmtId="178" formatCode="0.00%;\(0.00%\)"/>
    <numFmt numFmtId="179" formatCode="#,##0.00&quot;x&quot;;\(#,##0.00&quot;x&quot;\)"/>
    <numFmt numFmtId="180" formatCode="0%;\(0%\);\-"/>
    <numFmt numFmtId="181" formatCode="0.00&quot;x&quot;"/>
    <numFmt numFmtId="182" formatCode="0.000"/>
    <numFmt numFmtId="183" formatCode="#,##0.0%;\(0.0%\);\-"/>
    <numFmt numFmtId="184" formatCode="#,##0.0"/>
    <numFmt numFmtId="185" formatCode="#,##0.0;\(#,##0.0\);\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1"/>
      <color theme="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7" tint="-0.249977111117893"/>
      <name val="Calibri"/>
      <family val="2"/>
    </font>
    <font>
      <sz val="9"/>
      <color rgb="FF0000BF"/>
      <name val="calibri"/>
      <family val="2"/>
    </font>
    <font>
      <b/>
      <sz val="11"/>
      <color rgb="FFFFFFFF"/>
      <name val="calibri"/>
      <family val="2"/>
    </font>
    <font>
      <i/>
      <sz val="11"/>
      <color rgb="FF000000"/>
      <name val="calibri"/>
      <family val="2"/>
    </font>
    <font>
      <sz val="11"/>
      <color rgb="FF0000BF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BF"/>
      <name val="calibri"/>
      <family val="2"/>
    </font>
    <font>
      <b/>
      <sz val="11"/>
      <color rgb="FF0000B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b/>
      <i/>
      <sz val="11"/>
      <color theme="4"/>
      <name val="calibri"/>
      <family val="2"/>
    </font>
    <font>
      <b/>
      <sz val="11"/>
      <color theme="4"/>
      <name val="calibri"/>
      <family val="2"/>
    </font>
    <font>
      <i/>
      <sz val="11"/>
      <color rgb="FF595959"/>
      <name val="calibri"/>
      <family val="2"/>
    </font>
    <font>
      <sz val="11"/>
      <color rgb="FF7030A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66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3" fontId="2" fillId="0" borderId="0" xfId="0" applyNumberFormat="1" applyFont="1"/>
    <xf numFmtId="0" fontId="5" fillId="0" borderId="0" xfId="0" applyFont="1"/>
    <xf numFmtId="0" fontId="2" fillId="4" borderId="0" xfId="0" applyFont="1" applyFill="1"/>
    <xf numFmtId="0" fontId="4" fillId="4" borderId="0" xfId="0" applyFont="1" applyFill="1"/>
    <xf numFmtId="0" fontId="4" fillId="4" borderId="0" xfId="0" applyFont="1" applyFill="1" applyAlignment="1">
      <alignment horizontal="right"/>
    </xf>
    <xf numFmtId="0" fontId="6" fillId="0" borderId="2" xfId="0" applyFont="1" applyBorder="1"/>
    <xf numFmtId="0" fontId="2" fillId="0" borderId="2" xfId="0" applyFont="1" applyBorder="1"/>
    <xf numFmtId="0" fontId="7" fillId="0" borderId="2" xfId="0" applyFont="1" applyBorder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0" fontId="2" fillId="0" borderId="0" xfId="0" applyNumberFormat="1" applyFont="1"/>
    <xf numFmtId="10" fontId="8" fillId="0" borderId="0" xfId="0" applyNumberFormat="1" applyFont="1"/>
    <xf numFmtId="169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9" fillId="0" borderId="0" xfId="0" applyFont="1"/>
    <xf numFmtId="0" fontId="2" fillId="0" borderId="0" xfId="0" applyFont="1" applyAlignment="1">
      <alignment horizontal="center"/>
    </xf>
    <xf numFmtId="170" fontId="2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10" fillId="0" borderId="0" xfId="0" applyFont="1" applyAlignment="1">
      <alignment horizontal="center"/>
    </xf>
    <xf numFmtId="0" fontId="8" fillId="0" borderId="0" xfId="0" applyFont="1"/>
    <xf numFmtId="3" fontId="2" fillId="0" borderId="2" xfId="0" applyNumberFormat="1" applyFont="1" applyBorder="1"/>
    <xf numFmtId="164" fontId="11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3" fontId="11" fillId="0" borderId="0" xfId="0" applyNumberFormat="1" applyFont="1"/>
    <xf numFmtId="172" fontId="2" fillId="0" borderId="0" xfId="0" applyNumberFormat="1" applyFont="1"/>
    <xf numFmtId="171" fontId="2" fillId="4" borderId="0" xfId="0" applyNumberFormat="1" applyFont="1" applyFill="1"/>
    <xf numFmtId="4" fontId="2" fillId="0" borderId="0" xfId="0" applyNumberFormat="1" applyFont="1"/>
    <xf numFmtId="171" fontId="2" fillId="4" borderId="2" xfId="0" applyNumberFormat="1" applyFont="1" applyFill="1" applyBorder="1"/>
    <xf numFmtId="0" fontId="12" fillId="0" borderId="0" xfId="0" applyFont="1"/>
    <xf numFmtId="173" fontId="5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0" fontId="13" fillId="2" borderId="0" xfId="0" applyFont="1" applyFill="1"/>
    <xf numFmtId="0" fontId="13" fillId="2" borderId="0" xfId="0" applyFont="1" applyFill="1" applyAlignment="1">
      <alignment horizontal="right"/>
    </xf>
    <xf numFmtId="174" fontId="14" fillId="0" borderId="0" xfId="0" applyNumberFormat="1" applyFont="1" applyAlignment="1">
      <alignment horizontal="right"/>
    </xf>
    <xf numFmtId="2" fontId="2" fillId="0" borderId="0" xfId="0" applyNumberFormat="1" applyFont="1"/>
    <xf numFmtId="0" fontId="2" fillId="0" borderId="0" xfId="0" applyFont="1" applyAlignment="1">
      <alignment horizontal="right"/>
    </xf>
    <xf numFmtId="175" fontId="2" fillId="0" borderId="0" xfId="0" applyNumberFormat="1" applyFont="1"/>
    <xf numFmtId="3" fontId="15" fillId="0" borderId="0" xfId="0" applyNumberFormat="1" applyFont="1" applyAlignment="1">
      <alignment horizontal="right"/>
    </xf>
    <xf numFmtId="3" fontId="16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171" fontId="15" fillId="0" borderId="0" xfId="0" applyNumberFormat="1" applyFont="1" applyAlignment="1">
      <alignment horizontal="right"/>
    </xf>
    <xf numFmtId="176" fontId="16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171" fontId="9" fillId="0" borderId="0" xfId="0" applyNumberFormat="1" applyFont="1" applyAlignment="1">
      <alignment horizontal="right"/>
    </xf>
    <xf numFmtId="3" fontId="17" fillId="0" borderId="0" xfId="0" applyNumberFormat="1" applyFont="1" applyAlignment="1">
      <alignment horizontal="right"/>
    </xf>
    <xf numFmtId="176" fontId="15" fillId="0" borderId="0" xfId="0" applyNumberFormat="1" applyFont="1" applyAlignment="1">
      <alignment horizontal="right"/>
    </xf>
    <xf numFmtId="39" fontId="9" fillId="0" borderId="0" xfId="0" applyNumberFormat="1" applyFont="1" applyAlignment="1">
      <alignment horizontal="right"/>
    </xf>
    <xf numFmtId="3" fontId="16" fillId="4" borderId="0" xfId="0" applyNumberFormat="1" applyFont="1" applyFill="1"/>
    <xf numFmtId="177" fontId="8" fillId="0" borderId="0" xfId="1" applyNumberFormat="1" applyFont="1"/>
    <xf numFmtId="0" fontId="16" fillId="0" borderId="0" xfId="0" applyFont="1"/>
    <xf numFmtId="3" fontId="17" fillId="0" borderId="0" xfId="0" applyNumberFormat="1" applyFont="1"/>
    <xf numFmtId="39" fontId="2" fillId="0" borderId="0" xfId="0" applyNumberFormat="1" applyFont="1"/>
    <xf numFmtId="41" fontId="2" fillId="0" borderId="0" xfId="0" applyNumberFormat="1" applyFont="1"/>
    <xf numFmtId="178" fontId="8" fillId="0" borderId="0" xfId="1" applyNumberFormat="1" applyFont="1"/>
    <xf numFmtId="179" fontId="2" fillId="0" borderId="0" xfId="0" applyNumberFormat="1" applyFont="1"/>
    <xf numFmtId="179" fontId="2" fillId="5" borderId="0" xfId="0" applyNumberFormat="1" applyFont="1" applyFill="1"/>
    <xf numFmtId="14" fontId="2" fillId="0" borderId="0" xfId="0" applyNumberFormat="1" applyFont="1"/>
    <xf numFmtId="164" fontId="2" fillId="0" borderId="0" xfId="0" applyNumberFormat="1" applyFont="1"/>
    <xf numFmtId="174" fontId="16" fillId="0" borderId="0" xfId="0" applyNumberFormat="1" applyFont="1" applyAlignment="1">
      <alignment horizontal="right"/>
    </xf>
    <xf numFmtId="0" fontId="2" fillId="4" borderId="0" xfId="0" applyFont="1" applyFill="1" applyAlignment="1">
      <alignment horizontal="center"/>
    </xf>
    <xf numFmtId="0" fontId="16" fillId="6" borderId="0" xfId="0" applyFont="1" applyFill="1" applyAlignment="1">
      <alignment horizontal="left"/>
    </xf>
    <xf numFmtId="3" fontId="9" fillId="3" borderId="3" xfId="0" applyNumberFormat="1" applyFont="1" applyFill="1" applyBorder="1" applyAlignment="1">
      <alignment horizontal="right"/>
    </xf>
    <xf numFmtId="180" fontId="9" fillId="3" borderId="3" xfId="0" applyNumberFormat="1" applyFont="1" applyFill="1" applyBorder="1" applyAlignment="1">
      <alignment horizontal="right"/>
    </xf>
    <xf numFmtId="181" fontId="9" fillId="3" borderId="3" xfId="0" applyNumberFormat="1" applyFont="1" applyFill="1" applyBorder="1" applyAlignment="1">
      <alignment horizontal="right"/>
    </xf>
    <xf numFmtId="169" fontId="9" fillId="3" borderId="3" xfId="0" applyNumberFormat="1" applyFont="1" applyFill="1" applyBorder="1" applyAlignment="1">
      <alignment horizontal="right"/>
    </xf>
    <xf numFmtId="0" fontId="14" fillId="6" borderId="0" xfId="0" applyFont="1" applyFill="1" applyAlignment="1">
      <alignment horizontal="left"/>
    </xf>
    <xf numFmtId="0" fontId="6" fillId="5" borderId="0" xfId="0" applyFont="1" applyFill="1"/>
    <xf numFmtId="3" fontId="6" fillId="5" borderId="0" xfId="0" applyNumberFormat="1" applyFont="1" applyFill="1"/>
    <xf numFmtId="3" fontId="18" fillId="7" borderId="0" xfId="0" applyNumberFormat="1" applyFont="1" applyFill="1"/>
    <xf numFmtId="0" fontId="6" fillId="0" borderId="0" xfId="0" applyFont="1"/>
    <xf numFmtId="0" fontId="2" fillId="5" borderId="0" xfId="0" applyFont="1" applyFill="1"/>
    <xf numFmtId="3" fontId="2" fillId="5" borderId="0" xfId="0" applyNumberFormat="1" applyFont="1" applyFill="1"/>
    <xf numFmtId="3" fontId="16" fillId="7" borderId="0" xfId="0" applyNumberFormat="1" applyFont="1" applyFill="1"/>
    <xf numFmtId="176" fontId="2" fillId="0" borderId="0" xfId="0" applyNumberFormat="1" applyFont="1"/>
    <xf numFmtId="3" fontId="16" fillId="0" borderId="0" xfId="0" applyNumberFormat="1" applyFont="1"/>
    <xf numFmtId="176" fontId="19" fillId="0" borderId="0" xfId="0" applyNumberFormat="1" applyFont="1"/>
    <xf numFmtId="176" fontId="20" fillId="0" borderId="0" xfId="0" applyNumberFormat="1" applyFont="1"/>
    <xf numFmtId="176" fontId="18" fillId="0" borderId="0" xfId="0" applyNumberFormat="1" applyFont="1" applyAlignment="1">
      <alignment horizontal="right"/>
    </xf>
    <xf numFmtId="0" fontId="21" fillId="0" borderId="0" xfId="0" applyFont="1"/>
    <xf numFmtId="176" fontId="6" fillId="0" borderId="0" xfId="0" applyNumberFormat="1" applyFont="1"/>
    <xf numFmtId="182" fontId="2" fillId="0" borderId="0" xfId="0" applyNumberFormat="1" applyFont="1"/>
    <xf numFmtId="3" fontId="11" fillId="5" borderId="0" xfId="0" applyNumberFormat="1" applyFont="1" applyFill="1"/>
    <xf numFmtId="164" fontId="6" fillId="0" borderId="0" xfId="0" applyNumberFormat="1" applyFont="1"/>
    <xf numFmtId="183" fontId="14" fillId="0" borderId="0" xfId="0" applyNumberFormat="1" applyFont="1" applyAlignment="1">
      <alignment horizontal="right"/>
    </xf>
    <xf numFmtId="171" fontId="11" fillId="5" borderId="0" xfId="0" applyNumberFormat="1" applyFont="1" applyFill="1"/>
    <xf numFmtId="171" fontId="16" fillId="7" borderId="0" xfId="0" applyNumberFormat="1" applyFont="1" applyFill="1"/>
    <xf numFmtId="0" fontId="18" fillId="7" borderId="0" xfId="0" applyFont="1" applyFill="1" applyAlignment="1">
      <alignment horizontal="left"/>
    </xf>
    <xf numFmtId="176" fontId="18" fillId="7" borderId="0" xfId="0" applyNumberFormat="1" applyFont="1" applyFill="1" applyAlignment="1">
      <alignment horizontal="right"/>
    </xf>
    <xf numFmtId="176" fontId="16" fillId="7" borderId="0" xfId="0" applyNumberFormat="1" applyFont="1" applyFill="1"/>
    <xf numFmtId="176" fontId="16" fillId="0" borderId="0" xfId="0" applyNumberFormat="1" applyFont="1"/>
    <xf numFmtId="176" fontId="16" fillId="5" borderId="0" xfId="0" applyNumberFormat="1" applyFont="1" applyFill="1"/>
    <xf numFmtId="171" fontId="2" fillId="5" borderId="0" xfId="0" applyNumberFormat="1" applyFont="1" applyFill="1"/>
    <xf numFmtId="0" fontId="16" fillId="7" borderId="0" xfId="0" applyFont="1" applyFill="1"/>
    <xf numFmtId="0" fontId="2" fillId="7" borderId="0" xfId="0" applyFont="1" applyFill="1"/>
    <xf numFmtId="176" fontId="2" fillId="5" borderId="0" xfId="0" applyNumberFormat="1" applyFont="1" applyFill="1"/>
    <xf numFmtId="0" fontId="14" fillId="0" borderId="0" xfId="0" applyFont="1"/>
    <xf numFmtId="174" fontId="2" fillId="0" borderId="0" xfId="0" applyNumberFormat="1" applyFont="1"/>
    <xf numFmtId="174" fontId="16" fillId="0" borderId="0" xfId="0" applyNumberFormat="1" applyFont="1"/>
    <xf numFmtId="176" fontId="11" fillId="0" borderId="0" xfId="0" applyNumberFormat="1" applyFont="1"/>
    <xf numFmtId="176" fontId="17" fillId="0" borderId="0" xfId="0" applyNumberFormat="1" applyFont="1"/>
    <xf numFmtId="0" fontId="6" fillId="2" borderId="0" xfId="0" applyFont="1" applyFill="1"/>
    <xf numFmtId="174" fontId="18" fillId="2" borderId="0" xfId="0" applyNumberFormat="1" applyFont="1" applyFill="1" applyAlignment="1">
      <alignment horizontal="right"/>
    </xf>
    <xf numFmtId="174" fontId="13" fillId="2" borderId="0" xfId="0" applyNumberFormat="1" applyFont="1" applyFill="1" applyAlignment="1">
      <alignment horizontal="right"/>
    </xf>
    <xf numFmtId="9" fontId="22" fillId="3" borderId="3" xfId="0" applyNumberFormat="1" applyFont="1" applyFill="1" applyBorder="1" applyAlignment="1">
      <alignment horizontal="right"/>
    </xf>
    <xf numFmtId="0" fontId="16" fillId="0" borderId="0" xfId="0" applyFont="1" applyAlignment="1">
      <alignment horizontal="right"/>
    </xf>
    <xf numFmtId="0" fontId="23" fillId="0" borderId="0" xfId="0" applyFont="1"/>
    <xf numFmtId="184" fontId="16" fillId="8" borderId="3" xfId="0" applyNumberFormat="1" applyFont="1" applyFill="1" applyBorder="1" applyAlignment="1">
      <alignment horizontal="right"/>
    </xf>
    <xf numFmtId="184" fontId="16" fillId="6" borderId="0" xfId="0" applyNumberFormat="1" applyFont="1" applyFill="1" applyAlignment="1">
      <alignment horizontal="right"/>
    </xf>
    <xf numFmtId="181" fontId="16" fillId="8" borderId="3" xfId="0" applyNumberFormat="1" applyFont="1" applyFill="1" applyBorder="1" applyAlignment="1">
      <alignment horizontal="right"/>
    </xf>
    <xf numFmtId="181" fontId="16" fillId="6" borderId="0" xfId="0" applyNumberFormat="1" applyFont="1" applyFill="1" applyAlignment="1">
      <alignment horizontal="right"/>
    </xf>
    <xf numFmtId="174" fontId="16" fillId="8" borderId="3" xfId="0" applyNumberFormat="1" applyFont="1" applyFill="1" applyBorder="1" applyAlignment="1">
      <alignment horizontal="right"/>
    </xf>
    <xf numFmtId="174" fontId="16" fillId="6" borderId="0" xfId="0" applyNumberFormat="1" applyFont="1" applyFill="1" applyAlignment="1">
      <alignment horizontal="right"/>
    </xf>
    <xf numFmtId="169" fontId="16" fillId="8" borderId="3" xfId="0" applyNumberFormat="1" applyFont="1" applyFill="1" applyBorder="1" applyAlignment="1">
      <alignment horizontal="right"/>
    </xf>
    <xf numFmtId="169" fontId="16" fillId="6" borderId="0" xfId="0" applyNumberFormat="1" applyFont="1" applyFill="1" applyAlignment="1">
      <alignment horizontal="right"/>
    </xf>
    <xf numFmtId="0" fontId="16" fillId="6" borderId="0" xfId="0" applyFont="1" applyFill="1" applyAlignment="1">
      <alignment horizontal="right"/>
    </xf>
    <xf numFmtId="0" fontId="24" fillId="0" borderId="0" xfId="0" applyFont="1"/>
    <xf numFmtId="3" fontId="16" fillId="8" borderId="3" xfId="0" applyNumberFormat="1" applyFont="1" applyFill="1" applyBorder="1" applyAlignment="1">
      <alignment horizontal="right"/>
    </xf>
    <xf numFmtId="3" fontId="16" fillId="6" borderId="0" xfId="0" applyNumberFormat="1" applyFont="1" applyFill="1" applyAlignment="1">
      <alignment horizontal="right"/>
    </xf>
    <xf numFmtId="0" fontId="16" fillId="0" borderId="0" xfId="0" applyFont="1" applyAlignment="1">
      <alignment horizontal="center"/>
    </xf>
    <xf numFmtId="0" fontId="2" fillId="2" borderId="0" xfId="0" applyFont="1" applyFill="1"/>
    <xf numFmtId="184" fontId="16" fillId="0" borderId="0" xfId="0" applyNumberFormat="1" applyFont="1" applyAlignment="1">
      <alignment horizontal="right"/>
    </xf>
    <xf numFmtId="181" fontId="16" fillId="0" borderId="0" xfId="0" applyNumberFormat="1" applyFont="1" applyAlignment="1">
      <alignment horizontal="right"/>
    </xf>
    <xf numFmtId="0" fontId="18" fillId="0" borderId="4" xfId="0" applyFont="1" applyBorder="1"/>
    <xf numFmtId="0" fontId="2" fillId="0" borderId="4" xfId="0" applyFont="1" applyBorder="1"/>
    <xf numFmtId="184" fontId="16" fillId="0" borderId="4" xfId="0" applyNumberFormat="1" applyFont="1" applyBorder="1" applyAlignment="1">
      <alignment horizontal="right"/>
    </xf>
    <xf numFmtId="185" fontId="16" fillId="0" borderId="0" xfId="0" applyNumberFormat="1" applyFont="1" applyAlignment="1">
      <alignment horizontal="right"/>
    </xf>
    <xf numFmtId="0" fontId="18" fillId="0" borderId="1" xfId="0" applyFont="1" applyBorder="1"/>
    <xf numFmtId="0" fontId="2" fillId="0" borderId="1" xfId="0" applyFont="1" applyBorder="1"/>
    <xf numFmtId="184" fontId="16" fillId="0" borderId="1" xfId="0" applyNumberFormat="1" applyFont="1" applyBorder="1" applyAlignment="1">
      <alignment horizontal="right"/>
    </xf>
    <xf numFmtId="0" fontId="18" fillId="0" borderId="2" xfId="0" applyFont="1" applyBorder="1"/>
    <xf numFmtId="184" fontId="16" fillId="0" borderId="2" xfId="0" applyNumberFormat="1" applyFont="1" applyBorder="1" applyAlignment="1">
      <alignment horizontal="right"/>
    </xf>
    <xf numFmtId="185" fontId="25" fillId="0" borderId="0" xfId="0" applyNumberFormat="1" applyFont="1" applyAlignment="1">
      <alignment horizontal="right"/>
    </xf>
    <xf numFmtId="169" fontId="16" fillId="0" borderId="0" xfId="0" applyNumberFormat="1" applyFont="1" applyAlignment="1">
      <alignment horizontal="right"/>
    </xf>
    <xf numFmtId="0" fontId="18" fillId="7" borderId="0" xfId="0" applyFont="1" applyFill="1"/>
    <xf numFmtId="176" fontId="16" fillId="7" borderId="0" xfId="0" applyNumberFormat="1" applyFont="1" applyFill="1" applyAlignment="1">
      <alignment horizontal="right"/>
    </xf>
    <xf numFmtId="0" fontId="25" fillId="0" borderId="0" xfId="0" applyFont="1"/>
    <xf numFmtId="176" fontId="25" fillId="0" borderId="0" xfId="0" applyNumberFormat="1" applyFont="1" applyAlignment="1">
      <alignment horizontal="right"/>
    </xf>
    <xf numFmtId="0" fontId="13" fillId="2" borderId="0" xfId="0" applyFont="1" applyFill="1" applyAlignment="1">
      <alignment horizontal="center"/>
    </xf>
    <xf numFmtId="3" fontId="25" fillId="0" borderId="0" xfId="0" applyNumberFormat="1" applyFont="1" applyAlignment="1">
      <alignment horizontal="right"/>
    </xf>
    <xf numFmtId="166" fontId="16" fillId="6" borderId="0" xfId="0" applyNumberFormat="1" applyFont="1" applyFill="1" applyAlignment="1">
      <alignment horizontal="right"/>
    </xf>
    <xf numFmtId="0" fontId="8" fillId="9" borderId="5" xfId="0" applyFont="1" applyFill="1" applyBorder="1"/>
    <xf numFmtId="0" fontId="2" fillId="9" borderId="1" xfId="0" applyFont="1" applyFill="1" applyBorder="1"/>
    <xf numFmtId="3" fontId="8" fillId="9" borderId="1" xfId="0" applyNumberFormat="1" applyFont="1" applyFill="1" applyBorder="1" applyAlignment="1">
      <alignment horizontal="right"/>
    </xf>
    <xf numFmtId="3" fontId="8" fillId="9" borderId="6" xfId="0" applyNumberFormat="1" applyFont="1" applyFill="1" applyBorder="1" applyAlignment="1">
      <alignment horizontal="right"/>
    </xf>
    <xf numFmtId="0" fontId="8" fillId="9" borderId="7" xfId="0" applyFont="1" applyFill="1" applyBorder="1"/>
    <xf numFmtId="0" fontId="2" fillId="9" borderId="0" xfId="0" applyFont="1" applyFill="1"/>
    <xf numFmtId="3" fontId="8" fillId="9" borderId="0" xfId="0" applyNumberFormat="1" applyFont="1" applyFill="1" applyAlignment="1">
      <alignment horizontal="right"/>
    </xf>
    <xf numFmtId="3" fontId="8" fillId="9" borderId="8" xfId="0" applyNumberFormat="1" applyFont="1" applyFill="1" applyBorder="1" applyAlignment="1">
      <alignment horizontal="right"/>
    </xf>
    <xf numFmtId="0" fontId="8" fillId="9" borderId="9" xfId="0" applyFont="1" applyFill="1" applyBorder="1"/>
    <xf numFmtId="0" fontId="2" fillId="9" borderId="2" xfId="0" applyFont="1" applyFill="1" applyBorder="1"/>
    <xf numFmtId="3" fontId="8" fillId="9" borderId="2" xfId="0" applyNumberFormat="1" applyFont="1" applyFill="1" applyBorder="1" applyAlignment="1">
      <alignment horizontal="right"/>
    </xf>
    <xf numFmtId="3" fontId="8" fillId="9" borderId="10" xfId="0" applyNumberFormat="1" applyFont="1" applyFill="1" applyBorder="1" applyAlignment="1">
      <alignment horizontal="right"/>
    </xf>
    <xf numFmtId="185" fontId="16" fillId="6" borderId="0" xfId="0" applyNumberFormat="1" applyFont="1" applyFill="1" applyAlignment="1">
      <alignment horizontal="right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  <xf numFmtId="6" fontId="0" fillId="0" borderId="0" xfId="0" applyNumberFormat="1"/>
    <xf numFmtId="171" fontId="17" fillId="0" borderId="0" xfId="0" applyNumberFormat="1" applyFont="1"/>
    <xf numFmtId="0" fontId="3" fillId="10" borderId="0" xfId="0" applyFont="1" applyFill="1"/>
    <xf numFmtId="0" fontId="4" fillId="10" borderId="0" xfId="0" applyFont="1" applyFill="1" applyAlignment="1">
      <alignment horizontal="center"/>
    </xf>
    <xf numFmtId="0" fontId="4" fillId="10" borderId="0" xfId="0" applyFont="1" applyFill="1" applyAlignment="1">
      <alignment horizontal="right"/>
    </xf>
    <xf numFmtId="0" fontId="4" fillId="10" borderId="0" xfId="0" applyFont="1" applyFill="1"/>
    <xf numFmtId="0" fontId="13" fillId="10" borderId="0" xfId="0" applyFont="1" applyFill="1"/>
    <xf numFmtId="0" fontId="13" fillId="10" borderId="0" xfId="0" applyFont="1" applyFill="1" applyAlignment="1">
      <alignment horizontal="right"/>
    </xf>
    <xf numFmtId="3" fontId="26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0</xdr:row>
      <xdr:rowOff>38101</xdr:rowOff>
    </xdr:from>
    <xdr:to>
      <xdr:col>5</xdr:col>
      <xdr:colOff>601980</xdr:colOff>
      <xdr:row>2</xdr:row>
      <xdr:rowOff>83697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639FD4-3864-61E5-64EA-1087DD09F5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" y="38101"/>
          <a:ext cx="3032760" cy="4113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  <wetp:taskpane dockstate="right" visibility="0" width="438" row="1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4C0FD1A-DD09-4ACA-9722-6AA6BE0EA96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b37f646-3206-44d6-920e-851f28e3212d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2189C9B2-C27C-4A00-BBE6-973A64FDE0B1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8"/>
  <sheetViews>
    <sheetView showGridLines="0" tabSelected="1" zoomScaleNormal="100" workbookViewId="0">
      <selection activeCell="G21" sqref="G21"/>
    </sheetView>
  </sheetViews>
  <sheetFormatPr defaultRowHeight="14.4" x14ac:dyDescent="0.3"/>
  <cols>
    <col min="8" max="8" width="8.88671875" customWidth="1"/>
  </cols>
  <sheetData>
    <row r="1" spans="1:3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">
      <c r="Q2" s="22" t="s">
        <v>89</v>
      </c>
      <c r="AA2" s="1"/>
      <c r="AB2" s="1"/>
      <c r="AC2" s="1"/>
      <c r="AD2" s="1"/>
      <c r="AE2" s="1"/>
    </row>
    <row r="3" spans="1:31" x14ac:dyDescent="0.3">
      <c r="AA3" s="1"/>
      <c r="AB3" s="1"/>
      <c r="AC3" s="1"/>
      <c r="AD3" s="1"/>
      <c r="AE3" s="1"/>
    </row>
    <row r="4" spans="1:31" x14ac:dyDescent="0.3">
      <c r="A4" s="2" t="s">
        <v>26</v>
      </c>
      <c r="B4" s="160" t="s">
        <v>0</v>
      </c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1" t="s">
        <v>27</v>
      </c>
      <c r="X4" s="161"/>
      <c r="Y4" s="162">
        <v>2032</v>
      </c>
      <c r="Z4" s="162">
        <f>Y4+1</f>
        <v>2033</v>
      </c>
      <c r="AA4" s="162">
        <f t="shared" ref="AA4:AC4" si="0">Z4+1</f>
        <v>2034</v>
      </c>
      <c r="AB4" s="162">
        <f t="shared" si="0"/>
        <v>2035</v>
      </c>
      <c r="AC4" s="162">
        <f t="shared" si="0"/>
        <v>2036</v>
      </c>
      <c r="AD4" s="3"/>
      <c r="AE4" s="4"/>
    </row>
    <row r="5" spans="1:31" s="5" customFormat="1" ht="1.95" customHeight="1" x14ac:dyDescent="0.3">
      <c r="B5" s="6"/>
      <c r="C5" s="6"/>
      <c r="D5" s="6"/>
      <c r="E5" s="6"/>
      <c r="F5" s="6"/>
      <c r="G5" s="6"/>
      <c r="H5" s="6"/>
      <c r="I5" s="6"/>
      <c r="J5" s="6"/>
      <c r="K5" s="6"/>
      <c r="L5" s="7"/>
      <c r="M5" s="7"/>
      <c r="N5" s="7"/>
      <c r="O5" s="7"/>
      <c r="P5" s="7"/>
    </row>
    <row r="6" spans="1:31" x14ac:dyDescent="0.3">
      <c r="A6" s="1"/>
      <c r="B6" s="8" t="s">
        <v>2</v>
      </c>
      <c r="C6" s="9"/>
      <c r="D6" s="9"/>
      <c r="E6" s="9"/>
      <c r="F6" s="1"/>
      <c r="G6" s="8" t="s">
        <v>1</v>
      </c>
      <c r="H6" s="9"/>
      <c r="I6" s="9"/>
      <c r="J6" s="9"/>
      <c r="K6" s="9"/>
      <c r="L6" s="1"/>
      <c r="M6" s="10" t="s">
        <v>28</v>
      </c>
      <c r="N6" s="10"/>
      <c r="O6" s="10"/>
      <c r="P6" s="9"/>
      <c r="Q6" s="1"/>
      <c r="R6" s="10" t="s">
        <v>29</v>
      </c>
      <c r="S6" s="10"/>
      <c r="T6" s="10"/>
      <c r="U6" s="9"/>
      <c r="W6" s="1" t="s">
        <v>30</v>
      </c>
      <c r="X6" s="1"/>
      <c r="Y6" s="3">
        <f>N101*1.11</f>
        <v>143229.0442708125</v>
      </c>
      <c r="Z6" s="3">
        <f>Y6*1.1</f>
        <v>157551.94869789376</v>
      </c>
      <c r="AA6" s="3">
        <f>Z6*1.09</f>
        <v>171731.6240807042</v>
      </c>
      <c r="AB6" s="3">
        <f>AA6*1.08</f>
        <v>185470.15400716054</v>
      </c>
      <c r="AC6" s="3">
        <f>AB6*1.07</f>
        <v>198453.0647876618</v>
      </c>
      <c r="AD6" s="3"/>
      <c r="AE6" s="4"/>
    </row>
    <row r="7" spans="1:31" x14ac:dyDescent="0.3">
      <c r="A7" s="1"/>
      <c r="B7" s="1" t="s">
        <v>3</v>
      </c>
      <c r="C7" s="1"/>
      <c r="D7" s="1"/>
      <c r="E7" s="11" t="s">
        <v>4</v>
      </c>
      <c r="F7" s="1"/>
      <c r="G7" s="1" t="s">
        <v>5</v>
      </c>
      <c r="H7" s="1"/>
      <c r="I7" s="12">
        <v>13000</v>
      </c>
      <c r="J7" s="12"/>
      <c r="K7" s="12"/>
      <c r="L7" s="1"/>
      <c r="M7" s="1" t="s">
        <v>31</v>
      </c>
      <c r="N7" s="1"/>
      <c r="O7" s="1"/>
      <c r="P7" s="44">
        <f>SUM(I113:N113)</f>
        <v>-107795.07087228374</v>
      </c>
      <c r="Q7" s="1"/>
      <c r="R7" s="1" t="s">
        <v>32</v>
      </c>
      <c r="S7" s="1"/>
      <c r="T7" s="1"/>
      <c r="U7" s="13">
        <v>0.1</v>
      </c>
      <c r="W7" s="1" t="s">
        <v>33</v>
      </c>
      <c r="X7" s="1"/>
      <c r="Y7" s="14">
        <f>(Y6-N101)/N101</f>
        <v>0.11000000000000003</v>
      </c>
      <c r="Z7" s="14">
        <f>(Z6-Y6)/Y6</f>
        <v>0.10000000000000006</v>
      </c>
      <c r="AA7" s="14">
        <f t="shared" ref="AA7:AC7" si="1">(AA6-Z6)/Z6</f>
        <v>9.0000000000000011E-2</v>
      </c>
      <c r="AB7" s="14">
        <f t="shared" si="1"/>
        <v>0.08</v>
      </c>
      <c r="AC7" s="14">
        <f t="shared" si="1"/>
        <v>7.0000000000000118E-2</v>
      </c>
      <c r="AD7" s="14"/>
      <c r="AE7" s="4"/>
    </row>
    <row r="8" spans="1:31" x14ac:dyDescent="0.3">
      <c r="A8" s="1"/>
      <c r="B8" s="1" t="s">
        <v>6</v>
      </c>
      <c r="C8" s="1"/>
      <c r="D8" s="1"/>
      <c r="E8" s="15">
        <f>AVERAGE((P13/P12),(T23))</f>
        <v>103.49403000570939</v>
      </c>
      <c r="F8" s="1"/>
      <c r="G8" s="1" t="s">
        <v>7</v>
      </c>
      <c r="H8" s="1"/>
      <c r="I8" s="156">
        <v>37329</v>
      </c>
      <c r="J8" s="16"/>
      <c r="K8" s="16"/>
      <c r="L8" s="1"/>
      <c r="M8" s="1" t="s">
        <v>34</v>
      </c>
      <c r="N8" s="1"/>
      <c r="O8" s="1"/>
      <c r="P8" s="3">
        <f>(N52*U8)</f>
        <v>1268340.7932421877</v>
      </c>
      <c r="Q8" s="1"/>
      <c r="R8" s="1" t="s">
        <v>35</v>
      </c>
      <c r="S8" s="1"/>
      <c r="T8" s="1"/>
      <c r="U8" s="17">
        <v>25</v>
      </c>
      <c r="W8" s="5"/>
      <c r="X8" s="5"/>
      <c r="Y8" s="1"/>
      <c r="Z8" s="1"/>
      <c r="AA8" s="1"/>
      <c r="AB8" s="1"/>
      <c r="AC8" s="1"/>
      <c r="AD8" s="1"/>
      <c r="AE8" s="4"/>
    </row>
    <row r="9" spans="1:31" x14ac:dyDescent="0.3">
      <c r="A9" s="1"/>
      <c r="B9" s="1" t="s">
        <v>2</v>
      </c>
      <c r="C9" s="1"/>
      <c r="D9" s="1"/>
      <c r="E9" s="15">
        <f>1750000/H18</f>
        <v>301.82821662642289</v>
      </c>
      <c r="F9" s="1"/>
      <c r="G9" s="1" t="s">
        <v>8</v>
      </c>
      <c r="H9" s="1"/>
      <c r="I9" s="16" t="s">
        <v>9</v>
      </c>
      <c r="J9" s="18"/>
      <c r="K9" s="18"/>
      <c r="L9" s="1"/>
      <c r="M9" s="1" t="s">
        <v>36</v>
      </c>
      <c r="N9" s="1"/>
      <c r="O9" s="1"/>
      <c r="P9" s="3">
        <f>-(PV(U7,(DATE(2031,12,31)-$D$12)/365,0,P8))</f>
        <v>742408.76663380431</v>
      </c>
      <c r="Q9" s="1"/>
      <c r="R9" s="1"/>
      <c r="S9" s="1"/>
      <c r="T9" s="1"/>
      <c r="U9" s="1"/>
      <c r="W9" s="1"/>
      <c r="X9" s="1"/>
      <c r="Y9" s="1"/>
      <c r="Z9" s="1"/>
      <c r="AA9" s="1"/>
      <c r="AB9" s="1"/>
      <c r="AC9" s="1"/>
      <c r="AD9" s="1"/>
      <c r="AE9" s="4"/>
    </row>
    <row r="10" spans="1:31" x14ac:dyDescent="0.3">
      <c r="A10" s="1"/>
      <c r="B10" s="1" t="s">
        <v>10</v>
      </c>
      <c r="C10" s="1"/>
      <c r="D10" s="1"/>
      <c r="E10" s="19">
        <f>E8/E9-1</f>
        <v>-0.65710949372965533</v>
      </c>
      <c r="F10" s="1"/>
      <c r="G10" s="1" t="s">
        <v>11</v>
      </c>
      <c r="H10" s="1"/>
      <c r="I10" s="18" t="s">
        <v>12</v>
      </c>
      <c r="J10" s="18"/>
      <c r="K10" s="18"/>
      <c r="L10" s="1"/>
      <c r="M10" s="1" t="s">
        <v>37</v>
      </c>
      <c r="N10" s="1"/>
      <c r="O10" s="1"/>
      <c r="P10" s="20"/>
      <c r="Q10" s="1"/>
      <c r="R10" s="1"/>
      <c r="S10" s="1"/>
      <c r="T10" s="1"/>
      <c r="U10" s="1"/>
      <c r="W10" s="1" t="s">
        <v>38</v>
      </c>
      <c r="X10" s="1"/>
      <c r="Y10" s="3">
        <f>Y6*0.22</f>
        <v>31510.38973957875</v>
      </c>
      <c r="Z10" s="3">
        <f>Z6*0.23</f>
        <v>36236.948200515566</v>
      </c>
      <c r="AA10" s="3">
        <f>AA6*0.24</f>
        <v>41215.589779369009</v>
      </c>
      <c r="AB10" s="3">
        <f>AB6*0.25</f>
        <v>46367.538501790135</v>
      </c>
      <c r="AC10" s="3">
        <f>AC6*0.25</f>
        <v>49613.266196915451</v>
      </c>
      <c r="AD10" s="3"/>
      <c r="AE10" s="4"/>
    </row>
    <row r="11" spans="1:31" x14ac:dyDescent="0.3">
      <c r="A11" s="1"/>
      <c r="B11" s="1" t="s">
        <v>39</v>
      </c>
      <c r="C11" s="1"/>
      <c r="D11" s="1"/>
      <c r="E11" s="19">
        <f>(I17/E9)^(1/2)-1</f>
        <v>-0.31977056960696615</v>
      </c>
      <c r="F11" s="1"/>
      <c r="G11" s="1" t="s">
        <v>13</v>
      </c>
      <c r="H11" s="1"/>
      <c r="I11" s="18" t="s">
        <v>14</v>
      </c>
      <c r="J11" s="18"/>
      <c r="K11" s="18"/>
      <c r="L11" s="1"/>
      <c r="M11" s="1" t="s">
        <v>40</v>
      </c>
      <c r="N11" s="1"/>
      <c r="O11" s="1"/>
      <c r="P11" s="3"/>
      <c r="Q11" s="1"/>
      <c r="R11" s="21"/>
      <c r="S11" s="21"/>
      <c r="T11" s="21"/>
      <c r="U11" s="21"/>
      <c r="W11" s="22" t="s">
        <v>41</v>
      </c>
      <c r="X11" s="1"/>
      <c r="Y11" s="14">
        <f>Y10/Y6</f>
        <v>0.22</v>
      </c>
      <c r="Z11" s="14">
        <f t="shared" ref="Z11:AC11" si="2">Z10/Z6</f>
        <v>0.23</v>
      </c>
      <c r="AA11" s="14">
        <f t="shared" si="2"/>
        <v>0.24</v>
      </c>
      <c r="AB11" s="14">
        <f t="shared" si="2"/>
        <v>0.25</v>
      </c>
      <c r="AC11" s="14">
        <f t="shared" si="2"/>
        <v>0.25</v>
      </c>
      <c r="AD11" s="14"/>
      <c r="AE11" s="4"/>
    </row>
    <row r="12" spans="1:31" x14ac:dyDescent="0.3">
      <c r="A12" s="1"/>
      <c r="B12" s="1" t="s">
        <v>15</v>
      </c>
      <c r="C12" s="1"/>
      <c r="D12" s="157">
        <v>46162</v>
      </c>
      <c r="E12" s="157"/>
      <c r="F12" s="1"/>
      <c r="G12" s="1" t="s">
        <v>16</v>
      </c>
      <c r="H12" s="1"/>
      <c r="I12" s="156">
        <v>46387</v>
      </c>
      <c r="J12" s="16"/>
      <c r="K12" s="16"/>
      <c r="L12" s="1"/>
      <c r="M12" s="9" t="s">
        <v>42</v>
      </c>
      <c r="N12" s="9"/>
      <c r="O12" s="9"/>
      <c r="P12" s="23">
        <v>5026</v>
      </c>
      <c r="Q12" s="1"/>
      <c r="R12" s="1"/>
      <c r="S12" s="1"/>
      <c r="T12" s="1"/>
      <c r="U12" s="1"/>
      <c r="W12" s="1"/>
      <c r="X12" s="1"/>
      <c r="Y12" s="1"/>
      <c r="Z12" s="1"/>
      <c r="AA12" s="1"/>
      <c r="AB12" s="1"/>
      <c r="AC12" s="1"/>
      <c r="AD12" s="1"/>
      <c r="AE12" s="4"/>
    </row>
    <row r="13" spans="1:31" x14ac:dyDescent="0.3">
      <c r="A13" s="1"/>
      <c r="B13" s="1"/>
      <c r="C13" s="1"/>
      <c r="D13" s="1"/>
      <c r="E13" s="1"/>
      <c r="F13" s="1"/>
      <c r="G13" s="1"/>
      <c r="H13" s="1"/>
      <c r="I13" s="13"/>
      <c r="J13" s="1"/>
      <c r="K13" s="1"/>
      <c r="L13" s="1"/>
      <c r="M13" s="1" t="s">
        <v>43</v>
      </c>
      <c r="N13" s="1"/>
      <c r="O13" s="1"/>
      <c r="P13" s="3">
        <f>P9+P7-P10+P11</f>
        <v>634613.69576152053</v>
      </c>
      <c r="Q13" s="1"/>
      <c r="R13" s="1" t="s">
        <v>44</v>
      </c>
      <c r="S13" s="1"/>
      <c r="T13" s="1"/>
      <c r="U13" s="15">
        <f>P13/P12</f>
        <v>126.26615514554726</v>
      </c>
      <c r="W13" s="1" t="s">
        <v>45</v>
      </c>
      <c r="X13" s="1"/>
      <c r="Y13" s="3">
        <f>Y10/(1+$U$7)^((DATE(2032,7,1)-$D$12)/365)</f>
        <v>17583.602634775561</v>
      </c>
      <c r="Z13" s="3">
        <f>Z10/(1+$U$7)^((DATE(2033,7,1)-$D$12)/365)</f>
        <v>18382.857299992636</v>
      </c>
      <c r="AA13" s="3">
        <f>AA10/(1+$U$7)^((DATE(2034,7,1)-$D$12)/365)</f>
        <v>19007.729129162344</v>
      </c>
      <c r="AB13" s="3">
        <f>AB10/(1+$U$7)^((DATE(2035,7,1)-$D$12)/365)</f>
        <v>19439.722973006941</v>
      </c>
      <c r="AC13" s="3">
        <f>AC10/(1+$U$7)^((DATE(2036,7,1)-$D$12)/365)</f>
        <v>18904.611621887692</v>
      </c>
      <c r="AD13" s="3"/>
      <c r="AE13" s="4"/>
    </row>
    <row r="14" spans="1:3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W14" s="1"/>
      <c r="X14" s="1"/>
      <c r="Y14" s="1"/>
      <c r="Z14" s="1"/>
      <c r="AA14" s="1"/>
      <c r="AB14" s="1"/>
      <c r="AC14" s="1"/>
      <c r="AD14" s="1"/>
      <c r="AE14" s="4"/>
    </row>
    <row r="15" spans="1:31" x14ac:dyDescent="0.3">
      <c r="A15" s="11" t="s">
        <v>26</v>
      </c>
      <c r="B15" s="163" t="s">
        <v>17</v>
      </c>
      <c r="C15" s="163"/>
      <c r="D15" s="163"/>
      <c r="E15" s="162">
        <v>2023</v>
      </c>
      <c r="F15" s="162">
        <v>2024</v>
      </c>
      <c r="G15" s="162">
        <v>2025</v>
      </c>
      <c r="H15" s="162" t="s">
        <v>20</v>
      </c>
      <c r="I15" s="162" t="s">
        <v>21</v>
      </c>
      <c r="J15" s="162" t="s">
        <v>22</v>
      </c>
      <c r="K15" s="24"/>
      <c r="L15" s="24"/>
      <c r="M15" s="10" t="s">
        <v>46</v>
      </c>
      <c r="N15" s="10"/>
      <c r="O15" s="10"/>
      <c r="P15" s="9"/>
      <c r="Q15" s="1"/>
      <c r="R15" s="8" t="s">
        <v>47</v>
      </c>
      <c r="S15" s="9"/>
      <c r="T15" s="9"/>
      <c r="U15" s="1"/>
      <c r="W15" s="1"/>
      <c r="X15" s="1"/>
      <c r="Y15" s="1"/>
      <c r="Z15" s="1"/>
      <c r="AA15" s="1"/>
      <c r="AB15" s="1"/>
      <c r="AC15" s="1"/>
      <c r="AD15" s="1"/>
      <c r="AE15" s="4"/>
    </row>
    <row r="16" spans="1:31" s="5" customFormat="1" ht="1.95" customHeight="1" x14ac:dyDescent="0.3">
      <c r="B16" s="6"/>
      <c r="C16" s="6"/>
      <c r="D16" s="6"/>
      <c r="H16" s="6"/>
      <c r="I16" s="6"/>
      <c r="J16" s="6"/>
      <c r="K16" s="24"/>
      <c r="L16" s="24"/>
      <c r="M16" s="7"/>
      <c r="N16" s="7"/>
      <c r="O16" s="7"/>
      <c r="P16" s="7"/>
    </row>
    <row r="17" spans="1:31" x14ac:dyDescent="0.3">
      <c r="A17" s="5"/>
      <c r="B17" s="1" t="s">
        <v>48</v>
      </c>
      <c r="C17" s="1"/>
      <c r="D17" s="1"/>
      <c r="E17" s="25">
        <f>180000/E18</f>
        <v>65.241029358463209</v>
      </c>
      <c r="F17" s="25">
        <f>350000/F18</f>
        <v>122.8932584269663</v>
      </c>
      <c r="G17" s="25">
        <f>800000/G18</f>
        <v>273.41079972658918</v>
      </c>
      <c r="H17" s="25">
        <f>AVERAGE($U$13*(1+$U$7)-I110/H18,$T$23*(1+$U$7)-I110/H18)</f>
        <v>121.54810815288262</v>
      </c>
      <c r="I17" s="25">
        <f>AVERAGE($U$13*(1+$U$7)^2-(I110/H18)*(1+$U$7)-J110/I18,$T$23*(1+$U$7)^2-(I110/H18)*(1+$U$7)-J110/I18)</f>
        <v>139.65956130604602</v>
      </c>
      <c r="J17" s="24"/>
      <c r="K17" s="24"/>
      <c r="L17" s="24"/>
      <c r="M17" s="1" t="s">
        <v>31</v>
      </c>
      <c r="N17" s="1"/>
      <c r="O17" s="1"/>
      <c r="P17" s="3">
        <f>SUM(H116:L116)</f>
        <v>0</v>
      </c>
      <c r="Q17" s="5"/>
      <c r="R17" s="1" t="s">
        <v>50</v>
      </c>
      <c r="S17" s="1"/>
      <c r="T17" s="3">
        <f>SUM(I112:N112)+SUM((Y13:AC13))</f>
        <v>93318.523658825172</v>
      </c>
      <c r="U17" s="13"/>
      <c r="W17" s="1"/>
      <c r="X17" s="1"/>
      <c r="Y17" s="1"/>
      <c r="Z17" s="1"/>
      <c r="AA17" s="1"/>
      <c r="AB17" s="1"/>
      <c r="AC17" s="1"/>
      <c r="AD17" s="1"/>
      <c r="AE17" s="4"/>
    </row>
    <row r="18" spans="1:31" x14ac:dyDescent="0.3">
      <c r="A18" s="1"/>
      <c r="B18" s="1" t="s">
        <v>51</v>
      </c>
      <c r="C18" s="1"/>
      <c r="D18" s="1"/>
      <c r="E18" s="166">
        <f t="shared" ref="E18:G18" si="3">F70</f>
        <v>2759</v>
      </c>
      <c r="F18" s="166">
        <f t="shared" si="3"/>
        <v>2848</v>
      </c>
      <c r="G18" s="166">
        <f>H70</f>
        <v>2926</v>
      </c>
      <c r="H18" s="166">
        <f>I120</f>
        <v>5798</v>
      </c>
      <c r="I18" s="166">
        <f>J120</f>
        <v>6029.92</v>
      </c>
      <c r="J18" s="26"/>
      <c r="K18" s="24"/>
      <c r="L18" s="24"/>
      <c r="M18" s="1" t="s">
        <v>49</v>
      </c>
      <c r="N18" s="1"/>
      <c r="O18" s="1"/>
      <c r="P18" s="3">
        <f>E9*P12</f>
        <v>1516988.6167644013</v>
      </c>
      <c r="Q18" s="1"/>
      <c r="R18" s="1" t="s">
        <v>34</v>
      </c>
      <c r="S18" s="1"/>
      <c r="T18" s="3">
        <f>(AC10*(1+0.04)/($U$7-0.04))/(1+$U$7)^((DATE(2036,12,31)-$D$12)/365)</f>
        <v>312389.77019704512</v>
      </c>
      <c r="U18" s="13"/>
      <c r="W18" s="1"/>
      <c r="X18" s="1"/>
      <c r="Y18" s="1"/>
      <c r="Z18" s="1"/>
      <c r="AA18" s="1"/>
      <c r="AB18" s="1"/>
      <c r="AC18" s="1"/>
      <c r="AD18" s="1"/>
    </row>
    <row r="19" spans="1:31" x14ac:dyDescent="0.3">
      <c r="A19" s="1"/>
      <c r="B19" s="1"/>
      <c r="C19" s="1"/>
      <c r="D19" s="1"/>
      <c r="H19" s="1"/>
      <c r="I19" s="1"/>
      <c r="J19" s="1"/>
      <c r="K19" s="24"/>
      <c r="L19" s="24"/>
      <c r="M19" s="1" t="s">
        <v>19</v>
      </c>
      <c r="N19" s="1"/>
      <c r="O19" s="1"/>
      <c r="P19" s="3">
        <f>P18+P10</f>
        <v>1516988.6167644013</v>
      </c>
      <c r="Q19" s="1"/>
      <c r="R19" s="1" t="s">
        <v>37</v>
      </c>
      <c r="S19" s="5"/>
      <c r="T19" s="28"/>
      <c r="U19" s="13"/>
      <c r="W19" s="5"/>
      <c r="X19" s="5"/>
      <c r="Y19" s="5"/>
      <c r="Z19" s="5"/>
      <c r="AA19" s="5"/>
      <c r="AB19" s="5"/>
      <c r="AC19" s="5"/>
      <c r="AD19" s="5"/>
    </row>
    <row r="20" spans="1:31" x14ac:dyDescent="0.3">
      <c r="A20" s="1"/>
      <c r="B20" s="1" t="s">
        <v>49</v>
      </c>
      <c r="C20" s="1"/>
      <c r="D20" s="1"/>
      <c r="H20" s="3">
        <f>H17*H18</f>
        <v>704735.93107041344</v>
      </c>
      <c r="I20" s="3">
        <f>I17*I18</f>
        <v>842135.98191055295</v>
      </c>
      <c r="J20" s="3"/>
      <c r="K20" s="24"/>
      <c r="L20" s="24"/>
      <c r="M20" s="1" t="s">
        <v>52</v>
      </c>
      <c r="N20" s="1"/>
      <c r="O20" s="1"/>
      <c r="P20" s="27">
        <f>$P$18/H67</f>
        <v>-307.26931674385281</v>
      </c>
      <c r="Q20" s="1"/>
      <c r="R20" s="9" t="s">
        <v>40</v>
      </c>
      <c r="S20" s="9"/>
      <c r="T20" s="30"/>
      <c r="U20" s="1"/>
      <c r="W20" s="1"/>
      <c r="X20" s="1"/>
      <c r="Y20" s="1"/>
      <c r="Z20" s="1"/>
      <c r="AA20" s="1"/>
      <c r="AB20" s="1"/>
      <c r="AC20" s="1"/>
      <c r="AD20" s="1"/>
    </row>
    <row r="21" spans="1:31" x14ac:dyDescent="0.3">
      <c r="A21" s="1"/>
      <c r="B21" s="1" t="s">
        <v>54</v>
      </c>
      <c r="C21" s="1"/>
      <c r="D21" s="1"/>
      <c r="H21" s="3"/>
      <c r="I21" s="3"/>
      <c r="J21" s="26"/>
      <c r="K21" s="24"/>
      <c r="L21" s="24"/>
      <c r="M21" s="1" t="s">
        <v>53</v>
      </c>
      <c r="N21" s="1"/>
      <c r="O21" s="1"/>
      <c r="P21" s="27">
        <f>$P$18/I67</f>
        <v>-232.68846803165502</v>
      </c>
      <c r="Q21" s="1"/>
      <c r="R21" s="1" t="s">
        <v>56</v>
      </c>
      <c r="S21" s="1"/>
      <c r="T21" s="3">
        <f>T17+T18-T19+T20</f>
        <v>405708.29385587026</v>
      </c>
      <c r="U21" s="5"/>
      <c r="W21" s="1"/>
      <c r="X21" s="1"/>
      <c r="Y21" s="1"/>
      <c r="Z21" s="1"/>
      <c r="AA21" s="1"/>
      <c r="AB21" s="1"/>
      <c r="AC21" s="1"/>
      <c r="AD21" s="1"/>
    </row>
    <row r="22" spans="1:31" x14ac:dyDescent="0.3">
      <c r="A22" s="1"/>
      <c r="B22" s="9" t="s">
        <v>18</v>
      </c>
      <c r="C22" s="9"/>
      <c r="D22" s="9"/>
      <c r="E22" s="23"/>
      <c r="F22" s="23"/>
      <c r="G22" s="23"/>
      <c r="H22" s="23"/>
      <c r="I22" s="23"/>
      <c r="J22" s="23"/>
      <c r="K22" s="24"/>
      <c r="L22" s="24"/>
      <c r="M22" s="1" t="s">
        <v>55</v>
      </c>
      <c r="N22" s="1"/>
      <c r="O22" s="1"/>
      <c r="P22" s="29">
        <f>P19/(H49+H78)</f>
        <v>368.91746516644002</v>
      </c>
      <c r="Q22" s="1"/>
      <c r="R22" s="1"/>
      <c r="S22" s="1"/>
      <c r="T22" s="1"/>
      <c r="U22" s="13"/>
      <c r="W22" s="1"/>
      <c r="X22" s="1"/>
      <c r="Y22" s="1"/>
      <c r="Z22" s="1"/>
      <c r="AA22" s="1"/>
      <c r="AB22" s="1"/>
      <c r="AC22" s="1"/>
      <c r="AD22" s="1"/>
    </row>
    <row r="23" spans="1:31" x14ac:dyDescent="0.3">
      <c r="A23" s="1"/>
      <c r="B23" s="1" t="s">
        <v>19</v>
      </c>
      <c r="C23" s="1"/>
      <c r="D23" s="1"/>
      <c r="H23" s="3">
        <f>H20-H21+H22</f>
        <v>704735.93107041344</v>
      </c>
      <c r="I23" s="3">
        <f>I20-I21+I22</f>
        <v>842135.98191055295</v>
      </c>
      <c r="J23" s="3"/>
      <c r="K23" s="24"/>
      <c r="L23" s="24"/>
      <c r="M23" s="1" t="s">
        <v>57</v>
      </c>
      <c r="N23" s="1"/>
      <c r="O23" s="1"/>
      <c r="P23" s="29">
        <f>P19/(I49+I78)</f>
        <v>422.84188863297999</v>
      </c>
      <c r="Q23" s="1"/>
      <c r="R23" s="1" t="s">
        <v>44</v>
      </c>
      <c r="S23" s="1"/>
      <c r="T23" s="15">
        <f>T21/P12</f>
        <v>80.721904865871522</v>
      </c>
      <c r="U23" s="3"/>
      <c r="W23" s="4"/>
      <c r="X23" s="4"/>
      <c r="Y23" s="31"/>
      <c r="AA23" s="4"/>
      <c r="AB23" s="4"/>
      <c r="AC23" s="4"/>
      <c r="AD23" s="32"/>
    </row>
    <row r="24" spans="1:3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 t="s">
        <v>58</v>
      </c>
      <c r="N24" s="1"/>
      <c r="O24" s="1"/>
      <c r="P24" s="27">
        <f>P19/H49</f>
        <v>-585.93612080509899</v>
      </c>
      <c r="Q24" s="1"/>
      <c r="R24" s="1"/>
      <c r="S24" s="1"/>
      <c r="T24" s="1"/>
      <c r="U24" s="13"/>
      <c r="W24" s="4"/>
      <c r="X24" s="4"/>
      <c r="Y24" s="4"/>
      <c r="AA24" s="4"/>
      <c r="AB24" s="4"/>
      <c r="AC24" s="4"/>
      <c r="AD24" s="32"/>
    </row>
    <row r="25" spans="1:3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33"/>
      <c r="U25" s="33"/>
      <c r="AA25" s="1"/>
      <c r="AB25" s="1"/>
      <c r="AC25" s="1"/>
      <c r="AD25" s="1"/>
      <c r="AE25" s="1"/>
    </row>
    <row r="26" spans="1:31" x14ac:dyDescent="0.3">
      <c r="A26" s="11" t="s">
        <v>26</v>
      </c>
      <c r="B26" s="164" t="s">
        <v>59</v>
      </c>
      <c r="C26" s="164"/>
      <c r="D26" s="164"/>
      <c r="E26" s="164"/>
      <c r="F26" s="164">
        <v>2023</v>
      </c>
      <c r="G26" s="164">
        <v>2024</v>
      </c>
      <c r="H26" s="164">
        <v>2025</v>
      </c>
      <c r="I26" s="165" t="s">
        <v>20</v>
      </c>
      <c r="J26" s="165" t="s">
        <v>21</v>
      </c>
      <c r="K26" s="165" t="s">
        <v>22</v>
      </c>
      <c r="L26" s="165" t="s">
        <v>23</v>
      </c>
      <c r="M26" s="165" t="s">
        <v>24</v>
      </c>
      <c r="N26" s="165" t="s">
        <v>25</v>
      </c>
      <c r="Q26" s="1"/>
      <c r="R26" s="3"/>
      <c r="S26" s="3"/>
      <c r="T26" s="3"/>
      <c r="U26" s="13"/>
      <c r="AA26" s="1"/>
      <c r="AB26" s="1"/>
      <c r="AC26" s="1"/>
      <c r="AD26" s="1"/>
      <c r="AE26" s="1"/>
    </row>
    <row r="27" spans="1:31" s="5" customFormat="1" ht="1.95" customHeight="1" x14ac:dyDescent="0.3">
      <c r="B27" s="6"/>
      <c r="C27" s="6"/>
      <c r="D27" s="6"/>
      <c r="E27" s="6"/>
      <c r="F27" s="6"/>
      <c r="G27" s="6"/>
      <c r="H27" s="6"/>
      <c r="I27" s="6"/>
      <c r="J27" s="6"/>
      <c r="K27" s="6"/>
      <c r="L27" s="7"/>
      <c r="M27" s="7"/>
      <c r="N27" s="7"/>
      <c r="O27" s="7"/>
      <c r="P27" s="7"/>
    </row>
    <row r="28" spans="1:31" x14ac:dyDescent="0.3">
      <c r="A28" s="1"/>
      <c r="B28" s="1" t="s">
        <v>30</v>
      </c>
      <c r="C28" s="1"/>
      <c r="D28" s="1"/>
      <c r="E28" s="26"/>
      <c r="F28" s="26">
        <v>10387</v>
      </c>
      <c r="G28" s="26">
        <v>14015</v>
      </c>
      <c r="H28" s="26">
        <v>18674</v>
      </c>
      <c r="I28" s="41">
        <f>H28*1.15+(1250*6)</f>
        <v>28975.1</v>
      </c>
      <c r="J28" s="41">
        <f>I28*1.45</f>
        <v>42013.894999999997</v>
      </c>
      <c r="K28" s="41">
        <f>J28*1.4</f>
        <v>58819.452999999994</v>
      </c>
      <c r="L28" s="41">
        <f>K28*1.35</f>
        <v>79406.261549999996</v>
      </c>
      <c r="M28" s="41">
        <f>L28*1.3</f>
        <v>103228.140015</v>
      </c>
      <c r="N28" s="41">
        <f>M28*1.25</f>
        <v>129035.17501875</v>
      </c>
      <c r="Q28" s="1"/>
      <c r="R28" s="1"/>
      <c r="S28" s="3"/>
      <c r="T28" s="3"/>
      <c r="U28" s="158"/>
      <c r="W28" s="158"/>
      <c r="AA28" s="1"/>
      <c r="AB28" s="1"/>
      <c r="AC28" s="1"/>
      <c r="AD28" s="1"/>
      <c r="AE28" s="1"/>
    </row>
    <row r="29" spans="1:31" x14ac:dyDescent="0.3">
      <c r="A29" s="1"/>
      <c r="B29" s="22" t="s">
        <v>33</v>
      </c>
      <c r="C29" s="22"/>
      <c r="D29" s="22"/>
      <c r="E29" s="1"/>
      <c r="F29" s="36"/>
      <c r="G29" s="36">
        <f>(G28-F28)/F28</f>
        <v>0.34928275729276981</v>
      </c>
      <c r="H29" s="36">
        <f>(H28-G28)/G28</f>
        <v>0.3324295397788084</v>
      </c>
      <c r="I29" s="36">
        <f>(I28-H28)/H28</f>
        <v>0.55162793188390269</v>
      </c>
      <c r="J29" s="36">
        <f>(J28-I28)/I28</f>
        <v>0.44999999999999996</v>
      </c>
      <c r="K29" s="36">
        <f>(K28-J28)/J28</f>
        <v>0.39999999999999997</v>
      </c>
      <c r="L29" s="36">
        <f>(L28-K28)/K28</f>
        <v>0.35000000000000009</v>
      </c>
      <c r="M29" s="36">
        <f>(M28-L28)/L28</f>
        <v>0.30000000000000004</v>
      </c>
      <c r="N29" s="36">
        <f>(N28-M28)/M28</f>
        <v>0.25000000000000006</v>
      </c>
      <c r="Q29" s="1"/>
      <c r="R29" s="1"/>
      <c r="S29" s="1"/>
      <c r="T29" s="37"/>
      <c r="AA29" s="1"/>
      <c r="AB29" s="1"/>
      <c r="AC29" s="1"/>
      <c r="AD29" s="1"/>
      <c r="AE29" s="1"/>
    </row>
    <row r="30" spans="1:31" x14ac:dyDescent="0.3">
      <c r="A30" s="1"/>
      <c r="B30" s="1"/>
      <c r="C30" s="1"/>
      <c r="D30" s="1"/>
      <c r="E30" s="38"/>
      <c r="F30" s="38"/>
      <c r="G30" s="38"/>
      <c r="H30" s="38"/>
      <c r="I30" s="38"/>
      <c r="J30" s="38"/>
      <c r="K30" s="38"/>
      <c r="L30" s="1"/>
      <c r="M30" s="1"/>
      <c r="N30" s="1"/>
      <c r="Q30" s="1"/>
      <c r="R30" s="1"/>
      <c r="S30" s="39"/>
      <c r="T30" s="39"/>
      <c r="AA30" s="1"/>
      <c r="AB30" s="1"/>
      <c r="AC30" s="1"/>
      <c r="AD30" s="1"/>
      <c r="AE30" s="1"/>
    </row>
    <row r="31" spans="1:31" x14ac:dyDescent="0.3">
      <c r="A31" s="1"/>
      <c r="B31" s="1" t="s">
        <v>60</v>
      </c>
      <c r="C31" s="1"/>
      <c r="D31" s="1"/>
      <c r="E31" s="40"/>
      <c r="F31" s="40">
        <v>6110</v>
      </c>
      <c r="G31" s="40">
        <v>7996</v>
      </c>
      <c r="H31" s="40">
        <v>9451</v>
      </c>
      <c r="I31" s="41">
        <f>I28*0.5</f>
        <v>14487.55</v>
      </c>
      <c r="J31" s="41">
        <f>J28*0.49</f>
        <v>20586.808549999998</v>
      </c>
      <c r="K31" s="41">
        <f>K28*0.48</f>
        <v>28233.337439999996</v>
      </c>
      <c r="L31" s="41">
        <f>L28*0.47</f>
        <v>37320.942928499993</v>
      </c>
      <c r="M31" s="41">
        <f>M28*0.46</f>
        <v>47484.944406900002</v>
      </c>
      <c r="N31" s="41">
        <f>N28*0.45</f>
        <v>58065.828758437499</v>
      </c>
      <c r="P31" s="42"/>
      <c r="Q31" s="1"/>
      <c r="R31" s="1"/>
      <c r="S31" s="3"/>
      <c r="T31" s="3"/>
      <c r="AA31" s="1"/>
      <c r="AB31" s="1"/>
      <c r="AC31" s="1"/>
      <c r="AD31" s="1"/>
      <c r="AE31" s="1"/>
    </row>
    <row r="32" spans="1:31" x14ac:dyDescent="0.3">
      <c r="A32" s="1"/>
      <c r="B32" s="22" t="s">
        <v>41</v>
      </c>
      <c r="C32" s="22"/>
      <c r="D32" s="22"/>
      <c r="E32" s="42"/>
      <c r="F32" s="42">
        <f>F31/F28</f>
        <v>0.58823529411764708</v>
      </c>
      <c r="G32" s="42">
        <f>G31/G28</f>
        <v>0.57053157331430615</v>
      </c>
      <c r="H32" s="42">
        <f>H31/H28</f>
        <v>0.50610474456463528</v>
      </c>
      <c r="I32" s="42">
        <f>I31/I28</f>
        <v>0.5</v>
      </c>
      <c r="J32" s="42">
        <f>J31/J28</f>
        <v>0.49</v>
      </c>
      <c r="K32" s="42">
        <f>K31/K28</f>
        <v>0.48</v>
      </c>
      <c r="L32" s="42">
        <f>L31/L28</f>
        <v>0.46999999999999992</v>
      </c>
      <c r="M32" s="42">
        <f>M31/M28</f>
        <v>0.46</v>
      </c>
      <c r="N32" s="42">
        <f>N31/N28</f>
        <v>0.45</v>
      </c>
      <c r="Q32" s="1"/>
      <c r="R32" s="1"/>
      <c r="S32" s="3"/>
      <c r="T32" s="3"/>
      <c r="AA32" s="1"/>
      <c r="AB32" s="1"/>
      <c r="AC32" s="1"/>
      <c r="AD32" s="1"/>
      <c r="AE32" s="1"/>
    </row>
    <row r="33" spans="1:31" x14ac:dyDescent="0.3">
      <c r="A33" s="1"/>
      <c r="B33" s="1"/>
      <c r="C33" s="1"/>
      <c r="D33" s="1"/>
      <c r="E33" s="38"/>
      <c r="F33" s="38"/>
      <c r="G33" s="38"/>
      <c r="H33" s="38"/>
      <c r="I33" s="38"/>
      <c r="J33" s="38"/>
      <c r="K33" s="38"/>
      <c r="L33" s="1"/>
      <c r="M33" s="1"/>
      <c r="N33" s="1"/>
      <c r="Q33" s="1"/>
      <c r="AA33" s="1"/>
      <c r="AB33" s="1"/>
      <c r="AC33" s="1"/>
      <c r="AD33" s="1"/>
      <c r="AE33" s="1"/>
    </row>
    <row r="34" spans="1:31" x14ac:dyDescent="0.3">
      <c r="A34" s="1"/>
      <c r="B34" s="1" t="s">
        <v>61</v>
      </c>
      <c r="C34" s="1"/>
      <c r="D34" s="1"/>
      <c r="E34" s="41"/>
      <c r="F34" s="41">
        <f>F28-F31</f>
        <v>4277</v>
      </c>
      <c r="G34" s="41">
        <f>G28-G31</f>
        <v>6019</v>
      </c>
      <c r="H34" s="41">
        <f>H28-H31</f>
        <v>9223</v>
      </c>
      <c r="I34" s="41">
        <f>I28-I31</f>
        <v>14487.55</v>
      </c>
      <c r="J34" s="41">
        <f>J28-J31</f>
        <v>21427.086449999999</v>
      </c>
      <c r="K34" s="41">
        <f>K28-K31</f>
        <v>30586.115559999998</v>
      </c>
      <c r="L34" s="41">
        <f>L28-L31</f>
        <v>42085.318621500002</v>
      </c>
      <c r="M34" s="41">
        <f>M28-M31</f>
        <v>55743.195608099995</v>
      </c>
      <c r="N34" s="41">
        <f>N28-N31</f>
        <v>70969.346260312508</v>
      </c>
      <c r="Q34" s="1"/>
      <c r="AA34" s="1"/>
      <c r="AB34" s="1"/>
      <c r="AC34" s="1"/>
      <c r="AD34" s="1"/>
      <c r="AE34" s="1"/>
    </row>
    <row r="35" spans="1:31" x14ac:dyDescent="0.3">
      <c r="A35" s="1"/>
      <c r="B35" s="22" t="s">
        <v>41</v>
      </c>
      <c r="C35" s="22"/>
      <c r="D35" s="22"/>
      <c r="E35" s="42"/>
      <c r="F35" s="42">
        <f>F34/F28</f>
        <v>0.41176470588235292</v>
      </c>
      <c r="G35" s="42">
        <f>G34/G28</f>
        <v>0.4294684266856939</v>
      </c>
      <c r="H35" s="42">
        <f>H34/H28</f>
        <v>0.49389525543536467</v>
      </c>
      <c r="I35" s="42">
        <f>I34/I28</f>
        <v>0.5</v>
      </c>
      <c r="J35" s="42">
        <f>J34/J28</f>
        <v>0.51</v>
      </c>
      <c r="K35" s="42">
        <f>K34/K28</f>
        <v>0.52</v>
      </c>
      <c r="L35" s="42">
        <f>L34/L28</f>
        <v>0.53</v>
      </c>
      <c r="M35" s="42">
        <f>M34/M28</f>
        <v>0.53999999999999992</v>
      </c>
      <c r="N35" s="42">
        <f>N34/N28</f>
        <v>0.55000000000000004</v>
      </c>
      <c r="Q35" s="1"/>
      <c r="AA35" s="1"/>
      <c r="AB35" s="1"/>
      <c r="AC35" s="1"/>
      <c r="AD35" s="1"/>
      <c r="AE35" s="1"/>
    </row>
    <row r="36" spans="1:31" x14ac:dyDescent="0.3">
      <c r="A36" s="1"/>
      <c r="B36" s="1"/>
      <c r="C36" s="1"/>
      <c r="D36" s="1"/>
      <c r="E36" s="38"/>
      <c r="F36" s="38"/>
      <c r="G36" s="38"/>
      <c r="H36" s="38"/>
      <c r="I36" s="38"/>
      <c r="J36" s="38"/>
      <c r="K36" s="38"/>
      <c r="L36" s="1"/>
      <c r="M36" s="1"/>
      <c r="N36" s="1"/>
      <c r="Q36" s="1"/>
      <c r="AA36" s="1"/>
      <c r="AB36" s="1"/>
      <c r="AC36" s="1"/>
      <c r="AD36" s="1"/>
      <c r="AE36" s="1"/>
    </row>
    <row r="37" spans="1:31" x14ac:dyDescent="0.3">
      <c r="A37" s="1"/>
      <c r="B37" s="1" t="s">
        <v>62</v>
      </c>
      <c r="C37" s="1"/>
      <c r="D37" s="1"/>
      <c r="E37" s="40"/>
      <c r="F37" s="40">
        <v>2105</v>
      </c>
      <c r="G37" s="40">
        <v>3464</v>
      </c>
      <c r="H37" s="40">
        <v>8643</v>
      </c>
      <c r="I37" s="41">
        <f>I28*0.6</f>
        <v>17385.059999999998</v>
      </c>
      <c r="J37" s="41">
        <f>J28*0.3</f>
        <v>12604.168499999998</v>
      </c>
      <c r="K37" s="41">
        <f>K28*0.2</f>
        <v>11763.890599999999</v>
      </c>
      <c r="L37" s="41">
        <f>L28*0.2</f>
        <v>15881.25231</v>
      </c>
      <c r="M37" s="41">
        <f>M28*0.2</f>
        <v>20645.628003000002</v>
      </c>
      <c r="N37" s="41">
        <f>N28*0.2</f>
        <v>25807.035003750003</v>
      </c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</row>
    <row r="38" spans="1:31" x14ac:dyDescent="0.3">
      <c r="A38" s="1"/>
      <c r="B38" s="22" t="s">
        <v>41</v>
      </c>
      <c r="C38" s="1"/>
      <c r="D38" s="1"/>
      <c r="E38" s="42"/>
      <c r="F38" s="42">
        <f>F37/F$28</f>
        <v>0.20265716761336286</v>
      </c>
      <c r="G38" s="42">
        <f>G37/G$28</f>
        <v>0.24716375312165537</v>
      </c>
      <c r="H38" s="42">
        <f>H37/H$28</f>
        <v>0.46283602870300955</v>
      </c>
      <c r="I38" s="42">
        <f>I37/I$28</f>
        <v>0.6</v>
      </c>
      <c r="J38" s="42">
        <f>J37/J$28</f>
        <v>0.3</v>
      </c>
      <c r="K38" s="42">
        <f>K37/K$28</f>
        <v>0.2</v>
      </c>
      <c r="L38" s="42">
        <f>L37/L$28</f>
        <v>0.2</v>
      </c>
      <c r="M38" s="42">
        <f>M37/M$28</f>
        <v>0.2</v>
      </c>
      <c r="N38" s="42">
        <f>N37/N$28</f>
        <v>0.2</v>
      </c>
      <c r="Q38" s="42"/>
      <c r="R38" s="42"/>
      <c r="S38" s="42"/>
      <c r="T38" s="42"/>
      <c r="U38" s="42"/>
      <c r="V38" s="42"/>
      <c r="W38" s="42"/>
      <c r="X38" s="42"/>
      <c r="AA38" s="1"/>
      <c r="AB38" s="1"/>
      <c r="AC38" s="1"/>
      <c r="AD38" s="1"/>
      <c r="AE38" s="1"/>
    </row>
    <row r="39" spans="1:31" x14ac:dyDescent="0.3">
      <c r="A39" s="1"/>
      <c r="B39" s="1"/>
      <c r="C39" s="1"/>
      <c r="D39" s="1"/>
      <c r="E39" s="33"/>
      <c r="F39" s="33"/>
      <c r="G39" s="40"/>
      <c r="H39" s="40"/>
      <c r="I39" s="40"/>
      <c r="J39" s="40"/>
      <c r="K39" s="40"/>
      <c r="L39" s="1"/>
      <c r="M39" s="1"/>
      <c r="N39" s="1"/>
      <c r="Q39" s="1"/>
      <c r="AA39" s="1"/>
      <c r="AB39" s="1"/>
      <c r="AC39" s="1"/>
      <c r="AD39" s="1"/>
      <c r="AE39" s="1"/>
    </row>
    <row r="40" spans="1:31" x14ac:dyDescent="0.3">
      <c r="A40" s="1"/>
      <c r="B40" s="1" t="s">
        <v>63</v>
      </c>
      <c r="C40" s="1"/>
      <c r="D40" s="1"/>
      <c r="E40" s="40"/>
      <c r="F40" s="40">
        <v>1665</v>
      </c>
      <c r="G40" s="40">
        <v>1813</v>
      </c>
      <c r="H40" s="40">
        <v>2644</v>
      </c>
      <c r="I40" s="41">
        <f>I28*0.125</f>
        <v>3621.8874999999998</v>
      </c>
      <c r="J40" s="41">
        <f>J28*0.12</f>
        <v>5041.6673999999994</v>
      </c>
      <c r="K40" s="41">
        <f>K28*0.115</f>
        <v>6764.2370949999995</v>
      </c>
      <c r="L40" s="41">
        <f>L28*0.11</f>
        <v>8734.688770499999</v>
      </c>
      <c r="M40" s="41">
        <f>M28*0.105</f>
        <v>10838.954701574999</v>
      </c>
      <c r="N40" s="41">
        <f>N28*0.1</f>
        <v>12903.517501875001</v>
      </c>
      <c r="Q40" s="1"/>
      <c r="AA40" s="1"/>
      <c r="AB40" s="1"/>
      <c r="AC40" s="1"/>
      <c r="AD40" s="1"/>
      <c r="AE40" s="1"/>
    </row>
    <row r="41" spans="1:31" x14ac:dyDescent="0.3">
      <c r="A41" s="1"/>
      <c r="B41" s="22" t="s">
        <v>41</v>
      </c>
      <c r="C41" s="1"/>
      <c r="D41" s="1"/>
      <c r="E41" s="42"/>
      <c r="F41" s="42">
        <f>F40/F$28</f>
        <v>0.16029652450178108</v>
      </c>
      <c r="G41" s="42">
        <f>G40/G$28</f>
        <v>0.12936139850160541</v>
      </c>
      <c r="H41" s="42">
        <f>H40/H$28</f>
        <v>0.14158723358680519</v>
      </c>
      <c r="I41" s="42">
        <f t="shared" ref="I41:N41" si="4">I40/I$28</f>
        <v>0.125</v>
      </c>
      <c r="J41" s="42">
        <f t="shared" si="4"/>
        <v>0.12</v>
      </c>
      <c r="K41" s="42">
        <f t="shared" si="4"/>
        <v>0.115</v>
      </c>
      <c r="L41" s="42">
        <f t="shared" si="4"/>
        <v>0.10999999999999999</v>
      </c>
      <c r="M41" s="42">
        <f t="shared" si="4"/>
        <v>0.105</v>
      </c>
      <c r="N41" s="42">
        <f t="shared" si="4"/>
        <v>0.1</v>
      </c>
      <c r="Q41" s="1"/>
      <c r="AA41" s="1"/>
      <c r="AB41" s="1"/>
      <c r="AC41" s="1"/>
      <c r="AD41" s="1"/>
      <c r="AE41" s="1"/>
    </row>
    <row r="42" spans="1:31" x14ac:dyDescent="0.3">
      <c r="A42" s="1"/>
      <c r="B42" s="22"/>
      <c r="C42" s="1"/>
      <c r="D42" s="1"/>
      <c r="E42" s="42"/>
      <c r="F42" s="42"/>
      <c r="G42" s="42"/>
      <c r="H42" s="42"/>
      <c r="I42" s="42"/>
      <c r="J42" s="42"/>
      <c r="K42" s="42"/>
      <c r="L42" s="42"/>
      <c r="M42" s="42"/>
      <c r="N42" s="42"/>
      <c r="Q42" s="1"/>
      <c r="AA42" s="1"/>
      <c r="AB42" s="1"/>
      <c r="AC42" s="1"/>
      <c r="AD42" s="1"/>
      <c r="AE42" s="1"/>
    </row>
    <row r="43" spans="1:31" x14ac:dyDescent="0.3">
      <c r="A43" s="1"/>
      <c r="B43" s="22" t="s">
        <v>99</v>
      </c>
      <c r="C43" s="1"/>
      <c r="D43" s="1"/>
      <c r="E43" s="43"/>
      <c r="F43" s="43">
        <v>237</v>
      </c>
      <c r="G43" s="43">
        <v>213</v>
      </c>
      <c r="H43" s="43">
        <v>487</v>
      </c>
      <c r="I43" s="44"/>
      <c r="J43" s="44"/>
      <c r="K43" s="44"/>
      <c r="L43" s="44"/>
      <c r="M43" s="44"/>
      <c r="N43" s="44"/>
      <c r="Q43" s="1"/>
      <c r="AA43" s="1"/>
      <c r="AB43" s="1"/>
      <c r="AC43" s="1"/>
      <c r="AD43" s="1"/>
      <c r="AE43" s="1"/>
    </row>
    <row r="44" spans="1:31" x14ac:dyDescent="0.3">
      <c r="A44" s="1"/>
      <c r="B44" s="22" t="s">
        <v>41</v>
      </c>
      <c r="C44" s="1"/>
      <c r="D44" s="1"/>
      <c r="E44" s="36"/>
      <c r="F44" s="36">
        <f>F43/F$28</f>
        <v>2.281698276692019E-2</v>
      </c>
      <c r="G44" s="36">
        <f>G43/G$28</f>
        <v>1.5198002140563683E-2</v>
      </c>
      <c r="H44" s="36">
        <f>H43/H$28</f>
        <v>2.6079040376994753E-2</v>
      </c>
      <c r="I44" s="36">
        <f>I43/I$28</f>
        <v>0</v>
      </c>
      <c r="J44" s="36">
        <f>J43/J$28</f>
        <v>0</v>
      </c>
      <c r="K44" s="36">
        <f>K43/K$28</f>
        <v>0</v>
      </c>
      <c r="L44" s="36">
        <f>L43/L$28</f>
        <v>0</v>
      </c>
      <c r="M44" s="36">
        <f>M43/M$28</f>
        <v>0</v>
      </c>
      <c r="N44" s="36">
        <f>N43/N$28</f>
        <v>0</v>
      </c>
      <c r="Q44" s="1"/>
      <c r="AA44" s="1"/>
      <c r="AB44" s="1"/>
      <c r="AC44" s="1"/>
      <c r="AD44" s="1"/>
      <c r="AE44" s="1"/>
    </row>
    <row r="45" spans="1:31" x14ac:dyDescent="0.3">
      <c r="A45" s="1"/>
      <c r="B45" s="22"/>
      <c r="C45" s="1"/>
      <c r="D45" s="1"/>
      <c r="E45" s="36"/>
      <c r="F45" s="36"/>
      <c r="G45" s="36"/>
      <c r="H45" s="36"/>
      <c r="I45" s="36"/>
      <c r="J45" s="36"/>
      <c r="K45" s="36"/>
      <c r="L45" s="36"/>
      <c r="M45" s="36"/>
      <c r="N45" s="36"/>
      <c r="Q45" s="1"/>
      <c r="AA45" s="1"/>
      <c r="AB45" s="1"/>
      <c r="AC45" s="1"/>
      <c r="AD45" s="1"/>
      <c r="AE45" s="1"/>
    </row>
    <row r="46" spans="1:31" x14ac:dyDescent="0.3">
      <c r="A46" s="1"/>
      <c r="B46" s="1" t="s">
        <v>95</v>
      </c>
      <c r="C46" s="1"/>
      <c r="D46" s="1"/>
      <c r="E46" s="43"/>
      <c r="F46" s="43">
        <v>3775</v>
      </c>
      <c r="G46" s="43">
        <v>63</v>
      </c>
      <c r="H46" s="43">
        <v>38</v>
      </c>
      <c r="I46" s="44"/>
      <c r="J46" s="44">
        <v>0</v>
      </c>
      <c r="K46" s="44">
        <v>0</v>
      </c>
      <c r="L46" s="44">
        <v>0</v>
      </c>
      <c r="M46" s="44">
        <v>0</v>
      </c>
      <c r="N46" s="44">
        <v>0</v>
      </c>
      <c r="Q46" s="1"/>
      <c r="AA46" s="1"/>
      <c r="AB46" s="1"/>
      <c r="AC46" s="1"/>
      <c r="AD46" s="1"/>
      <c r="AE46" s="1"/>
    </row>
    <row r="47" spans="1:31" x14ac:dyDescent="0.3">
      <c r="A47" s="1"/>
      <c r="B47" s="22" t="s">
        <v>41</v>
      </c>
      <c r="C47" s="1"/>
      <c r="D47" s="1"/>
      <c r="E47" s="36"/>
      <c r="F47" s="36">
        <f>F46/F$28</f>
        <v>0.36343506305959372</v>
      </c>
      <c r="G47" s="36">
        <f>G46/G$28</f>
        <v>4.4951837317160183E-3</v>
      </c>
      <c r="H47" s="36">
        <f>H46/H$28</f>
        <v>2.0349148548784407E-3</v>
      </c>
      <c r="I47" s="36">
        <f>I46/I$28</f>
        <v>0</v>
      </c>
      <c r="J47" s="36">
        <f>J46/J$28</f>
        <v>0</v>
      </c>
      <c r="K47" s="36">
        <f>K46/K$28</f>
        <v>0</v>
      </c>
      <c r="L47" s="36">
        <f>L46/L$28</f>
        <v>0</v>
      </c>
      <c r="M47" s="36">
        <f>M46/M$28</f>
        <v>0</v>
      </c>
      <c r="N47" s="36">
        <f>N46/N$28</f>
        <v>0</v>
      </c>
      <c r="Q47" s="1"/>
      <c r="AA47" s="1"/>
      <c r="AB47" s="1"/>
      <c r="AC47" s="1"/>
      <c r="AD47" s="1"/>
      <c r="AE47" s="1"/>
    </row>
    <row r="48" spans="1:31" x14ac:dyDescent="0.3">
      <c r="A48" s="1"/>
      <c r="B48" s="1"/>
      <c r="C48" s="1"/>
      <c r="D48" s="1"/>
      <c r="E48" s="33"/>
      <c r="F48" s="1"/>
      <c r="G48" s="1"/>
      <c r="H48" s="1"/>
      <c r="I48" s="1"/>
      <c r="J48" s="1"/>
      <c r="K48" s="1"/>
      <c r="L48" s="1"/>
      <c r="M48" s="1"/>
      <c r="N48" s="1"/>
      <c r="Q48" s="1"/>
      <c r="AA48" s="1"/>
      <c r="AB48" s="1"/>
      <c r="AC48" s="1"/>
      <c r="AD48" s="1"/>
      <c r="AE48" s="1"/>
    </row>
    <row r="49" spans="1:31" x14ac:dyDescent="0.3">
      <c r="A49" s="1"/>
      <c r="B49" s="1" t="s">
        <v>64</v>
      </c>
      <c r="C49" s="1"/>
      <c r="D49" s="1"/>
      <c r="E49" s="45"/>
      <c r="F49" s="46">
        <f t="shared" ref="F49:G49" si="5">F34-F37-F40-F43-F46</f>
        <v>-3505</v>
      </c>
      <c r="G49" s="46">
        <f t="shared" si="5"/>
        <v>466</v>
      </c>
      <c r="H49" s="46">
        <f>H34-H37-H40-H43-H46</f>
        <v>-2589</v>
      </c>
      <c r="I49" s="46">
        <f t="shared" ref="I49:N49" si="6">I34-I37-I40-I43-I46</f>
        <v>-6519.3974999999982</v>
      </c>
      <c r="J49" s="46">
        <f t="shared" si="6"/>
        <v>3781.2505500000016</v>
      </c>
      <c r="K49" s="46">
        <f t="shared" si="6"/>
        <v>12057.987864999999</v>
      </c>
      <c r="L49" s="46">
        <f t="shared" si="6"/>
        <v>17469.377541000002</v>
      </c>
      <c r="M49" s="46">
        <f t="shared" si="6"/>
        <v>24258.612903524991</v>
      </c>
      <c r="N49" s="46">
        <f t="shared" si="6"/>
        <v>32258.793754687504</v>
      </c>
      <c r="Q49" s="3"/>
      <c r="R49" s="3"/>
      <c r="S49" s="3"/>
      <c r="T49" s="3"/>
      <c r="U49" s="3"/>
      <c r="V49" s="3"/>
      <c r="W49" s="3"/>
      <c r="AA49" s="1"/>
      <c r="AB49" s="1"/>
      <c r="AC49" s="1"/>
      <c r="AD49" s="1"/>
      <c r="AE49" s="1"/>
    </row>
    <row r="50" spans="1:31" x14ac:dyDescent="0.3">
      <c r="A50" s="1"/>
      <c r="B50" s="22" t="s">
        <v>41</v>
      </c>
      <c r="C50" s="22"/>
      <c r="D50" s="22"/>
      <c r="E50" s="36"/>
      <c r="F50" s="36">
        <f>F49/F$28</f>
        <v>-0.33744103205930492</v>
      </c>
      <c r="G50" s="36">
        <f>G49/G$28</f>
        <v>3.325008919015341E-2</v>
      </c>
      <c r="H50" s="36">
        <f>H49/H$28</f>
        <v>-0.13864196208632323</v>
      </c>
      <c r="I50" s="36">
        <f>I49/I$28</f>
        <v>-0.22499999999999995</v>
      </c>
      <c r="J50" s="36">
        <f>J49/J$28</f>
        <v>9.0000000000000038E-2</v>
      </c>
      <c r="K50" s="36">
        <f>K49/K$28</f>
        <v>0.20500000000000002</v>
      </c>
      <c r="L50" s="36">
        <f>L49/L$28</f>
        <v>0.22000000000000003</v>
      </c>
      <c r="M50" s="36">
        <f>M49/M$28</f>
        <v>0.2349999999999999</v>
      </c>
      <c r="N50" s="36">
        <f>N49/N$28</f>
        <v>0.25000000000000006</v>
      </c>
      <c r="Q50" s="1"/>
      <c r="R50" s="3"/>
      <c r="S50" s="3"/>
      <c r="T50" s="3"/>
      <c r="U50" s="3"/>
      <c r="AA50" s="1"/>
      <c r="AB50" s="1"/>
      <c r="AC50" s="1"/>
      <c r="AD50" s="1"/>
      <c r="AE50" s="1"/>
    </row>
    <row r="51" spans="1:31" x14ac:dyDescent="0.3">
      <c r="A51" s="1"/>
      <c r="B51" s="22"/>
      <c r="C51" s="22"/>
      <c r="D51" s="22"/>
      <c r="E51" s="36"/>
      <c r="F51" s="36"/>
      <c r="G51" s="36"/>
      <c r="H51" s="36"/>
      <c r="I51" s="47"/>
      <c r="J51" s="36"/>
      <c r="K51" s="36"/>
      <c r="L51" s="36"/>
      <c r="M51" s="36"/>
      <c r="N51" s="36"/>
      <c r="Q51" s="1"/>
      <c r="R51" s="3"/>
      <c r="S51" s="3"/>
      <c r="T51" s="3"/>
      <c r="U51" s="3"/>
      <c r="AA51" s="1"/>
      <c r="AB51" s="1"/>
      <c r="AC51" s="1"/>
      <c r="AD51" s="1"/>
      <c r="AE51" s="1"/>
    </row>
    <row r="52" spans="1:31" x14ac:dyDescent="0.3">
      <c r="A52" s="1"/>
      <c r="B52" s="1" t="s">
        <v>65</v>
      </c>
      <c r="C52" s="1"/>
      <c r="D52" s="1"/>
      <c r="E52" s="45"/>
      <c r="F52" s="45">
        <f>F49+F78</f>
        <v>-870</v>
      </c>
      <c r="G52" s="45">
        <f>G49+G78</f>
        <v>4290</v>
      </c>
      <c r="H52" s="45">
        <f>H49+H78</f>
        <v>4112</v>
      </c>
      <c r="I52" s="45">
        <f>I49+I78</f>
        <v>3587.6025000000018</v>
      </c>
      <c r="J52" s="45">
        <f>J49+J78</f>
        <v>17678.375550000004</v>
      </c>
      <c r="K52" s="45">
        <f>K49+K78</f>
        <v>31236.020365</v>
      </c>
      <c r="L52" s="45">
        <f>L49+L78</f>
        <v>35368.874540999997</v>
      </c>
      <c r="M52" s="45">
        <f>M49+M78</f>
        <v>41646.695703524994</v>
      </c>
      <c r="N52" s="45">
        <f>N49+N78</f>
        <v>50733.631729687506</v>
      </c>
      <c r="Q52" s="1"/>
      <c r="R52" s="3"/>
      <c r="S52" s="3"/>
      <c r="T52" s="3"/>
      <c r="U52" s="3"/>
      <c r="AA52" s="1"/>
      <c r="AB52" s="1"/>
      <c r="AC52" s="1"/>
      <c r="AD52" s="1"/>
      <c r="AE52" s="1"/>
    </row>
    <row r="53" spans="1:31" x14ac:dyDescent="0.3">
      <c r="A53" s="1"/>
      <c r="B53" s="22" t="s">
        <v>41</v>
      </c>
      <c r="C53" s="22"/>
      <c r="D53" s="22"/>
      <c r="E53" s="36"/>
      <c r="F53" s="36">
        <f>F52/F$28</f>
        <v>-8.3758544334263982E-2</v>
      </c>
      <c r="G53" s="36">
        <f>G52/G$28</f>
        <v>0.30610060649304316</v>
      </c>
      <c r="H53" s="36">
        <f>H52/H$28</f>
        <v>0.22019920745421442</v>
      </c>
      <c r="I53" s="36">
        <f>I52/I$28</f>
        <v>0.12381674265144907</v>
      </c>
      <c r="J53" s="36">
        <f>J52/J$28</f>
        <v>0.42077449734189143</v>
      </c>
      <c r="K53" s="36">
        <f>K52/K$28</f>
        <v>0.53104914737986431</v>
      </c>
      <c r="L53" s="36">
        <f>L52/L$28</f>
        <v>0.44541669448484444</v>
      </c>
      <c r="M53" s="36">
        <f>M52/M$28</f>
        <v>0.40344324423043315</v>
      </c>
      <c r="N53" s="36">
        <f>N52/N$28</f>
        <v>0.39317675759586829</v>
      </c>
      <c r="Q53" s="1"/>
      <c r="R53" s="3"/>
      <c r="S53" s="3"/>
      <c r="T53" s="3"/>
      <c r="U53" s="3"/>
      <c r="AA53" s="1"/>
      <c r="AB53" s="1"/>
      <c r="AC53" s="1"/>
      <c r="AD53" s="1"/>
      <c r="AE53" s="1"/>
    </row>
    <row r="54" spans="1:31" x14ac:dyDescent="0.3">
      <c r="A54" s="1"/>
      <c r="B54" s="1"/>
      <c r="C54" s="1"/>
      <c r="D54" s="1"/>
      <c r="E54" s="38"/>
      <c r="F54" s="38"/>
      <c r="G54" s="38"/>
      <c r="H54" s="38"/>
      <c r="I54" s="38"/>
      <c r="J54" s="38"/>
      <c r="K54" s="38"/>
      <c r="L54" s="1"/>
      <c r="M54" s="1"/>
      <c r="N54" s="1"/>
      <c r="Q54" s="1"/>
      <c r="AA54" s="1"/>
      <c r="AB54" s="1"/>
      <c r="AC54" s="1"/>
      <c r="AD54" s="1"/>
      <c r="AE54" s="1"/>
    </row>
    <row r="55" spans="1:31" x14ac:dyDescent="0.3">
      <c r="A55" s="1"/>
      <c r="B55" s="1" t="s">
        <v>101</v>
      </c>
      <c r="C55" s="1"/>
      <c r="D55" s="1"/>
      <c r="E55" s="38"/>
      <c r="F55" s="48">
        <f>249-1693</f>
        <v>-1444</v>
      </c>
      <c r="G55" s="48">
        <f>371-1580</f>
        <v>-1209</v>
      </c>
      <c r="H55" s="48">
        <f>492-1945</f>
        <v>-1453</v>
      </c>
      <c r="I55" s="38"/>
      <c r="J55" s="38"/>
      <c r="K55" s="38"/>
      <c r="L55" s="1"/>
      <c r="M55" s="1"/>
      <c r="N55" s="1"/>
      <c r="Q55" s="1"/>
      <c r="AA55" s="1"/>
      <c r="AB55" s="1"/>
      <c r="AC55" s="1"/>
      <c r="AD55" s="1"/>
      <c r="AE55" s="1"/>
    </row>
    <row r="56" spans="1:31" x14ac:dyDescent="0.3">
      <c r="B56" s="22" t="s">
        <v>41</v>
      </c>
      <c r="C56" s="22"/>
      <c r="D56" s="22"/>
      <c r="E56" s="36"/>
      <c r="F56" s="36">
        <f>F55/F$28</f>
        <v>-0.13901992875710023</v>
      </c>
      <c r="G56" s="36">
        <f>G55/G$28</f>
        <v>-8.6264716375312162E-2</v>
      </c>
      <c r="H56" s="36">
        <f>H55/H$28</f>
        <v>-7.7808718003641433E-2</v>
      </c>
      <c r="I56" s="36">
        <f>I55/I$28</f>
        <v>0</v>
      </c>
      <c r="J56" s="36">
        <f>J55/J$28</f>
        <v>0</v>
      </c>
      <c r="K56" s="36">
        <f>K55/K$28</f>
        <v>0</v>
      </c>
      <c r="L56" s="36">
        <f>L55/L$28</f>
        <v>0</v>
      </c>
      <c r="M56" s="36">
        <f>M55/M$28</f>
        <v>0</v>
      </c>
      <c r="N56" s="36">
        <f>N55/N$28</f>
        <v>0</v>
      </c>
      <c r="Q56" s="1"/>
      <c r="AA56" s="1"/>
      <c r="AB56" s="1"/>
      <c r="AC56" s="1"/>
      <c r="AD56" s="1"/>
      <c r="AE56" s="1"/>
    </row>
    <row r="57" spans="1:31" x14ac:dyDescent="0.3">
      <c r="A57" s="1"/>
      <c r="B57" s="1"/>
      <c r="C57" s="1"/>
      <c r="D57" s="1"/>
      <c r="E57" s="38"/>
      <c r="I57" s="38"/>
      <c r="J57" s="38"/>
      <c r="K57" s="38"/>
      <c r="L57" s="1"/>
      <c r="M57" s="1"/>
      <c r="N57" s="44">
        <v>0</v>
      </c>
      <c r="Q57" s="1"/>
      <c r="AA57" s="1"/>
      <c r="AB57" s="1"/>
      <c r="AC57" s="1"/>
      <c r="AD57" s="1"/>
      <c r="AE57" s="1"/>
    </row>
    <row r="58" spans="1:31" x14ac:dyDescent="0.3">
      <c r="A58" s="1"/>
      <c r="B58" s="1" t="s">
        <v>96</v>
      </c>
      <c r="C58" s="1"/>
      <c r="D58" s="1"/>
      <c r="E58" s="48"/>
      <c r="F58" s="48">
        <v>-42</v>
      </c>
      <c r="G58" s="48">
        <v>985</v>
      </c>
      <c r="H58" s="48">
        <v>-177</v>
      </c>
      <c r="I58" s="44">
        <v>0</v>
      </c>
      <c r="J58" s="44">
        <v>0</v>
      </c>
      <c r="K58" s="44">
        <v>0</v>
      </c>
      <c r="L58" s="44">
        <v>0</v>
      </c>
      <c r="M58" s="44">
        <v>0</v>
      </c>
      <c r="N58" s="36">
        <f>N57/N$28</f>
        <v>0</v>
      </c>
      <c r="Q58" s="1"/>
      <c r="AA58" s="1"/>
      <c r="AB58" s="1"/>
      <c r="AC58" s="1"/>
      <c r="AD58" s="1"/>
      <c r="AE58" s="1"/>
    </row>
    <row r="59" spans="1:31" x14ac:dyDescent="0.3">
      <c r="A59" s="1"/>
      <c r="B59" s="22" t="s">
        <v>41</v>
      </c>
      <c r="C59" s="22"/>
      <c r="D59" s="22"/>
      <c r="E59" s="36"/>
      <c r="F59" s="36">
        <f>F58/F$28</f>
        <v>-4.0435159333782611E-3</v>
      </c>
      <c r="G59" s="36">
        <f>G58/G$28</f>
        <v>7.0281840884766328E-2</v>
      </c>
      <c r="H59" s="36">
        <f>H58/H$28</f>
        <v>-9.4784191924601052E-3</v>
      </c>
      <c r="I59" s="36">
        <f>I58/I$28</f>
        <v>0</v>
      </c>
      <c r="J59" s="36">
        <f>J58/J$28</f>
        <v>0</v>
      </c>
      <c r="K59" s="36">
        <f>K58/K$28</f>
        <v>0</v>
      </c>
      <c r="L59" s="36">
        <f>L58/L$28</f>
        <v>0</v>
      </c>
      <c r="M59" s="36">
        <f>M58/M$28</f>
        <v>0</v>
      </c>
      <c r="N59" s="36"/>
      <c r="Q59" s="1"/>
      <c r="AA59" s="1"/>
      <c r="AB59" s="1"/>
      <c r="AC59" s="1"/>
      <c r="AD59" s="1"/>
      <c r="AE59" s="1"/>
    </row>
    <row r="60" spans="1:31" x14ac:dyDescent="0.3">
      <c r="A60" s="1"/>
      <c r="B60" s="22"/>
      <c r="C60" s="22"/>
      <c r="D60" s="22"/>
      <c r="E60" s="36"/>
      <c r="F60" s="36"/>
      <c r="G60" s="36"/>
      <c r="H60" s="36"/>
      <c r="I60" s="36"/>
      <c r="J60" s="36"/>
      <c r="K60" s="36"/>
      <c r="L60" s="36"/>
      <c r="M60" s="36"/>
      <c r="N60" s="44"/>
      <c r="Q60" s="1"/>
      <c r="AA60" s="1"/>
      <c r="AB60" s="1"/>
      <c r="AC60" s="1"/>
      <c r="AD60" s="1"/>
      <c r="AE60" s="1"/>
    </row>
    <row r="61" spans="1:31" x14ac:dyDescent="0.3">
      <c r="A61" s="1"/>
      <c r="B61" s="1" t="s">
        <v>97</v>
      </c>
      <c r="C61" s="1"/>
      <c r="D61" s="1"/>
      <c r="E61" s="48"/>
      <c r="F61" s="44">
        <f t="shared" ref="F61:H61" si="7">F49+F55+F58</f>
        <v>-4991</v>
      </c>
      <c r="G61" s="44">
        <f t="shared" si="7"/>
        <v>242</v>
      </c>
      <c r="H61" s="44">
        <f>H49+H55+H58</f>
        <v>-4219</v>
      </c>
      <c r="I61" s="44">
        <f>I49+I58</f>
        <v>-6519.3974999999982</v>
      </c>
      <c r="J61" s="44">
        <f>J49+J58</f>
        <v>3781.2505500000016</v>
      </c>
      <c r="K61" s="44">
        <f>K49+K58</f>
        <v>12057.987864999999</v>
      </c>
      <c r="L61" s="44">
        <f t="shared" ref="L61:N61" si="8">L49+L58</f>
        <v>17469.377541000002</v>
      </c>
      <c r="M61" s="44">
        <f t="shared" si="8"/>
        <v>24258.612903524991</v>
      </c>
      <c r="N61" s="44">
        <f t="shared" si="8"/>
        <v>32258.793754687504</v>
      </c>
      <c r="Q61" s="1"/>
      <c r="AA61" s="1"/>
      <c r="AB61" s="1"/>
      <c r="AC61" s="1"/>
      <c r="AD61" s="1"/>
      <c r="AE61" s="1"/>
    </row>
    <row r="62" spans="1:31" x14ac:dyDescent="0.3">
      <c r="A62" s="1"/>
      <c r="B62" s="22" t="s">
        <v>41</v>
      </c>
      <c r="C62" s="22"/>
      <c r="D62" s="22"/>
      <c r="E62" s="36"/>
      <c r="F62" s="36">
        <f>F61/F$28</f>
        <v>-0.48050447674978336</v>
      </c>
      <c r="G62" s="36">
        <f>G61/G$28</f>
        <v>1.7267213699607563E-2</v>
      </c>
      <c r="H62" s="36">
        <f>H61/H$28</f>
        <v>-0.22592909928242477</v>
      </c>
      <c r="I62" s="36">
        <f>I61/I$28</f>
        <v>-0.22499999999999995</v>
      </c>
      <c r="J62" s="36">
        <f>J61/J$28</f>
        <v>9.0000000000000038E-2</v>
      </c>
      <c r="K62" s="36">
        <f>K61/K$28</f>
        <v>0.20500000000000002</v>
      </c>
      <c r="L62" s="36">
        <f t="shared" ref="L62:N62" si="9">L61/L$28</f>
        <v>0.22000000000000003</v>
      </c>
      <c r="M62" s="36">
        <f t="shared" si="9"/>
        <v>0.2349999999999999</v>
      </c>
      <c r="N62" s="36">
        <f t="shared" si="9"/>
        <v>0.25000000000000006</v>
      </c>
      <c r="Q62" s="1"/>
      <c r="AA62" s="1"/>
      <c r="AB62" s="1"/>
      <c r="AC62" s="1"/>
      <c r="AD62" s="1"/>
      <c r="AE62" s="1"/>
    </row>
    <row r="63" spans="1:31" x14ac:dyDescent="0.3">
      <c r="A63" s="1"/>
      <c r="B63" s="22"/>
      <c r="C63" s="22"/>
      <c r="D63" s="22"/>
      <c r="E63" s="36"/>
      <c r="F63" s="1"/>
      <c r="G63" s="1"/>
      <c r="H63" s="1"/>
      <c r="I63" s="36"/>
      <c r="J63" s="36"/>
      <c r="K63" s="36"/>
      <c r="L63" s="36"/>
      <c r="M63" s="36"/>
      <c r="Q63" s="1"/>
      <c r="AA63" s="1"/>
      <c r="AB63" s="1"/>
      <c r="AC63" s="1"/>
      <c r="AD63" s="1"/>
      <c r="AE63" s="1"/>
    </row>
    <row r="64" spans="1:31" x14ac:dyDescent="0.3">
      <c r="A64" s="1"/>
      <c r="B64" s="1" t="s">
        <v>98</v>
      </c>
      <c r="C64" s="1"/>
      <c r="D64" s="1"/>
      <c r="E64" s="48"/>
      <c r="F64" s="48">
        <v>-363</v>
      </c>
      <c r="G64" s="48">
        <v>-549</v>
      </c>
      <c r="H64" s="48">
        <v>718</v>
      </c>
      <c r="I64" s="44">
        <f>IF(I61&gt;0,I61*0.12,0)</f>
        <v>0</v>
      </c>
      <c r="J64" s="44">
        <f>IF(J61&gt;0,J61*0.12,0)</f>
        <v>453.75006600000017</v>
      </c>
      <c r="K64" s="44">
        <f>IF(K61&gt;0,K61*0.13,0)</f>
        <v>1567.5384224499999</v>
      </c>
      <c r="L64" s="44">
        <f>IF(L61&gt;0,L61*0.14,0)</f>
        <v>2445.7128557400006</v>
      </c>
      <c r="M64" s="44">
        <f>IF(M61&gt;0,M61*0.15,0)</f>
        <v>3638.7919355287486</v>
      </c>
      <c r="N64" s="44">
        <f>IF(N61&gt;0,N61*0.16,0)</f>
        <v>5161.4070007500004</v>
      </c>
      <c r="Q64" s="1"/>
      <c r="AA64" s="1"/>
      <c r="AB64" s="1"/>
      <c r="AC64" s="1"/>
      <c r="AD64" s="1"/>
      <c r="AE64" s="1"/>
    </row>
    <row r="65" spans="1:31" x14ac:dyDescent="0.3">
      <c r="A65" s="1"/>
      <c r="B65" s="22" t="s">
        <v>66</v>
      </c>
      <c r="C65" s="22"/>
      <c r="D65" s="22"/>
      <c r="E65" s="36"/>
      <c r="F65" s="36">
        <f>F64/F61</f>
        <v>7.2730915648166694E-2</v>
      </c>
      <c r="G65" s="36">
        <f>G64/G61</f>
        <v>-2.2685950413223139</v>
      </c>
      <c r="H65" s="36">
        <f>H64/H61</f>
        <v>-0.17018250770324722</v>
      </c>
      <c r="I65" s="36">
        <f>I64/I61</f>
        <v>0</v>
      </c>
      <c r="J65" s="36">
        <f>J64/J61</f>
        <v>0.12</v>
      </c>
      <c r="K65" s="36">
        <f>K64/K61</f>
        <v>0.13</v>
      </c>
      <c r="L65" s="36">
        <f t="shared" ref="L65:N65" si="10">L64/L61</f>
        <v>0.14000000000000001</v>
      </c>
      <c r="M65" s="36">
        <f t="shared" si="10"/>
        <v>0.15</v>
      </c>
      <c r="N65" s="36">
        <f t="shared" si="10"/>
        <v>0.16</v>
      </c>
      <c r="Q65" s="1"/>
      <c r="AA65" s="1"/>
      <c r="AB65" s="1"/>
      <c r="AC65" s="1"/>
      <c r="AD65" s="1"/>
      <c r="AE65" s="1"/>
    </row>
    <row r="66" spans="1:31" x14ac:dyDescent="0.3">
      <c r="A66" s="1"/>
      <c r="B66" s="22"/>
      <c r="C66" s="22"/>
      <c r="D66" s="22"/>
      <c r="E66" s="42"/>
      <c r="F66" s="42"/>
      <c r="G66" s="42"/>
      <c r="H66" s="42"/>
      <c r="I66" s="38"/>
      <c r="J66" s="38"/>
      <c r="K66" s="38"/>
      <c r="L66" s="1"/>
      <c r="M66" s="1"/>
      <c r="N66" s="1"/>
      <c r="Q66" s="1"/>
      <c r="AA66" s="1"/>
      <c r="AB66" s="1"/>
      <c r="AC66" s="1"/>
      <c r="AD66" s="1"/>
      <c r="AE66" s="1"/>
    </row>
    <row r="67" spans="1:31" x14ac:dyDescent="0.3">
      <c r="A67" s="1"/>
      <c r="B67" s="1" t="s">
        <v>67</v>
      </c>
      <c r="C67" s="1"/>
      <c r="D67" s="1"/>
      <c r="E67" s="46"/>
      <c r="F67" s="46">
        <f>F61-F64</f>
        <v>-4628</v>
      </c>
      <c r="G67" s="46">
        <f>G61-G64-773</f>
        <v>18</v>
      </c>
      <c r="H67" s="46">
        <f>H61-H64</f>
        <v>-4937</v>
      </c>
      <c r="I67" s="46">
        <f t="shared" ref="I67:K67" si="11">I61-I64</f>
        <v>-6519.3974999999982</v>
      </c>
      <c r="J67" s="46">
        <f t="shared" si="11"/>
        <v>3327.5004840000015</v>
      </c>
      <c r="K67" s="46">
        <f t="shared" si="11"/>
        <v>10490.44944255</v>
      </c>
      <c r="L67" s="46">
        <f t="shared" ref="L67:N67" si="12">L61-L64</f>
        <v>15023.664685260001</v>
      </c>
      <c r="M67" s="46">
        <f t="shared" si="12"/>
        <v>20619.820967996242</v>
      </c>
      <c r="N67" s="46">
        <f t="shared" si="12"/>
        <v>27097.386753937502</v>
      </c>
      <c r="Q67" s="1"/>
      <c r="AA67" s="1"/>
      <c r="AB67" s="1"/>
      <c r="AC67" s="1"/>
      <c r="AD67" s="1"/>
      <c r="AE67" s="1"/>
    </row>
    <row r="68" spans="1:31" x14ac:dyDescent="0.3">
      <c r="A68" s="1"/>
      <c r="B68" s="22" t="s">
        <v>68</v>
      </c>
      <c r="C68" s="22"/>
      <c r="D68" s="22"/>
      <c r="E68" s="36"/>
      <c r="F68" s="36">
        <f>F67/F$28</f>
        <v>-0.4455569461827284</v>
      </c>
      <c r="G68" s="36">
        <f>G67/G$28</f>
        <v>1.2843382090617196E-3</v>
      </c>
      <c r="H68" s="36">
        <f>H67/H$28</f>
        <v>-0.2643782799614437</v>
      </c>
      <c r="I68" s="36">
        <f>I67/I$28</f>
        <v>-0.22499999999999995</v>
      </c>
      <c r="J68" s="36">
        <f>J67/J$28</f>
        <v>7.9200000000000048E-2</v>
      </c>
      <c r="K68" s="36">
        <f>K67/K$28</f>
        <v>0.17835000000000001</v>
      </c>
      <c r="L68" s="36">
        <f t="shared" ref="L68:N68" si="13">L67/L$28</f>
        <v>0.18920000000000001</v>
      </c>
      <c r="M68" s="36">
        <f t="shared" si="13"/>
        <v>0.19974999999999993</v>
      </c>
      <c r="N68" s="36">
        <f t="shared" si="13"/>
        <v>0.21000000000000002</v>
      </c>
      <c r="Q68" s="1"/>
      <c r="AA68" s="1"/>
      <c r="AB68" s="1"/>
      <c r="AC68" s="1"/>
      <c r="AD68" s="1"/>
      <c r="AE68" s="1"/>
    </row>
    <row r="69" spans="1:31" x14ac:dyDescent="0.3">
      <c r="A69" s="1"/>
      <c r="B69" s="22"/>
      <c r="C69" s="22"/>
      <c r="D69" s="22"/>
      <c r="E69" s="36"/>
      <c r="F69" s="36"/>
      <c r="G69" s="36"/>
      <c r="H69" s="36"/>
      <c r="I69" s="36"/>
      <c r="J69" s="36"/>
      <c r="K69" s="36"/>
      <c r="L69" s="36"/>
      <c r="M69" s="36"/>
      <c r="N69" s="36"/>
      <c r="Q69" s="1"/>
      <c r="AA69" s="1"/>
      <c r="AB69" s="1"/>
      <c r="AC69" s="1"/>
      <c r="AD69" s="1"/>
      <c r="AE69" s="1"/>
    </row>
    <row r="70" spans="1:31" x14ac:dyDescent="0.3">
      <c r="A70" s="1"/>
      <c r="B70" s="1" t="s">
        <v>100</v>
      </c>
      <c r="C70" s="22"/>
      <c r="D70" s="22"/>
      <c r="E70" s="26"/>
      <c r="F70" s="26">
        <v>2759</v>
      </c>
      <c r="G70" s="26">
        <v>2848</v>
      </c>
      <c r="H70" s="26">
        <v>2926</v>
      </c>
      <c r="I70" s="26">
        <v>5798</v>
      </c>
      <c r="J70" s="3">
        <f>I70*1.04</f>
        <v>6029.92</v>
      </c>
      <c r="K70" s="3">
        <f>J70*1.02</f>
        <v>6150.5183999999999</v>
      </c>
      <c r="L70" s="3">
        <f t="shared" ref="L70:M70" si="14">K70*1.02</f>
        <v>6273.5287680000001</v>
      </c>
      <c r="M70" s="3">
        <f t="shared" si="14"/>
        <v>6398.9993433600002</v>
      </c>
      <c r="N70" s="3">
        <f>M70*1.02</f>
        <v>6526.9793302272001</v>
      </c>
      <c r="Q70" s="1"/>
      <c r="AA70" s="1"/>
      <c r="AB70" s="1"/>
      <c r="AC70" s="1"/>
      <c r="AD70" s="1"/>
      <c r="AE70" s="1"/>
    </row>
    <row r="71" spans="1:31" x14ac:dyDescent="0.3">
      <c r="A71" s="1"/>
      <c r="B71" s="22" t="s">
        <v>33</v>
      </c>
      <c r="C71" s="22"/>
      <c r="D71" s="22"/>
      <c r="E71" s="36"/>
      <c r="F71" s="36"/>
      <c r="G71" s="36">
        <f>(G70-F70)/F70</f>
        <v>3.2258064516129031E-2</v>
      </c>
      <c r="H71" s="36">
        <f>(H70-G70)/G70</f>
        <v>2.7387640449438203E-2</v>
      </c>
      <c r="I71" s="36">
        <f>(I70-H70)/H70</f>
        <v>0.98154477101845528</v>
      </c>
      <c r="J71" s="36">
        <f>(J70-I70)/I70</f>
        <v>4.0000000000000015E-2</v>
      </c>
      <c r="K71" s="36">
        <f>(K70-J70)/J70</f>
        <v>1.9999999999999976E-2</v>
      </c>
      <c r="L71" s="36">
        <f t="shared" ref="L71:M71" si="15">(L70-K70)/K70</f>
        <v>2.0000000000000032E-2</v>
      </c>
      <c r="M71" s="36">
        <f t="shared" si="15"/>
        <v>2.0000000000000018E-2</v>
      </c>
      <c r="N71" s="36">
        <f>(N70-M70)/M70</f>
        <v>1.9999999999999976E-2</v>
      </c>
      <c r="Q71" s="1"/>
      <c r="AA71" s="1"/>
      <c r="AB71" s="1"/>
      <c r="AC71" s="1"/>
      <c r="AD71" s="1"/>
      <c r="AE71" s="1"/>
    </row>
    <row r="72" spans="1:31" x14ac:dyDescent="0.3">
      <c r="A72" s="1"/>
      <c r="B72" s="22"/>
      <c r="C72" s="22"/>
      <c r="D72" s="22"/>
      <c r="E72" s="36"/>
      <c r="F72" s="36"/>
      <c r="G72" s="36"/>
      <c r="H72" s="36"/>
      <c r="I72" s="36"/>
      <c r="J72" s="36"/>
      <c r="K72" s="36"/>
      <c r="L72" s="36"/>
      <c r="M72" s="36"/>
      <c r="N72" s="36"/>
      <c r="Q72" s="1"/>
      <c r="AA72" s="1"/>
      <c r="AB72" s="1"/>
      <c r="AC72" s="1"/>
      <c r="AD72" s="1"/>
      <c r="AE72" s="1"/>
    </row>
    <row r="73" spans="1:31" x14ac:dyDescent="0.3">
      <c r="A73" s="1"/>
      <c r="B73" s="1" t="s">
        <v>69</v>
      </c>
      <c r="C73" s="22"/>
      <c r="D73" s="22"/>
      <c r="E73" s="49"/>
      <c r="F73" s="49">
        <f>F67/F70</f>
        <v>-1.6774193548387097</v>
      </c>
      <c r="G73" s="49">
        <f>G67/G70</f>
        <v>6.3202247191011234E-3</v>
      </c>
      <c r="H73" s="49">
        <f>H67/H70</f>
        <v>-1.6872863978127135</v>
      </c>
      <c r="I73" s="49">
        <f>I67/I70</f>
        <v>-1.1244217833735768</v>
      </c>
      <c r="J73" s="49">
        <f>J67/J70</f>
        <v>0.55183161368641731</v>
      </c>
      <c r="K73" s="49">
        <f>K67/K70</f>
        <v>1.705620365683322</v>
      </c>
      <c r="L73" s="49">
        <f>L67/L70</f>
        <v>2.3947709878836729</v>
      </c>
      <c r="M73" s="49">
        <f>M67/M70</f>
        <v>3.2223508491827948</v>
      </c>
      <c r="N73" s="49">
        <f>N67/N70</f>
        <v>4.1515968387468849</v>
      </c>
      <c r="Q73" s="1"/>
      <c r="AA73" s="1"/>
      <c r="AB73" s="1"/>
      <c r="AC73" s="1"/>
      <c r="AD73" s="1"/>
      <c r="AE73" s="1"/>
    </row>
    <row r="74" spans="1:31" x14ac:dyDescent="0.3">
      <c r="A74" s="1"/>
      <c r="B74" s="22" t="s">
        <v>33</v>
      </c>
      <c r="C74" s="22"/>
      <c r="D74" s="22"/>
      <c r="E74" s="36"/>
      <c r="F74" s="36"/>
      <c r="G74" s="36">
        <f>(G73-F73)/F73</f>
        <v>-1.0037678262748488</v>
      </c>
      <c r="H74" s="36">
        <f>(H73-G73)/G73</f>
        <v>-267.96620338725603</v>
      </c>
      <c r="I74" s="36">
        <f>(I73-H73)/H73</f>
        <v>-0.33359162686832372</v>
      </c>
      <c r="J74" s="36">
        <f>(J73-I73)/I73</f>
        <v>-1.4907692307692313</v>
      </c>
      <c r="K74" s="36">
        <f>(K73-J73)/J73</f>
        <v>2.0908348187759942</v>
      </c>
      <c r="L74" s="36">
        <f t="shared" ref="L74:M74" si="16">(L73-K73)/K73</f>
        <v>0.40404690050957315</v>
      </c>
      <c r="M74" s="36">
        <f t="shared" si="16"/>
        <v>0.34557787174066179</v>
      </c>
      <c r="N74" s="36">
        <f>(N73-M73)/M73</f>
        <v>0.28837517485091724</v>
      </c>
      <c r="Q74" s="1"/>
      <c r="R74" s="50"/>
      <c r="T74" s="50"/>
      <c r="V74" s="50"/>
      <c r="AA74" s="5"/>
      <c r="AB74" s="5"/>
      <c r="AC74" s="5"/>
      <c r="AD74" s="5"/>
      <c r="AE74" s="5"/>
    </row>
    <row r="75" spans="1:3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Q75" s="1"/>
      <c r="V75" s="50"/>
      <c r="AA75" s="1"/>
      <c r="AB75" s="1"/>
      <c r="AC75" s="1"/>
      <c r="AD75" s="1"/>
      <c r="AE75" s="1"/>
    </row>
    <row r="76" spans="1:31" x14ac:dyDescent="0.3">
      <c r="A76" s="11" t="s">
        <v>26</v>
      </c>
      <c r="B76" s="164" t="s">
        <v>70</v>
      </c>
      <c r="C76" s="164"/>
      <c r="D76" s="164"/>
      <c r="E76" s="164"/>
      <c r="F76" s="164">
        <v>2023</v>
      </c>
      <c r="G76" s="164">
        <v>2024</v>
      </c>
      <c r="H76" s="164">
        <v>2025</v>
      </c>
      <c r="I76" s="165" t="s">
        <v>20</v>
      </c>
      <c r="J76" s="165" t="s">
        <v>21</v>
      </c>
      <c r="K76" s="165" t="s">
        <v>22</v>
      </c>
      <c r="L76" s="165" t="s">
        <v>23</v>
      </c>
      <c r="M76" s="165" t="s">
        <v>24</v>
      </c>
      <c r="N76" s="165" t="s">
        <v>25</v>
      </c>
      <c r="Q76" s="1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s="5" customFormat="1" ht="1.95" customHeight="1" x14ac:dyDescent="0.3">
      <c r="B77" s="6"/>
      <c r="C77" s="6"/>
      <c r="D77" s="6"/>
      <c r="E77" s="6"/>
      <c r="F77" s="6"/>
      <c r="G77" s="6"/>
      <c r="H77" s="6"/>
      <c r="I77" s="6"/>
      <c r="J77" s="6"/>
      <c r="K77" s="6"/>
      <c r="L77" s="7"/>
      <c r="M77" s="7"/>
      <c r="N77" s="7"/>
      <c r="O77" s="7"/>
      <c r="P77" s="7"/>
    </row>
    <row r="78" spans="1:31" x14ac:dyDescent="0.3">
      <c r="A78" s="1"/>
      <c r="B78" s="1" t="s">
        <v>71</v>
      </c>
      <c r="C78" s="1"/>
      <c r="D78" s="1"/>
      <c r="E78" s="40"/>
      <c r="F78" s="40">
        <v>2635</v>
      </c>
      <c r="G78" s="40">
        <v>3824</v>
      </c>
      <c r="H78" s="40">
        <v>6701</v>
      </c>
      <c r="I78" s="41">
        <f>I82*0.2</f>
        <v>10107</v>
      </c>
      <c r="J78" s="41">
        <f>J82*0.25</f>
        <v>13897.125000000002</v>
      </c>
      <c r="K78" s="41">
        <f>K82*0.3</f>
        <v>19178.032500000001</v>
      </c>
      <c r="L78" s="41">
        <f>L82*0.35</f>
        <v>17899.496999999999</v>
      </c>
      <c r="M78" s="41">
        <f>M82*0.4</f>
        <v>17388.0828</v>
      </c>
      <c r="N78" s="41">
        <f>N82*0.5</f>
        <v>18474.837975000002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3">
      <c r="A79" s="1"/>
      <c r="B79" s="1" t="s">
        <v>72</v>
      </c>
      <c r="C79" s="1"/>
      <c r="D79" s="1"/>
      <c r="E79" s="36"/>
      <c r="F79" s="36">
        <f>F78/F82</f>
        <v>0.59682899207248019</v>
      </c>
      <c r="G79" s="36">
        <f>G78/G82</f>
        <v>0.34256024366209803</v>
      </c>
      <c r="H79" s="36">
        <f>H78/H82</f>
        <v>0.32314220957708445</v>
      </c>
      <c r="I79" s="36">
        <f>I78/I82</f>
        <v>0.2</v>
      </c>
      <c r="J79" s="36">
        <f>J78/J82</f>
        <v>0.25</v>
      </c>
      <c r="K79" s="36">
        <f>K78/K82</f>
        <v>0.3</v>
      </c>
      <c r="L79" s="36">
        <f>L78/L82</f>
        <v>0.35</v>
      </c>
      <c r="M79" s="36">
        <f>M78/M82</f>
        <v>0.39999999999999997</v>
      </c>
      <c r="N79" s="36">
        <f>N78/N82</f>
        <v>0.5</v>
      </c>
      <c r="Q79" s="1"/>
      <c r="AA79" s="1"/>
      <c r="AB79" s="1"/>
      <c r="AC79" s="1"/>
      <c r="AD79" s="1"/>
      <c r="AE79" s="1"/>
    </row>
    <row r="80" spans="1:31" x14ac:dyDescent="0.3">
      <c r="B80" s="1" t="s">
        <v>41</v>
      </c>
      <c r="C80" s="1"/>
      <c r="D80" s="1"/>
      <c r="E80" s="14"/>
      <c r="F80" s="36">
        <f>F78/F$28</f>
        <v>0.25368248772504093</v>
      </c>
      <c r="G80" s="36">
        <f t="shared" ref="G80:N80" si="17">G78/G$28</f>
        <v>0.27285051730288978</v>
      </c>
      <c r="H80" s="36">
        <f t="shared" si="17"/>
        <v>0.35884116954053763</v>
      </c>
      <c r="I80" s="36">
        <f t="shared" si="17"/>
        <v>0.34881674265144902</v>
      </c>
      <c r="J80" s="36">
        <f t="shared" si="17"/>
        <v>0.33077449734189135</v>
      </c>
      <c r="K80" s="36">
        <f t="shared" si="17"/>
        <v>0.32604914737986435</v>
      </c>
      <c r="L80" s="36">
        <f t="shared" si="17"/>
        <v>0.22541669448484444</v>
      </c>
      <c r="M80" s="36">
        <f t="shared" si="17"/>
        <v>0.16844324423043322</v>
      </c>
      <c r="N80" s="36">
        <f t="shared" si="17"/>
        <v>0.14317675759586823</v>
      </c>
      <c r="Q80" s="1"/>
      <c r="R80" s="13"/>
      <c r="AA80" s="1"/>
      <c r="AB80" s="1"/>
      <c r="AC80" s="1"/>
      <c r="AD80" s="1"/>
      <c r="AE80" s="1"/>
    </row>
    <row r="81" spans="1:31" x14ac:dyDescent="0.3">
      <c r="B81" s="1"/>
      <c r="C81" s="1"/>
      <c r="D81" s="1"/>
      <c r="E81" s="14"/>
      <c r="F81" s="14"/>
      <c r="G81" s="14"/>
      <c r="H81" s="14"/>
      <c r="I81" s="14"/>
      <c r="J81" s="14"/>
      <c r="K81" s="14"/>
      <c r="L81" s="14"/>
      <c r="M81" s="14"/>
      <c r="N81" s="14"/>
      <c r="Q81" s="1"/>
      <c r="R81" s="13"/>
      <c r="AA81" s="1"/>
      <c r="AB81" s="1"/>
      <c r="AC81" s="1"/>
      <c r="AD81" s="1"/>
      <c r="AE81" s="1"/>
    </row>
    <row r="82" spans="1:31" x14ac:dyDescent="0.3">
      <c r="A82" s="1"/>
      <c r="B82" s="1" t="s">
        <v>73</v>
      </c>
      <c r="C82" s="1"/>
      <c r="D82" s="1"/>
      <c r="E82" s="40"/>
      <c r="F82" s="40">
        <v>4415</v>
      </c>
      <c r="G82" s="40">
        <v>11163</v>
      </c>
      <c r="H82" s="40">
        <v>20737</v>
      </c>
      <c r="I82" s="45">
        <f>10107*5</f>
        <v>50535</v>
      </c>
      <c r="J82" s="45">
        <f>I82*1.1</f>
        <v>55588.500000000007</v>
      </c>
      <c r="K82" s="45">
        <f>J82*1.15</f>
        <v>63926.775000000001</v>
      </c>
      <c r="L82" s="45">
        <f>K82*0.8</f>
        <v>51141.420000000006</v>
      </c>
      <c r="M82" s="45">
        <f>L82*0.85</f>
        <v>43470.207000000002</v>
      </c>
      <c r="N82" s="45">
        <f>M82*0.85</f>
        <v>36949.675950000004</v>
      </c>
      <c r="Q82" s="1"/>
      <c r="AA82" s="1"/>
      <c r="AB82" s="1"/>
      <c r="AC82" s="1"/>
      <c r="AD82" s="1"/>
      <c r="AE82" s="1"/>
    </row>
    <row r="83" spans="1:31" x14ac:dyDescent="0.3">
      <c r="A83" s="1"/>
      <c r="B83" s="1" t="s">
        <v>41</v>
      </c>
      <c r="C83" s="1"/>
      <c r="D83" s="1"/>
      <c r="E83" s="36"/>
      <c r="F83" s="36">
        <f>F82/F28</f>
        <v>0.42505054394916725</v>
      </c>
      <c r="G83" s="36">
        <f>G82/G28</f>
        <v>0.79650374598644313</v>
      </c>
      <c r="H83" s="36">
        <f>H82/H28</f>
        <v>1.1104744564635323</v>
      </c>
      <c r="I83" s="36">
        <f>I82/I28</f>
        <v>1.7440837132572451</v>
      </c>
      <c r="J83" s="36">
        <f>J82/J28</f>
        <v>1.3230979893675654</v>
      </c>
      <c r="K83" s="36">
        <f>K82/K28</f>
        <v>1.0868304912662143</v>
      </c>
      <c r="L83" s="36">
        <f>L82/L28</f>
        <v>0.64404769852812704</v>
      </c>
      <c r="M83" s="36">
        <f>M82/M28</f>
        <v>0.42110811057608305</v>
      </c>
      <c r="N83" s="36">
        <f>N82/N28</f>
        <v>0.28635351519173646</v>
      </c>
      <c r="Q83" s="1"/>
      <c r="AA83" s="1"/>
      <c r="AB83" s="1"/>
      <c r="AC83" s="1"/>
      <c r="AD83" s="1"/>
      <c r="AE83" s="1"/>
    </row>
    <row r="84" spans="1:31" x14ac:dyDescent="0.3">
      <c r="A84" s="1"/>
      <c r="B84" s="1" t="s">
        <v>74</v>
      </c>
      <c r="C84" s="1"/>
      <c r="D84" s="1"/>
      <c r="E84" s="14"/>
      <c r="F84" s="14">
        <f>F82/F96</f>
        <v>0.97676991150442483</v>
      </c>
      <c r="G84" s="14">
        <f t="shared" ref="G84:N84" si="18">G82/G96</f>
        <v>1.9326523545706371</v>
      </c>
      <c r="H84" s="14">
        <f t="shared" si="18"/>
        <v>3.0563006632277081</v>
      </c>
      <c r="I84" s="14">
        <f t="shared" si="18"/>
        <v>8.6188760634274892</v>
      </c>
      <c r="J84" s="14">
        <f t="shared" si="18"/>
        <v>2.8259940998074811</v>
      </c>
      <c r="K84" s="14">
        <f t="shared" si="18"/>
        <v>1.9777580896608058</v>
      </c>
      <c r="L84" s="14">
        <f t="shared" si="18"/>
        <v>1.4275455720246588</v>
      </c>
      <c r="M84" s="14">
        <f t="shared" si="18"/>
        <v>1.0553626096729762</v>
      </c>
      <c r="N84" s="14">
        <f t="shared" si="18"/>
        <v>0.75322626083411193</v>
      </c>
      <c r="Q84" s="1"/>
      <c r="AA84" s="1"/>
      <c r="AB84" s="1"/>
      <c r="AC84" s="1"/>
      <c r="AD84" s="1"/>
      <c r="AE84" s="1"/>
    </row>
    <row r="85" spans="1:3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Q85" s="1"/>
      <c r="AA85" s="1"/>
      <c r="AB85" s="1"/>
      <c r="AC85" s="1"/>
      <c r="AD85" s="1"/>
      <c r="AE85" s="1"/>
    </row>
    <row r="86" spans="1:31" x14ac:dyDescent="0.3">
      <c r="A86" s="1"/>
      <c r="B86" s="1" t="s">
        <v>75</v>
      </c>
      <c r="C86" s="1"/>
      <c r="D86" s="1"/>
      <c r="E86" s="48"/>
      <c r="F86" s="48">
        <v>2006</v>
      </c>
      <c r="G86" s="48">
        <v>1673</v>
      </c>
      <c r="H86" s="48">
        <v>2089</v>
      </c>
      <c r="I86" s="44">
        <f>I28*0.01</f>
        <v>289.75099999999998</v>
      </c>
      <c r="J86" s="44">
        <f>J28*0.01</f>
        <v>420.13894999999997</v>
      </c>
      <c r="K86" s="44">
        <f>K28*0.01</f>
        <v>588.19452999999999</v>
      </c>
      <c r="L86" s="44">
        <f>L28*0.01</f>
        <v>794.06261549999999</v>
      </c>
      <c r="M86" s="44">
        <f>M28*0.01</f>
        <v>1032.2814001500001</v>
      </c>
      <c r="N86" s="44">
        <f>N28*0.01</f>
        <v>1290.3517501875001</v>
      </c>
      <c r="Q86" s="1"/>
      <c r="AA86" s="1"/>
      <c r="AB86" s="1"/>
      <c r="AC86" s="1"/>
      <c r="AD86" s="1"/>
      <c r="AE86" s="1"/>
    </row>
    <row r="87" spans="1:31" x14ac:dyDescent="0.3">
      <c r="A87" s="1"/>
      <c r="B87" s="1" t="s">
        <v>41</v>
      </c>
      <c r="C87" s="1"/>
      <c r="D87" s="1"/>
      <c r="E87" s="51"/>
      <c r="F87" s="51">
        <f>F86/F28</f>
        <v>0.19312602291325695</v>
      </c>
      <c r="G87" s="51">
        <f>G86/G28</f>
        <v>0.11937210132001427</v>
      </c>
      <c r="H87" s="51">
        <f>H86/H28</f>
        <v>0.11186676662739638</v>
      </c>
      <c r="I87" s="51">
        <f>I86/I28</f>
        <v>0.01</v>
      </c>
      <c r="J87" s="51">
        <f>J86/J28</f>
        <v>0.01</v>
      </c>
      <c r="K87" s="51">
        <f>K86/K28</f>
        <v>0.01</v>
      </c>
      <c r="L87" s="51">
        <f>L86/L28</f>
        <v>0.01</v>
      </c>
      <c r="M87" s="51">
        <f>M86/M28</f>
        <v>0.01</v>
      </c>
      <c r="N87" s="51">
        <f>N86/N28</f>
        <v>0.01</v>
      </c>
      <c r="Q87" s="1"/>
      <c r="AA87" s="1"/>
      <c r="AB87" s="1"/>
      <c r="AC87" s="1"/>
      <c r="AD87" s="1"/>
      <c r="AE87" s="1"/>
    </row>
    <row r="88" spans="1:31" x14ac:dyDescent="0.3">
      <c r="A88" s="1"/>
      <c r="B88" s="1" t="s">
        <v>76</v>
      </c>
      <c r="C88" s="1"/>
      <c r="D88" s="1"/>
      <c r="E88" s="51"/>
      <c r="F88" s="51"/>
      <c r="G88" s="51"/>
      <c r="H88" s="51"/>
      <c r="I88" s="51"/>
      <c r="J88" s="51"/>
      <c r="K88" s="51"/>
      <c r="L88" s="51"/>
      <c r="M88" s="51"/>
      <c r="N88" s="51"/>
      <c r="Q88" s="1"/>
      <c r="AA88" s="1"/>
      <c r="AB88" s="1"/>
      <c r="AC88" s="1"/>
      <c r="AD88" s="1"/>
      <c r="AE88" s="1"/>
    </row>
    <row r="89" spans="1:31" x14ac:dyDescent="0.3">
      <c r="A89" s="1"/>
      <c r="B89" s="1"/>
      <c r="C89" s="1"/>
      <c r="D89" s="1"/>
      <c r="E89" s="51"/>
      <c r="F89" s="51"/>
      <c r="G89" s="51"/>
      <c r="H89" s="51"/>
      <c r="I89" s="51"/>
      <c r="J89" s="51"/>
      <c r="K89" s="51"/>
      <c r="L89" s="51"/>
      <c r="M89" s="51"/>
      <c r="N89" s="51"/>
      <c r="Q89" s="1"/>
      <c r="AA89" s="1"/>
      <c r="AB89" s="1"/>
      <c r="AC89" s="1"/>
      <c r="AD89" s="1"/>
      <c r="AE89" s="1"/>
    </row>
    <row r="90" spans="1:31" x14ac:dyDescent="0.3">
      <c r="A90" s="1"/>
      <c r="B90" s="1" t="s">
        <v>77</v>
      </c>
      <c r="C90" s="1"/>
      <c r="D90" s="1"/>
      <c r="E90" s="40"/>
      <c r="F90" s="40">
        <v>679</v>
      </c>
      <c r="G90" s="40">
        <v>784</v>
      </c>
      <c r="H90" s="40">
        <v>1947</v>
      </c>
      <c r="I90" s="44">
        <f>H90*1.02</f>
        <v>1985.94</v>
      </c>
      <c r="J90" s="44">
        <f>I90*1.02</f>
        <v>2025.6588000000002</v>
      </c>
      <c r="K90" s="44">
        <f t="shared" ref="K90:M90" si="19">J90*1.02</f>
        <v>2066.1719760000001</v>
      </c>
      <c r="L90" s="44">
        <f t="shared" si="19"/>
        <v>2107.4954155200003</v>
      </c>
      <c r="M90" s="44">
        <f t="shared" si="19"/>
        <v>2149.6453238304002</v>
      </c>
      <c r="N90" s="44">
        <f>M90*1.02</f>
        <v>2192.6382303070081</v>
      </c>
      <c r="Q90" s="1"/>
      <c r="AA90" s="1"/>
      <c r="AB90" s="1"/>
      <c r="AC90" s="1"/>
      <c r="AD90" s="1"/>
      <c r="AE90" s="1"/>
    </row>
    <row r="91" spans="1:31" x14ac:dyDescent="0.3">
      <c r="A91" s="1"/>
      <c r="B91" s="1" t="s">
        <v>41</v>
      </c>
      <c r="C91" s="1"/>
      <c r="D91" s="1"/>
      <c r="E91" s="51"/>
      <c r="F91" s="51">
        <f>F90/F28</f>
        <v>6.5370174256281888E-2</v>
      </c>
      <c r="G91" s="51">
        <f>G90/G28</f>
        <v>5.5940064216910453E-2</v>
      </c>
      <c r="H91" s="51">
        <f>H90/H28</f>
        <v>0.10426261111706116</v>
      </c>
      <c r="I91" s="51">
        <f>I90/I28</f>
        <v>6.8539539121521581E-2</v>
      </c>
      <c r="J91" s="51">
        <f>J90/J28</f>
        <v>4.8214020623415191E-2</v>
      </c>
      <c r="K91" s="51">
        <f>K90/K28</f>
        <v>3.5127357882773921E-2</v>
      </c>
      <c r="L91" s="51">
        <f>L90/L28</f>
        <v>2.6540670400318076E-2</v>
      </c>
      <c r="M91" s="51">
        <f>M90/M28</f>
        <v>2.082421831409572E-2</v>
      </c>
      <c r="N91" s="51">
        <f>N90/N28</f>
        <v>1.6992562144302108E-2</v>
      </c>
      <c r="Q91" s="1"/>
      <c r="AA91" s="1"/>
      <c r="AB91" s="1"/>
      <c r="AC91" s="1"/>
      <c r="AD91" s="1"/>
      <c r="AE91" s="1"/>
    </row>
    <row r="92" spans="1:31" x14ac:dyDescent="0.3">
      <c r="A92" s="1"/>
      <c r="B92" s="1"/>
      <c r="C92" s="1"/>
      <c r="D92" s="1"/>
      <c r="E92" s="51"/>
      <c r="F92" s="51"/>
      <c r="G92" s="51"/>
      <c r="H92" s="51"/>
      <c r="I92" s="51"/>
      <c r="J92" s="51"/>
      <c r="K92" s="51"/>
      <c r="L92" s="51"/>
      <c r="M92" s="51"/>
      <c r="N92" s="51"/>
      <c r="Q92" s="1"/>
      <c r="AA92" s="1"/>
      <c r="AB92" s="1"/>
      <c r="AC92" s="1"/>
      <c r="AD92" s="1"/>
      <c r="AE92" s="1"/>
    </row>
    <row r="93" spans="1:31" x14ac:dyDescent="0.3">
      <c r="A93" s="1"/>
      <c r="B93" s="1" t="s">
        <v>102</v>
      </c>
      <c r="C93" s="1"/>
      <c r="D93" s="1"/>
      <c r="E93" s="40"/>
      <c r="F93" s="48">
        <v>3828</v>
      </c>
      <c r="G93" s="48">
        <f>-1296+773</f>
        <v>-523</v>
      </c>
      <c r="H93" s="48">
        <v>985</v>
      </c>
      <c r="I93" s="44"/>
      <c r="J93" s="44"/>
      <c r="K93" s="44"/>
      <c r="L93" s="44"/>
      <c r="M93" s="44"/>
      <c r="N93" s="44"/>
      <c r="Q93" s="1"/>
      <c r="AA93" s="1"/>
      <c r="AB93" s="1"/>
      <c r="AC93" s="1"/>
      <c r="AD93" s="1"/>
      <c r="AE93" s="1"/>
    </row>
    <row r="94" spans="1:31" x14ac:dyDescent="0.3">
      <c r="A94" s="1"/>
      <c r="B94" s="1" t="s">
        <v>41</v>
      </c>
      <c r="C94" s="1"/>
      <c r="D94" s="1"/>
      <c r="E94" s="51"/>
      <c r="F94" s="51">
        <f>F93/F31</f>
        <v>0.62651391162029457</v>
      </c>
      <c r="G94" s="51">
        <f>G93/G31</f>
        <v>-6.5407703851925958E-2</v>
      </c>
      <c r="H94" s="51">
        <f>H93/H31</f>
        <v>0.10422177547349487</v>
      </c>
      <c r="I94" s="51">
        <f>I93/I31</f>
        <v>0</v>
      </c>
      <c r="J94" s="51">
        <f>J93/J31</f>
        <v>0</v>
      </c>
      <c r="K94" s="51">
        <f>K93/K31</f>
        <v>0</v>
      </c>
      <c r="L94" s="51">
        <f>L93/L31</f>
        <v>0</v>
      </c>
      <c r="M94" s="51">
        <f>M93/M31</f>
        <v>0</v>
      </c>
      <c r="N94" s="51">
        <f>N93/N31</f>
        <v>0</v>
      </c>
      <c r="Q94" s="1"/>
      <c r="AA94" s="1"/>
      <c r="AB94" s="1"/>
      <c r="AC94" s="1"/>
      <c r="AD94" s="1"/>
      <c r="AE94" s="1"/>
    </row>
    <row r="95" spans="1:3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52"/>
      <c r="M95" s="52"/>
      <c r="N95" s="52"/>
      <c r="Q95" s="1"/>
      <c r="AA95" s="1"/>
      <c r="AB95" s="1"/>
      <c r="AC95" s="1"/>
      <c r="AD95" s="1"/>
      <c r="AE95" s="1"/>
    </row>
    <row r="96" spans="1:31" x14ac:dyDescent="0.3">
      <c r="A96" s="1"/>
      <c r="B96" s="1" t="s">
        <v>78</v>
      </c>
      <c r="C96" s="1"/>
      <c r="D96" s="1"/>
      <c r="E96" s="20"/>
      <c r="F96" s="20">
        <f t="shared" ref="F96:H96" si="20">F67+F78+F86+F90+F93</f>
        <v>4520</v>
      </c>
      <c r="G96" s="20">
        <f t="shared" si="20"/>
        <v>5776</v>
      </c>
      <c r="H96" s="20">
        <f>H67+H78+H86+H90+H93</f>
        <v>6785</v>
      </c>
      <c r="I96" s="20">
        <f t="shared" ref="G96:N96" si="21">I67+I78+I86+I90</f>
        <v>5863.2935000000016</v>
      </c>
      <c r="J96" s="20">
        <f t="shared" si="21"/>
        <v>19670.423234000005</v>
      </c>
      <c r="K96" s="20">
        <f t="shared" si="21"/>
        <v>32322.848448550005</v>
      </c>
      <c r="L96" s="20">
        <f t="shared" si="21"/>
        <v>35824.71971628</v>
      </c>
      <c r="M96" s="20">
        <f t="shared" si="21"/>
        <v>41189.830491976645</v>
      </c>
      <c r="N96" s="20">
        <f t="shared" si="21"/>
        <v>49055.214709432017</v>
      </c>
      <c r="Q96" s="1"/>
      <c r="AA96" s="1"/>
      <c r="AB96" s="1"/>
      <c r="AC96" s="1"/>
      <c r="AD96" s="1"/>
      <c r="AE96" s="1"/>
    </row>
    <row r="97" spans="1:31" x14ac:dyDescent="0.3">
      <c r="A97" s="1"/>
      <c r="B97" s="22" t="s">
        <v>33</v>
      </c>
      <c r="C97" s="1"/>
      <c r="D97" s="1"/>
      <c r="E97" s="1"/>
      <c r="F97" s="36"/>
      <c r="G97" s="36">
        <f>(G96-F96)/F96</f>
        <v>0.27787610619469028</v>
      </c>
      <c r="H97" s="36">
        <f>(H96-G96)/G96</f>
        <v>0.17468836565096954</v>
      </c>
      <c r="I97" s="36">
        <f>(I96-H96)/H96</f>
        <v>-0.13584473102431813</v>
      </c>
      <c r="J97" s="36">
        <f>(J96-I96)/I96</f>
        <v>2.3548419900862885</v>
      </c>
      <c r="K97" s="36">
        <f>(K96-J96)/J96</f>
        <v>0.6432207921525801</v>
      </c>
      <c r="L97" s="36">
        <f t="shared" ref="L97" si="22">(L96-K96)/K96</f>
        <v>0.10834042900965582</v>
      </c>
      <c r="M97" s="36">
        <f t="shared" ref="M97" si="23">(M96-L96)/L96</f>
        <v>0.14976002096280328</v>
      </c>
      <c r="N97" s="36">
        <f>(N96-M96)/M96</f>
        <v>0.19095451774164179</v>
      </c>
      <c r="Q97" s="1"/>
      <c r="AA97" s="1"/>
      <c r="AB97" s="1"/>
      <c r="AC97" s="1"/>
      <c r="AD97" s="1"/>
      <c r="AE97" s="1"/>
    </row>
    <row r="98" spans="1:31" x14ac:dyDescent="0.3">
      <c r="A98" s="1"/>
      <c r="B98" s="2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Q98" s="1"/>
      <c r="AA98" s="1"/>
      <c r="AB98" s="1"/>
      <c r="AC98" s="1"/>
      <c r="AD98" s="1"/>
      <c r="AE98" s="1"/>
    </row>
    <row r="99" spans="1:31" x14ac:dyDescent="0.3">
      <c r="A99" s="11" t="s">
        <v>26</v>
      </c>
      <c r="B99" s="164" t="s">
        <v>79</v>
      </c>
      <c r="C99" s="164"/>
      <c r="D99" s="164"/>
      <c r="E99" s="164"/>
      <c r="F99" s="164">
        <v>2023</v>
      </c>
      <c r="G99" s="164">
        <v>2024</v>
      </c>
      <c r="H99" s="164">
        <v>2025</v>
      </c>
      <c r="I99" s="165" t="s">
        <v>20</v>
      </c>
      <c r="J99" s="165" t="s">
        <v>21</v>
      </c>
      <c r="K99" s="165" t="s">
        <v>22</v>
      </c>
      <c r="L99" s="165" t="s">
        <v>23</v>
      </c>
      <c r="M99" s="165" t="s">
        <v>24</v>
      </c>
      <c r="N99" s="165" t="s">
        <v>25</v>
      </c>
      <c r="Q99" s="1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s="5" customFormat="1" ht="1.95" customHeight="1" x14ac:dyDescent="0.3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7"/>
      <c r="M100" s="7"/>
      <c r="N100" s="7"/>
      <c r="O100" s="7"/>
      <c r="P100" s="7"/>
    </row>
    <row r="101" spans="1:31" x14ac:dyDescent="0.3">
      <c r="A101" s="1"/>
      <c r="B101" s="1" t="s">
        <v>30</v>
      </c>
      <c r="C101" s="1"/>
      <c r="D101" s="1"/>
      <c r="E101" s="53"/>
      <c r="F101" s="53">
        <f>F28</f>
        <v>10387</v>
      </c>
      <c r="G101" s="53">
        <f>G28</f>
        <v>14015</v>
      </c>
      <c r="H101" s="53">
        <f>H28</f>
        <v>18674</v>
      </c>
      <c r="I101" s="53">
        <f>I28</f>
        <v>28975.1</v>
      </c>
      <c r="J101" s="53">
        <f>J28</f>
        <v>42013.894999999997</v>
      </c>
      <c r="K101" s="53">
        <f>K28</f>
        <v>58819.452999999994</v>
      </c>
      <c r="L101" s="53">
        <f>L28</f>
        <v>79406.261549999996</v>
      </c>
      <c r="M101" s="53">
        <f>M28</f>
        <v>103228.140015</v>
      </c>
      <c r="N101" s="53">
        <f>N28</f>
        <v>129035.17501875</v>
      </c>
      <c r="Q101" s="1"/>
      <c r="AA101" s="14"/>
      <c r="AB101" s="14"/>
      <c r="AC101" s="1"/>
      <c r="AD101" s="1"/>
      <c r="AE101" s="1"/>
    </row>
    <row r="102" spans="1:31" x14ac:dyDescent="0.3">
      <c r="A102" s="1"/>
      <c r="B102" s="22" t="s">
        <v>33</v>
      </c>
      <c r="C102" s="1"/>
      <c r="D102" s="1"/>
      <c r="E102" s="51"/>
      <c r="F102" s="51"/>
      <c r="G102" s="51">
        <f>(G101-F101)/F101</f>
        <v>0.34928275729276981</v>
      </c>
      <c r="H102" s="51">
        <f>(H101-G101)/G101</f>
        <v>0.3324295397788084</v>
      </c>
      <c r="I102" s="51">
        <f>(I101-H101)/H101</f>
        <v>0.55162793188390269</v>
      </c>
      <c r="J102" s="51">
        <f>(J101-I101)/I101</f>
        <v>0.44999999999999996</v>
      </c>
      <c r="K102" s="51">
        <f>(K101-J101)/J101</f>
        <v>0.39999999999999997</v>
      </c>
      <c r="L102" s="51">
        <f>(L101-K101)/K101</f>
        <v>0.35000000000000009</v>
      </c>
      <c r="M102" s="51">
        <f>(M101-L101)/L101</f>
        <v>0.30000000000000004</v>
      </c>
      <c r="N102" s="51">
        <f>(N101-M101)/M101</f>
        <v>0.25000000000000006</v>
      </c>
      <c r="Q102" s="1"/>
      <c r="AA102" s="1"/>
      <c r="AB102" s="1"/>
      <c r="AC102" s="1"/>
      <c r="AD102" s="1"/>
      <c r="AE102" s="1"/>
    </row>
    <row r="103" spans="1:31" x14ac:dyDescent="0.3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3"/>
      <c r="M103" s="1"/>
      <c r="N103" s="1"/>
      <c r="Q103" s="1"/>
      <c r="AA103" s="1"/>
      <c r="AB103" s="1"/>
      <c r="AC103" s="1"/>
      <c r="AD103" s="1"/>
      <c r="AE103" s="1"/>
    </row>
    <row r="104" spans="1:31" x14ac:dyDescent="0.3">
      <c r="A104" s="1"/>
      <c r="B104" s="1" t="s">
        <v>80</v>
      </c>
      <c r="C104" s="1"/>
      <c r="D104" s="1"/>
      <c r="E104" s="53"/>
      <c r="F104" s="159">
        <f>F96</f>
        <v>4520</v>
      </c>
      <c r="G104" s="159">
        <f>G96</f>
        <v>5776</v>
      </c>
      <c r="H104" s="159">
        <f>H96</f>
        <v>6785</v>
      </c>
      <c r="I104" s="159">
        <f>I96</f>
        <v>5863.2935000000016</v>
      </c>
      <c r="J104" s="159">
        <f>J96</f>
        <v>19670.423234000005</v>
      </c>
      <c r="K104" s="159">
        <f>K96</f>
        <v>32322.848448550005</v>
      </c>
      <c r="L104" s="159">
        <f>L96</f>
        <v>35824.71971628</v>
      </c>
      <c r="M104" s="159">
        <f>M96</f>
        <v>41189.830491976645</v>
      </c>
      <c r="N104" s="159">
        <f>N96</f>
        <v>49055.214709432017</v>
      </c>
      <c r="Q104" s="1"/>
      <c r="AA104" s="1"/>
      <c r="AB104" s="1"/>
      <c r="AC104" s="1"/>
      <c r="AD104" s="1"/>
      <c r="AE104" s="1"/>
    </row>
    <row r="105" spans="1:31" x14ac:dyDescent="0.3">
      <c r="A105" s="1"/>
      <c r="B105" s="1" t="s">
        <v>41</v>
      </c>
      <c r="C105" s="1"/>
      <c r="D105" s="1"/>
      <c r="E105" s="14"/>
      <c r="F105" s="51">
        <f>F104/F101</f>
        <v>0.4351593337826129</v>
      </c>
      <c r="G105" s="51">
        <f>G104/G101</f>
        <v>0.41212986086336068</v>
      </c>
      <c r="H105" s="51">
        <f>H104/H101</f>
        <v>0.36333940237763734</v>
      </c>
      <c r="I105" s="51">
        <f>I104/I101</f>
        <v>0.20235628177297066</v>
      </c>
      <c r="J105" s="51">
        <f>J104/J101</f>
        <v>0.46818851796530664</v>
      </c>
      <c r="K105" s="51">
        <f>K104/K101</f>
        <v>0.54952650526263835</v>
      </c>
      <c r="L105" s="51">
        <f>L104/L101</f>
        <v>0.45115736488516256</v>
      </c>
      <c r="M105" s="51">
        <f>M104/M101</f>
        <v>0.39901746254452891</v>
      </c>
      <c r="N105" s="51">
        <f>N104/N101</f>
        <v>0.38016931974017037</v>
      </c>
      <c r="Q105" s="1"/>
      <c r="AA105" s="1"/>
      <c r="AB105" s="1"/>
      <c r="AC105" s="1"/>
      <c r="AD105" s="1"/>
      <c r="AE105" s="1"/>
    </row>
    <row r="106" spans="1:31" x14ac:dyDescent="0.3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3"/>
      <c r="M106" s="1"/>
      <c r="N106" s="1"/>
      <c r="Q106" s="1"/>
      <c r="AA106" s="1"/>
      <c r="AB106" s="1"/>
      <c r="AC106" s="1"/>
      <c r="AD106" s="1"/>
      <c r="AE106" s="1"/>
    </row>
    <row r="107" spans="1:31" x14ac:dyDescent="0.3">
      <c r="A107" s="1"/>
      <c r="B107" s="1" t="s">
        <v>73</v>
      </c>
      <c r="C107" s="1"/>
      <c r="D107" s="1"/>
      <c r="E107" s="53"/>
      <c r="F107" s="53">
        <f>F82</f>
        <v>4415</v>
      </c>
      <c r="G107" s="53">
        <f>G82</f>
        <v>11163</v>
      </c>
      <c r="H107" s="53">
        <f>H82</f>
        <v>20737</v>
      </c>
      <c r="I107" s="53">
        <f>I82</f>
        <v>50535</v>
      </c>
      <c r="J107" s="53">
        <f>J82</f>
        <v>55588.500000000007</v>
      </c>
      <c r="K107" s="53">
        <f>K82</f>
        <v>63926.775000000001</v>
      </c>
      <c r="L107" s="53">
        <f>L82</f>
        <v>51141.420000000006</v>
      </c>
      <c r="M107" s="53">
        <f>M82</f>
        <v>43470.207000000002</v>
      </c>
      <c r="N107" s="53">
        <f>N82</f>
        <v>36949.675950000004</v>
      </c>
      <c r="Q107" s="1"/>
      <c r="AA107" s="1"/>
      <c r="AB107" s="1"/>
      <c r="AC107" s="1"/>
      <c r="AD107" s="1"/>
      <c r="AE107" s="1"/>
    </row>
    <row r="108" spans="1:31" x14ac:dyDescent="0.3">
      <c r="A108" s="1"/>
      <c r="B108" s="1" t="s">
        <v>41</v>
      </c>
      <c r="C108" s="1"/>
      <c r="D108" s="1"/>
      <c r="E108" s="14"/>
      <c r="F108" s="14">
        <f>F107/F101</f>
        <v>0.42505054394916725</v>
      </c>
      <c r="G108" s="14">
        <f>G107/G101</f>
        <v>0.79650374598644313</v>
      </c>
      <c r="H108" s="14">
        <f>H107/H101</f>
        <v>1.1104744564635323</v>
      </c>
      <c r="I108" s="14">
        <f>I107/I101</f>
        <v>1.7440837132572451</v>
      </c>
      <c r="J108" s="14">
        <f>J107/J101</f>
        <v>1.3230979893675654</v>
      </c>
      <c r="K108" s="14">
        <f>K107/K101</f>
        <v>1.0868304912662143</v>
      </c>
      <c r="L108" s="14">
        <f>L107/L101</f>
        <v>0.64404769852812704</v>
      </c>
      <c r="M108" s="14">
        <f>M107/M101</f>
        <v>0.42110811057608305</v>
      </c>
      <c r="N108" s="14">
        <f>N107/N101</f>
        <v>0.28635351519173646</v>
      </c>
      <c r="Q108" s="1"/>
      <c r="AA108" s="1"/>
      <c r="AB108" s="1"/>
      <c r="AC108" s="1"/>
      <c r="AD108" s="1"/>
      <c r="AE108" s="1"/>
    </row>
    <row r="109" spans="1:3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Q109" s="1"/>
      <c r="AA109" s="1"/>
      <c r="AB109" s="1"/>
      <c r="AC109" s="1"/>
      <c r="AD109" s="1"/>
      <c r="AE109" s="1"/>
    </row>
    <row r="110" spans="1:31" x14ac:dyDescent="0.3">
      <c r="A110" s="1"/>
      <c r="B110" s="1" t="s">
        <v>38</v>
      </c>
      <c r="C110" s="1"/>
      <c r="D110" s="1"/>
      <c r="E110" s="20"/>
      <c r="F110" s="20">
        <f>F104-F107</f>
        <v>105</v>
      </c>
      <c r="G110" s="20">
        <f>G104-G107</f>
        <v>-5387</v>
      </c>
      <c r="H110" s="20">
        <f>H104-H107</f>
        <v>-13952</v>
      </c>
      <c r="I110" s="20">
        <f>I104-I107</f>
        <v>-44671.7065</v>
      </c>
      <c r="J110" s="20">
        <f>J104-J107</f>
        <v>-35918.076765999998</v>
      </c>
      <c r="K110" s="20">
        <f>K104-K107</f>
        <v>-31603.926551449997</v>
      </c>
      <c r="L110" s="20">
        <f>L104-L107</f>
        <v>-15316.700283720005</v>
      </c>
      <c r="M110" s="20">
        <f>M104-M107</f>
        <v>-2280.376508023357</v>
      </c>
      <c r="N110" s="20">
        <f>N104-N107</f>
        <v>12105.538759432013</v>
      </c>
      <c r="Q110" s="1"/>
      <c r="AA110" s="1"/>
      <c r="AB110" s="1"/>
      <c r="AC110" s="1"/>
      <c r="AD110" s="1"/>
      <c r="AE110" s="1"/>
    </row>
    <row r="111" spans="1:31" x14ac:dyDescent="0.3">
      <c r="A111" s="1"/>
      <c r="B111" s="22" t="s">
        <v>41</v>
      </c>
      <c r="C111" s="22"/>
      <c r="D111" s="22"/>
      <c r="E111" s="51"/>
      <c r="F111" s="51">
        <f>F110/F101</f>
        <v>1.0108789833445653E-2</v>
      </c>
      <c r="G111" s="51">
        <f>G110/G101</f>
        <v>-0.3843738851230824</v>
      </c>
      <c r="H111" s="51">
        <f>H110/H101</f>
        <v>-0.74713505408589487</v>
      </c>
      <c r="I111" s="51">
        <f>I110/I101</f>
        <v>-1.5417274314842746</v>
      </c>
      <c r="J111" s="51">
        <f>J110/J101</f>
        <v>-0.8549094714022587</v>
      </c>
      <c r="K111" s="51">
        <f>K110/K101</f>
        <v>-0.5373039860035761</v>
      </c>
      <c r="L111" s="51">
        <f>L110/L101</f>
        <v>-0.19289033364296454</v>
      </c>
      <c r="M111" s="51">
        <f>M110/M101</f>
        <v>-2.209064803155416E-2</v>
      </c>
      <c r="N111" s="51">
        <f>N110/N101</f>
        <v>9.3815804548433912E-2</v>
      </c>
      <c r="Q111" s="1"/>
      <c r="AA111" s="1"/>
      <c r="AB111" s="1"/>
      <c r="AC111" s="1"/>
      <c r="AD111" s="1"/>
      <c r="AE111" s="1"/>
    </row>
    <row r="112" spans="1:3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Q112" s="1"/>
      <c r="AA112" s="1"/>
      <c r="AB112" s="1"/>
      <c r="AC112" s="1"/>
      <c r="AD112" s="1"/>
      <c r="AE112" s="1"/>
    </row>
    <row r="113" spans="1:31" x14ac:dyDescent="0.3">
      <c r="A113" s="1"/>
      <c r="B113" s="1" t="s">
        <v>45</v>
      </c>
      <c r="C113" s="1"/>
      <c r="D113" s="1"/>
      <c r="E113" s="1"/>
      <c r="F113" s="20"/>
      <c r="G113" s="20"/>
      <c r="H113" s="20"/>
      <c r="I113" s="20">
        <f>I110/(1+$U$7)^((DATE(2026,7,1)-$D$12)/365)</f>
        <v>-44184.459765030835</v>
      </c>
      <c r="J113" s="20">
        <f>J110/(1+$U$7)^((DATE(2027,7,1)-$D$12)/365)</f>
        <v>-32296.643915165565</v>
      </c>
      <c r="K113" s="20">
        <f>K110/(1+$U$7)^((DATE(2028,7,1)-$D$12)/365)</f>
        <v>-25827.315926213189</v>
      </c>
      <c r="L113" s="20">
        <f>L110/(1+$U$7)^((DATE(2029,7,1)-$D$12)/365)</f>
        <v>-11379.174573328337</v>
      </c>
      <c r="M113" s="20">
        <f>M110/(1+$U$7)^((DATE(2030,7,1)-$D$12)/365)</f>
        <v>-1540.1372297171849</v>
      </c>
      <c r="N113" s="20">
        <f>N110/(1+$U$7)^((DATE(2031,7,1)-$D$12)/365)</f>
        <v>7432.6605371713631</v>
      </c>
      <c r="Q113" s="1"/>
      <c r="AA113" s="1"/>
      <c r="AB113" s="1"/>
      <c r="AC113" s="1"/>
      <c r="AD113" s="1"/>
      <c r="AE113" s="1"/>
    </row>
    <row r="114" spans="1:31" x14ac:dyDescent="0.3">
      <c r="A114" s="1"/>
      <c r="B114" s="1"/>
      <c r="C114" s="1"/>
      <c r="D114" s="1"/>
      <c r="E114" s="1"/>
      <c r="F114" s="1"/>
      <c r="G114" s="1"/>
      <c r="H114" s="1"/>
      <c r="I114" s="14"/>
      <c r="J114" s="14"/>
      <c r="K114" s="14"/>
      <c r="L114" s="14"/>
      <c r="M114" s="14"/>
      <c r="N114" s="14"/>
      <c r="Q114" s="1"/>
      <c r="AA114" s="1"/>
      <c r="AB114" s="1"/>
      <c r="AC114" s="1"/>
      <c r="AD114" s="1"/>
      <c r="AE114" s="1"/>
    </row>
    <row r="115" spans="1:31" x14ac:dyDescent="0.3">
      <c r="A115" s="62" t="s">
        <v>26</v>
      </c>
      <c r="B115" s="164" t="s">
        <v>81</v>
      </c>
      <c r="C115" s="164"/>
      <c r="D115" s="164"/>
      <c r="E115" s="164"/>
      <c r="F115" s="164">
        <v>2023</v>
      </c>
      <c r="G115" s="164">
        <v>2024</v>
      </c>
      <c r="H115" s="164">
        <v>2025</v>
      </c>
      <c r="I115" s="165" t="s">
        <v>20</v>
      </c>
      <c r="J115" s="165" t="s">
        <v>21</v>
      </c>
      <c r="K115" s="165" t="s">
        <v>22</v>
      </c>
      <c r="L115" s="165" t="s">
        <v>23</v>
      </c>
      <c r="M115" s="165" t="s">
        <v>24</v>
      </c>
      <c r="N115" s="165" t="s">
        <v>25</v>
      </c>
      <c r="Q115" s="1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s="5" customFormat="1" ht="1.95" customHeight="1" x14ac:dyDescent="0.3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7"/>
      <c r="M116" s="7"/>
      <c r="N116" s="7"/>
      <c r="O116" s="7"/>
      <c r="P116" s="7"/>
    </row>
    <row r="117" spans="1:31" x14ac:dyDescent="0.3">
      <c r="A117" s="1"/>
      <c r="B117" s="1" t="s">
        <v>69</v>
      </c>
      <c r="C117" s="1"/>
      <c r="D117" s="1"/>
      <c r="E117" s="54"/>
      <c r="F117" s="54">
        <f>F73</f>
        <v>-1.6774193548387097</v>
      </c>
      <c r="G117" s="54">
        <f>G73</f>
        <v>6.3202247191011234E-3</v>
      </c>
      <c r="H117" s="54">
        <f>H73</f>
        <v>-1.6872863978127135</v>
      </c>
      <c r="I117" s="54">
        <f>I73</f>
        <v>-1.1244217833735768</v>
      </c>
      <c r="J117" s="54">
        <f>J73</f>
        <v>0.55183161368641731</v>
      </c>
      <c r="K117" s="54">
        <f>K73</f>
        <v>1.705620365683322</v>
      </c>
      <c r="L117" s="54">
        <f>L73</f>
        <v>2.3947709878836729</v>
      </c>
      <c r="M117" s="54">
        <f>M73</f>
        <v>3.2223508491827948</v>
      </c>
      <c r="N117" s="54">
        <f>N73</f>
        <v>4.1515968387468849</v>
      </c>
      <c r="Q117" s="1"/>
      <c r="AA117" s="1"/>
      <c r="AB117" s="1"/>
      <c r="AC117" s="1"/>
      <c r="AD117" s="1"/>
      <c r="AE117" s="1"/>
    </row>
    <row r="118" spans="1:31" x14ac:dyDescent="0.3">
      <c r="A118" s="1"/>
      <c r="B118" s="22" t="s">
        <v>82</v>
      </c>
      <c r="C118" s="1"/>
      <c r="D118" s="1"/>
      <c r="E118" s="1"/>
      <c r="F118" s="36"/>
      <c r="G118" s="36">
        <f>(G117-F117)/F117</f>
        <v>-1.0037678262748488</v>
      </c>
      <c r="H118" s="36">
        <f>(H117-G117)/G117</f>
        <v>-267.96620338725603</v>
      </c>
      <c r="I118" s="36">
        <f>(I117-H117)/H117</f>
        <v>-0.33359162686832372</v>
      </c>
      <c r="J118" s="36">
        <f>(J117-I117)/I117</f>
        <v>-1.4907692307692313</v>
      </c>
      <c r="K118" s="36">
        <f>(K117-J117)/J117</f>
        <v>2.0908348187759942</v>
      </c>
      <c r="L118" s="36">
        <f>(L117-K117)/K117</f>
        <v>0.40404690050957315</v>
      </c>
      <c r="M118" s="36">
        <f>(M117-L117)/L117</f>
        <v>0.34557787174066179</v>
      </c>
      <c r="N118" s="36">
        <f>(N117-M117)/M117</f>
        <v>0.28837517485091724</v>
      </c>
      <c r="Q118" s="1"/>
      <c r="AA118" s="1"/>
      <c r="AB118" s="1"/>
      <c r="AC118" s="1"/>
      <c r="AD118" s="1"/>
      <c r="AE118" s="1"/>
    </row>
    <row r="119" spans="1:3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Q119" s="1"/>
      <c r="AA119" s="1"/>
      <c r="AB119" s="1"/>
      <c r="AC119" s="1"/>
      <c r="AD119" s="1"/>
      <c r="AE119" s="1"/>
    </row>
    <row r="120" spans="1:31" x14ac:dyDescent="0.3">
      <c r="A120" s="1"/>
      <c r="B120" s="1" t="s">
        <v>42</v>
      </c>
      <c r="C120" s="1"/>
      <c r="D120" s="1"/>
      <c r="E120" s="55"/>
      <c r="F120" s="55">
        <f>F70</f>
        <v>2759</v>
      </c>
      <c r="G120" s="55">
        <f>G70</f>
        <v>2848</v>
      </c>
      <c r="H120" s="55">
        <f>H70</f>
        <v>2926</v>
      </c>
      <c r="I120" s="55">
        <f>I70</f>
        <v>5798</v>
      </c>
      <c r="J120" s="55">
        <f>J70</f>
        <v>6029.92</v>
      </c>
      <c r="K120" s="55">
        <f>K70</f>
        <v>6150.5183999999999</v>
      </c>
      <c r="L120" s="55">
        <f>L70</f>
        <v>6273.5287680000001</v>
      </c>
      <c r="M120" s="55">
        <f>M70</f>
        <v>6398.9993433600002</v>
      </c>
      <c r="N120" s="55">
        <f>N70</f>
        <v>6526.9793302272001</v>
      </c>
      <c r="Q120" s="1"/>
      <c r="AA120" s="1"/>
      <c r="AB120" s="1"/>
      <c r="AC120" s="1"/>
      <c r="AD120" s="1"/>
      <c r="AE120" s="1"/>
    </row>
    <row r="121" spans="1:31" x14ac:dyDescent="0.3">
      <c r="A121" s="1"/>
      <c r="B121" s="22" t="s">
        <v>82</v>
      </c>
      <c r="C121" s="1"/>
      <c r="D121" s="1"/>
      <c r="E121" s="1"/>
      <c r="F121" s="56"/>
      <c r="G121" s="56">
        <f>(G120-F120)/F120</f>
        <v>3.2258064516129031E-2</v>
      </c>
      <c r="H121" s="56">
        <f>(H120-G120)/G120</f>
        <v>2.7387640449438203E-2</v>
      </c>
      <c r="I121" s="56">
        <f>(I120-H120)/H120</f>
        <v>0.98154477101845528</v>
      </c>
      <c r="J121" s="56">
        <f>(J120-I120)/I120</f>
        <v>4.0000000000000015E-2</v>
      </c>
      <c r="K121" s="56">
        <f>(K120-J120)/J120</f>
        <v>1.9999999999999976E-2</v>
      </c>
      <c r="L121" s="56">
        <f>(L120-K120)/K120</f>
        <v>2.0000000000000032E-2</v>
      </c>
      <c r="M121" s="56">
        <f>(M120-L120)/L120</f>
        <v>2.0000000000000018E-2</v>
      </c>
      <c r="N121" s="56">
        <f>(N120-M120)/M120</f>
        <v>1.9999999999999976E-2</v>
      </c>
      <c r="Q121" s="1"/>
      <c r="AA121" s="1"/>
      <c r="AB121" s="1"/>
      <c r="AC121" s="1"/>
      <c r="AD121" s="1"/>
      <c r="AE121" s="1"/>
    </row>
    <row r="122" spans="1:3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Q122" s="1"/>
      <c r="AA122" s="1"/>
      <c r="AB122" s="1"/>
      <c r="AC122" s="1"/>
      <c r="AD122" s="1"/>
      <c r="AE122" s="1"/>
    </row>
    <row r="123" spans="1:31" x14ac:dyDescent="0.3">
      <c r="A123" s="1"/>
      <c r="B123" s="1" t="s">
        <v>83</v>
      </c>
      <c r="C123" s="1"/>
      <c r="D123" s="1"/>
      <c r="E123" s="1"/>
      <c r="F123" s="57">
        <f>J17/F117</f>
        <v>0</v>
      </c>
      <c r="G123" s="57" t="e">
        <f>#REF!/G117</f>
        <v>#REF!</v>
      </c>
      <c r="H123" s="57">
        <f>K17/H117</f>
        <v>0</v>
      </c>
      <c r="I123" s="58">
        <f t="shared" ref="I123:M123" si="24">$E$9/I117</f>
        <v>-268.42971302179387</v>
      </c>
      <c r="J123" s="58">
        <f t="shared" si="24"/>
        <v>546.95709549895264</v>
      </c>
      <c r="K123" s="58">
        <f t="shared" si="24"/>
        <v>176.96095960105492</v>
      </c>
      <c r="L123" s="58">
        <f t="shared" si="24"/>
        <v>126.03635928175206</v>
      </c>
      <c r="M123" s="58">
        <f t="shared" si="24"/>
        <v>93.667086780127661</v>
      </c>
      <c r="N123" s="58">
        <f>$E$9/N117</f>
        <v>72.701716556255619</v>
      </c>
      <c r="Q123" s="1"/>
      <c r="AA123" s="1"/>
      <c r="AB123" s="1"/>
      <c r="AC123" s="1"/>
      <c r="AD123" s="1"/>
      <c r="AE123" s="1"/>
    </row>
    <row r="124" spans="1:31" x14ac:dyDescent="0.3">
      <c r="A124" s="1"/>
      <c r="B124" s="1" t="s">
        <v>84</v>
      </c>
      <c r="C124" s="1"/>
      <c r="D124" s="1"/>
      <c r="E124" s="1"/>
      <c r="F124" s="57">
        <f>J17*F120/F49</f>
        <v>0</v>
      </c>
      <c r="G124" s="57" t="e">
        <f>#REF!*G120/G49</f>
        <v>#REF!</v>
      </c>
      <c r="H124" s="57">
        <f>K17*H120/H49</f>
        <v>0</v>
      </c>
      <c r="I124" s="58">
        <f>$E$9*I120/I49</f>
        <v>-268.42971302179387</v>
      </c>
      <c r="J124" s="58">
        <f>$E$9*J120/J49</f>
        <v>481.32224403907833</v>
      </c>
      <c r="K124" s="58">
        <f>$E$9*K120/K49</f>
        <v>153.95603485291781</v>
      </c>
      <c r="L124" s="58">
        <f>$E$9*L120/L49</f>
        <v>108.39126898230677</v>
      </c>
      <c r="M124" s="58">
        <f>$E$9*M120/M49</f>
        <v>79.61702376310852</v>
      </c>
      <c r="N124" s="58">
        <f>$E$9*N120/N49</f>
        <v>61.069441907254721</v>
      </c>
      <c r="Q124" s="1"/>
      <c r="AA124" s="1"/>
      <c r="AB124" s="1"/>
      <c r="AC124" s="1"/>
      <c r="AD124" s="1"/>
      <c r="AE124" s="1"/>
    </row>
    <row r="125" spans="1:31" x14ac:dyDescent="0.3">
      <c r="A125" s="1"/>
      <c r="B125" s="1" t="s">
        <v>85</v>
      </c>
      <c r="C125" s="1"/>
      <c r="D125" s="1"/>
      <c r="E125" s="1"/>
      <c r="F125" s="57">
        <f>J17*F120/(F49+F78)</f>
        <v>0</v>
      </c>
      <c r="G125" s="57" t="e">
        <f>#REF!*G120/(G49+G78)</f>
        <v>#REF!</v>
      </c>
      <c r="H125" s="57">
        <f>K17*H120/(H49+H78)</f>
        <v>0</v>
      </c>
      <c r="I125" s="58">
        <f>$E$9*I120/(I49+I78)</f>
        <v>487.79094116474698</v>
      </c>
      <c r="J125" s="58">
        <f>$E$9*J120/(J49+J78)</f>
        <v>102.95063564253785</v>
      </c>
      <c r="K125" s="58">
        <f>$E$9*K120/(K49+K78)</f>
        <v>59.431386530919866</v>
      </c>
      <c r="L125" s="58">
        <f>$E$9*L120/(L49+L78)</f>
        <v>53.536563562547094</v>
      </c>
      <c r="M125" s="58">
        <f>$E$9*M120/(M49+M78)</f>
        <v>46.375793502304809</v>
      </c>
      <c r="N125" s="58">
        <f>$E$9*N120/(N49+N78)</f>
        <v>38.830780766818449</v>
      </c>
      <c r="Q125" s="1"/>
      <c r="AA125" s="1"/>
      <c r="AB125" s="1"/>
      <c r="AC125" s="1"/>
      <c r="AD125" s="1"/>
      <c r="AE125" s="1"/>
    </row>
    <row r="126" spans="1:31" x14ac:dyDescent="0.3">
      <c r="A126" s="1"/>
      <c r="B126" s="1" t="s">
        <v>86</v>
      </c>
      <c r="C126" s="1"/>
      <c r="D126" s="1"/>
      <c r="E126" s="1"/>
      <c r="F126" s="57">
        <f>J17*F120/F28</f>
        <v>0</v>
      </c>
      <c r="G126" s="57" t="e">
        <f>#REF!*G120/G28</f>
        <v>#REF!</v>
      </c>
      <c r="H126" s="57">
        <f>K17*H120/H28</f>
        <v>0</v>
      </c>
      <c r="I126" s="58">
        <f>$E$9*I120/I28</f>
        <v>60.396685429903613</v>
      </c>
      <c r="J126" s="58">
        <f>$E$9*J120/J28</f>
        <v>43.319001963517074</v>
      </c>
      <c r="K126" s="58">
        <f>$E$9*K120/K28</f>
        <v>31.560987144848148</v>
      </c>
      <c r="L126" s="58">
        <f>$E$9*L120/L28</f>
        <v>23.846079176107494</v>
      </c>
      <c r="M126" s="58">
        <f>$E$9*M120/M28</f>
        <v>18.710000584330494</v>
      </c>
      <c r="N126" s="58">
        <f>$E$9*N120/N28</f>
        <v>15.267360476813682</v>
      </c>
      <c r="Q126" s="1"/>
      <c r="AA126" s="1"/>
      <c r="AB126" s="1"/>
      <c r="AC126" s="1"/>
      <c r="AD126" s="1"/>
      <c r="AE126" s="1"/>
    </row>
    <row r="127" spans="1:31" x14ac:dyDescent="0.3">
      <c r="A127" s="1"/>
      <c r="B127" s="1" t="s">
        <v>87</v>
      </c>
      <c r="C127" s="1"/>
      <c r="D127" s="1"/>
      <c r="E127" s="1"/>
      <c r="F127" s="57">
        <f>J17*F120/F110</f>
        <v>0</v>
      </c>
      <c r="G127" s="57" t="e">
        <f>#REF!*G120/G110</f>
        <v>#REF!</v>
      </c>
      <c r="H127" s="57">
        <f>K17*H120/H110</f>
        <v>0</v>
      </c>
      <c r="I127" s="58">
        <f t="shared" ref="I127:M127" si="25">$E$9*I120/I110</f>
        <v>-39.174684316123006</v>
      </c>
      <c r="J127" s="58">
        <f t="shared" si="25"/>
        <v>-50.670864474648305</v>
      </c>
      <c r="K127" s="58">
        <f t="shared" si="25"/>
        <v>-58.739536588210036</v>
      </c>
      <c r="L127" s="58">
        <f t="shared" si="25"/>
        <v>-123.62506054992897</v>
      </c>
      <c r="M127" s="58">
        <f t="shared" si="25"/>
        <v>-846.96476796901709</v>
      </c>
      <c r="N127" s="58">
        <f>$E$9*N120/N110</f>
        <v>162.73761708168971</v>
      </c>
      <c r="Q127" s="1"/>
      <c r="AA127" s="1"/>
      <c r="AB127" s="1"/>
      <c r="AC127" s="1"/>
      <c r="AD127" s="1"/>
      <c r="AE127" s="1"/>
    </row>
    <row r="128" spans="1:31" x14ac:dyDescent="0.3">
      <c r="A128" s="1"/>
      <c r="B128" s="1" t="s">
        <v>88</v>
      </c>
      <c r="C128" s="1"/>
      <c r="D128" s="1"/>
      <c r="E128" s="1"/>
      <c r="F128" s="57">
        <f>J17*F120/F104</f>
        <v>0</v>
      </c>
      <c r="G128" s="57" t="e">
        <f>#REF!*G120/G104</f>
        <v>#REF!</v>
      </c>
      <c r="H128" s="57">
        <f>K17*H120/H104</f>
        <v>0</v>
      </c>
      <c r="I128" s="58">
        <f t="shared" ref="I128:M128" si="26">$E$9*I120/I104</f>
        <v>298.46706462843787</v>
      </c>
      <c r="J128" s="58">
        <f t="shared" si="26"/>
        <v>92.524699562852305</v>
      </c>
      <c r="K128" s="58">
        <f t="shared" si="26"/>
        <v>57.43305708204926</v>
      </c>
      <c r="L128" s="58">
        <f t="shared" si="26"/>
        <v>52.855347229402469</v>
      </c>
      <c r="M128" s="58">
        <f t="shared" si="26"/>
        <v>46.890179855831562</v>
      </c>
      <c r="N128" s="58">
        <f>$E$9*N120/N104</f>
        <v>40.159370270195069</v>
      </c>
      <c r="O128" s="1"/>
      <c r="P128" s="1"/>
      <c r="Q128" s="1"/>
      <c r="AA128" s="1"/>
      <c r="AB128" s="1"/>
      <c r="AC128" s="1"/>
      <c r="AD128" s="1"/>
      <c r="AE128" s="1"/>
    </row>
    <row r="129" spans="1:3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AA129" s="1"/>
      <c r="AB129" s="1"/>
      <c r="AC129" s="1"/>
      <c r="AD129" s="1"/>
      <c r="AE129" s="1"/>
    </row>
    <row r="130" spans="1:3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AA130" s="1"/>
      <c r="AB130" s="1"/>
      <c r="AC130" s="1"/>
      <c r="AD130" s="1"/>
      <c r="AE130" s="1"/>
    </row>
    <row r="131" spans="1:3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AA131" s="1"/>
      <c r="AB131" s="1"/>
      <c r="AC131" s="1"/>
      <c r="AD131" s="1"/>
      <c r="AE131" s="1"/>
    </row>
    <row r="132" spans="1:3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AA132" s="1"/>
      <c r="AB132" s="1"/>
      <c r="AC132" s="1"/>
      <c r="AD132" s="1"/>
      <c r="AE132" s="1"/>
    </row>
    <row r="133" spans="1:3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AA133" s="1"/>
      <c r="AB133" s="1"/>
      <c r="AC133" s="1"/>
      <c r="AD133" s="1"/>
      <c r="AE133" s="1"/>
    </row>
    <row r="134" spans="1:3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AA134" s="1"/>
      <c r="AB134" s="1"/>
      <c r="AC134" s="1"/>
      <c r="AD134" s="1"/>
      <c r="AE134" s="1"/>
    </row>
    <row r="135" spans="1:3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AA135" s="1"/>
      <c r="AB135" s="1"/>
      <c r="AC135" s="1"/>
      <c r="AD135" s="1"/>
      <c r="AE135" s="1"/>
    </row>
    <row r="136" spans="1:3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AA136" s="1"/>
      <c r="AB136" s="1"/>
      <c r="AC136" s="1"/>
      <c r="AD136" s="1"/>
      <c r="AE136" s="1"/>
    </row>
    <row r="137" spans="1:3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AA137" s="1"/>
      <c r="AB137" s="1"/>
      <c r="AC137" s="1"/>
      <c r="AD137" s="1"/>
      <c r="AE137" s="1"/>
    </row>
    <row r="138" spans="1:3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P138" s="1"/>
      <c r="Q138" s="1"/>
      <c r="AA138" s="1"/>
      <c r="AB138" s="1"/>
      <c r="AC138" s="1"/>
      <c r="AD138" s="1"/>
      <c r="AE138" s="1"/>
    </row>
    <row r="139" spans="1:31" x14ac:dyDescent="0.3">
      <c r="A139" s="1"/>
      <c r="P139" s="1"/>
      <c r="Q139" s="1"/>
      <c r="AA139" s="1"/>
      <c r="AB139" s="1"/>
      <c r="AC139" s="1"/>
      <c r="AD139" s="1"/>
      <c r="AE139" s="1"/>
    </row>
    <row r="140" spans="1:31" x14ac:dyDescent="0.3">
      <c r="A140" s="1"/>
      <c r="P140" s="1"/>
      <c r="Q140" s="1"/>
      <c r="AA140" s="1"/>
      <c r="AB140" s="1"/>
      <c r="AC140" s="1"/>
      <c r="AD140" s="1"/>
      <c r="AE140" s="1"/>
    </row>
    <row r="141" spans="1:31" x14ac:dyDescent="0.3">
      <c r="A141" s="1"/>
      <c r="P141" s="1"/>
      <c r="Q141" s="1"/>
      <c r="AA141" s="1"/>
      <c r="AB141" s="1"/>
      <c r="AC141" s="1"/>
      <c r="AD141" s="1"/>
      <c r="AE141" s="1"/>
    </row>
    <row r="142" spans="1:31" x14ac:dyDescent="0.3">
      <c r="A142" s="1"/>
      <c r="P142" s="1"/>
      <c r="Q142" s="1"/>
      <c r="AA142" s="1"/>
      <c r="AB142" s="1"/>
      <c r="AC142" s="1"/>
      <c r="AD142" s="1"/>
      <c r="AE142" s="1"/>
    </row>
    <row r="143" spans="1:31" x14ac:dyDescent="0.3">
      <c r="A143" s="1"/>
      <c r="P143" s="1"/>
      <c r="Q143" s="1"/>
      <c r="AA143" s="1"/>
      <c r="AB143" s="1"/>
      <c r="AC143" s="1"/>
      <c r="AD143" s="1"/>
      <c r="AE143" s="1"/>
    </row>
    <row r="144" spans="1:31" x14ac:dyDescent="0.3">
      <c r="A144" s="1"/>
      <c r="P144" s="1"/>
      <c r="Q144" s="1"/>
      <c r="AA144" s="1"/>
      <c r="AB144" s="1"/>
      <c r="AC144" s="1"/>
      <c r="AD144" s="1"/>
      <c r="AE144" s="1"/>
    </row>
    <row r="145" spans="1:31" x14ac:dyDescent="0.3">
      <c r="A145" s="1"/>
      <c r="P145" s="1"/>
      <c r="Q145" s="1"/>
      <c r="AA145" s="1"/>
      <c r="AB145" s="1"/>
      <c r="AC145" s="1"/>
      <c r="AD145" s="1"/>
      <c r="AE145" s="1"/>
    </row>
    <row r="146" spans="1:31" x14ac:dyDescent="0.3">
      <c r="A146" s="1"/>
      <c r="P146" s="1"/>
      <c r="Q146" s="1"/>
      <c r="AA146" s="1"/>
      <c r="AB146" s="1"/>
      <c r="AC146" s="1"/>
      <c r="AD146" s="1"/>
      <c r="AE146" s="1"/>
    </row>
    <row r="147" spans="1:31" x14ac:dyDescent="0.3">
      <c r="A147" s="1"/>
      <c r="P147" s="1"/>
      <c r="Q147" s="1"/>
      <c r="AA147" s="1"/>
      <c r="AB147" s="1"/>
      <c r="AC147" s="1"/>
      <c r="AD147" s="1"/>
      <c r="AE147" s="1"/>
    </row>
    <row r="148" spans="1:31" x14ac:dyDescent="0.3">
      <c r="A148" s="1"/>
      <c r="P148" s="1"/>
      <c r="Q148" s="1"/>
      <c r="AA148" s="1"/>
      <c r="AB148" s="1"/>
      <c r="AC148" s="1"/>
      <c r="AD148" s="1"/>
      <c r="AE148" s="1"/>
    </row>
    <row r="149" spans="1:31" x14ac:dyDescent="0.3">
      <c r="A149" s="1"/>
      <c r="P149" s="1"/>
      <c r="Q149" s="1"/>
      <c r="AA149" s="1"/>
      <c r="AB149" s="1"/>
      <c r="AC149" s="1"/>
      <c r="AD149" s="1"/>
      <c r="AE149" s="1"/>
    </row>
    <row r="150" spans="1:31" x14ac:dyDescent="0.3">
      <c r="A150" s="1"/>
      <c r="P150" s="1"/>
      <c r="Q150" s="1"/>
      <c r="AA150" s="1"/>
      <c r="AB150" s="1"/>
      <c r="AC150" s="1"/>
      <c r="AD150" s="1"/>
      <c r="AE150" s="1"/>
    </row>
    <row r="151" spans="1:31" x14ac:dyDescent="0.3">
      <c r="A151" s="1"/>
      <c r="P151" s="1"/>
      <c r="Q151" s="1"/>
      <c r="AA151" s="1"/>
      <c r="AB151" s="1"/>
      <c r="AC151" s="1"/>
      <c r="AD151" s="1"/>
      <c r="AE151" s="1"/>
    </row>
    <row r="152" spans="1:31" x14ac:dyDescent="0.3">
      <c r="A152" s="1"/>
      <c r="P152" s="1"/>
      <c r="Q152" s="1"/>
      <c r="AA152" s="1"/>
      <c r="AB152" s="1"/>
      <c r="AC152" s="1"/>
      <c r="AD152" s="1"/>
      <c r="AE152" s="1"/>
    </row>
    <row r="153" spans="1:31" x14ac:dyDescent="0.3">
      <c r="A153" s="1"/>
      <c r="P153" s="1"/>
      <c r="Q153" s="1"/>
      <c r="AA153" s="1"/>
      <c r="AB153" s="1"/>
      <c r="AC153" s="1"/>
      <c r="AD153" s="1"/>
      <c r="AE153" s="1"/>
    </row>
    <row r="154" spans="1:31" x14ac:dyDescent="0.3">
      <c r="A154" s="1"/>
      <c r="P154" s="1"/>
      <c r="Q154" s="1"/>
      <c r="AA154" s="1"/>
      <c r="AB154" s="1"/>
      <c r="AC154" s="1"/>
      <c r="AD154" s="1"/>
      <c r="AE154" s="1"/>
    </row>
    <row r="155" spans="1:31" x14ac:dyDescent="0.3">
      <c r="A155" s="1"/>
      <c r="P155" s="1"/>
      <c r="Q155" s="1"/>
      <c r="AA155" s="1"/>
      <c r="AB155" s="1"/>
      <c r="AC155" s="1"/>
      <c r="AD155" s="1"/>
      <c r="AE155" s="1"/>
    </row>
    <row r="156" spans="1:31" x14ac:dyDescent="0.3">
      <c r="A156" s="1"/>
      <c r="P156" s="1"/>
      <c r="Q156" s="1"/>
      <c r="AA156" s="1"/>
      <c r="AB156" s="1"/>
      <c r="AC156" s="1"/>
      <c r="AD156" s="1"/>
      <c r="AE156" s="1"/>
    </row>
    <row r="157" spans="1:31" x14ac:dyDescent="0.3">
      <c r="A157" s="1"/>
      <c r="P157" s="1"/>
      <c r="AA157" s="1"/>
      <c r="AB157" s="1"/>
      <c r="AC157" s="1"/>
      <c r="AD157" s="1"/>
      <c r="AE157" s="1"/>
    </row>
    <row r="158" spans="1:31" x14ac:dyDescent="0.3">
      <c r="A158" s="1"/>
      <c r="P158" s="1"/>
      <c r="AA158" s="1"/>
      <c r="AB158" s="1"/>
      <c r="AC158" s="1"/>
      <c r="AD158" s="1"/>
      <c r="AE158" s="1"/>
    </row>
    <row r="159" spans="1:31" x14ac:dyDescent="0.3">
      <c r="P159" s="1"/>
      <c r="AA159" s="1"/>
      <c r="AB159" s="1"/>
      <c r="AC159" s="1"/>
      <c r="AD159" s="1"/>
      <c r="AE159" s="1"/>
    </row>
    <row r="160" spans="1:31" x14ac:dyDescent="0.3">
      <c r="P160" s="1"/>
      <c r="AA160" s="1"/>
      <c r="AB160" s="1"/>
      <c r="AC160" s="1"/>
      <c r="AD160" s="1"/>
      <c r="AE160" s="1"/>
    </row>
    <row r="161" spans="16:31" x14ac:dyDescent="0.3">
      <c r="P161" s="1"/>
      <c r="AA161" s="1"/>
      <c r="AB161" s="1"/>
      <c r="AC161" s="1"/>
      <c r="AD161" s="1"/>
      <c r="AE161" s="1"/>
    </row>
    <row r="162" spans="16:31" x14ac:dyDescent="0.3">
      <c r="P162" s="1"/>
      <c r="AA162" s="1"/>
      <c r="AB162" s="1"/>
      <c r="AC162" s="1"/>
      <c r="AD162" s="1"/>
      <c r="AE162" s="1"/>
    </row>
    <row r="163" spans="16:31" x14ac:dyDescent="0.3">
      <c r="P163" s="1"/>
      <c r="AA163" s="1"/>
      <c r="AB163" s="1"/>
      <c r="AC163" s="1"/>
      <c r="AD163" s="1"/>
      <c r="AE163" s="1"/>
    </row>
    <row r="164" spans="16:31" x14ac:dyDescent="0.3">
      <c r="P164" s="1"/>
      <c r="AA164" s="1"/>
      <c r="AB164" s="1"/>
      <c r="AC164" s="1"/>
      <c r="AD164" s="1"/>
      <c r="AE164" s="1"/>
    </row>
    <row r="165" spans="16:31" x14ac:dyDescent="0.3">
      <c r="P165" s="1"/>
      <c r="AA165" s="1"/>
      <c r="AB165" s="1"/>
      <c r="AC165" s="1"/>
      <c r="AD165" s="1"/>
      <c r="AE165" s="1"/>
    </row>
    <row r="166" spans="16:31" x14ac:dyDescent="0.3">
      <c r="P166" s="1"/>
      <c r="AA166" s="1"/>
      <c r="AB166" s="1"/>
      <c r="AC166" s="1"/>
      <c r="AD166" s="1"/>
      <c r="AE166" s="1"/>
    </row>
    <row r="167" spans="16:31" x14ac:dyDescent="0.3">
      <c r="P167" s="1"/>
      <c r="AA167" s="1"/>
      <c r="AB167" s="1"/>
      <c r="AC167" s="1"/>
      <c r="AD167" s="1"/>
      <c r="AE167" s="1"/>
    </row>
    <row r="168" spans="16:31" x14ac:dyDescent="0.3">
      <c r="P168" s="1"/>
      <c r="AA168" s="1"/>
      <c r="AB168" s="1"/>
      <c r="AC168" s="1"/>
      <c r="AD168" s="1"/>
      <c r="AE168" s="1"/>
    </row>
  </sheetData>
  <mergeCells count="9">
    <mergeCell ref="D12:E12"/>
    <mergeCell ref="W4:X4"/>
    <mergeCell ref="I7:K7"/>
    <mergeCell ref="I8:K8"/>
    <mergeCell ref="I9:K9"/>
    <mergeCell ref="I10:K10"/>
    <mergeCell ref="I11:K11"/>
    <mergeCell ref="R11:U11"/>
    <mergeCell ref="I12:K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00E7B-E5F6-4D88-A188-4EE671E3E84E}">
  <dimension ref="A2:AN313"/>
  <sheetViews>
    <sheetView showGridLines="0" workbookViewId="0">
      <selection activeCell="K2" sqref="K2"/>
    </sheetView>
  </sheetViews>
  <sheetFormatPr defaultColWidth="9.6640625" defaultRowHeight="14.4" x14ac:dyDescent="0.3"/>
  <cols>
    <col min="1" max="1" width="9.6640625" style="11"/>
    <col min="2" max="16384" width="9.6640625" style="1"/>
  </cols>
  <sheetData>
    <row r="2" spans="1:40" ht="14.4" customHeight="1" x14ac:dyDescent="0.3">
      <c r="A2" s="2"/>
      <c r="K2" s="22" t="s">
        <v>89</v>
      </c>
      <c r="U2" s="59"/>
      <c r="AE2" s="60"/>
      <c r="AN2" s="61"/>
    </row>
    <row r="3" spans="1:40" x14ac:dyDescent="0.3">
      <c r="A3" s="2"/>
      <c r="AE3" s="60"/>
    </row>
    <row r="4" spans="1:40" x14ac:dyDescent="0.3">
      <c r="A4" s="2" t="s">
        <v>26</v>
      </c>
      <c r="B4" s="34" t="s">
        <v>90</v>
      </c>
      <c r="C4" s="34"/>
      <c r="D4" s="34">
        <v>2026</v>
      </c>
      <c r="E4" s="34">
        <v>2031</v>
      </c>
      <c r="F4" s="34"/>
      <c r="G4" s="34"/>
      <c r="H4" s="34"/>
      <c r="I4" s="34">
        <v>2026</v>
      </c>
      <c r="J4" s="34">
        <v>2031</v>
      </c>
      <c r="K4" s="35"/>
      <c r="L4" s="35"/>
      <c r="M4" s="35"/>
      <c r="N4" s="35"/>
      <c r="P4" s="11"/>
      <c r="AE4" s="60"/>
    </row>
    <row r="5" spans="1:40" s="5" customFormat="1" ht="1.95" customHeight="1" x14ac:dyDescent="0.3">
      <c r="A5" s="62"/>
      <c r="B5" s="6"/>
      <c r="C5" s="6"/>
      <c r="D5" s="6"/>
      <c r="E5" s="6"/>
      <c r="F5" s="6"/>
      <c r="G5" s="6"/>
      <c r="H5" s="7"/>
      <c r="I5" s="7"/>
      <c r="J5" s="7"/>
      <c r="K5" s="7"/>
      <c r="L5" s="7"/>
    </row>
    <row r="6" spans="1:40" x14ac:dyDescent="0.3">
      <c r="A6" s="2"/>
      <c r="B6" s="63"/>
      <c r="D6" s="64"/>
      <c r="E6" s="64"/>
      <c r="G6" s="63"/>
      <c r="I6" s="65"/>
      <c r="J6" s="65"/>
      <c r="N6" s="65"/>
      <c r="AE6" s="60"/>
    </row>
    <row r="7" spans="1:40" x14ac:dyDescent="0.3">
      <c r="A7" s="2"/>
      <c r="B7" s="63"/>
      <c r="D7" s="66"/>
      <c r="E7" s="66"/>
      <c r="G7" s="63"/>
      <c r="I7" s="67"/>
      <c r="J7" s="67"/>
      <c r="N7" s="65"/>
      <c r="AE7" s="60"/>
    </row>
    <row r="8" spans="1:40" x14ac:dyDescent="0.3">
      <c r="A8" s="2"/>
      <c r="B8" s="63"/>
      <c r="D8" s="65"/>
      <c r="E8" s="65"/>
      <c r="G8" s="63"/>
      <c r="I8" s="64"/>
      <c r="J8" s="64"/>
      <c r="AE8" s="60"/>
    </row>
    <row r="9" spans="1:40" x14ac:dyDescent="0.3">
      <c r="A9" s="2"/>
      <c r="B9" s="63"/>
      <c r="D9" s="67"/>
      <c r="E9" s="67"/>
      <c r="G9" s="63"/>
      <c r="I9" s="64"/>
      <c r="J9" s="64"/>
      <c r="AE9" s="60"/>
    </row>
    <row r="10" spans="1:40" x14ac:dyDescent="0.3">
      <c r="A10" s="2"/>
      <c r="B10" s="63"/>
      <c r="D10" s="64"/>
      <c r="E10" s="64"/>
      <c r="G10" s="63"/>
      <c r="I10" s="64"/>
      <c r="J10" s="64"/>
      <c r="AE10" s="60"/>
    </row>
    <row r="11" spans="1:40" x14ac:dyDescent="0.3">
      <c r="A11" s="2"/>
      <c r="B11" s="63"/>
      <c r="O11" s="63"/>
      <c r="P11" s="63"/>
      <c r="Q11" s="63"/>
      <c r="AE11" s="60"/>
    </row>
    <row r="12" spans="1:40" x14ac:dyDescent="0.3">
      <c r="A12" s="2"/>
      <c r="B12" s="63"/>
      <c r="D12" s="65"/>
      <c r="E12" s="65"/>
      <c r="G12" s="63"/>
      <c r="I12" s="65"/>
      <c r="J12" s="65"/>
      <c r="O12" s="63"/>
      <c r="P12" s="63"/>
      <c r="Q12" s="63"/>
      <c r="AE12" s="60"/>
    </row>
    <row r="13" spans="1:40" x14ac:dyDescent="0.3">
      <c r="A13" s="2"/>
      <c r="B13" s="63"/>
      <c r="D13" s="64"/>
      <c r="E13" s="64"/>
      <c r="G13" s="63"/>
      <c r="I13" s="65"/>
      <c r="J13" s="65"/>
      <c r="O13" s="63"/>
      <c r="P13" s="63"/>
      <c r="Q13" s="63"/>
      <c r="AE13" s="60"/>
    </row>
    <row r="14" spans="1:40" x14ac:dyDescent="0.3">
      <c r="A14" s="2"/>
      <c r="B14" s="63"/>
      <c r="D14" s="65"/>
      <c r="E14" s="65"/>
      <c r="G14" s="63"/>
      <c r="I14" s="65"/>
      <c r="J14" s="65"/>
      <c r="O14" s="63"/>
      <c r="P14" s="63"/>
      <c r="Q14" s="63"/>
      <c r="AE14" s="60"/>
    </row>
    <row r="15" spans="1:40" x14ac:dyDescent="0.3">
      <c r="A15" s="2"/>
      <c r="B15" s="63"/>
      <c r="D15" s="65"/>
      <c r="E15" s="65"/>
      <c r="I15" s="64"/>
      <c r="J15" s="64"/>
      <c r="O15" s="63"/>
      <c r="P15" s="63"/>
      <c r="Q15" s="63"/>
      <c r="AE15" s="60"/>
    </row>
    <row r="16" spans="1:40" x14ac:dyDescent="0.3">
      <c r="A16" s="2"/>
      <c r="B16" s="63"/>
      <c r="D16" s="65"/>
      <c r="E16" s="65"/>
      <c r="I16" s="65"/>
      <c r="J16" s="65"/>
      <c r="O16" s="63"/>
      <c r="P16" s="63"/>
      <c r="Q16" s="63"/>
      <c r="AE16" s="60"/>
    </row>
    <row r="17" spans="1:40" x14ac:dyDescent="0.3">
      <c r="A17" s="2"/>
      <c r="B17" s="68"/>
      <c r="AE17" s="60"/>
    </row>
    <row r="18" spans="1:40" ht="14.4" customHeight="1" x14ac:dyDescent="0.3">
      <c r="A18" s="2" t="s">
        <v>26</v>
      </c>
      <c r="B18" s="34" t="s">
        <v>91</v>
      </c>
      <c r="C18" s="34"/>
      <c r="D18" s="34"/>
      <c r="E18" s="34"/>
      <c r="F18" s="34">
        <v>2023</v>
      </c>
      <c r="G18" s="34">
        <v>2024</v>
      </c>
      <c r="H18" s="34">
        <v>2025</v>
      </c>
      <c r="I18" s="35" t="s">
        <v>20</v>
      </c>
      <c r="J18" s="35" t="s">
        <v>21</v>
      </c>
      <c r="K18" s="35" t="s">
        <v>22</v>
      </c>
      <c r="L18" s="35" t="s">
        <v>23</v>
      </c>
      <c r="M18" s="35" t="s">
        <v>24</v>
      </c>
      <c r="N18" s="35" t="s">
        <v>25</v>
      </c>
      <c r="AN18" s="61"/>
    </row>
    <row r="19" spans="1:40" s="5" customFormat="1" ht="1.95" customHeight="1" x14ac:dyDescent="0.3">
      <c r="A19" s="62"/>
      <c r="B19" s="6"/>
      <c r="C19" s="6"/>
      <c r="D19" s="6"/>
      <c r="E19" s="6"/>
      <c r="F19" s="6"/>
      <c r="G19" s="6"/>
      <c r="H19" s="7"/>
      <c r="I19" s="7"/>
      <c r="J19" s="7"/>
      <c r="K19" s="7"/>
      <c r="L19" s="7"/>
    </row>
    <row r="20" spans="1:40" ht="14.4" customHeight="1" x14ac:dyDescent="0.3">
      <c r="B20" s="69" t="s">
        <v>30</v>
      </c>
      <c r="C20" s="69"/>
      <c r="D20" s="69"/>
      <c r="E20" s="69"/>
      <c r="F20" s="70"/>
      <c r="G20" s="70"/>
      <c r="H20" s="70"/>
      <c r="I20" s="71"/>
      <c r="J20" s="71"/>
      <c r="K20" s="71"/>
      <c r="L20" s="71"/>
      <c r="M20" s="71"/>
      <c r="N20" s="71"/>
    </row>
    <row r="21" spans="1:40" x14ac:dyDescent="0.3">
      <c r="B21" s="22" t="s">
        <v>33</v>
      </c>
      <c r="C21" s="72"/>
      <c r="D21" s="72"/>
      <c r="E21" s="72"/>
      <c r="F21" s="36"/>
      <c r="G21" s="36"/>
      <c r="H21" s="36"/>
      <c r="I21" s="36"/>
      <c r="J21" s="36"/>
      <c r="K21" s="36"/>
      <c r="L21" s="36"/>
      <c r="M21" s="36"/>
      <c r="N21" s="36"/>
    </row>
    <row r="22" spans="1:40" x14ac:dyDescent="0.3">
      <c r="B22" s="2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</row>
    <row r="23" spans="1:40" x14ac:dyDescent="0.3">
      <c r="B23" s="73"/>
      <c r="C23" s="69"/>
      <c r="D23" s="73"/>
      <c r="E23" s="73"/>
      <c r="F23" s="74"/>
      <c r="G23" s="74"/>
      <c r="H23" s="74"/>
      <c r="I23" s="75"/>
      <c r="J23" s="75"/>
      <c r="K23" s="75"/>
      <c r="L23" s="75"/>
      <c r="M23" s="75"/>
      <c r="N23" s="75"/>
    </row>
    <row r="24" spans="1:40" x14ac:dyDescent="0.3">
      <c r="B24" s="22" t="s">
        <v>33</v>
      </c>
      <c r="C24" s="72"/>
      <c r="D24" s="72"/>
      <c r="E24" s="72"/>
      <c r="F24" s="36"/>
      <c r="G24" s="36"/>
      <c r="H24" s="36"/>
      <c r="I24" s="36"/>
      <c r="J24" s="36"/>
      <c r="K24" s="36"/>
      <c r="L24" s="36"/>
      <c r="M24" s="36"/>
      <c r="N24" s="36"/>
    </row>
    <row r="25" spans="1:40" ht="14.4" customHeight="1" x14ac:dyDescent="0.3"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L25" s="22"/>
      <c r="AN25" s="76"/>
    </row>
    <row r="26" spans="1:40" ht="14.4" customHeight="1" x14ac:dyDescent="0.3">
      <c r="C26" s="72"/>
      <c r="D26" s="72"/>
      <c r="E26" s="72"/>
      <c r="F26" s="26"/>
      <c r="G26" s="26"/>
      <c r="H26" s="26"/>
      <c r="I26" s="77"/>
      <c r="J26" s="77"/>
      <c r="K26" s="77"/>
      <c r="L26" s="77"/>
      <c r="M26" s="77"/>
      <c r="N26" s="77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L26" s="22"/>
      <c r="AN26" s="76"/>
    </row>
    <row r="27" spans="1:40" ht="14.4" customHeight="1" x14ac:dyDescent="0.3">
      <c r="B27" s="22" t="s">
        <v>33</v>
      </c>
      <c r="C27" s="72"/>
      <c r="D27" s="72"/>
      <c r="E27" s="72"/>
      <c r="F27" s="36"/>
      <c r="G27" s="36"/>
      <c r="H27" s="36"/>
      <c r="I27" s="36"/>
      <c r="J27" s="36"/>
      <c r="K27" s="36"/>
      <c r="L27" s="36"/>
      <c r="M27" s="36"/>
      <c r="N27" s="36"/>
      <c r="T27" s="78"/>
      <c r="U27" s="79"/>
      <c r="V27" s="79"/>
      <c r="W27" s="79"/>
      <c r="X27" s="79"/>
      <c r="Y27" s="79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L27" s="22"/>
      <c r="AN27" s="76"/>
    </row>
    <row r="28" spans="1:40" ht="14.4" customHeight="1" x14ac:dyDescent="0.3"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L28" s="22"/>
      <c r="AN28" s="76"/>
    </row>
    <row r="29" spans="1:40" ht="14.4" customHeight="1" x14ac:dyDescent="0.3">
      <c r="C29" s="72"/>
      <c r="D29" s="72"/>
      <c r="E29" s="72"/>
      <c r="F29" s="26"/>
      <c r="G29" s="26"/>
      <c r="H29" s="26"/>
      <c r="I29" s="77"/>
      <c r="J29" s="77"/>
      <c r="K29" s="77"/>
      <c r="L29" s="77"/>
      <c r="M29" s="77"/>
      <c r="N29" s="77"/>
      <c r="T29" s="81"/>
      <c r="Z29" s="82"/>
      <c r="AA29" s="82"/>
      <c r="AB29" s="82"/>
      <c r="AC29" s="82"/>
      <c r="AD29" s="82"/>
      <c r="AE29" s="80"/>
      <c r="AL29" s="22"/>
      <c r="AN29" s="76"/>
    </row>
    <row r="30" spans="1:40" ht="14.4" customHeight="1" x14ac:dyDescent="0.3">
      <c r="B30" s="22" t="s">
        <v>33</v>
      </c>
      <c r="C30" s="72"/>
      <c r="D30" s="72"/>
      <c r="E30" s="72"/>
      <c r="F30" s="36"/>
      <c r="G30" s="36"/>
      <c r="H30" s="36"/>
      <c r="I30" s="36"/>
      <c r="J30" s="36"/>
      <c r="K30" s="36"/>
      <c r="L30" s="36"/>
      <c r="M30" s="36"/>
      <c r="N30" s="36"/>
      <c r="T30" s="22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L30" s="22"/>
      <c r="AN30" s="76"/>
    </row>
    <row r="31" spans="1:40" ht="14.4" customHeight="1" x14ac:dyDescent="0.3">
      <c r="B31" s="22"/>
      <c r="C31" s="72"/>
      <c r="D31" s="72"/>
      <c r="E31" s="72"/>
      <c r="F31" s="36"/>
      <c r="G31" s="36"/>
      <c r="H31" s="36"/>
      <c r="I31" s="36"/>
      <c r="J31" s="36"/>
      <c r="K31" s="36"/>
      <c r="L31" s="36"/>
      <c r="M31" s="36"/>
      <c r="N31" s="36"/>
      <c r="T31" s="22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L31" s="22"/>
      <c r="AN31" s="76"/>
    </row>
    <row r="32" spans="1:40" ht="14.4" customHeight="1" x14ac:dyDescent="0.3">
      <c r="C32" s="72"/>
      <c r="D32" s="72"/>
      <c r="E32" s="72"/>
      <c r="F32" s="3"/>
      <c r="G32" s="3"/>
      <c r="H32" s="3"/>
      <c r="I32" s="77"/>
      <c r="J32" s="77"/>
      <c r="K32" s="77"/>
      <c r="L32" s="77"/>
      <c r="M32" s="77"/>
      <c r="N32" s="77"/>
      <c r="T32" s="22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L32" s="22"/>
      <c r="AN32" s="76"/>
    </row>
    <row r="33" spans="1:40" ht="14.4" customHeight="1" x14ac:dyDescent="0.3">
      <c r="B33" s="22" t="s">
        <v>33</v>
      </c>
      <c r="C33" s="72"/>
      <c r="D33" s="72"/>
      <c r="E33" s="72"/>
      <c r="F33" s="36"/>
      <c r="G33" s="36"/>
      <c r="H33" s="36"/>
      <c r="I33" s="36"/>
      <c r="J33" s="36"/>
      <c r="K33" s="36"/>
      <c r="L33" s="36"/>
      <c r="M33" s="36"/>
      <c r="N33" s="36"/>
      <c r="T33" s="22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L33" s="22"/>
      <c r="AN33" s="76"/>
    </row>
    <row r="34" spans="1:40" ht="14.4" customHeight="1" x14ac:dyDescent="0.3">
      <c r="B34" s="22"/>
      <c r="C34" s="72"/>
      <c r="D34" s="72"/>
      <c r="E34" s="72"/>
      <c r="F34" s="36"/>
      <c r="G34" s="36"/>
      <c r="H34" s="36"/>
      <c r="I34" s="36"/>
      <c r="J34" s="36"/>
      <c r="K34" s="36"/>
      <c r="L34" s="36"/>
      <c r="M34" s="36"/>
      <c r="N34" s="36"/>
      <c r="T34" s="22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L34" s="22"/>
      <c r="AN34" s="76"/>
    </row>
    <row r="35" spans="1:40" ht="14.4" customHeight="1" x14ac:dyDescent="0.3">
      <c r="C35" s="72"/>
      <c r="D35" s="72"/>
      <c r="E35" s="72"/>
      <c r="F35" s="3"/>
      <c r="G35" s="3"/>
      <c r="H35" s="3"/>
      <c r="I35" s="77"/>
      <c r="J35" s="77"/>
      <c r="K35" s="77"/>
      <c r="L35" s="77"/>
      <c r="M35" s="77"/>
      <c r="N35" s="77"/>
      <c r="T35" s="22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L35" s="22"/>
      <c r="AN35" s="76"/>
    </row>
    <row r="36" spans="1:40" ht="14.4" customHeight="1" x14ac:dyDescent="0.3">
      <c r="B36" s="22" t="s">
        <v>33</v>
      </c>
      <c r="C36" s="72"/>
      <c r="D36" s="72"/>
      <c r="E36" s="72"/>
      <c r="F36" s="36"/>
      <c r="G36" s="36"/>
      <c r="H36" s="36"/>
      <c r="I36" s="36"/>
      <c r="J36" s="36"/>
      <c r="K36" s="36"/>
      <c r="L36" s="36"/>
      <c r="M36" s="36"/>
      <c r="N36" s="36"/>
      <c r="T36" s="22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L36" s="22"/>
      <c r="AN36" s="76"/>
    </row>
    <row r="37" spans="1:40" ht="14.4" customHeight="1" x14ac:dyDescent="0.3"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T37" s="22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L37" s="22"/>
      <c r="AN37" s="76"/>
    </row>
    <row r="38" spans="1:40" ht="14.4" customHeight="1" x14ac:dyDescent="0.3">
      <c r="B38" s="73"/>
      <c r="C38" s="69"/>
      <c r="D38" s="69"/>
      <c r="E38" s="73"/>
      <c r="F38" s="84"/>
      <c r="G38" s="84"/>
      <c r="H38" s="84"/>
      <c r="I38" s="75"/>
      <c r="J38" s="75"/>
      <c r="K38" s="75"/>
      <c r="L38" s="75"/>
      <c r="M38" s="75"/>
      <c r="N38" s="75"/>
      <c r="T38" s="81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</row>
    <row r="39" spans="1:40" ht="14.4" customHeight="1" x14ac:dyDescent="0.3">
      <c r="A39" s="62"/>
      <c r="B39" s="22" t="s">
        <v>33</v>
      </c>
      <c r="C39" s="72"/>
      <c r="D39" s="72"/>
      <c r="E39" s="72"/>
      <c r="F39" s="36"/>
      <c r="G39" s="36"/>
      <c r="H39" s="36"/>
      <c r="I39" s="36"/>
      <c r="J39" s="36"/>
      <c r="K39" s="36"/>
      <c r="L39" s="36"/>
      <c r="M39" s="36"/>
      <c r="N39" s="36"/>
      <c r="AL39" s="81"/>
      <c r="AM39" s="72"/>
      <c r="AN39" s="85"/>
    </row>
    <row r="40" spans="1:40" ht="14.4" customHeight="1" x14ac:dyDescent="0.3">
      <c r="A40" s="62"/>
      <c r="B40" s="22"/>
      <c r="C40" s="72"/>
      <c r="D40" s="72"/>
      <c r="E40" s="72"/>
      <c r="F40" s="36"/>
      <c r="G40" s="36"/>
      <c r="H40" s="36"/>
      <c r="I40" s="36"/>
      <c r="J40" s="36"/>
      <c r="K40" s="36"/>
      <c r="L40" s="36"/>
      <c r="M40" s="36"/>
      <c r="N40" s="36"/>
      <c r="AL40" s="81"/>
      <c r="AM40" s="72"/>
      <c r="AN40" s="85"/>
    </row>
    <row r="41" spans="1:40" ht="14.4" customHeight="1" x14ac:dyDescent="0.3">
      <c r="A41" s="62"/>
      <c r="C41" s="72"/>
      <c r="D41" s="72"/>
      <c r="E41" s="72"/>
      <c r="F41" s="3"/>
      <c r="G41" s="3"/>
      <c r="H41" s="3"/>
      <c r="I41" s="3"/>
      <c r="J41" s="3"/>
      <c r="K41" s="3"/>
      <c r="L41" s="3"/>
      <c r="M41" s="3"/>
      <c r="N41" s="3"/>
      <c r="AL41" s="81"/>
      <c r="AM41" s="72"/>
      <c r="AN41" s="85"/>
    </row>
    <row r="42" spans="1:40" ht="14.4" customHeight="1" x14ac:dyDescent="0.3">
      <c r="A42" s="62"/>
      <c r="B42" s="22" t="s">
        <v>33</v>
      </c>
      <c r="C42" s="72"/>
      <c r="D42" s="72"/>
      <c r="E42" s="72"/>
      <c r="F42" s="36"/>
      <c r="G42" s="36"/>
      <c r="H42" s="36"/>
      <c r="I42" s="36"/>
      <c r="J42" s="36"/>
      <c r="K42" s="36"/>
      <c r="L42" s="36"/>
      <c r="M42" s="36"/>
      <c r="N42" s="36"/>
      <c r="AL42" s="81"/>
      <c r="AM42" s="72"/>
      <c r="AN42" s="85"/>
    </row>
    <row r="43" spans="1:40" ht="14.4" customHeight="1" x14ac:dyDescent="0.3">
      <c r="A43" s="6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AL43" s="81"/>
      <c r="AM43" s="72"/>
      <c r="AN43" s="85"/>
    </row>
    <row r="44" spans="1:40" ht="14.4" customHeight="1" x14ac:dyDescent="0.3">
      <c r="A44" s="62"/>
      <c r="C44" s="72"/>
      <c r="D44" s="72"/>
      <c r="E44" s="72"/>
      <c r="F44" s="3"/>
      <c r="G44" s="3"/>
      <c r="H44" s="3"/>
      <c r="I44" s="3"/>
      <c r="J44" s="3"/>
      <c r="K44" s="3"/>
      <c r="L44" s="3"/>
      <c r="M44" s="3"/>
      <c r="N44" s="3"/>
      <c r="AL44" s="81"/>
      <c r="AM44" s="72"/>
      <c r="AN44" s="85"/>
    </row>
    <row r="45" spans="1:40" ht="14.4" customHeight="1" x14ac:dyDescent="0.3">
      <c r="A45" s="62"/>
      <c r="B45" s="22" t="s">
        <v>33</v>
      </c>
      <c r="C45" s="72"/>
      <c r="D45" s="72"/>
      <c r="E45" s="72"/>
      <c r="F45" s="36"/>
      <c r="G45" s="36"/>
      <c r="H45" s="36"/>
      <c r="I45" s="86"/>
      <c r="J45" s="36"/>
      <c r="K45" s="36"/>
      <c r="L45" s="36"/>
      <c r="M45" s="36"/>
      <c r="N45" s="36"/>
      <c r="AL45" s="81"/>
      <c r="AM45" s="72"/>
      <c r="AN45" s="85"/>
    </row>
    <row r="46" spans="1:40" ht="14.4" customHeight="1" x14ac:dyDescent="0.3">
      <c r="A46" s="62"/>
      <c r="B46" s="22"/>
      <c r="C46" s="72"/>
      <c r="D46" s="72"/>
      <c r="E46" s="72"/>
      <c r="F46" s="36"/>
      <c r="G46" s="36"/>
      <c r="H46" s="36"/>
      <c r="I46" s="86"/>
      <c r="J46" s="36"/>
      <c r="K46" s="36"/>
      <c r="L46" s="36"/>
      <c r="M46" s="36"/>
      <c r="N46" s="36"/>
      <c r="AL46" s="81"/>
      <c r="AM46" s="72"/>
      <c r="AN46" s="85"/>
    </row>
    <row r="47" spans="1:40" ht="14.4" customHeight="1" x14ac:dyDescent="0.3">
      <c r="A47" s="62"/>
      <c r="B47" s="73"/>
      <c r="C47" s="69"/>
      <c r="D47" s="69"/>
      <c r="E47" s="73"/>
      <c r="F47" s="74"/>
      <c r="G47" s="74"/>
      <c r="H47" s="74"/>
      <c r="I47" s="75"/>
      <c r="J47" s="75"/>
      <c r="K47" s="75"/>
      <c r="L47" s="75"/>
      <c r="M47" s="75"/>
      <c r="N47" s="75"/>
      <c r="AL47" s="81"/>
      <c r="AM47" s="72"/>
      <c r="AN47" s="85"/>
    </row>
    <row r="48" spans="1:40" ht="14.4" customHeight="1" x14ac:dyDescent="0.3">
      <c r="A48" s="62"/>
      <c r="B48" s="22" t="s">
        <v>33</v>
      </c>
      <c r="C48" s="72"/>
      <c r="D48" s="72"/>
      <c r="E48" s="72"/>
      <c r="F48" s="36"/>
      <c r="G48" s="36"/>
      <c r="H48" s="36"/>
      <c r="I48" s="36"/>
      <c r="J48" s="36"/>
      <c r="K48" s="36"/>
      <c r="L48" s="36"/>
      <c r="M48" s="36"/>
      <c r="N48" s="36"/>
      <c r="AL48" s="81"/>
      <c r="AM48" s="72"/>
      <c r="AN48" s="85"/>
    </row>
    <row r="49" spans="1:40" ht="14.4" customHeight="1" x14ac:dyDescent="0.3">
      <c r="A49" s="6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AL49" s="81"/>
      <c r="AM49" s="72"/>
      <c r="AN49" s="85"/>
    </row>
    <row r="50" spans="1:40" x14ac:dyDescent="0.3">
      <c r="B50" s="73"/>
      <c r="C50" s="69"/>
      <c r="D50" s="69"/>
      <c r="E50" s="73"/>
      <c r="F50" s="87"/>
      <c r="G50" s="87"/>
      <c r="H50" s="87"/>
      <c r="I50" s="75"/>
      <c r="J50" s="75"/>
      <c r="K50" s="75"/>
      <c r="L50" s="75"/>
      <c r="M50" s="75"/>
      <c r="N50" s="75"/>
    </row>
    <row r="51" spans="1:40" ht="14.4" customHeight="1" x14ac:dyDescent="0.3">
      <c r="B51" s="22" t="s">
        <v>33</v>
      </c>
      <c r="C51" s="72"/>
      <c r="D51" s="72"/>
      <c r="E51" s="72"/>
      <c r="F51" s="36"/>
      <c r="G51" s="36"/>
      <c r="H51" s="36"/>
      <c r="I51" s="36"/>
      <c r="J51" s="36"/>
      <c r="K51" s="36"/>
      <c r="L51" s="36"/>
      <c r="M51" s="36"/>
      <c r="N51" s="36"/>
    </row>
    <row r="52" spans="1:40" ht="14.4" customHeight="1" x14ac:dyDescent="0.3"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</row>
    <row r="53" spans="1:40" ht="14.4" customHeight="1" x14ac:dyDescent="0.3">
      <c r="B53" s="73"/>
      <c r="C53" s="69"/>
      <c r="D53" s="69"/>
      <c r="E53" s="73"/>
      <c r="F53" s="87"/>
      <c r="G53" s="87"/>
      <c r="H53" s="87"/>
      <c r="I53" s="88"/>
      <c r="J53" s="88"/>
      <c r="K53" s="88"/>
      <c r="L53" s="88"/>
      <c r="M53" s="88"/>
      <c r="N53" s="88"/>
    </row>
    <row r="54" spans="1:40" ht="14.4" customHeight="1" x14ac:dyDescent="0.3"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</row>
    <row r="55" spans="1:40" ht="14.4" customHeight="1" x14ac:dyDescent="0.3">
      <c r="A55" s="11" t="s">
        <v>26</v>
      </c>
      <c r="B55" s="34" t="s">
        <v>92</v>
      </c>
      <c r="C55" s="34"/>
      <c r="D55" s="34"/>
      <c r="E55" s="34"/>
      <c r="F55" s="34"/>
      <c r="G55" s="34"/>
      <c r="H55" s="34"/>
      <c r="I55" s="35"/>
      <c r="J55" s="35"/>
      <c r="K55" s="35"/>
      <c r="L55" s="35"/>
      <c r="M55" s="35"/>
      <c r="N55" s="35"/>
    </row>
    <row r="56" spans="1:40" s="5" customFormat="1" ht="1.95" customHeight="1" x14ac:dyDescent="0.3">
      <c r="A56" s="62"/>
      <c r="B56" s="6"/>
      <c r="C56" s="6"/>
      <c r="D56" s="6"/>
      <c r="E56" s="6"/>
      <c r="F56" s="6"/>
      <c r="G56" s="6"/>
      <c r="H56" s="7"/>
      <c r="I56" s="7"/>
      <c r="J56" s="7"/>
      <c r="K56" s="7"/>
      <c r="L56" s="7"/>
    </row>
    <row r="57" spans="1:40" ht="14.4" customHeight="1" x14ac:dyDescent="0.3">
      <c r="B57" s="89" t="s">
        <v>93</v>
      </c>
      <c r="C57" s="89"/>
      <c r="D57" s="89"/>
      <c r="E57" s="89"/>
      <c r="F57" s="90"/>
      <c r="G57" s="90"/>
      <c r="H57" s="90"/>
      <c r="I57" s="90"/>
      <c r="J57" s="90"/>
      <c r="K57" s="90"/>
      <c r="L57" s="90"/>
      <c r="M57" s="90"/>
      <c r="N57" s="90"/>
    </row>
    <row r="58" spans="1:40" ht="14.4" customHeight="1" x14ac:dyDescent="0.3">
      <c r="B58" s="22" t="s">
        <v>41</v>
      </c>
      <c r="C58" s="72"/>
      <c r="D58" s="72"/>
      <c r="E58" s="72"/>
      <c r="F58" s="36"/>
      <c r="G58" s="36"/>
      <c r="H58" s="36"/>
      <c r="I58" s="36"/>
      <c r="J58" s="36"/>
      <c r="K58" s="36"/>
      <c r="L58" s="36"/>
      <c r="M58" s="36"/>
      <c r="N58" s="36"/>
    </row>
    <row r="59" spans="1:40" ht="14.4" customHeight="1" x14ac:dyDescent="0.3">
      <c r="B59" s="22"/>
      <c r="C59" s="72"/>
      <c r="D59" s="72"/>
      <c r="E59" s="72"/>
      <c r="F59" s="36"/>
      <c r="G59" s="36"/>
      <c r="H59" s="36"/>
      <c r="I59" s="36"/>
      <c r="J59" s="36"/>
      <c r="K59" s="36"/>
      <c r="L59" s="36"/>
      <c r="M59" s="36"/>
      <c r="N59" s="36"/>
    </row>
    <row r="60" spans="1:40" ht="14.4" customHeight="1" x14ac:dyDescent="0.3">
      <c r="B60" s="73"/>
      <c r="C60" s="69"/>
      <c r="D60" s="73"/>
      <c r="E60" s="73"/>
      <c r="F60" s="74"/>
      <c r="G60" s="74"/>
      <c r="H60" s="74"/>
      <c r="I60" s="91"/>
      <c r="J60" s="91"/>
      <c r="K60" s="91"/>
      <c r="L60" s="91"/>
      <c r="M60" s="91"/>
      <c r="N60" s="91"/>
      <c r="O60" s="3"/>
      <c r="P60" s="3"/>
      <c r="Q60" s="3"/>
    </row>
    <row r="61" spans="1:40" ht="14.4" customHeight="1" x14ac:dyDescent="0.3">
      <c r="B61" s="22" t="s">
        <v>41</v>
      </c>
      <c r="C61" s="72"/>
      <c r="D61" s="72"/>
      <c r="E61" s="72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</row>
    <row r="62" spans="1:40" ht="14.4" customHeight="1" x14ac:dyDescent="0.3"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36"/>
      <c r="P62" s="36"/>
      <c r="Q62" s="36"/>
    </row>
    <row r="63" spans="1:40" ht="14.4" customHeight="1" x14ac:dyDescent="0.3">
      <c r="C63" s="72"/>
      <c r="D63" s="72"/>
      <c r="E63" s="72"/>
      <c r="F63" s="26"/>
      <c r="G63" s="26"/>
      <c r="H63" s="26"/>
      <c r="I63" s="92"/>
      <c r="J63" s="92"/>
      <c r="K63" s="92"/>
      <c r="L63" s="92"/>
      <c r="M63" s="92"/>
      <c r="N63" s="92"/>
      <c r="O63" s="72"/>
      <c r="P63" s="72"/>
      <c r="Q63" s="72"/>
    </row>
    <row r="64" spans="1:40" ht="14.4" customHeight="1" x14ac:dyDescent="0.3">
      <c r="A64" s="62"/>
      <c r="B64" s="22" t="s">
        <v>41</v>
      </c>
      <c r="C64" s="72"/>
      <c r="D64" s="72"/>
      <c r="E64" s="72"/>
      <c r="F64" s="36"/>
      <c r="G64" s="36"/>
      <c r="H64" s="36"/>
      <c r="I64" s="36"/>
      <c r="J64" s="36"/>
      <c r="K64" s="36"/>
      <c r="L64" s="36"/>
      <c r="M64" s="36"/>
      <c r="N64" s="36"/>
      <c r="O64" s="3"/>
      <c r="P64" s="3"/>
      <c r="Q64" s="3"/>
    </row>
    <row r="65" spans="2:17" ht="14.4" customHeight="1" x14ac:dyDescent="0.3"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36"/>
      <c r="P65" s="36"/>
      <c r="Q65" s="36"/>
    </row>
    <row r="66" spans="2:17" x14ac:dyDescent="0.3">
      <c r="C66" s="72"/>
      <c r="D66" s="72"/>
      <c r="E66" s="72"/>
      <c r="F66" s="26"/>
      <c r="G66" s="26"/>
      <c r="H66" s="26"/>
      <c r="I66" s="92"/>
      <c r="J66" s="92"/>
      <c r="K66" s="92"/>
      <c r="L66" s="92"/>
      <c r="M66" s="92"/>
      <c r="N66" s="92"/>
      <c r="O66" s="72"/>
      <c r="P66" s="72"/>
      <c r="Q66" s="72"/>
    </row>
    <row r="67" spans="2:17" ht="14.4" customHeight="1" x14ac:dyDescent="0.3">
      <c r="B67" s="22" t="s">
        <v>41</v>
      </c>
      <c r="C67" s="72"/>
      <c r="D67" s="72"/>
      <c r="E67" s="72"/>
      <c r="F67" s="36"/>
      <c r="G67" s="36"/>
      <c r="H67" s="36"/>
      <c r="I67" s="36"/>
      <c r="J67" s="36"/>
      <c r="K67" s="36"/>
      <c r="L67" s="36"/>
      <c r="M67" s="36"/>
      <c r="N67" s="36"/>
      <c r="O67" s="72"/>
      <c r="P67" s="72"/>
      <c r="Q67" s="72"/>
    </row>
    <row r="68" spans="2:17" ht="14.4" customHeight="1" x14ac:dyDescent="0.3"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</row>
    <row r="69" spans="2:17" ht="14.4" customHeight="1" x14ac:dyDescent="0.3">
      <c r="B69" s="73"/>
      <c r="C69" s="69"/>
      <c r="D69" s="69"/>
      <c r="E69" s="73"/>
      <c r="F69" s="93"/>
      <c r="G69" s="93"/>
      <c r="H69" s="93"/>
      <c r="I69" s="93"/>
      <c r="J69" s="93"/>
      <c r="K69" s="93"/>
      <c r="L69" s="93"/>
      <c r="M69" s="93"/>
      <c r="N69" s="93"/>
      <c r="O69" s="72"/>
      <c r="P69" s="72"/>
      <c r="Q69" s="72"/>
    </row>
    <row r="70" spans="2:17" ht="14.4" customHeight="1" x14ac:dyDescent="0.3">
      <c r="B70" s="22" t="s">
        <v>41</v>
      </c>
      <c r="C70" s="72"/>
      <c r="D70" s="72"/>
      <c r="E70" s="72"/>
      <c r="F70" s="36"/>
      <c r="G70" s="36"/>
      <c r="H70" s="36"/>
      <c r="I70" s="36"/>
      <c r="J70" s="36"/>
      <c r="K70" s="36"/>
      <c r="L70" s="36"/>
      <c r="M70" s="36"/>
      <c r="N70" s="36"/>
    </row>
    <row r="72" spans="2:17" ht="14.4" customHeight="1" x14ac:dyDescent="0.3">
      <c r="B72" s="73"/>
      <c r="C72" s="69"/>
      <c r="D72" s="69"/>
      <c r="E72" s="73"/>
      <c r="F72" s="74"/>
      <c r="G72" s="74"/>
      <c r="H72" s="74"/>
      <c r="I72" s="75"/>
      <c r="J72" s="75"/>
      <c r="K72" s="75"/>
      <c r="L72" s="75"/>
      <c r="M72" s="75"/>
      <c r="N72" s="75"/>
    </row>
    <row r="73" spans="2:17" ht="14.4" customHeight="1" x14ac:dyDescent="0.3">
      <c r="B73" s="22" t="s">
        <v>33</v>
      </c>
      <c r="C73" s="72"/>
      <c r="D73" s="72"/>
      <c r="E73" s="72"/>
      <c r="F73" s="36"/>
      <c r="G73" s="36"/>
      <c r="H73" s="36"/>
      <c r="I73" s="36"/>
      <c r="J73" s="36"/>
      <c r="K73" s="36"/>
      <c r="L73" s="36"/>
      <c r="M73" s="36"/>
      <c r="N73" s="36"/>
    </row>
    <row r="74" spans="2:17" ht="14.4" customHeight="1" x14ac:dyDescent="0.3"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</row>
    <row r="75" spans="2:17" ht="14.4" customHeight="1" x14ac:dyDescent="0.3">
      <c r="B75" s="73"/>
      <c r="C75" s="69"/>
      <c r="D75" s="69"/>
      <c r="E75" s="73"/>
      <c r="F75" s="87"/>
      <c r="G75" s="87"/>
      <c r="H75" s="87"/>
      <c r="I75" s="93"/>
      <c r="J75" s="93"/>
      <c r="K75" s="93"/>
      <c r="L75" s="93"/>
      <c r="M75" s="93"/>
      <c r="N75" s="93"/>
    </row>
    <row r="76" spans="2:17" ht="14.4" customHeight="1" x14ac:dyDescent="0.3">
      <c r="B76" s="22" t="s">
        <v>41</v>
      </c>
      <c r="C76" s="72"/>
      <c r="D76" s="72"/>
      <c r="E76" s="72"/>
      <c r="F76" s="36"/>
      <c r="G76" s="36"/>
      <c r="H76" s="36"/>
      <c r="I76" s="36"/>
      <c r="J76" s="36"/>
      <c r="K76" s="36"/>
      <c r="L76" s="36"/>
      <c r="M76" s="36"/>
      <c r="N76" s="36"/>
      <c r="O76" s="72"/>
      <c r="P76" s="72"/>
      <c r="Q76" s="72"/>
    </row>
    <row r="77" spans="2:17" ht="14.4" customHeight="1" x14ac:dyDescent="0.3"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</row>
    <row r="78" spans="2:17" ht="14.4" customHeight="1" x14ac:dyDescent="0.3">
      <c r="B78" s="73"/>
      <c r="C78" s="69"/>
      <c r="D78" s="69"/>
      <c r="E78" s="73"/>
      <c r="F78" s="87"/>
      <c r="G78" s="87"/>
      <c r="H78" s="87"/>
      <c r="I78" s="94"/>
      <c r="J78" s="94"/>
      <c r="K78" s="94"/>
      <c r="L78" s="94"/>
      <c r="M78" s="94"/>
      <c r="N78" s="94"/>
    </row>
    <row r="79" spans="2:17" ht="14.4" customHeight="1" x14ac:dyDescent="0.3"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</row>
    <row r="80" spans="2:17" ht="14.4" customHeight="1" x14ac:dyDescent="0.3">
      <c r="B80" s="95"/>
      <c r="C80" s="96"/>
      <c r="D80" s="96"/>
      <c r="E80" s="96"/>
      <c r="F80" s="91"/>
      <c r="G80" s="91"/>
      <c r="H80" s="91"/>
      <c r="I80" s="91"/>
      <c r="J80" s="91"/>
      <c r="K80" s="91"/>
      <c r="L80" s="91"/>
      <c r="M80" s="91"/>
      <c r="N80" s="91"/>
    </row>
    <row r="81" spans="2:17" ht="14.4" customHeight="1" x14ac:dyDescent="0.3"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</row>
    <row r="82" spans="2:17" ht="14.4" customHeight="1" x14ac:dyDescent="0.3">
      <c r="B82" s="73"/>
      <c r="C82" s="69"/>
      <c r="D82" s="69"/>
      <c r="E82" s="73"/>
      <c r="F82" s="97"/>
      <c r="G82" s="97"/>
      <c r="H82" s="97"/>
      <c r="I82" s="91"/>
      <c r="J82" s="91"/>
      <c r="K82" s="91"/>
      <c r="L82" s="91"/>
      <c r="M82" s="91"/>
      <c r="N82" s="91"/>
    </row>
    <row r="83" spans="2:17" ht="14.4" customHeight="1" x14ac:dyDescent="0.3">
      <c r="B83" s="98" t="s">
        <v>41</v>
      </c>
      <c r="F83" s="99"/>
      <c r="G83" s="99"/>
      <c r="H83" s="99"/>
      <c r="I83" s="100"/>
      <c r="J83" s="100"/>
      <c r="K83" s="100"/>
      <c r="L83" s="100"/>
      <c r="M83" s="100"/>
      <c r="N83" s="100"/>
    </row>
    <row r="84" spans="2:17" ht="14.4" customHeight="1" x14ac:dyDescent="0.3">
      <c r="B84" s="22"/>
      <c r="F84" s="99"/>
      <c r="G84" s="99"/>
      <c r="H84" s="99"/>
    </row>
    <row r="85" spans="2:17" ht="14.4" customHeight="1" x14ac:dyDescent="0.3">
      <c r="C85" s="72"/>
      <c r="D85" s="72"/>
      <c r="E85" s="72"/>
      <c r="F85" s="101"/>
      <c r="G85" s="101"/>
      <c r="H85" s="101"/>
      <c r="I85" s="92"/>
      <c r="J85" s="92"/>
      <c r="K85" s="92"/>
      <c r="L85" s="92"/>
      <c r="M85" s="92"/>
      <c r="N85" s="92"/>
    </row>
    <row r="86" spans="2:17" ht="14.4" customHeight="1" x14ac:dyDescent="0.3">
      <c r="B86" s="22" t="s">
        <v>41</v>
      </c>
      <c r="C86" s="72"/>
      <c r="D86" s="72"/>
      <c r="E86" s="72"/>
      <c r="F86" s="36"/>
      <c r="G86" s="36"/>
      <c r="H86" s="36"/>
      <c r="I86" s="36"/>
      <c r="J86" s="36"/>
      <c r="K86" s="36"/>
      <c r="L86" s="36"/>
      <c r="M86" s="36"/>
      <c r="N86" s="36"/>
    </row>
    <row r="87" spans="2:17" ht="14.4" customHeight="1" x14ac:dyDescent="0.3">
      <c r="B87" s="22"/>
      <c r="C87" s="72"/>
      <c r="D87" s="72"/>
      <c r="E87" s="72"/>
      <c r="F87" s="36"/>
      <c r="G87" s="36"/>
      <c r="H87" s="36"/>
      <c r="I87" s="36"/>
      <c r="J87" s="36"/>
      <c r="K87" s="36"/>
      <c r="L87" s="36"/>
      <c r="M87" s="36"/>
      <c r="N87" s="36"/>
    </row>
    <row r="88" spans="2:17" ht="14.4" customHeight="1" x14ac:dyDescent="0.3">
      <c r="C88" s="72"/>
      <c r="D88" s="72"/>
      <c r="E88" s="72"/>
      <c r="F88" s="102"/>
      <c r="G88" s="102"/>
      <c r="H88" s="102"/>
      <c r="I88" s="102"/>
      <c r="J88" s="76"/>
      <c r="K88" s="76"/>
      <c r="L88" s="76"/>
      <c r="M88" s="76"/>
      <c r="N88" s="76"/>
    </row>
    <row r="89" spans="2:17" ht="14.4" customHeight="1" x14ac:dyDescent="0.3">
      <c r="B89" s="22" t="s">
        <v>41</v>
      </c>
      <c r="C89" s="72"/>
      <c r="D89" s="72"/>
      <c r="E89" s="72"/>
      <c r="F89" s="36"/>
      <c r="G89" s="36"/>
      <c r="H89" s="36"/>
      <c r="I89" s="36"/>
      <c r="J89" s="36"/>
      <c r="K89" s="36"/>
      <c r="L89" s="36"/>
      <c r="M89" s="36"/>
      <c r="N89" s="36"/>
    </row>
    <row r="90" spans="2:17" ht="14.4" customHeight="1" x14ac:dyDescent="0.3">
      <c r="B90" s="22"/>
      <c r="C90" s="72"/>
      <c r="D90" s="72"/>
      <c r="E90" s="72"/>
      <c r="F90" s="36"/>
      <c r="G90" s="36"/>
      <c r="H90" s="36"/>
      <c r="I90" s="36"/>
      <c r="J90" s="36"/>
      <c r="K90" s="36"/>
      <c r="L90" s="36"/>
      <c r="M90" s="36"/>
      <c r="N90" s="36"/>
      <c r="O90" s="52"/>
      <c r="P90" s="52"/>
      <c r="Q90" s="52"/>
    </row>
    <row r="91" spans="2:17" ht="14.4" customHeight="1" x14ac:dyDescent="0.3">
      <c r="C91" s="72"/>
      <c r="D91" s="72"/>
      <c r="E91" s="72"/>
      <c r="F91" s="101"/>
      <c r="G91" s="101"/>
      <c r="H91" s="101"/>
      <c r="I91" s="92"/>
      <c r="J91" s="92"/>
      <c r="K91" s="92"/>
      <c r="L91" s="92"/>
      <c r="M91" s="92"/>
      <c r="N91" s="92"/>
      <c r="O91" s="52"/>
      <c r="P91" s="52"/>
      <c r="Q91" s="52"/>
    </row>
    <row r="92" spans="2:17" ht="14.4" customHeight="1" x14ac:dyDescent="0.3">
      <c r="B92" s="22" t="s">
        <v>41</v>
      </c>
      <c r="C92" s="72"/>
      <c r="D92" s="72"/>
      <c r="E92" s="72"/>
      <c r="F92" s="36"/>
      <c r="G92" s="36"/>
      <c r="H92" s="36"/>
      <c r="I92" s="36"/>
      <c r="J92" s="36"/>
      <c r="K92" s="36"/>
      <c r="L92" s="36"/>
      <c r="M92" s="36"/>
      <c r="N92" s="36"/>
      <c r="O92" s="52"/>
      <c r="P92" s="52"/>
      <c r="Q92" s="52"/>
    </row>
    <row r="93" spans="2:17" ht="14.4" customHeight="1" x14ac:dyDescent="0.3">
      <c r="B93" s="22"/>
      <c r="C93" s="72"/>
      <c r="D93" s="72"/>
      <c r="E93" s="72"/>
      <c r="F93" s="36"/>
      <c r="G93" s="36"/>
      <c r="H93" s="36"/>
      <c r="I93" s="36"/>
      <c r="J93" s="36"/>
      <c r="K93" s="36"/>
      <c r="L93" s="36"/>
      <c r="M93" s="36"/>
      <c r="N93" s="36"/>
      <c r="O93" s="52"/>
      <c r="P93" s="52"/>
      <c r="Q93" s="52"/>
    </row>
    <row r="94" spans="2:17" ht="14.4" customHeight="1" x14ac:dyDescent="0.3">
      <c r="C94" s="72"/>
      <c r="D94" s="72"/>
      <c r="E94" s="72"/>
      <c r="F94" s="101"/>
      <c r="G94" s="101"/>
      <c r="H94" s="101"/>
      <c r="I94" s="92"/>
      <c r="J94" s="92"/>
      <c r="K94" s="92"/>
      <c r="L94" s="92"/>
      <c r="M94" s="92"/>
      <c r="N94" s="92"/>
      <c r="O94" s="52"/>
      <c r="P94" s="52"/>
      <c r="Q94" s="52"/>
    </row>
    <row r="95" spans="2:17" ht="14.4" customHeight="1" x14ac:dyDescent="0.3">
      <c r="B95" s="22" t="s">
        <v>41</v>
      </c>
      <c r="C95" s="72"/>
      <c r="D95" s="72"/>
      <c r="E95" s="72"/>
      <c r="F95" s="36"/>
      <c r="G95" s="36"/>
      <c r="H95" s="36"/>
      <c r="I95" s="36"/>
      <c r="J95" s="36"/>
      <c r="K95" s="36"/>
      <c r="L95" s="36"/>
      <c r="M95" s="36"/>
      <c r="N95" s="36"/>
      <c r="O95" s="52"/>
      <c r="P95" s="52"/>
      <c r="Q95" s="52"/>
    </row>
    <row r="96" spans="2:17" ht="14.4" customHeight="1" x14ac:dyDescent="0.3">
      <c r="B96" s="22"/>
      <c r="C96" s="72"/>
      <c r="D96" s="72"/>
      <c r="E96" s="72"/>
      <c r="F96" s="36"/>
      <c r="G96" s="36"/>
      <c r="H96" s="36"/>
      <c r="I96" s="36"/>
      <c r="J96" s="36"/>
      <c r="K96" s="36"/>
      <c r="L96" s="36"/>
      <c r="M96" s="36"/>
      <c r="N96" s="36"/>
      <c r="O96" s="52"/>
      <c r="P96" s="52"/>
      <c r="Q96" s="52"/>
    </row>
    <row r="97" spans="1:17" ht="14.4" customHeight="1" x14ac:dyDescent="0.3">
      <c r="A97" s="11" t="s">
        <v>26</v>
      </c>
      <c r="B97" s="34" t="s">
        <v>94</v>
      </c>
      <c r="C97" s="103"/>
      <c r="D97" s="103"/>
      <c r="E97" s="103"/>
      <c r="F97" s="104"/>
      <c r="G97" s="104"/>
      <c r="H97" s="104"/>
      <c r="I97" s="105"/>
      <c r="J97" s="105"/>
      <c r="K97" s="105"/>
      <c r="L97" s="105"/>
      <c r="M97" s="105"/>
      <c r="N97" s="105"/>
      <c r="O97" s="36"/>
      <c r="P97" s="36"/>
      <c r="Q97" s="36"/>
    </row>
    <row r="98" spans="1:17" s="5" customFormat="1" ht="1.95" customHeight="1" x14ac:dyDescent="0.3">
      <c r="A98" s="62"/>
      <c r="B98" s="6"/>
      <c r="C98" s="6"/>
      <c r="D98" s="6"/>
      <c r="E98" s="6"/>
      <c r="F98" s="6"/>
      <c r="G98" s="6"/>
      <c r="H98" s="7"/>
      <c r="I98" s="7"/>
      <c r="J98" s="7"/>
      <c r="K98" s="7"/>
      <c r="L98" s="7"/>
    </row>
    <row r="99" spans="1:17" ht="14.4" customHeight="1" x14ac:dyDescent="0.3">
      <c r="A99" s="1"/>
      <c r="B99" s="98"/>
      <c r="I99" s="106"/>
      <c r="J99" s="106"/>
      <c r="K99" s="106"/>
      <c r="L99" s="106"/>
      <c r="M99" s="106"/>
      <c r="N99" s="106"/>
      <c r="O99" s="107"/>
      <c r="P99" s="107"/>
      <c r="Q99" s="52"/>
    </row>
    <row r="100" spans="1:17" ht="14.4" customHeight="1" x14ac:dyDescent="0.3">
      <c r="A100" s="1"/>
      <c r="O100" s="44"/>
      <c r="P100" s="44"/>
      <c r="Q100" s="44"/>
    </row>
    <row r="101" spans="1:17" ht="14.4" customHeight="1" x14ac:dyDescent="0.3">
      <c r="A101" s="1"/>
      <c r="B101" s="108"/>
      <c r="O101" s="107"/>
      <c r="P101" s="107"/>
      <c r="Q101" s="52"/>
    </row>
    <row r="102" spans="1:17" ht="14.4" customHeight="1" x14ac:dyDescent="0.3">
      <c r="A102" s="1"/>
      <c r="B102" s="52"/>
      <c r="I102" s="109"/>
      <c r="J102" s="110"/>
      <c r="K102" s="110"/>
      <c r="L102" s="110"/>
      <c r="M102" s="110"/>
      <c r="N102" s="109"/>
      <c r="O102" s="44"/>
      <c r="P102" s="44"/>
      <c r="Q102" s="44"/>
    </row>
    <row r="103" spans="1:17" ht="14.4" customHeight="1" x14ac:dyDescent="0.3">
      <c r="A103" s="1"/>
      <c r="B103" s="52"/>
      <c r="I103" s="111"/>
      <c r="J103" s="112"/>
      <c r="K103" s="112"/>
      <c r="L103" s="112"/>
      <c r="M103" s="112"/>
      <c r="N103" s="111"/>
      <c r="O103" s="36"/>
      <c r="P103" s="36"/>
      <c r="Q103" s="36"/>
    </row>
    <row r="104" spans="1:17" ht="14.4" customHeight="1" x14ac:dyDescent="0.3">
      <c r="A104" s="1"/>
      <c r="B104" s="52"/>
      <c r="I104" s="113"/>
      <c r="J104" s="114"/>
      <c r="K104" s="114"/>
      <c r="L104" s="114"/>
      <c r="M104" s="114"/>
      <c r="N104" s="113"/>
      <c r="O104" s="107"/>
      <c r="P104" s="107"/>
      <c r="Q104" s="52"/>
    </row>
    <row r="105" spans="1:17" ht="14.4" customHeight="1" x14ac:dyDescent="0.3">
      <c r="A105" s="1"/>
      <c r="B105" s="52"/>
      <c r="I105" s="115"/>
      <c r="J105" s="116"/>
      <c r="K105" s="116"/>
      <c r="L105" s="116"/>
      <c r="M105" s="116"/>
      <c r="N105" s="115"/>
      <c r="O105" s="44"/>
      <c r="P105" s="44"/>
      <c r="Q105" s="44"/>
    </row>
    <row r="106" spans="1:17" ht="14.4" customHeight="1" x14ac:dyDescent="0.3">
      <c r="A106" s="1"/>
      <c r="I106" s="117"/>
      <c r="J106" s="117"/>
      <c r="K106" s="117"/>
      <c r="L106" s="117"/>
      <c r="M106" s="117"/>
      <c r="N106" s="117"/>
      <c r="O106" s="36"/>
      <c r="P106" s="36"/>
      <c r="Q106" s="36"/>
    </row>
    <row r="107" spans="1:17" ht="14.4" customHeight="1" x14ac:dyDescent="0.3">
      <c r="A107" s="1"/>
      <c r="B107" s="118"/>
    </row>
    <row r="108" spans="1:17" ht="14.4" customHeight="1" x14ac:dyDescent="0.3">
      <c r="A108" s="1"/>
      <c r="B108" s="52"/>
      <c r="I108" s="119"/>
      <c r="J108" s="120"/>
      <c r="K108" s="120"/>
      <c r="L108" s="120"/>
      <c r="M108" s="120"/>
      <c r="N108" s="119"/>
      <c r="O108" s="44"/>
      <c r="P108" s="44"/>
      <c r="Q108" s="44"/>
    </row>
    <row r="109" spans="1:17" ht="14.4" customHeight="1" x14ac:dyDescent="0.3">
      <c r="A109" s="1"/>
      <c r="B109" s="52"/>
      <c r="I109" s="113"/>
      <c r="J109" s="114"/>
      <c r="K109" s="114"/>
      <c r="L109" s="114"/>
      <c r="M109" s="114"/>
      <c r="N109" s="113"/>
      <c r="O109" s="36"/>
      <c r="P109" s="36"/>
      <c r="Q109" s="36"/>
    </row>
    <row r="110" spans="1:17" ht="14.4" customHeight="1" x14ac:dyDescent="0.3">
      <c r="A110" s="1"/>
      <c r="I110" s="117"/>
      <c r="J110" s="117"/>
      <c r="K110" s="117"/>
      <c r="L110" s="117"/>
      <c r="M110" s="117"/>
      <c r="N110" s="117"/>
      <c r="O110" s="44"/>
      <c r="P110" s="44"/>
      <c r="Q110" s="44"/>
    </row>
    <row r="111" spans="1:17" ht="14.4" customHeight="1" x14ac:dyDescent="0.3">
      <c r="A111" s="1"/>
      <c r="B111" s="118"/>
      <c r="O111" s="36"/>
      <c r="P111" s="36"/>
      <c r="Q111" s="36"/>
    </row>
    <row r="112" spans="1:17" ht="14.4" customHeight="1" x14ac:dyDescent="0.3">
      <c r="A112" s="1"/>
      <c r="B112" s="52"/>
      <c r="I112" s="113"/>
      <c r="J112" s="114"/>
      <c r="K112" s="114"/>
      <c r="L112" s="114"/>
      <c r="M112" s="114"/>
      <c r="N112" s="113"/>
      <c r="O112" s="98"/>
      <c r="P112" s="98"/>
      <c r="Q112" s="52"/>
    </row>
    <row r="113" spans="1:17" ht="14.4" customHeight="1" x14ac:dyDescent="0.3">
      <c r="A113" s="1"/>
      <c r="B113" s="52"/>
      <c r="I113" s="113"/>
      <c r="J113" s="114"/>
      <c r="K113" s="114"/>
      <c r="L113" s="114"/>
      <c r="M113" s="114"/>
      <c r="N113" s="113"/>
      <c r="O113" s="92"/>
      <c r="P113" s="92"/>
      <c r="Q113" s="92"/>
    </row>
    <row r="114" spans="1:17" s="5" customFormat="1" ht="14.4" customHeight="1" x14ac:dyDescent="0.3">
      <c r="I114" s="117"/>
      <c r="J114" s="117"/>
      <c r="K114" s="117"/>
      <c r="L114" s="117"/>
      <c r="M114" s="117"/>
      <c r="N114" s="117"/>
      <c r="O114" s="92"/>
      <c r="P114" s="92"/>
      <c r="Q114" s="92"/>
    </row>
    <row r="115" spans="1:17" ht="14.4" customHeight="1" x14ac:dyDescent="0.3">
      <c r="A115" s="1"/>
      <c r="B115" s="118"/>
      <c r="O115" s="92"/>
      <c r="P115" s="92"/>
      <c r="Q115" s="52"/>
    </row>
    <row r="116" spans="1:17" ht="14.4" customHeight="1" x14ac:dyDescent="0.3">
      <c r="A116" s="1"/>
      <c r="B116" s="52"/>
      <c r="I116" s="115"/>
      <c r="J116" s="116"/>
      <c r="K116" s="116"/>
      <c r="L116" s="116"/>
      <c r="M116" s="116"/>
      <c r="N116" s="115"/>
      <c r="O116" s="52"/>
      <c r="P116" s="52"/>
      <c r="Q116" s="52"/>
    </row>
    <row r="117" spans="1:17" ht="14.4" customHeight="1" x14ac:dyDescent="0.3">
      <c r="A117" s="1"/>
      <c r="B117" s="52"/>
      <c r="I117" s="119"/>
      <c r="J117" s="120"/>
      <c r="K117" s="120"/>
      <c r="L117" s="120"/>
      <c r="M117" s="120"/>
      <c r="N117" s="119"/>
      <c r="O117" s="52"/>
      <c r="P117" s="52"/>
      <c r="Q117" s="52"/>
    </row>
    <row r="118" spans="1:17" ht="14.4" customHeight="1" x14ac:dyDescent="0.3">
      <c r="A118" s="1"/>
      <c r="B118" s="52"/>
      <c r="I118" s="119"/>
      <c r="J118" s="120"/>
      <c r="K118" s="120"/>
      <c r="L118" s="120"/>
      <c r="M118" s="120"/>
      <c r="N118" s="119"/>
      <c r="O118" s="92"/>
      <c r="P118" s="92"/>
      <c r="Q118" s="52"/>
    </row>
    <row r="119" spans="1:17" ht="14.4" customHeight="1" x14ac:dyDescent="0.3">
      <c r="A119" s="1"/>
      <c r="I119" s="117"/>
      <c r="J119" s="117"/>
      <c r="K119" s="117"/>
      <c r="L119" s="117"/>
      <c r="M119" s="117"/>
      <c r="N119" s="117"/>
      <c r="O119" s="92"/>
      <c r="P119" s="92"/>
      <c r="Q119" s="52"/>
    </row>
    <row r="120" spans="1:17" ht="14.4" customHeight="1" x14ac:dyDescent="0.3">
      <c r="A120" s="1"/>
      <c r="B120" s="118"/>
      <c r="O120" s="92"/>
      <c r="P120" s="92"/>
      <c r="Q120" s="52"/>
    </row>
    <row r="121" spans="1:17" ht="14.4" customHeight="1" x14ac:dyDescent="0.3">
      <c r="A121" s="1"/>
      <c r="B121" s="52"/>
      <c r="I121" s="119"/>
      <c r="J121" s="120"/>
      <c r="K121" s="120"/>
      <c r="L121" s="120"/>
      <c r="M121" s="120"/>
      <c r="N121" s="119"/>
      <c r="O121" s="92"/>
      <c r="P121" s="92"/>
      <c r="Q121" s="52"/>
    </row>
    <row r="122" spans="1:17" ht="14.4" customHeight="1" x14ac:dyDescent="0.3">
      <c r="A122" s="1"/>
      <c r="B122" s="52"/>
      <c r="I122" s="113"/>
      <c r="J122" s="114"/>
      <c r="K122" s="114"/>
      <c r="L122" s="114"/>
      <c r="M122" s="114"/>
      <c r="N122" s="113"/>
    </row>
    <row r="123" spans="1:17" ht="14.4" customHeight="1" x14ac:dyDescent="0.3">
      <c r="A123" s="1"/>
      <c r="B123" s="52"/>
      <c r="I123" s="120"/>
      <c r="J123" s="120"/>
      <c r="K123" s="120"/>
      <c r="L123" s="119"/>
      <c r="M123" s="120"/>
      <c r="N123" s="119"/>
    </row>
    <row r="124" spans="1:17" ht="14.4" customHeight="1" x14ac:dyDescent="0.3">
      <c r="A124" s="1"/>
      <c r="B124" s="52"/>
      <c r="I124" s="113"/>
      <c r="J124" s="114"/>
      <c r="K124" s="114"/>
      <c r="L124" s="114"/>
      <c r="M124" s="114"/>
      <c r="N124" s="113"/>
    </row>
    <row r="125" spans="1:17" ht="14.4" customHeight="1" x14ac:dyDescent="0.3">
      <c r="A125" s="1"/>
      <c r="B125" s="52"/>
      <c r="J125" s="120"/>
      <c r="K125" s="119"/>
      <c r="L125" s="120"/>
      <c r="M125" s="120"/>
      <c r="N125" s="119"/>
    </row>
    <row r="126" spans="1:17" ht="14.4" customHeight="1" x14ac:dyDescent="0.3">
      <c r="A126" s="1"/>
      <c r="B126" s="52"/>
      <c r="J126" s="114"/>
      <c r="K126" s="113"/>
      <c r="L126" s="114"/>
      <c r="M126" s="114"/>
      <c r="N126" s="113"/>
    </row>
    <row r="127" spans="1:17" ht="14.4" customHeight="1" x14ac:dyDescent="0.3">
      <c r="A127" s="1"/>
      <c r="I127" s="117"/>
      <c r="J127" s="117"/>
      <c r="K127" s="117"/>
      <c r="L127" s="117"/>
      <c r="M127" s="117"/>
      <c r="N127" s="117"/>
    </row>
    <row r="128" spans="1:17" ht="14.4" customHeight="1" x14ac:dyDescent="0.3">
      <c r="A128" s="1"/>
      <c r="B128" s="118"/>
    </row>
    <row r="129" spans="1:26" ht="14.4" customHeight="1" x14ac:dyDescent="0.3">
      <c r="A129" s="1"/>
      <c r="B129" s="52"/>
      <c r="I129" s="113"/>
      <c r="J129" s="114"/>
      <c r="K129" s="114"/>
      <c r="L129" s="114"/>
      <c r="M129" s="114"/>
      <c r="N129" s="113"/>
    </row>
    <row r="130" spans="1:26" ht="14.4" customHeight="1" x14ac:dyDescent="0.3">
      <c r="A130" s="1"/>
      <c r="B130" s="52"/>
      <c r="I130" s="113"/>
      <c r="J130" s="114"/>
      <c r="K130" s="114"/>
      <c r="L130" s="114"/>
      <c r="M130" s="114"/>
      <c r="N130" s="113"/>
    </row>
    <row r="131" spans="1:26" ht="14.4" customHeight="1" x14ac:dyDescent="0.3">
      <c r="A131" s="1"/>
      <c r="B131" s="52"/>
      <c r="I131" s="113"/>
      <c r="J131" s="114"/>
      <c r="K131" s="114"/>
      <c r="L131" s="114"/>
      <c r="M131" s="114"/>
      <c r="N131" s="113"/>
    </row>
    <row r="132" spans="1:26" ht="14.4" customHeight="1" x14ac:dyDescent="0.3">
      <c r="A132" s="1"/>
      <c r="B132" s="52"/>
      <c r="J132" s="114"/>
      <c r="K132" s="113"/>
      <c r="L132" s="114"/>
      <c r="M132" s="114"/>
      <c r="N132" s="113"/>
    </row>
    <row r="133" spans="1:26" ht="14.4" customHeight="1" x14ac:dyDescent="0.3">
      <c r="A133" s="1"/>
      <c r="I133" s="113"/>
      <c r="J133" s="114"/>
      <c r="K133" s="114"/>
      <c r="L133" s="114"/>
      <c r="M133" s="114"/>
      <c r="N133" s="113"/>
    </row>
    <row r="134" spans="1:26" ht="14.4" customHeight="1" x14ac:dyDescent="0.3">
      <c r="A134" s="1"/>
    </row>
    <row r="135" spans="1:26" ht="14.4" customHeight="1" x14ac:dyDescent="0.3">
      <c r="A135" s="121" t="s">
        <v>26</v>
      </c>
      <c r="B135" s="34"/>
      <c r="C135" s="34"/>
      <c r="D135" s="122"/>
      <c r="E135" s="122"/>
      <c r="F135" s="122"/>
      <c r="G135" s="122"/>
      <c r="H135" s="122"/>
      <c r="I135" s="35"/>
      <c r="J135" s="35"/>
      <c r="K135" s="35"/>
      <c r="L135" s="35"/>
      <c r="M135" s="35"/>
      <c r="N135" s="35"/>
    </row>
    <row r="136" spans="1:26" s="5" customFormat="1" ht="1.95" customHeight="1" x14ac:dyDescent="0.3">
      <c r="A136" s="62"/>
      <c r="B136" s="6"/>
      <c r="C136" s="6"/>
      <c r="D136" s="6"/>
      <c r="E136" s="6"/>
      <c r="F136" s="6"/>
      <c r="G136" s="6"/>
      <c r="H136" s="7"/>
      <c r="I136" s="7"/>
      <c r="J136" s="7"/>
      <c r="K136" s="7"/>
      <c r="L136" s="7"/>
    </row>
    <row r="137" spans="1:26" ht="14.4" customHeight="1" x14ac:dyDescent="0.3">
      <c r="A137" s="1"/>
      <c r="B137" s="52"/>
      <c r="I137" s="123"/>
      <c r="J137" s="123"/>
      <c r="K137" s="123"/>
      <c r="L137" s="123"/>
      <c r="M137" s="123"/>
      <c r="N137" s="123"/>
    </row>
    <row r="138" spans="1:26" ht="14.4" customHeight="1" x14ac:dyDescent="0.3">
      <c r="B138" s="52"/>
      <c r="I138" s="124"/>
      <c r="J138" s="124"/>
      <c r="K138" s="124"/>
      <c r="L138" s="124"/>
      <c r="M138" s="124"/>
      <c r="N138" s="124"/>
    </row>
    <row r="139" spans="1:26" ht="14.4" customHeight="1" x14ac:dyDescent="0.3">
      <c r="A139" s="1"/>
      <c r="B139" s="125"/>
      <c r="C139" s="126"/>
      <c r="D139" s="126"/>
      <c r="E139" s="126"/>
      <c r="F139" s="126"/>
      <c r="G139" s="126"/>
      <c r="H139" s="126"/>
      <c r="I139" s="127"/>
      <c r="J139" s="127"/>
      <c r="K139" s="127"/>
      <c r="L139" s="127"/>
      <c r="M139" s="127"/>
      <c r="N139" s="127"/>
    </row>
    <row r="140" spans="1:26" ht="14.4" customHeight="1" x14ac:dyDescent="0.3">
      <c r="A140" s="1"/>
      <c r="B140" s="52"/>
      <c r="I140" s="61"/>
      <c r="J140" s="61"/>
      <c r="K140" s="61"/>
      <c r="L140" s="61"/>
      <c r="M140" s="61"/>
      <c r="N140" s="61"/>
    </row>
    <row r="141" spans="1:26" s="5" customFormat="1" ht="14.4" customHeight="1" x14ac:dyDescent="0.3">
      <c r="B141" s="125"/>
      <c r="C141" s="126"/>
      <c r="D141" s="126"/>
      <c r="E141" s="126"/>
      <c r="F141" s="126"/>
      <c r="G141" s="126"/>
      <c r="H141" s="126"/>
      <c r="I141" s="127"/>
      <c r="J141" s="127"/>
      <c r="K141" s="127"/>
      <c r="L141" s="127"/>
      <c r="M141" s="127"/>
      <c r="N141" s="127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4" customHeight="1" x14ac:dyDescent="0.3">
      <c r="A142" s="1"/>
      <c r="B142" s="52"/>
      <c r="I142" s="123"/>
      <c r="J142" s="123"/>
      <c r="K142" s="123"/>
      <c r="L142" s="123"/>
      <c r="M142" s="123"/>
      <c r="N142" s="123"/>
    </row>
    <row r="143" spans="1:26" ht="14.4" customHeight="1" x14ac:dyDescent="0.3">
      <c r="B143" s="52"/>
      <c r="I143" s="128"/>
      <c r="J143" s="128"/>
      <c r="K143" s="128"/>
      <c r="L143" s="128"/>
      <c r="M143" s="128"/>
      <c r="N143" s="128"/>
    </row>
    <row r="144" spans="1:26" ht="14.4" customHeight="1" x14ac:dyDescent="0.3">
      <c r="A144" s="1"/>
      <c r="B144" s="129"/>
      <c r="C144" s="130"/>
      <c r="D144" s="130"/>
      <c r="E144" s="130"/>
      <c r="F144" s="130"/>
      <c r="G144" s="130"/>
      <c r="H144" s="130"/>
      <c r="I144" s="131"/>
      <c r="J144" s="131"/>
      <c r="K144" s="131"/>
      <c r="L144" s="131"/>
      <c r="M144" s="131"/>
      <c r="N144" s="131"/>
    </row>
    <row r="145" spans="1:26" s="5" customFormat="1" ht="14.4" customHeight="1" x14ac:dyDescent="0.3">
      <c r="B145" s="132"/>
      <c r="C145" s="9"/>
      <c r="D145" s="9"/>
      <c r="E145" s="9"/>
      <c r="F145" s="9"/>
      <c r="G145" s="9"/>
      <c r="H145" s="9"/>
      <c r="I145" s="133"/>
      <c r="J145" s="133"/>
      <c r="K145" s="133"/>
      <c r="L145" s="133"/>
      <c r="M145" s="133"/>
      <c r="N145" s="133"/>
      <c r="O145" s="7"/>
    </row>
    <row r="146" spans="1:26" ht="14.4" customHeight="1" x14ac:dyDescent="0.3">
      <c r="A146" s="1"/>
      <c r="B146" s="98"/>
      <c r="I146" s="134"/>
      <c r="J146" s="134"/>
      <c r="K146" s="134"/>
      <c r="L146" s="134"/>
      <c r="M146" s="134"/>
      <c r="N146" s="134"/>
    </row>
    <row r="147" spans="1:26" ht="14.4" customHeight="1" x14ac:dyDescent="0.3">
      <c r="A147" s="1"/>
      <c r="B147" s="52"/>
      <c r="I147" s="135"/>
      <c r="J147" s="135"/>
      <c r="K147" s="135"/>
      <c r="L147" s="135"/>
      <c r="M147" s="135"/>
      <c r="N147" s="135"/>
    </row>
    <row r="148" spans="1:26" ht="14.4" customHeight="1" x14ac:dyDescent="0.3">
      <c r="A148" s="1"/>
      <c r="B148" s="136"/>
      <c r="C148" s="96"/>
      <c r="D148" s="96"/>
      <c r="E148" s="96"/>
      <c r="F148" s="96"/>
      <c r="G148" s="96"/>
      <c r="H148" s="96"/>
      <c r="I148" s="137"/>
      <c r="J148" s="137"/>
      <c r="K148" s="137"/>
      <c r="L148" s="137"/>
      <c r="M148" s="137"/>
      <c r="N148" s="137"/>
    </row>
    <row r="149" spans="1:26" ht="14.4" customHeight="1" x14ac:dyDescent="0.3">
      <c r="A149" s="1"/>
      <c r="B149" s="138"/>
      <c r="I149" s="139"/>
      <c r="J149" s="139"/>
      <c r="K149" s="139"/>
      <c r="L149" s="139"/>
      <c r="M149" s="139"/>
      <c r="N149" s="139"/>
    </row>
    <row r="150" spans="1:26" ht="14.4" customHeight="1" x14ac:dyDescent="0.3">
      <c r="A150" s="1"/>
      <c r="B150" s="138"/>
      <c r="I150" s="139"/>
      <c r="J150" s="139"/>
      <c r="K150" s="139"/>
      <c r="L150" s="139"/>
      <c r="M150" s="139"/>
      <c r="N150" s="139"/>
    </row>
    <row r="151" spans="1:26" ht="14.4" customHeight="1" x14ac:dyDescent="0.3">
      <c r="A151" s="1"/>
      <c r="B151" s="138"/>
      <c r="I151" s="139"/>
      <c r="J151" s="139"/>
      <c r="K151" s="139"/>
      <c r="L151" s="139"/>
      <c r="M151" s="139"/>
      <c r="N151" s="139"/>
    </row>
    <row r="152" spans="1:26" ht="14.4" customHeight="1" x14ac:dyDescent="0.3">
      <c r="A152" s="1"/>
    </row>
    <row r="153" spans="1:26" ht="14.4" customHeight="1" x14ac:dyDescent="0.3">
      <c r="A153" s="121" t="s">
        <v>26</v>
      </c>
      <c r="B153" s="34"/>
      <c r="C153" s="140"/>
      <c r="D153" s="140"/>
      <c r="E153" s="122"/>
      <c r="F153" s="140"/>
      <c r="G153" s="122"/>
      <c r="H153" s="122"/>
      <c r="I153" s="35"/>
      <c r="J153" s="35"/>
      <c r="K153" s="35"/>
      <c r="L153" s="35"/>
      <c r="M153" s="35"/>
      <c r="N153" s="35"/>
    </row>
    <row r="154" spans="1:26" s="5" customFormat="1" ht="1.95" customHeight="1" x14ac:dyDescent="0.3">
      <c r="A154" s="62"/>
      <c r="B154" s="6"/>
      <c r="C154" s="6"/>
      <c r="D154" s="6"/>
      <c r="E154" s="6"/>
      <c r="F154" s="6"/>
      <c r="G154" s="6"/>
      <c r="H154" s="7"/>
      <c r="I154" s="7"/>
      <c r="J154" s="7"/>
      <c r="K154" s="7"/>
      <c r="L154" s="7"/>
    </row>
    <row r="155" spans="1:26" ht="14.4" customHeight="1" x14ac:dyDescent="0.3">
      <c r="A155" s="1"/>
      <c r="B155" s="108"/>
      <c r="I155" s="141"/>
      <c r="J155" s="141"/>
      <c r="K155" s="141"/>
      <c r="L155" s="141"/>
      <c r="M155" s="141"/>
      <c r="N155" s="141"/>
    </row>
    <row r="156" spans="1:26" ht="14.4" customHeight="1" x14ac:dyDescent="0.3">
      <c r="B156" s="72"/>
      <c r="I156" s="64"/>
      <c r="J156" s="120"/>
      <c r="K156" s="120"/>
      <c r="L156" s="120"/>
      <c r="M156" s="120"/>
      <c r="N156" s="64"/>
    </row>
    <row r="157" spans="1:26" ht="14.4" customHeight="1" x14ac:dyDescent="0.3">
      <c r="A157" s="1"/>
      <c r="B157" s="52"/>
      <c r="I157" s="142"/>
      <c r="J157" s="142"/>
      <c r="K157" s="142"/>
      <c r="L157" s="142"/>
      <c r="M157" s="142"/>
      <c r="N157" s="142"/>
    </row>
    <row r="158" spans="1:26" s="5" customFormat="1" ht="14.4" customHeight="1" x14ac:dyDescent="0.3">
      <c r="B158" s="52"/>
      <c r="C158" s="1"/>
      <c r="D158" s="1"/>
      <c r="E158" s="1"/>
      <c r="F158" s="1"/>
      <c r="G158" s="1"/>
      <c r="H158" s="1"/>
      <c r="I158" s="110"/>
      <c r="J158" s="110"/>
      <c r="K158" s="110"/>
      <c r="L158" s="110"/>
      <c r="M158" s="110"/>
      <c r="N158" s="110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4" customHeight="1" x14ac:dyDescent="0.3">
      <c r="A159" s="1"/>
      <c r="B159" s="108"/>
      <c r="I159" s="141"/>
      <c r="J159" s="141"/>
      <c r="K159" s="141"/>
      <c r="L159" s="141"/>
      <c r="M159" s="141"/>
      <c r="N159" s="141"/>
    </row>
    <row r="160" spans="1:26" ht="14.4" customHeight="1" x14ac:dyDescent="0.3">
      <c r="A160" s="1"/>
      <c r="B160" s="72"/>
      <c r="I160" s="64"/>
      <c r="J160" s="120"/>
      <c r="K160" s="120"/>
      <c r="L160" s="120"/>
      <c r="M160" s="120"/>
      <c r="N160" s="64"/>
    </row>
    <row r="161" spans="1:26" ht="14.4" customHeight="1" x14ac:dyDescent="0.3">
      <c r="B161" s="52"/>
      <c r="I161" s="142"/>
      <c r="J161" s="142"/>
      <c r="K161" s="142"/>
      <c r="L161" s="142"/>
      <c r="M161" s="142"/>
      <c r="N161" s="142"/>
    </row>
    <row r="162" spans="1:26" ht="14.4" customHeight="1" x14ac:dyDescent="0.3">
      <c r="B162" s="52"/>
      <c r="I162" s="110"/>
      <c r="J162" s="110"/>
      <c r="K162" s="110"/>
      <c r="L162" s="110"/>
      <c r="M162" s="110"/>
      <c r="N162" s="110"/>
    </row>
    <row r="163" spans="1:26" ht="14.4" customHeight="1" x14ac:dyDescent="0.3">
      <c r="B163" s="108"/>
      <c r="I163" s="141"/>
      <c r="J163" s="141"/>
      <c r="K163" s="141"/>
      <c r="L163" s="141"/>
      <c r="M163" s="141"/>
      <c r="N163" s="141"/>
    </row>
    <row r="164" spans="1:26" ht="14.4" customHeight="1" x14ac:dyDescent="0.3">
      <c r="B164" s="72"/>
      <c r="I164" s="64"/>
      <c r="J164" s="120"/>
      <c r="K164" s="120"/>
      <c r="L164" s="120"/>
      <c r="M164" s="120"/>
      <c r="N164" s="64"/>
    </row>
    <row r="165" spans="1:26" s="5" customFormat="1" ht="14.4" customHeight="1" x14ac:dyDescent="0.3">
      <c r="A165" s="11"/>
      <c r="B165" s="52"/>
      <c r="C165" s="1"/>
      <c r="D165" s="1"/>
      <c r="E165" s="1"/>
      <c r="F165" s="1"/>
      <c r="G165" s="1"/>
      <c r="H165" s="1"/>
      <c r="I165" s="142"/>
      <c r="J165" s="142"/>
      <c r="K165" s="142"/>
      <c r="L165" s="142"/>
      <c r="M165" s="142"/>
      <c r="N165" s="14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4" customHeight="1" x14ac:dyDescent="0.3">
      <c r="B166" s="52"/>
      <c r="I166" s="110"/>
      <c r="J166" s="110"/>
      <c r="K166" s="110"/>
      <c r="L166" s="110"/>
      <c r="M166" s="110"/>
      <c r="N166" s="110"/>
    </row>
    <row r="167" spans="1:26" ht="14.4" customHeight="1" x14ac:dyDescent="0.3">
      <c r="B167" s="108"/>
      <c r="I167" s="141"/>
      <c r="J167" s="141"/>
      <c r="K167" s="141"/>
      <c r="L167" s="141"/>
      <c r="M167" s="141"/>
      <c r="N167" s="141"/>
    </row>
    <row r="168" spans="1:26" ht="14.4" customHeight="1" x14ac:dyDescent="0.3">
      <c r="B168" s="72"/>
      <c r="I168" s="64"/>
      <c r="J168" s="120"/>
      <c r="K168" s="120"/>
      <c r="L168" s="120"/>
      <c r="M168" s="120"/>
      <c r="N168" s="64"/>
    </row>
    <row r="169" spans="1:26" ht="14.4" customHeight="1" x14ac:dyDescent="0.3">
      <c r="B169" s="52"/>
      <c r="I169" s="142"/>
      <c r="J169" s="142"/>
      <c r="K169" s="142"/>
      <c r="L169" s="142"/>
      <c r="M169" s="142"/>
      <c r="N169" s="142"/>
    </row>
    <row r="170" spans="1:26" ht="14.4" customHeight="1" x14ac:dyDescent="0.3">
      <c r="B170" s="52"/>
      <c r="I170" s="110"/>
      <c r="J170" s="110"/>
      <c r="K170" s="110"/>
      <c r="L170" s="110"/>
      <c r="M170" s="110"/>
      <c r="N170" s="110"/>
    </row>
    <row r="171" spans="1:26" ht="14.4" customHeight="1" x14ac:dyDescent="0.3">
      <c r="B171" s="143"/>
      <c r="C171" s="144"/>
      <c r="D171" s="144"/>
      <c r="E171" s="144"/>
      <c r="F171" s="144"/>
      <c r="G171" s="144"/>
      <c r="H171" s="144"/>
      <c r="I171" s="145"/>
      <c r="J171" s="145"/>
      <c r="K171" s="145"/>
      <c r="L171" s="145"/>
      <c r="M171" s="145"/>
      <c r="N171" s="146"/>
    </row>
    <row r="172" spans="1:26" ht="14.4" customHeight="1" x14ac:dyDescent="0.3">
      <c r="B172" s="147"/>
      <c r="C172" s="148"/>
      <c r="D172" s="148"/>
      <c r="E172" s="148"/>
      <c r="F172" s="148"/>
      <c r="G172" s="148"/>
      <c r="H172" s="148"/>
      <c r="I172" s="149"/>
      <c r="J172" s="149"/>
      <c r="K172" s="149"/>
      <c r="L172" s="149"/>
      <c r="M172" s="149"/>
      <c r="N172" s="150"/>
    </row>
    <row r="173" spans="1:26" ht="14.4" customHeight="1" x14ac:dyDescent="0.3">
      <c r="B173" s="147"/>
      <c r="C173" s="148"/>
      <c r="D173" s="148"/>
      <c r="E173" s="148"/>
      <c r="F173" s="148"/>
      <c r="G173" s="148"/>
      <c r="H173" s="148"/>
      <c r="I173" s="149"/>
      <c r="J173" s="149"/>
      <c r="K173" s="149"/>
      <c r="L173" s="149"/>
      <c r="M173" s="149"/>
      <c r="N173" s="150"/>
    </row>
    <row r="174" spans="1:26" ht="14.4" customHeight="1" x14ac:dyDescent="0.3">
      <c r="A174" s="11" t="s">
        <v>26</v>
      </c>
      <c r="B174" s="147"/>
      <c r="C174" s="148"/>
      <c r="D174" s="148"/>
      <c r="E174" s="148"/>
      <c r="F174" s="148"/>
      <c r="G174" s="148"/>
      <c r="H174" s="148"/>
      <c r="I174" s="149"/>
      <c r="J174" s="149"/>
      <c r="K174" s="149"/>
      <c r="L174" s="149"/>
      <c r="M174" s="149"/>
      <c r="N174" s="150"/>
    </row>
    <row r="175" spans="1:26" ht="14.4" customHeight="1" x14ac:dyDescent="0.3">
      <c r="B175" s="151"/>
      <c r="C175" s="152"/>
      <c r="D175" s="152"/>
      <c r="E175" s="152"/>
      <c r="F175" s="152"/>
      <c r="G175" s="152"/>
      <c r="H175" s="152"/>
      <c r="I175" s="153"/>
      <c r="J175" s="153"/>
      <c r="K175" s="153"/>
      <c r="L175" s="153"/>
      <c r="M175" s="153"/>
      <c r="N175" s="154"/>
    </row>
    <row r="176" spans="1:26" ht="14.4" customHeight="1" x14ac:dyDescent="0.3">
      <c r="B176" s="138"/>
      <c r="I176" s="155"/>
      <c r="J176" s="155"/>
      <c r="K176" s="155"/>
      <c r="L176" s="155"/>
      <c r="M176" s="155"/>
      <c r="N176" s="155"/>
    </row>
    <row r="177" spans="2:14" ht="14.4" customHeight="1" x14ac:dyDescent="0.3">
      <c r="B177" s="138"/>
      <c r="I177" s="155"/>
      <c r="J177" s="155"/>
      <c r="K177" s="155"/>
      <c r="L177" s="155"/>
      <c r="M177" s="155"/>
      <c r="N177" s="155"/>
    </row>
    <row r="178" spans="2:14" ht="14.4" customHeight="1" x14ac:dyDescent="0.3">
      <c r="B178" s="138"/>
      <c r="I178" s="155"/>
      <c r="J178" s="155"/>
      <c r="K178" s="155"/>
      <c r="L178" s="155"/>
      <c r="M178" s="155"/>
      <c r="N178" s="155"/>
    </row>
    <row r="179" spans="2:14" ht="14.4" customHeight="1" x14ac:dyDescent="0.3">
      <c r="B179" s="138"/>
      <c r="I179" s="155"/>
      <c r="J179" s="155"/>
      <c r="K179" s="155"/>
      <c r="L179" s="155"/>
      <c r="M179" s="155"/>
      <c r="N179" s="155"/>
    </row>
    <row r="180" spans="2:14" ht="14.4" customHeight="1" x14ac:dyDescent="0.3">
      <c r="B180" s="138"/>
      <c r="I180" s="139"/>
      <c r="J180" s="139"/>
      <c r="K180" s="139"/>
      <c r="L180" s="139"/>
      <c r="M180" s="139"/>
      <c r="N180" s="139"/>
    </row>
    <row r="181" spans="2:14" ht="14.4" customHeight="1" x14ac:dyDescent="0.3">
      <c r="B181" s="138"/>
      <c r="I181" s="141"/>
      <c r="J181" s="141"/>
      <c r="K181" s="141"/>
      <c r="L181" s="141"/>
      <c r="M181" s="141"/>
      <c r="N181" s="141"/>
    </row>
    <row r="182" spans="2:14" ht="14.4" customHeight="1" x14ac:dyDescent="0.3">
      <c r="B182" s="138"/>
      <c r="I182" s="141"/>
      <c r="J182" s="141"/>
      <c r="K182" s="141"/>
      <c r="L182" s="141"/>
      <c r="M182" s="141"/>
      <c r="N182" s="141"/>
    </row>
    <row r="183" spans="2:14" ht="14.4" customHeight="1" x14ac:dyDescent="0.3">
      <c r="B183" s="138"/>
      <c r="I183" s="141"/>
      <c r="J183" s="141"/>
      <c r="K183" s="141"/>
      <c r="L183" s="141"/>
      <c r="M183" s="141"/>
      <c r="N183" s="141"/>
    </row>
    <row r="184" spans="2:14" ht="14.4" customHeight="1" x14ac:dyDescent="0.3">
      <c r="B184" s="138"/>
      <c r="I184" s="141"/>
      <c r="J184" s="141"/>
      <c r="K184" s="141"/>
      <c r="L184" s="141"/>
      <c r="M184" s="141"/>
      <c r="N184" s="141"/>
    </row>
    <row r="185" spans="2:14" ht="14.4" customHeight="1" x14ac:dyDescent="0.3">
      <c r="B185" s="138"/>
      <c r="I185" s="141"/>
      <c r="J185" s="141"/>
      <c r="K185" s="141"/>
      <c r="L185" s="141"/>
      <c r="M185" s="141"/>
      <c r="N185" s="141"/>
    </row>
    <row r="186" spans="2:14" ht="14.4" customHeight="1" x14ac:dyDescent="0.3">
      <c r="B186" s="138"/>
      <c r="I186" s="141"/>
      <c r="J186" s="141"/>
      <c r="K186" s="141"/>
      <c r="L186" s="141"/>
      <c r="M186" s="141"/>
      <c r="N186" s="141"/>
    </row>
    <row r="187" spans="2:14" ht="14.4" customHeight="1" x14ac:dyDescent="0.3">
      <c r="B187" s="138"/>
      <c r="I187" s="141"/>
      <c r="J187" s="141"/>
      <c r="K187" s="141"/>
      <c r="L187" s="141"/>
      <c r="M187" s="141"/>
      <c r="N187" s="141"/>
    </row>
    <row r="188" spans="2:14" ht="14.4" customHeight="1" x14ac:dyDescent="0.3">
      <c r="B188" s="138"/>
      <c r="I188" s="141"/>
      <c r="J188" s="141"/>
      <c r="K188" s="141"/>
      <c r="L188" s="141"/>
      <c r="M188" s="141"/>
      <c r="N188" s="141"/>
    </row>
    <row r="189" spans="2:14" ht="14.4" customHeight="1" x14ac:dyDescent="0.3">
      <c r="B189" s="138"/>
      <c r="I189" s="141"/>
      <c r="J189" s="141"/>
      <c r="K189" s="141"/>
      <c r="L189" s="141"/>
      <c r="M189" s="141"/>
      <c r="N189" s="141"/>
    </row>
    <row r="190" spans="2:14" ht="14.4" customHeight="1" x14ac:dyDescent="0.3">
      <c r="B190" s="138"/>
      <c r="I190" s="141"/>
      <c r="J190" s="141"/>
      <c r="K190" s="141"/>
      <c r="L190" s="141"/>
      <c r="M190" s="141"/>
      <c r="N190" s="141"/>
    </row>
    <row r="191" spans="2:14" ht="14.4" customHeight="1" x14ac:dyDescent="0.3">
      <c r="B191" s="138"/>
      <c r="I191" s="141"/>
      <c r="J191" s="141"/>
      <c r="K191" s="141"/>
      <c r="L191" s="141"/>
      <c r="M191" s="141"/>
      <c r="N191" s="141"/>
    </row>
    <row r="192" spans="2:14" ht="14.4" customHeight="1" x14ac:dyDescent="0.3">
      <c r="B192" s="138"/>
      <c r="I192" s="141"/>
      <c r="J192" s="141"/>
      <c r="K192" s="141"/>
      <c r="L192" s="141"/>
      <c r="M192" s="141"/>
      <c r="N192" s="141"/>
    </row>
    <row r="193" spans="2:16" ht="14.4" customHeight="1" x14ac:dyDescent="0.3">
      <c r="B193" s="138"/>
      <c r="I193" s="141"/>
      <c r="J193" s="141"/>
      <c r="K193" s="141"/>
      <c r="L193" s="141"/>
      <c r="M193" s="141"/>
      <c r="N193" s="141"/>
    </row>
    <row r="194" spans="2:16" ht="14.4" customHeight="1" x14ac:dyDescent="0.3">
      <c r="B194" s="138"/>
      <c r="I194" s="141"/>
      <c r="J194" s="141"/>
      <c r="K194" s="141"/>
      <c r="L194" s="141"/>
      <c r="M194" s="141"/>
      <c r="N194" s="141"/>
    </row>
    <row r="195" spans="2:16" ht="14.4" customHeight="1" x14ac:dyDescent="0.3">
      <c r="B195" s="138"/>
      <c r="I195" s="141"/>
      <c r="J195" s="141"/>
      <c r="K195" s="141"/>
      <c r="L195" s="141"/>
      <c r="M195" s="141"/>
      <c r="N195" s="141"/>
    </row>
    <row r="196" spans="2:16" ht="14.4" customHeight="1" x14ac:dyDescent="0.3">
      <c r="B196" s="138"/>
      <c r="I196" s="141"/>
      <c r="J196" s="141"/>
      <c r="K196" s="141"/>
      <c r="L196" s="141"/>
      <c r="M196" s="141"/>
      <c r="N196" s="141"/>
    </row>
    <row r="197" spans="2:16" ht="14.4" customHeight="1" x14ac:dyDescent="0.3">
      <c r="B197" s="138"/>
      <c r="I197" s="141"/>
      <c r="J197" s="141"/>
      <c r="K197" s="141"/>
      <c r="L197" s="141"/>
      <c r="M197" s="141"/>
      <c r="N197" s="141"/>
    </row>
    <row r="198" spans="2:16" ht="14.4" customHeight="1" x14ac:dyDescent="0.3"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</row>
    <row r="199" spans="2:16" ht="14.4" customHeight="1" x14ac:dyDescent="0.3"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</row>
    <row r="200" spans="2:16" ht="14.4" customHeight="1" x14ac:dyDescent="0.3"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</row>
    <row r="201" spans="2:16" ht="14.4" customHeight="1" x14ac:dyDescent="0.3"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</row>
    <row r="202" spans="2:16" ht="14.4" customHeight="1" x14ac:dyDescent="0.3"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</row>
    <row r="203" spans="2:16" ht="14.4" customHeight="1" x14ac:dyDescent="0.3"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</row>
    <row r="204" spans="2:16" ht="14.4" customHeight="1" x14ac:dyDescent="0.3"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</row>
    <row r="205" spans="2:16" ht="14.4" customHeight="1" x14ac:dyDescent="0.3"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</row>
    <row r="206" spans="2:16" ht="14.4" customHeight="1" x14ac:dyDescent="0.3"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</row>
    <row r="207" spans="2:16" ht="14.4" customHeight="1" x14ac:dyDescent="0.3"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</row>
    <row r="208" spans="2:16" ht="14.4" customHeight="1" x14ac:dyDescent="0.3"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</row>
    <row r="209" spans="1:26" ht="14.4" customHeight="1" x14ac:dyDescent="0.3"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</row>
    <row r="210" spans="1:26" ht="14.4" customHeight="1" x14ac:dyDescent="0.3"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</row>
    <row r="211" spans="1:26" ht="14.4" customHeight="1" x14ac:dyDescent="0.3"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</row>
    <row r="212" spans="1:26" ht="14.4" customHeight="1" x14ac:dyDescent="0.3"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</row>
    <row r="213" spans="1:26" ht="14.4" customHeight="1" x14ac:dyDescent="0.3"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</row>
    <row r="214" spans="1:26" ht="14.4" customHeight="1" x14ac:dyDescent="0.3"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</row>
    <row r="215" spans="1:26" ht="14.4" customHeight="1" x14ac:dyDescent="0.3"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</row>
    <row r="216" spans="1:26" ht="14.4" customHeight="1" x14ac:dyDescent="0.3"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</row>
    <row r="217" spans="1:26" s="5" customFormat="1" ht="14.4" customHeight="1" x14ac:dyDescent="0.3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4" customHeight="1" x14ac:dyDescent="0.3"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</row>
    <row r="219" spans="1:26" ht="14.4" customHeight="1" x14ac:dyDescent="0.3"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</row>
    <row r="220" spans="1:26" ht="14.4" customHeight="1" x14ac:dyDescent="0.3"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</row>
    <row r="221" spans="1:26" ht="14.4" customHeight="1" x14ac:dyDescent="0.3"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</row>
    <row r="222" spans="1:26" ht="14.4" customHeight="1" x14ac:dyDescent="0.3"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</row>
    <row r="223" spans="1:26" ht="14.4" customHeight="1" x14ac:dyDescent="0.3"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</row>
    <row r="224" spans="1:26" ht="14.4" customHeight="1" x14ac:dyDescent="0.3"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</row>
    <row r="225" spans="1:26" ht="14.4" customHeight="1" x14ac:dyDescent="0.3"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</row>
    <row r="226" spans="1:26" ht="14.4" customHeight="1" x14ac:dyDescent="0.3"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</row>
    <row r="227" spans="1:26" ht="14.4" customHeight="1" x14ac:dyDescent="0.3"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</row>
    <row r="228" spans="1:26" ht="14.4" customHeight="1" x14ac:dyDescent="0.3"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</row>
    <row r="229" spans="1:26" ht="14.4" customHeight="1" x14ac:dyDescent="0.3"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</row>
    <row r="230" spans="1:26" ht="14.4" customHeight="1" x14ac:dyDescent="0.3"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</row>
    <row r="231" spans="1:26" ht="14.4" customHeight="1" x14ac:dyDescent="0.3"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</row>
    <row r="232" spans="1:26" ht="14.4" customHeight="1" x14ac:dyDescent="0.3"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</row>
    <row r="233" spans="1:26" ht="14.4" customHeight="1" x14ac:dyDescent="0.3"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</row>
    <row r="234" spans="1:26" ht="14.4" customHeight="1" x14ac:dyDescent="0.3"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</row>
    <row r="235" spans="1:26" ht="14.4" customHeight="1" x14ac:dyDescent="0.3"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</row>
    <row r="236" spans="1:26" ht="14.4" customHeight="1" x14ac:dyDescent="0.3"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1:26" ht="14.4" customHeight="1" x14ac:dyDescent="0.3"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1:26" ht="14.4" customHeight="1" x14ac:dyDescent="0.3"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</row>
    <row r="239" spans="1:26" s="5" customFormat="1" ht="14.4" customHeight="1" x14ac:dyDescent="0.3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4" customHeight="1" x14ac:dyDescent="0.3"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</row>
    <row r="241" spans="2:16" ht="14.4" customHeight="1" x14ac:dyDescent="0.3"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 ht="14.4" customHeight="1" x14ac:dyDescent="0.3"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</row>
    <row r="243" spans="2:16" x14ac:dyDescent="0.3"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 ht="14.4" customHeight="1" x14ac:dyDescent="0.3"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 ht="14.4" customHeight="1" x14ac:dyDescent="0.3"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 ht="14.4" customHeight="1" x14ac:dyDescent="0.3"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 ht="14.4" customHeight="1" x14ac:dyDescent="0.3"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 x14ac:dyDescent="0.3"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 ht="14.4" customHeight="1" x14ac:dyDescent="0.3"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 ht="14.4" customHeight="1" x14ac:dyDescent="0.3"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 ht="14.4" customHeight="1" x14ac:dyDescent="0.3"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 ht="14.4" customHeight="1" x14ac:dyDescent="0.3"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</row>
    <row r="253" spans="2:16" ht="14.4" customHeight="1" x14ac:dyDescent="0.3"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</row>
    <row r="254" spans="2:16" ht="14.4" customHeight="1" x14ac:dyDescent="0.3"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 ht="14.4" customHeight="1" x14ac:dyDescent="0.3"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 ht="14.4" customHeight="1" x14ac:dyDescent="0.3"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 x14ac:dyDescent="0.3"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</row>
    <row r="258" spans="2:16" ht="14.4" customHeight="1" x14ac:dyDescent="0.3"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</row>
    <row r="259" spans="2:16" ht="14.4" customHeight="1" x14ac:dyDescent="0.3"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 ht="14.4" customHeight="1" x14ac:dyDescent="0.3"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 ht="14.4" customHeight="1" x14ac:dyDescent="0.3"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 ht="14.4" customHeight="1" x14ac:dyDescent="0.3"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 ht="14.4" customHeight="1" x14ac:dyDescent="0.3"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 ht="14.4" customHeight="1" x14ac:dyDescent="0.3"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 ht="14.4" customHeight="1" x14ac:dyDescent="0.3"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 ht="14.4" customHeight="1" x14ac:dyDescent="0.3"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</row>
    <row r="267" spans="2:16" ht="14.4" customHeight="1" x14ac:dyDescent="0.3"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</row>
    <row r="268" spans="2:16" ht="14.4" customHeight="1" x14ac:dyDescent="0.3"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</row>
    <row r="269" spans="2:16" ht="14.4" customHeight="1" x14ac:dyDescent="0.3"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</row>
    <row r="270" spans="2:16" ht="14.4" customHeight="1" x14ac:dyDescent="0.3"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</row>
    <row r="271" spans="2:16" ht="14.4" customHeight="1" x14ac:dyDescent="0.3"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 ht="14.4" customHeight="1" x14ac:dyDescent="0.3"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 ht="14.4" customHeight="1" x14ac:dyDescent="0.3"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 ht="14.4" customHeight="1" x14ac:dyDescent="0.3"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 ht="14.4" customHeight="1" x14ac:dyDescent="0.3"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</row>
    <row r="276" spans="2:16" ht="14.4" customHeight="1" x14ac:dyDescent="0.3"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 ht="14.4" customHeight="1" x14ac:dyDescent="0.3"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 ht="14.4" customHeight="1" x14ac:dyDescent="0.3"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 ht="14.4" customHeight="1" x14ac:dyDescent="0.3"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 ht="14.4" customHeight="1" x14ac:dyDescent="0.3"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 ht="14.4" customHeight="1" x14ac:dyDescent="0.3"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</row>
    <row r="282" spans="2:16" ht="14.4" customHeight="1" x14ac:dyDescent="0.3"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</row>
    <row r="283" spans="2:16" ht="14.4" customHeight="1" x14ac:dyDescent="0.3"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</row>
    <row r="284" spans="2:16" ht="14.4" customHeight="1" x14ac:dyDescent="0.3"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 ht="14.4" customHeight="1" x14ac:dyDescent="0.3"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 ht="14.4" customHeight="1" x14ac:dyDescent="0.3"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2:16" ht="14.4" customHeight="1" x14ac:dyDescent="0.3"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 ht="14.4" customHeight="1" x14ac:dyDescent="0.3"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spans="1:16" ht="14.4" customHeight="1" x14ac:dyDescent="0.3"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spans="1:16" ht="14.4" customHeight="1" x14ac:dyDescent="0.3"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spans="1:16" ht="14.4" customHeight="1" x14ac:dyDescent="0.3"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1:16" ht="14.4" customHeight="1" x14ac:dyDescent="0.3"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spans="1:16" ht="14.4" customHeight="1" x14ac:dyDescent="0.3"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1:16" ht="14.4" customHeight="1" x14ac:dyDescent="0.3"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1:16" ht="14.4" customHeight="1" x14ac:dyDescent="0.3"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1:16" ht="14.4" customHeight="1" x14ac:dyDescent="0.3">
      <c r="A296" s="2"/>
    </row>
    <row r="297" spans="1:16" ht="14.4" customHeight="1" x14ac:dyDescent="0.3">
      <c r="A297" s="2"/>
    </row>
    <row r="298" spans="1:16" ht="14.4" customHeight="1" x14ac:dyDescent="0.3">
      <c r="A298" s="2"/>
    </row>
    <row r="299" spans="1:16" ht="14.4" customHeight="1" x14ac:dyDescent="0.3">
      <c r="A299" s="2"/>
    </row>
    <row r="300" spans="1:16" ht="14.4" customHeight="1" x14ac:dyDescent="0.3">
      <c r="A300" s="2"/>
    </row>
    <row r="301" spans="1:16" ht="14.4" customHeight="1" x14ac:dyDescent="0.3">
      <c r="A301" s="2"/>
    </row>
    <row r="302" spans="1:16" ht="14.4" customHeight="1" x14ac:dyDescent="0.3">
      <c r="A302" s="2"/>
    </row>
    <row r="303" spans="1:16" ht="14.4" customHeight="1" x14ac:dyDescent="0.3">
      <c r="A303" s="2"/>
    </row>
    <row r="304" spans="1:16" ht="14.4" customHeight="1" x14ac:dyDescent="0.3">
      <c r="A304" s="2"/>
    </row>
    <row r="305" spans="1:1" ht="14.4" customHeight="1" x14ac:dyDescent="0.3">
      <c r="A305" s="2"/>
    </row>
    <row r="306" spans="1:1" ht="14.4" customHeight="1" x14ac:dyDescent="0.3">
      <c r="A306" s="2"/>
    </row>
    <row r="307" spans="1:1" ht="14.4" customHeight="1" x14ac:dyDescent="0.3">
      <c r="A307" s="2"/>
    </row>
    <row r="308" spans="1:1" ht="14.4" customHeight="1" x14ac:dyDescent="0.3">
      <c r="A308" s="2"/>
    </row>
    <row r="309" spans="1:1" ht="14.4" customHeight="1" x14ac:dyDescent="0.3">
      <c r="A309" s="2"/>
    </row>
    <row r="310" spans="1:1" ht="14.4" customHeight="1" x14ac:dyDescent="0.3">
      <c r="A310" s="2"/>
    </row>
    <row r="311" spans="1:1" ht="14.4" customHeight="1" x14ac:dyDescent="0.3">
      <c r="A311" s="2"/>
    </row>
    <row r="312" spans="1:1" ht="14.4" customHeight="1" x14ac:dyDescent="0.3">
      <c r="A312" s="2"/>
    </row>
    <row r="313" spans="1:1" ht="14.4" customHeight="1" x14ac:dyDescent="0.3">
      <c r="A31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2026-05-20T23:14:04Z</dcterms:modified>
</cp:coreProperties>
</file>