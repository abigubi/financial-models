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erem\Downloads\"/>
    </mc:Choice>
  </mc:AlternateContent>
  <xr:revisionPtr revIDLastSave="0" documentId="13_ncr:1_{1C307615-7545-48A3-8810-4C27F26519C9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Main" sheetId="1" r:id="rId1"/>
    <sheet name="Segm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6" i="1" l="1"/>
  <c r="Z6" i="1"/>
  <c r="AA6" i="1" s="1"/>
  <c r="AB6" i="1" s="1"/>
  <c r="AC6" i="1" s="1"/>
  <c r="T19" i="1"/>
  <c r="P10" i="1"/>
  <c r="N28" i="1"/>
  <c r="M28" i="1"/>
  <c r="L28" i="1"/>
  <c r="K28" i="1"/>
  <c r="J28" i="1"/>
  <c r="I28" i="1"/>
  <c r="I81" i="2"/>
  <c r="I78" i="2"/>
  <c r="I75" i="2"/>
  <c r="H72" i="2"/>
  <c r="G72" i="2"/>
  <c r="F72" i="2"/>
  <c r="I67" i="2"/>
  <c r="I64" i="2"/>
  <c r="I61" i="2"/>
  <c r="H58" i="2"/>
  <c r="G58" i="2"/>
  <c r="F58" i="2"/>
  <c r="I55" i="2"/>
  <c r="I52" i="2"/>
  <c r="I49" i="2"/>
  <c r="H46" i="2"/>
  <c r="G46" i="2"/>
  <c r="F46" i="2"/>
  <c r="I32" i="2"/>
  <c r="J32" i="2" s="1"/>
  <c r="N23" i="2"/>
  <c r="N17" i="2" s="1"/>
  <c r="J41" i="2"/>
  <c r="I41" i="2"/>
  <c r="I42" i="2" s="1"/>
  <c r="I20" i="2"/>
  <c r="I38" i="2"/>
  <c r="I33" i="2"/>
  <c r="I29" i="2"/>
  <c r="I30" i="2" s="1"/>
  <c r="I23" i="2"/>
  <c r="I24" i="2" s="1"/>
  <c r="H35" i="2"/>
  <c r="G35" i="2"/>
  <c r="F35" i="2"/>
  <c r="H42" i="2"/>
  <c r="G42" i="2"/>
  <c r="H39" i="2"/>
  <c r="G39" i="2"/>
  <c r="H26" i="2"/>
  <c r="G26" i="2"/>
  <c r="F26" i="2"/>
  <c r="H33" i="2"/>
  <c r="G33" i="2"/>
  <c r="H30" i="2"/>
  <c r="G30" i="2"/>
  <c r="G17" i="2"/>
  <c r="F17" i="2"/>
  <c r="F14" i="2" s="1"/>
  <c r="H17" i="2"/>
  <c r="H24" i="2"/>
  <c r="G24" i="2"/>
  <c r="G21" i="2"/>
  <c r="H21" i="2"/>
  <c r="H22" i="1"/>
  <c r="G22" i="1"/>
  <c r="F23" i="1"/>
  <c r="E23" i="1"/>
  <c r="E20" i="1"/>
  <c r="F20" i="1"/>
  <c r="G20" i="1"/>
  <c r="G23" i="1"/>
  <c r="F22" i="1"/>
  <c r="F17" i="1"/>
  <c r="G17" i="1"/>
  <c r="E17" i="1"/>
  <c r="F18" i="1"/>
  <c r="E18" i="1"/>
  <c r="G18" i="1"/>
  <c r="G93" i="1"/>
  <c r="H80" i="1"/>
  <c r="G80" i="1"/>
  <c r="F80" i="1"/>
  <c r="H94" i="1"/>
  <c r="F94" i="1"/>
  <c r="I90" i="1"/>
  <c r="F55" i="1"/>
  <c r="G55" i="1"/>
  <c r="H55" i="1"/>
  <c r="H120" i="1"/>
  <c r="G120" i="1"/>
  <c r="F120" i="1"/>
  <c r="H44" i="1"/>
  <c r="G44" i="1"/>
  <c r="F44" i="1"/>
  <c r="G71" i="1"/>
  <c r="H71" i="1"/>
  <c r="I71" i="1"/>
  <c r="F59" i="1"/>
  <c r="G59" i="1"/>
  <c r="H59" i="1"/>
  <c r="F47" i="1"/>
  <c r="G47" i="1"/>
  <c r="H47" i="1"/>
  <c r="F41" i="1"/>
  <c r="G41" i="1"/>
  <c r="H41" i="1"/>
  <c r="F38" i="1"/>
  <c r="G38" i="1"/>
  <c r="H38" i="1"/>
  <c r="F34" i="1"/>
  <c r="G34" i="1"/>
  <c r="H34" i="1"/>
  <c r="I120" i="1"/>
  <c r="H107" i="1"/>
  <c r="G107" i="1"/>
  <c r="F107" i="1"/>
  <c r="H101" i="1"/>
  <c r="G101" i="1"/>
  <c r="F101" i="1"/>
  <c r="H91" i="1"/>
  <c r="G91" i="1"/>
  <c r="F91" i="1"/>
  <c r="H87" i="1"/>
  <c r="G87" i="1"/>
  <c r="F87" i="1"/>
  <c r="H83" i="1"/>
  <c r="G83" i="1"/>
  <c r="F83" i="1"/>
  <c r="H79" i="1"/>
  <c r="G79" i="1"/>
  <c r="F79" i="1"/>
  <c r="J70" i="1"/>
  <c r="H32" i="1"/>
  <c r="G32" i="1"/>
  <c r="F32" i="1"/>
  <c r="H29" i="1"/>
  <c r="G29" i="1"/>
  <c r="P17" i="1"/>
  <c r="Z4" i="1"/>
  <c r="F73" i="2" l="1"/>
  <c r="F59" i="2"/>
  <c r="F47" i="2"/>
  <c r="F82" i="2"/>
  <c r="F79" i="2"/>
  <c r="F76" i="2"/>
  <c r="F65" i="2"/>
  <c r="F62" i="2"/>
  <c r="I72" i="2"/>
  <c r="I82" i="1" s="1"/>
  <c r="I58" i="2"/>
  <c r="I46" i="2"/>
  <c r="F56" i="2"/>
  <c r="F53" i="2"/>
  <c r="F50" i="2"/>
  <c r="J30" i="2"/>
  <c r="H36" i="2"/>
  <c r="G36" i="2"/>
  <c r="H27" i="2"/>
  <c r="G27" i="2"/>
  <c r="K32" i="2"/>
  <c r="J33" i="2"/>
  <c r="K41" i="2"/>
  <c r="J42" i="2"/>
  <c r="J20" i="2"/>
  <c r="L20" i="2"/>
  <c r="K20" i="2"/>
  <c r="M20" i="2"/>
  <c r="J38" i="2"/>
  <c r="I35" i="2"/>
  <c r="I36" i="2" s="1"/>
  <c r="I39" i="2"/>
  <c r="I26" i="2"/>
  <c r="G18" i="2"/>
  <c r="G14" i="2"/>
  <c r="H18" i="2"/>
  <c r="H14" i="2"/>
  <c r="N21" i="2"/>
  <c r="M21" i="2"/>
  <c r="L23" i="2"/>
  <c r="L17" i="2"/>
  <c r="M23" i="2"/>
  <c r="M17" i="2" s="1"/>
  <c r="N18" i="2" s="1"/>
  <c r="K23" i="2"/>
  <c r="L21" i="2"/>
  <c r="K21" i="2"/>
  <c r="I17" i="2"/>
  <c r="I21" i="2"/>
  <c r="I18" i="2"/>
  <c r="I14" i="2"/>
  <c r="H18" i="1"/>
  <c r="E9" i="1" s="1"/>
  <c r="H56" i="1"/>
  <c r="F56" i="1"/>
  <c r="I31" i="1"/>
  <c r="I37" i="1"/>
  <c r="I40" i="1"/>
  <c r="I41" i="1"/>
  <c r="G94" i="1"/>
  <c r="I94" i="1"/>
  <c r="G56" i="1"/>
  <c r="I44" i="1"/>
  <c r="G49" i="1"/>
  <c r="F49" i="1"/>
  <c r="F61" i="1" s="1"/>
  <c r="F67" i="1" s="1"/>
  <c r="F96" i="1" s="1"/>
  <c r="F84" i="1" s="1"/>
  <c r="H49" i="1"/>
  <c r="H61" i="1" s="1"/>
  <c r="H67" i="1" s="1"/>
  <c r="H96" i="1" s="1"/>
  <c r="H84" i="1" s="1"/>
  <c r="I56" i="1"/>
  <c r="H35" i="1"/>
  <c r="J71" i="1"/>
  <c r="I59" i="1"/>
  <c r="F35" i="1"/>
  <c r="G35" i="1"/>
  <c r="H126" i="1"/>
  <c r="G126" i="1"/>
  <c r="H121" i="1"/>
  <c r="F126" i="1"/>
  <c r="G121" i="1"/>
  <c r="F108" i="1"/>
  <c r="I121" i="1"/>
  <c r="J120" i="1"/>
  <c r="H108" i="1"/>
  <c r="G108" i="1"/>
  <c r="J90" i="1"/>
  <c r="H102" i="1"/>
  <c r="G102" i="1"/>
  <c r="I91" i="1"/>
  <c r="I101" i="1"/>
  <c r="I102" i="1" s="1"/>
  <c r="I86" i="1"/>
  <c r="K70" i="1"/>
  <c r="K71" i="1" s="1"/>
  <c r="I47" i="1"/>
  <c r="I29" i="1"/>
  <c r="AA4" i="1"/>
  <c r="AB4" i="1" s="1"/>
  <c r="AC4" i="1" s="1"/>
  <c r="I73" i="2" l="1"/>
  <c r="I59" i="2"/>
  <c r="J82" i="1"/>
  <c r="I78" i="1"/>
  <c r="I80" i="1" s="1"/>
  <c r="G82" i="2"/>
  <c r="G79" i="2"/>
  <c r="G76" i="2"/>
  <c r="G73" i="2"/>
  <c r="G68" i="2"/>
  <c r="G65" i="2"/>
  <c r="G62" i="2"/>
  <c r="G59" i="2"/>
  <c r="H82" i="2"/>
  <c r="H79" i="2"/>
  <c r="H76" i="2"/>
  <c r="H73" i="2"/>
  <c r="H68" i="2"/>
  <c r="H65" i="2"/>
  <c r="H62" i="2"/>
  <c r="H59" i="2"/>
  <c r="I82" i="2"/>
  <c r="I79" i="2"/>
  <c r="I76" i="2"/>
  <c r="I68" i="2"/>
  <c r="I65" i="2"/>
  <c r="I62" i="2"/>
  <c r="I47" i="2"/>
  <c r="G56" i="2"/>
  <c r="G53" i="2"/>
  <c r="G50" i="2"/>
  <c r="G47" i="2"/>
  <c r="H56" i="2"/>
  <c r="H53" i="2"/>
  <c r="H50" i="2"/>
  <c r="H47" i="2"/>
  <c r="I50" i="2"/>
  <c r="I56" i="2"/>
  <c r="I53" i="2"/>
  <c r="I27" i="2"/>
  <c r="K30" i="2"/>
  <c r="L30" i="2" s="1"/>
  <c r="M30" i="2" s="1"/>
  <c r="N30" i="2" s="1"/>
  <c r="J29" i="2"/>
  <c r="G15" i="2"/>
  <c r="H15" i="2"/>
  <c r="K33" i="2"/>
  <c r="L32" i="2"/>
  <c r="L41" i="2"/>
  <c r="K42" i="2"/>
  <c r="J21" i="2"/>
  <c r="J23" i="2"/>
  <c r="J39" i="2"/>
  <c r="K38" i="2"/>
  <c r="J35" i="2"/>
  <c r="J36" i="2" s="1"/>
  <c r="L24" i="2"/>
  <c r="K17" i="2"/>
  <c r="M18" i="2"/>
  <c r="L18" i="2"/>
  <c r="I15" i="2"/>
  <c r="M24" i="2"/>
  <c r="N24" i="2"/>
  <c r="H52" i="1"/>
  <c r="H53" i="1" s="1"/>
  <c r="I126" i="1"/>
  <c r="P18" i="1"/>
  <c r="J121" i="1"/>
  <c r="I18" i="1"/>
  <c r="J40" i="1"/>
  <c r="J31" i="1"/>
  <c r="J94" i="1" s="1"/>
  <c r="J37" i="1"/>
  <c r="F52" i="1"/>
  <c r="F53" i="1" s="1"/>
  <c r="G52" i="1"/>
  <c r="G53" i="1" s="1"/>
  <c r="G61" i="1"/>
  <c r="G67" i="1" s="1"/>
  <c r="G96" i="1" s="1"/>
  <c r="G84" i="1" s="1"/>
  <c r="J56" i="1"/>
  <c r="J44" i="1"/>
  <c r="H50" i="1"/>
  <c r="I87" i="1"/>
  <c r="I34" i="1"/>
  <c r="F50" i="1"/>
  <c r="G50" i="1"/>
  <c r="J59" i="1"/>
  <c r="J47" i="1"/>
  <c r="J101" i="1"/>
  <c r="J86" i="1"/>
  <c r="J87" i="1" s="1"/>
  <c r="J29" i="1"/>
  <c r="G124" i="1"/>
  <c r="G125" i="1"/>
  <c r="I32" i="1"/>
  <c r="H125" i="1"/>
  <c r="H124" i="1"/>
  <c r="F125" i="1"/>
  <c r="F124" i="1"/>
  <c r="K90" i="1"/>
  <c r="J91" i="1"/>
  <c r="I107" i="1"/>
  <c r="I108" i="1" s="1"/>
  <c r="I83" i="1"/>
  <c r="L70" i="1"/>
  <c r="K120" i="1"/>
  <c r="J126" i="1"/>
  <c r="K82" i="1" l="1"/>
  <c r="J78" i="1"/>
  <c r="J80" i="1" s="1"/>
  <c r="K29" i="2"/>
  <c r="J26" i="2"/>
  <c r="J27" i="2" s="1"/>
  <c r="L33" i="2"/>
  <c r="M32" i="2"/>
  <c r="M41" i="2"/>
  <c r="L42" i="2"/>
  <c r="K24" i="2"/>
  <c r="J24" i="2"/>
  <c r="J17" i="2"/>
  <c r="K39" i="2"/>
  <c r="K35" i="2"/>
  <c r="K36" i="2" s="1"/>
  <c r="L38" i="2"/>
  <c r="K78" i="1"/>
  <c r="L82" i="1"/>
  <c r="P19" i="1"/>
  <c r="I35" i="1"/>
  <c r="I49" i="1"/>
  <c r="K37" i="1"/>
  <c r="K40" i="1"/>
  <c r="K31" i="1"/>
  <c r="K94" i="1" s="1"/>
  <c r="K80" i="1"/>
  <c r="K56" i="1"/>
  <c r="K44" i="1"/>
  <c r="H62" i="1"/>
  <c r="H65" i="1"/>
  <c r="K101" i="1"/>
  <c r="K86" i="1"/>
  <c r="K87" i="1" s="1"/>
  <c r="K29" i="1"/>
  <c r="F62" i="1"/>
  <c r="F65" i="1"/>
  <c r="G62" i="1"/>
  <c r="G65" i="1"/>
  <c r="K47" i="1"/>
  <c r="K59" i="1"/>
  <c r="J34" i="1"/>
  <c r="J35" i="1" s="1"/>
  <c r="J83" i="1"/>
  <c r="J102" i="1"/>
  <c r="J107" i="1"/>
  <c r="J108" i="1" s="1"/>
  <c r="J32" i="1"/>
  <c r="K91" i="1"/>
  <c r="L90" i="1"/>
  <c r="I79" i="1"/>
  <c r="M70" i="1"/>
  <c r="L71" i="1"/>
  <c r="L120" i="1"/>
  <c r="K126" i="1"/>
  <c r="K121" i="1"/>
  <c r="L29" i="2" l="1"/>
  <c r="K26" i="2"/>
  <c r="N32" i="2"/>
  <c r="N33" i="2" s="1"/>
  <c r="M33" i="2"/>
  <c r="N41" i="2"/>
  <c r="N42" i="2" s="1"/>
  <c r="M42" i="2"/>
  <c r="K18" i="2"/>
  <c r="J18" i="2"/>
  <c r="J14" i="2"/>
  <c r="M38" i="2"/>
  <c r="L35" i="2"/>
  <c r="L36" i="2" s="1"/>
  <c r="L39" i="2"/>
  <c r="P24" i="1"/>
  <c r="L78" i="1"/>
  <c r="M82" i="1"/>
  <c r="P22" i="1"/>
  <c r="L37" i="1"/>
  <c r="L40" i="1"/>
  <c r="L31" i="1"/>
  <c r="L94" i="1" s="1"/>
  <c r="L80" i="1"/>
  <c r="L56" i="1"/>
  <c r="L44" i="1"/>
  <c r="P20" i="1"/>
  <c r="H68" i="1"/>
  <c r="H73" i="1"/>
  <c r="K34" i="1"/>
  <c r="K35" i="1" s="1"/>
  <c r="K102" i="1"/>
  <c r="K107" i="1"/>
  <c r="K108" i="1" s="1"/>
  <c r="K83" i="1"/>
  <c r="K32" i="1"/>
  <c r="L59" i="1"/>
  <c r="L29" i="1"/>
  <c r="L101" i="1"/>
  <c r="L102" i="1" s="1"/>
  <c r="L47" i="1"/>
  <c r="L86" i="1"/>
  <c r="L87" i="1" s="1"/>
  <c r="F68" i="1"/>
  <c r="F73" i="1"/>
  <c r="G68" i="1"/>
  <c r="G73" i="1"/>
  <c r="J79" i="1"/>
  <c r="F104" i="1"/>
  <c r="M90" i="1"/>
  <c r="L91" i="1"/>
  <c r="N70" i="1"/>
  <c r="M71" i="1"/>
  <c r="M120" i="1"/>
  <c r="L126" i="1"/>
  <c r="L121" i="1"/>
  <c r="M29" i="2" l="1"/>
  <c r="L26" i="2"/>
  <c r="K14" i="2"/>
  <c r="K15" i="2" s="1"/>
  <c r="K27" i="2"/>
  <c r="J15" i="2"/>
  <c r="N38" i="2"/>
  <c r="M39" i="2"/>
  <c r="M35" i="2"/>
  <c r="M36" i="2" s="1"/>
  <c r="M78" i="1"/>
  <c r="N82" i="1"/>
  <c r="N78" i="1" s="1"/>
  <c r="L32" i="1"/>
  <c r="M37" i="1"/>
  <c r="M40" i="1"/>
  <c r="M31" i="1"/>
  <c r="M94" i="1" s="1"/>
  <c r="M80" i="1"/>
  <c r="H104" i="1"/>
  <c r="G104" i="1"/>
  <c r="G97" i="1"/>
  <c r="H97" i="1"/>
  <c r="H74" i="1"/>
  <c r="M56" i="1"/>
  <c r="M44" i="1"/>
  <c r="K79" i="1"/>
  <c r="M29" i="1"/>
  <c r="M59" i="1"/>
  <c r="M101" i="1"/>
  <c r="M102" i="1" s="1"/>
  <c r="M47" i="1"/>
  <c r="M86" i="1"/>
  <c r="M87" i="1" s="1"/>
  <c r="L79" i="1"/>
  <c r="L107" i="1"/>
  <c r="L108" i="1" s="1"/>
  <c r="L83" i="1"/>
  <c r="L34" i="1"/>
  <c r="L35" i="1" s="1"/>
  <c r="G74" i="1"/>
  <c r="G117" i="1"/>
  <c r="H117" i="1"/>
  <c r="H123" i="1" s="1"/>
  <c r="F117" i="1"/>
  <c r="F128" i="1"/>
  <c r="F105" i="1"/>
  <c r="F110" i="1"/>
  <c r="M91" i="1"/>
  <c r="N90" i="1"/>
  <c r="N71" i="1"/>
  <c r="N120" i="1"/>
  <c r="M126" i="1"/>
  <c r="M121" i="1"/>
  <c r="M26" i="2" l="1"/>
  <c r="N29" i="2"/>
  <c r="N26" i="2" s="1"/>
  <c r="N27" i="2" s="1"/>
  <c r="L27" i="2"/>
  <c r="L14" i="2"/>
  <c r="L15" i="2" s="1"/>
  <c r="N39" i="2"/>
  <c r="N35" i="2"/>
  <c r="M32" i="1"/>
  <c r="N44" i="1"/>
  <c r="N37" i="1"/>
  <c r="N40" i="1"/>
  <c r="N31" i="1"/>
  <c r="N94" i="1" s="1"/>
  <c r="N80" i="1"/>
  <c r="H110" i="1"/>
  <c r="H105" i="1"/>
  <c r="H128" i="1"/>
  <c r="G105" i="1"/>
  <c r="G110" i="1"/>
  <c r="G128" i="1"/>
  <c r="N56" i="1"/>
  <c r="M107" i="1"/>
  <c r="M108" i="1" s="1"/>
  <c r="M83" i="1"/>
  <c r="M79" i="1"/>
  <c r="N101" i="1"/>
  <c r="N58" i="1"/>
  <c r="N47" i="1"/>
  <c r="N29" i="1"/>
  <c r="N86" i="1"/>
  <c r="N87" i="1" s="1"/>
  <c r="M34" i="1"/>
  <c r="M35" i="1" s="1"/>
  <c r="G123" i="1"/>
  <c r="H118" i="1"/>
  <c r="G118" i="1"/>
  <c r="F123" i="1"/>
  <c r="F127" i="1"/>
  <c r="F111" i="1"/>
  <c r="N91" i="1"/>
  <c r="N126" i="1"/>
  <c r="N121" i="1"/>
  <c r="M27" i="2" l="1"/>
  <c r="M14" i="2"/>
  <c r="M15" i="2" s="1"/>
  <c r="N14" i="2"/>
  <c r="N15" i="2" s="1"/>
  <c r="N36" i="2"/>
  <c r="N32" i="1"/>
  <c r="H127" i="1"/>
  <c r="H111" i="1"/>
  <c r="G111" i="1"/>
  <c r="G127" i="1"/>
  <c r="N107" i="1"/>
  <c r="N108" i="1" s="1"/>
  <c r="N83" i="1"/>
  <c r="N102" i="1"/>
  <c r="N34" i="1"/>
  <c r="N35" i="1" s="1"/>
  <c r="N79" i="1" l="1"/>
  <c r="Y10" i="1"/>
  <c r="Y7" i="1"/>
  <c r="Z7" i="1" l="1"/>
  <c r="Z10" i="1"/>
  <c r="Y13" i="1"/>
  <c r="AA10" i="1" l="1"/>
  <c r="AA7" i="1"/>
  <c r="Z13" i="1"/>
  <c r="AA13" i="1" l="1"/>
  <c r="AB7" i="1"/>
  <c r="AB10" i="1"/>
  <c r="AC7" i="1" l="1"/>
  <c r="AC10" i="1"/>
  <c r="AB13" i="1"/>
  <c r="AC13" i="1" l="1"/>
  <c r="T18" i="1"/>
  <c r="I52" i="1" l="1"/>
  <c r="I53" i="1" s="1"/>
  <c r="I61" i="1" l="1"/>
  <c r="I64" i="1" s="1"/>
  <c r="I65" i="1" s="1"/>
  <c r="P23" i="1"/>
  <c r="I50" i="1"/>
  <c r="I124" i="1"/>
  <c r="I125" i="1"/>
  <c r="I38" i="1" l="1"/>
  <c r="I67" i="1"/>
  <c r="I96" i="1" s="1"/>
  <c r="I84" i="1" s="1"/>
  <c r="I62" i="1"/>
  <c r="I97" i="1" l="1"/>
  <c r="P21" i="1" l="1"/>
  <c r="I68" i="1"/>
  <c r="I73" i="1"/>
  <c r="I104" i="1"/>
  <c r="I117" i="1" l="1"/>
  <c r="I105" i="1"/>
  <c r="I110" i="1"/>
  <c r="I74" i="1"/>
  <c r="I128" i="1"/>
  <c r="I123" i="1" l="1"/>
  <c r="I118" i="1"/>
  <c r="I111" i="1"/>
  <c r="I127" i="1"/>
  <c r="I113" i="1"/>
  <c r="T17" i="1" l="1"/>
  <c r="T21" i="1" s="1"/>
  <c r="T23" i="1" s="1"/>
  <c r="N41" i="1" l="1"/>
  <c r="J41" i="1"/>
  <c r="K41" i="1"/>
  <c r="M41" i="1"/>
  <c r="L41" i="1"/>
  <c r="K49" i="1" l="1"/>
  <c r="J49" i="1"/>
  <c r="L49" i="1"/>
  <c r="L61" i="1" s="1"/>
  <c r="M49" i="1"/>
  <c r="M61" i="1" s="1"/>
  <c r="M38" i="1"/>
  <c r="L38" i="1"/>
  <c r="K38" i="1"/>
  <c r="J38" i="1"/>
  <c r="L125" i="1" l="1"/>
  <c r="L124" i="1"/>
  <c r="L62" i="1"/>
  <c r="L64" i="1"/>
  <c r="L65" i="1" s="1"/>
  <c r="M62" i="1"/>
  <c r="M64" i="1"/>
  <c r="M65" i="1" s="1"/>
  <c r="M52" i="1"/>
  <c r="M53" i="1" s="1"/>
  <c r="M125" i="1"/>
  <c r="M124" i="1"/>
  <c r="M50" i="1"/>
  <c r="J52" i="1"/>
  <c r="K52" i="1"/>
  <c r="K53" i="1" s="1"/>
  <c r="L50" i="1"/>
  <c r="K61" i="1"/>
  <c r="K64" i="1" s="1"/>
  <c r="K65" i="1" s="1"/>
  <c r="J61" i="1"/>
  <c r="J64" i="1" s="1"/>
  <c r="J65" i="1" s="1"/>
  <c r="J50" i="1"/>
  <c r="J124" i="1"/>
  <c r="K50" i="1"/>
  <c r="K125" i="1"/>
  <c r="K124" i="1"/>
  <c r="J125" i="1"/>
  <c r="L52" i="1"/>
  <c r="L53" i="1" s="1"/>
  <c r="M67" i="1" l="1"/>
  <c r="L67" i="1"/>
  <c r="J53" i="1"/>
  <c r="K62" i="1"/>
  <c r="J62" i="1"/>
  <c r="M96" i="1" l="1"/>
  <c r="M68" i="1"/>
  <c r="M73" i="1"/>
  <c r="L96" i="1"/>
  <c r="L68" i="1"/>
  <c r="L73" i="1"/>
  <c r="L117" i="1" s="1"/>
  <c r="L123" i="1" s="1"/>
  <c r="K67" i="1"/>
  <c r="J67" i="1"/>
  <c r="M104" i="1" l="1"/>
  <c r="M97" i="1"/>
  <c r="M84" i="1"/>
  <c r="M117" i="1"/>
  <c r="M74" i="1"/>
  <c r="L104" i="1"/>
  <c r="L84" i="1"/>
  <c r="K73" i="1"/>
  <c r="K96" i="1"/>
  <c r="K84" i="1" s="1"/>
  <c r="K68" i="1"/>
  <c r="J73" i="1"/>
  <c r="J68" i="1"/>
  <c r="J96" i="1"/>
  <c r="J84" i="1" s="1"/>
  <c r="M128" i="1" l="1"/>
  <c r="M110" i="1"/>
  <c r="M105" i="1"/>
  <c r="M118" i="1"/>
  <c r="M123" i="1"/>
  <c r="L110" i="1"/>
  <c r="L128" i="1"/>
  <c r="L105" i="1"/>
  <c r="L74" i="1"/>
  <c r="K117" i="1"/>
  <c r="K104" i="1"/>
  <c r="L97" i="1"/>
  <c r="J117" i="1"/>
  <c r="J74" i="1"/>
  <c r="J97" i="1"/>
  <c r="J104" i="1"/>
  <c r="K74" i="1"/>
  <c r="K97" i="1"/>
  <c r="M113" i="1" l="1"/>
  <c r="M127" i="1"/>
  <c r="M111" i="1"/>
  <c r="L113" i="1"/>
  <c r="L111" i="1"/>
  <c r="L127" i="1"/>
  <c r="L118" i="1"/>
  <c r="K110" i="1"/>
  <c r="K105" i="1"/>
  <c r="K123" i="1"/>
  <c r="K128" i="1"/>
  <c r="J123" i="1"/>
  <c r="J118" i="1"/>
  <c r="J128" i="1"/>
  <c r="J105" i="1"/>
  <c r="J110" i="1"/>
  <c r="K118" i="1"/>
  <c r="K113" i="1" l="1"/>
  <c r="K127" i="1"/>
  <c r="K111" i="1"/>
  <c r="J113" i="1"/>
  <c r="J111" i="1"/>
  <c r="J127" i="1"/>
  <c r="N49" i="1" l="1"/>
  <c r="N61" i="1" s="1"/>
  <c r="N38" i="1"/>
  <c r="N52" i="1" l="1"/>
  <c r="N124" i="1"/>
  <c r="N125" i="1"/>
  <c r="N50" i="1"/>
  <c r="N62" i="1"/>
  <c r="N64" i="1"/>
  <c r="N65" i="1" s="1"/>
  <c r="N67" i="1" l="1"/>
  <c r="P8" i="1"/>
  <c r="P9" i="1" s="1"/>
  <c r="N53" i="1"/>
  <c r="N73" i="1" l="1"/>
  <c r="N96" i="1"/>
  <c r="N68" i="1"/>
  <c r="N74" i="1" l="1"/>
  <c r="N117" i="1"/>
  <c r="N97" i="1"/>
  <c r="N104" i="1"/>
  <c r="N84" i="1"/>
  <c r="N118" i="1" l="1"/>
  <c r="N123" i="1"/>
  <c r="N110" i="1"/>
  <c r="N105" i="1"/>
  <c r="N128" i="1"/>
  <c r="N127" i="1" l="1"/>
  <c r="N113" i="1"/>
  <c r="P7" i="1" s="1"/>
  <c r="P13" i="1" s="1"/>
  <c r="N111" i="1"/>
  <c r="U13" i="1" l="1"/>
  <c r="E8" i="1"/>
  <c r="E10" i="1" s="1"/>
  <c r="H17" i="1" l="1"/>
  <c r="H20" i="1" s="1"/>
  <c r="H23" i="1" s="1"/>
  <c r="I17" i="1"/>
  <c r="E11" i="1" l="1"/>
  <c r="I20" i="1"/>
  <c r="I23" i="1" s="1"/>
</calcChain>
</file>

<file path=xl/sharedStrings.xml><?xml version="1.0" encoding="utf-8"?>
<sst xmlns="http://schemas.openxmlformats.org/spreadsheetml/2006/main" count="240" uniqueCount="122">
  <si>
    <t>Company Overview</t>
  </si>
  <si>
    <t>Key Stats</t>
  </si>
  <si>
    <t>Price</t>
  </si>
  <si>
    <t>Ticker</t>
  </si>
  <si>
    <t>SPCE</t>
  </si>
  <si>
    <t>Employees</t>
  </si>
  <si>
    <t>Implied Share Price</t>
  </si>
  <si>
    <t>Founded</t>
  </si>
  <si>
    <t>CEO</t>
  </si>
  <si>
    <t>Elon Musk</t>
  </si>
  <si>
    <t>Implied Upside / (Downside)</t>
  </si>
  <si>
    <t>Headquarters</t>
  </si>
  <si>
    <t>Starbase, Texas</t>
  </si>
  <si>
    <t>Primary Industry</t>
  </si>
  <si>
    <t>Aerospace / Satcom / AI</t>
  </si>
  <si>
    <t>Last Updated</t>
  </si>
  <si>
    <t>Fiscal Year End</t>
  </si>
  <si>
    <t>Key Statistics</t>
  </si>
  <si>
    <t>Debt</t>
  </si>
  <si>
    <t>Enterprise Value</t>
  </si>
  <si>
    <t>2026E</t>
  </si>
  <si>
    <t>2027E</t>
  </si>
  <si>
    <t>2028E</t>
  </si>
  <si>
    <t>2029E</t>
  </si>
  <si>
    <t>2030E</t>
  </si>
  <si>
    <t>2031E</t>
  </si>
  <si>
    <t>x</t>
  </si>
  <si>
    <t>10 Year DCF</t>
  </si>
  <si>
    <t>Valuation</t>
  </si>
  <si>
    <t>Notes</t>
  </si>
  <si>
    <t>Revenue</t>
  </si>
  <si>
    <t>PV of FCF</t>
  </si>
  <si>
    <t>WACC</t>
  </si>
  <si>
    <t>% growth</t>
  </si>
  <si>
    <t>Terminal Value</t>
  </si>
  <si>
    <t>EV/EBITDA Multiple</t>
  </si>
  <si>
    <t>PV of Terminal Value</t>
  </si>
  <si>
    <t>Net Debt</t>
  </si>
  <si>
    <t>Free Cash Flow</t>
  </si>
  <si>
    <t>IRR</t>
  </si>
  <si>
    <t>Strategic Investments</t>
  </si>
  <si>
    <t>% of sales</t>
  </si>
  <si>
    <t>Shares Outstanding</t>
  </si>
  <si>
    <t>Implied Market Cap</t>
  </si>
  <si>
    <t>Share Price</t>
  </si>
  <si>
    <t>Present Value of FCF</t>
  </si>
  <si>
    <t>Financial Ratios</t>
  </si>
  <si>
    <t>Gordon Growth Method</t>
  </si>
  <si>
    <t>Stock Price</t>
  </si>
  <si>
    <t>Market Cap</t>
  </si>
  <si>
    <t>FCF Value</t>
  </si>
  <si>
    <t>shares outstanding</t>
  </si>
  <si>
    <t>P/E (LTM)</t>
  </si>
  <si>
    <t>P/E (NTM)</t>
  </si>
  <si>
    <t>Cash</t>
  </si>
  <si>
    <t>EV/EBITDA (LTM)</t>
  </si>
  <si>
    <t>Total</t>
  </si>
  <si>
    <t>EV/EBITDA (NTM)</t>
  </si>
  <si>
    <t>EV/EBIT (LTM)</t>
  </si>
  <si>
    <t>Income Statement ($M)</t>
  </si>
  <si>
    <t>COGS</t>
  </si>
  <si>
    <t>Gross Profit</t>
  </si>
  <si>
    <t>Research &amp; Development</t>
  </si>
  <si>
    <t>SG&amp;A</t>
  </si>
  <si>
    <t>Operating Income (EBIT)</t>
  </si>
  <si>
    <t>EBITDA</t>
  </si>
  <si>
    <t xml:space="preserve">  Tax Rate %</t>
  </si>
  <si>
    <t>Net Income</t>
  </si>
  <si>
    <t xml:space="preserve"> % of sales </t>
  </si>
  <si>
    <t>EPS</t>
  </si>
  <si>
    <t>Cash Flow Items</t>
  </si>
  <si>
    <t>D&amp;A</t>
  </si>
  <si>
    <t>% of capex</t>
  </si>
  <si>
    <t>CapEx</t>
  </si>
  <si>
    <t>% of ocf</t>
  </si>
  <si>
    <t>Change in NWC</t>
  </si>
  <si>
    <t>% of changes in sales</t>
  </si>
  <si>
    <t>Stock Based Compensation</t>
  </si>
  <si>
    <t>Cash Flow from Operations</t>
  </si>
  <si>
    <t>DCF</t>
  </si>
  <si>
    <t>Operating Cash Flow</t>
  </si>
  <si>
    <t>Per Share</t>
  </si>
  <si>
    <t>% change</t>
  </si>
  <si>
    <t>P/E</t>
  </si>
  <si>
    <t>P/EBIT</t>
  </si>
  <si>
    <t>P/EBITDA</t>
  </si>
  <si>
    <t>P/S</t>
  </si>
  <si>
    <t>P/FCF</t>
  </si>
  <si>
    <t>P/OCF</t>
  </si>
  <si>
    <t>all values in millions except per share numbers</t>
  </si>
  <si>
    <t>Levers</t>
  </si>
  <si>
    <t>Product Segments ($M)</t>
  </si>
  <si>
    <t>Operating Income by Segment</t>
  </si>
  <si>
    <t>Operating Income</t>
  </si>
  <si>
    <t>Impairment</t>
  </si>
  <si>
    <t>Other Income</t>
  </si>
  <si>
    <t>Income Before Taxes</t>
  </si>
  <si>
    <t>Provision for Income Taxes</t>
  </si>
  <si>
    <t>Restructuring</t>
  </si>
  <si>
    <t>Shares Outsanding</t>
  </si>
  <si>
    <t>Interest Income (Expense)</t>
  </si>
  <si>
    <t>Adjustments</t>
  </si>
  <si>
    <t>Space</t>
  </si>
  <si>
    <t>Launch Services</t>
  </si>
  <si>
    <t>Launch &amp; Development</t>
  </si>
  <si>
    <t>Connectivity</t>
  </si>
  <si>
    <t>Advertising</t>
  </si>
  <si>
    <t>Consumer</t>
  </si>
  <si>
    <t>Enterprise &amp; Government</t>
  </si>
  <si>
    <t>AI</t>
  </si>
  <si>
    <t>AI Solutions &amp; Infrastructure</t>
  </si>
  <si>
    <t>Mass to Orbit</t>
  </si>
  <si>
    <t>Launches</t>
  </si>
  <si>
    <t>Starlink ARPU</t>
  </si>
  <si>
    <t>Starlink Subs (m)</t>
  </si>
  <si>
    <t>AI Compute GW</t>
  </si>
  <si>
    <t>Capital Expenditures</t>
  </si>
  <si>
    <t>Industry Metrics</t>
  </si>
  <si>
    <t>Space CapEx</t>
  </si>
  <si>
    <t>Connectivity CapEx</t>
  </si>
  <si>
    <t>AI CapEx</t>
  </si>
  <si>
    <t>Bitcoin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</si>
</sst>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6" formatCode="&quot;$&quot;#,##0_);[Red]\(&quot;$&quot;#,##0\)"/>
    <numFmt numFmtId="41" formatCode="_(* #,##0_);_(* \(#,##0\);_(* &quot;-&quot;_);_(@_)"/>
    <numFmt numFmtId="164" formatCode="&quot;$&quot;#,##0.00"/>
    <numFmt numFmtId="165" formatCode="mm/dd/yyyy"/>
    <numFmt numFmtId="166" formatCode="0.0%"/>
    <numFmt numFmtId="167" formatCode="&quot;$&quot;#,##0"/>
    <numFmt numFmtId="168" formatCode="#.00%;\(#.00%\)"/>
    <numFmt numFmtId="169" formatCode="#,##0;\(#,##0\)"/>
    <numFmt numFmtId="170" formatCode="#,##0.00;\(#,##0.00\)"/>
    <numFmt numFmtId="171" formatCode="0.0&quot;x&quot;"/>
    <numFmt numFmtId="172" formatCode="0.0%;\(0.0%\);\-"/>
    <numFmt numFmtId="173" formatCode="0.00;\(0.00\)"/>
    <numFmt numFmtId="174" formatCode="#,##0;\(#,##0\);\-"/>
    <numFmt numFmtId="175" formatCode="0.0%;\(0.0%\)"/>
    <numFmt numFmtId="176" formatCode="0.00%;\(0.00%\)"/>
    <numFmt numFmtId="177" formatCode="#,##0.00&quot;x&quot;;\(#,##0.00&quot;x&quot;\)"/>
    <numFmt numFmtId="178" formatCode="0%;\(0%\);\-"/>
    <numFmt numFmtId="179" formatCode="0.00&quot;x&quot;"/>
    <numFmt numFmtId="180" formatCode="0.000"/>
    <numFmt numFmtId="181" formatCode="#,##0.0%;\(0.0%\);\-"/>
    <numFmt numFmtId="182" formatCode="#,##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FFFFFF"/>
      <name val="calibri"/>
      <family val="2"/>
    </font>
    <font>
      <b/>
      <sz val="11"/>
      <color theme="0"/>
      <name val="calibri"/>
      <family val="2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  <font>
      <sz val="8"/>
      <color theme="1"/>
      <name val="calibri"/>
      <family val="2"/>
    </font>
    <font>
      <sz val="11"/>
      <color theme="7" tint="-0.249977111117893"/>
      <name val="Calibri"/>
      <family val="2"/>
    </font>
    <font>
      <sz val="9"/>
      <color rgb="FF0000BF"/>
      <name val="calibri"/>
      <family val="2"/>
    </font>
    <font>
      <b/>
      <sz val="11"/>
      <color rgb="FFFFFFFF"/>
      <name val="calibri"/>
      <family val="2"/>
    </font>
    <font>
      <i/>
      <sz val="11"/>
      <color rgb="FF000000"/>
      <name val="calibri"/>
      <family val="2"/>
    </font>
    <font>
      <sz val="11"/>
      <color rgb="FF0000BF"/>
      <name val="calibri"/>
      <family val="2"/>
    </font>
    <font>
      <sz val="11"/>
      <color rgb="FF000000"/>
      <name val="calibri"/>
      <family val="2"/>
    </font>
    <font>
      <sz val="11"/>
      <color rgb="FF7030A0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BF"/>
      <name val="calibri"/>
      <family val="2"/>
    </font>
    <font>
      <b/>
      <sz val="11"/>
      <color rgb="FF0000BF"/>
      <name val="calibri"/>
      <family val="2"/>
    </font>
    <font>
      <b/>
      <i/>
      <sz val="11"/>
      <color theme="1"/>
      <name val="calibri"/>
      <family val="2"/>
    </font>
    <font>
      <i/>
      <sz val="11"/>
      <color rgb="FF595959"/>
      <name val="calibri"/>
      <family val="2"/>
    </font>
    <font>
      <sz val="11"/>
      <color rgb="FF7030A0"/>
      <name val="Calibri"/>
      <family val="2"/>
      <scheme val="minor"/>
    </font>
    <font>
      <sz val="11"/>
      <color theme="5" tint="-0.249977111117893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3" fontId="2" fillId="0" borderId="0" xfId="0" applyNumberFormat="1" applyFont="1"/>
    <xf numFmtId="0" fontId="5" fillId="0" borderId="0" xfId="0" applyFont="1"/>
    <xf numFmtId="0" fontId="2" fillId="3" borderId="0" xfId="0" applyFont="1" applyFill="1"/>
    <xf numFmtId="0" fontId="4" fillId="3" borderId="0" xfId="0" applyFont="1" applyFill="1"/>
    <xf numFmtId="0" fontId="4" fillId="3" borderId="0" xfId="0" applyFont="1" applyFill="1" applyAlignment="1">
      <alignment horizontal="right"/>
    </xf>
    <xf numFmtId="0" fontId="6" fillId="0" borderId="1" xfId="0" applyFont="1" applyBorder="1"/>
    <xf numFmtId="0" fontId="2" fillId="0" borderId="1" xfId="0" applyFont="1" applyBorder="1"/>
    <xf numFmtId="0" fontId="7" fillId="0" borderId="1" xfId="0" applyFont="1" applyBorder="1"/>
    <xf numFmtId="0" fontId="2" fillId="0" borderId="0" xfId="0" applyFont="1" applyAlignment="1">
      <alignment horizontal="center"/>
    </xf>
    <xf numFmtId="10" fontId="2" fillId="0" borderId="0" xfId="0" applyNumberFormat="1" applyFont="1"/>
    <xf numFmtId="10" fontId="8" fillId="0" borderId="0" xfId="0" applyNumberFormat="1" applyFont="1"/>
    <xf numFmtId="167" fontId="2" fillId="0" borderId="0" xfId="0" applyNumberFormat="1" applyFont="1" applyAlignment="1">
      <alignment horizontal="center" vertical="center"/>
    </xf>
    <xf numFmtId="0" fontId="9" fillId="0" borderId="0" xfId="0" applyFont="1"/>
    <xf numFmtId="168" fontId="2" fillId="0" borderId="0" xfId="0" applyNumberFormat="1" applyFont="1" applyAlignment="1">
      <alignment horizontal="center" vertical="center"/>
    </xf>
    <xf numFmtId="169" fontId="2" fillId="0" borderId="0" xfId="0" applyNumberFormat="1" applyFont="1"/>
    <xf numFmtId="0" fontId="8" fillId="0" borderId="0" xfId="0" applyFont="1"/>
    <xf numFmtId="3" fontId="2" fillId="0" borderId="1" xfId="0" applyNumberFormat="1" applyFont="1" applyBorder="1"/>
    <xf numFmtId="164" fontId="11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right"/>
    </xf>
    <xf numFmtId="3" fontId="11" fillId="0" borderId="0" xfId="0" applyNumberFormat="1" applyFont="1"/>
    <xf numFmtId="170" fontId="2" fillId="0" borderId="0" xfId="0" applyNumberFormat="1" applyFont="1"/>
    <xf numFmtId="169" fontId="2" fillId="3" borderId="0" xfId="0" applyNumberFormat="1" applyFont="1" applyFill="1"/>
    <xf numFmtId="4" fontId="2" fillId="0" borderId="0" xfId="0" applyNumberFormat="1" applyFont="1"/>
    <xf numFmtId="169" fontId="2" fillId="3" borderId="1" xfId="0" applyNumberFormat="1" applyFont="1" applyFill="1" applyBorder="1"/>
    <xf numFmtId="0" fontId="12" fillId="0" borderId="0" xfId="0" applyFont="1"/>
    <xf numFmtId="171" fontId="5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172" fontId="14" fillId="0" borderId="0" xfId="0" applyNumberFormat="1" applyFont="1" applyAlignment="1">
      <alignment horizontal="right"/>
    </xf>
    <xf numFmtId="2" fontId="2" fillId="0" borderId="0" xfId="0" applyNumberFormat="1" applyFont="1"/>
    <xf numFmtId="0" fontId="2" fillId="0" borderId="0" xfId="0" applyFont="1" applyAlignment="1">
      <alignment horizontal="right"/>
    </xf>
    <xf numFmtId="173" fontId="2" fillId="0" borderId="0" xfId="0" applyNumberFormat="1" applyFont="1"/>
    <xf numFmtId="3" fontId="15" fillId="0" borderId="0" xfId="0" applyNumberFormat="1" applyFont="1" applyAlignment="1">
      <alignment horizontal="right"/>
    </xf>
    <xf numFmtId="3" fontId="16" fillId="0" borderId="0" xfId="0" applyNumberFormat="1" applyFont="1" applyAlignment="1">
      <alignment horizontal="right"/>
    </xf>
    <xf numFmtId="166" fontId="8" fillId="0" borderId="0" xfId="0" applyNumberFormat="1" applyFont="1" applyAlignment="1">
      <alignment horizontal="right"/>
    </xf>
    <xf numFmtId="169" fontId="15" fillId="0" borderId="0" xfId="0" applyNumberFormat="1" applyFont="1" applyAlignment="1">
      <alignment horizontal="right"/>
    </xf>
    <xf numFmtId="174" fontId="16" fillId="0" borderId="0" xfId="0" applyNumberFormat="1" applyFont="1" applyAlignment="1">
      <alignment horizontal="right"/>
    </xf>
    <xf numFmtId="3" fontId="9" fillId="0" borderId="0" xfId="0" applyNumberFormat="1" applyFont="1" applyAlignment="1">
      <alignment horizontal="right"/>
    </xf>
    <xf numFmtId="169" fontId="9" fillId="0" borderId="0" xfId="0" applyNumberFormat="1" applyFont="1" applyAlignment="1">
      <alignment horizontal="right"/>
    </xf>
    <xf numFmtId="3" fontId="17" fillId="0" borderId="0" xfId="0" applyNumberFormat="1" applyFont="1" applyAlignment="1">
      <alignment horizontal="right"/>
    </xf>
    <xf numFmtId="174" fontId="15" fillId="0" borderId="0" xfId="0" applyNumberFormat="1" applyFont="1" applyAlignment="1">
      <alignment horizontal="right"/>
    </xf>
    <xf numFmtId="39" fontId="9" fillId="0" borderId="0" xfId="0" applyNumberFormat="1" applyFont="1" applyAlignment="1">
      <alignment horizontal="right"/>
    </xf>
    <xf numFmtId="3" fontId="16" fillId="3" borderId="0" xfId="0" applyNumberFormat="1" applyFont="1" applyFill="1"/>
    <xf numFmtId="175" fontId="8" fillId="0" borderId="0" xfId="1" applyNumberFormat="1" applyFont="1"/>
    <xf numFmtId="0" fontId="16" fillId="0" borderId="0" xfId="0" applyFont="1"/>
    <xf numFmtId="3" fontId="17" fillId="0" borderId="0" xfId="0" applyNumberFormat="1" applyFont="1"/>
    <xf numFmtId="39" fontId="2" fillId="0" borderId="0" xfId="0" applyNumberFormat="1" applyFont="1"/>
    <xf numFmtId="41" fontId="2" fillId="0" borderId="0" xfId="0" applyNumberFormat="1" applyFont="1"/>
    <xf numFmtId="176" fontId="8" fillId="0" borderId="0" xfId="1" applyNumberFormat="1" applyFont="1"/>
    <xf numFmtId="177" fontId="2" fillId="0" borderId="0" xfId="0" applyNumberFormat="1" applyFont="1"/>
    <xf numFmtId="177" fontId="2" fillId="4" borderId="0" xfId="0" applyNumberFormat="1" applyFont="1" applyFill="1"/>
    <xf numFmtId="14" fontId="2" fillId="0" borderId="0" xfId="0" applyNumberFormat="1" applyFont="1"/>
    <xf numFmtId="164" fontId="2" fillId="0" borderId="0" xfId="0" applyNumberFormat="1" applyFont="1"/>
    <xf numFmtId="172" fontId="16" fillId="0" borderId="0" xfId="0" applyNumberFormat="1" applyFont="1" applyAlignment="1">
      <alignment horizontal="right"/>
    </xf>
    <xf numFmtId="0" fontId="2" fillId="3" borderId="0" xfId="0" applyFont="1" applyFill="1" applyAlignment="1">
      <alignment horizontal="center"/>
    </xf>
    <xf numFmtId="0" fontId="16" fillId="5" borderId="0" xfId="0" applyFont="1" applyFill="1" applyAlignment="1">
      <alignment horizontal="left"/>
    </xf>
    <xf numFmtId="3" fontId="9" fillId="2" borderId="2" xfId="0" applyNumberFormat="1" applyFont="1" applyFill="1" applyBorder="1" applyAlignment="1">
      <alignment horizontal="right"/>
    </xf>
    <xf numFmtId="178" fontId="9" fillId="2" borderId="2" xfId="0" applyNumberFormat="1" applyFont="1" applyFill="1" applyBorder="1" applyAlignment="1">
      <alignment horizontal="right"/>
    </xf>
    <xf numFmtId="179" fontId="9" fillId="2" borderId="2" xfId="0" applyNumberFormat="1" applyFont="1" applyFill="1" applyBorder="1" applyAlignment="1">
      <alignment horizontal="right"/>
    </xf>
    <xf numFmtId="167" fontId="9" fillId="2" borderId="2" xfId="0" applyNumberFormat="1" applyFont="1" applyFill="1" applyBorder="1" applyAlignment="1">
      <alignment horizontal="right"/>
    </xf>
    <xf numFmtId="0" fontId="14" fillId="5" borderId="0" xfId="0" applyFont="1" applyFill="1" applyAlignment="1">
      <alignment horizontal="left"/>
    </xf>
    <xf numFmtId="0" fontId="6" fillId="4" borderId="0" xfId="0" applyFont="1" applyFill="1"/>
    <xf numFmtId="3" fontId="6" fillId="4" borderId="0" xfId="0" applyNumberFormat="1" applyFont="1" applyFill="1"/>
    <xf numFmtId="0" fontId="6" fillId="0" borderId="0" xfId="0" applyFont="1"/>
    <xf numFmtId="0" fontId="2" fillId="4" borderId="0" xfId="0" applyFont="1" applyFill="1"/>
    <xf numFmtId="3" fontId="2" fillId="4" borderId="0" xfId="0" applyNumberFormat="1" applyFont="1" applyFill="1"/>
    <xf numFmtId="174" fontId="2" fillId="0" borderId="0" xfId="0" applyNumberFormat="1" applyFont="1"/>
    <xf numFmtId="3" fontId="16" fillId="0" borderId="0" xfId="0" applyNumberFormat="1" applyFont="1"/>
    <xf numFmtId="174" fontId="19" fillId="0" borderId="0" xfId="0" applyNumberFormat="1" applyFont="1"/>
    <xf numFmtId="174" fontId="20" fillId="0" borderId="0" xfId="0" applyNumberFormat="1" applyFont="1"/>
    <xf numFmtId="174" fontId="18" fillId="0" borderId="0" xfId="0" applyNumberFormat="1" applyFont="1" applyAlignment="1">
      <alignment horizontal="right"/>
    </xf>
    <xf numFmtId="0" fontId="21" fillId="0" borderId="0" xfId="0" applyFont="1"/>
    <xf numFmtId="174" fontId="6" fillId="0" borderId="0" xfId="0" applyNumberFormat="1" applyFont="1"/>
    <xf numFmtId="180" fontId="2" fillId="0" borderId="0" xfId="0" applyNumberFormat="1" applyFont="1"/>
    <xf numFmtId="164" fontId="6" fillId="0" borderId="0" xfId="0" applyNumberFormat="1" applyFont="1"/>
    <xf numFmtId="181" fontId="14" fillId="0" borderId="0" xfId="0" applyNumberFormat="1" applyFont="1" applyAlignment="1">
      <alignment horizontal="right"/>
    </xf>
    <xf numFmtId="0" fontId="18" fillId="6" borderId="0" xfId="0" applyFont="1" applyFill="1" applyAlignment="1">
      <alignment horizontal="left"/>
    </xf>
    <xf numFmtId="174" fontId="18" fillId="6" borderId="0" xfId="0" applyNumberFormat="1" applyFont="1" applyFill="1" applyAlignment="1">
      <alignment horizontal="right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center"/>
    </xf>
    <xf numFmtId="0" fontId="22" fillId="0" borderId="0" xfId="0" applyFont="1"/>
    <xf numFmtId="3" fontId="22" fillId="0" borderId="0" xfId="0" applyNumberFormat="1" applyFont="1" applyAlignment="1">
      <alignment horizontal="right"/>
    </xf>
    <xf numFmtId="6" fontId="0" fillId="0" borderId="0" xfId="0" applyNumberFormat="1"/>
    <xf numFmtId="169" fontId="17" fillId="0" borderId="0" xfId="0" applyNumberFormat="1" applyFont="1"/>
    <xf numFmtId="0" fontId="3" fillId="7" borderId="0" xfId="0" applyFont="1" applyFill="1"/>
    <xf numFmtId="0" fontId="4" fillId="7" borderId="0" xfId="0" applyFont="1" applyFill="1" applyAlignment="1">
      <alignment horizontal="right"/>
    </xf>
    <xf numFmtId="0" fontId="4" fillId="7" borderId="0" xfId="0" applyFont="1" applyFill="1"/>
    <xf numFmtId="0" fontId="13" fillId="7" borderId="0" xfId="0" applyFont="1" applyFill="1"/>
    <xf numFmtId="0" fontId="13" fillId="7" borderId="0" xfId="0" applyFont="1" applyFill="1" applyAlignment="1">
      <alignment horizontal="right"/>
    </xf>
    <xf numFmtId="3" fontId="23" fillId="0" borderId="0" xfId="0" applyNumberFormat="1" applyFont="1"/>
    <xf numFmtId="165" fontId="2" fillId="0" borderId="0" xfId="0" applyNumberFormat="1" applyFont="1" applyAlignment="1">
      <alignment horizontal="right"/>
    </xf>
    <xf numFmtId="0" fontId="4" fillId="7" borderId="0" xfId="0" applyFont="1" applyFill="1" applyAlignment="1">
      <alignment horizontal="center"/>
    </xf>
    <xf numFmtId="3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3" fontId="9" fillId="0" borderId="0" xfId="0" applyNumberFormat="1" applyFont="1"/>
    <xf numFmtId="3" fontId="14" fillId="0" borderId="0" xfId="0" applyNumberFormat="1" applyFont="1" applyAlignment="1">
      <alignment horizontal="right"/>
    </xf>
    <xf numFmtId="182" fontId="9" fillId="2" borderId="2" xfId="0" applyNumberFormat="1" applyFont="1" applyFill="1" applyBorder="1" applyAlignment="1">
      <alignment horizontal="right"/>
    </xf>
    <xf numFmtId="0" fontId="6" fillId="3" borderId="0" xfId="0" applyFont="1" applyFill="1"/>
    <xf numFmtId="169" fontId="9" fillId="3" borderId="0" xfId="0" applyNumberFormat="1" applyFont="1" applyFill="1" applyAlignment="1">
      <alignment horizontal="right"/>
    </xf>
    <xf numFmtId="3" fontId="2" fillId="3" borderId="0" xfId="0" applyNumberFormat="1" applyFont="1" applyFill="1"/>
    <xf numFmtId="169" fontId="14" fillId="0" borderId="0" xfId="0" applyNumberFormat="1" applyFont="1" applyAlignment="1">
      <alignment horizontal="right"/>
    </xf>
    <xf numFmtId="3" fontId="24" fillId="0" borderId="0" xfId="0" applyNumberFormat="1" applyFon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38101</xdr:rowOff>
    </xdr:from>
    <xdr:to>
      <xdr:col>5</xdr:col>
      <xdr:colOff>601980</xdr:colOff>
      <xdr:row>2</xdr:row>
      <xdr:rowOff>83697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7639FD4-3864-61E5-64EA-1087DD09F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" y="38101"/>
          <a:ext cx="3032760" cy="4113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53340</xdr:rowOff>
    </xdr:from>
    <xdr:to>
      <xdr:col>5</xdr:col>
      <xdr:colOff>419100</xdr:colOff>
      <xdr:row>2</xdr:row>
      <xdr:rowOff>98936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C9E374-3BA4-46A2-BFDA-0387A40E2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40" y="53340"/>
          <a:ext cx="3032760" cy="4113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Finance">
      <a:dk1>
        <a:sysClr val="windowText" lastClr="000000"/>
      </a:dk1>
      <a:lt1>
        <a:sysClr val="window" lastClr="FFFFFF"/>
      </a:lt1>
      <a:dk2>
        <a:srgbClr val="1F497D"/>
      </a:dk2>
      <a:lt2>
        <a:srgbClr val="D9D9D9"/>
      </a:lt2>
      <a:accent1>
        <a:srgbClr val="0066CC"/>
      </a:accent1>
      <a:accent2>
        <a:srgbClr val="00B050"/>
      </a:accent2>
      <a:accent3>
        <a:srgbClr val="E6E6E6"/>
      </a:accent3>
      <a:accent4>
        <a:srgbClr val="0000FF"/>
      </a:accent4>
      <a:accent5>
        <a:srgbClr val="4472C4"/>
      </a:accent5>
      <a:accent6>
        <a:srgbClr val="FFF2CC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9">
    <wetp:webextensionref xmlns:r="http://schemas.openxmlformats.org/officeDocument/2006/relationships" r:id="rId1"/>
  </wetp:taskpane>
  <wetp:taskpane dockstate="right" visibility="0" width="438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4C0FD1A-DD09-4ACA-9722-6AA6BE0EA96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b37f646-3206-44d6-920e-851f28e3212d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2189C9B2-C27C-4A00-BBE6-973A64FDE0B1}">
  <we:reference id="wa200010215" version="1.0.0.0" store="en-US" storeType="OMEX"/>
  <we:alternateReferences>
    <we:reference id="WA200010215" version="1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68"/>
  <sheetViews>
    <sheetView showGridLines="0" topLeftCell="A109" zoomScaleNormal="100" workbookViewId="0">
      <selection activeCell="AB6" sqref="AB6"/>
    </sheetView>
  </sheetViews>
  <sheetFormatPr defaultRowHeight="14.4" x14ac:dyDescent="0.3"/>
  <cols>
    <col min="8" max="8" width="8.88671875" customWidth="1"/>
  </cols>
  <sheetData>
    <row r="1" spans="1:3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3">
      <c r="Q2" s="18" t="s">
        <v>89</v>
      </c>
      <c r="AA2" s="1"/>
      <c r="AB2" s="1"/>
      <c r="AC2" s="1"/>
      <c r="AD2" s="1"/>
      <c r="AE2" s="1"/>
    </row>
    <row r="3" spans="1:31" x14ac:dyDescent="0.3">
      <c r="AA3" s="1"/>
      <c r="AB3" s="1"/>
      <c r="AC3" s="1"/>
      <c r="AD3" s="1"/>
      <c r="AE3" s="1"/>
    </row>
    <row r="4" spans="1:31" x14ac:dyDescent="0.3">
      <c r="A4" s="2" t="s">
        <v>26</v>
      </c>
      <c r="B4" s="86" t="s">
        <v>0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93" t="s">
        <v>27</v>
      </c>
      <c r="X4" s="93"/>
      <c r="Y4" s="87">
        <v>2032</v>
      </c>
      <c r="Z4" s="87">
        <f>Y4+1</f>
        <v>2033</v>
      </c>
      <c r="AA4" s="87">
        <f t="shared" ref="AA4:AC4" si="0">Z4+1</f>
        <v>2034</v>
      </c>
      <c r="AB4" s="87">
        <f t="shared" si="0"/>
        <v>2035</v>
      </c>
      <c r="AC4" s="87">
        <f t="shared" si="0"/>
        <v>2036</v>
      </c>
      <c r="AD4" s="3"/>
      <c r="AE4" s="4"/>
    </row>
    <row r="5" spans="1:31" s="5" customFormat="1" ht="1.95" customHeight="1" x14ac:dyDescent="0.3">
      <c r="B5" s="6"/>
      <c r="C5" s="6"/>
      <c r="D5" s="6"/>
      <c r="E5" s="6"/>
      <c r="F5" s="6"/>
      <c r="G5" s="6"/>
      <c r="H5" s="6"/>
      <c r="I5" s="6"/>
      <c r="J5" s="6"/>
      <c r="K5" s="6"/>
      <c r="L5" s="7"/>
      <c r="M5" s="7"/>
      <c r="N5" s="7"/>
      <c r="O5" s="7"/>
      <c r="P5" s="7"/>
    </row>
    <row r="6" spans="1:31" x14ac:dyDescent="0.3">
      <c r="A6" s="1"/>
      <c r="B6" s="8" t="s">
        <v>2</v>
      </c>
      <c r="C6" s="9"/>
      <c r="D6" s="9"/>
      <c r="E6" s="9"/>
      <c r="F6" s="1"/>
      <c r="G6" s="8" t="s">
        <v>1</v>
      </c>
      <c r="H6" s="9"/>
      <c r="I6" s="9"/>
      <c r="J6" s="9"/>
      <c r="K6" s="9"/>
      <c r="L6" s="1"/>
      <c r="M6" s="10" t="s">
        <v>28</v>
      </c>
      <c r="N6" s="10"/>
      <c r="O6" s="10"/>
      <c r="P6" s="9"/>
      <c r="Q6" s="1"/>
      <c r="R6" s="10" t="s">
        <v>29</v>
      </c>
      <c r="S6" s="10"/>
      <c r="T6" s="10"/>
      <c r="U6" s="9"/>
      <c r="W6" s="1" t="s">
        <v>30</v>
      </c>
      <c r="X6" s="1"/>
      <c r="Y6" s="3">
        <f>N101*1.24</f>
        <v>258361.46686848981</v>
      </c>
      <c r="Z6" s="3">
        <f>Y6*1.22</f>
        <v>315200.98957955756</v>
      </c>
      <c r="AA6" s="3">
        <f>Z6*1.18</f>
        <v>371937.1677038779</v>
      </c>
      <c r="AB6" s="3">
        <f>AA6*1.15</f>
        <v>427727.74285945954</v>
      </c>
      <c r="AC6" s="3">
        <f>AB6*1.1</f>
        <v>470500.51714540552</v>
      </c>
      <c r="AD6" s="3"/>
      <c r="AE6" s="4"/>
    </row>
    <row r="7" spans="1:31" x14ac:dyDescent="0.3">
      <c r="A7" s="1"/>
      <c r="B7" s="1" t="s">
        <v>3</v>
      </c>
      <c r="C7" s="1"/>
      <c r="D7" s="1"/>
      <c r="E7" s="11" t="s">
        <v>4</v>
      </c>
      <c r="F7" s="1"/>
      <c r="G7" s="1" t="s">
        <v>5</v>
      </c>
      <c r="H7" s="1"/>
      <c r="I7" s="94">
        <v>13000</v>
      </c>
      <c r="J7" s="94"/>
      <c r="K7" s="94"/>
      <c r="L7" s="1"/>
      <c r="M7" s="1" t="s">
        <v>31</v>
      </c>
      <c r="N7" s="1"/>
      <c r="O7" s="1"/>
      <c r="P7" s="38">
        <f>SUM(I113:N113)</f>
        <v>-60139.328175076393</v>
      </c>
      <c r="Q7" s="1"/>
      <c r="R7" s="1" t="s">
        <v>32</v>
      </c>
      <c r="S7" s="1"/>
      <c r="T7" s="1"/>
      <c r="U7" s="12">
        <v>0.1</v>
      </c>
      <c r="W7" s="1" t="s">
        <v>33</v>
      </c>
      <c r="X7" s="1"/>
      <c r="Y7" s="13">
        <f>(Y6-N101)/N101</f>
        <v>0.24000000000000005</v>
      </c>
      <c r="Z7" s="13">
        <f>(Z6-Y6)/Y6</f>
        <v>0.21999999999999997</v>
      </c>
      <c r="AA7" s="13">
        <f t="shared" ref="AA7:AC7" si="1">(AA6-Z6)/Z6</f>
        <v>0.17999999999999994</v>
      </c>
      <c r="AB7" s="13">
        <f t="shared" si="1"/>
        <v>0.14999999999999988</v>
      </c>
      <c r="AC7" s="13">
        <f t="shared" si="1"/>
        <v>0.10000000000000007</v>
      </c>
      <c r="AD7" s="13"/>
      <c r="AE7" s="4"/>
    </row>
    <row r="8" spans="1:31" x14ac:dyDescent="0.3">
      <c r="A8" s="1"/>
      <c r="B8" s="1" t="s">
        <v>6</v>
      </c>
      <c r="C8" s="1"/>
      <c r="D8" s="1"/>
      <c r="E8" s="14">
        <f>AVERAGE((P13/P12),(T23))</f>
        <v>184.355005836054</v>
      </c>
      <c r="F8" s="1"/>
      <c r="G8" s="1" t="s">
        <v>7</v>
      </c>
      <c r="H8" s="1"/>
      <c r="I8" s="95">
        <v>37329</v>
      </c>
      <c r="J8" s="96"/>
      <c r="K8" s="96"/>
      <c r="L8" s="1"/>
      <c r="M8" s="1" t="s">
        <v>34</v>
      </c>
      <c r="N8" s="1"/>
      <c r="O8" s="1"/>
      <c r="P8" s="3">
        <f>(N52*U8)</f>
        <v>1709898.1085508557</v>
      </c>
      <c r="Q8" s="1"/>
      <c r="R8" s="1" t="s">
        <v>35</v>
      </c>
      <c r="S8" s="1"/>
      <c r="T8" s="1"/>
      <c r="U8" s="15">
        <v>25</v>
      </c>
      <c r="W8" s="5"/>
      <c r="X8" s="5"/>
      <c r="Y8" s="1"/>
      <c r="Z8" s="1"/>
      <c r="AA8" s="1"/>
      <c r="AB8" s="1"/>
      <c r="AC8" s="1"/>
      <c r="AD8" s="1"/>
      <c r="AE8" s="4"/>
    </row>
    <row r="9" spans="1:31" x14ac:dyDescent="0.3">
      <c r="A9" s="1"/>
      <c r="B9" s="1" t="s">
        <v>2</v>
      </c>
      <c r="C9" s="1"/>
      <c r="D9" s="1"/>
      <c r="E9" s="14">
        <f>1750000/H18</f>
        <v>301.82821662642289</v>
      </c>
      <c r="F9" s="1"/>
      <c r="G9" s="1" t="s">
        <v>8</v>
      </c>
      <c r="H9" s="1"/>
      <c r="I9" s="96" t="s">
        <v>9</v>
      </c>
      <c r="J9" s="97"/>
      <c r="K9" s="97"/>
      <c r="L9" s="1"/>
      <c r="M9" s="1" t="s">
        <v>36</v>
      </c>
      <c r="N9" s="1"/>
      <c r="O9" s="1"/>
      <c r="P9" s="3">
        <f>-(PV(U7,(DATE(2031,12,31)-$D$12)/365,0,P8))</f>
        <v>1000869.2873417005</v>
      </c>
      <c r="Q9" s="1"/>
      <c r="R9" s="1"/>
      <c r="S9" s="1"/>
      <c r="T9" s="1"/>
      <c r="U9" s="1"/>
      <c r="W9" s="1"/>
      <c r="X9" s="1"/>
      <c r="Y9" s="1"/>
      <c r="Z9" s="1"/>
      <c r="AA9" s="1"/>
      <c r="AB9" s="1"/>
      <c r="AC9" s="1"/>
      <c r="AD9" s="1"/>
      <c r="AE9" s="4"/>
    </row>
    <row r="10" spans="1:31" x14ac:dyDescent="0.3">
      <c r="A10" s="1"/>
      <c r="B10" s="1" t="s">
        <v>10</v>
      </c>
      <c r="C10" s="1"/>
      <c r="D10" s="1"/>
      <c r="E10" s="16">
        <f>E8/E9-1</f>
        <v>-0.38920552923574792</v>
      </c>
      <c r="F10" s="1"/>
      <c r="G10" s="1" t="s">
        <v>11</v>
      </c>
      <c r="H10" s="1"/>
      <c r="I10" s="97" t="s">
        <v>12</v>
      </c>
      <c r="J10" s="97"/>
      <c r="K10" s="97"/>
      <c r="L10" s="1"/>
      <c r="M10" s="1" t="s">
        <v>37</v>
      </c>
      <c r="N10" s="1"/>
      <c r="O10" s="1"/>
      <c r="P10" s="17">
        <f>H22-H21</f>
        <v>14413</v>
      </c>
      <c r="Q10" s="1"/>
      <c r="R10" s="1"/>
      <c r="S10" s="1"/>
      <c r="T10" s="1"/>
      <c r="U10" s="1"/>
      <c r="W10" s="1" t="s">
        <v>38</v>
      </c>
      <c r="X10" s="1"/>
      <c r="Y10" s="3">
        <f>Y6*0.22</f>
        <v>56839.522711067759</v>
      </c>
      <c r="Z10" s="3">
        <f>Z6*0.23</f>
        <v>72496.227603298248</v>
      </c>
      <c r="AA10" s="3">
        <f>AA6*0.24</f>
        <v>89264.920248930692</v>
      </c>
      <c r="AB10" s="3">
        <f>AB6*0.25</f>
        <v>106931.93571486489</v>
      </c>
      <c r="AC10" s="3">
        <f>AC6*0.25</f>
        <v>117625.12928635138</v>
      </c>
      <c r="AD10" s="3"/>
      <c r="AE10" s="4"/>
    </row>
    <row r="11" spans="1:31" x14ac:dyDescent="0.3">
      <c r="A11" s="1"/>
      <c r="B11" s="1" t="s">
        <v>39</v>
      </c>
      <c r="C11" s="1"/>
      <c r="D11" s="1"/>
      <c r="E11" s="16">
        <f>(I17/E9)^(1/2)-1</f>
        <v>-0.11622037907900051</v>
      </c>
      <c r="F11" s="1"/>
      <c r="G11" s="1" t="s">
        <v>13</v>
      </c>
      <c r="H11" s="1"/>
      <c r="I11" s="97" t="s">
        <v>14</v>
      </c>
      <c r="J11" s="97"/>
      <c r="K11" s="97"/>
      <c r="L11" s="1"/>
      <c r="M11" s="1" t="s">
        <v>121</v>
      </c>
      <c r="N11" s="1"/>
      <c r="O11" s="1"/>
      <c r="P11" s="3">
        <v>1293</v>
      </c>
      <c r="Q11" s="1"/>
      <c r="R11" s="98"/>
      <c r="S11" s="98"/>
      <c r="T11" s="98"/>
      <c r="U11" s="98"/>
      <c r="W11" s="18" t="s">
        <v>41</v>
      </c>
      <c r="X11" s="1"/>
      <c r="Y11" s="13">
        <v>0.19</v>
      </c>
      <c r="Z11" s="13">
        <v>0.22</v>
      </c>
      <c r="AA11" s="13">
        <v>0.25</v>
      </c>
      <c r="AB11" s="13">
        <v>0.27</v>
      </c>
      <c r="AC11" s="13">
        <v>0.28000000000000003</v>
      </c>
      <c r="AD11" s="13"/>
      <c r="AE11" s="4"/>
    </row>
    <row r="12" spans="1:31" x14ac:dyDescent="0.3">
      <c r="A12" s="1"/>
      <c r="B12" s="1" t="s">
        <v>15</v>
      </c>
      <c r="C12" s="1"/>
      <c r="D12" s="92">
        <v>46162</v>
      </c>
      <c r="E12" s="92"/>
      <c r="F12" s="1"/>
      <c r="G12" s="1" t="s">
        <v>16</v>
      </c>
      <c r="H12" s="1"/>
      <c r="I12" s="95">
        <v>46387</v>
      </c>
      <c r="J12" s="96"/>
      <c r="K12" s="96"/>
      <c r="L12" s="1"/>
      <c r="M12" s="9" t="s">
        <v>42</v>
      </c>
      <c r="N12" s="9"/>
      <c r="O12" s="9"/>
      <c r="P12" s="19">
        <v>5026</v>
      </c>
      <c r="Q12" s="1"/>
      <c r="R12" s="1"/>
      <c r="S12" s="1"/>
      <c r="T12" s="1"/>
      <c r="U12" s="1"/>
      <c r="W12" s="1"/>
      <c r="X12" s="1"/>
      <c r="Y12" s="1"/>
      <c r="Z12" s="1"/>
      <c r="AA12" s="1"/>
      <c r="AB12" s="1"/>
      <c r="AC12" s="1"/>
      <c r="AD12" s="1"/>
      <c r="AE12" s="4"/>
    </row>
    <row r="13" spans="1:31" x14ac:dyDescent="0.3">
      <c r="A13" s="1"/>
      <c r="B13" s="1"/>
      <c r="C13" s="1"/>
      <c r="D13" s="1"/>
      <c r="E13" s="1"/>
      <c r="F13" s="1"/>
      <c r="G13" s="1"/>
      <c r="H13" s="1"/>
      <c r="I13" s="12"/>
      <c r="J13" s="1"/>
      <c r="K13" s="1"/>
      <c r="L13" s="1"/>
      <c r="M13" s="1" t="s">
        <v>43</v>
      </c>
      <c r="N13" s="1"/>
      <c r="O13" s="1"/>
      <c r="P13" s="3">
        <f>P9+P7-P10+P11</f>
        <v>927609.95916662412</v>
      </c>
      <c r="Q13" s="1"/>
      <c r="R13" s="1" t="s">
        <v>44</v>
      </c>
      <c r="S13" s="1"/>
      <c r="T13" s="1"/>
      <c r="U13" s="14">
        <f>P13/P12</f>
        <v>184.56226803951932</v>
      </c>
      <c r="W13" s="1" t="s">
        <v>45</v>
      </c>
      <c r="X13" s="1"/>
      <c r="Y13" s="3">
        <f>Y10/(1+$U$7)^((DATE(2032,7,1)-$D$12)/365)</f>
        <v>31717.906048187066</v>
      </c>
      <c r="Z13" s="3">
        <f>Z10/(1+$U$7)^((DATE(2033,7,1)-$D$12)/365)</f>
        <v>36777.04312860038</v>
      </c>
      <c r="AA13" s="3">
        <f>AA10/(1+$U$7)^((DATE(2034,7,1)-$D$12)/365)</f>
        <v>41167.030094939226</v>
      </c>
      <c r="AB13" s="3">
        <f>AB10/(1+$U$7)^((DATE(2035,7,1)-$D$12)/365)</f>
        <v>44831.519516269029</v>
      </c>
      <c r="AC13" s="3">
        <f>AC10/(1+$U$7)^((DATE(2036,7,1)-$D$12)/365)</f>
        <v>44819.814468716628</v>
      </c>
      <c r="AD13" s="3"/>
      <c r="AE13" s="4"/>
    </row>
    <row r="14" spans="1:3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W14" s="1"/>
      <c r="X14" s="1"/>
      <c r="Y14" s="1"/>
      <c r="Z14" s="1"/>
      <c r="AA14" s="1"/>
      <c r="AB14" s="1"/>
      <c r="AC14" s="1"/>
      <c r="AD14" s="1"/>
      <c r="AE14" s="4"/>
    </row>
    <row r="15" spans="1:31" x14ac:dyDescent="0.3">
      <c r="A15" s="11" t="s">
        <v>26</v>
      </c>
      <c r="B15" s="88" t="s">
        <v>17</v>
      </c>
      <c r="C15" s="88"/>
      <c r="D15" s="88"/>
      <c r="E15" s="87">
        <v>2023</v>
      </c>
      <c r="F15" s="87">
        <v>2024</v>
      </c>
      <c r="G15" s="87">
        <v>2025</v>
      </c>
      <c r="H15" s="87" t="s">
        <v>20</v>
      </c>
      <c r="I15" s="87" t="s">
        <v>21</v>
      </c>
      <c r="J15" s="87" t="s">
        <v>22</v>
      </c>
      <c r="K15" s="20"/>
      <c r="L15" s="20"/>
      <c r="M15" s="10" t="s">
        <v>46</v>
      </c>
      <c r="N15" s="10"/>
      <c r="O15" s="10"/>
      <c r="P15" s="9"/>
      <c r="Q15" s="1"/>
      <c r="R15" s="8" t="s">
        <v>47</v>
      </c>
      <c r="S15" s="9"/>
      <c r="T15" s="9"/>
      <c r="U15" s="1"/>
      <c r="W15" s="1"/>
      <c r="X15" s="1"/>
      <c r="Y15" s="1"/>
      <c r="Z15" s="1"/>
      <c r="AA15" s="1"/>
      <c r="AB15" s="1"/>
      <c r="AC15" s="1"/>
      <c r="AD15" s="1"/>
      <c r="AE15" s="4"/>
    </row>
    <row r="16" spans="1:31" s="5" customFormat="1" ht="1.95" customHeight="1" x14ac:dyDescent="0.3">
      <c r="B16" s="6"/>
      <c r="C16" s="6"/>
      <c r="D16" s="6"/>
      <c r="H16" s="6"/>
      <c r="I16" s="6"/>
      <c r="J16" s="6"/>
      <c r="K16" s="20"/>
      <c r="L16" s="20"/>
      <c r="M16" s="7"/>
      <c r="N16" s="7"/>
      <c r="O16" s="7"/>
      <c r="P16" s="7"/>
    </row>
    <row r="17" spans="1:31" x14ac:dyDescent="0.3">
      <c r="A17" s="5"/>
      <c r="B17" s="1" t="s">
        <v>48</v>
      </c>
      <c r="C17" s="1"/>
      <c r="D17" s="1"/>
      <c r="E17" s="21">
        <f>180000/E18</f>
        <v>65.241029358463209</v>
      </c>
      <c r="F17" s="21">
        <f>350000/F18</f>
        <v>122.8932584269663</v>
      </c>
      <c r="G17" s="21">
        <f>800000/G18</f>
        <v>273.41079972658918</v>
      </c>
      <c r="H17" s="21">
        <f>AVERAGE($U$13*(1+$U$7)-I110/H18,$T$23*(1+$U$7)-I110/H18)</f>
        <v>209.75669366212526</v>
      </c>
      <c r="I17" s="21">
        <f>AVERAGE($U$13*(1+$U$7)^2-(I110/H18)*(1+$U$7)-J110/I18,$T$23*(1+$U$7)^2-(I110/H18)*(1+$U$7)-J110/I18)</f>
        <v>235.74788411895736</v>
      </c>
      <c r="J17" s="20"/>
      <c r="K17" s="20"/>
      <c r="L17" s="20"/>
      <c r="M17" s="1" t="s">
        <v>31</v>
      </c>
      <c r="N17" s="1"/>
      <c r="O17" s="1"/>
      <c r="P17" s="3">
        <f>SUM(H116:L116)</f>
        <v>0</v>
      </c>
      <c r="Q17" s="5"/>
      <c r="R17" s="1" t="s">
        <v>50</v>
      </c>
      <c r="S17" s="1"/>
      <c r="T17" s="3">
        <f>SUM(I112:N112)+SUM((Y13:AC13))</f>
        <v>199313.31325671231</v>
      </c>
      <c r="U17" s="12"/>
      <c r="W17" s="1"/>
      <c r="X17" s="1"/>
      <c r="Y17" s="1"/>
      <c r="Z17" s="1"/>
      <c r="AA17" s="1"/>
      <c r="AB17" s="1"/>
      <c r="AC17" s="1"/>
      <c r="AD17" s="1"/>
      <c r="AE17" s="4"/>
    </row>
    <row r="18" spans="1:31" x14ac:dyDescent="0.3">
      <c r="A18" s="1"/>
      <c r="B18" s="1" t="s">
        <v>51</v>
      </c>
      <c r="C18" s="1"/>
      <c r="D18" s="1"/>
      <c r="E18" s="91">
        <f t="shared" ref="E18:F18" si="2">F70</f>
        <v>2759</v>
      </c>
      <c r="F18" s="91">
        <f t="shared" si="2"/>
        <v>2848</v>
      </c>
      <c r="G18" s="91">
        <f>H70</f>
        <v>2926</v>
      </c>
      <c r="H18" s="91">
        <f>I120</f>
        <v>5798</v>
      </c>
      <c r="I18" s="91">
        <f>J120</f>
        <v>6029.92</v>
      </c>
      <c r="J18" s="22"/>
      <c r="K18" s="20"/>
      <c r="L18" s="20"/>
      <c r="M18" s="1" t="s">
        <v>49</v>
      </c>
      <c r="N18" s="1"/>
      <c r="O18" s="1"/>
      <c r="P18" s="3">
        <f>E9*P12</f>
        <v>1516988.6167644013</v>
      </c>
      <c r="Q18" s="1"/>
      <c r="R18" s="1" t="s">
        <v>34</v>
      </c>
      <c r="S18" s="1"/>
      <c r="T18" s="3">
        <f>(AC10*(1+0.04)/($U$7-0.04))/(1+$U$7)^((DATE(2036,12,31)-$D$12)/365)</f>
        <v>740626.24624067848</v>
      </c>
      <c r="U18" s="12"/>
      <c r="W18" s="1"/>
      <c r="X18" s="1"/>
      <c r="Y18" s="1"/>
      <c r="Z18" s="1"/>
      <c r="AA18" s="1"/>
      <c r="AB18" s="1"/>
      <c r="AC18" s="1"/>
      <c r="AD18" s="1"/>
    </row>
    <row r="19" spans="1:31" x14ac:dyDescent="0.3">
      <c r="A19" s="1"/>
      <c r="B19" s="1"/>
      <c r="C19" s="1"/>
      <c r="D19" s="1"/>
      <c r="H19" s="1"/>
      <c r="I19" s="1"/>
      <c r="J19" s="1"/>
      <c r="K19" s="20"/>
      <c r="L19" s="20"/>
      <c r="M19" s="1" t="s">
        <v>19</v>
      </c>
      <c r="N19" s="1"/>
      <c r="O19" s="1"/>
      <c r="P19" s="3">
        <f>P18+P10</f>
        <v>1531401.6167644013</v>
      </c>
      <c r="Q19" s="1"/>
      <c r="R19" s="1" t="s">
        <v>37</v>
      </c>
      <c r="S19" s="5"/>
      <c r="T19" s="24">
        <f>P10</f>
        <v>14413</v>
      </c>
      <c r="U19" s="12"/>
      <c r="W19" s="5"/>
      <c r="X19" s="5"/>
      <c r="Y19" s="5"/>
      <c r="Z19" s="5"/>
      <c r="AA19" s="5"/>
      <c r="AB19" s="5"/>
      <c r="AC19" s="5"/>
      <c r="AD19" s="5"/>
    </row>
    <row r="20" spans="1:31" x14ac:dyDescent="0.3">
      <c r="A20" s="1"/>
      <c r="B20" s="1" t="s">
        <v>49</v>
      </c>
      <c r="C20" s="1"/>
      <c r="D20" s="1"/>
      <c r="E20" s="3">
        <f>E17*E18</f>
        <v>180000</v>
      </c>
      <c r="F20" s="3">
        <f>F17*F18</f>
        <v>350000</v>
      </c>
      <c r="G20" s="3">
        <f>G17*G18</f>
        <v>799999.99999999988</v>
      </c>
      <c r="H20" s="3">
        <f>H17*H18</f>
        <v>1216169.3098530022</v>
      </c>
      <c r="I20" s="3">
        <f>I17*I18</f>
        <v>1421540.8814065834</v>
      </c>
      <c r="J20" s="3"/>
      <c r="K20" s="20"/>
      <c r="L20" s="20"/>
      <c r="M20" s="1" t="s">
        <v>52</v>
      </c>
      <c r="N20" s="1"/>
      <c r="O20" s="1"/>
      <c r="P20" s="23">
        <f>$P$18/H67</f>
        <v>-307.26931674385281</v>
      </c>
      <c r="Q20" s="1"/>
      <c r="R20" s="9" t="s">
        <v>40</v>
      </c>
      <c r="S20" s="9"/>
      <c r="T20" s="26"/>
      <c r="U20" s="1"/>
      <c r="W20" s="1"/>
      <c r="X20" s="1"/>
      <c r="Y20" s="1"/>
      <c r="Z20" s="1"/>
      <c r="AA20" s="1"/>
      <c r="AB20" s="1"/>
      <c r="AC20" s="1"/>
      <c r="AD20" s="1"/>
    </row>
    <row r="21" spans="1:31" x14ac:dyDescent="0.3">
      <c r="A21" s="1"/>
      <c r="B21" s="1" t="s">
        <v>54</v>
      </c>
      <c r="C21" s="1"/>
      <c r="D21" s="3"/>
      <c r="E21" s="3">
        <v>4620</v>
      </c>
      <c r="F21" s="3">
        <v>11385</v>
      </c>
      <c r="G21" s="3">
        <v>24744</v>
      </c>
      <c r="H21" s="3">
        <v>15852</v>
      </c>
      <c r="I21" s="3"/>
      <c r="J21" s="3"/>
      <c r="K21" s="20"/>
      <c r="L21" s="20"/>
      <c r="M21" s="1" t="s">
        <v>53</v>
      </c>
      <c r="N21" s="1"/>
      <c r="O21" s="1"/>
      <c r="P21" s="23">
        <f>$P$18/I67</f>
        <v>-216.61535287585818</v>
      </c>
      <c r="Q21" s="1"/>
      <c r="R21" s="1" t="s">
        <v>56</v>
      </c>
      <c r="S21" s="1"/>
      <c r="T21" s="3">
        <f>T17+T18-T19+T20</f>
        <v>925526.55949739076</v>
      </c>
      <c r="U21" s="5"/>
      <c r="W21" s="1"/>
      <c r="X21" s="1"/>
      <c r="Y21" s="1"/>
      <c r="Z21" s="1"/>
      <c r="AA21" s="1"/>
      <c r="AB21" s="1"/>
      <c r="AC21" s="1"/>
      <c r="AD21" s="1"/>
    </row>
    <row r="22" spans="1:31" x14ac:dyDescent="0.3">
      <c r="A22" s="1"/>
      <c r="B22" s="9" t="s">
        <v>18</v>
      </c>
      <c r="C22" s="9"/>
      <c r="D22" s="19"/>
      <c r="E22" s="19"/>
      <c r="F22" s="19">
        <f>13421+372</f>
        <v>13793</v>
      </c>
      <c r="G22" s="19">
        <f>21968+928</f>
        <v>22896</v>
      </c>
      <c r="H22" s="19">
        <f>28727+1538</f>
        <v>30265</v>
      </c>
      <c r="I22" s="19"/>
      <c r="J22" s="19"/>
      <c r="K22" s="20"/>
      <c r="L22" s="20"/>
      <c r="M22" s="1" t="s">
        <v>55</v>
      </c>
      <c r="N22" s="1"/>
      <c r="O22" s="1"/>
      <c r="P22" s="25">
        <f>P19/(H49+H78)</f>
        <v>372.42257217033108</v>
      </c>
      <c r="Q22" s="1"/>
      <c r="R22" s="1"/>
      <c r="S22" s="1"/>
      <c r="T22" s="1"/>
      <c r="U22" s="12"/>
      <c r="W22" s="1"/>
      <c r="X22" s="1"/>
      <c r="Y22" s="1"/>
      <c r="Z22" s="1"/>
      <c r="AA22" s="1"/>
      <c r="AB22" s="1"/>
      <c r="AC22" s="1"/>
      <c r="AD22" s="1"/>
    </row>
    <row r="23" spans="1:31" x14ac:dyDescent="0.3">
      <c r="A23" s="1"/>
      <c r="B23" s="1" t="s">
        <v>19</v>
      </c>
      <c r="C23" s="1"/>
      <c r="D23" s="1"/>
      <c r="E23" s="3">
        <f t="shared" ref="E23:F23" si="3">E20-E21+E22</f>
        <v>175380</v>
      </c>
      <c r="F23" s="3">
        <f t="shared" si="3"/>
        <v>352408</v>
      </c>
      <c r="G23" s="3">
        <f>G20-G21+G22</f>
        <v>798151.99999999988</v>
      </c>
      <c r="H23" s="3">
        <f>H20-H21+H22</f>
        <v>1230582.3098530022</v>
      </c>
      <c r="I23" s="3">
        <f>I20-I21+I22</f>
        <v>1421540.8814065834</v>
      </c>
      <c r="J23" s="3"/>
      <c r="K23" s="20"/>
      <c r="L23" s="20"/>
      <c r="M23" s="1" t="s">
        <v>57</v>
      </c>
      <c r="N23" s="1"/>
      <c r="O23" s="1"/>
      <c r="P23" s="25">
        <f>P19/(I49+I78)</f>
        <v>798.49687085254914</v>
      </c>
      <c r="Q23" s="1"/>
      <c r="R23" s="1" t="s">
        <v>44</v>
      </c>
      <c r="S23" s="1"/>
      <c r="T23" s="14">
        <f>T21/P12</f>
        <v>184.14774363258869</v>
      </c>
      <c r="U23" s="3"/>
      <c r="W23" s="4"/>
      <c r="X23" s="4"/>
      <c r="Y23" s="27"/>
      <c r="AA23" s="4"/>
      <c r="AB23" s="4"/>
      <c r="AC23" s="4"/>
      <c r="AD23" s="28"/>
    </row>
    <row r="24" spans="1:3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 t="s">
        <v>58</v>
      </c>
      <c r="N24" s="1"/>
      <c r="O24" s="1"/>
      <c r="P24" s="23">
        <f>P19/H49</f>
        <v>-591.50313509633111</v>
      </c>
      <c r="Q24" s="1"/>
      <c r="R24" s="1"/>
      <c r="S24" s="1"/>
      <c r="T24" s="1"/>
      <c r="U24" s="12"/>
      <c r="W24" s="4"/>
      <c r="X24" s="4"/>
      <c r="Y24" s="4"/>
      <c r="AA24" s="4"/>
      <c r="AB24" s="4"/>
      <c r="AC24" s="4"/>
      <c r="AD24" s="28"/>
    </row>
    <row r="25" spans="1:3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29"/>
      <c r="U25" s="29"/>
      <c r="AA25" s="1"/>
      <c r="AB25" s="1"/>
      <c r="AC25" s="1"/>
      <c r="AD25" s="1"/>
      <c r="AE25" s="1"/>
    </row>
    <row r="26" spans="1:31" x14ac:dyDescent="0.3">
      <c r="A26" s="11" t="s">
        <v>26</v>
      </c>
      <c r="B26" s="89" t="s">
        <v>59</v>
      </c>
      <c r="C26" s="89"/>
      <c r="D26" s="89"/>
      <c r="E26" s="89"/>
      <c r="F26" s="89">
        <v>2023</v>
      </c>
      <c r="G26" s="89">
        <v>2024</v>
      </c>
      <c r="H26" s="89">
        <v>2025</v>
      </c>
      <c r="I26" s="90" t="s">
        <v>20</v>
      </c>
      <c r="J26" s="90" t="s">
        <v>21</v>
      </c>
      <c r="K26" s="90" t="s">
        <v>22</v>
      </c>
      <c r="L26" s="90" t="s">
        <v>23</v>
      </c>
      <c r="M26" s="90" t="s">
        <v>24</v>
      </c>
      <c r="N26" s="90" t="s">
        <v>25</v>
      </c>
      <c r="Q26" s="1"/>
      <c r="R26" s="3"/>
      <c r="S26" s="3"/>
      <c r="T26" s="3"/>
      <c r="U26" s="12"/>
      <c r="AA26" s="1"/>
      <c r="AB26" s="1"/>
      <c r="AC26" s="1"/>
      <c r="AD26" s="1"/>
      <c r="AE26" s="1"/>
    </row>
    <row r="27" spans="1:31" s="5" customFormat="1" ht="1.95" customHeight="1" x14ac:dyDescent="0.3">
      <c r="B27" s="6"/>
      <c r="C27" s="6"/>
      <c r="D27" s="6"/>
      <c r="E27" s="6"/>
      <c r="F27" s="6"/>
      <c r="G27" s="6"/>
      <c r="H27" s="6"/>
      <c r="I27" s="6"/>
      <c r="J27" s="6"/>
      <c r="K27" s="6"/>
      <c r="L27" s="7"/>
      <c r="M27" s="7"/>
      <c r="N27" s="7"/>
      <c r="O27" s="7"/>
      <c r="P27" s="7"/>
    </row>
    <row r="28" spans="1:31" x14ac:dyDescent="0.3">
      <c r="A28" s="1"/>
      <c r="B28" s="1" t="s">
        <v>30</v>
      </c>
      <c r="C28" s="1"/>
      <c r="D28" s="1"/>
      <c r="E28" s="22"/>
      <c r="F28" s="22">
        <v>10387</v>
      </c>
      <c r="G28" s="22">
        <v>14015</v>
      </c>
      <c r="H28" s="22">
        <v>18674</v>
      </c>
      <c r="I28" s="106">
        <f>Segments!I14</f>
        <v>31125.086659614251</v>
      </c>
      <c r="J28" s="106">
        <f>Segments!J14</f>
        <v>50787.839296541017</v>
      </c>
      <c r="K28" s="106">
        <f>Segments!K14</f>
        <v>78808.082456338816</v>
      </c>
      <c r="L28" s="106">
        <f>Segments!L14</f>
        <v>117434.13265861248</v>
      </c>
      <c r="M28" s="106">
        <f>Segments!M14</f>
        <v>161900.47374688374</v>
      </c>
      <c r="N28" s="106">
        <f>Segments!N14</f>
        <v>208356.02166813693</v>
      </c>
      <c r="Q28" s="1"/>
      <c r="R28" s="1"/>
      <c r="S28" s="3"/>
      <c r="T28" s="3"/>
      <c r="U28" s="84"/>
      <c r="W28" s="84"/>
      <c r="AA28" s="1"/>
      <c r="AB28" s="1"/>
      <c r="AC28" s="1"/>
      <c r="AD28" s="1"/>
      <c r="AE28" s="1"/>
    </row>
    <row r="29" spans="1:31" x14ac:dyDescent="0.3">
      <c r="A29" s="1"/>
      <c r="B29" s="18" t="s">
        <v>33</v>
      </c>
      <c r="C29" s="18"/>
      <c r="D29" s="18"/>
      <c r="E29" s="1"/>
      <c r="F29" s="30"/>
      <c r="G29" s="30">
        <f t="shared" ref="G29:N29" si="4">(G28-F28)/F28</f>
        <v>0.34928275729276981</v>
      </c>
      <c r="H29" s="30">
        <f t="shared" si="4"/>
        <v>0.3324295397788084</v>
      </c>
      <c r="I29" s="30">
        <f t="shared" si="4"/>
        <v>0.66676055797441636</v>
      </c>
      <c r="J29" s="30">
        <f t="shared" si="4"/>
        <v>0.63173326557961962</v>
      </c>
      <c r="K29" s="30">
        <f t="shared" si="4"/>
        <v>0.5517116606633462</v>
      </c>
      <c r="L29" s="30">
        <f t="shared" si="4"/>
        <v>0.49012802999836003</v>
      </c>
      <c r="M29" s="30">
        <f t="shared" si="4"/>
        <v>0.37864920599820306</v>
      </c>
      <c r="N29" s="30">
        <f t="shared" si="4"/>
        <v>0.28693892516881758</v>
      </c>
      <c r="Q29" s="1"/>
      <c r="R29" s="1"/>
      <c r="S29" s="1"/>
      <c r="T29" s="31"/>
      <c r="AA29" s="1"/>
      <c r="AB29" s="1"/>
      <c r="AC29" s="1"/>
      <c r="AD29" s="1"/>
      <c r="AE29" s="1"/>
    </row>
    <row r="30" spans="1:31" x14ac:dyDescent="0.3">
      <c r="A30" s="1"/>
      <c r="B30" s="1"/>
      <c r="C30" s="1"/>
      <c r="D30" s="1"/>
      <c r="E30" s="32"/>
      <c r="F30" s="32"/>
      <c r="G30" s="32"/>
      <c r="H30" s="32"/>
      <c r="I30" s="32"/>
      <c r="J30" s="32"/>
      <c r="K30" s="32"/>
      <c r="L30" s="1"/>
      <c r="M30" s="1"/>
      <c r="N30" s="1"/>
      <c r="Q30" s="1"/>
      <c r="R30" s="1"/>
      <c r="S30" s="33"/>
      <c r="T30" s="33"/>
      <c r="AA30" s="1"/>
      <c r="AB30" s="1"/>
      <c r="AC30" s="1"/>
      <c r="AD30" s="1"/>
      <c r="AE30" s="1"/>
    </row>
    <row r="31" spans="1:31" x14ac:dyDescent="0.3">
      <c r="A31" s="1"/>
      <c r="B31" s="1" t="s">
        <v>60</v>
      </c>
      <c r="C31" s="1"/>
      <c r="D31" s="1"/>
      <c r="E31" s="34"/>
      <c r="F31" s="34">
        <v>6110</v>
      </c>
      <c r="G31" s="34">
        <v>7996</v>
      </c>
      <c r="H31" s="34">
        <v>9451</v>
      </c>
      <c r="I31" s="35">
        <f>I28*0.5</f>
        <v>15562.543329807126</v>
      </c>
      <c r="J31" s="35">
        <f>J28*0.49</f>
        <v>24886.041255305099</v>
      </c>
      <c r="K31" s="35">
        <f>K28*0.48</f>
        <v>37827.87957904263</v>
      </c>
      <c r="L31" s="35">
        <f>L28*0.47</f>
        <v>55194.042349547861</v>
      </c>
      <c r="M31" s="35">
        <f>M28*0.46</f>
        <v>74474.217923566524</v>
      </c>
      <c r="N31" s="35">
        <f>N28*0.45</f>
        <v>93760.209750661626</v>
      </c>
      <c r="P31" s="36"/>
      <c r="Q31" s="1"/>
      <c r="R31" s="1"/>
      <c r="S31" s="3"/>
      <c r="T31" s="3"/>
      <c r="AA31" s="1"/>
      <c r="AB31" s="1"/>
      <c r="AC31" s="1"/>
      <c r="AD31" s="1"/>
      <c r="AE31" s="1"/>
    </row>
    <row r="32" spans="1:31" x14ac:dyDescent="0.3">
      <c r="A32" s="1"/>
      <c r="B32" s="18" t="s">
        <v>41</v>
      </c>
      <c r="C32" s="18"/>
      <c r="D32" s="18"/>
      <c r="E32" s="36"/>
      <c r="F32" s="36">
        <f t="shared" ref="F32:N32" si="5">F31/F28</f>
        <v>0.58823529411764708</v>
      </c>
      <c r="G32" s="36">
        <f t="shared" si="5"/>
        <v>0.57053157331430615</v>
      </c>
      <c r="H32" s="36">
        <f t="shared" si="5"/>
        <v>0.50610474456463528</v>
      </c>
      <c r="I32" s="36">
        <f t="shared" si="5"/>
        <v>0.5</v>
      </c>
      <c r="J32" s="36">
        <f t="shared" si="5"/>
        <v>0.49000000000000005</v>
      </c>
      <c r="K32" s="36">
        <f t="shared" si="5"/>
        <v>0.48</v>
      </c>
      <c r="L32" s="36">
        <f t="shared" si="5"/>
        <v>0.47</v>
      </c>
      <c r="M32" s="36">
        <f t="shared" si="5"/>
        <v>0.46</v>
      </c>
      <c r="N32" s="36">
        <f t="shared" si="5"/>
        <v>0.45</v>
      </c>
      <c r="Q32" s="1"/>
      <c r="R32" s="1"/>
      <c r="S32" s="3"/>
      <c r="T32" s="3"/>
      <c r="AA32" s="1"/>
      <c r="AB32" s="1"/>
      <c r="AC32" s="1"/>
      <c r="AD32" s="1"/>
      <c r="AE32" s="1"/>
    </row>
    <row r="33" spans="1:31" x14ac:dyDescent="0.3">
      <c r="A33" s="1"/>
      <c r="B33" s="1"/>
      <c r="C33" s="1"/>
      <c r="D33" s="1"/>
      <c r="E33" s="32"/>
      <c r="F33" s="32"/>
      <c r="G33" s="32"/>
      <c r="H33" s="32"/>
      <c r="I33" s="32"/>
      <c r="J33" s="32"/>
      <c r="K33" s="32"/>
      <c r="L33" s="1"/>
      <c r="M33" s="1"/>
      <c r="N33" s="1"/>
      <c r="Q33" s="1"/>
      <c r="AA33" s="1"/>
      <c r="AB33" s="1"/>
      <c r="AC33" s="1"/>
      <c r="AD33" s="1"/>
      <c r="AE33" s="1"/>
    </row>
    <row r="34" spans="1:31" x14ac:dyDescent="0.3">
      <c r="A34" s="1"/>
      <c r="B34" s="1" t="s">
        <v>61</v>
      </c>
      <c r="C34" s="1"/>
      <c r="D34" s="1"/>
      <c r="E34" s="35"/>
      <c r="F34" s="35">
        <f t="shared" ref="F34:N34" si="6">F28-F31</f>
        <v>4277</v>
      </c>
      <c r="G34" s="35">
        <f t="shared" si="6"/>
        <v>6019</v>
      </c>
      <c r="H34" s="35">
        <f t="shared" si="6"/>
        <v>9223</v>
      </c>
      <c r="I34" s="35">
        <f t="shared" si="6"/>
        <v>15562.543329807126</v>
      </c>
      <c r="J34" s="35">
        <f t="shared" si="6"/>
        <v>25901.798041235917</v>
      </c>
      <c r="K34" s="35">
        <f t="shared" si="6"/>
        <v>40980.202877296186</v>
      </c>
      <c r="L34" s="35">
        <f t="shared" si="6"/>
        <v>62240.090309064617</v>
      </c>
      <c r="M34" s="35">
        <f t="shared" si="6"/>
        <v>87426.255823317217</v>
      </c>
      <c r="N34" s="35">
        <f t="shared" si="6"/>
        <v>114595.81191747531</v>
      </c>
      <c r="Q34" s="1"/>
      <c r="AA34" s="1"/>
      <c r="AB34" s="1"/>
      <c r="AC34" s="1"/>
      <c r="AD34" s="1"/>
      <c r="AE34" s="1"/>
    </row>
    <row r="35" spans="1:31" x14ac:dyDescent="0.3">
      <c r="A35" s="1"/>
      <c r="B35" s="18" t="s">
        <v>41</v>
      </c>
      <c r="C35" s="18"/>
      <c r="D35" s="18"/>
      <c r="E35" s="36"/>
      <c r="F35" s="36">
        <f t="shared" ref="F35:N35" si="7">F34/F28</f>
        <v>0.41176470588235292</v>
      </c>
      <c r="G35" s="36">
        <f t="shared" si="7"/>
        <v>0.4294684266856939</v>
      </c>
      <c r="H35" s="36">
        <f t="shared" si="7"/>
        <v>0.49389525543536467</v>
      </c>
      <c r="I35" s="36">
        <f t="shared" si="7"/>
        <v>0.5</v>
      </c>
      <c r="J35" s="36">
        <f t="shared" si="7"/>
        <v>0.51</v>
      </c>
      <c r="K35" s="36">
        <f t="shared" si="7"/>
        <v>0.52</v>
      </c>
      <c r="L35" s="36">
        <f t="shared" si="7"/>
        <v>0.53</v>
      </c>
      <c r="M35" s="36">
        <f t="shared" si="7"/>
        <v>0.53999999999999992</v>
      </c>
      <c r="N35" s="36">
        <f t="shared" si="7"/>
        <v>0.54999999999999993</v>
      </c>
      <c r="Q35" s="1"/>
      <c r="AA35" s="1"/>
      <c r="AB35" s="1"/>
      <c r="AC35" s="1"/>
      <c r="AD35" s="1"/>
      <c r="AE35" s="1"/>
    </row>
    <row r="36" spans="1:31" x14ac:dyDescent="0.3">
      <c r="A36" s="1"/>
      <c r="B36" s="1"/>
      <c r="C36" s="1"/>
      <c r="D36" s="1"/>
      <c r="E36" s="32"/>
      <c r="F36" s="32"/>
      <c r="G36" s="32"/>
      <c r="H36" s="32"/>
      <c r="I36" s="32"/>
      <c r="J36" s="32"/>
      <c r="K36" s="32"/>
      <c r="L36" s="1"/>
      <c r="M36" s="1"/>
      <c r="N36" s="1"/>
      <c r="Q36" s="1"/>
      <c r="AA36" s="1"/>
      <c r="AB36" s="1"/>
      <c r="AC36" s="1"/>
      <c r="AD36" s="1"/>
      <c r="AE36" s="1"/>
    </row>
    <row r="37" spans="1:31" x14ac:dyDescent="0.3">
      <c r="A37" s="1"/>
      <c r="B37" s="1" t="s">
        <v>62</v>
      </c>
      <c r="C37" s="1"/>
      <c r="D37" s="1"/>
      <c r="E37" s="34"/>
      <c r="F37" s="34">
        <v>2105</v>
      </c>
      <c r="G37" s="34">
        <v>3464</v>
      </c>
      <c r="H37" s="34">
        <v>8643</v>
      </c>
      <c r="I37" s="35">
        <f>I28*0.6</f>
        <v>18675.05199576855</v>
      </c>
      <c r="J37" s="35">
        <f>J28*0.3</f>
        <v>15236.351788962304</v>
      </c>
      <c r="K37" s="35">
        <f>K28*0.2</f>
        <v>15761.616491267763</v>
      </c>
      <c r="L37" s="35">
        <f>L28*0.2</f>
        <v>23486.826531722498</v>
      </c>
      <c r="M37" s="35">
        <f>M28*0.2</f>
        <v>32380.094749376749</v>
      </c>
      <c r="N37" s="35">
        <f>N28*0.2</f>
        <v>41671.204333627393</v>
      </c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</row>
    <row r="38" spans="1:31" x14ac:dyDescent="0.3">
      <c r="A38" s="1"/>
      <c r="B38" s="18" t="s">
        <v>41</v>
      </c>
      <c r="C38" s="1"/>
      <c r="D38" s="1"/>
      <c r="E38" s="36"/>
      <c r="F38" s="36">
        <f t="shared" ref="F38:N38" si="8">F37/F$28</f>
        <v>0.20265716761336286</v>
      </c>
      <c r="G38" s="36">
        <f t="shared" si="8"/>
        <v>0.24716375312165537</v>
      </c>
      <c r="H38" s="36">
        <f t="shared" si="8"/>
        <v>0.46283602870300955</v>
      </c>
      <c r="I38" s="36">
        <f t="shared" si="8"/>
        <v>0.6</v>
      </c>
      <c r="J38" s="36">
        <f t="shared" si="8"/>
        <v>0.3</v>
      </c>
      <c r="K38" s="36">
        <f t="shared" si="8"/>
        <v>0.2</v>
      </c>
      <c r="L38" s="36">
        <f t="shared" si="8"/>
        <v>0.2</v>
      </c>
      <c r="M38" s="36">
        <f t="shared" si="8"/>
        <v>0.2</v>
      </c>
      <c r="N38" s="36">
        <f t="shared" si="8"/>
        <v>0.20000000000000004</v>
      </c>
      <c r="Q38" s="36"/>
      <c r="R38" s="36"/>
      <c r="S38" s="36"/>
      <c r="T38" s="36"/>
      <c r="U38" s="36"/>
      <c r="V38" s="36"/>
      <c r="W38" s="36"/>
      <c r="X38" s="36"/>
      <c r="AA38" s="1"/>
      <c r="AB38" s="1"/>
      <c r="AC38" s="1"/>
      <c r="AD38" s="1"/>
      <c r="AE38" s="1"/>
    </row>
    <row r="39" spans="1:31" x14ac:dyDescent="0.3">
      <c r="A39" s="1"/>
      <c r="B39" s="1"/>
      <c r="C39" s="1"/>
      <c r="D39" s="1"/>
      <c r="E39" s="29"/>
      <c r="F39" s="29"/>
      <c r="G39" s="34"/>
      <c r="H39" s="34"/>
      <c r="I39" s="34"/>
      <c r="J39" s="34"/>
      <c r="K39" s="34"/>
      <c r="L39" s="1"/>
      <c r="M39" s="1"/>
      <c r="N39" s="1"/>
      <c r="Q39" s="1"/>
      <c r="AA39" s="1"/>
      <c r="AB39" s="1"/>
      <c r="AC39" s="1"/>
      <c r="AD39" s="1"/>
      <c r="AE39" s="1"/>
    </row>
    <row r="40" spans="1:31" x14ac:dyDescent="0.3">
      <c r="A40" s="1"/>
      <c r="B40" s="1" t="s">
        <v>63</v>
      </c>
      <c r="C40" s="1"/>
      <c r="D40" s="1"/>
      <c r="E40" s="34"/>
      <c r="F40" s="34">
        <v>1665</v>
      </c>
      <c r="G40" s="34">
        <v>1813</v>
      </c>
      <c r="H40" s="34">
        <v>2644</v>
      </c>
      <c r="I40" s="35">
        <f>I28*0.125</f>
        <v>3890.6358324517814</v>
      </c>
      <c r="J40" s="35">
        <f>J28*0.12</f>
        <v>6094.5407155849216</v>
      </c>
      <c r="K40" s="35">
        <f>K28*0.115</f>
        <v>9062.9294824789649</v>
      </c>
      <c r="L40" s="35">
        <f>L28*0.11</f>
        <v>12917.754592447372</v>
      </c>
      <c r="M40" s="35">
        <f>M28*0.105</f>
        <v>16999.549743422791</v>
      </c>
      <c r="N40" s="35">
        <f>N28*0.1</f>
        <v>20835.602166813696</v>
      </c>
      <c r="Q40" s="1"/>
      <c r="AA40" s="1"/>
      <c r="AB40" s="1"/>
      <c r="AC40" s="1"/>
      <c r="AD40" s="1"/>
      <c r="AE40" s="1"/>
    </row>
    <row r="41" spans="1:31" x14ac:dyDescent="0.3">
      <c r="A41" s="1"/>
      <c r="B41" s="18" t="s">
        <v>41</v>
      </c>
      <c r="C41" s="1"/>
      <c r="D41" s="1"/>
      <c r="E41" s="36"/>
      <c r="F41" s="36">
        <f>F40/F$28</f>
        <v>0.16029652450178108</v>
      </c>
      <c r="G41" s="36">
        <f>G40/G$28</f>
        <v>0.12936139850160541</v>
      </c>
      <c r="H41" s="36">
        <f>H40/H$28</f>
        <v>0.14158723358680519</v>
      </c>
      <c r="I41" s="36">
        <f t="shared" ref="I41:N41" si="9">I40/I$28</f>
        <v>0.125</v>
      </c>
      <c r="J41" s="36">
        <f t="shared" si="9"/>
        <v>0.12</v>
      </c>
      <c r="K41" s="36">
        <f t="shared" si="9"/>
        <v>0.11500000000000002</v>
      </c>
      <c r="L41" s="36">
        <f t="shared" si="9"/>
        <v>0.11</v>
      </c>
      <c r="M41" s="36">
        <f t="shared" si="9"/>
        <v>0.10499999999999998</v>
      </c>
      <c r="N41" s="36">
        <f t="shared" si="9"/>
        <v>0.10000000000000002</v>
      </c>
      <c r="Q41" s="1"/>
      <c r="AA41" s="1"/>
      <c r="AB41" s="1"/>
      <c r="AC41" s="1"/>
      <c r="AD41" s="1"/>
      <c r="AE41" s="1"/>
    </row>
    <row r="42" spans="1:31" x14ac:dyDescent="0.3">
      <c r="A42" s="1"/>
      <c r="B42" s="18"/>
      <c r="C42" s="1"/>
      <c r="D42" s="1"/>
      <c r="E42" s="36"/>
      <c r="F42" s="36"/>
      <c r="G42" s="36"/>
      <c r="H42" s="36"/>
      <c r="I42" s="36"/>
      <c r="J42" s="36"/>
      <c r="K42" s="36"/>
      <c r="L42" s="36"/>
      <c r="M42" s="36"/>
      <c r="N42" s="36"/>
      <c r="Q42" s="1"/>
      <c r="AA42" s="1"/>
      <c r="AB42" s="1"/>
      <c r="AC42" s="1"/>
      <c r="AD42" s="1"/>
      <c r="AE42" s="1"/>
    </row>
    <row r="43" spans="1:31" x14ac:dyDescent="0.3">
      <c r="A43" s="1"/>
      <c r="B43" s="18" t="s">
        <v>98</v>
      </c>
      <c r="C43" s="1"/>
      <c r="D43" s="1"/>
      <c r="E43" s="37"/>
      <c r="F43" s="37">
        <v>237</v>
      </c>
      <c r="G43" s="37">
        <v>213</v>
      </c>
      <c r="H43" s="37">
        <v>487</v>
      </c>
      <c r="I43" s="38"/>
      <c r="J43" s="38"/>
      <c r="K43" s="38"/>
      <c r="L43" s="38"/>
      <c r="M43" s="38"/>
      <c r="N43" s="38"/>
      <c r="Q43" s="1"/>
      <c r="AA43" s="1"/>
      <c r="AB43" s="1"/>
      <c r="AC43" s="1"/>
      <c r="AD43" s="1"/>
      <c r="AE43" s="1"/>
    </row>
    <row r="44" spans="1:31" x14ac:dyDescent="0.3">
      <c r="A44" s="1"/>
      <c r="B44" s="18" t="s">
        <v>41</v>
      </c>
      <c r="C44" s="1"/>
      <c r="D44" s="1"/>
      <c r="E44" s="30"/>
      <c r="F44" s="30">
        <f t="shared" ref="F44:N44" si="10">F43/F$28</f>
        <v>2.281698276692019E-2</v>
      </c>
      <c r="G44" s="30">
        <f t="shared" si="10"/>
        <v>1.5198002140563683E-2</v>
      </c>
      <c r="H44" s="30">
        <f t="shared" si="10"/>
        <v>2.6079040376994753E-2</v>
      </c>
      <c r="I44" s="30">
        <f t="shared" si="10"/>
        <v>0</v>
      </c>
      <c r="J44" s="30">
        <f t="shared" si="10"/>
        <v>0</v>
      </c>
      <c r="K44" s="30">
        <f t="shared" si="10"/>
        <v>0</v>
      </c>
      <c r="L44" s="30">
        <f t="shared" si="10"/>
        <v>0</v>
      </c>
      <c r="M44" s="30">
        <f t="shared" si="10"/>
        <v>0</v>
      </c>
      <c r="N44" s="30">
        <f t="shared" si="10"/>
        <v>0</v>
      </c>
      <c r="Q44" s="1"/>
      <c r="AA44" s="1"/>
      <c r="AB44" s="1"/>
      <c r="AC44" s="1"/>
      <c r="AD44" s="1"/>
      <c r="AE44" s="1"/>
    </row>
    <row r="45" spans="1:31" x14ac:dyDescent="0.3">
      <c r="A45" s="1"/>
      <c r="B45" s="18"/>
      <c r="C45" s="1"/>
      <c r="D45" s="1"/>
      <c r="E45" s="30"/>
      <c r="F45" s="30"/>
      <c r="G45" s="30"/>
      <c r="H45" s="30"/>
      <c r="I45" s="30"/>
      <c r="J45" s="30"/>
      <c r="K45" s="30"/>
      <c r="L45" s="30"/>
      <c r="M45" s="30"/>
      <c r="N45" s="30"/>
      <c r="Q45" s="1"/>
      <c r="AA45" s="1"/>
      <c r="AB45" s="1"/>
      <c r="AC45" s="1"/>
      <c r="AD45" s="1"/>
      <c r="AE45" s="1"/>
    </row>
    <row r="46" spans="1:31" x14ac:dyDescent="0.3">
      <c r="A46" s="1"/>
      <c r="B46" s="1" t="s">
        <v>94</v>
      </c>
      <c r="C46" s="1"/>
      <c r="D46" s="1"/>
      <c r="E46" s="37"/>
      <c r="F46" s="37">
        <v>3775</v>
      </c>
      <c r="G46" s="37">
        <v>63</v>
      </c>
      <c r="H46" s="37">
        <v>38</v>
      </c>
      <c r="I46" s="38"/>
      <c r="J46" s="38">
        <v>0</v>
      </c>
      <c r="K46" s="38">
        <v>0</v>
      </c>
      <c r="L46" s="38">
        <v>0</v>
      </c>
      <c r="M46" s="38">
        <v>0</v>
      </c>
      <c r="N46" s="38">
        <v>0</v>
      </c>
      <c r="Q46" s="1"/>
      <c r="AA46" s="1"/>
      <c r="AB46" s="1"/>
      <c r="AC46" s="1"/>
      <c r="AD46" s="1"/>
      <c r="AE46" s="1"/>
    </row>
    <row r="47" spans="1:31" x14ac:dyDescent="0.3">
      <c r="A47" s="1"/>
      <c r="B47" s="18" t="s">
        <v>41</v>
      </c>
      <c r="C47" s="1"/>
      <c r="D47" s="1"/>
      <c r="E47" s="30"/>
      <c r="F47" s="30">
        <f t="shared" ref="F47:N47" si="11">F46/F$28</f>
        <v>0.36343506305959372</v>
      </c>
      <c r="G47" s="30">
        <f t="shared" si="11"/>
        <v>4.4951837317160183E-3</v>
      </c>
      <c r="H47" s="30">
        <f t="shared" si="11"/>
        <v>2.0349148548784407E-3</v>
      </c>
      <c r="I47" s="30">
        <f t="shared" si="11"/>
        <v>0</v>
      </c>
      <c r="J47" s="30">
        <f t="shared" si="11"/>
        <v>0</v>
      </c>
      <c r="K47" s="30">
        <f t="shared" si="11"/>
        <v>0</v>
      </c>
      <c r="L47" s="30">
        <f t="shared" si="11"/>
        <v>0</v>
      </c>
      <c r="M47" s="30">
        <f t="shared" si="11"/>
        <v>0</v>
      </c>
      <c r="N47" s="30">
        <f t="shared" si="11"/>
        <v>0</v>
      </c>
      <c r="Q47" s="1"/>
      <c r="AA47" s="1"/>
      <c r="AB47" s="1"/>
      <c r="AC47" s="1"/>
      <c r="AD47" s="1"/>
      <c r="AE47" s="1"/>
    </row>
    <row r="48" spans="1:31" x14ac:dyDescent="0.3">
      <c r="A48" s="1"/>
      <c r="B48" s="1"/>
      <c r="C48" s="1"/>
      <c r="D48" s="1"/>
      <c r="E48" s="29"/>
      <c r="F48" s="1"/>
      <c r="G48" s="1"/>
      <c r="H48" s="1"/>
      <c r="I48" s="1"/>
      <c r="J48" s="1"/>
      <c r="K48" s="1"/>
      <c r="L48" s="1"/>
      <c r="M48" s="1"/>
      <c r="N48" s="1"/>
      <c r="Q48" s="1"/>
      <c r="AA48" s="1"/>
      <c r="AB48" s="1"/>
      <c r="AC48" s="1"/>
      <c r="AD48" s="1"/>
      <c r="AE48" s="1"/>
    </row>
    <row r="49" spans="1:31" x14ac:dyDescent="0.3">
      <c r="A49" s="1"/>
      <c r="B49" s="1" t="s">
        <v>64</v>
      </c>
      <c r="C49" s="1"/>
      <c r="D49" s="1"/>
      <c r="E49" s="39"/>
      <c r="F49" s="40">
        <f t="shared" ref="F49:G49" si="12">F34-F37-F40-F43-F46</f>
        <v>-3505</v>
      </c>
      <c r="G49" s="40">
        <f t="shared" si="12"/>
        <v>466</v>
      </c>
      <c r="H49" s="40">
        <f>H34-H37-H40-H43-H46</f>
        <v>-2589</v>
      </c>
      <c r="I49" s="40">
        <f t="shared" ref="I49:N49" si="13">I34-I37-I40-I43-I46</f>
        <v>-7003.1444984132058</v>
      </c>
      <c r="J49" s="40">
        <f t="shared" si="13"/>
        <v>4570.9055366886923</v>
      </c>
      <c r="K49" s="40">
        <f t="shared" si="13"/>
        <v>16155.656903549458</v>
      </c>
      <c r="L49" s="40">
        <f t="shared" si="13"/>
        <v>25835.509184894741</v>
      </c>
      <c r="M49" s="40">
        <f t="shared" si="13"/>
        <v>38046.611330517684</v>
      </c>
      <c r="N49" s="40">
        <f t="shared" si="13"/>
        <v>52089.005417034219</v>
      </c>
      <c r="Q49" s="3"/>
      <c r="R49" s="3"/>
      <c r="S49" s="3"/>
      <c r="T49" s="3"/>
      <c r="U49" s="3"/>
      <c r="V49" s="3"/>
      <c r="W49" s="3"/>
      <c r="AA49" s="1"/>
      <c r="AB49" s="1"/>
      <c r="AC49" s="1"/>
      <c r="AD49" s="1"/>
      <c r="AE49" s="1"/>
    </row>
    <row r="50" spans="1:31" x14ac:dyDescent="0.3">
      <c r="A50" s="1"/>
      <c r="B50" s="18" t="s">
        <v>41</v>
      </c>
      <c r="C50" s="18"/>
      <c r="D50" s="18"/>
      <c r="E50" s="30"/>
      <c r="F50" s="30">
        <f t="shared" ref="F50:N50" si="14">F49/F$28</f>
        <v>-0.33744103205930492</v>
      </c>
      <c r="G50" s="30">
        <f t="shared" si="14"/>
        <v>3.325008919015341E-2</v>
      </c>
      <c r="H50" s="30">
        <f t="shared" si="14"/>
        <v>-0.13864196208632323</v>
      </c>
      <c r="I50" s="30">
        <f t="shared" si="14"/>
        <v>-0.22499999999999998</v>
      </c>
      <c r="J50" s="30">
        <f t="shared" si="14"/>
        <v>9.0000000000000011E-2</v>
      </c>
      <c r="K50" s="30">
        <f t="shared" si="14"/>
        <v>0.20500000000000002</v>
      </c>
      <c r="L50" s="30">
        <f t="shared" si="14"/>
        <v>0.21999999999999997</v>
      </c>
      <c r="M50" s="30">
        <f t="shared" si="14"/>
        <v>0.23500000000000004</v>
      </c>
      <c r="N50" s="30">
        <f t="shared" si="14"/>
        <v>0.24999999999999992</v>
      </c>
      <c r="Q50" s="1"/>
      <c r="R50" s="3"/>
      <c r="S50" s="3"/>
      <c r="T50" s="3"/>
      <c r="U50" s="3"/>
      <c r="AA50" s="1"/>
      <c r="AB50" s="1"/>
      <c r="AC50" s="1"/>
      <c r="AD50" s="1"/>
      <c r="AE50" s="1"/>
    </row>
    <row r="51" spans="1:31" x14ac:dyDescent="0.3">
      <c r="A51" s="1"/>
      <c r="B51" s="18"/>
      <c r="C51" s="18"/>
      <c r="D51" s="18"/>
      <c r="E51" s="30"/>
      <c r="F51" s="30"/>
      <c r="G51" s="30"/>
      <c r="H51" s="30"/>
      <c r="I51" s="41"/>
      <c r="J51" s="30"/>
      <c r="K51" s="30"/>
      <c r="L51" s="30"/>
      <c r="M51" s="30"/>
      <c r="N51" s="30"/>
      <c r="Q51" s="1"/>
      <c r="R51" s="3"/>
      <c r="S51" s="3"/>
      <c r="T51" s="3"/>
      <c r="U51" s="3"/>
      <c r="AA51" s="1"/>
      <c r="AB51" s="1"/>
      <c r="AC51" s="1"/>
      <c r="AD51" s="1"/>
      <c r="AE51" s="1"/>
    </row>
    <row r="52" spans="1:31" x14ac:dyDescent="0.3">
      <c r="A52" s="1"/>
      <c r="B52" s="1" t="s">
        <v>65</v>
      </c>
      <c r="C52" s="1"/>
      <c r="D52" s="1"/>
      <c r="E52" s="39"/>
      <c r="F52" s="39">
        <f t="shared" ref="F52:N52" si="15">F49+F78</f>
        <v>-870</v>
      </c>
      <c r="G52" s="39">
        <f t="shared" si="15"/>
        <v>4290</v>
      </c>
      <c r="H52" s="39">
        <f t="shared" si="15"/>
        <v>4112</v>
      </c>
      <c r="I52" s="39">
        <f t="shared" si="15"/>
        <v>1917.8555015867942</v>
      </c>
      <c r="J52" s="39">
        <f t="shared" si="15"/>
        <v>16837.280536688693</v>
      </c>
      <c r="K52" s="39">
        <f t="shared" si="15"/>
        <v>33083.254403549457</v>
      </c>
      <c r="L52" s="39">
        <f t="shared" si="15"/>
        <v>41634.600184894742</v>
      </c>
      <c r="M52" s="39">
        <f t="shared" si="15"/>
        <v>53394.299730517683</v>
      </c>
      <c r="N52" s="39">
        <f t="shared" si="15"/>
        <v>68395.924342034225</v>
      </c>
      <c r="Q52" s="1"/>
      <c r="R52" s="3"/>
      <c r="S52" s="3"/>
      <c r="T52" s="3"/>
      <c r="U52" s="3"/>
      <c r="AA52" s="1"/>
      <c r="AB52" s="1"/>
      <c r="AC52" s="1"/>
      <c r="AD52" s="1"/>
      <c r="AE52" s="1"/>
    </row>
    <row r="53" spans="1:31" x14ac:dyDescent="0.3">
      <c r="A53" s="1"/>
      <c r="B53" s="18" t="s">
        <v>41</v>
      </c>
      <c r="C53" s="18"/>
      <c r="D53" s="18"/>
      <c r="E53" s="30"/>
      <c r="F53" s="30">
        <f t="shared" ref="F53:N53" si="16">F52/F$28</f>
        <v>-8.3758544334263982E-2</v>
      </c>
      <c r="G53" s="30">
        <f t="shared" si="16"/>
        <v>0.30610060649304316</v>
      </c>
      <c r="H53" s="30">
        <f t="shared" si="16"/>
        <v>0.22019920745421442</v>
      </c>
      <c r="I53" s="30">
        <f t="shared" si="16"/>
        <v>6.1617675881856099E-2</v>
      </c>
      <c r="J53" s="30">
        <f t="shared" si="16"/>
        <v>0.33152189126178128</v>
      </c>
      <c r="K53" s="30">
        <f t="shared" si="16"/>
        <v>0.41979519577675567</v>
      </c>
      <c r="L53" s="30">
        <f t="shared" si="16"/>
        <v>0.35453576607006437</v>
      </c>
      <c r="M53" s="30">
        <f t="shared" si="16"/>
        <v>0.32979705676460641</v>
      </c>
      <c r="N53" s="30">
        <f t="shared" si="16"/>
        <v>0.32826468750191989</v>
      </c>
      <c r="Q53" s="1"/>
      <c r="R53" s="3"/>
      <c r="S53" s="3"/>
      <c r="T53" s="3"/>
      <c r="U53" s="3"/>
      <c r="AA53" s="1"/>
      <c r="AB53" s="1"/>
      <c r="AC53" s="1"/>
      <c r="AD53" s="1"/>
      <c r="AE53" s="1"/>
    </row>
    <row r="54" spans="1:31" x14ac:dyDescent="0.3">
      <c r="A54" s="1"/>
      <c r="B54" s="1"/>
      <c r="C54" s="1"/>
      <c r="D54" s="1"/>
      <c r="E54" s="32"/>
      <c r="F54" s="32"/>
      <c r="G54" s="32"/>
      <c r="H54" s="32"/>
      <c r="I54" s="32"/>
      <c r="J54" s="32"/>
      <c r="K54" s="32"/>
      <c r="L54" s="1"/>
      <c r="M54" s="1"/>
      <c r="N54" s="1"/>
      <c r="Q54" s="1"/>
      <c r="AA54" s="1"/>
      <c r="AB54" s="1"/>
      <c r="AC54" s="1"/>
      <c r="AD54" s="1"/>
      <c r="AE54" s="1"/>
    </row>
    <row r="55" spans="1:31" x14ac:dyDescent="0.3">
      <c r="A55" s="1"/>
      <c r="B55" s="1" t="s">
        <v>100</v>
      </c>
      <c r="C55" s="1"/>
      <c r="D55" s="1"/>
      <c r="E55" s="32"/>
      <c r="F55" s="42">
        <f>249-1693</f>
        <v>-1444</v>
      </c>
      <c r="G55" s="42">
        <f>371-1580</f>
        <v>-1209</v>
      </c>
      <c r="H55" s="42">
        <f>492-1945</f>
        <v>-1453</v>
      </c>
      <c r="I55" s="32"/>
      <c r="J55" s="32"/>
      <c r="K55" s="32"/>
      <c r="L55" s="1"/>
      <c r="M55" s="1"/>
      <c r="N55" s="1"/>
      <c r="Q55" s="1"/>
      <c r="AA55" s="1"/>
      <c r="AB55" s="1"/>
      <c r="AC55" s="1"/>
      <c r="AD55" s="1"/>
      <c r="AE55" s="1"/>
    </row>
    <row r="56" spans="1:31" x14ac:dyDescent="0.3">
      <c r="B56" s="18" t="s">
        <v>41</v>
      </c>
      <c r="C56" s="18"/>
      <c r="D56" s="18"/>
      <c r="E56" s="30"/>
      <c r="F56" s="30">
        <f t="shared" ref="F56:N56" si="17">F55/F$28</f>
        <v>-0.13901992875710023</v>
      </c>
      <c r="G56" s="30">
        <f t="shared" si="17"/>
        <v>-8.6264716375312162E-2</v>
      </c>
      <c r="H56" s="30">
        <f t="shared" si="17"/>
        <v>-7.7808718003641433E-2</v>
      </c>
      <c r="I56" s="30">
        <f t="shared" si="17"/>
        <v>0</v>
      </c>
      <c r="J56" s="30">
        <f t="shared" si="17"/>
        <v>0</v>
      </c>
      <c r="K56" s="30">
        <f t="shared" si="17"/>
        <v>0</v>
      </c>
      <c r="L56" s="30">
        <f t="shared" si="17"/>
        <v>0</v>
      </c>
      <c r="M56" s="30">
        <f t="shared" si="17"/>
        <v>0</v>
      </c>
      <c r="N56" s="30">
        <f t="shared" si="17"/>
        <v>0</v>
      </c>
      <c r="Q56" s="1"/>
      <c r="AA56" s="1"/>
      <c r="AB56" s="1"/>
      <c r="AC56" s="1"/>
      <c r="AD56" s="1"/>
      <c r="AE56" s="1"/>
    </row>
    <row r="57" spans="1:31" x14ac:dyDescent="0.3">
      <c r="A57" s="1"/>
      <c r="B57" s="1"/>
      <c r="C57" s="1"/>
      <c r="D57" s="1"/>
      <c r="E57" s="32"/>
      <c r="I57" s="32"/>
      <c r="J57" s="32"/>
      <c r="K57" s="32"/>
      <c r="L57" s="1"/>
      <c r="M57" s="1"/>
      <c r="N57" s="38">
        <v>0</v>
      </c>
      <c r="Q57" s="1"/>
      <c r="AA57" s="1"/>
      <c r="AB57" s="1"/>
      <c r="AC57" s="1"/>
      <c r="AD57" s="1"/>
      <c r="AE57" s="1"/>
    </row>
    <row r="58" spans="1:31" x14ac:dyDescent="0.3">
      <c r="A58" s="1"/>
      <c r="B58" s="1" t="s">
        <v>95</v>
      </c>
      <c r="C58" s="1"/>
      <c r="D58" s="1"/>
      <c r="E58" s="42"/>
      <c r="F58" s="42">
        <v>-42</v>
      </c>
      <c r="G58" s="42">
        <v>985</v>
      </c>
      <c r="H58" s="42">
        <v>-177</v>
      </c>
      <c r="I58" s="38">
        <v>0</v>
      </c>
      <c r="J58" s="38">
        <v>0</v>
      </c>
      <c r="K58" s="38">
        <v>0</v>
      </c>
      <c r="L58" s="38">
        <v>0</v>
      </c>
      <c r="M58" s="38">
        <v>0</v>
      </c>
      <c r="N58" s="30">
        <f>N57/N$28</f>
        <v>0</v>
      </c>
      <c r="Q58" s="1"/>
      <c r="AA58" s="1"/>
      <c r="AB58" s="1"/>
      <c r="AC58" s="1"/>
      <c r="AD58" s="1"/>
      <c r="AE58" s="1"/>
    </row>
    <row r="59" spans="1:31" x14ac:dyDescent="0.3">
      <c r="A59" s="1"/>
      <c r="B59" s="18" t="s">
        <v>41</v>
      </c>
      <c r="C59" s="18"/>
      <c r="D59" s="18"/>
      <c r="E59" s="30"/>
      <c r="F59" s="30">
        <f t="shared" ref="F59:M59" si="18">F58/F$28</f>
        <v>-4.0435159333782611E-3</v>
      </c>
      <c r="G59" s="30">
        <f t="shared" si="18"/>
        <v>7.0281840884766328E-2</v>
      </c>
      <c r="H59" s="30">
        <f t="shared" si="18"/>
        <v>-9.4784191924601052E-3</v>
      </c>
      <c r="I59" s="30">
        <f t="shared" si="18"/>
        <v>0</v>
      </c>
      <c r="J59" s="30">
        <f t="shared" si="18"/>
        <v>0</v>
      </c>
      <c r="K59" s="30">
        <f t="shared" si="18"/>
        <v>0</v>
      </c>
      <c r="L59" s="30">
        <f t="shared" si="18"/>
        <v>0</v>
      </c>
      <c r="M59" s="30">
        <f t="shared" si="18"/>
        <v>0</v>
      </c>
      <c r="N59" s="30"/>
      <c r="Q59" s="1"/>
      <c r="AA59" s="1"/>
      <c r="AB59" s="1"/>
      <c r="AC59" s="1"/>
      <c r="AD59" s="1"/>
      <c r="AE59" s="1"/>
    </row>
    <row r="60" spans="1:31" x14ac:dyDescent="0.3">
      <c r="A60" s="1"/>
      <c r="B60" s="18"/>
      <c r="C60" s="18"/>
      <c r="D60" s="18"/>
      <c r="E60" s="30"/>
      <c r="F60" s="30"/>
      <c r="G60" s="30"/>
      <c r="H60" s="30"/>
      <c r="I60" s="30"/>
      <c r="J60" s="30"/>
      <c r="K60" s="30"/>
      <c r="L60" s="30"/>
      <c r="M60" s="30"/>
      <c r="N60" s="38"/>
      <c r="Q60" s="1"/>
      <c r="AA60" s="1"/>
      <c r="AB60" s="1"/>
      <c r="AC60" s="1"/>
      <c r="AD60" s="1"/>
      <c r="AE60" s="1"/>
    </row>
    <row r="61" spans="1:31" x14ac:dyDescent="0.3">
      <c r="A61" s="1"/>
      <c r="B61" s="1" t="s">
        <v>96</v>
      </c>
      <c r="C61" s="1"/>
      <c r="D61" s="1"/>
      <c r="E61" s="42"/>
      <c r="F61" s="38">
        <f t="shared" ref="F61:G61" si="19">F49+F55+F58</f>
        <v>-4991</v>
      </c>
      <c r="G61" s="38">
        <f t="shared" si="19"/>
        <v>242</v>
      </c>
      <c r="H61" s="38">
        <f>H49+H55+H58</f>
        <v>-4219</v>
      </c>
      <c r="I61" s="38">
        <f>I49+I58</f>
        <v>-7003.1444984132058</v>
      </c>
      <c r="J61" s="38">
        <f>J49+J58</f>
        <v>4570.9055366886923</v>
      </c>
      <c r="K61" s="38">
        <f>K49+K58</f>
        <v>16155.656903549458</v>
      </c>
      <c r="L61" s="38">
        <f t="shared" ref="L61:N61" si="20">L49+L58</f>
        <v>25835.509184894741</v>
      </c>
      <c r="M61" s="38">
        <f t="shared" si="20"/>
        <v>38046.611330517684</v>
      </c>
      <c r="N61" s="38">
        <f t="shared" si="20"/>
        <v>52089.005417034219</v>
      </c>
      <c r="Q61" s="1"/>
      <c r="AA61" s="1"/>
      <c r="AB61" s="1"/>
      <c r="AC61" s="1"/>
      <c r="AD61" s="1"/>
      <c r="AE61" s="1"/>
    </row>
    <row r="62" spans="1:31" x14ac:dyDescent="0.3">
      <c r="A62" s="1"/>
      <c r="B62" s="18" t="s">
        <v>41</v>
      </c>
      <c r="C62" s="18"/>
      <c r="D62" s="18"/>
      <c r="E62" s="30"/>
      <c r="F62" s="30">
        <f t="shared" ref="F62:K62" si="21">F61/F$28</f>
        <v>-0.48050447674978336</v>
      </c>
      <c r="G62" s="30">
        <f t="shared" si="21"/>
        <v>1.7267213699607563E-2</v>
      </c>
      <c r="H62" s="30">
        <f t="shared" si="21"/>
        <v>-0.22592909928242477</v>
      </c>
      <c r="I62" s="30">
        <f t="shared" si="21"/>
        <v>-0.22499999999999998</v>
      </c>
      <c r="J62" s="30">
        <f t="shared" si="21"/>
        <v>9.0000000000000011E-2</v>
      </c>
      <c r="K62" s="30">
        <f t="shared" si="21"/>
        <v>0.20500000000000002</v>
      </c>
      <c r="L62" s="30">
        <f t="shared" ref="L62:N62" si="22">L61/L$28</f>
        <v>0.21999999999999997</v>
      </c>
      <c r="M62" s="30">
        <f t="shared" si="22"/>
        <v>0.23500000000000004</v>
      </c>
      <c r="N62" s="30">
        <f t="shared" si="22"/>
        <v>0.24999999999999992</v>
      </c>
      <c r="Q62" s="1"/>
      <c r="AA62" s="1"/>
      <c r="AB62" s="1"/>
      <c r="AC62" s="1"/>
      <c r="AD62" s="1"/>
      <c r="AE62" s="1"/>
    </row>
    <row r="63" spans="1:31" x14ac:dyDescent="0.3">
      <c r="A63" s="1"/>
      <c r="B63" s="18"/>
      <c r="C63" s="18"/>
      <c r="D63" s="18"/>
      <c r="E63" s="30"/>
      <c r="F63" s="1"/>
      <c r="G63" s="1"/>
      <c r="H63" s="1"/>
      <c r="I63" s="30"/>
      <c r="J63" s="30"/>
      <c r="K63" s="30"/>
      <c r="L63" s="30"/>
      <c r="M63" s="30"/>
      <c r="Q63" s="1"/>
      <c r="AA63" s="1"/>
      <c r="AB63" s="1"/>
      <c r="AC63" s="1"/>
      <c r="AD63" s="1"/>
      <c r="AE63" s="1"/>
    </row>
    <row r="64" spans="1:31" x14ac:dyDescent="0.3">
      <c r="A64" s="1"/>
      <c r="B64" s="1" t="s">
        <v>97</v>
      </c>
      <c r="C64" s="1"/>
      <c r="D64" s="1"/>
      <c r="E64" s="42"/>
      <c r="F64" s="42">
        <v>-363</v>
      </c>
      <c r="G64" s="42">
        <v>-549</v>
      </c>
      <c r="H64" s="42">
        <v>718</v>
      </c>
      <c r="I64" s="38">
        <f>IF(I61&gt;0,I61*0.12,0)</f>
        <v>0</v>
      </c>
      <c r="J64" s="38">
        <f>IF(J61&gt;0,J61*0.12,0)</f>
        <v>548.50866440264303</v>
      </c>
      <c r="K64" s="38">
        <f>IF(K61&gt;0,K61*0.13,0)</f>
        <v>2100.2353974614298</v>
      </c>
      <c r="L64" s="38">
        <f>IF(L61&gt;0,L61*0.14,0)</f>
        <v>3616.971285885264</v>
      </c>
      <c r="M64" s="38">
        <f>IF(M61&gt;0,M61*0.15,0)</f>
        <v>5706.9916995776521</v>
      </c>
      <c r="N64" s="38">
        <f>IF(N61&gt;0,N61*0.16,0)</f>
        <v>8334.2408667254749</v>
      </c>
      <c r="Q64" s="1"/>
      <c r="AA64" s="1"/>
      <c r="AB64" s="1"/>
      <c r="AC64" s="1"/>
      <c r="AD64" s="1"/>
      <c r="AE64" s="1"/>
    </row>
    <row r="65" spans="1:31" x14ac:dyDescent="0.3">
      <c r="A65" s="1"/>
      <c r="B65" s="18" t="s">
        <v>66</v>
      </c>
      <c r="C65" s="18"/>
      <c r="D65" s="18"/>
      <c r="E65" s="30"/>
      <c r="F65" s="30">
        <f t="shared" ref="F65:K65" si="23">F64/F61</f>
        <v>7.2730915648166694E-2</v>
      </c>
      <c r="G65" s="30">
        <f t="shared" si="23"/>
        <v>-2.2685950413223139</v>
      </c>
      <c r="H65" s="30">
        <f t="shared" si="23"/>
        <v>-0.17018250770324722</v>
      </c>
      <c r="I65" s="30">
        <f t="shared" si="23"/>
        <v>0</v>
      </c>
      <c r="J65" s="30">
        <f t="shared" si="23"/>
        <v>0.12</v>
      </c>
      <c r="K65" s="30">
        <f t="shared" si="23"/>
        <v>0.13</v>
      </c>
      <c r="L65" s="30">
        <f t="shared" ref="L65:N65" si="24">L64/L61</f>
        <v>0.14000000000000001</v>
      </c>
      <c r="M65" s="30">
        <f t="shared" si="24"/>
        <v>0.15</v>
      </c>
      <c r="N65" s="30">
        <f t="shared" si="24"/>
        <v>0.16</v>
      </c>
      <c r="Q65" s="1"/>
      <c r="AA65" s="1"/>
      <c r="AB65" s="1"/>
      <c r="AC65" s="1"/>
      <c r="AD65" s="1"/>
      <c r="AE65" s="1"/>
    </row>
    <row r="66" spans="1:31" x14ac:dyDescent="0.3">
      <c r="A66" s="1"/>
      <c r="B66" s="18"/>
      <c r="C66" s="18"/>
      <c r="D66" s="18"/>
      <c r="E66" s="36"/>
      <c r="F66" s="36"/>
      <c r="G66" s="36"/>
      <c r="H66" s="36"/>
      <c r="I66" s="32"/>
      <c r="J66" s="32"/>
      <c r="K66" s="32"/>
      <c r="L66" s="1"/>
      <c r="M66" s="1"/>
      <c r="N66" s="1"/>
      <c r="Q66" s="1"/>
      <c r="AA66" s="1"/>
      <c r="AB66" s="1"/>
      <c r="AC66" s="1"/>
      <c r="AD66" s="1"/>
      <c r="AE66" s="1"/>
    </row>
    <row r="67" spans="1:31" x14ac:dyDescent="0.3">
      <c r="A67" s="1"/>
      <c r="B67" s="1" t="s">
        <v>67</v>
      </c>
      <c r="C67" s="1"/>
      <c r="D67" s="1"/>
      <c r="E67" s="40"/>
      <c r="F67" s="40">
        <f>F61-F64</f>
        <v>-4628</v>
      </c>
      <c r="G67" s="40">
        <f>G61-G64-773</f>
        <v>18</v>
      </c>
      <c r="H67" s="40">
        <f>H61-H64</f>
        <v>-4937</v>
      </c>
      <c r="I67" s="40">
        <f t="shared" ref="I67:K67" si="25">I61-I64</f>
        <v>-7003.1444984132058</v>
      </c>
      <c r="J67" s="40">
        <f t="shared" si="25"/>
        <v>4022.3968722860491</v>
      </c>
      <c r="K67" s="40">
        <f t="shared" si="25"/>
        <v>14055.421506088027</v>
      </c>
      <c r="L67" s="40">
        <f t="shared" ref="L67:N67" si="26">L61-L64</f>
        <v>22218.537899009476</v>
      </c>
      <c r="M67" s="40">
        <f t="shared" si="26"/>
        <v>32339.619630940033</v>
      </c>
      <c r="N67" s="40">
        <f t="shared" si="26"/>
        <v>43754.764550308741</v>
      </c>
      <c r="Q67" s="1"/>
      <c r="AA67" s="1"/>
      <c r="AB67" s="1"/>
      <c r="AC67" s="1"/>
      <c r="AD67" s="1"/>
      <c r="AE67" s="1"/>
    </row>
    <row r="68" spans="1:31" x14ac:dyDescent="0.3">
      <c r="A68" s="1"/>
      <c r="B68" s="18" t="s">
        <v>68</v>
      </c>
      <c r="C68" s="18"/>
      <c r="D68" s="18"/>
      <c r="E68" s="30"/>
      <c r="F68" s="30">
        <f t="shared" ref="F68:K68" si="27">F67/F$28</f>
        <v>-0.4455569461827284</v>
      </c>
      <c r="G68" s="30">
        <f t="shared" si="27"/>
        <v>1.2843382090617196E-3</v>
      </c>
      <c r="H68" s="30">
        <f t="shared" si="27"/>
        <v>-0.2643782799614437</v>
      </c>
      <c r="I68" s="30">
        <f t="shared" si="27"/>
        <v>-0.22499999999999998</v>
      </c>
      <c r="J68" s="30">
        <f t="shared" si="27"/>
        <v>7.9200000000000007E-2</v>
      </c>
      <c r="K68" s="30">
        <f t="shared" si="27"/>
        <v>0.17834999999999998</v>
      </c>
      <c r="L68" s="30">
        <f t="shared" ref="L68:N68" si="28">L67/L$28</f>
        <v>0.18919999999999995</v>
      </c>
      <c r="M68" s="30">
        <f t="shared" si="28"/>
        <v>0.19975000000000004</v>
      </c>
      <c r="N68" s="30">
        <f t="shared" si="28"/>
        <v>0.20999999999999994</v>
      </c>
      <c r="Q68" s="1"/>
      <c r="AA68" s="1"/>
      <c r="AB68" s="1"/>
      <c r="AC68" s="1"/>
      <c r="AD68" s="1"/>
      <c r="AE68" s="1"/>
    </row>
    <row r="69" spans="1:31" x14ac:dyDescent="0.3">
      <c r="A69" s="1"/>
      <c r="B69" s="18"/>
      <c r="C69" s="18"/>
      <c r="D69" s="18"/>
      <c r="E69" s="30"/>
      <c r="F69" s="30"/>
      <c r="G69" s="30"/>
      <c r="H69" s="30"/>
      <c r="I69" s="30"/>
      <c r="J69" s="30"/>
      <c r="K69" s="30"/>
      <c r="L69" s="30"/>
      <c r="M69" s="30"/>
      <c r="N69" s="30"/>
      <c r="Q69" s="1"/>
      <c r="AA69" s="1"/>
      <c r="AB69" s="1"/>
      <c r="AC69" s="1"/>
      <c r="AD69" s="1"/>
      <c r="AE69" s="1"/>
    </row>
    <row r="70" spans="1:31" x14ac:dyDescent="0.3">
      <c r="A70" s="1"/>
      <c r="B70" s="1" t="s">
        <v>99</v>
      </c>
      <c r="C70" s="18"/>
      <c r="D70" s="18"/>
      <c r="E70" s="22"/>
      <c r="F70" s="22">
        <v>2759</v>
      </c>
      <c r="G70" s="22">
        <v>2848</v>
      </c>
      <c r="H70" s="22">
        <v>2926</v>
      </c>
      <c r="I70" s="22">
        <v>5798</v>
      </c>
      <c r="J70" s="3">
        <f>I70*1.04</f>
        <v>6029.92</v>
      </c>
      <c r="K70" s="3">
        <f>J70*1.02</f>
        <v>6150.5183999999999</v>
      </c>
      <c r="L70" s="3">
        <f t="shared" ref="L70:M70" si="29">K70*1.02</f>
        <v>6273.5287680000001</v>
      </c>
      <c r="M70" s="3">
        <f t="shared" si="29"/>
        <v>6398.9993433600002</v>
      </c>
      <c r="N70" s="3">
        <f>M70*1.02</f>
        <v>6526.9793302272001</v>
      </c>
      <c r="Q70" s="1"/>
      <c r="AA70" s="1"/>
      <c r="AB70" s="1"/>
      <c r="AC70" s="1"/>
      <c r="AD70" s="1"/>
      <c r="AE70" s="1"/>
    </row>
    <row r="71" spans="1:31" x14ac:dyDescent="0.3">
      <c r="A71" s="1"/>
      <c r="B71" s="18" t="s">
        <v>33</v>
      </c>
      <c r="C71" s="18"/>
      <c r="D71" s="18"/>
      <c r="E71" s="30"/>
      <c r="F71" s="30"/>
      <c r="G71" s="30">
        <f>(G70-F70)/F70</f>
        <v>3.2258064516129031E-2</v>
      </c>
      <c r="H71" s="30">
        <f>(H70-G70)/G70</f>
        <v>2.7387640449438203E-2</v>
      </c>
      <c r="I71" s="30">
        <f>(I70-H70)/H70</f>
        <v>0.98154477101845528</v>
      </c>
      <c r="J71" s="30">
        <f>(J70-I70)/I70</f>
        <v>4.0000000000000015E-2</v>
      </c>
      <c r="K71" s="30">
        <f>(K70-J70)/J70</f>
        <v>1.9999999999999976E-2</v>
      </c>
      <c r="L71" s="30">
        <f t="shared" ref="L71:M71" si="30">(L70-K70)/K70</f>
        <v>2.0000000000000032E-2</v>
      </c>
      <c r="M71" s="30">
        <f t="shared" si="30"/>
        <v>2.0000000000000018E-2</v>
      </c>
      <c r="N71" s="30">
        <f>(N70-M70)/M70</f>
        <v>1.9999999999999976E-2</v>
      </c>
      <c r="Q71" s="1"/>
      <c r="AA71" s="1"/>
      <c r="AB71" s="1"/>
      <c r="AC71" s="1"/>
      <c r="AD71" s="1"/>
      <c r="AE71" s="1"/>
    </row>
    <row r="72" spans="1:31" x14ac:dyDescent="0.3">
      <c r="A72" s="1"/>
      <c r="B72" s="18"/>
      <c r="C72" s="18"/>
      <c r="D72" s="18"/>
      <c r="E72" s="30"/>
      <c r="F72" s="30"/>
      <c r="G72" s="30"/>
      <c r="H72" s="30"/>
      <c r="I72" s="30"/>
      <c r="J72" s="30"/>
      <c r="K72" s="30"/>
      <c r="L72" s="30"/>
      <c r="M72" s="30"/>
      <c r="N72" s="30"/>
      <c r="Q72" s="1"/>
      <c r="AA72" s="1"/>
      <c r="AB72" s="1"/>
      <c r="AC72" s="1"/>
      <c r="AD72" s="1"/>
      <c r="AE72" s="1"/>
    </row>
    <row r="73" spans="1:31" x14ac:dyDescent="0.3">
      <c r="A73" s="1"/>
      <c r="B73" s="1" t="s">
        <v>69</v>
      </c>
      <c r="C73" s="18"/>
      <c r="D73" s="18"/>
      <c r="E73" s="43"/>
      <c r="F73" s="43">
        <f t="shared" ref="F73:N73" si="31">F67/F70</f>
        <v>-1.6774193548387097</v>
      </c>
      <c r="G73" s="43">
        <f t="shared" si="31"/>
        <v>6.3202247191011234E-3</v>
      </c>
      <c r="H73" s="43">
        <f t="shared" si="31"/>
        <v>-1.6872863978127135</v>
      </c>
      <c r="I73" s="43">
        <f t="shared" si="31"/>
        <v>-1.2078552084189731</v>
      </c>
      <c r="J73" s="43">
        <f t="shared" si="31"/>
        <v>0.6670730079812085</v>
      </c>
      <c r="K73" s="43">
        <f t="shared" si="31"/>
        <v>2.285241762074564</v>
      </c>
      <c r="L73" s="43">
        <f t="shared" si="31"/>
        <v>3.541633221217019</v>
      </c>
      <c r="M73" s="43">
        <f t="shared" si="31"/>
        <v>5.0538557508210458</v>
      </c>
      <c r="N73" s="43">
        <f t="shared" si="31"/>
        <v>6.7036775109238267</v>
      </c>
      <c r="Q73" s="1"/>
      <c r="AA73" s="1"/>
      <c r="AB73" s="1"/>
      <c r="AC73" s="1"/>
      <c r="AD73" s="1"/>
      <c r="AE73" s="1"/>
    </row>
    <row r="74" spans="1:31" x14ac:dyDescent="0.3">
      <c r="A74" s="1"/>
      <c r="B74" s="18" t="s">
        <v>33</v>
      </c>
      <c r="C74" s="18"/>
      <c r="D74" s="18"/>
      <c r="E74" s="30"/>
      <c r="F74" s="30"/>
      <c r="G74" s="30">
        <f>(G73-F73)/F73</f>
        <v>-1.0037678262748488</v>
      </c>
      <c r="H74" s="30">
        <f>(H73-G73)/G73</f>
        <v>-267.96620338725603</v>
      </c>
      <c r="I74" s="30">
        <f>(I73-H73)/H73</f>
        <v>-0.28414333809319109</v>
      </c>
      <c r="J74" s="30">
        <f>(J73-I73)/I73</f>
        <v>-1.5522789514269482</v>
      </c>
      <c r="K74" s="30">
        <f>(K73-J73)/J73</f>
        <v>2.4257745924849945</v>
      </c>
      <c r="L74" s="30">
        <f t="shared" ref="L74:M74" si="32">(L73-K73)/K73</f>
        <v>0.54978491991232081</v>
      </c>
      <c r="M74" s="30">
        <f t="shared" si="32"/>
        <v>0.42698451114155139</v>
      </c>
      <c r="N74" s="30">
        <f>(N73-M73)/M73</f>
        <v>0.32644813018946023</v>
      </c>
      <c r="Q74" s="1"/>
      <c r="R74" s="44"/>
      <c r="T74" s="44"/>
      <c r="V74" s="44"/>
      <c r="AA74" s="5"/>
      <c r="AB74" s="5"/>
      <c r="AC74" s="5"/>
      <c r="AD74" s="5"/>
      <c r="AE74" s="5"/>
    </row>
    <row r="75" spans="1:3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Q75" s="1"/>
      <c r="V75" s="44"/>
      <c r="AA75" s="1"/>
      <c r="AB75" s="1"/>
      <c r="AC75" s="1"/>
      <c r="AD75" s="1"/>
      <c r="AE75" s="1"/>
    </row>
    <row r="76" spans="1:31" x14ac:dyDescent="0.3">
      <c r="A76" s="11" t="s">
        <v>26</v>
      </c>
      <c r="B76" s="89" t="s">
        <v>70</v>
      </c>
      <c r="C76" s="89"/>
      <c r="D76" s="89"/>
      <c r="E76" s="89"/>
      <c r="F76" s="89">
        <v>2023</v>
      </c>
      <c r="G76" s="89">
        <v>2024</v>
      </c>
      <c r="H76" s="89">
        <v>2025</v>
      </c>
      <c r="I76" s="90" t="s">
        <v>20</v>
      </c>
      <c r="J76" s="90" t="s">
        <v>21</v>
      </c>
      <c r="K76" s="90" t="s">
        <v>22</v>
      </c>
      <c r="L76" s="90" t="s">
        <v>23</v>
      </c>
      <c r="M76" s="90" t="s">
        <v>24</v>
      </c>
      <c r="N76" s="90" t="s">
        <v>25</v>
      </c>
      <c r="Q76" s="1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</row>
    <row r="77" spans="1:31" s="5" customFormat="1" ht="1.95" customHeight="1" x14ac:dyDescent="0.3">
      <c r="B77" s="6"/>
      <c r="C77" s="6"/>
      <c r="D77" s="6"/>
      <c r="E77" s="6"/>
      <c r="F77" s="6"/>
      <c r="G77" s="6"/>
      <c r="H77" s="6"/>
      <c r="I77" s="6"/>
      <c r="J77" s="6"/>
      <c r="K77" s="6"/>
      <c r="L77" s="7"/>
      <c r="M77" s="7"/>
      <c r="N77" s="7"/>
      <c r="O77" s="7"/>
      <c r="P77" s="7"/>
    </row>
    <row r="78" spans="1:31" x14ac:dyDescent="0.3">
      <c r="A78" s="1"/>
      <c r="B78" s="1" t="s">
        <v>71</v>
      </c>
      <c r="C78" s="1"/>
      <c r="D78" s="1"/>
      <c r="E78" s="34"/>
      <c r="F78" s="34">
        <v>2635</v>
      </c>
      <c r="G78" s="34">
        <v>3824</v>
      </c>
      <c r="H78" s="34">
        <v>6701</v>
      </c>
      <c r="I78" s="35">
        <f>I82*0.2</f>
        <v>8921</v>
      </c>
      <c r="J78" s="35">
        <f>J82*0.25</f>
        <v>12266.375000000002</v>
      </c>
      <c r="K78" s="35">
        <f>K82*0.3</f>
        <v>16927.5975</v>
      </c>
      <c r="L78" s="35">
        <f>L82*0.35</f>
        <v>15799.091000000002</v>
      </c>
      <c r="M78" s="35">
        <f>M82*0.4</f>
        <v>15347.688400000003</v>
      </c>
      <c r="N78" s="35">
        <f>N82*0.5</f>
        <v>16306.918925000002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x14ac:dyDescent="0.3">
      <c r="A79" s="1"/>
      <c r="B79" s="1" t="s">
        <v>72</v>
      </c>
      <c r="C79" s="1"/>
      <c r="D79" s="1"/>
      <c r="E79" s="30"/>
      <c r="F79" s="30">
        <f t="shared" ref="F79:N79" si="33">F78/F82</f>
        <v>0.59682899207248019</v>
      </c>
      <c r="G79" s="30">
        <f t="shared" si="33"/>
        <v>0.34256024366209803</v>
      </c>
      <c r="H79" s="30">
        <f t="shared" si="33"/>
        <v>0.32314220957708445</v>
      </c>
      <c r="I79" s="30">
        <f t="shared" si="33"/>
        <v>0.2</v>
      </c>
      <c r="J79" s="30">
        <f t="shared" si="33"/>
        <v>0.25</v>
      </c>
      <c r="K79" s="30">
        <f t="shared" si="33"/>
        <v>0.3</v>
      </c>
      <c r="L79" s="30">
        <f t="shared" si="33"/>
        <v>0.35</v>
      </c>
      <c r="M79" s="30">
        <f t="shared" si="33"/>
        <v>0.4</v>
      </c>
      <c r="N79" s="30">
        <f t="shared" si="33"/>
        <v>0.5</v>
      </c>
      <c r="Q79" s="1"/>
      <c r="AA79" s="1"/>
      <c r="AB79" s="1"/>
      <c r="AC79" s="1"/>
      <c r="AD79" s="1"/>
      <c r="AE79" s="1"/>
    </row>
    <row r="80" spans="1:31" x14ac:dyDescent="0.3">
      <c r="B80" s="1" t="s">
        <v>41</v>
      </c>
      <c r="C80" s="1"/>
      <c r="D80" s="1"/>
      <c r="E80" s="13"/>
      <c r="F80" s="30">
        <f>F78/F$28</f>
        <v>0.25368248772504093</v>
      </c>
      <c r="G80" s="30">
        <f t="shared" ref="G80:N80" si="34">G78/G$28</f>
        <v>0.27285051730288978</v>
      </c>
      <c r="H80" s="30">
        <f t="shared" si="34"/>
        <v>0.35884116954053763</v>
      </c>
      <c r="I80" s="30">
        <f t="shared" si="34"/>
        <v>0.2866176758818561</v>
      </c>
      <c r="J80" s="30">
        <f t="shared" si="34"/>
        <v>0.24152189126178128</v>
      </c>
      <c r="K80" s="30">
        <f t="shared" si="34"/>
        <v>0.21479519577675568</v>
      </c>
      <c r="L80" s="30">
        <f t="shared" si="34"/>
        <v>0.13453576607006443</v>
      </c>
      <c r="M80" s="30">
        <f t="shared" si="34"/>
        <v>9.4797056764606383E-2</v>
      </c>
      <c r="N80" s="30">
        <f t="shared" si="34"/>
        <v>7.8264687501919963E-2</v>
      </c>
      <c r="Q80" s="1"/>
      <c r="R80" s="12"/>
      <c r="AA80" s="1"/>
      <c r="AB80" s="1"/>
      <c r="AC80" s="1"/>
      <c r="AD80" s="1"/>
      <c r="AE80" s="1"/>
    </row>
    <row r="81" spans="1:31" x14ac:dyDescent="0.3">
      <c r="B81" s="1"/>
      <c r="C81" s="1"/>
      <c r="D81" s="1"/>
      <c r="E81" s="13"/>
      <c r="F81" s="13"/>
      <c r="G81" s="13"/>
      <c r="H81" s="13"/>
      <c r="I81" s="13"/>
      <c r="J81" s="13"/>
      <c r="K81" s="13"/>
      <c r="L81" s="13"/>
      <c r="M81" s="13"/>
      <c r="N81" s="13"/>
      <c r="Q81" s="1"/>
      <c r="R81" s="12"/>
      <c r="AA81" s="1"/>
      <c r="AB81" s="1"/>
      <c r="AC81" s="1"/>
      <c r="AD81" s="1"/>
      <c r="AE81" s="1"/>
    </row>
    <row r="82" spans="1:31" x14ac:dyDescent="0.3">
      <c r="A82" s="1"/>
      <c r="B82" s="1" t="s">
        <v>73</v>
      </c>
      <c r="C82" s="1"/>
      <c r="D82" s="1"/>
      <c r="E82" s="34"/>
      <c r="F82" s="34">
        <v>4415</v>
      </c>
      <c r="G82" s="34">
        <v>11163</v>
      </c>
      <c r="H82" s="34">
        <v>20737</v>
      </c>
      <c r="I82" s="39">
        <f>Segments!I72</f>
        <v>44605</v>
      </c>
      <c r="J82" s="39">
        <f>I82*1.1</f>
        <v>49065.500000000007</v>
      </c>
      <c r="K82" s="39">
        <f>J82*1.15</f>
        <v>56425.325000000004</v>
      </c>
      <c r="L82" s="39">
        <f>K82*0.8</f>
        <v>45140.260000000009</v>
      </c>
      <c r="M82" s="39">
        <f>L82*0.85</f>
        <v>38369.221000000005</v>
      </c>
      <c r="N82" s="39">
        <f>M82*0.85</f>
        <v>32613.837850000004</v>
      </c>
      <c r="Q82" s="1"/>
      <c r="AA82" s="1"/>
      <c r="AB82" s="1"/>
      <c r="AC82" s="1"/>
      <c r="AD82" s="1"/>
      <c r="AE82" s="1"/>
    </row>
    <row r="83" spans="1:31" x14ac:dyDescent="0.3">
      <c r="A83" s="1"/>
      <c r="B83" s="1" t="s">
        <v>41</v>
      </c>
      <c r="C83" s="1"/>
      <c r="D83" s="1"/>
      <c r="E83" s="30"/>
      <c r="F83" s="30">
        <f t="shared" ref="F83:N83" si="35">F82/F28</f>
        <v>0.42505054394916725</v>
      </c>
      <c r="G83" s="30">
        <f t="shared" si="35"/>
        <v>0.79650374598644313</v>
      </c>
      <c r="H83" s="30">
        <f t="shared" si="35"/>
        <v>1.1104744564635323</v>
      </c>
      <c r="I83" s="30">
        <f t="shared" si="35"/>
        <v>1.4330883794092804</v>
      </c>
      <c r="J83" s="30">
        <f t="shared" si="35"/>
        <v>0.96608756504712512</v>
      </c>
      <c r="K83" s="30">
        <f t="shared" si="35"/>
        <v>0.715983985922519</v>
      </c>
      <c r="L83" s="30">
        <f t="shared" si="35"/>
        <v>0.38438790305732695</v>
      </c>
      <c r="M83" s="30">
        <f t="shared" si="35"/>
        <v>0.23699264191151592</v>
      </c>
      <c r="N83" s="30">
        <f t="shared" si="35"/>
        <v>0.15652937500383993</v>
      </c>
      <c r="Q83" s="1"/>
      <c r="AA83" s="1"/>
      <c r="AB83" s="1"/>
      <c r="AC83" s="1"/>
      <c r="AD83" s="1"/>
      <c r="AE83" s="1"/>
    </row>
    <row r="84" spans="1:31" x14ac:dyDescent="0.3">
      <c r="A84" s="1"/>
      <c r="B84" s="1" t="s">
        <v>74</v>
      </c>
      <c r="C84" s="1"/>
      <c r="D84" s="1"/>
      <c r="E84" s="13"/>
      <c r="F84" s="13">
        <f>F82/F96</f>
        <v>0.97676991150442483</v>
      </c>
      <c r="G84" s="13">
        <f t="shared" ref="G84:N84" si="36">G82/G96</f>
        <v>1.9326523545706371</v>
      </c>
      <c r="H84" s="13">
        <f t="shared" si="36"/>
        <v>3.0563006632277081</v>
      </c>
      <c r="I84" s="13">
        <f t="shared" si="36"/>
        <v>10.582327240027197</v>
      </c>
      <c r="J84" s="13">
        <f t="shared" si="36"/>
        <v>2.6067736870064246</v>
      </c>
      <c r="K84" s="13">
        <f t="shared" si="36"/>
        <v>1.6675494798285848</v>
      </c>
      <c r="L84" s="13">
        <f t="shared" si="36"/>
        <v>1.092998645364087</v>
      </c>
      <c r="M84" s="13">
        <f t="shared" si="36"/>
        <v>0.74567110248379476</v>
      </c>
      <c r="N84" s="13">
        <f t="shared" si="36"/>
        <v>0.50691500676675616</v>
      </c>
      <c r="Q84" s="1"/>
      <c r="AA84" s="1"/>
      <c r="AB84" s="1"/>
      <c r="AC84" s="1"/>
      <c r="AD84" s="1"/>
      <c r="AE84" s="1"/>
    </row>
    <row r="85" spans="1:3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Q85" s="1"/>
      <c r="AA85" s="1"/>
      <c r="AB85" s="1"/>
      <c r="AC85" s="1"/>
      <c r="AD85" s="1"/>
      <c r="AE85" s="1"/>
    </row>
    <row r="86" spans="1:31" x14ac:dyDescent="0.3">
      <c r="A86" s="1"/>
      <c r="B86" s="1" t="s">
        <v>75</v>
      </c>
      <c r="C86" s="1"/>
      <c r="D86" s="1"/>
      <c r="E86" s="42"/>
      <c r="F86" s="42">
        <v>2006</v>
      </c>
      <c r="G86" s="42">
        <v>1673</v>
      </c>
      <c r="H86" s="42">
        <v>2089</v>
      </c>
      <c r="I86" s="38">
        <f t="shared" ref="I86:N86" si="37">I28*0.01</f>
        <v>311.25086659614254</v>
      </c>
      <c r="J86" s="38">
        <f t="shared" si="37"/>
        <v>507.87839296541017</v>
      </c>
      <c r="K86" s="38">
        <f t="shared" si="37"/>
        <v>788.08082456338821</v>
      </c>
      <c r="L86" s="38">
        <f t="shared" si="37"/>
        <v>1174.3413265861248</v>
      </c>
      <c r="M86" s="38">
        <f t="shared" si="37"/>
        <v>1619.0047374688374</v>
      </c>
      <c r="N86" s="38">
        <f t="shared" si="37"/>
        <v>2083.5602166813692</v>
      </c>
      <c r="Q86" s="1"/>
      <c r="AA86" s="1"/>
      <c r="AB86" s="1"/>
      <c r="AC86" s="1"/>
      <c r="AD86" s="1"/>
      <c r="AE86" s="1"/>
    </row>
    <row r="87" spans="1:31" x14ac:dyDescent="0.3">
      <c r="A87" s="1"/>
      <c r="B87" s="1" t="s">
        <v>41</v>
      </c>
      <c r="C87" s="1"/>
      <c r="D87" s="1"/>
      <c r="E87" s="45"/>
      <c r="F87" s="45">
        <f t="shared" ref="F87:N87" si="38">F86/F28</f>
        <v>0.19312602291325695</v>
      </c>
      <c r="G87" s="45">
        <f t="shared" si="38"/>
        <v>0.11937210132001427</v>
      </c>
      <c r="H87" s="45">
        <f t="shared" si="38"/>
        <v>0.11186676662739638</v>
      </c>
      <c r="I87" s="45">
        <f t="shared" si="38"/>
        <v>0.01</v>
      </c>
      <c r="J87" s="45">
        <f t="shared" si="38"/>
        <v>0.01</v>
      </c>
      <c r="K87" s="45">
        <f t="shared" si="38"/>
        <v>0.01</v>
      </c>
      <c r="L87" s="45">
        <f t="shared" si="38"/>
        <v>0.01</v>
      </c>
      <c r="M87" s="45">
        <f t="shared" si="38"/>
        <v>0.01</v>
      </c>
      <c r="N87" s="45">
        <f t="shared" si="38"/>
        <v>9.9999999999999985E-3</v>
      </c>
      <c r="Q87" s="1"/>
      <c r="AA87" s="1"/>
      <c r="AB87" s="1"/>
      <c r="AC87" s="1"/>
      <c r="AD87" s="1"/>
      <c r="AE87" s="1"/>
    </row>
    <row r="88" spans="1:31" x14ac:dyDescent="0.3">
      <c r="A88" s="1"/>
      <c r="B88" s="1" t="s">
        <v>76</v>
      </c>
      <c r="C88" s="1"/>
      <c r="D88" s="1"/>
      <c r="E88" s="45"/>
      <c r="F88" s="45"/>
      <c r="G88" s="45"/>
      <c r="H88" s="45"/>
      <c r="I88" s="45"/>
      <c r="J88" s="45"/>
      <c r="K88" s="45"/>
      <c r="L88" s="45"/>
      <c r="M88" s="45"/>
      <c r="N88" s="45"/>
      <c r="Q88" s="1"/>
      <c r="AA88" s="1"/>
      <c r="AB88" s="1"/>
      <c r="AC88" s="1"/>
      <c r="AD88" s="1"/>
      <c r="AE88" s="1"/>
    </row>
    <row r="89" spans="1:31" x14ac:dyDescent="0.3">
      <c r="A89" s="1"/>
      <c r="B89" s="1"/>
      <c r="C89" s="1"/>
      <c r="D89" s="1"/>
      <c r="E89" s="45"/>
      <c r="F89" s="45"/>
      <c r="G89" s="45"/>
      <c r="H89" s="45"/>
      <c r="I89" s="45"/>
      <c r="J89" s="45"/>
      <c r="K89" s="45"/>
      <c r="L89" s="45"/>
      <c r="M89" s="45"/>
      <c r="N89" s="45"/>
      <c r="Q89" s="1"/>
      <c r="AA89" s="1"/>
      <c r="AB89" s="1"/>
      <c r="AC89" s="1"/>
      <c r="AD89" s="1"/>
      <c r="AE89" s="1"/>
    </row>
    <row r="90" spans="1:31" x14ac:dyDescent="0.3">
      <c r="A90" s="1"/>
      <c r="B90" s="1" t="s">
        <v>77</v>
      </c>
      <c r="C90" s="1"/>
      <c r="D90" s="1"/>
      <c r="E90" s="34"/>
      <c r="F90" s="34">
        <v>679</v>
      </c>
      <c r="G90" s="34">
        <v>784</v>
      </c>
      <c r="H90" s="34">
        <v>1947</v>
      </c>
      <c r="I90" s="38">
        <f>H90*1.02</f>
        <v>1985.94</v>
      </c>
      <c r="J90" s="38">
        <f>I90*1.02</f>
        <v>2025.6588000000002</v>
      </c>
      <c r="K90" s="38">
        <f t="shared" ref="K90:M90" si="39">J90*1.02</f>
        <v>2066.1719760000001</v>
      </c>
      <c r="L90" s="38">
        <f t="shared" si="39"/>
        <v>2107.4954155200003</v>
      </c>
      <c r="M90" s="38">
        <f t="shared" si="39"/>
        <v>2149.6453238304002</v>
      </c>
      <c r="N90" s="38">
        <f>M90*1.02</f>
        <v>2192.6382303070081</v>
      </c>
      <c r="Q90" s="1"/>
      <c r="AA90" s="1"/>
      <c r="AB90" s="1"/>
      <c r="AC90" s="1"/>
      <c r="AD90" s="1"/>
      <c r="AE90" s="1"/>
    </row>
    <row r="91" spans="1:31" x14ac:dyDescent="0.3">
      <c r="A91" s="1"/>
      <c r="B91" s="1" t="s">
        <v>41</v>
      </c>
      <c r="C91" s="1"/>
      <c r="D91" s="1"/>
      <c r="E91" s="45"/>
      <c r="F91" s="45">
        <f t="shared" ref="F91:N91" si="40">F90/F28</f>
        <v>6.5370174256281888E-2</v>
      </c>
      <c r="G91" s="45">
        <f t="shared" si="40"/>
        <v>5.5940064216910453E-2</v>
      </c>
      <c r="H91" s="45">
        <f t="shared" si="40"/>
        <v>0.10426261111706116</v>
      </c>
      <c r="I91" s="45">
        <f t="shared" si="40"/>
        <v>6.3805123555746357E-2</v>
      </c>
      <c r="J91" s="45">
        <f t="shared" si="40"/>
        <v>3.9884720989458604E-2</v>
      </c>
      <c r="K91" s="45">
        <f t="shared" si="40"/>
        <v>2.6217767411669975E-2</v>
      </c>
      <c r="L91" s="45">
        <f t="shared" si="40"/>
        <v>1.794619134835871E-2</v>
      </c>
      <c r="M91" s="45">
        <f t="shared" si="40"/>
        <v>1.3277572783333356E-2</v>
      </c>
      <c r="N91" s="45">
        <f t="shared" si="40"/>
        <v>1.0523517452254751E-2</v>
      </c>
      <c r="Q91" s="1"/>
      <c r="AA91" s="1"/>
      <c r="AB91" s="1"/>
      <c r="AC91" s="1"/>
      <c r="AD91" s="1"/>
      <c r="AE91" s="1"/>
    </row>
    <row r="92" spans="1:31" x14ac:dyDescent="0.3">
      <c r="A92" s="1"/>
      <c r="B92" s="1"/>
      <c r="C92" s="1"/>
      <c r="D92" s="1"/>
      <c r="E92" s="45"/>
      <c r="F92" s="45"/>
      <c r="G92" s="45"/>
      <c r="H92" s="45"/>
      <c r="I92" s="45"/>
      <c r="J92" s="45"/>
      <c r="K92" s="45"/>
      <c r="L92" s="45"/>
      <c r="M92" s="45"/>
      <c r="N92" s="45"/>
      <c r="Q92" s="1"/>
      <c r="AA92" s="1"/>
      <c r="AB92" s="1"/>
      <c r="AC92" s="1"/>
      <c r="AD92" s="1"/>
      <c r="AE92" s="1"/>
    </row>
    <row r="93" spans="1:31" x14ac:dyDescent="0.3">
      <c r="A93" s="1"/>
      <c r="B93" s="1" t="s">
        <v>101</v>
      </c>
      <c r="C93" s="1"/>
      <c r="D93" s="1"/>
      <c r="E93" s="34"/>
      <c r="F93" s="42">
        <v>3828</v>
      </c>
      <c r="G93" s="42">
        <f>-1296+773</f>
        <v>-523</v>
      </c>
      <c r="H93" s="42">
        <v>985</v>
      </c>
      <c r="I93" s="38"/>
      <c r="J93" s="38"/>
      <c r="K93" s="38"/>
      <c r="L93" s="38"/>
      <c r="M93" s="38"/>
      <c r="N93" s="38"/>
      <c r="Q93" s="1"/>
      <c r="AA93" s="1"/>
      <c r="AB93" s="1"/>
      <c r="AC93" s="1"/>
      <c r="AD93" s="1"/>
      <c r="AE93" s="1"/>
    </row>
    <row r="94" spans="1:31" x14ac:dyDescent="0.3">
      <c r="A94" s="1"/>
      <c r="B94" s="1" t="s">
        <v>41</v>
      </c>
      <c r="C94" s="1"/>
      <c r="D94" s="1"/>
      <c r="E94" s="45"/>
      <c r="F94" s="45">
        <f t="shared" ref="F94:N94" si="41">F93/F31</f>
        <v>0.62651391162029457</v>
      </c>
      <c r="G94" s="45">
        <f t="shared" si="41"/>
        <v>-6.5407703851925958E-2</v>
      </c>
      <c r="H94" s="45">
        <f t="shared" si="41"/>
        <v>0.10422177547349487</v>
      </c>
      <c r="I94" s="45">
        <f t="shared" si="41"/>
        <v>0</v>
      </c>
      <c r="J94" s="45">
        <f t="shared" si="41"/>
        <v>0</v>
      </c>
      <c r="K94" s="45">
        <f t="shared" si="41"/>
        <v>0</v>
      </c>
      <c r="L94" s="45">
        <f t="shared" si="41"/>
        <v>0</v>
      </c>
      <c r="M94" s="45">
        <f t="shared" si="41"/>
        <v>0</v>
      </c>
      <c r="N94" s="45">
        <f t="shared" si="41"/>
        <v>0</v>
      </c>
      <c r="Q94" s="1"/>
      <c r="AA94" s="1"/>
      <c r="AB94" s="1"/>
      <c r="AC94" s="1"/>
      <c r="AD94" s="1"/>
      <c r="AE94" s="1"/>
    </row>
    <row r="95" spans="1:3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46"/>
      <c r="M95" s="46"/>
      <c r="N95" s="46"/>
      <c r="Q95" s="1"/>
      <c r="AA95" s="1"/>
      <c r="AB95" s="1"/>
      <c r="AC95" s="1"/>
      <c r="AD95" s="1"/>
      <c r="AE95" s="1"/>
    </row>
    <row r="96" spans="1:31" x14ac:dyDescent="0.3">
      <c r="A96" s="1"/>
      <c r="B96" s="1" t="s">
        <v>78</v>
      </c>
      <c r="C96" s="1"/>
      <c r="D96" s="1"/>
      <c r="E96" s="17"/>
      <c r="F96" s="17">
        <f t="shared" ref="F96:G96" si="42">F67+F78+F86+F90+F93</f>
        <v>4520</v>
      </c>
      <c r="G96" s="17">
        <f t="shared" si="42"/>
        <v>5776</v>
      </c>
      <c r="H96" s="17">
        <f>H67+H78+H86+H90+H93</f>
        <v>6785</v>
      </c>
      <c r="I96" s="17">
        <f t="shared" ref="I96:N96" si="43">I67+I78+I86+I90</f>
        <v>4215.0463681829369</v>
      </c>
      <c r="J96" s="17">
        <f t="shared" si="43"/>
        <v>18822.309065251462</v>
      </c>
      <c r="K96" s="17">
        <f t="shared" si="43"/>
        <v>33837.271806651413</v>
      </c>
      <c r="L96" s="17">
        <f t="shared" si="43"/>
        <v>41299.465641115603</v>
      </c>
      <c r="M96" s="17">
        <f t="shared" si="43"/>
        <v>51455.958092239278</v>
      </c>
      <c r="N96" s="17">
        <f t="shared" si="43"/>
        <v>64337.881922297121</v>
      </c>
      <c r="Q96" s="1"/>
      <c r="AA96" s="1"/>
      <c r="AB96" s="1"/>
      <c r="AC96" s="1"/>
      <c r="AD96" s="1"/>
      <c r="AE96" s="1"/>
    </row>
    <row r="97" spans="1:31" x14ac:dyDescent="0.3">
      <c r="A97" s="1"/>
      <c r="B97" s="18" t="s">
        <v>33</v>
      </c>
      <c r="C97" s="1"/>
      <c r="D97" s="1"/>
      <c r="E97" s="1"/>
      <c r="F97" s="30"/>
      <c r="G97" s="30">
        <f>(G96-F96)/F96</f>
        <v>0.27787610619469028</v>
      </c>
      <c r="H97" s="30">
        <f>(H96-G96)/G96</f>
        <v>0.17468836565096954</v>
      </c>
      <c r="I97" s="30">
        <f>(I96-H96)/H96</f>
        <v>-0.37876987941297907</v>
      </c>
      <c r="J97" s="30">
        <f>(J96-I96)/I96</f>
        <v>3.4655046282125634</v>
      </c>
      <c r="K97" s="30">
        <f>(K96-J96)/J96</f>
        <v>0.79772161265376373</v>
      </c>
      <c r="L97" s="30">
        <f t="shared" ref="L97" si="44">(L96-K96)/K96</f>
        <v>0.22053178155448516</v>
      </c>
      <c r="M97" s="30">
        <f t="shared" ref="M97" si="45">(M96-L96)/L96</f>
        <v>0.24592309593982734</v>
      </c>
      <c r="N97" s="30">
        <f>(N96-M96)/M96</f>
        <v>0.25034853703366822</v>
      </c>
      <c r="Q97" s="1"/>
      <c r="AA97" s="1"/>
      <c r="AB97" s="1"/>
      <c r="AC97" s="1"/>
      <c r="AD97" s="1"/>
      <c r="AE97" s="1"/>
    </row>
    <row r="98" spans="1:31" x14ac:dyDescent="0.3">
      <c r="A98" s="1"/>
      <c r="B98" s="18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Q98" s="1"/>
      <c r="AA98" s="1"/>
      <c r="AB98" s="1"/>
      <c r="AC98" s="1"/>
      <c r="AD98" s="1"/>
      <c r="AE98" s="1"/>
    </row>
    <row r="99" spans="1:31" x14ac:dyDescent="0.3">
      <c r="A99" s="11" t="s">
        <v>26</v>
      </c>
      <c r="B99" s="89" t="s">
        <v>79</v>
      </c>
      <c r="C99" s="89"/>
      <c r="D99" s="89"/>
      <c r="E99" s="89"/>
      <c r="F99" s="89">
        <v>2023</v>
      </c>
      <c r="G99" s="89">
        <v>2024</v>
      </c>
      <c r="H99" s="89">
        <v>2025</v>
      </c>
      <c r="I99" s="90" t="s">
        <v>20</v>
      </c>
      <c r="J99" s="90" t="s">
        <v>21</v>
      </c>
      <c r="K99" s="90" t="s">
        <v>22</v>
      </c>
      <c r="L99" s="90" t="s">
        <v>23</v>
      </c>
      <c r="M99" s="90" t="s">
        <v>24</v>
      </c>
      <c r="N99" s="90" t="s">
        <v>25</v>
      </c>
      <c r="Q99" s="1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</row>
    <row r="100" spans="1:31" s="5" customFormat="1" ht="1.95" customHeight="1" x14ac:dyDescent="0.3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7"/>
      <c r="M100" s="7"/>
      <c r="N100" s="7"/>
      <c r="O100" s="7"/>
      <c r="P100" s="7"/>
    </row>
    <row r="101" spans="1:31" x14ac:dyDescent="0.3">
      <c r="A101" s="1"/>
      <c r="B101" s="1" t="s">
        <v>30</v>
      </c>
      <c r="C101" s="1"/>
      <c r="D101" s="1"/>
      <c r="E101" s="47"/>
      <c r="F101" s="47">
        <f t="shared" ref="F101:N101" si="46">F28</f>
        <v>10387</v>
      </c>
      <c r="G101" s="47">
        <f t="shared" si="46"/>
        <v>14015</v>
      </c>
      <c r="H101" s="47">
        <f t="shared" si="46"/>
        <v>18674</v>
      </c>
      <c r="I101" s="47">
        <f t="shared" si="46"/>
        <v>31125.086659614251</v>
      </c>
      <c r="J101" s="47">
        <f t="shared" si="46"/>
        <v>50787.839296541017</v>
      </c>
      <c r="K101" s="47">
        <f t="shared" si="46"/>
        <v>78808.082456338816</v>
      </c>
      <c r="L101" s="47">
        <f t="shared" si="46"/>
        <v>117434.13265861248</v>
      </c>
      <c r="M101" s="47">
        <f t="shared" si="46"/>
        <v>161900.47374688374</v>
      </c>
      <c r="N101" s="47">
        <f t="shared" si="46"/>
        <v>208356.02166813693</v>
      </c>
      <c r="Q101" s="1"/>
      <c r="AA101" s="13"/>
      <c r="AB101" s="13"/>
      <c r="AC101" s="1"/>
      <c r="AD101" s="1"/>
      <c r="AE101" s="1"/>
    </row>
    <row r="102" spans="1:31" x14ac:dyDescent="0.3">
      <c r="A102" s="1"/>
      <c r="B102" s="18" t="s">
        <v>33</v>
      </c>
      <c r="C102" s="1"/>
      <c r="D102" s="1"/>
      <c r="E102" s="45"/>
      <c r="F102" s="45"/>
      <c r="G102" s="45">
        <f t="shared" ref="G102:N102" si="47">(G101-F101)/F101</f>
        <v>0.34928275729276981</v>
      </c>
      <c r="H102" s="45">
        <f t="shared" si="47"/>
        <v>0.3324295397788084</v>
      </c>
      <c r="I102" s="45">
        <f t="shared" si="47"/>
        <v>0.66676055797441636</v>
      </c>
      <c r="J102" s="45">
        <f t="shared" si="47"/>
        <v>0.63173326557961962</v>
      </c>
      <c r="K102" s="45">
        <f t="shared" si="47"/>
        <v>0.5517116606633462</v>
      </c>
      <c r="L102" s="45">
        <f t="shared" si="47"/>
        <v>0.49012802999836003</v>
      </c>
      <c r="M102" s="45">
        <f t="shared" si="47"/>
        <v>0.37864920599820306</v>
      </c>
      <c r="N102" s="45">
        <f t="shared" si="47"/>
        <v>0.28693892516881758</v>
      </c>
      <c r="Q102" s="1"/>
      <c r="AA102" s="1"/>
      <c r="AB102" s="1"/>
      <c r="AC102" s="1"/>
      <c r="AD102" s="1"/>
      <c r="AE102" s="1"/>
    </row>
    <row r="103" spans="1:31" x14ac:dyDescent="0.3">
      <c r="A103" s="1"/>
      <c r="B103" s="1"/>
      <c r="C103" s="1"/>
      <c r="D103" s="1"/>
      <c r="E103" s="3"/>
      <c r="F103" s="3"/>
      <c r="G103" s="3"/>
      <c r="H103" s="3"/>
      <c r="I103" s="3"/>
      <c r="J103" s="3"/>
      <c r="K103" s="3"/>
      <c r="L103" s="3"/>
      <c r="M103" s="1"/>
      <c r="N103" s="1"/>
      <c r="Q103" s="1"/>
      <c r="AA103" s="1"/>
      <c r="AB103" s="1"/>
      <c r="AC103" s="1"/>
      <c r="AD103" s="1"/>
      <c r="AE103" s="1"/>
    </row>
    <row r="104" spans="1:31" x14ac:dyDescent="0.3">
      <c r="A104" s="1"/>
      <c r="B104" s="1" t="s">
        <v>80</v>
      </c>
      <c r="C104" s="1"/>
      <c r="D104" s="1"/>
      <c r="E104" s="47"/>
      <c r="F104" s="85">
        <f t="shared" ref="F104:N104" si="48">F96</f>
        <v>4520</v>
      </c>
      <c r="G104" s="85">
        <f t="shared" si="48"/>
        <v>5776</v>
      </c>
      <c r="H104" s="85">
        <f t="shared" si="48"/>
        <v>6785</v>
      </c>
      <c r="I104" s="85">
        <f t="shared" si="48"/>
        <v>4215.0463681829369</v>
      </c>
      <c r="J104" s="85">
        <f t="shared" si="48"/>
        <v>18822.309065251462</v>
      </c>
      <c r="K104" s="85">
        <f t="shared" si="48"/>
        <v>33837.271806651413</v>
      </c>
      <c r="L104" s="85">
        <f t="shared" si="48"/>
        <v>41299.465641115603</v>
      </c>
      <c r="M104" s="85">
        <f t="shared" si="48"/>
        <v>51455.958092239278</v>
      </c>
      <c r="N104" s="85">
        <f t="shared" si="48"/>
        <v>64337.881922297121</v>
      </c>
      <c r="Q104" s="1"/>
      <c r="AA104" s="1"/>
      <c r="AB104" s="1"/>
      <c r="AC104" s="1"/>
      <c r="AD104" s="1"/>
      <c r="AE104" s="1"/>
    </row>
    <row r="105" spans="1:31" x14ac:dyDescent="0.3">
      <c r="A105" s="1"/>
      <c r="B105" s="1" t="s">
        <v>41</v>
      </c>
      <c r="C105" s="1"/>
      <c r="D105" s="1"/>
      <c r="E105" s="13"/>
      <c r="F105" s="45">
        <f t="shared" ref="F105:N105" si="49">F104/F101</f>
        <v>0.4351593337826129</v>
      </c>
      <c r="G105" s="45">
        <f t="shared" si="49"/>
        <v>0.41212986086336068</v>
      </c>
      <c r="H105" s="45">
        <f t="shared" si="49"/>
        <v>0.36333940237763734</v>
      </c>
      <c r="I105" s="45">
        <f t="shared" si="49"/>
        <v>0.13542279943760246</v>
      </c>
      <c r="J105" s="45">
        <f t="shared" si="49"/>
        <v>0.37060661225123992</v>
      </c>
      <c r="K105" s="45">
        <f t="shared" si="49"/>
        <v>0.42936296318842559</v>
      </c>
      <c r="L105" s="45">
        <f t="shared" si="49"/>
        <v>0.35168195741842312</v>
      </c>
      <c r="M105" s="45">
        <f t="shared" si="49"/>
        <v>0.31782462954793977</v>
      </c>
      <c r="N105" s="45">
        <f t="shared" si="49"/>
        <v>0.30878820495417464</v>
      </c>
      <c r="Q105" s="1"/>
      <c r="AA105" s="1"/>
      <c r="AB105" s="1"/>
      <c r="AC105" s="1"/>
      <c r="AD105" s="1"/>
      <c r="AE105" s="1"/>
    </row>
    <row r="106" spans="1:31" x14ac:dyDescent="0.3">
      <c r="A106" s="1"/>
      <c r="B106" s="1"/>
      <c r="C106" s="1"/>
      <c r="D106" s="1"/>
      <c r="E106" s="3"/>
      <c r="F106" s="3"/>
      <c r="G106" s="3"/>
      <c r="H106" s="3"/>
      <c r="I106" s="3"/>
      <c r="J106" s="3"/>
      <c r="K106" s="3"/>
      <c r="L106" s="3"/>
      <c r="M106" s="1"/>
      <c r="N106" s="1"/>
      <c r="Q106" s="1"/>
      <c r="AA106" s="1"/>
      <c r="AB106" s="1"/>
      <c r="AC106" s="1"/>
      <c r="AD106" s="1"/>
      <c r="AE106" s="1"/>
    </row>
    <row r="107" spans="1:31" x14ac:dyDescent="0.3">
      <c r="A107" s="1"/>
      <c r="B107" s="1" t="s">
        <v>73</v>
      </c>
      <c r="C107" s="1"/>
      <c r="D107" s="1"/>
      <c r="E107" s="47"/>
      <c r="F107" s="47">
        <f t="shared" ref="F107:N107" si="50">F82</f>
        <v>4415</v>
      </c>
      <c r="G107" s="47">
        <f t="shared" si="50"/>
        <v>11163</v>
      </c>
      <c r="H107" s="47">
        <f t="shared" si="50"/>
        <v>20737</v>
      </c>
      <c r="I107" s="47">
        <f t="shared" si="50"/>
        <v>44605</v>
      </c>
      <c r="J107" s="47">
        <f t="shared" si="50"/>
        <v>49065.500000000007</v>
      </c>
      <c r="K107" s="47">
        <f t="shared" si="50"/>
        <v>56425.325000000004</v>
      </c>
      <c r="L107" s="47">
        <f t="shared" si="50"/>
        <v>45140.260000000009</v>
      </c>
      <c r="M107" s="47">
        <f t="shared" si="50"/>
        <v>38369.221000000005</v>
      </c>
      <c r="N107" s="47">
        <f t="shared" si="50"/>
        <v>32613.837850000004</v>
      </c>
      <c r="Q107" s="1"/>
      <c r="AA107" s="1"/>
      <c r="AB107" s="1"/>
      <c r="AC107" s="1"/>
      <c r="AD107" s="1"/>
      <c r="AE107" s="1"/>
    </row>
    <row r="108" spans="1:31" x14ac:dyDescent="0.3">
      <c r="A108" s="1"/>
      <c r="B108" s="1" t="s">
        <v>41</v>
      </c>
      <c r="C108" s="1"/>
      <c r="D108" s="1"/>
      <c r="E108" s="13"/>
      <c r="F108" s="13">
        <f t="shared" ref="F108:N108" si="51">F107/F101</f>
        <v>0.42505054394916725</v>
      </c>
      <c r="G108" s="13">
        <f t="shared" si="51"/>
        <v>0.79650374598644313</v>
      </c>
      <c r="H108" s="13">
        <f t="shared" si="51"/>
        <v>1.1104744564635323</v>
      </c>
      <c r="I108" s="13">
        <f t="shared" si="51"/>
        <v>1.4330883794092804</v>
      </c>
      <c r="J108" s="13">
        <f t="shared" si="51"/>
        <v>0.96608756504712512</v>
      </c>
      <c r="K108" s="13">
        <f t="shared" si="51"/>
        <v>0.715983985922519</v>
      </c>
      <c r="L108" s="13">
        <f t="shared" si="51"/>
        <v>0.38438790305732695</v>
      </c>
      <c r="M108" s="13">
        <f t="shared" si="51"/>
        <v>0.23699264191151592</v>
      </c>
      <c r="N108" s="13">
        <f t="shared" si="51"/>
        <v>0.15652937500383993</v>
      </c>
      <c r="Q108" s="1"/>
      <c r="AA108" s="1"/>
      <c r="AB108" s="1"/>
      <c r="AC108" s="1"/>
      <c r="AD108" s="1"/>
      <c r="AE108" s="1"/>
    </row>
    <row r="109" spans="1:3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Q109" s="1"/>
      <c r="AA109" s="1"/>
      <c r="AB109" s="1"/>
      <c r="AC109" s="1"/>
      <c r="AD109" s="1"/>
      <c r="AE109" s="1"/>
    </row>
    <row r="110" spans="1:31" x14ac:dyDescent="0.3">
      <c r="A110" s="1"/>
      <c r="B110" s="1" t="s">
        <v>38</v>
      </c>
      <c r="C110" s="1"/>
      <c r="D110" s="1"/>
      <c r="E110" s="17"/>
      <c r="F110" s="17">
        <f t="shared" ref="F110:N110" si="52">F104-F107</f>
        <v>105</v>
      </c>
      <c r="G110" s="17">
        <f t="shared" si="52"/>
        <v>-5387</v>
      </c>
      <c r="H110" s="17">
        <f t="shared" si="52"/>
        <v>-13952</v>
      </c>
      <c r="I110" s="17">
        <f t="shared" si="52"/>
        <v>-40389.953631817065</v>
      </c>
      <c r="J110" s="17">
        <f t="shared" si="52"/>
        <v>-30243.190934748545</v>
      </c>
      <c r="K110" s="17">
        <f t="shared" si="52"/>
        <v>-22588.053193348591</v>
      </c>
      <c r="L110" s="17">
        <f t="shared" si="52"/>
        <v>-3840.7943588844064</v>
      </c>
      <c r="M110" s="17">
        <f t="shared" si="52"/>
        <v>13086.737092239273</v>
      </c>
      <c r="N110" s="17">
        <f t="shared" si="52"/>
        <v>31724.044072297118</v>
      </c>
      <c r="Q110" s="1"/>
      <c r="AA110" s="1"/>
      <c r="AB110" s="1"/>
      <c r="AC110" s="1"/>
      <c r="AD110" s="1"/>
      <c r="AE110" s="1"/>
    </row>
    <row r="111" spans="1:31" x14ac:dyDescent="0.3">
      <c r="A111" s="1"/>
      <c r="B111" s="18" t="s">
        <v>41</v>
      </c>
      <c r="C111" s="18"/>
      <c r="D111" s="18"/>
      <c r="E111" s="45"/>
      <c r="F111" s="45">
        <f t="shared" ref="F111:N111" si="53">F110/F101</f>
        <v>1.0108789833445653E-2</v>
      </c>
      <c r="G111" s="45">
        <f t="shared" si="53"/>
        <v>-0.3843738851230824</v>
      </c>
      <c r="H111" s="45">
        <f t="shared" si="53"/>
        <v>-0.74713505408589487</v>
      </c>
      <c r="I111" s="45">
        <f t="shared" si="53"/>
        <v>-1.2976655799716781</v>
      </c>
      <c r="J111" s="45">
        <f t="shared" si="53"/>
        <v>-0.5954809527958852</v>
      </c>
      <c r="K111" s="45">
        <f t="shared" si="53"/>
        <v>-0.28662102273409334</v>
      </c>
      <c r="L111" s="45">
        <f t="shared" si="53"/>
        <v>-3.2705945638903881E-2</v>
      </c>
      <c r="M111" s="45">
        <f t="shared" si="53"/>
        <v>8.0831987636423866E-2</v>
      </c>
      <c r="N111" s="45">
        <f t="shared" si="53"/>
        <v>0.15225882995033471</v>
      </c>
      <c r="Q111" s="1"/>
      <c r="AA111" s="1"/>
      <c r="AB111" s="1"/>
      <c r="AC111" s="1"/>
      <c r="AD111" s="1"/>
      <c r="AE111" s="1"/>
    </row>
    <row r="112" spans="1:3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Q112" s="1"/>
      <c r="AA112" s="1"/>
      <c r="AB112" s="1"/>
      <c r="AC112" s="1"/>
      <c r="AD112" s="1"/>
      <c r="AE112" s="1"/>
    </row>
    <row r="113" spans="1:31" x14ac:dyDescent="0.3">
      <c r="A113" s="1"/>
      <c r="B113" s="1" t="s">
        <v>45</v>
      </c>
      <c r="C113" s="1"/>
      <c r="D113" s="1"/>
      <c r="E113" s="1"/>
      <c r="F113" s="17"/>
      <c r="G113" s="17"/>
      <c r="H113" s="17"/>
      <c r="I113" s="17">
        <f>I110/(1+$U$7)^((DATE(2026,7,1)-$D$12)/365)</f>
        <v>-39949.409166996615</v>
      </c>
      <c r="J113" s="17">
        <f>J110/(1+$U$7)^((DATE(2027,7,1)-$D$12)/365)</f>
        <v>-27193.927304106954</v>
      </c>
      <c r="K113" s="17">
        <f>K110/(1+$U$7)^((DATE(2028,7,1)-$D$12)/365)</f>
        <v>-18459.37671804761</v>
      </c>
      <c r="L113" s="17">
        <f>L110/(1+$U$7)^((DATE(2029,7,1)-$D$12)/365)</f>
        <v>-2853.4259142260626</v>
      </c>
      <c r="M113" s="17">
        <f>M110/(1+$U$7)^((DATE(2030,7,1)-$D$12)/365)</f>
        <v>8838.6154393202851</v>
      </c>
      <c r="N113" s="17">
        <f>N110/(1+$U$7)^((DATE(2031,7,1)-$D$12)/365)</f>
        <v>19478.195488980557</v>
      </c>
      <c r="Q113" s="1"/>
      <c r="AA113" s="1"/>
      <c r="AB113" s="1"/>
      <c r="AC113" s="1"/>
      <c r="AD113" s="1"/>
      <c r="AE113" s="1"/>
    </row>
    <row r="114" spans="1:31" x14ac:dyDescent="0.3">
      <c r="A114" s="1"/>
      <c r="B114" s="1"/>
      <c r="C114" s="1"/>
      <c r="D114" s="1"/>
      <c r="E114" s="1"/>
      <c r="F114" s="1"/>
      <c r="G114" s="1"/>
      <c r="H114" s="1"/>
      <c r="I114" s="13"/>
      <c r="J114" s="13"/>
      <c r="K114" s="13"/>
      <c r="L114" s="13"/>
      <c r="M114" s="13"/>
      <c r="N114" s="13"/>
      <c r="Q114" s="1"/>
      <c r="AA114" s="1"/>
      <c r="AB114" s="1"/>
      <c r="AC114" s="1"/>
      <c r="AD114" s="1"/>
      <c r="AE114" s="1"/>
    </row>
    <row r="115" spans="1:31" x14ac:dyDescent="0.3">
      <c r="A115" s="56" t="s">
        <v>26</v>
      </c>
      <c r="B115" s="89" t="s">
        <v>81</v>
      </c>
      <c r="C115" s="89"/>
      <c r="D115" s="89"/>
      <c r="E115" s="89"/>
      <c r="F115" s="89">
        <v>2023</v>
      </c>
      <c r="G115" s="89">
        <v>2024</v>
      </c>
      <c r="H115" s="89">
        <v>2025</v>
      </c>
      <c r="I115" s="90" t="s">
        <v>20</v>
      </c>
      <c r="J115" s="90" t="s">
        <v>21</v>
      </c>
      <c r="K115" s="90" t="s">
        <v>22</v>
      </c>
      <c r="L115" s="90" t="s">
        <v>23</v>
      </c>
      <c r="M115" s="90" t="s">
        <v>24</v>
      </c>
      <c r="N115" s="90" t="s">
        <v>25</v>
      </c>
      <c r="Q115" s="1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</row>
    <row r="116" spans="1:31" s="5" customFormat="1" ht="1.95" customHeight="1" x14ac:dyDescent="0.3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7"/>
      <c r="M116" s="7"/>
      <c r="N116" s="7"/>
      <c r="O116" s="7"/>
      <c r="P116" s="7"/>
    </row>
    <row r="117" spans="1:31" x14ac:dyDescent="0.3">
      <c r="A117" s="1"/>
      <c r="B117" s="1" t="s">
        <v>69</v>
      </c>
      <c r="C117" s="1"/>
      <c r="D117" s="1"/>
      <c r="E117" s="48"/>
      <c r="F117" s="48">
        <f t="shared" ref="F117:N117" si="54">F73</f>
        <v>-1.6774193548387097</v>
      </c>
      <c r="G117" s="48">
        <f t="shared" si="54"/>
        <v>6.3202247191011234E-3</v>
      </c>
      <c r="H117" s="48">
        <f t="shared" si="54"/>
        <v>-1.6872863978127135</v>
      </c>
      <c r="I117" s="48">
        <f t="shared" si="54"/>
        <v>-1.2078552084189731</v>
      </c>
      <c r="J117" s="48">
        <f t="shared" si="54"/>
        <v>0.6670730079812085</v>
      </c>
      <c r="K117" s="48">
        <f t="shared" si="54"/>
        <v>2.285241762074564</v>
      </c>
      <c r="L117" s="48">
        <f t="shared" si="54"/>
        <v>3.541633221217019</v>
      </c>
      <c r="M117" s="48">
        <f t="shared" si="54"/>
        <v>5.0538557508210458</v>
      </c>
      <c r="N117" s="48">
        <f t="shared" si="54"/>
        <v>6.7036775109238267</v>
      </c>
      <c r="Q117" s="1"/>
      <c r="AA117" s="1"/>
      <c r="AB117" s="1"/>
      <c r="AC117" s="1"/>
      <c r="AD117" s="1"/>
      <c r="AE117" s="1"/>
    </row>
    <row r="118" spans="1:31" x14ac:dyDescent="0.3">
      <c r="A118" s="1"/>
      <c r="B118" s="18" t="s">
        <v>82</v>
      </c>
      <c r="C118" s="1"/>
      <c r="D118" s="1"/>
      <c r="E118" s="1"/>
      <c r="F118" s="30"/>
      <c r="G118" s="30">
        <f t="shared" ref="G118:N118" si="55">(G117-F117)/F117</f>
        <v>-1.0037678262748488</v>
      </c>
      <c r="H118" s="30">
        <f t="shared" si="55"/>
        <v>-267.96620338725603</v>
      </c>
      <c r="I118" s="30">
        <f t="shared" si="55"/>
        <v>-0.28414333809319109</v>
      </c>
      <c r="J118" s="30">
        <f t="shared" si="55"/>
        <v>-1.5522789514269482</v>
      </c>
      <c r="K118" s="30">
        <f t="shared" si="55"/>
        <v>2.4257745924849945</v>
      </c>
      <c r="L118" s="30">
        <f t="shared" si="55"/>
        <v>0.54978491991232081</v>
      </c>
      <c r="M118" s="30">
        <f t="shared" si="55"/>
        <v>0.42698451114155139</v>
      </c>
      <c r="N118" s="30">
        <f t="shared" si="55"/>
        <v>0.32644813018946023</v>
      </c>
      <c r="Q118" s="1"/>
      <c r="AA118" s="1"/>
      <c r="AB118" s="1"/>
      <c r="AC118" s="1"/>
      <c r="AD118" s="1"/>
      <c r="AE118" s="1"/>
    </row>
    <row r="119" spans="1:3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Q119" s="1"/>
      <c r="AA119" s="1"/>
      <c r="AB119" s="1"/>
      <c r="AC119" s="1"/>
      <c r="AD119" s="1"/>
      <c r="AE119" s="1"/>
    </row>
    <row r="120" spans="1:31" x14ac:dyDescent="0.3">
      <c r="A120" s="1"/>
      <c r="B120" s="1" t="s">
        <v>42</v>
      </c>
      <c r="C120" s="1"/>
      <c r="D120" s="1"/>
      <c r="E120" s="49"/>
      <c r="F120" s="49">
        <f t="shared" ref="F120:N120" si="56">F70</f>
        <v>2759</v>
      </c>
      <c r="G120" s="49">
        <f t="shared" si="56"/>
        <v>2848</v>
      </c>
      <c r="H120" s="49">
        <f t="shared" si="56"/>
        <v>2926</v>
      </c>
      <c r="I120" s="49">
        <f t="shared" si="56"/>
        <v>5798</v>
      </c>
      <c r="J120" s="49">
        <f t="shared" si="56"/>
        <v>6029.92</v>
      </c>
      <c r="K120" s="49">
        <f t="shared" si="56"/>
        <v>6150.5183999999999</v>
      </c>
      <c r="L120" s="49">
        <f t="shared" si="56"/>
        <v>6273.5287680000001</v>
      </c>
      <c r="M120" s="49">
        <f t="shared" si="56"/>
        <v>6398.9993433600002</v>
      </c>
      <c r="N120" s="49">
        <f t="shared" si="56"/>
        <v>6526.9793302272001</v>
      </c>
      <c r="Q120" s="1"/>
      <c r="AA120" s="1"/>
      <c r="AB120" s="1"/>
      <c r="AC120" s="1"/>
      <c r="AD120" s="1"/>
      <c r="AE120" s="1"/>
    </row>
    <row r="121" spans="1:31" x14ac:dyDescent="0.3">
      <c r="A121" s="1"/>
      <c r="B121" s="18" t="s">
        <v>82</v>
      </c>
      <c r="C121" s="1"/>
      <c r="D121" s="1"/>
      <c r="E121" s="1"/>
      <c r="F121" s="50"/>
      <c r="G121" s="50">
        <f t="shared" ref="G121:N121" si="57">(G120-F120)/F120</f>
        <v>3.2258064516129031E-2</v>
      </c>
      <c r="H121" s="50">
        <f t="shared" si="57"/>
        <v>2.7387640449438203E-2</v>
      </c>
      <c r="I121" s="50">
        <f t="shared" si="57"/>
        <v>0.98154477101845528</v>
      </c>
      <c r="J121" s="50">
        <f t="shared" si="57"/>
        <v>4.0000000000000015E-2</v>
      </c>
      <c r="K121" s="50">
        <f t="shared" si="57"/>
        <v>1.9999999999999976E-2</v>
      </c>
      <c r="L121" s="50">
        <f t="shared" si="57"/>
        <v>2.0000000000000032E-2</v>
      </c>
      <c r="M121" s="50">
        <f t="shared" si="57"/>
        <v>2.0000000000000018E-2</v>
      </c>
      <c r="N121" s="50">
        <f t="shared" si="57"/>
        <v>1.9999999999999976E-2</v>
      </c>
      <c r="Q121" s="1"/>
      <c r="AA121" s="1"/>
      <c r="AB121" s="1"/>
      <c r="AC121" s="1"/>
      <c r="AD121" s="1"/>
      <c r="AE121" s="1"/>
    </row>
    <row r="122" spans="1:3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Q122" s="1"/>
      <c r="AA122" s="1"/>
      <c r="AB122" s="1"/>
      <c r="AC122" s="1"/>
      <c r="AD122" s="1"/>
      <c r="AE122" s="1"/>
    </row>
    <row r="123" spans="1:31" x14ac:dyDescent="0.3">
      <c r="A123" s="1"/>
      <c r="B123" s="1" t="s">
        <v>83</v>
      </c>
      <c r="C123" s="1"/>
      <c r="D123" s="1"/>
      <c r="E123" s="1"/>
      <c r="F123" s="51">
        <f>J17/F117</f>
        <v>0</v>
      </c>
      <c r="G123" s="51" t="e">
        <f>#REF!/G117</f>
        <v>#REF!</v>
      </c>
      <c r="H123" s="51">
        <f>K17/H117</f>
        <v>0</v>
      </c>
      <c r="I123" s="52">
        <f t="shared" ref="I123:M123" si="58">$E$9/I117</f>
        <v>-249.88774691090842</v>
      </c>
      <c r="J123" s="52">
        <f t="shared" si="58"/>
        <v>452.46654116594897</v>
      </c>
      <c r="K123" s="52">
        <f t="shared" si="58"/>
        <v>132.07714896318907</v>
      </c>
      <c r="L123" s="52">
        <f t="shared" si="58"/>
        <v>85.222889490150251</v>
      </c>
      <c r="M123" s="52">
        <f t="shared" si="58"/>
        <v>59.722364766225887</v>
      </c>
      <c r="N123" s="52">
        <f>$E$9/N117</f>
        <v>45.024274532088619</v>
      </c>
      <c r="Q123" s="1"/>
      <c r="AA123" s="1"/>
      <c r="AB123" s="1"/>
      <c r="AC123" s="1"/>
      <c r="AD123" s="1"/>
      <c r="AE123" s="1"/>
    </row>
    <row r="124" spans="1:31" x14ac:dyDescent="0.3">
      <c r="A124" s="1"/>
      <c r="B124" s="1" t="s">
        <v>84</v>
      </c>
      <c r="C124" s="1"/>
      <c r="D124" s="1"/>
      <c r="E124" s="1"/>
      <c r="F124" s="51">
        <f>J17*F120/F49</f>
        <v>0</v>
      </c>
      <c r="G124" s="51" t="e">
        <f>#REF!*G120/G49</f>
        <v>#REF!</v>
      </c>
      <c r="H124" s="51">
        <f>K17*H120/H49</f>
        <v>0</v>
      </c>
      <c r="I124" s="52">
        <f t="shared" ref="I124:N124" si="59">$E$9*I120/I49</f>
        <v>-249.88774691090845</v>
      </c>
      <c r="J124" s="52">
        <f t="shared" si="59"/>
        <v>398.17055622603505</v>
      </c>
      <c r="K124" s="52">
        <f t="shared" si="59"/>
        <v>114.90711959797449</v>
      </c>
      <c r="L124" s="52">
        <f t="shared" si="59"/>
        <v>73.291684961529228</v>
      </c>
      <c r="M124" s="52">
        <f t="shared" si="59"/>
        <v>50.764010051292004</v>
      </c>
      <c r="N124" s="52">
        <f t="shared" si="59"/>
        <v>37.82039060695444</v>
      </c>
      <c r="Q124" s="1"/>
      <c r="AA124" s="1"/>
      <c r="AB124" s="1"/>
      <c r="AC124" s="1"/>
      <c r="AD124" s="1"/>
      <c r="AE124" s="1"/>
    </row>
    <row r="125" spans="1:31" x14ac:dyDescent="0.3">
      <c r="A125" s="1"/>
      <c r="B125" s="1" t="s">
        <v>85</v>
      </c>
      <c r="C125" s="1"/>
      <c r="D125" s="1"/>
      <c r="E125" s="1"/>
      <c r="F125" s="51">
        <f>J17*F120/(F49+F78)</f>
        <v>0</v>
      </c>
      <c r="G125" s="51" t="e">
        <f>#REF!*G120/(G49+G78)</f>
        <v>#REF!</v>
      </c>
      <c r="H125" s="51">
        <f>K17*H120/(H49+H78)</f>
        <v>0</v>
      </c>
      <c r="I125" s="52">
        <f t="shared" ref="I125:N125" si="60">$E$9*I120/(I49+I78)</f>
        <v>912.47750341570884</v>
      </c>
      <c r="J125" s="52">
        <f t="shared" si="60"/>
        <v>108.09346533332339</v>
      </c>
      <c r="K125" s="52">
        <f t="shared" si="60"/>
        <v>56.1129802212212</v>
      </c>
      <c r="L125" s="52">
        <f t="shared" si="60"/>
        <v>45.479672954490916</v>
      </c>
      <c r="M125" s="52">
        <f t="shared" si="60"/>
        <v>36.172373638156415</v>
      </c>
      <c r="N125" s="52">
        <f t="shared" si="60"/>
        <v>28.803273735263733</v>
      </c>
      <c r="Q125" s="1"/>
      <c r="AA125" s="1"/>
      <c r="AB125" s="1"/>
      <c r="AC125" s="1"/>
      <c r="AD125" s="1"/>
      <c r="AE125" s="1"/>
    </row>
    <row r="126" spans="1:31" x14ac:dyDescent="0.3">
      <c r="A126" s="1"/>
      <c r="B126" s="1" t="s">
        <v>86</v>
      </c>
      <c r="C126" s="1"/>
      <c r="D126" s="1"/>
      <c r="E126" s="1"/>
      <c r="F126" s="51">
        <f>J17*F120/F28</f>
        <v>0</v>
      </c>
      <c r="G126" s="51" t="e">
        <f>#REF!*G120/G28</f>
        <v>#REF!</v>
      </c>
      <c r="H126" s="51">
        <f>K17*H120/H28</f>
        <v>0</v>
      </c>
      <c r="I126" s="52">
        <f t="shared" ref="I126:N126" si="61">$E$9*I120/I28</f>
        <v>56.224743054954395</v>
      </c>
      <c r="J126" s="52">
        <f t="shared" si="61"/>
        <v>35.83535006034316</v>
      </c>
      <c r="K126" s="52">
        <f t="shared" si="61"/>
        <v>23.555959517584771</v>
      </c>
      <c r="L126" s="52">
        <f t="shared" si="61"/>
        <v>16.124170691536428</v>
      </c>
      <c r="M126" s="52">
        <f t="shared" si="61"/>
        <v>11.929542362053622</v>
      </c>
      <c r="N126" s="52">
        <f t="shared" si="61"/>
        <v>9.4550976517386065</v>
      </c>
      <c r="Q126" s="1"/>
      <c r="AA126" s="1"/>
      <c r="AB126" s="1"/>
      <c r="AC126" s="1"/>
      <c r="AD126" s="1"/>
      <c r="AE126" s="1"/>
    </row>
    <row r="127" spans="1:31" x14ac:dyDescent="0.3">
      <c r="A127" s="1"/>
      <c r="B127" s="1" t="s">
        <v>87</v>
      </c>
      <c r="C127" s="1"/>
      <c r="D127" s="1"/>
      <c r="E127" s="1"/>
      <c r="F127" s="51">
        <f>J17*F120/F110</f>
        <v>0</v>
      </c>
      <c r="G127" s="51" t="e">
        <f>#REF!*G120/G110</f>
        <v>#REF!</v>
      </c>
      <c r="H127" s="51">
        <f>K17*H120/H110</f>
        <v>0</v>
      </c>
      <c r="I127" s="52">
        <f t="shared" ref="I127:M127" si="62">$E$9*I120/I110</f>
        <v>-43.32760606641159</v>
      </c>
      <c r="J127" s="52">
        <f t="shared" si="62"/>
        <v>-60.178835094707978</v>
      </c>
      <c r="K127" s="52">
        <f t="shared" si="62"/>
        <v>-82.185037555456347</v>
      </c>
      <c r="L127" s="52">
        <f t="shared" si="62"/>
        <v>-493.00426502136202</v>
      </c>
      <c r="M127" s="52">
        <f t="shared" si="62"/>
        <v>147.58442432112145</v>
      </c>
      <c r="N127" s="52">
        <f>$E$9*N120/N110</f>
        <v>62.09884612158627</v>
      </c>
      <c r="Q127" s="1"/>
      <c r="AA127" s="1"/>
      <c r="AB127" s="1"/>
      <c r="AC127" s="1"/>
      <c r="AD127" s="1"/>
      <c r="AE127" s="1"/>
    </row>
    <row r="128" spans="1:31" x14ac:dyDescent="0.3">
      <c r="A128" s="1"/>
      <c r="B128" s="1" t="s">
        <v>88</v>
      </c>
      <c r="C128" s="1"/>
      <c r="D128" s="1"/>
      <c r="E128" s="1"/>
      <c r="F128" s="51">
        <f>J17*F120/F104</f>
        <v>0</v>
      </c>
      <c r="G128" s="51" t="e">
        <f>#REF!*G120/G104</f>
        <v>#REF!</v>
      </c>
      <c r="H128" s="51">
        <f>K17*H120/H104</f>
        <v>0</v>
      </c>
      <c r="I128" s="52">
        <f t="shared" ref="I128:M128" si="63">$E$9*I120/I104</f>
        <v>415.17929985534346</v>
      </c>
      <c r="J128" s="52">
        <f t="shared" si="63"/>
        <v>96.69376874487557</v>
      </c>
      <c r="K128" s="52">
        <f t="shared" si="63"/>
        <v>54.862579069837601</v>
      </c>
      <c r="L128" s="52">
        <f t="shared" si="63"/>
        <v>45.848728805704013</v>
      </c>
      <c r="M128" s="52">
        <f t="shared" si="63"/>
        <v>37.534983928154638</v>
      </c>
      <c r="N128" s="52">
        <f>$E$9*N120/N104</f>
        <v>30.620009119654618</v>
      </c>
      <c r="O128" s="1"/>
      <c r="P128" s="1"/>
      <c r="Q128" s="1"/>
      <c r="AA128" s="1"/>
      <c r="AB128" s="1"/>
      <c r="AC128" s="1"/>
      <c r="AD128" s="1"/>
      <c r="AE128" s="1"/>
    </row>
    <row r="129" spans="1:3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AA129" s="1"/>
      <c r="AB129" s="1"/>
      <c r="AC129" s="1"/>
      <c r="AD129" s="1"/>
      <c r="AE129" s="1"/>
    </row>
    <row r="130" spans="1:3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AA130" s="1"/>
      <c r="AB130" s="1"/>
      <c r="AC130" s="1"/>
      <c r="AD130" s="1"/>
      <c r="AE130" s="1"/>
    </row>
    <row r="131" spans="1:3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AA131" s="1"/>
      <c r="AB131" s="1"/>
      <c r="AC131" s="1"/>
      <c r="AD131" s="1"/>
      <c r="AE131" s="1"/>
    </row>
    <row r="132" spans="1:3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AA132" s="1"/>
      <c r="AB132" s="1"/>
      <c r="AC132" s="1"/>
      <c r="AD132" s="1"/>
      <c r="AE132" s="1"/>
    </row>
    <row r="133" spans="1:3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AA133" s="1"/>
      <c r="AB133" s="1"/>
      <c r="AC133" s="1"/>
      <c r="AD133" s="1"/>
      <c r="AE133" s="1"/>
    </row>
    <row r="134" spans="1:3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AA134" s="1"/>
      <c r="AB134" s="1"/>
      <c r="AC134" s="1"/>
      <c r="AD134" s="1"/>
      <c r="AE134" s="1"/>
    </row>
    <row r="135" spans="1:3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AA135" s="1"/>
      <c r="AB135" s="1"/>
      <c r="AC135" s="1"/>
      <c r="AD135" s="1"/>
      <c r="AE135" s="1"/>
    </row>
    <row r="136" spans="1:3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AA136" s="1"/>
      <c r="AB136" s="1"/>
      <c r="AC136" s="1"/>
      <c r="AD136" s="1"/>
      <c r="AE136" s="1"/>
    </row>
    <row r="137" spans="1:3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AA137" s="1"/>
      <c r="AB137" s="1"/>
      <c r="AC137" s="1"/>
      <c r="AD137" s="1"/>
      <c r="AE137" s="1"/>
    </row>
    <row r="138" spans="1:3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P138" s="1"/>
      <c r="Q138" s="1"/>
      <c r="AA138" s="1"/>
      <c r="AB138" s="1"/>
      <c r="AC138" s="1"/>
      <c r="AD138" s="1"/>
      <c r="AE138" s="1"/>
    </row>
    <row r="139" spans="1:31" x14ac:dyDescent="0.3">
      <c r="A139" s="1"/>
      <c r="P139" s="1"/>
      <c r="Q139" s="1"/>
      <c r="AA139" s="1"/>
      <c r="AB139" s="1"/>
      <c r="AC139" s="1"/>
      <c r="AD139" s="1"/>
      <c r="AE139" s="1"/>
    </row>
    <row r="140" spans="1:31" x14ac:dyDescent="0.3">
      <c r="A140" s="1"/>
      <c r="P140" s="1"/>
      <c r="Q140" s="1"/>
      <c r="AA140" s="1"/>
      <c r="AB140" s="1"/>
      <c r="AC140" s="1"/>
      <c r="AD140" s="1"/>
      <c r="AE140" s="1"/>
    </row>
    <row r="141" spans="1:31" x14ac:dyDescent="0.3">
      <c r="A141" s="1"/>
      <c r="P141" s="1"/>
      <c r="Q141" s="1"/>
      <c r="AA141" s="1"/>
      <c r="AB141" s="1"/>
      <c r="AC141" s="1"/>
      <c r="AD141" s="1"/>
      <c r="AE141" s="1"/>
    </row>
    <row r="142" spans="1:31" x14ac:dyDescent="0.3">
      <c r="A142" s="1"/>
      <c r="P142" s="1"/>
      <c r="Q142" s="1"/>
      <c r="AA142" s="1"/>
      <c r="AB142" s="1"/>
      <c r="AC142" s="1"/>
      <c r="AD142" s="1"/>
      <c r="AE142" s="1"/>
    </row>
    <row r="143" spans="1:31" x14ac:dyDescent="0.3">
      <c r="A143" s="1"/>
      <c r="P143" s="1"/>
      <c r="Q143" s="1"/>
      <c r="AA143" s="1"/>
      <c r="AB143" s="1"/>
      <c r="AC143" s="1"/>
      <c r="AD143" s="1"/>
      <c r="AE143" s="1"/>
    </row>
    <row r="144" spans="1:31" x14ac:dyDescent="0.3">
      <c r="A144" s="1"/>
      <c r="P144" s="1"/>
      <c r="Q144" s="1"/>
      <c r="AA144" s="1"/>
      <c r="AB144" s="1"/>
      <c r="AC144" s="1"/>
      <c r="AD144" s="1"/>
      <c r="AE144" s="1"/>
    </row>
    <row r="145" spans="1:31" x14ac:dyDescent="0.3">
      <c r="A145" s="1"/>
      <c r="P145" s="1"/>
      <c r="Q145" s="1"/>
      <c r="AA145" s="1"/>
      <c r="AB145" s="1"/>
      <c r="AC145" s="1"/>
      <c r="AD145" s="1"/>
      <c r="AE145" s="1"/>
    </row>
    <row r="146" spans="1:31" x14ac:dyDescent="0.3">
      <c r="A146" s="1"/>
      <c r="P146" s="1"/>
      <c r="Q146" s="1"/>
      <c r="AA146" s="1"/>
      <c r="AB146" s="1"/>
      <c r="AC146" s="1"/>
      <c r="AD146" s="1"/>
      <c r="AE146" s="1"/>
    </row>
    <row r="147" spans="1:31" x14ac:dyDescent="0.3">
      <c r="A147" s="1"/>
      <c r="P147" s="1"/>
      <c r="Q147" s="1"/>
      <c r="AA147" s="1"/>
      <c r="AB147" s="1"/>
      <c r="AC147" s="1"/>
      <c r="AD147" s="1"/>
      <c r="AE147" s="1"/>
    </row>
    <row r="148" spans="1:31" x14ac:dyDescent="0.3">
      <c r="A148" s="1"/>
      <c r="P148" s="1"/>
      <c r="Q148" s="1"/>
      <c r="AA148" s="1"/>
      <c r="AB148" s="1"/>
      <c r="AC148" s="1"/>
      <c r="AD148" s="1"/>
      <c r="AE148" s="1"/>
    </row>
    <row r="149" spans="1:31" x14ac:dyDescent="0.3">
      <c r="A149" s="1"/>
      <c r="P149" s="1"/>
      <c r="Q149" s="1"/>
      <c r="AA149" s="1"/>
      <c r="AB149" s="1"/>
      <c r="AC149" s="1"/>
      <c r="AD149" s="1"/>
      <c r="AE149" s="1"/>
    </row>
    <row r="150" spans="1:31" x14ac:dyDescent="0.3">
      <c r="A150" s="1"/>
      <c r="P150" s="1"/>
      <c r="Q150" s="1"/>
      <c r="AA150" s="1"/>
      <c r="AB150" s="1"/>
      <c r="AC150" s="1"/>
      <c r="AD150" s="1"/>
      <c r="AE150" s="1"/>
    </row>
    <row r="151" spans="1:31" x14ac:dyDescent="0.3">
      <c r="A151" s="1"/>
      <c r="P151" s="1"/>
      <c r="Q151" s="1"/>
      <c r="AA151" s="1"/>
      <c r="AB151" s="1"/>
      <c r="AC151" s="1"/>
      <c r="AD151" s="1"/>
      <c r="AE151" s="1"/>
    </row>
    <row r="152" spans="1:31" x14ac:dyDescent="0.3">
      <c r="A152" s="1"/>
      <c r="P152" s="1"/>
      <c r="Q152" s="1"/>
      <c r="AA152" s="1"/>
      <c r="AB152" s="1"/>
      <c r="AC152" s="1"/>
      <c r="AD152" s="1"/>
      <c r="AE152" s="1"/>
    </row>
    <row r="153" spans="1:31" x14ac:dyDescent="0.3">
      <c r="A153" s="1"/>
      <c r="P153" s="1"/>
      <c r="Q153" s="1"/>
      <c r="AA153" s="1"/>
      <c r="AB153" s="1"/>
      <c r="AC153" s="1"/>
      <c r="AD153" s="1"/>
      <c r="AE153" s="1"/>
    </row>
    <row r="154" spans="1:31" x14ac:dyDescent="0.3">
      <c r="A154" s="1"/>
      <c r="P154" s="1"/>
      <c r="Q154" s="1"/>
      <c r="AA154" s="1"/>
      <c r="AB154" s="1"/>
      <c r="AC154" s="1"/>
      <c r="AD154" s="1"/>
      <c r="AE154" s="1"/>
    </row>
    <row r="155" spans="1:31" x14ac:dyDescent="0.3">
      <c r="A155" s="1"/>
      <c r="P155" s="1"/>
      <c r="Q155" s="1"/>
      <c r="AA155" s="1"/>
      <c r="AB155" s="1"/>
      <c r="AC155" s="1"/>
      <c r="AD155" s="1"/>
      <c r="AE155" s="1"/>
    </row>
    <row r="156" spans="1:31" x14ac:dyDescent="0.3">
      <c r="A156" s="1"/>
      <c r="P156" s="1"/>
      <c r="Q156" s="1"/>
      <c r="AA156" s="1"/>
      <c r="AB156" s="1"/>
      <c r="AC156" s="1"/>
      <c r="AD156" s="1"/>
      <c r="AE156" s="1"/>
    </row>
    <row r="157" spans="1:31" x14ac:dyDescent="0.3">
      <c r="A157" s="1"/>
      <c r="P157" s="1"/>
      <c r="AA157" s="1"/>
      <c r="AB157" s="1"/>
      <c r="AC157" s="1"/>
      <c r="AD157" s="1"/>
      <c r="AE157" s="1"/>
    </row>
    <row r="158" spans="1:31" x14ac:dyDescent="0.3">
      <c r="A158" s="1"/>
      <c r="P158" s="1"/>
      <c r="AA158" s="1"/>
      <c r="AB158" s="1"/>
      <c r="AC158" s="1"/>
      <c r="AD158" s="1"/>
      <c r="AE158" s="1"/>
    </row>
    <row r="159" spans="1:31" x14ac:dyDescent="0.3">
      <c r="P159" s="1"/>
      <c r="AA159" s="1"/>
      <c r="AB159" s="1"/>
      <c r="AC159" s="1"/>
      <c r="AD159" s="1"/>
      <c r="AE159" s="1"/>
    </row>
    <row r="160" spans="1:31" x14ac:dyDescent="0.3">
      <c r="P160" s="1"/>
      <c r="AA160" s="1"/>
      <c r="AB160" s="1"/>
      <c r="AC160" s="1"/>
      <c r="AD160" s="1"/>
      <c r="AE160" s="1"/>
    </row>
    <row r="161" spans="16:31" x14ac:dyDescent="0.3">
      <c r="P161" s="1"/>
      <c r="AA161" s="1"/>
      <c r="AB161" s="1"/>
      <c r="AC161" s="1"/>
      <c r="AD161" s="1"/>
      <c r="AE161" s="1"/>
    </row>
    <row r="162" spans="16:31" x14ac:dyDescent="0.3">
      <c r="P162" s="1"/>
      <c r="AA162" s="1"/>
      <c r="AB162" s="1"/>
      <c r="AC162" s="1"/>
      <c r="AD162" s="1"/>
      <c r="AE162" s="1"/>
    </row>
    <row r="163" spans="16:31" x14ac:dyDescent="0.3">
      <c r="P163" s="1"/>
      <c r="AA163" s="1"/>
      <c r="AB163" s="1"/>
      <c r="AC163" s="1"/>
      <c r="AD163" s="1"/>
      <c r="AE163" s="1"/>
    </row>
    <row r="164" spans="16:31" x14ac:dyDescent="0.3">
      <c r="P164" s="1"/>
      <c r="AA164" s="1"/>
      <c r="AB164" s="1"/>
      <c r="AC164" s="1"/>
      <c r="AD164" s="1"/>
      <c r="AE164" s="1"/>
    </row>
    <row r="165" spans="16:31" x14ac:dyDescent="0.3">
      <c r="P165" s="1"/>
      <c r="AA165" s="1"/>
      <c r="AB165" s="1"/>
      <c r="AC165" s="1"/>
      <c r="AD165" s="1"/>
      <c r="AE165" s="1"/>
    </row>
    <row r="166" spans="16:31" x14ac:dyDescent="0.3">
      <c r="P166" s="1"/>
      <c r="AA166" s="1"/>
      <c r="AB166" s="1"/>
      <c r="AC166" s="1"/>
      <c r="AD166" s="1"/>
      <c r="AE166" s="1"/>
    </row>
    <row r="167" spans="16:31" x14ac:dyDescent="0.3">
      <c r="P167" s="1"/>
      <c r="AA167" s="1"/>
      <c r="AB167" s="1"/>
      <c r="AC167" s="1"/>
      <c r="AD167" s="1"/>
      <c r="AE167" s="1"/>
    </row>
    <row r="168" spans="16:31" x14ac:dyDescent="0.3">
      <c r="P168" s="1"/>
      <c r="AA168" s="1"/>
      <c r="AB168" s="1"/>
      <c r="AC168" s="1"/>
      <c r="AD168" s="1"/>
      <c r="AE168" s="1"/>
    </row>
  </sheetData>
  <mergeCells count="9">
    <mergeCell ref="D12:E12"/>
    <mergeCell ref="W4:X4"/>
    <mergeCell ref="I7:K7"/>
    <mergeCell ref="I8:K8"/>
    <mergeCell ref="I9:K9"/>
    <mergeCell ref="I10:K10"/>
    <mergeCell ref="I11:K11"/>
    <mergeCell ref="R11:U11"/>
    <mergeCell ref="I12:K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00E7B-E5F6-4D88-A188-4EE671E3E84E}">
  <dimension ref="A2:AN282"/>
  <sheetViews>
    <sheetView showGridLines="0" tabSelected="1" workbookViewId="0">
      <selection activeCell="P8" sqref="P8"/>
    </sheetView>
  </sheetViews>
  <sheetFormatPr defaultColWidth="9.6640625" defaultRowHeight="14.4" x14ac:dyDescent="0.3"/>
  <cols>
    <col min="1" max="1" width="9.6640625" style="11"/>
    <col min="2" max="16384" width="9.6640625" style="1"/>
  </cols>
  <sheetData>
    <row r="2" spans="1:40" ht="14.4" customHeight="1" x14ac:dyDescent="0.3">
      <c r="A2" s="2"/>
      <c r="K2" s="18" t="s">
        <v>89</v>
      </c>
      <c r="U2" s="53"/>
      <c r="AE2" s="54"/>
      <c r="AN2" s="55"/>
    </row>
    <row r="3" spans="1:40" x14ac:dyDescent="0.3">
      <c r="A3" s="2"/>
      <c r="AE3" s="54"/>
    </row>
    <row r="4" spans="1:40" x14ac:dyDescent="0.3">
      <c r="A4" s="2" t="s">
        <v>26</v>
      </c>
      <c r="B4" s="89" t="s">
        <v>90</v>
      </c>
      <c r="C4" s="89"/>
      <c r="D4" s="89">
        <v>2026</v>
      </c>
      <c r="E4" s="89">
        <v>2031</v>
      </c>
      <c r="F4" s="89"/>
      <c r="G4" s="89"/>
      <c r="H4" s="89"/>
      <c r="I4" s="90">
        <v>2026</v>
      </c>
      <c r="J4" s="90">
        <v>2031</v>
      </c>
      <c r="K4" s="90"/>
      <c r="L4" s="90"/>
      <c r="M4" s="90"/>
      <c r="N4" s="90"/>
      <c r="P4" s="11"/>
      <c r="AE4" s="54"/>
    </row>
    <row r="5" spans="1:40" s="5" customFormat="1" ht="1.95" customHeight="1" x14ac:dyDescent="0.3">
      <c r="A5" s="56"/>
      <c r="B5" s="6"/>
      <c r="C5" s="6"/>
      <c r="D5" s="6"/>
      <c r="E5" s="6"/>
      <c r="F5" s="6"/>
      <c r="G5" s="6"/>
      <c r="H5" s="7"/>
      <c r="I5" s="7"/>
      <c r="J5" s="7"/>
      <c r="K5" s="7"/>
      <c r="L5" s="7"/>
    </row>
    <row r="6" spans="1:40" x14ac:dyDescent="0.3">
      <c r="A6" s="2"/>
      <c r="B6" s="57" t="s">
        <v>111</v>
      </c>
      <c r="D6" s="58">
        <v>556</v>
      </c>
      <c r="E6" s="58"/>
      <c r="G6" s="57"/>
      <c r="I6" s="59"/>
      <c r="J6" s="59"/>
      <c r="N6" s="59"/>
      <c r="AE6" s="54"/>
    </row>
    <row r="7" spans="1:40" x14ac:dyDescent="0.3">
      <c r="A7" s="2"/>
      <c r="B7" s="57" t="s">
        <v>112</v>
      </c>
      <c r="D7" s="58">
        <v>40</v>
      </c>
      <c r="E7" s="60"/>
      <c r="G7" s="57"/>
      <c r="I7" s="61"/>
      <c r="J7" s="61"/>
      <c r="N7" s="59"/>
      <c r="AE7" s="54"/>
    </row>
    <row r="8" spans="1:40" x14ac:dyDescent="0.3">
      <c r="A8" s="2"/>
      <c r="B8" s="57" t="s">
        <v>114</v>
      </c>
      <c r="D8" s="101">
        <v>10.3</v>
      </c>
      <c r="E8" s="59"/>
      <c r="G8" s="57"/>
      <c r="I8" s="58"/>
      <c r="J8" s="58"/>
      <c r="AE8" s="54"/>
    </row>
    <row r="9" spans="1:40" x14ac:dyDescent="0.3">
      <c r="A9" s="2"/>
      <c r="B9" s="57" t="s">
        <v>113</v>
      </c>
      <c r="D9" s="58">
        <v>66</v>
      </c>
      <c r="E9" s="61"/>
      <c r="G9" s="57"/>
      <c r="I9" s="58"/>
      <c r="J9" s="58"/>
      <c r="AE9" s="54"/>
    </row>
    <row r="10" spans="1:40" x14ac:dyDescent="0.3">
      <c r="A10" s="2"/>
      <c r="B10" s="57" t="s">
        <v>115</v>
      </c>
      <c r="D10" s="58">
        <v>1</v>
      </c>
      <c r="E10" s="58"/>
      <c r="G10" s="57"/>
      <c r="I10" s="58"/>
      <c r="J10" s="58"/>
      <c r="AE10" s="54"/>
    </row>
    <row r="11" spans="1:40" x14ac:dyDescent="0.3">
      <c r="A11" s="2"/>
      <c r="B11" s="62"/>
      <c r="AE11" s="54"/>
    </row>
    <row r="12" spans="1:40" ht="14.4" customHeight="1" x14ac:dyDescent="0.3">
      <c r="A12" s="2" t="s">
        <v>26</v>
      </c>
      <c r="B12" s="89" t="s">
        <v>91</v>
      </c>
      <c r="C12" s="89"/>
      <c r="D12" s="89"/>
      <c r="E12" s="89"/>
      <c r="F12" s="89">
        <v>2023</v>
      </c>
      <c r="G12" s="89">
        <v>2024</v>
      </c>
      <c r="H12" s="89">
        <v>2025</v>
      </c>
      <c r="I12" s="90" t="s">
        <v>20</v>
      </c>
      <c r="J12" s="90" t="s">
        <v>21</v>
      </c>
      <c r="K12" s="90" t="s">
        <v>22</v>
      </c>
      <c r="L12" s="90" t="s">
        <v>23</v>
      </c>
      <c r="M12" s="90" t="s">
        <v>24</v>
      </c>
      <c r="N12" s="90" t="s">
        <v>25</v>
      </c>
      <c r="AN12" s="55"/>
    </row>
    <row r="13" spans="1:40" s="5" customFormat="1" ht="1.95" customHeight="1" x14ac:dyDescent="0.3">
      <c r="A13" s="56"/>
      <c r="B13" s="6"/>
      <c r="C13" s="6"/>
      <c r="D13" s="6"/>
      <c r="E13" s="6"/>
      <c r="F13" s="6"/>
      <c r="G13" s="6"/>
      <c r="H13" s="7"/>
      <c r="I13" s="7"/>
      <c r="J13" s="7"/>
      <c r="K13" s="7"/>
      <c r="L13" s="7"/>
    </row>
    <row r="14" spans="1:40" ht="14.4" customHeight="1" x14ac:dyDescent="0.3">
      <c r="B14" s="63" t="s">
        <v>30</v>
      </c>
      <c r="C14" s="63"/>
      <c r="D14" s="63"/>
      <c r="E14" s="63"/>
      <c r="F14" s="64">
        <f t="shared" ref="F14:H14" si="0">F17+F26+F35</f>
        <v>10387</v>
      </c>
      <c r="G14" s="64">
        <f t="shared" si="0"/>
        <v>14015</v>
      </c>
      <c r="H14" s="64">
        <f>H17+H26+H35</f>
        <v>18674</v>
      </c>
      <c r="I14" s="64">
        <f>I17+I26+I35</f>
        <v>31125.086659614251</v>
      </c>
      <c r="J14" s="64">
        <f t="shared" ref="J14:N14" si="1">J17+J26+J35</f>
        <v>50787.839296541017</v>
      </c>
      <c r="K14" s="64">
        <f t="shared" si="1"/>
        <v>78808.082456338816</v>
      </c>
      <c r="L14" s="64">
        <f t="shared" si="1"/>
        <v>117434.13265861248</v>
      </c>
      <c r="M14" s="64">
        <f t="shared" si="1"/>
        <v>161900.47374688374</v>
      </c>
      <c r="N14" s="64">
        <f t="shared" si="1"/>
        <v>208356.02166813693</v>
      </c>
    </row>
    <row r="15" spans="1:40" x14ac:dyDescent="0.3">
      <c r="B15" s="18" t="s">
        <v>33</v>
      </c>
      <c r="C15" s="65"/>
      <c r="D15" s="65"/>
      <c r="E15" s="65"/>
      <c r="F15" s="30"/>
      <c r="G15" s="30">
        <f t="shared" ref="G15" si="2">(G14-F14)/F14</f>
        <v>0.34928275729276981</v>
      </c>
      <c r="H15" s="30">
        <f>(H14-G14)/G14</f>
        <v>0.3324295397788084</v>
      </c>
      <c r="I15" s="30">
        <f>(I14-H14)/H14</f>
        <v>0.66676055797441636</v>
      </c>
      <c r="J15" s="30">
        <f t="shared" ref="J15:N15" si="3">(J14-I14)/I14</f>
        <v>0.63173326557961962</v>
      </c>
      <c r="K15" s="30">
        <f t="shared" si="3"/>
        <v>0.5517116606633462</v>
      </c>
      <c r="L15" s="30">
        <f t="shared" si="3"/>
        <v>0.49012802999836003</v>
      </c>
      <c r="M15" s="30">
        <f t="shared" si="3"/>
        <v>0.37864920599820306</v>
      </c>
      <c r="N15" s="30">
        <f t="shared" si="3"/>
        <v>0.28693892516881758</v>
      </c>
    </row>
    <row r="16" spans="1:40" x14ac:dyDescent="0.3">
      <c r="B16" s="18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</row>
    <row r="17" spans="1:40" x14ac:dyDescent="0.3">
      <c r="B17" s="66" t="s">
        <v>102</v>
      </c>
      <c r="C17" s="63"/>
      <c r="D17" s="66"/>
      <c r="E17" s="66"/>
      <c r="F17" s="67">
        <f t="shared" ref="F17:H17" si="4">F20+F23</f>
        <v>3557</v>
      </c>
      <c r="G17" s="67">
        <f t="shared" si="4"/>
        <v>3796</v>
      </c>
      <c r="H17" s="67">
        <f>H20+H23</f>
        <v>4086</v>
      </c>
      <c r="I17" s="67">
        <f>I20+I23</f>
        <v>4117.8081272084801</v>
      </c>
      <c r="J17" s="67">
        <f t="shared" ref="J17:N17" si="5">J20+J23</f>
        <v>5647.5575632508835</v>
      </c>
      <c r="K17" s="67">
        <f t="shared" si="5"/>
        <v>8041.3544028268543</v>
      </c>
      <c r="L17" s="67">
        <f t="shared" si="5"/>
        <v>12031.015802120141</v>
      </c>
      <c r="M17" s="67">
        <f t="shared" si="5"/>
        <v>17018.09255123675</v>
      </c>
      <c r="N17" s="67">
        <f t="shared" si="5"/>
        <v>24000</v>
      </c>
    </row>
    <row r="18" spans="1:40" x14ac:dyDescent="0.3">
      <c r="B18" s="18" t="s">
        <v>33</v>
      </c>
      <c r="C18" s="65"/>
      <c r="D18" s="65"/>
      <c r="E18" s="65"/>
      <c r="F18" s="30"/>
      <c r="G18" s="30">
        <f t="shared" ref="G18" si="6">(G17-F17)/F17</f>
        <v>6.7191453472026985E-2</v>
      </c>
      <c r="H18" s="30">
        <f>(H17-G17)/G17</f>
        <v>7.6396206533192831E-2</v>
      </c>
      <c r="I18" s="30">
        <f>(I17-H17)/H17</f>
        <v>7.7846615781889559E-3</v>
      </c>
      <c r="J18" s="30">
        <f t="shared" ref="J18:N18" si="7">(J17-I17)/I17</f>
        <v>0.37149604565947614</v>
      </c>
      <c r="K18" s="30">
        <f t="shared" si="7"/>
        <v>0.4238640886376443</v>
      </c>
      <c r="L18" s="30">
        <f t="shared" si="7"/>
        <v>0.49614296291813259</v>
      </c>
      <c r="M18" s="30">
        <f t="shared" si="7"/>
        <v>0.41451834418152561</v>
      </c>
      <c r="N18" s="30">
        <f t="shared" si="7"/>
        <v>0.41026380763547182</v>
      </c>
    </row>
    <row r="19" spans="1:40" ht="14.4" customHeight="1" x14ac:dyDescent="0.3"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L19" s="18"/>
      <c r="AN19" s="68"/>
    </row>
    <row r="20" spans="1:40" ht="14.4" customHeight="1" x14ac:dyDescent="0.3">
      <c r="B20" s="1" t="s">
        <v>103</v>
      </c>
      <c r="C20" s="65"/>
      <c r="D20" s="65"/>
      <c r="E20" s="65"/>
      <c r="F20" s="22">
        <v>1964</v>
      </c>
      <c r="G20" s="22">
        <v>2584</v>
      </c>
      <c r="H20" s="22">
        <v>2576</v>
      </c>
      <c r="I20" s="99">
        <f>H20*(1+((330-566)/566)+0.4)</f>
        <v>2532.3081272084805</v>
      </c>
      <c r="J20" s="69">
        <f>$I$20+($N$20-$I$20)*0.08</f>
        <v>3529.7234770318023</v>
      </c>
      <c r="K20" s="69">
        <f>$I$20+($N$20-$I$20)*0.2</f>
        <v>5025.8465017667841</v>
      </c>
      <c r="L20" s="69">
        <f>$I$20+($N$20-$I$20)*0.4</f>
        <v>7519.384876325088</v>
      </c>
      <c r="M20" s="69">
        <f>$I$20+($N$20-$I$20)*0.65</f>
        <v>10636.307844522969</v>
      </c>
      <c r="N20" s="69">
        <v>15000</v>
      </c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L20" s="18"/>
      <c r="AN20" s="68"/>
    </row>
    <row r="21" spans="1:40" ht="14.4" customHeight="1" x14ac:dyDescent="0.3">
      <c r="B21" s="18" t="s">
        <v>33</v>
      </c>
      <c r="C21" s="65"/>
      <c r="D21" s="65"/>
      <c r="E21" s="65"/>
      <c r="F21" s="30"/>
      <c r="G21" s="30">
        <f t="shared" ref="G21" si="8">(G20-F20)/F20</f>
        <v>0.31568228105906315</v>
      </c>
      <c r="H21" s="30">
        <f>(H20-G20)/G20</f>
        <v>-3.0959752321981426E-3</v>
      </c>
      <c r="I21" s="30">
        <f>(I20-H20)/H20</f>
        <v>-1.6961130742049486E-2</v>
      </c>
      <c r="J21" s="30">
        <f t="shared" ref="J21:N21" si="9">(J20-I20)/I20</f>
        <v>0.39387598179959016</v>
      </c>
      <c r="K21" s="30">
        <f t="shared" si="9"/>
        <v>0.42386408863764424</v>
      </c>
      <c r="L21" s="30">
        <f t="shared" si="9"/>
        <v>0.49614296291813259</v>
      </c>
      <c r="M21" s="30">
        <f t="shared" si="9"/>
        <v>0.41451834418152561</v>
      </c>
      <c r="N21" s="30">
        <f t="shared" si="9"/>
        <v>0.41026380763547177</v>
      </c>
      <c r="T21" s="70"/>
      <c r="U21" s="71"/>
      <c r="V21" s="71"/>
      <c r="W21" s="71"/>
      <c r="X21" s="71"/>
      <c r="Y21" s="71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L21" s="18"/>
      <c r="AN21" s="68"/>
    </row>
    <row r="22" spans="1:40" ht="14.4" customHeight="1" x14ac:dyDescent="0.3"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L22" s="18"/>
      <c r="AN22" s="68"/>
    </row>
    <row r="23" spans="1:40" ht="14.4" customHeight="1" x14ac:dyDescent="0.3">
      <c r="B23" s="1" t="s">
        <v>104</v>
      </c>
      <c r="C23" s="65"/>
      <c r="D23" s="65"/>
      <c r="E23" s="65"/>
      <c r="F23" s="22">
        <v>1593</v>
      </c>
      <c r="G23" s="22">
        <v>1212</v>
      </c>
      <c r="H23" s="22">
        <v>1510</v>
      </c>
      <c r="I23" s="99">
        <f>H23*1.05</f>
        <v>1585.5</v>
      </c>
      <c r="J23" s="99">
        <f>J20*0.6</f>
        <v>2117.8340862190812</v>
      </c>
      <c r="K23" s="99">
        <f>K20*0.6</f>
        <v>3015.5079010600703</v>
      </c>
      <c r="L23" s="99">
        <f>L20*0.6</f>
        <v>4511.6309257950525</v>
      </c>
      <c r="M23" s="99">
        <f>M20*0.6</f>
        <v>6381.7847067137818</v>
      </c>
      <c r="N23" s="99">
        <f>N20*0.6</f>
        <v>9000</v>
      </c>
      <c r="T23" s="73"/>
      <c r="Z23" s="74"/>
      <c r="AA23" s="74"/>
      <c r="AB23" s="74"/>
      <c r="AC23" s="74"/>
      <c r="AD23" s="74"/>
      <c r="AE23" s="72"/>
      <c r="AL23" s="18"/>
      <c r="AN23" s="68"/>
    </row>
    <row r="24" spans="1:40" ht="14.4" customHeight="1" x14ac:dyDescent="0.3">
      <c r="B24" s="18" t="s">
        <v>33</v>
      </c>
      <c r="C24" s="65"/>
      <c r="D24" s="65"/>
      <c r="E24" s="65"/>
      <c r="F24" s="30"/>
      <c r="G24" s="30">
        <f t="shared" ref="G24" si="10">(G23-F23)/F23</f>
        <v>-0.2391713747645951</v>
      </c>
      <c r="H24" s="30">
        <f>(H23-G23)/G23</f>
        <v>0.24587458745874588</v>
      </c>
      <c r="I24" s="30">
        <f t="shared" ref="I24:N24" si="11">(I23-H23)/H23</f>
        <v>0.05</v>
      </c>
      <c r="J24" s="30">
        <f t="shared" si="11"/>
        <v>0.3357515523299156</v>
      </c>
      <c r="K24" s="30">
        <f t="shared" si="11"/>
        <v>0.4238640886376443</v>
      </c>
      <c r="L24" s="30">
        <f t="shared" si="11"/>
        <v>0.49614296291813259</v>
      </c>
      <c r="M24" s="30">
        <f t="shared" si="11"/>
        <v>0.41451834418152578</v>
      </c>
      <c r="N24" s="30">
        <f t="shared" si="11"/>
        <v>0.41026380763547171</v>
      </c>
      <c r="T24" s="18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L24" s="18"/>
      <c r="AN24" s="68"/>
    </row>
    <row r="25" spans="1:40" ht="14.4" customHeight="1" x14ac:dyDescent="0.3"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T25" s="18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L25" s="18"/>
      <c r="AN25" s="68"/>
    </row>
    <row r="26" spans="1:40" ht="14.4" customHeight="1" x14ac:dyDescent="0.3">
      <c r="B26" s="66" t="s">
        <v>105</v>
      </c>
      <c r="C26" s="63"/>
      <c r="D26" s="63"/>
      <c r="E26" s="66"/>
      <c r="F26" s="67">
        <f t="shared" ref="F26:H26" si="12">F29+F32</f>
        <v>3869</v>
      </c>
      <c r="G26" s="67">
        <f t="shared" si="12"/>
        <v>7599</v>
      </c>
      <c r="H26" s="67">
        <f>H29+H32</f>
        <v>11387</v>
      </c>
      <c r="I26" s="67">
        <f>I29+I32</f>
        <v>15809.901072386059</v>
      </c>
      <c r="J26" s="67">
        <f t="shared" ref="J26:N26" si="13">J29+J32</f>
        <v>21782.147196044079</v>
      </c>
      <c r="K26" s="67">
        <f t="shared" si="13"/>
        <v>29801.462753286229</v>
      </c>
      <c r="L26" s="67">
        <f t="shared" si="13"/>
        <v>40668.225026244021</v>
      </c>
      <c r="M26" s="67">
        <f t="shared" si="13"/>
        <v>53541.143901200026</v>
      </c>
      <c r="N26" s="67">
        <f t="shared" si="13"/>
        <v>69057.462797021799</v>
      </c>
      <c r="T26" s="73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</row>
    <row r="27" spans="1:40" ht="14.4" customHeight="1" x14ac:dyDescent="0.3">
      <c r="A27" s="56"/>
      <c r="B27" s="18" t="s">
        <v>33</v>
      </c>
      <c r="C27" s="65"/>
      <c r="D27" s="65"/>
      <c r="E27" s="65"/>
      <c r="F27" s="30"/>
      <c r="G27" s="30">
        <f t="shared" ref="G27" si="14">(G26-F26)/F26</f>
        <v>0.96407340398035668</v>
      </c>
      <c r="H27" s="30">
        <f>(H26-G26)/G26</f>
        <v>0.49848664297933937</v>
      </c>
      <c r="I27" s="30">
        <f>(I26-H26)/H26</f>
        <v>0.38841670961500474</v>
      </c>
      <c r="J27" s="30">
        <f t="shared" ref="J27:N27" si="15">(J26-I26)/I26</f>
        <v>0.37775354167707503</v>
      </c>
      <c r="K27" s="30">
        <f t="shared" si="15"/>
        <v>0.36816001127283543</v>
      </c>
      <c r="L27" s="30">
        <f t="shared" si="15"/>
        <v>0.36463855358104885</v>
      </c>
      <c r="M27" s="30">
        <f t="shared" si="15"/>
        <v>0.31653505572591017</v>
      </c>
      <c r="N27" s="30">
        <f t="shared" si="15"/>
        <v>0.28980178168128384</v>
      </c>
      <c r="AL27" s="73"/>
      <c r="AM27" s="65"/>
      <c r="AN27" s="76"/>
    </row>
    <row r="28" spans="1:40" ht="14.4" customHeight="1" x14ac:dyDescent="0.3">
      <c r="A28" s="56"/>
      <c r="B28" s="18"/>
      <c r="C28" s="65"/>
      <c r="D28" s="65"/>
      <c r="E28" s="65"/>
      <c r="F28" s="65"/>
      <c r="G28" s="65"/>
      <c r="H28" s="65"/>
      <c r="I28" s="65"/>
      <c r="J28" s="30"/>
      <c r="K28" s="30"/>
      <c r="L28" s="30"/>
      <c r="M28" s="30"/>
      <c r="N28" s="30"/>
      <c r="AL28" s="73"/>
      <c r="AM28" s="65"/>
      <c r="AN28" s="76"/>
    </row>
    <row r="29" spans="1:40" ht="14.4" customHeight="1" x14ac:dyDescent="0.3">
      <c r="A29" s="56"/>
      <c r="B29" s="1" t="s">
        <v>107</v>
      </c>
      <c r="C29" s="65"/>
      <c r="D29" s="65"/>
      <c r="E29" s="65"/>
      <c r="F29" s="22">
        <v>2817</v>
      </c>
      <c r="G29" s="22">
        <v>4830</v>
      </c>
      <c r="H29" s="22">
        <v>7208</v>
      </c>
      <c r="I29" s="99">
        <f>H29*(1+((2148-1492)/1492))</f>
        <v>10377.20107238606</v>
      </c>
      <c r="J29" s="3">
        <f>I29*(1+J30)</f>
        <v>14448.002196044079</v>
      </c>
      <c r="K29" s="100">
        <f>J29*(1+K30)</f>
        <v>19533.659753286229</v>
      </c>
      <c r="L29" s="3">
        <f>K29*(1+L30)</f>
        <v>25779.910676244021</v>
      </c>
      <c r="M29" s="3">
        <f>L29*(1+M30)</f>
        <v>33441.919528700026</v>
      </c>
      <c r="N29" s="3">
        <f>M29*(1+N30)</f>
        <v>42928.471112771796</v>
      </c>
      <c r="AL29" s="73"/>
      <c r="AM29" s="65"/>
      <c r="AN29" s="76"/>
    </row>
    <row r="30" spans="1:40" ht="14.4" customHeight="1" x14ac:dyDescent="0.3">
      <c r="A30" s="56"/>
      <c r="B30" s="18" t="s">
        <v>33</v>
      </c>
      <c r="C30" s="65"/>
      <c r="D30" s="65"/>
      <c r="E30" s="65"/>
      <c r="F30" s="30"/>
      <c r="G30" s="30">
        <f t="shared" ref="G30" si="16">(G29-F29)/F29</f>
        <v>0.71458998935037277</v>
      </c>
      <c r="H30" s="30">
        <f>(H29-G29)/G29</f>
        <v>0.49233954451345757</v>
      </c>
      <c r="I30" s="30">
        <f>(I29-H29)/H29</f>
        <v>0.43967828418230581</v>
      </c>
      <c r="J30" s="30">
        <f>I30+(I30-H30)*0.9</f>
        <v>0.39228314988426921</v>
      </c>
      <c r="K30" s="30">
        <f>J30+(J30-I30)*0.85</f>
        <v>0.35199728573093808</v>
      </c>
      <c r="L30" s="30">
        <f>K30+(K30-J30)*0.8</f>
        <v>0.31976859440827315</v>
      </c>
      <c r="M30" s="30">
        <f>L30+(L30-K30)*0.7</f>
        <v>0.29720851048240771</v>
      </c>
      <c r="N30" s="30">
        <f>M30+(M30-L30)*0.6</f>
        <v>0.28367246012688846</v>
      </c>
      <c r="AL30" s="73"/>
      <c r="AM30" s="65"/>
      <c r="AN30" s="76"/>
    </row>
    <row r="31" spans="1:40" ht="14.4" customHeight="1" x14ac:dyDescent="0.3">
      <c r="A31" s="56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AL31" s="73"/>
      <c r="AM31" s="65"/>
      <c r="AN31" s="76"/>
    </row>
    <row r="32" spans="1:40" ht="14.4" customHeight="1" x14ac:dyDescent="0.3">
      <c r="A32" s="56"/>
      <c r="B32" s="1" t="s">
        <v>108</v>
      </c>
      <c r="C32" s="65"/>
      <c r="D32" s="65"/>
      <c r="E32" s="65"/>
      <c r="F32" s="22">
        <v>1052</v>
      </c>
      <c r="G32" s="22">
        <v>2769</v>
      </c>
      <c r="H32" s="22">
        <v>4179</v>
      </c>
      <c r="I32" s="99">
        <f>H32*(1.3)</f>
        <v>5432.7</v>
      </c>
      <c r="J32" s="3">
        <f>I32*1.35</f>
        <v>7334.1450000000004</v>
      </c>
      <c r="K32" s="3">
        <f>J32*1.4</f>
        <v>10267.803</v>
      </c>
      <c r="L32" s="3">
        <f>K32*1.45</f>
        <v>14888.314349999999</v>
      </c>
      <c r="M32" s="3">
        <f>L32*1.35</f>
        <v>20099.224372500001</v>
      </c>
      <c r="N32" s="3">
        <f>M32*1.3</f>
        <v>26128.991684250002</v>
      </c>
      <c r="AL32" s="73"/>
      <c r="AM32" s="65"/>
      <c r="AN32" s="76"/>
    </row>
    <row r="33" spans="1:40" ht="14.4" customHeight="1" x14ac:dyDescent="0.3">
      <c r="A33" s="56"/>
      <c r="B33" s="1" t="s">
        <v>33</v>
      </c>
      <c r="C33" s="65"/>
      <c r="D33" s="65"/>
      <c r="E33" s="65"/>
      <c r="F33" s="30"/>
      <c r="G33" s="30">
        <f t="shared" ref="G33" si="17">(G32-F32)/F32</f>
        <v>1.6321292775665399</v>
      </c>
      <c r="H33" s="30">
        <f>(H32-G32)/G32</f>
        <v>0.50920910075839654</v>
      </c>
      <c r="I33" s="30">
        <f>(I32-H32)/H32</f>
        <v>0.29999999999999993</v>
      </c>
      <c r="J33" s="30">
        <f t="shared" ref="J33:N33" si="18">(J32-I32)/I32</f>
        <v>0.35000000000000014</v>
      </c>
      <c r="K33" s="30">
        <f t="shared" si="18"/>
        <v>0.39999999999999991</v>
      </c>
      <c r="L33" s="30">
        <f t="shared" si="18"/>
        <v>0.4499999999999999</v>
      </c>
      <c r="M33" s="30">
        <f t="shared" si="18"/>
        <v>0.35000000000000014</v>
      </c>
      <c r="N33" s="30">
        <f t="shared" si="18"/>
        <v>0.3000000000000001</v>
      </c>
      <c r="AL33" s="73"/>
      <c r="AM33" s="65"/>
      <c r="AN33" s="76"/>
    </row>
    <row r="34" spans="1:40" ht="14.4" customHeight="1" x14ac:dyDescent="0.3">
      <c r="A34" s="56"/>
      <c r="B34" s="18"/>
      <c r="C34" s="65"/>
      <c r="D34" s="65"/>
      <c r="E34" s="65"/>
      <c r="F34" s="30"/>
      <c r="G34" s="30"/>
      <c r="H34" s="30"/>
      <c r="I34" s="77"/>
      <c r="J34" s="30"/>
      <c r="K34" s="30"/>
      <c r="L34" s="30"/>
      <c r="M34" s="30"/>
      <c r="N34" s="30"/>
      <c r="AL34" s="73"/>
      <c r="AM34" s="65"/>
      <c r="AN34" s="76"/>
    </row>
    <row r="35" spans="1:40" ht="14.4" customHeight="1" x14ac:dyDescent="0.3">
      <c r="A35" s="56"/>
      <c r="B35" s="66" t="s">
        <v>109</v>
      </c>
      <c r="C35" s="63"/>
      <c r="D35" s="63"/>
      <c r="E35" s="66"/>
      <c r="F35" s="67">
        <f t="shared" ref="F35:H35" si="19">F38+F41</f>
        <v>2961</v>
      </c>
      <c r="G35" s="67">
        <f t="shared" si="19"/>
        <v>2620</v>
      </c>
      <c r="H35" s="67">
        <f>H38+H41</f>
        <v>3201</v>
      </c>
      <c r="I35" s="67">
        <f>I38+I41</f>
        <v>11197.377460019712</v>
      </c>
      <c r="J35" s="67">
        <f t="shared" ref="J35:N35" si="20">J38+J41</f>
        <v>23358.134537246049</v>
      </c>
      <c r="K35" s="67">
        <f t="shared" si="20"/>
        <v>40965.265300225736</v>
      </c>
      <c r="L35" s="67">
        <f t="shared" si="20"/>
        <v>64734.891830248322</v>
      </c>
      <c r="M35" s="67">
        <f t="shared" si="20"/>
        <v>91341.237294446968</v>
      </c>
      <c r="N35" s="67">
        <f t="shared" si="20"/>
        <v>115298.55887111514</v>
      </c>
      <c r="AL35" s="73"/>
      <c r="AM35" s="65"/>
      <c r="AN35" s="76"/>
    </row>
    <row r="36" spans="1:40" ht="14.4" customHeight="1" x14ac:dyDescent="0.3">
      <c r="A36" s="56"/>
      <c r="B36" s="18" t="s">
        <v>33</v>
      </c>
      <c r="C36" s="65"/>
      <c r="D36" s="65"/>
      <c r="E36" s="65"/>
      <c r="F36" s="30"/>
      <c r="G36" s="30">
        <f t="shared" ref="G36" si="21">(G35-F35)/F35</f>
        <v>-0.11516379601485985</v>
      </c>
      <c r="H36" s="30">
        <f>(H35-G35)/G35</f>
        <v>0.22175572519083969</v>
      </c>
      <c r="I36" s="30">
        <f>(I35-H35)/H35</f>
        <v>2.4980873039736684</v>
      </c>
      <c r="J36" s="30">
        <f t="shared" ref="J36:N36" si="22">(J35-I35)/I35</f>
        <v>1.0860361830836172</v>
      </c>
      <c r="K36" s="30">
        <f t="shared" si="22"/>
        <v>0.75379010831982252</v>
      </c>
      <c r="L36" s="30">
        <f t="shared" si="22"/>
        <v>0.5802385595655255</v>
      </c>
      <c r="M36" s="30">
        <f t="shared" si="22"/>
        <v>0.41100471031862362</v>
      </c>
      <c r="N36" s="30">
        <f t="shared" si="22"/>
        <v>0.26228374265874588</v>
      </c>
      <c r="AL36" s="73"/>
      <c r="AM36" s="65"/>
      <c r="AN36" s="76"/>
    </row>
    <row r="37" spans="1:40" ht="14.4" customHeight="1" x14ac:dyDescent="0.3">
      <c r="A37" s="56"/>
      <c r="B37" s="18"/>
      <c r="C37" s="65"/>
      <c r="D37" s="65"/>
      <c r="E37" s="65"/>
      <c r="F37" s="30"/>
      <c r="G37" s="30"/>
      <c r="H37" s="30"/>
      <c r="I37" s="30"/>
      <c r="J37" s="30"/>
      <c r="K37" s="30"/>
      <c r="L37" s="30"/>
      <c r="M37" s="30"/>
      <c r="N37" s="30"/>
      <c r="AL37" s="73"/>
      <c r="AM37" s="65"/>
      <c r="AN37" s="76"/>
    </row>
    <row r="38" spans="1:40" ht="14.4" customHeight="1" x14ac:dyDescent="0.3">
      <c r="A38" s="56"/>
      <c r="B38" s="1" t="s">
        <v>106</v>
      </c>
      <c r="C38" s="65"/>
      <c r="D38" s="65"/>
      <c r="E38" s="65"/>
      <c r="F38" s="22">
        <v>2323</v>
      </c>
      <c r="G38" s="22">
        <v>1728</v>
      </c>
      <c r="H38" s="22">
        <v>1844</v>
      </c>
      <c r="I38" s="99">
        <f>H38*((1+(343-443)/443))</f>
        <v>1427.7471783295712</v>
      </c>
      <c r="J38" s="3">
        <f>I38*1.05</f>
        <v>1499.1345372460498</v>
      </c>
      <c r="K38" s="3">
        <f>J38*1.08</f>
        <v>1619.0653002257338</v>
      </c>
      <c r="L38" s="3">
        <f>K38*1.1</f>
        <v>1780.9718302483075</v>
      </c>
      <c r="M38" s="3">
        <f>L38*1.8</f>
        <v>3205.7492944469536</v>
      </c>
      <c r="N38" s="3">
        <f>M38*1.6</f>
        <v>5129.1988711151262</v>
      </c>
      <c r="AL38" s="73"/>
      <c r="AM38" s="65"/>
      <c r="AN38" s="76"/>
    </row>
    <row r="39" spans="1:40" ht="14.4" customHeight="1" x14ac:dyDescent="0.3">
      <c r="A39" s="56"/>
      <c r="B39" s="18" t="s">
        <v>33</v>
      </c>
      <c r="C39" s="65"/>
      <c r="D39" s="65"/>
      <c r="E39" s="65"/>
      <c r="F39" s="30"/>
      <c r="G39" s="30">
        <f t="shared" ref="G39" si="23">(G38-F38)/F38</f>
        <v>-0.25613430908308221</v>
      </c>
      <c r="H39" s="30">
        <f>(H38-G38)/G38</f>
        <v>6.7129629629629636E-2</v>
      </c>
      <c r="I39" s="30">
        <f>(I38-H38)/H38</f>
        <v>-0.22573363431151239</v>
      </c>
      <c r="J39" s="30">
        <f t="shared" ref="J39:N39" si="24">(J38-I38)/I38</f>
        <v>5.0000000000000072E-2</v>
      </c>
      <c r="K39" s="30">
        <f t="shared" si="24"/>
        <v>8.0000000000000016E-2</v>
      </c>
      <c r="L39" s="30">
        <f t="shared" si="24"/>
        <v>0.10000000000000016</v>
      </c>
      <c r="M39" s="30">
        <f t="shared" si="24"/>
        <v>0.80000000000000016</v>
      </c>
      <c r="N39" s="30">
        <f t="shared" si="24"/>
        <v>0.60000000000000009</v>
      </c>
      <c r="AL39" s="73"/>
      <c r="AM39" s="65"/>
      <c r="AN39" s="76"/>
    </row>
    <row r="40" spans="1:40" ht="14.4" customHeight="1" x14ac:dyDescent="0.3">
      <c r="A40" s="56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AL40" s="73"/>
      <c r="AM40" s="65"/>
      <c r="AN40" s="76"/>
    </row>
    <row r="41" spans="1:40" ht="14.4" customHeight="1" x14ac:dyDescent="0.3">
      <c r="A41" s="56"/>
      <c r="B41" s="1" t="s">
        <v>110</v>
      </c>
      <c r="C41" s="65"/>
      <c r="D41" s="65"/>
      <c r="E41" s="65"/>
      <c r="F41" s="22">
        <v>638</v>
      </c>
      <c r="G41" s="22">
        <v>892</v>
      </c>
      <c r="H41" s="22">
        <v>1357</v>
      </c>
      <c r="I41" s="3">
        <f>H41*(1+(475-284)/284)+(1250*6)</f>
        <v>9769.6302816901407</v>
      </c>
      <c r="J41" s="3">
        <f>(2270*1.7)+(1500*12)</f>
        <v>21859</v>
      </c>
      <c r="K41" s="3">
        <f>J41*1.8</f>
        <v>39346.200000000004</v>
      </c>
      <c r="L41" s="3">
        <f>K41*1.6</f>
        <v>62953.920000000013</v>
      </c>
      <c r="M41" s="3">
        <f>L41*1.4</f>
        <v>88135.488000000012</v>
      </c>
      <c r="N41" s="3">
        <f>M41*1.25</f>
        <v>110169.36000000002</v>
      </c>
      <c r="AL41" s="73"/>
      <c r="AM41" s="65"/>
      <c r="AN41" s="76"/>
    </row>
    <row r="42" spans="1:40" ht="14.4" customHeight="1" x14ac:dyDescent="0.3">
      <c r="A42" s="56"/>
      <c r="B42" s="1" t="s">
        <v>33</v>
      </c>
      <c r="C42" s="65"/>
      <c r="D42" s="65"/>
      <c r="E42" s="65"/>
      <c r="F42" s="30"/>
      <c r="G42" s="30">
        <f t="shared" ref="G42" si="25">(G41-F41)/F41</f>
        <v>0.39811912225705332</v>
      </c>
      <c r="H42" s="30">
        <f>(H41-G41)/G41</f>
        <v>0.52130044843049328</v>
      </c>
      <c r="I42" s="30">
        <f t="shared" ref="I42:J42" si="26">(I41-H41)/H41</f>
        <v>6.1994327794326756</v>
      </c>
      <c r="J42" s="30">
        <f t="shared" si="26"/>
        <v>1.2374439328545814</v>
      </c>
      <c r="K42" s="30">
        <f t="shared" ref="K42" si="27">(K41-J41)/J41</f>
        <v>0.80000000000000016</v>
      </c>
      <c r="L42" s="30">
        <f t="shared" ref="L42" si="28">(L41-K41)/K41</f>
        <v>0.6000000000000002</v>
      </c>
      <c r="M42" s="30">
        <f t="shared" ref="M42" si="29">(M41-L41)/L41</f>
        <v>0.39999999999999991</v>
      </c>
      <c r="N42" s="30">
        <f t="shared" ref="N42" si="30">(N41-M41)/M41</f>
        <v>0.25</v>
      </c>
      <c r="AL42" s="73"/>
      <c r="AM42" s="65"/>
      <c r="AN42" s="76"/>
    </row>
    <row r="43" spans="1:40" ht="14.4" customHeight="1" x14ac:dyDescent="0.3"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</row>
    <row r="44" spans="1:40" ht="14.4" customHeight="1" x14ac:dyDescent="0.3">
      <c r="A44" s="11" t="s">
        <v>26</v>
      </c>
      <c r="B44" s="89" t="s">
        <v>92</v>
      </c>
      <c r="C44" s="89"/>
      <c r="D44" s="89"/>
      <c r="E44" s="89"/>
      <c r="F44" s="89">
        <v>2023</v>
      </c>
      <c r="G44" s="89">
        <v>2024</v>
      </c>
      <c r="H44" s="89">
        <v>2025</v>
      </c>
      <c r="I44" s="90" t="s">
        <v>20</v>
      </c>
      <c r="J44" s="90" t="s">
        <v>21</v>
      </c>
      <c r="K44" s="90" t="s">
        <v>22</v>
      </c>
      <c r="L44" s="90" t="s">
        <v>23</v>
      </c>
      <c r="M44" s="90" t="s">
        <v>24</v>
      </c>
      <c r="N44" s="90" t="s">
        <v>25</v>
      </c>
    </row>
    <row r="45" spans="1:40" s="5" customFormat="1" ht="1.95" customHeight="1" x14ac:dyDescent="0.3">
      <c r="A45" s="56"/>
      <c r="B45" s="6"/>
      <c r="C45" s="6"/>
      <c r="D45" s="6"/>
      <c r="E45" s="6"/>
      <c r="F45" s="6"/>
      <c r="G45" s="6"/>
      <c r="H45" s="7"/>
      <c r="I45" s="7"/>
      <c r="J45" s="7"/>
      <c r="K45" s="7"/>
      <c r="L45" s="7"/>
    </row>
    <row r="46" spans="1:40" ht="14.4" customHeight="1" x14ac:dyDescent="0.3">
      <c r="B46" s="78" t="s">
        <v>93</v>
      </c>
      <c r="C46" s="78"/>
      <c r="D46" s="78"/>
      <c r="E46" s="78"/>
      <c r="F46" s="79">
        <f>SUM(F49,F52,F55)</f>
        <v>-3505</v>
      </c>
      <c r="G46" s="79">
        <f>SUM(G49,G52,G55)</f>
        <v>466</v>
      </c>
      <c r="H46" s="79">
        <f>SUM(H49,H52,H55)</f>
        <v>-2589</v>
      </c>
      <c r="I46" s="79">
        <f>SUM(I49,I52,I55)</f>
        <v>-10469</v>
      </c>
      <c r="J46" s="79"/>
      <c r="K46" s="79"/>
      <c r="L46" s="79"/>
      <c r="M46" s="79"/>
      <c r="N46" s="79"/>
    </row>
    <row r="47" spans="1:40" ht="14.4" customHeight="1" x14ac:dyDescent="0.3">
      <c r="B47" s="18" t="s">
        <v>41</v>
      </c>
      <c r="C47" s="65"/>
      <c r="D47" s="65"/>
      <c r="E47" s="65"/>
      <c r="F47" s="30">
        <f>F46/F$14</f>
        <v>-0.33744103205930492</v>
      </c>
      <c r="G47" s="30">
        <f t="shared" ref="G47:I47" si="31">G46/G$14</f>
        <v>3.325008919015341E-2</v>
      </c>
      <c r="H47" s="30">
        <f t="shared" si="31"/>
        <v>-0.13864196208632323</v>
      </c>
      <c r="I47" s="30">
        <f t="shared" si="31"/>
        <v>-0.33635247716703859</v>
      </c>
      <c r="J47" s="30"/>
      <c r="K47" s="30"/>
      <c r="L47" s="30"/>
      <c r="M47" s="30"/>
      <c r="N47" s="30"/>
    </row>
    <row r="48" spans="1:40" ht="14.4" customHeight="1" x14ac:dyDescent="0.3">
      <c r="B48" s="18"/>
      <c r="C48" s="65"/>
      <c r="D48" s="65"/>
      <c r="E48" s="65"/>
      <c r="F48" s="30"/>
      <c r="G48" s="30"/>
      <c r="H48" s="30"/>
      <c r="I48" s="30"/>
      <c r="J48" s="30"/>
      <c r="K48" s="30"/>
      <c r="L48" s="30"/>
      <c r="M48" s="30"/>
      <c r="N48" s="30"/>
    </row>
    <row r="49" spans="1:17" s="5" customFormat="1" ht="14.4" customHeight="1" x14ac:dyDescent="0.3">
      <c r="A49" s="56"/>
      <c r="B49" s="5" t="s">
        <v>102</v>
      </c>
      <c r="C49" s="102"/>
      <c r="F49" s="103">
        <v>-1</v>
      </c>
      <c r="G49" s="103">
        <v>21</v>
      </c>
      <c r="H49" s="103">
        <v>-657</v>
      </c>
      <c r="I49" s="103">
        <f>H49+4*(-662-(-70))</f>
        <v>-3025</v>
      </c>
      <c r="J49" s="104"/>
      <c r="K49" s="104"/>
      <c r="L49" s="104"/>
      <c r="M49" s="104"/>
      <c r="N49" s="104"/>
      <c r="O49" s="104"/>
      <c r="P49" s="104"/>
      <c r="Q49" s="104"/>
    </row>
    <row r="50" spans="1:17" ht="14.4" customHeight="1" x14ac:dyDescent="0.3">
      <c r="B50" s="18" t="s">
        <v>41</v>
      </c>
      <c r="C50" s="65"/>
      <c r="D50" s="65"/>
      <c r="E50" s="65"/>
      <c r="F50" s="30">
        <f>F49/F$14</f>
        <v>-9.6274188889958599E-5</v>
      </c>
      <c r="G50" s="30">
        <f t="shared" ref="G50" si="32">G49/G$14</f>
        <v>1.4983945772386728E-3</v>
      </c>
      <c r="H50" s="30">
        <f t="shared" ref="H50" si="33">H49/H$14</f>
        <v>-3.5182606833029879E-2</v>
      </c>
      <c r="I50" s="30">
        <f t="shared" ref="I50" si="34">I49/I$14</f>
        <v>-9.7188484423564023E-2</v>
      </c>
      <c r="J50" s="30"/>
      <c r="K50" s="30"/>
      <c r="L50" s="30"/>
      <c r="M50" s="30"/>
      <c r="N50" s="30"/>
      <c r="O50" s="30"/>
      <c r="P50" s="30"/>
      <c r="Q50" s="30"/>
    </row>
    <row r="51" spans="1:17" ht="14.4" customHeight="1" x14ac:dyDescent="0.3"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</row>
    <row r="52" spans="1:17" s="5" customFormat="1" ht="14.4" customHeight="1" x14ac:dyDescent="0.3">
      <c r="A52" s="56"/>
      <c r="B52" s="5" t="s">
        <v>105</v>
      </c>
      <c r="C52" s="102"/>
      <c r="F52" s="103">
        <v>469</v>
      </c>
      <c r="G52" s="103">
        <v>2006</v>
      </c>
      <c r="H52" s="103">
        <v>4423</v>
      </c>
      <c r="I52" s="103">
        <f>H52+4*(1188-1033)</f>
        <v>5043</v>
      </c>
      <c r="J52" s="104"/>
      <c r="K52" s="104"/>
      <c r="L52" s="104"/>
      <c r="M52" s="104"/>
      <c r="N52" s="104"/>
      <c r="O52" s="104"/>
      <c r="P52" s="104"/>
      <c r="Q52" s="104"/>
    </row>
    <row r="53" spans="1:17" ht="14.4" customHeight="1" x14ac:dyDescent="0.3">
      <c r="B53" s="18" t="s">
        <v>41</v>
      </c>
      <c r="C53" s="65"/>
      <c r="D53" s="65"/>
      <c r="E53" s="65"/>
      <c r="F53" s="30">
        <f>F52/F$14</f>
        <v>4.5152594589390582E-2</v>
      </c>
      <c r="G53" s="30">
        <f t="shared" ref="G53" si="35">G52/G$14</f>
        <v>0.14313235818765607</v>
      </c>
      <c r="H53" s="30">
        <f t="shared" ref="H53" si="36">H52/H$14</f>
        <v>0.23685337902966691</v>
      </c>
      <c r="I53" s="30">
        <f t="shared" ref="I53" si="37">I52/I$14</f>
        <v>0.16202364527207713</v>
      </c>
      <c r="J53" s="30"/>
      <c r="K53" s="30"/>
      <c r="L53" s="30"/>
      <c r="M53" s="30"/>
      <c r="N53" s="30"/>
    </row>
    <row r="54" spans="1:17" ht="14.4" customHeight="1" x14ac:dyDescent="0.3">
      <c r="B54" s="18"/>
      <c r="C54" s="65"/>
      <c r="D54" s="65"/>
      <c r="E54" s="65"/>
      <c r="F54" s="30"/>
      <c r="G54" s="30"/>
      <c r="H54" s="30"/>
      <c r="I54" s="77"/>
      <c r="J54" s="30"/>
      <c r="K54" s="30"/>
      <c r="L54" s="30"/>
      <c r="M54" s="30"/>
      <c r="N54" s="30"/>
      <c r="O54" s="65"/>
      <c r="P54" s="65"/>
      <c r="Q54" s="65"/>
    </row>
    <row r="55" spans="1:17" s="5" customFormat="1" ht="14.4" customHeight="1" x14ac:dyDescent="0.3">
      <c r="A55" s="56"/>
      <c r="B55" s="5" t="s">
        <v>109</v>
      </c>
      <c r="C55" s="102"/>
      <c r="F55" s="103">
        <v>-3973</v>
      </c>
      <c r="G55" s="103">
        <v>-1561</v>
      </c>
      <c r="H55" s="103">
        <v>-6355</v>
      </c>
      <c r="I55" s="103">
        <f>H55+4*(-2469-(-936))</f>
        <v>-12487</v>
      </c>
      <c r="J55" s="104"/>
      <c r="K55" s="104"/>
      <c r="L55" s="104"/>
      <c r="M55" s="104"/>
      <c r="N55" s="104"/>
      <c r="O55" s="104"/>
      <c r="P55" s="104"/>
      <c r="Q55" s="104"/>
    </row>
    <row r="56" spans="1:17" ht="14.4" customHeight="1" x14ac:dyDescent="0.3">
      <c r="B56" s="18" t="s">
        <v>41</v>
      </c>
      <c r="C56" s="65"/>
      <c r="D56" s="65"/>
      <c r="E56" s="65"/>
      <c r="F56" s="30">
        <f>F55/F$14</f>
        <v>-0.38249735245980554</v>
      </c>
      <c r="G56" s="30">
        <f t="shared" ref="G56" si="38">G55/G$14</f>
        <v>-0.11138066357474134</v>
      </c>
      <c r="H56" s="30">
        <f t="shared" ref="H56" si="39">H55/H$14</f>
        <v>-0.34031273428296027</v>
      </c>
      <c r="I56" s="30">
        <f t="shared" ref="I56" si="40">I55/I$14</f>
        <v>-0.40118763801555174</v>
      </c>
      <c r="J56" s="30"/>
      <c r="K56" s="30"/>
      <c r="L56" s="30"/>
      <c r="M56" s="30"/>
      <c r="N56" s="30"/>
    </row>
    <row r="57" spans="1:17" ht="14.4" customHeight="1" x14ac:dyDescent="0.3">
      <c r="B57" s="18"/>
      <c r="C57" s="65"/>
      <c r="D57" s="65"/>
      <c r="E57" s="65"/>
      <c r="F57" s="30"/>
      <c r="G57" s="30"/>
      <c r="H57" s="30"/>
      <c r="I57" s="30"/>
      <c r="J57" s="30"/>
      <c r="K57" s="30"/>
      <c r="L57" s="30"/>
      <c r="M57" s="30"/>
      <c r="N57" s="30"/>
    </row>
    <row r="58" spans="1:17" ht="14.4" customHeight="1" x14ac:dyDescent="0.3">
      <c r="B58" s="78" t="s">
        <v>65</v>
      </c>
      <c r="C58" s="78"/>
      <c r="D58" s="78"/>
      <c r="E58" s="78"/>
      <c r="F58" s="79">
        <f>SUM(F61,F64,F67)</f>
        <v>2599</v>
      </c>
      <c r="G58" s="79">
        <f>SUM(G61,G64,G67)</f>
        <v>5350</v>
      </c>
      <c r="H58" s="79">
        <f>SUM(H61,H64,H67)</f>
        <v>6584</v>
      </c>
      <c r="I58" s="79">
        <f>SUM(I61,I64,I67)</f>
        <v>4172</v>
      </c>
      <c r="J58" s="79"/>
      <c r="K58" s="79"/>
      <c r="L58" s="79"/>
      <c r="M58" s="79"/>
      <c r="N58" s="79"/>
    </row>
    <row r="59" spans="1:17" ht="14.4" customHeight="1" x14ac:dyDescent="0.3">
      <c r="B59" s="18" t="s">
        <v>41</v>
      </c>
      <c r="C59" s="65"/>
      <c r="D59" s="65"/>
      <c r="E59" s="65"/>
      <c r="F59" s="30">
        <f>F58/F$14</f>
        <v>0.25021661692500241</v>
      </c>
      <c r="G59" s="30">
        <f>G58/G$14</f>
        <v>0.3817338565822333</v>
      </c>
      <c r="H59" s="30">
        <f>H58/H$14</f>
        <v>0.35257577380314875</v>
      </c>
      <c r="I59" s="30">
        <f>I58/I$14</f>
        <v>0.13403978744301126</v>
      </c>
      <c r="J59" s="30"/>
      <c r="K59" s="30"/>
      <c r="L59" s="30"/>
      <c r="M59" s="30"/>
      <c r="N59" s="30"/>
      <c r="O59" s="46"/>
      <c r="P59" s="46"/>
      <c r="Q59" s="46"/>
    </row>
    <row r="60" spans="1:17" ht="14.4" customHeight="1" x14ac:dyDescent="0.3">
      <c r="B60" s="18"/>
      <c r="C60" s="65"/>
      <c r="D60" s="65"/>
      <c r="E60" s="65"/>
      <c r="F60" s="30"/>
      <c r="G60" s="30"/>
      <c r="H60" s="30"/>
      <c r="I60" s="30"/>
      <c r="J60" s="30"/>
      <c r="K60" s="30"/>
      <c r="L60" s="30"/>
      <c r="M60" s="30"/>
      <c r="N60" s="30"/>
      <c r="O60" s="46"/>
      <c r="P60" s="46"/>
      <c r="Q60" s="46"/>
    </row>
    <row r="61" spans="1:17" ht="14.4" customHeight="1" x14ac:dyDescent="0.3">
      <c r="B61" s="5" t="s">
        <v>102</v>
      </c>
      <c r="C61" s="102"/>
      <c r="D61" s="5"/>
      <c r="E61" s="5"/>
      <c r="F61" s="103">
        <v>997</v>
      </c>
      <c r="G61" s="103">
        <v>1154</v>
      </c>
      <c r="H61" s="103">
        <v>653</v>
      </c>
      <c r="I61" s="103">
        <f>H61+4*(-351-224)</f>
        <v>-1647</v>
      </c>
      <c r="J61" s="30"/>
      <c r="K61" s="30"/>
      <c r="L61" s="30"/>
      <c r="M61" s="30"/>
      <c r="N61" s="30"/>
      <c r="O61" s="46"/>
      <c r="P61" s="46"/>
      <c r="Q61" s="46"/>
    </row>
    <row r="62" spans="1:17" ht="14.4" customHeight="1" x14ac:dyDescent="0.3">
      <c r="B62" s="18" t="s">
        <v>41</v>
      </c>
      <c r="C62" s="65"/>
      <c r="D62" s="65"/>
      <c r="E62" s="65"/>
      <c r="F62" s="30">
        <f>F61/F$14</f>
        <v>9.5985366323288732E-2</v>
      </c>
      <c r="G62" s="30">
        <f>G61/G$14</f>
        <v>8.2340349625401349E-2</v>
      </c>
      <c r="H62" s="30">
        <f>H61/H$14</f>
        <v>3.4968405269358467E-2</v>
      </c>
      <c r="I62" s="30">
        <f>I61/I$14</f>
        <v>-5.2915515320862791E-2</v>
      </c>
      <c r="J62" s="30"/>
      <c r="K62" s="30"/>
      <c r="L62" s="30"/>
      <c r="M62" s="30"/>
      <c r="N62" s="30"/>
      <c r="O62" s="46"/>
      <c r="P62" s="46"/>
      <c r="Q62" s="46"/>
    </row>
    <row r="63" spans="1:17" ht="14.4" customHeight="1" x14ac:dyDescent="0.3">
      <c r="B63" s="65"/>
      <c r="C63" s="65"/>
      <c r="D63" s="65"/>
      <c r="E63" s="65"/>
      <c r="F63" s="65"/>
      <c r="G63" s="65"/>
      <c r="H63" s="65"/>
      <c r="I63" s="65"/>
      <c r="J63" s="30"/>
      <c r="K63" s="30"/>
      <c r="L63" s="30"/>
      <c r="M63" s="30"/>
      <c r="N63" s="30"/>
      <c r="O63" s="46"/>
      <c r="P63" s="46"/>
      <c r="Q63" s="46"/>
    </row>
    <row r="64" spans="1:17" ht="14.4" customHeight="1" x14ac:dyDescent="0.3">
      <c r="B64" s="5" t="s">
        <v>105</v>
      </c>
      <c r="C64" s="102"/>
      <c r="D64" s="5"/>
      <c r="E64" s="5"/>
      <c r="F64" s="103">
        <v>1602</v>
      </c>
      <c r="G64" s="103">
        <v>3849</v>
      </c>
      <c r="H64" s="103">
        <v>7168</v>
      </c>
      <c r="I64" s="103">
        <f>H64+4*(2087-1618)</f>
        <v>9044</v>
      </c>
      <c r="J64" s="30"/>
      <c r="K64" s="30"/>
      <c r="L64" s="30"/>
      <c r="M64" s="30"/>
      <c r="N64" s="30"/>
      <c r="O64" s="46"/>
      <c r="P64" s="46"/>
      <c r="Q64" s="46"/>
    </row>
    <row r="65" spans="1:17" ht="14.4" customHeight="1" x14ac:dyDescent="0.3">
      <c r="B65" s="18" t="s">
        <v>41</v>
      </c>
      <c r="C65" s="65"/>
      <c r="D65" s="65"/>
      <c r="E65" s="65"/>
      <c r="F65" s="30">
        <f>F64/F$14</f>
        <v>0.15423125060171369</v>
      </c>
      <c r="G65" s="30">
        <f>G64/G$14</f>
        <v>0.27463432037103103</v>
      </c>
      <c r="H65" s="30">
        <f>H64/H$14</f>
        <v>0.38384920209917534</v>
      </c>
      <c r="I65" s="30">
        <f>I64/I$14</f>
        <v>0.29056947210800432</v>
      </c>
      <c r="J65" s="30"/>
      <c r="K65" s="30"/>
      <c r="L65" s="30"/>
      <c r="M65" s="30"/>
      <c r="N65" s="30"/>
      <c r="O65" s="30"/>
      <c r="P65" s="46"/>
      <c r="Q65" s="46"/>
    </row>
    <row r="66" spans="1:17" ht="14.4" customHeight="1" x14ac:dyDescent="0.3">
      <c r="B66" s="18"/>
      <c r="C66" s="65"/>
      <c r="D66" s="65"/>
      <c r="E66" s="65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46"/>
      <c r="Q66" s="46"/>
    </row>
    <row r="67" spans="1:17" ht="14.4" customHeight="1" x14ac:dyDescent="0.3">
      <c r="B67" s="5" t="s">
        <v>109</v>
      </c>
      <c r="C67" s="65"/>
      <c r="D67" s="65"/>
      <c r="E67" s="65"/>
      <c r="F67" s="105"/>
      <c r="G67" s="105">
        <v>347</v>
      </c>
      <c r="H67" s="105">
        <v>-1237</v>
      </c>
      <c r="I67" s="105">
        <f>H67+4*(-609-(-112))</f>
        <v>-3225</v>
      </c>
      <c r="J67" s="30"/>
      <c r="K67" s="30"/>
      <c r="L67" s="30"/>
      <c r="M67" s="30"/>
      <c r="N67" s="30"/>
      <c r="O67" s="30"/>
      <c r="P67" s="30"/>
      <c r="Q67" s="30"/>
    </row>
    <row r="68" spans="1:17" ht="14.4" customHeight="1" x14ac:dyDescent="0.3">
      <c r="A68" s="1"/>
      <c r="B68" s="18" t="s">
        <v>41</v>
      </c>
      <c r="C68" s="65"/>
      <c r="D68" s="65"/>
      <c r="E68" s="65"/>
      <c r="F68" s="30"/>
      <c r="G68" s="30">
        <f>G67/G$14</f>
        <v>2.4759186585800928E-2</v>
      </c>
      <c r="H68" s="30">
        <f>H67/H$14</f>
        <v>-6.624183356538503E-2</v>
      </c>
      <c r="I68" s="30">
        <f>I67/I$14</f>
        <v>-0.10361416934413024</v>
      </c>
      <c r="J68" s="30"/>
      <c r="K68" s="30"/>
      <c r="L68" s="30"/>
      <c r="M68" s="30"/>
      <c r="N68" s="30"/>
      <c r="O68" s="30"/>
      <c r="P68" s="80"/>
      <c r="Q68" s="46"/>
    </row>
    <row r="69" spans="1:17" ht="14.4" customHeight="1" x14ac:dyDescent="0.3">
      <c r="A69" s="1"/>
      <c r="B69" s="18"/>
      <c r="C69" s="65"/>
      <c r="D69" s="65"/>
      <c r="E69" s="65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80"/>
      <c r="Q69" s="46"/>
    </row>
    <row r="70" spans="1:17" ht="14.4" customHeight="1" x14ac:dyDescent="0.3">
      <c r="A70" s="11" t="s">
        <v>26</v>
      </c>
      <c r="B70" s="89" t="s">
        <v>117</v>
      </c>
      <c r="C70" s="89"/>
      <c r="D70" s="89"/>
      <c r="E70" s="89"/>
      <c r="F70" s="89">
        <v>2023</v>
      </c>
      <c r="G70" s="89">
        <v>2024</v>
      </c>
      <c r="H70" s="89">
        <v>2025</v>
      </c>
      <c r="I70" s="90" t="s">
        <v>20</v>
      </c>
      <c r="J70" s="90" t="s">
        <v>21</v>
      </c>
      <c r="K70" s="90" t="s">
        <v>22</v>
      </c>
      <c r="L70" s="90" t="s">
        <v>23</v>
      </c>
      <c r="M70" s="90" t="s">
        <v>24</v>
      </c>
      <c r="N70" s="90" t="s">
        <v>25</v>
      </c>
      <c r="O70" s="80"/>
      <c r="P70" s="80"/>
      <c r="Q70" s="46"/>
    </row>
    <row r="71" spans="1:17" s="5" customFormat="1" ht="1.95" customHeight="1" x14ac:dyDescent="0.3">
      <c r="A71" s="56"/>
      <c r="B71" s="6"/>
      <c r="C71" s="6"/>
      <c r="D71" s="6"/>
      <c r="E71" s="6"/>
      <c r="F71" s="6"/>
      <c r="G71" s="6"/>
      <c r="H71" s="7"/>
      <c r="I71" s="7"/>
      <c r="J71" s="7"/>
      <c r="K71" s="7"/>
      <c r="L71" s="7"/>
    </row>
    <row r="72" spans="1:17" ht="14.4" customHeight="1" x14ac:dyDescent="0.3">
      <c r="A72" s="1"/>
      <c r="B72" s="78" t="s">
        <v>116</v>
      </c>
      <c r="C72" s="78"/>
      <c r="D72" s="78"/>
      <c r="E72" s="78"/>
      <c r="F72" s="79">
        <f>SUM(F75,F78,F81)</f>
        <v>4415</v>
      </c>
      <c r="G72" s="79">
        <f>SUM(G75,G78,G81)</f>
        <v>11163</v>
      </c>
      <c r="H72" s="79">
        <f>SUM(H75,H78,H81)</f>
        <v>20737</v>
      </c>
      <c r="I72" s="79">
        <f>SUM(I75,I78,I81)</f>
        <v>44605</v>
      </c>
      <c r="J72" s="79"/>
      <c r="K72" s="79"/>
      <c r="L72" s="79"/>
      <c r="M72" s="79"/>
      <c r="N72" s="79"/>
    </row>
    <row r="73" spans="1:17" ht="14.4" customHeight="1" x14ac:dyDescent="0.3">
      <c r="A73" s="1"/>
      <c r="B73" s="18" t="s">
        <v>41</v>
      </c>
      <c r="C73" s="65"/>
      <c r="D73" s="65"/>
      <c r="E73" s="65"/>
      <c r="F73" s="30">
        <f>F72/F$14</f>
        <v>0.42505054394916725</v>
      </c>
      <c r="G73" s="30">
        <f>G72/G$14</f>
        <v>0.79650374598644313</v>
      </c>
      <c r="H73" s="30">
        <f>H72/H$14</f>
        <v>1.1104744564635323</v>
      </c>
      <c r="I73" s="30">
        <f>I72/I$14</f>
        <v>1.4330883794092804</v>
      </c>
      <c r="J73" s="30"/>
      <c r="K73" s="30"/>
      <c r="L73" s="30"/>
      <c r="M73" s="30"/>
      <c r="N73" s="30"/>
    </row>
    <row r="74" spans="1:17" ht="14.4" customHeight="1" x14ac:dyDescent="0.3">
      <c r="A74" s="1"/>
      <c r="B74" s="18"/>
      <c r="C74" s="65"/>
      <c r="D74" s="65"/>
      <c r="E74" s="65"/>
      <c r="F74" s="30"/>
      <c r="G74" s="30"/>
      <c r="H74" s="30"/>
      <c r="I74" s="30"/>
      <c r="J74" s="30"/>
      <c r="K74" s="30"/>
      <c r="L74" s="30"/>
      <c r="M74" s="30"/>
      <c r="N74" s="30"/>
    </row>
    <row r="75" spans="1:17" ht="14.4" customHeight="1" x14ac:dyDescent="0.3">
      <c r="A75" s="1"/>
      <c r="B75" s="5" t="s">
        <v>118</v>
      </c>
      <c r="C75" s="102"/>
      <c r="D75" s="5"/>
      <c r="E75" s="5"/>
      <c r="F75" s="103">
        <v>1497</v>
      </c>
      <c r="G75" s="103">
        <v>2032</v>
      </c>
      <c r="H75" s="103">
        <v>3832</v>
      </c>
      <c r="I75" s="103">
        <f>H75+4*(1052-759)</f>
        <v>5004</v>
      </c>
      <c r="J75" s="104"/>
      <c r="K75" s="104"/>
      <c r="L75" s="104"/>
      <c r="M75" s="104"/>
      <c r="N75" s="104"/>
    </row>
    <row r="76" spans="1:17" ht="14.4" customHeight="1" x14ac:dyDescent="0.3">
      <c r="A76" s="1"/>
      <c r="B76" s="18" t="s">
        <v>41</v>
      </c>
      <c r="C76" s="65"/>
      <c r="D76" s="65"/>
      <c r="E76" s="65"/>
      <c r="F76" s="30">
        <f>F75/F$14</f>
        <v>0.14412246076826804</v>
      </c>
      <c r="G76" s="30">
        <f>G75/G$14</f>
        <v>0.144987513378523</v>
      </c>
      <c r="H76" s="30">
        <f>H75/H$14</f>
        <v>0.20520509799721537</v>
      </c>
      <c r="I76" s="30">
        <f>I75/I$14</f>
        <v>0.16077063671256672</v>
      </c>
      <c r="J76" s="30"/>
      <c r="K76" s="30"/>
      <c r="L76" s="30"/>
      <c r="M76" s="30"/>
      <c r="N76" s="30"/>
    </row>
    <row r="77" spans="1:17" ht="14.4" customHeight="1" x14ac:dyDescent="0.3">
      <c r="A77" s="1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</row>
    <row r="78" spans="1:17" ht="14.4" customHeight="1" x14ac:dyDescent="0.3">
      <c r="A78" s="1"/>
      <c r="B78" s="5" t="s">
        <v>119</v>
      </c>
      <c r="C78" s="102"/>
      <c r="D78" s="5"/>
      <c r="E78" s="5"/>
      <c r="F78" s="103">
        <v>2455</v>
      </c>
      <c r="G78" s="103">
        <v>3498</v>
      </c>
      <c r="H78" s="103">
        <v>4178</v>
      </c>
      <c r="I78" s="103">
        <f>H78+4*(1332-814)</f>
        <v>6250</v>
      </c>
      <c r="J78" s="104"/>
      <c r="K78" s="104"/>
      <c r="L78" s="104"/>
      <c r="M78" s="104"/>
      <c r="N78" s="104"/>
    </row>
    <row r="79" spans="1:17" ht="14.4" customHeight="1" x14ac:dyDescent="0.3">
      <c r="A79" s="1"/>
      <c r="B79" s="18" t="s">
        <v>41</v>
      </c>
      <c r="C79" s="65"/>
      <c r="D79" s="65"/>
      <c r="E79" s="65"/>
      <c r="F79" s="30">
        <f>F78/F$14</f>
        <v>0.23635313372484837</v>
      </c>
      <c r="G79" s="30">
        <f>G78/G$14</f>
        <v>0.24958972529432752</v>
      </c>
      <c r="H79" s="30">
        <f>H78/H$14</f>
        <v>0.22373353325479275</v>
      </c>
      <c r="I79" s="30">
        <f>I78/I$14</f>
        <v>0.20080265376769427</v>
      </c>
      <c r="J79" s="30"/>
      <c r="K79" s="30"/>
      <c r="L79" s="30"/>
      <c r="M79" s="30"/>
      <c r="N79" s="30"/>
    </row>
    <row r="80" spans="1:17" ht="14.4" customHeight="1" x14ac:dyDescent="0.3">
      <c r="A80" s="1"/>
      <c r="B80" s="18"/>
      <c r="C80" s="65"/>
      <c r="D80" s="65"/>
      <c r="E80" s="65"/>
      <c r="F80" s="30"/>
      <c r="G80" s="30"/>
      <c r="H80" s="30"/>
      <c r="I80" s="77"/>
      <c r="J80" s="30"/>
      <c r="K80" s="30"/>
      <c r="L80" s="30"/>
      <c r="M80" s="30"/>
      <c r="N80" s="30"/>
    </row>
    <row r="81" spans="1:19" ht="14.4" customHeight="1" x14ac:dyDescent="0.3">
      <c r="A81" s="1"/>
      <c r="B81" s="5" t="s">
        <v>120</v>
      </c>
      <c r="C81" s="102"/>
      <c r="D81" s="5"/>
      <c r="E81" s="5"/>
      <c r="F81" s="103">
        <v>463</v>
      </c>
      <c r="G81" s="103">
        <v>5633</v>
      </c>
      <c r="H81" s="103">
        <v>12727</v>
      </c>
      <c r="I81" s="103">
        <f>H81+4*(7723-2567)</f>
        <v>33351</v>
      </c>
      <c r="J81" s="104"/>
      <c r="K81" s="104"/>
      <c r="L81" s="104"/>
      <c r="M81" s="104"/>
      <c r="N81" s="104"/>
    </row>
    <row r="82" spans="1:19" ht="14.4" customHeight="1" x14ac:dyDescent="0.3">
      <c r="A82" s="1"/>
      <c r="B82" s="18" t="s">
        <v>41</v>
      </c>
      <c r="C82" s="65"/>
      <c r="D82" s="65"/>
      <c r="E82" s="65"/>
      <c r="F82" s="30">
        <f>F81/F$14</f>
        <v>4.4574949456050832E-2</v>
      </c>
      <c r="G82" s="30">
        <f>G81/G$14</f>
        <v>0.40192650731359258</v>
      </c>
      <c r="H82" s="30">
        <f>H81/H$14</f>
        <v>0.681535825211524</v>
      </c>
      <c r="I82" s="30">
        <f>I81/I$14</f>
        <v>1.0715150889290195</v>
      </c>
      <c r="J82" s="30"/>
      <c r="K82" s="30"/>
      <c r="L82" s="30"/>
      <c r="M82" s="30"/>
      <c r="N82" s="30"/>
    </row>
    <row r="83" spans="1:19" s="5" customFormat="1" ht="14.4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1:19" ht="14.4" customHeight="1" x14ac:dyDescent="0.3">
      <c r="A84" s="1"/>
    </row>
    <row r="85" spans="1:19" ht="14.4" customHeight="1" x14ac:dyDescent="0.3">
      <c r="A85" s="1"/>
    </row>
    <row r="86" spans="1:19" ht="14.4" customHeight="1" x14ac:dyDescent="0.3">
      <c r="A86" s="1"/>
    </row>
    <row r="87" spans="1:19" ht="14.4" customHeight="1" x14ac:dyDescent="0.3">
      <c r="A87" s="1"/>
    </row>
    <row r="88" spans="1:19" ht="14.4" customHeight="1" x14ac:dyDescent="0.3">
      <c r="A88" s="1"/>
    </row>
    <row r="89" spans="1:19" ht="14.4" customHeight="1" x14ac:dyDescent="0.3">
      <c r="A89" s="1"/>
    </row>
    <row r="90" spans="1:19" ht="14.4" customHeight="1" x14ac:dyDescent="0.3">
      <c r="A90" s="1"/>
    </row>
    <row r="91" spans="1:19" ht="14.4" customHeight="1" x14ac:dyDescent="0.3">
      <c r="A91" s="1"/>
    </row>
    <row r="92" spans="1:19" ht="14.4" customHeight="1" x14ac:dyDescent="0.3">
      <c r="A92" s="1"/>
    </row>
    <row r="93" spans="1:19" ht="14.4" customHeight="1" x14ac:dyDescent="0.3">
      <c r="A93" s="1"/>
    </row>
    <row r="94" spans="1:19" ht="14.4" customHeight="1" x14ac:dyDescent="0.3">
      <c r="A94" s="1"/>
    </row>
    <row r="95" spans="1:19" ht="14.4" customHeight="1" x14ac:dyDescent="0.3">
      <c r="A95" s="1"/>
    </row>
    <row r="96" spans="1:19" ht="14.4" customHeight="1" x14ac:dyDescent="0.3">
      <c r="A96" s="1"/>
    </row>
    <row r="97" spans="1:26" ht="14.4" customHeight="1" x14ac:dyDescent="0.3">
      <c r="A97" s="1"/>
    </row>
    <row r="98" spans="1:26" ht="14.4" customHeight="1" x14ac:dyDescent="0.3">
      <c r="A98" s="1"/>
    </row>
    <row r="99" spans="1:26" ht="14.4" customHeight="1" x14ac:dyDescent="0.3">
      <c r="A99" s="1"/>
    </row>
    <row r="100" spans="1:26" ht="14.4" customHeight="1" x14ac:dyDescent="0.3">
      <c r="A100" s="1"/>
    </row>
    <row r="101" spans="1:26" ht="14.4" customHeight="1" x14ac:dyDescent="0.3">
      <c r="A101" s="1"/>
    </row>
    <row r="102" spans="1:26" ht="14.4" customHeight="1" x14ac:dyDescent="0.3">
      <c r="A102" s="1"/>
    </row>
    <row r="103" spans="1:26" ht="14.4" customHeight="1" x14ac:dyDescent="0.3">
      <c r="A103" s="1"/>
    </row>
    <row r="104" spans="1:26" ht="14.4" customHeight="1" x14ac:dyDescent="0.3">
      <c r="A104" s="1"/>
    </row>
    <row r="105" spans="1:26" s="5" customFormat="1" ht="1.9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1:26" ht="14.4" customHeight="1" x14ac:dyDescent="0.3">
      <c r="A106" s="1"/>
    </row>
    <row r="107" spans="1:26" ht="14.4" customHeight="1" x14ac:dyDescent="0.3">
      <c r="A107" s="1"/>
    </row>
    <row r="108" spans="1:26" ht="14.4" customHeight="1" x14ac:dyDescent="0.3">
      <c r="A108" s="1"/>
    </row>
    <row r="109" spans="1:26" ht="14.4" customHeight="1" x14ac:dyDescent="0.3">
      <c r="A109" s="1"/>
    </row>
    <row r="110" spans="1:26" s="5" customFormat="1" ht="14.4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4" customHeight="1" x14ac:dyDescent="0.3">
      <c r="A111" s="1"/>
    </row>
    <row r="112" spans="1:26" ht="14.4" customHeight="1" x14ac:dyDescent="0.3">
      <c r="A112" s="1"/>
    </row>
    <row r="113" spans="1:26" ht="14.4" customHeight="1" x14ac:dyDescent="0.3">
      <c r="A113" s="1"/>
    </row>
    <row r="114" spans="1:26" s="5" customFormat="1" ht="14.4" customHeight="1" x14ac:dyDescent="0.3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</row>
    <row r="115" spans="1:26" ht="14.4" customHeight="1" x14ac:dyDescent="0.3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</row>
    <row r="116" spans="1:26" ht="14.4" customHeight="1" x14ac:dyDescent="0.3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</row>
    <row r="117" spans="1:26" ht="14.4" customHeight="1" x14ac:dyDescent="0.3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</row>
    <row r="118" spans="1:26" ht="14.4" customHeight="1" x14ac:dyDescent="0.3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</row>
    <row r="119" spans="1:26" ht="14.4" customHeight="1" x14ac:dyDescent="0.3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</row>
    <row r="120" spans="1:26" ht="14.4" customHeight="1" x14ac:dyDescent="0.3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</row>
    <row r="121" spans="1:26" ht="14.4" customHeight="1" x14ac:dyDescent="0.3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</row>
    <row r="122" spans="1:26" ht="14.4" customHeight="1" x14ac:dyDescent="0.3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</row>
    <row r="123" spans="1:26" s="5" customFormat="1" ht="1.95" customHeight="1" x14ac:dyDescent="0.3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</row>
    <row r="124" spans="1:26" ht="14.4" customHeight="1" x14ac:dyDescent="0.3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</row>
    <row r="125" spans="1:26" ht="14.4" customHeight="1" x14ac:dyDescent="0.3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</row>
    <row r="126" spans="1:26" ht="14.4" customHeight="1" x14ac:dyDescent="0.3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</row>
    <row r="127" spans="1:26" s="5" customFormat="1" ht="14.4" customHeight="1" x14ac:dyDescent="0.3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4" customHeight="1" x14ac:dyDescent="0.3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</row>
    <row r="129" spans="1:26" ht="14.4" customHeight="1" x14ac:dyDescent="0.3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</row>
    <row r="130" spans="1:26" ht="14.4" customHeight="1" x14ac:dyDescent="0.3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</row>
    <row r="131" spans="1:26" ht="14.4" customHeight="1" x14ac:dyDescent="0.3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</row>
    <row r="132" spans="1:26" ht="14.4" customHeight="1" x14ac:dyDescent="0.3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</row>
    <row r="133" spans="1:26" ht="14.4" customHeight="1" x14ac:dyDescent="0.3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</row>
    <row r="134" spans="1:26" s="5" customFormat="1" ht="14.4" customHeight="1" x14ac:dyDescent="0.3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4" customHeight="1" x14ac:dyDescent="0.3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</row>
    <row r="136" spans="1:26" ht="14.4" customHeight="1" x14ac:dyDescent="0.3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</row>
    <row r="137" spans="1:26" ht="14.4" customHeight="1" x14ac:dyDescent="0.3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</row>
    <row r="138" spans="1:26" ht="14.4" customHeight="1" x14ac:dyDescent="0.3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</row>
    <row r="139" spans="1:26" ht="14.4" customHeight="1" x14ac:dyDescent="0.3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</row>
    <row r="140" spans="1:26" ht="14.4" customHeight="1" x14ac:dyDescent="0.3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</row>
    <row r="141" spans="1:26" ht="14.4" customHeight="1" x14ac:dyDescent="0.3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</row>
    <row r="142" spans="1:26" ht="14.4" customHeight="1" x14ac:dyDescent="0.3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</row>
    <row r="143" spans="1:26" ht="14.4" customHeight="1" x14ac:dyDescent="0.3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</row>
    <row r="144" spans="1:26" ht="14.4" customHeight="1" x14ac:dyDescent="0.3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</row>
    <row r="145" spans="1:15" ht="14.4" customHeight="1" x14ac:dyDescent="0.3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</row>
    <row r="146" spans="1:15" ht="14.4" customHeight="1" x14ac:dyDescent="0.3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</row>
    <row r="147" spans="1:15" ht="14.4" customHeight="1" x14ac:dyDescent="0.3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</row>
    <row r="148" spans="1:15" ht="14.4" customHeight="1" x14ac:dyDescent="0.3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</row>
    <row r="149" spans="1:15" ht="14.4" customHeight="1" x14ac:dyDescent="0.3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</row>
    <row r="150" spans="1:15" ht="14.4" customHeight="1" x14ac:dyDescent="0.3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</row>
    <row r="151" spans="1:15" ht="14.4" customHeight="1" x14ac:dyDescent="0.3">
      <c r="B151" s="82"/>
      <c r="I151" s="83"/>
      <c r="J151" s="83"/>
      <c r="K151" s="83"/>
      <c r="L151" s="83"/>
      <c r="M151" s="83"/>
      <c r="N151" s="83"/>
    </row>
    <row r="152" spans="1:15" ht="14.4" customHeight="1" x14ac:dyDescent="0.3">
      <c r="B152" s="82"/>
      <c r="I152" s="83"/>
      <c r="J152" s="83"/>
      <c r="K152" s="83"/>
      <c r="L152" s="83"/>
      <c r="M152" s="83"/>
      <c r="N152" s="83"/>
    </row>
    <row r="153" spans="1:15" ht="14.4" customHeight="1" x14ac:dyDescent="0.3">
      <c r="B153" s="82"/>
      <c r="I153" s="83"/>
      <c r="J153" s="83"/>
      <c r="K153" s="83"/>
      <c r="L153" s="83"/>
      <c r="M153" s="83"/>
      <c r="N153" s="83"/>
    </row>
    <row r="154" spans="1:15" ht="14.4" customHeight="1" x14ac:dyDescent="0.3">
      <c r="B154" s="82"/>
      <c r="I154" s="83"/>
      <c r="J154" s="83"/>
      <c r="K154" s="83"/>
      <c r="L154" s="83"/>
      <c r="M154" s="83"/>
      <c r="N154" s="83"/>
    </row>
    <row r="155" spans="1:15" ht="14.4" customHeight="1" x14ac:dyDescent="0.3">
      <c r="B155" s="82"/>
      <c r="I155" s="83"/>
      <c r="J155" s="83"/>
      <c r="K155" s="83"/>
      <c r="L155" s="83"/>
      <c r="M155" s="83"/>
      <c r="N155" s="83"/>
    </row>
    <row r="156" spans="1:15" ht="14.4" customHeight="1" x14ac:dyDescent="0.3">
      <c r="B156" s="82"/>
      <c r="I156" s="83"/>
      <c r="J156" s="83"/>
      <c r="K156" s="83"/>
      <c r="L156" s="83"/>
      <c r="M156" s="83"/>
      <c r="N156" s="83"/>
    </row>
    <row r="157" spans="1:15" ht="14.4" customHeight="1" x14ac:dyDescent="0.3">
      <c r="B157" s="82"/>
      <c r="I157" s="83"/>
      <c r="J157" s="83"/>
      <c r="K157" s="83"/>
      <c r="L157" s="83"/>
      <c r="M157" s="83"/>
      <c r="N157" s="83"/>
    </row>
    <row r="158" spans="1:15" ht="14.4" customHeight="1" x14ac:dyDescent="0.3">
      <c r="B158" s="82"/>
      <c r="I158" s="83"/>
      <c r="J158" s="83"/>
      <c r="K158" s="83"/>
      <c r="L158" s="83"/>
      <c r="M158" s="83"/>
      <c r="N158" s="83"/>
    </row>
    <row r="159" spans="1:15" ht="14.4" customHeight="1" x14ac:dyDescent="0.3">
      <c r="B159" s="82"/>
      <c r="I159" s="83"/>
      <c r="J159" s="83"/>
      <c r="K159" s="83"/>
      <c r="L159" s="83"/>
      <c r="M159" s="83"/>
      <c r="N159" s="83"/>
    </row>
    <row r="160" spans="1:15" ht="14.4" customHeight="1" x14ac:dyDescent="0.3">
      <c r="B160" s="82"/>
      <c r="I160" s="83"/>
      <c r="J160" s="83"/>
      <c r="K160" s="83"/>
      <c r="L160" s="83"/>
      <c r="M160" s="83"/>
      <c r="N160" s="83"/>
    </row>
    <row r="161" spans="2:16" ht="14.4" customHeight="1" x14ac:dyDescent="0.3">
      <c r="B161" s="82"/>
      <c r="I161" s="83"/>
      <c r="J161" s="83"/>
      <c r="K161" s="83"/>
      <c r="L161" s="83"/>
      <c r="M161" s="83"/>
      <c r="N161" s="83"/>
    </row>
    <row r="162" spans="2:16" ht="14.4" customHeight="1" x14ac:dyDescent="0.3">
      <c r="B162" s="82"/>
      <c r="I162" s="83"/>
      <c r="J162" s="83"/>
      <c r="K162" s="83"/>
      <c r="L162" s="83"/>
      <c r="M162" s="83"/>
      <c r="N162" s="83"/>
    </row>
    <row r="163" spans="2:16" ht="14.4" customHeight="1" x14ac:dyDescent="0.3">
      <c r="B163" s="82"/>
      <c r="I163" s="83"/>
      <c r="J163" s="83"/>
      <c r="K163" s="83"/>
      <c r="L163" s="83"/>
      <c r="M163" s="83"/>
      <c r="N163" s="83"/>
    </row>
    <row r="164" spans="2:16" ht="14.4" customHeight="1" x14ac:dyDescent="0.3">
      <c r="B164" s="82"/>
      <c r="I164" s="83"/>
      <c r="J164" s="83"/>
      <c r="K164" s="83"/>
      <c r="L164" s="83"/>
      <c r="M164" s="83"/>
      <c r="N164" s="83"/>
    </row>
    <row r="165" spans="2:16" ht="14.4" customHeight="1" x14ac:dyDescent="0.3">
      <c r="B165" s="82"/>
      <c r="I165" s="83"/>
      <c r="J165" s="83"/>
      <c r="K165" s="83"/>
      <c r="L165" s="83"/>
      <c r="M165" s="83"/>
      <c r="N165" s="83"/>
    </row>
    <row r="166" spans="2:16" ht="14.4" customHeight="1" x14ac:dyDescent="0.3">
      <c r="B166" s="82"/>
      <c r="I166" s="83"/>
      <c r="J166" s="83"/>
      <c r="K166" s="83"/>
      <c r="L166" s="83"/>
      <c r="M166" s="83"/>
      <c r="N166" s="83"/>
    </row>
    <row r="167" spans="2:16" ht="14.4" customHeight="1" x14ac:dyDescent="0.3"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</row>
    <row r="168" spans="2:16" ht="14.4" customHeight="1" x14ac:dyDescent="0.3"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</row>
    <row r="169" spans="2:16" ht="14.4" customHeight="1" x14ac:dyDescent="0.3"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</row>
    <row r="170" spans="2:16" ht="14.4" customHeight="1" x14ac:dyDescent="0.3"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</row>
    <row r="171" spans="2:16" ht="14.4" customHeight="1" x14ac:dyDescent="0.3"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</row>
    <row r="172" spans="2:16" ht="14.4" customHeight="1" x14ac:dyDescent="0.3"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</row>
    <row r="173" spans="2:16" ht="14.4" customHeight="1" x14ac:dyDescent="0.3"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</row>
    <row r="174" spans="2:16" ht="14.4" customHeight="1" x14ac:dyDescent="0.3"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</row>
    <row r="175" spans="2:16" ht="14.4" customHeight="1" x14ac:dyDescent="0.3"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</row>
    <row r="176" spans="2:16" ht="14.4" customHeight="1" x14ac:dyDescent="0.3"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</row>
    <row r="177" spans="1:26" ht="14.4" customHeight="1" x14ac:dyDescent="0.3"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</row>
    <row r="178" spans="1:26" ht="14.4" customHeight="1" x14ac:dyDescent="0.3"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</row>
    <row r="179" spans="1:26" ht="14.4" customHeight="1" x14ac:dyDescent="0.3"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</row>
    <row r="180" spans="1:26" ht="14.4" customHeight="1" x14ac:dyDescent="0.3"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</row>
    <row r="181" spans="1:26" ht="14.4" customHeight="1" x14ac:dyDescent="0.3"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</row>
    <row r="182" spans="1:26" ht="14.4" customHeight="1" x14ac:dyDescent="0.3"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</row>
    <row r="183" spans="1:26" ht="14.4" customHeight="1" x14ac:dyDescent="0.3"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</row>
    <row r="184" spans="1:26" ht="14.4" customHeight="1" x14ac:dyDescent="0.3"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</row>
    <row r="185" spans="1:26" ht="14.4" customHeight="1" x14ac:dyDescent="0.3"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</row>
    <row r="186" spans="1:26" s="5" customFormat="1" ht="14.4" customHeight="1" x14ac:dyDescent="0.3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4" customHeight="1" x14ac:dyDescent="0.3"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</row>
    <row r="188" spans="1:26" ht="14.4" customHeight="1" x14ac:dyDescent="0.3"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</row>
    <row r="189" spans="1:26" ht="14.4" customHeight="1" x14ac:dyDescent="0.3"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</row>
    <row r="190" spans="1:26" ht="14.4" customHeight="1" x14ac:dyDescent="0.3"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</row>
    <row r="191" spans="1:26" ht="14.4" customHeight="1" x14ac:dyDescent="0.3"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</row>
    <row r="192" spans="1:26" ht="14.4" customHeight="1" x14ac:dyDescent="0.3"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</row>
    <row r="193" spans="1:26" ht="14.4" customHeight="1" x14ac:dyDescent="0.3"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</row>
    <row r="194" spans="1:26" ht="14.4" customHeight="1" x14ac:dyDescent="0.3"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</row>
    <row r="195" spans="1:26" ht="14.4" customHeight="1" x14ac:dyDescent="0.3"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</row>
    <row r="196" spans="1:26" ht="14.4" customHeight="1" x14ac:dyDescent="0.3"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</row>
    <row r="197" spans="1:26" ht="14.4" customHeight="1" x14ac:dyDescent="0.3"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</row>
    <row r="198" spans="1:26" ht="14.4" customHeight="1" x14ac:dyDescent="0.3"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</row>
    <row r="199" spans="1:26" ht="14.4" customHeight="1" x14ac:dyDescent="0.3"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</row>
    <row r="200" spans="1:26" ht="14.4" customHeight="1" x14ac:dyDescent="0.3"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</row>
    <row r="201" spans="1:26" ht="14.4" customHeight="1" x14ac:dyDescent="0.3"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</row>
    <row r="202" spans="1:26" ht="14.4" customHeight="1" x14ac:dyDescent="0.3"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</row>
    <row r="203" spans="1:26" ht="14.4" customHeight="1" x14ac:dyDescent="0.3"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</row>
    <row r="204" spans="1:26" ht="14.4" customHeight="1" x14ac:dyDescent="0.3"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</row>
    <row r="205" spans="1:26" ht="14.4" customHeight="1" x14ac:dyDescent="0.3"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</row>
    <row r="206" spans="1:26" ht="14.4" customHeight="1" x14ac:dyDescent="0.3"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</row>
    <row r="207" spans="1:26" ht="14.4" customHeight="1" x14ac:dyDescent="0.3"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</row>
    <row r="208" spans="1:26" s="5" customFormat="1" ht="14.4" customHeight="1" x14ac:dyDescent="0.3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16" ht="14.4" customHeight="1" x14ac:dyDescent="0.3"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</row>
    <row r="210" spans="2:16" ht="14.4" customHeight="1" x14ac:dyDescent="0.3"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</row>
    <row r="211" spans="2:16" ht="14.4" customHeight="1" x14ac:dyDescent="0.3"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</row>
    <row r="212" spans="2:16" x14ac:dyDescent="0.3"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</row>
    <row r="213" spans="2:16" ht="14.4" customHeight="1" x14ac:dyDescent="0.3"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</row>
    <row r="214" spans="2:16" ht="14.4" customHeight="1" x14ac:dyDescent="0.3"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</row>
    <row r="215" spans="2:16" ht="14.4" customHeight="1" x14ac:dyDescent="0.3"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</row>
    <row r="216" spans="2:16" ht="14.4" customHeight="1" x14ac:dyDescent="0.3"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</row>
    <row r="217" spans="2:16" x14ac:dyDescent="0.3"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</row>
    <row r="218" spans="2:16" ht="14.4" customHeight="1" x14ac:dyDescent="0.3"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</row>
    <row r="219" spans="2:16" ht="14.4" customHeight="1" x14ac:dyDescent="0.3"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</row>
    <row r="220" spans="2:16" ht="14.4" customHeight="1" x14ac:dyDescent="0.3"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</row>
    <row r="221" spans="2:16" ht="14.4" customHeight="1" x14ac:dyDescent="0.3"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</row>
    <row r="222" spans="2:16" ht="14.4" customHeight="1" x14ac:dyDescent="0.3"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</row>
    <row r="223" spans="2:16" ht="14.4" customHeight="1" x14ac:dyDescent="0.3"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</row>
    <row r="224" spans="2:16" ht="14.4" customHeight="1" x14ac:dyDescent="0.3"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</row>
    <row r="225" spans="2:16" ht="14.4" customHeight="1" x14ac:dyDescent="0.3"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</row>
    <row r="226" spans="2:16" x14ac:dyDescent="0.3"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</row>
    <row r="227" spans="2:16" ht="14.4" customHeight="1" x14ac:dyDescent="0.3"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</row>
    <row r="228" spans="2:16" ht="14.4" customHeight="1" x14ac:dyDescent="0.3"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</row>
    <row r="229" spans="2:16" ht="14.4" customHeight="1" x14ac:dyDescent="0.3"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</row>
    <row r="230" spans="2:16" ht="14.4" customHeight="1" x14ac:dyDescent="0.3"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</row>
    <row r="231" spans="2:16" ht="14.4" customHeight="1" x14ac:dyDescent="0.3"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</row>
    <row r="232" spans="2:16" ht="14.4" customHeight="1" x14ac:dyDescent="0.3"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</row>
    <row r="233" spans="2:16" ht="14.4" customHeight="1" x14ac:dyDescent="0.3"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</row>
    <row r="234" spans="2:16" ht="14.4" customHeight="1" x14ac:dyDescent="0.3"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</row>
    <row r="235" spans="2:16" ht="14.4" customHeight="1" x14ac:dyDescent="0.3"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</row>
    <row r="236" spans="2:16" ht="14.4" customHeight="1" x14ac:dyDescent="0.3"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</row>
    <row r="237" spans="2:16" ht="14.4" customHeight="1" x14ac:dyDescent="0.3"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</row>
    <row r="238" spans="2:16" ht="14.4" customHeight="1" x14ac:dyDescent="0.3"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</row>
    <row r="239" spans="2:16" ht="14.4" customHeight="1" x14ac:dyDescent="0.3"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</row>
    <row r="240" spans="2:16" ht="14.4" customHeight="1" x14ac:dyDescent="0.3"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</row>
    <row r="241" spans="2:16" ht="14.4" customHeight="1" x14ac:dyDescent="0.3"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</row>
    <row r="242" spans="2:16" ht="14.4" customHeight="1" x14ac:dyDescent="0.3"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</row>
    <row r="243" spans="2:16" ht="14.4" customHeight="1" x14ac:dyDescent="0.3"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</row>
    <row r="244" spans="2:16" ht="14.4" customHeight="1" x14ac:dyDescent="0.3"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</row>
    <row r="245" spans="2:16" ht="14.4" customHeight="1" x14ac:dyDescent="0.3"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</row>
    <row r="246" spans="2:16" ht="14.4" customHeight="1" x14ac:dyDescent="0.3"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</row>
    <row r="247" spans="2:16" ht="14.4" customHeight="1" x14ac:dyDescent="0.3"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</row>
    <row r="248" spans="2:16" ht="14.4" customHeight="1" x14ac:dyDescent="0.3"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</row>
    <row r="249" spans="2:16" ht="14.4" customHeight="1" x14ac:dyDescent="0.3"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</row>
    <row r="250" spans="2:16" ht="14.4" customHeight="1" x14ac:dyDescent="0.3"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</row>
    <row r="251" spans="2:16" ht="14.4" customHeight="1" x14ac:dyDescent="0.3"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</row>
    <row r="252" spans="2:16" ht="14.4" customHeight="1" x14ac:dyDescent="0.3"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</row>
    <row r="253" spans="2:16" ht="14.4" customHeight="1" x14ac:dyDescent="0.3"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</row>
    <row r="254" spans="2:16" ht="14.4" customHeight="1" x14ac:dyDescent="0.3"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</row>
    <row r="255" spans="2:16" ht="14.4" customHeight="1" x14ac:dyDescent="0.3"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</row>
    <row r="256" spans="2:16" ht="14.4" customHeight="1" x14ac:dyDescent="0.3"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</row>
    <row r="257" spans="1:16" ht="14.4" customHeight="1" x14ac:dyDescent="0.3"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</row>
    <row r="258" spans="1:16" ht="14.4" customHeight="1" x14ac:dyDescent="0.3"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</row>
    <row r="259" spans="1:16" ht="14.4" customHeight="1" x14ac:dyDescent="0.3"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</row>
    <row r="260" spans="1:16" ht="14.4" customHeight="1" x14ac:dyDescent="0.3"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</row>
    <row r="261" spans="1:16" ht="14.4" customHeight="1" x14ac:dyDescent="0.3"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</row>
    <row r="262" spans="1:16" ht="14.4" customHeight="1" x14ac:dyDescent="0.3"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</row>
    <row r="263" spans="1:16" ht="14.4" customHeight="1" x14ac:dyDescent="0.3"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</row>
    <row r="264" spans="1:16" ht="14.4" customHeight="1" x14ac:dyDescent="0.3"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</row>
    <row r="265" spans="1:16" ht="14.4" customHeight="1" x14ac:dyDescent="0.3">
      <c r="A265" s="2"/>
    </row>
    <row r="266" spans="1:16" ht="14.4" customHeight="1" x14ac:dyDescent="0.3">
      <c r="A266" s="2"/>
    </row>
    <row r="267" spans="1:16" ht="14.4" customHeight="1" x14ac:dyDescent="0.3">
      <c r="A267" s="2"/>
    </row>
    <row r="268" spans="1:16" ht="14.4" customHeight="1" x14ac:dyDescent="0.3">
      <c r="A268" s="2"/>
    </row>
    <row r="269" spans="1:16" ht="14.4" customHeight="1" x14ac:dyDescent="0.3">
      <c r="A269" s="2"/>
    </row>
    <row r="270" spans="1:16" ht="14.4" customHeight="1" x14ac:dyDescent="0.3">
      <c r="A270" s="2"/>
    </row>
    <row r="271" spans="1:16" ht="14.4" customHeight="1" x14ac:dyDescent="0.3">
      <c r="A271" s="2"/>
    </row>
    <row r="272" spans="1:16" ht="14.4" customHeight="1" x14ac:dyDescent="0.3">
      <c r="A272" s="2"/>
    </row>
    <row r="273" spans="1:1" ht="14.4" customHeight="1" x14ac:dyDescent="0.3">
      <c r="A273" s="2"/>
    </row>
    <row r="274" spans="1:1" ht="14.4" customHeight="1" x14ac:dyDescent="0.3">
      <c r="A274" s="2"/>
    </row>
    <row r="275" spans="1:1" ht="14.4" customHeight="1" x14ac:dyDescent="0.3">
      <c r="A275" s="2"/>
    </row>
    <row r="276" spans="1:1" ht="14.4" customHeight="1" x14ac:dyDescent="0.3">
      <c r="A276" s="2"/>
    </row>
    <row r="277" spans="1:1" ht="14.4" customHeight="1" x14ac:dyDescent="0.3">
      <c r="A277" s="2"/>
    </row>
    <row r="278" spans="1:1" ht="14.4" customHeight="1" x14ac:dyDescent="0.3">
      <c r="A278" s="2"/>
    </row>
    <row r="279" spans="1:1" ht="14.4" customHeight="1" x14ac:dyDescent="0.3">
      <c r="A279" s="2"/>
    </row>
    <row r="280" spans="1:1" ht="14.4" customHeight="1" x14ac:dyDescent="0.3">
      <c r="A280" s="2"/>
    </row>
    <row r="281" spans="1:1" ht="14.4" customHeight="1" x14ac:dyDescent="0.3">
      <c r="A281" s="2"/>
    </row>
    <row r="282" spans="1:1" ht="14.4" customHeight="1" x14ac:dyDescent="0.3">
      <c r="A28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Segments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 Odabasi</dc:creator>
  <cp:lastModifiedBy>Kerem Odabasi</cp:lastModifiedBy>
  <dcterms:created xsi:type="dcterms:W3CDTF">2015-06-05T18:17:20Z</dcterms:created>
  <dcterms:modified xsi:type="dcterms:W3CDTF">2026-05-21T17:10:25Z</dcterms:modified>
</cp:coreProperties>
</file>