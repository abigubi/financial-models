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8AAF1594-6BFD-421E-9709-448E0EB66D8D}" xr6:coauthVersionLast="47" xr6:coauthVersionMax="47" xr10:uidLastSave="{00000000-0000-0000-0000-000000000000}"/>
  <bookViews>
    <workbookView xWindow="0" yWindow="4308" windowWidth="23040" windowHeight="9132" activeTab="1" xr2:uid="{15DD2EF7-3D38-48BE-91C3-905AF47E584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U9" i="2"/>
  <c r="Q15" i="1"/>
  <c r="Q16" i="1" s="1"/>
  <c r="Q17" i="1" s="1"/>
  <c r="D9" i="1" s="1"/>
  <c r="D10" i="1" s="1"/>
  <c r="O17" i="1"/>
  <c r="N17" i="1"/>
  <c r="M17" i="1"/>
  <c r="L17" i="1"/>
  <c r="K17" i="1"/>
  <c r="G17" i="1"/>
  <c r="F17" i="1"/>
  <c r="E17" i="1"/>
  <c r="H17" i="1"/>
  <c r="I17" i="1"/>
  <c r="P23" i="2"/>
  <c r="O23" i="2"/>
  <c r="L23" i="2"/>
  <c r="K23" i="2"/>
  <c r="P17" i="2"/>
  <c r="O17" i="2"/>
  <c r="L17" i="2"/>
  <c r="K17" i="2"/>
  <c r="P11" i="2"/>
  <c r="O11" i="2"/>
  <c r="L11" i="2"/>
  <c r="K11" i="2"/>
  <c r="J19" i="2"/>
  <c r="M19" i="2" s="1"/>
  <c r="Q23" i="2" s="1"/>
  <c r="N19" i="2"/>
  <c r="N23" i="2" s="1"/>
  <c r="J20" i="2"/>
  <c r="M20" i="2" s="1"/>
  <c r="N20" i="2"/>
  <c r="H21" i="2"/>
  <c r="H22" i="2" s="1"/>
  <c r="I21" i="2"/>
  <c r="I22" i="2" s="1"/>
  <c r="K21" i="2"/>
  <c r="K22" i="2" s="1"/>
  <c r="L21" i="2"/>
  <c r="L22" i="2" s="1"/>
  <c r="O21" i="2"/>
  <c r="O22" i="2" s="1"/>
  <c r="P21" i="2"/>
  <c r="P22" i="2" s="1"/>
  <c r="Q21" i="2"/>
  <c r="P26" i="2"/>
  <c r="P9" i="2"/>
  <c r="P10" i="2" s="1"/>
  <c r="Q9" i="2"/>
  <c r="Q10" i="2" s="1"/>
  <c r="Q15" i="2"/>
  <c r="Q16" i="2" s="1"/>
  <c r="P15" i="2"/>
  <c r="P16" i="2" s="1"/>
  <c r="Q25" i="2"/>
  <c r="P25" i="2"/>
  <c r="F27" i="2"/>
  <c r="F28" i="2" s="1"/>
  <c r="G27" i="2"/>
  <c r="G28" i="2" s="1"/>
  <c r="I26" i="2"/>
  <c r="I25" i="2"/>
  <c r="I15" i="2"/>
  <c r="I16" i="2" s="1"/>
  <c r="I9" i="2"/>
  <c r="I10" i="2" s="1"/>
  <c r="H26" i="2"/>
  <c r="H25" i="2"/>
  <c r="H9" i="2"/>
  <c r="H10" i="2" s="1"/>
  <c r="H15" i="2"/>
  <c r="H16" i="2" s="1"/>
  <c r="L26" i="2"/>
  <c r="L15" i="2"/>
  <c r="L16" i="2" s="1"/>
  <c r="L9" i="2"/>
  <c r="L10" i="2" s="1"/>
  <c r="L25" i="2"/>
  <c r="L27" i="2" s="1"/>
  <c r="L28" i="2" s="1"/>
  <c r="K26" i="2"/>
  <c r="O26" i="2"/>
  <c r="J14" i="2"/>
  <c r="M14" i="2" s="1"/>
  <c r="J13" i="2"/>
  <c r="M13" i="2" s="1"/>
  <c r="M17" i="2" s="1"/>
  <c r="J8" i="2"/>
  <c r="M8" i="2" s="1"/>
  <c r="J7" i="2"/>
  <c r="J11" i="2" s="1"/>
  <c r="N14" i="2"/>
  <c r="N13" i="2"/>
  <c r="N8" i="2"/>
  <c r="N7" i="2"/>
  <c r="K15" i="2"/>
  <c r="K16" i="2" s="1"/>
  <c r="O16" i="2"/>
  <c r="K9" i="2"/>
  <c r="K10" i="2" s="1"/>
  <c r="O9" i="2"/>
  <c r="O10" i="2" s="1"/>
  <c r="K25" i="2"/>
  <c r="O25" i="2"/>
  <c r="Y7" i="1"/>
  <c r="Y9" i="1"/>
  <c r="Y8" i="1"/>
  <c r="J21" i="1" s="1"/>
  <c r="R8" i="1"/>
  <c r="J20" i="1" l="1"/>
  <c r="N17" i="2"/>
  <c r="F33" i="2"/>
  <c r="F42" i="2" s="1"/>
  <c r="F47" i="2" s="1"/>
  <c r="J48" i="2" s="1"/>
  <c r="G33" i="2"/>
  <c r="G42" i="2" s="1"/>
  <c r="L33" i="2"/>
  <c r="L42" i="2" s="1"/>
  <c r="J17" i="2"/>
  <c r="P29" i="2"/>
  <c r="Q17" i="2"/>
  <c r="J23" i="2"/>
  <c r="N21" i="2"/>
  <c r="M23" i="2"/>
  <c r="J21" i="2"/>
  <c r="J22" i="2" s="1"/>
  <c r="N26" i="2"/>
  <c r="N25" i="2"/>
  <c r="J14" i="1" s="1"/>
  <c r="J17" i="1" s="1"/>
  <c r="N11" i="2"/>
  <c r="J9" i="2"/>
  <c r="J10" i="2" s="1"/>
  <c r="M21" i="2"/>
  <c r="N22" i="2"/>
  <c r="P27" i="2"/>
  <c r="I27" i="2"/>
  <c r="N27" i="2"/>
  <c r="H27" i="2"/>
  <c r="M7" i="2"/>
  <c r="M26" i="2"/>
  <c r="M15" i="2"/>
  <c r="M16" i="2" s="1"/>
  <c r="J25" i="2"/>
  <c r="K27" i="2"/>
  <c r="J26" i="2"/>
  <c r="O27" i="2"/>
  <c r="J15" i="2"/>
  <c r="J16" i="2" s="1"/>
  <c r="N9" i="2"/>
  <c r="N10" i="2" s="1"/>
  <c r="N15" i="2"/>
  <c r="N16" i="2" s="1"/>
  <c r="Y11" i="1"/>
  <c r="L47" i="2" l="1"/>
  <c r="L45" i="2"/>
  <c r="G45" i="2"/>
  <c r="G47" i="2"/>
  <c r="J26" i="1"/>
  <c r="P28" i="2"/>
  <c r="P33" i="2"/>
  <c r="L38" i="2"/>
  <c r="L34" i="2"/>
  <c r="G34" i="2"/>
  <c r="G38" i="2"/>
  <c r="F34" i="2"/>
  <c r="F38" i="2"/>
  <c r="I28" i="2"/>
  <c r="I33" i="2"/>
  <c r="I42" i="2" s="1"/>
  <c r="H28" i="2"/>
  <c r="H33" i="2"/>
  <c r="H42" i="2" s="1"/>
  <c r="N28" i="2"/>
  <c r="N33" i="2"/>
  <c r="N42" i="2" s="1"/>
  <c r="K28" i="2"/>
  <c r="K33" i="2"/>
  <c r="K42" i="2" s="1"/>
  <c r="O28" i="2"/>
  <c r="O33" i="2"/>
  <c r="O42" i="2" s="1"/>
  <c r="M9" i="2"/>
  <c r="M10" i="2" s="1"/>
  <c r="M11" i="2"/>
  <c r="Q11" i="2"/>
  <c r="M22" i="2"/>
  <c r="M25" i="2"/>
  <c r="J27" i="2"/>
  <c r="Q22" i="2"/>
  <c r="Q26" i="2"/>
  <c r="Q27" i="2" s="1"/>
  <c r="K47" i="2" l="1"/>
  <c r="K48" i="2" s="1"/>
  <c r="K45" i="2"/>
  <c r="O45" i="2"/>
  <c r="O47" i="2"/>
  <c r="O48" i="2" s="1"/>
  <c r="N45" i="2"/>
  <c r="N47" i="2"/>
  <c r="I47" i="2"/>
  <c r="I45" i="2"/>
  <c r="P38" i="2"/>
  <c r="P42" i="2"/>
  <c r="H45" i="2"/>
  <c r="H47" i="2"/>
  <c r="L48" i="2"/>
  <c r="K38" i="2"/>
  <c r="K34" i="2"/>
  <c r="K35" i="2"/>
  <c r="O34" i="2"/>
  <c r="O35" i="2"/>
  <c r="O38" i="2"/>
  <c r="N38" i="2"/>
  <c r="N34" i="2"/>
  <c r="H38" i="2"/>
  <c r="H34" i="2"/>
  <c r="L35" i="2"/>
  <c r="P35" i="2"/>
  <c r="P34" i="2"/>
  <c r="I34" i="2"/>
  <c r="I38" i="2"/>
  <c r="Q28" i="2"/>
  <c r="Q33" i="2"/>
  <c r="J28" i="2"/>
  <c r="J33" i="2"/>
  <c r="J42" i="2" s="1"/>
  <c r="Q29" i="2"/>
  <c r="M27" i="2"/>
  <c r="J47" i="2" l="1"/>
  <c r="J45" i="2"/>
  <c r="Q38" i="2"/>
  <c r="Q42" i="2"/>
  <c r="P47" i="2"/>
  <c r="P48" i="2" s="1"/>
  <c r="P45" i="2"/>
  <c r="N48" i="2"/>
  <c r="Q34" i="2"/>
  <c r="J38" i="2"/>
  <c r="J34" i="2"/>
  <c r="N35" i="2"/>
  <c r="M28" i="2"/>
  <c r="M33" i="2"/>
  <c r="M42" i="2" s="1"/>
  <c r="M47" i="2" l="1"/>
  <c r="M48" i="2" s="1"/>
  <c r="M45" i="2"/>
  <c r="Q47" i="2"/>
  <c r="Q48" i="2" s="1"/>
  <c r="Q45" i="2"/>
  <c r="M38" i="2"/>
  <c r="M35" i="2"/>
  <c r="M34" i="2"/>
  <c r="Q35" i="2"/>
</calcChain>
</file>

<file path=xl/sharedStrings.xml><?xml version="1.0" encoding="utf-8"?>
<sst xmlns="http://schemas.openxmlformats.org/spreadsheetml/2006/main" count="128" uniqueCount="106">
  <si>
    <t>Company Overview</t>
  </si>
  <si>
    <t>Total Site Solutions Inc</t>
  </si>
  <si>
    <t>Recommendation:</t>
  </si>
  <si>
    <t>Buy</t>
  </si>
  <si>
    <t>Target:</t>
  </si>
  <si>
    <t>Price</t>
  </si>
  <si>
    <t>Ticker</t>
  </si>
  <si>
    <t>Current Price</t>
  </si>
  <si>
    <t>Target Price</t>
  </si>
  <si>
    <t>TP Upside</t>
  </si>
  <si>
    <t>IRR</t>
  </si>
  <si>
    <t>NASDAQ: TSSI</t>
  </si>
  <si>
    <t>Key Stats</t>
  </si>
  <si>
    <t>Employees</t>
  </si>
  <si>
    <t>Founded</t>
  </si>
  <si>
    <t>CEO</t>
  </si>
  <si>
    <t>Headquarter</t>
  </si>
  <si>
    <t>Primary Industry</t>
  </si>
  <si>
    <t>Market Data</t>
  </si>
  <si>
    <t>Shares O/S (million</t>
  </si>
  <si>
    <t>Market CAP (million)</t>
  </si>
  <si>
    <t>Dividend</t>
  </si>
  <si>
    <t>Fiscal Year End</t>
  </si>
  <si>
    <t>52-Week Low/High</t>
  </si>
  <si>
    <t>Daryll E. Dewan</t>
  </si>
  <si>
    <t>Round Rock, TX</t>
  </si>
  <si>
    <t>Information Technology Services</t>
  </si>
  <si>
    <t>Valuation</t>
  </si>
  <si>
    <t>Share Price</t>
  </si>
  <si>
    <t>Shares O/S (million)</t>
  </si>
  <si>
    <t>Minority Interest</t>
  </si>
  <si>
    <t>Enterprise Value</t>
  </si>
  <si>
    <t>Net Debt (millions)</t>
  </si>
  <si>
    <t>Market</t>
  </si>
  <si>
    <t>-</t>
  </si>
  <si>
    <t>Q2</t>
  </si>
  <si>
    <t>Date:</t>
  </si>
  <si>
    <t>5.63 / 31.94</t>
  </si>
  <si>
    <t>Key Financials</t>
  </si>
  <si>
    <t>Revenue</t>
  </si>
  <si>
    <t>EBITDA</t>
  </si>
  <si>
    <t>Net Income</t>
  </si>
  <si>
    <t>Net Profit Margin</t>
  </si>
  <si>
    <t>Free Cash Flow</t>
  </si>
  <si>
    <t>EPS</t>
  </si>
  <si>
    <t>CFPS</t>
  </si>
  <si>
    <t>EV/Revenue</t>
  </si>
  <si>
    <t>EV/EBITDA</t>
  </si>
  <si>
    <t>Income Statement</t>
  </si>
  <si>
    <t>COGS</t>
  </si>
  <si>
    <t>Gross Profit</t>
  </si>
  <si>
    <t>SG&amp;A</t>
  </si>
  <si>
    <t>EBIT</t>
  </si>
  <si>
    <t>EBT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</si>
  <si>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</si>
  <si>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</si>
  <si>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</si>
  <si>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</si>
  <si>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</si>
  <si>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</si>
  <si>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</si>
  <si>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</si>
  <si>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</si>
  <si>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</si>
  <si>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D&amp;A</t>
  </si>
  <si>
    <t>Interest Expense</t>
  </si>
  <si>
    <t>FCF</t>
  </si>
  <si>
    <t>Last Updated:</t>
  </si>
  <si>
    <t>Total Revenue</t>
  </si>
  <si>
    <t>Procurement Revenue</t>
  </si>
  <si>
    <t>Facilities Management Revenue</t>
  </si>
  <si>
    <t>System Integration Revenue</t>
  </si>
  <si>
    <t>Q3 2025E</t>
  </si>
  <si>
    <t>Q4 2025E</t>
  </si>
  <si>
    <t>All figures in USD thousands unless stated</t>
  </si>
  <si>
    <t>Margin</t>
  </si>
  <si>
    <t>Margin %</t>
  </si>
  <si>
    <t>Cost</t>
  </si>
  <si>
    <t>YoY Growth</t>
  </si>
  <si>
    <t>YoY Revenue Growth</t>
  </si>
  <si>
    <t>Opex</t>
  </si>
  <si>
    <t>Interest &amp; Investment Income</t>
  </si>
  <si>
    <t>Income Tax</t>
  </si>
  <si>
    <t>Tax Rate</t>
  </si>
  <si>
    <t>Market Cap</t>
  </si>
  <si>
    <t>2026E</t>
  </si>
  <si>
    <t>2027E</t>
  </si>
  <si>
    <t>2028E</t>
  </si>
  <si>
    <t>2029E</t>
  </si>
  <si>
    <t>2030E</t>
  </si>
  <si>
    <t>Exit Multiple</t>
  </si>
  <si>
    <t>WACC</t>
  </si>
  <si>
    <t>Notes</t>
  </si>
  <si>
    <t>Ebitda Multiple</t>
  </si>
  <si>
    <t>Discounted Exit MC</t>
  </si>
  <si>
    <t>Exit MC</t>
  </si>
  <si>
    <t>DCF MC</t>
  </si>
  <si>
    <t>EBITDA Guide</t>
  </si>
  <si>
    <t>14.68M</t>
  </si>
  <si>
    <t>3.97M</t>
  </si>
  <si>
    <t>EPS Guide</t>
  </si>
  <si>
    <t>226M</t>
  </si>
  <si>
    <t>41.40M</t>
  </si>
  <si>
    <t>FY</t>
  </si>
  <si>
    <t>Q4</t>
  </si>
  <si>
    <t>TSSI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</si>
</sst>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(* #,##0.0_);_(* \(#,##0.0\);_(* &quot;-&quot;?_);_(@_)"/>
    <numFmt numFmtId="166" formatCode="0.0%"/>
  </numFmts>
  <fonts count="12" x14ac:knownFonts="1"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i/>
      <sz val="12"/>
      <color theme="6" tint="-0.499984740745262"/>
      <name val="Calibri"/>
      <family val="2"/>
    </font>
    <font>
      <b/>
      <sz val="12"/>
      <color theme="1"/>
      <name val="Calibri"/>
      <family val="2"/>
    </font>
    <font>
      <i/>
      <sz val="12"/>
      <color theme="4"/>
      <name val="Calibri"/>
      <family val="2"/>
    </font>
    <font>
      <sz val="12"/>
      <color theme="4"/>
      <name val="Calibri"/>
      <family val="2"/>
    </font>
    <font>
      <i/>
      <sz val="12"/>
      <color theme="4" tint="-0.249977111117893"/>
      <name val="Calibri"/>
      <family val="2"/>
    </font>
    <font>
      <i/>
      <sz val="12"/>
      <color theme="1"/>
      <name val="Calibri"/>
      <family val="2"/>
    </font>
    <font>
      <b/>
      <sz val="12"/>
      <color theme="0"/>
      <name val="Calibri"/>
      <family val="2"/>
    </font>
    <font>
      <i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5" fillId="6" borderId="0" xfId="0" applyFont="1" applyFill="1"/>
    <xf numFmtId="0" fontId="2" fillId="6" borderId="0" xfId="0" applyFont="1" applyFill="1"/>
    <xf numFmtId="37" fontId="2" fillId="6" borderId="0" xfId="0" applyNumberFormat="1" applyFont="1" applyFill="1"/>
    <xf numFmtId="37" fontId="2" fillId="7" borderId="0" xfId="0" applyNumberFormat="1" applyFont="1" applyFill="1"/>
    <xf numFmtId="0" fontId="2" fillId="9" borderId="0" xfId="0" applyFont="1" applyFill="1"/>
    <xf numFmtId="37" fontId="2" fillId="9" borderId="0" xfId="0" applyNumberFormat="1" applyFont="1" applyFill="1" applyAlignment="1">
      <alignment horizontal="right"/>
    </xf>
    <xf numFmtId="37" fontId="2" fillId="9" borderId="0" xfId="0" applyNumberFormat="1" applyFont="1" applyFill="1"/>
    <xf numFmtId="37" fontId="2" fillId="8" borderId="0" xfId="0" applyNumberFormat="1" applyFont="1" applyFill="1"/>
    <xf numFmtId="0" fontId="6" fillId="0" borderId="0" xfId="0" applyFont="1"/>
    <xf numFmtId="0" fontId="7" fillId="0" borderId="0" xfId="0" applyFont="1"/>
    <xf numFmtId="37" fontId="7" fillId="0" borderId="0" xfId="0" applyNumberFormat="1" applyFont="1" applyAlignment="1">
      <alignment horizontal="right"/>
    </xf>
    <xf numFmtId="10" fontId="6" fillId="0" borderId="0" xfId="0" applyNumberFormat="1" applyFont="1"/>
    <xf numFmtId="10" fontId="8" fillId="0" borderId="0" xfId="0" applyNumberFormat="1" applyFont="1"/>
    <xf numFmtId="37" fontId="6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10" fontId="2" fillId="0" borderId="0" xfId="0" applyNumberFormat="1" applyFont="1"/>
    <xf numFmtId="37" fontId="2" fillId="0" borderId="0" xfId="0" applyNumberFormat="1" applyFont="1"/>
    <xf numFmtId="37" fontId="9" fillId="5" borderId="0" xfId="0" applyNumberFormat="1" applyFont="1" applyFill="1"/>
    <xf numFmtId="37" fontId="2" fillId="5" borderId="0" xfId="0" applyNumberFormat="1" applyFont="1" applyFill="1"/>
    <xf numFmtId="37" fontId="7" fillId="0" borderId="0" xfId="0" applyNumberFormat="1" applyFont="1"/>
    <xf numFmtId="37" fontId="6" fillId="0" borderId="0" xfId="0" applyNumberFormat="1" applyFont="1"/>
    <xf numFmtId="0" fontId="5" fillId="9" borderId="0" xfId="0" applyFont="1" applyFill="1"/>
    <xf numFmtId="0" fontId="5" fillId="0" borderId="0" xfId="0" applyFont="1"/>
    <xf numFmtId="0" fontId="9" fillId="0" borderId="0" xfId="0" applyFont="1"/>
    <xf numFmtId="37" fontId="9" fillId="0" borderId="0" xfId="0" applyNumberFormat="1" applyFont="1"/>
    <xf numFmtId="165" fontId="5" fillId="0" borderId="0" xfId="0" applyNumberFormat="1" applyFont="1"/>
    <xf numFmtId="43" fontId="2" fillId="0" borderId="0" xfId="0" applyNumberFormat="1" applyFont="1"/>
    <xf numFmtId="9" fontId="6" fillId="0" borderId="0" xfId="0" applyNumberFormat="1" applyFont="1"/>
    <xf numFmtId="0" fontId="10" fillId="2" borderId="0" xfId="0" applyFont="1" applyFill="1" applyAlignment="1">
      <alignment horizontal="center"/>
    </xf>
    <xf numFmtId="14" fontId="2" fillId="0" borderId="0" xfId="0" applyNumberFormat="1" applyFont="1"/>
    <xf numFmtId="0" fontId="10" fillId="3" borderId="0" xfId="0" applyFont="1" applyFill="1"/>
    <xf numFmtId="0" fontId="2" fillId="3" borderId="0" xfId="0" applyFont="1" applyFill="1"/>
    <xf numFmtId="0" fontId="5" fillId="0" borderId="1" xfId="0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9" fontId="2" fillId="0" borderId="0" xfId="0" applyNumberFormat="1" applyFont="1"/>
    <xf numFmtId="7" fontId="2" fillId="0" borderId="0" xfId="0" applyNumberFormat="1" applyFont="1"/>
    <xf numFmtId="39" fontId="2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right"/>
    </xf>
    <xf numFmtId="0" fontId="10" fillId="3" borderId="0" xfId="0" applyFont="1" applyFill="1" applyAlignment="1">
      <alignment horizontal="center"/>
    </xf>
    <xf numFmtId="37" fontId="2" fillId="0" borderId="0" xfId="0" applyNumberFormat="1" applyFont="1" applyAlignment="1">
      <alignment horizontal="center"/>
    </xf>
    <xf numFmtId="166" fontId="11" fillId="0" borderId="0" xfId="0" applyNumberFormat="1" applyFont="1"/>
    <xf numFmtId="37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3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41" fontId="2" fillId="7" borderId="0" xfId="0" applyNumberFormat="1" applyFont="1" applyFill="1"/>
    <xf numFmtId="0" fontId="10" fillId="10" borderId="0" xfId="0" applyFont="1" applyFill="1"/>
    <xf numFmtId="0" fontId="1" fillId="0" borderId="0" xfId="0" applyFont="1"/>
    <xf numFmtId="0" fontId="1" fillId="6" borderId="0" xfId="0" applyFont="1" applyFill="1"/>
    <xf numFmtId="0" fontId="1" fillId="0" borderId="0" xfId="0" applyFont="1" applyAlignment="1">
      <alignment horizontal="right"/>
    </xf>
    <xf numFmtId="0" fontId="1" fillId="11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74434</xdr:colOff>
      <xdr:row>1</xdr:row>
      <xdr:rowOff>122438</xdr:rowOff>
    </xdr:from>
    <xdr:to>
      <xdr:col>2</xdr:col>
      <xdr:colOff>299445</xdr:colOff>
      <xdr:row>3</xdr:row>
      <xdr:rowOff>105455</xdr:rowOff>
    </xdr:to>
    <xdr:pic>
      <xdr:nvPicPr>
        <xdr:cNvPr id="2" name="Picture 1" descr="Home - TSS, Inc.">
          <a:extLst>
            <a:ext uri="{FF2B5EF4-FFF2-40B4-BE49-F238E27FC236}">
              <a16:creationId xmlns:a16="http://schemas.microsoft.com/office/drawing/2014/main" id="{3FF24660-B815-E3CF-24DD-3C465039B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425" y="321221"/>
          <a:ext cx="934003" cy="380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9371-19EA-41D7-B8D8-BE7C845CD03C}">
  <dimension ref="A2:AB27"/>
  <sheetViews>
    <sheetView showGridLines="0" zoomScale="85" zoomScaleNormal="85" workbookViewId="0">
      <selection activeCell="K19" sqref="K19"/>
    </sheetView>
  </sheetViews>
  <sheetFormatPr defaultColWidth="10.33203125" defaultRowHeight="15.6" x14ac:dyDescent="0.3"/>
  <cols>
    <col min="1" max="13" width="10.33203125" style="1"/>
    <col min="14" max="15" width="10.88671875" style="1" bestFit="1" customWidth="1"/>
    <col min="16" max="16384" width="10.33203125" style="1"/>
  </cols>
  <sheetData>
    <row r="2" spans="1:28" x14ac:dyDescent="0.3">
      <c r="B2" s="50"/>
      <c r="C2" s="50"/>
      <c r="D2" s="62" t="s">
        <v>1</v>
      </c>
      <c r="E2" s="62"/>
      <c r="F2" s="62"/>
    </row>
    <row r="3" spans="1:28" x14ac:dyDescent="0.3">
      <c r="B3" s="50"/>
      <c r="C3" s="50"/>
      <c r="D3" s="62"/>
      <c r="E3" s="62"/>
      <c r="F3" s="62"/>
      <c r="H3" s="27" t="s">
        <v>2</v>
      </c>
      <c r="J3" s="33" t="s">
        <v>3</v>
      </c>
      <c r="M3" s="27" t="s">
        <v>4</v>
      </c>
      <c r="N3" s="1">
        <v>18.760000000000002</v>
      </c>
      <c r="Q3" s="27" t="s">
        <v>67</v>
      </c>
      <c r="S3" s="34" t="s">
        <v>35</v>
      </c>
      <c r="W3" s="27" t="s">
        <v>36</v>
      </c>
      <c r="X3" s="51">
        <v>45966</v>
      </c>
      <c r="Y3" s="51"/>
    </row>
    <row r="4" spans="1:28" x14ac:dyDescent="0.3">
      <c r="B4" s="50"/>
      <c r="C4" s="50"/>
      <c r="D4" s="62"/>
      <c r="E4" s="62"/>
      <c r="F4" s="62"/>
    </row>
    <row r="5" spans="1:28" x14ac:dyDescent="0.3">
      <c r="B5" s="35" t="s">
        <v>0</v>
      </c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spans="1:28" s="27" customFormat="1" x14ac:dyDescent="0.3">
      <c r="A6" s="1"/>
      <c r="B6" s="61" t="s">
        <v>5</v>
      </c>
      <c r="C6" s="61"/>
      <c r="D6" s="61"/>
      <c r="E6" s="61"/>
      <c r="F6" s="61"/>
      <c r="H6" s="61" t="s">
        <v>12</v>
      </c>
      <c r="I6" s="61"/>
      <c r="J6" s="61"/>
      <c r="K6" s="61"/>
      <c r="L6" s="61"/>
      <c r="M6" s="61"/>
      <c r="O6" s="61" t="s">
        <v>18</v>
      </c>
      <c r="P6" s="61"/>
      <c r="Q6" s="61"/>
      <c r="R6" s="61"/>
      <c r="S6" s="61"/>
      <c r="T6" s="61"/>
      <c r="V6" s="61" t="s">
        <v>27</v>
      </c>
      <c r="W6" s="61"/>
      <c r="X6" s="61"/>
      <c r="Y6" s="37" t="s">
        <v>33</v>
      </c>
      <c r="Z6" s="39"/>
      <c r="AA6" s="39"/>
      <c r="AB6" s="1"/>
    </row>
    <row r="7" spans="1:28" x14ac:dyDescent="0.3">
      <c r="B7" s="54" t="s">
        <v>6</v>
      </c>
      <c r="C7" s="54"/>
      <c r="D7" s="55" t="s">
        <v>11</v>
      </c>
      <c r="E7" s="55"/>
      <c r="F7" s="55"/>
      <c r="H7" s="54" t="s">
        <v>13</v>
      </c>
      <c r="I7" s="54"/>
      <c r="J7" s="52">
        <v>161</v>
      </c>
      <c r="K7" s="52"/>
      <c r="L7" s="52"/>
      <c r="M7" s="52"/>
      <c r="O7" s="54" t="s">
        <v>19</v>
      </c>
      <c r="P7" s="54"/>
      <c r="Q7" s="54"/>
      <c r="R7" s="55">
        <v>28.4</v>
      </c>
      <c r="S7" s="55"/>
      <c r="T7" s="55"/>
      <c r="V7" s="1" t="s">
        <v>28</v>
      </c>
      <c r="Y7" s="38">
        <f>D8</f>
        <v>17.88</v>
      </c>
      <c r="Z7" s="39"/>
      <c r="AA7" s="39"/>
    </row>
    <row r="8" spans="1:28" x14ac:dyDescent="0.3">
      <c r="B8" s="50" t="s">
        <v>7</v>
      </c>
      <c r="C8" s="50"/>
      <c r="D8" s="56">
        <v>17.88</v>
      </c>
      <c r="E8" s="56"/>
      <c r="F8" s="56"/>
      <c r="H8" s="50" t="s">
        <v>14</v>
      </c>
      <c r="I8" s="50"/>
      <c r="J8" s="53">
        <v>2004</v>
      </c>
      <c r="K8" s="53"/>
      <c r="L8" s="53"/>
      <c r="M8" s="53"/>
      <c r="O8" s="50" t="s">
        <v>20</v>
      </c>
      <c r="P8" s="50"/>
      <c r="Q8" s="50"/>
      <c r="R8" s="58">
        <f>R7*D8</f>
        <v>507.79199999999997</v>
      </c>
      <c r="S8" s="58"/>
      <c r="T8" s="58"/>
      <c r="V8" s="1" t="s">
        <v>29</v>
      </c>
      <c r="Y8" s="39">
        <f>R7</f>
        <v>28.4</v>
      </c>
      <c r="Z8" s="39"/>
      <c r="AA8" s="39"/>
    </row>
    <row r="9" spans="1:28" x14ac:dyDescent="0.3">
      <c r="B9" s="50" t="s">
        <v>8</v>
      </c>
      <c r="C9" s="50"/>
      <c r="D9" s="56">
        <f>Q17/(Y8*1000)</f>
        <v>18.760837606153498</v>
      </c>
      <c r="E9" s="56"/>
      <c r="F9" s="56"/>
      <c r="H9" s="50" t="s">
        <v>15</v>
      </c>
      <c r="I9" s="50"/>
      <c r="J9" s="53" t="s">
        <v>24</v>
      </c>
      <c r="K9" s="53"/>
      <c r="L9" s="53"/>
      <c r="M9" s="53"/>
      <c r="O9" s="50" t="s">
        <v>21</v>
      </c>
      <c r="P9" s="50"/>
      <c r="Q9" s="50"/>
      <c r="R9" s="59">
        <v>0</v>
      </c>
      <c r="S9" s="59"/>
      <c r="T9" s="59"/>
      <c r="V9" s="1" t="s">
        <v>32</v>
      </c>
      <c r="Y9" s="39">
        <f>-58.7-36.836+19.541+1.891+22.648</f>
        <v>-51.456000000000003</v>
      </c>
      <c r="Z9" s="39"/>
      <c r="AA9" s="39"/>
    </row>
    <row r="10" spans="1:28" x14ac:dyDescent="0.3">
      <c r="B10" s="50" t="s">
        <v>9</v>
      </c>
      <c r="C10" s="50"/>
      <c r="D10" s="57">
        <f>D9/D8-1</f>
        <v>4.9263848218875861E-2</v>
      </c>
      <c r="E10" s="57"/>
      <c r="F10" s="57"/>
      <c r="H10" s="50" t="s">
        <v>16</v>
      </c>
      <c r="I10" s="50"/>
      <c r="J10" s="53" t="s">
        <v>25</v>
      </c>
      <c r="K10" s="53"/>
      <c r="L10" s="53"/>
      <c r="M10" s="53"/>
      <c r="O10" s="50" t="s">
        <v>23</v>
      </c>
      <c r="P10" s="50"/>
      <c r="Q10" s="50"/>
      <c r="R10" s="58" t="s">
        <v>37</v>
      </c>
      <c r="S10" s="58"/>
      <c r="T10" s="58"/>
      <c r="V10" s="1" t="s">
        <v>30</v>
      </c>
      <c r="Y10" s="39" t="s">
        <v>34</v>
      </c>
      <c r="Z10" s="39"/>
      <c r="AA10" s="39"/>
    </row>
    <row r="11" spans="1:28" x14ac:dyDescent="0.3">
      <c r="B11" s="50" t="s">
        <v>10</v>
      </c>
      <c r="C11" s="50"/>
      <c r="D11" s="57"/>
      <c r="E11" s="57"/>
      <c r="F11" s="57"/>
      <c r="H11" s="50" t="s">
        <v>17</v>
      </c>
      <c r="I11" s="50"/>
      <c r="J11" s="53" t="s">
        <v>26</v>
      </c>
      <c r="K11" s="53"/>
      <c r="L11" s="53"/>
      <c r="M11" s="53"/>
      <c r="O11" s="50" t="s">
        <v>22</v>
      </c>
      <c r="P11" s="50"/>
      <c r="Q11" s="50"/>
      <c r="R11" s="60">
        <v>46022</v>
      </c>
      <c r="S11" s="60"/>
      <c r="T11" s="60"/>
      <c r="V11" s="1" t="s">
        <v>31</v>
      </c>
      <c r="Y11" s="39">
        <f>R8+Y9</f>
        <v>456.33599999999996</v>
      </c>
    </row>
    <row r="13" spans="1:28" x14ac:dyDescent="0.3">
      <c r="B13" s="35" t="s">
        <v>38</v>
      </c>
      <c r="C13" s="35"/>
      <c r="D13" s="36"/>
      <c r="E13" s="35">
        <v>2020</v>
      </c>
      <c r="F13" s="35">
        <v>2021</v>
      </c>
      <c r="G13" s="35">
        <v>2022</v>
      </c>
      <c r="H13" s="35">
        <v>2023</v>
      </c>
      <c r="I13" s="35">
        <v>2024</v>
      </c>
      <c r="J13" s="35">
        <v>2025</v>
      </c>
      <c r="K13" s="43" t="s">
        <v>85</v>
      </c>
      <c r="L13" s="43" t="s">
        <v>86</v>
      </c>
      <c r="M13" s="43" t="s">
        <v>87</v>
      </c>
      <c r="N13" s="43" t="s">
        <v>88</v>
      </c>
      <c r="O13" s="43" t="s">
        <v>89</v>
      </c>
      <c r="Q13" s="49" t="s">
        <v>90</v>
      </c>
      <c r="R13" s="49"/>
      <c r="S13" s="44" t="s">
        <v>91</v>
      </c>
      <c r="T13" s="49" t="s">
        <v>92</v>
      </c>
      <c r="U13" s="49"/>
    </row>
    <row r="14" spans="1:28" x14ac:dyDescent="0.3">
      <c r="B14" s="50" t="s">
        <v>39</v>
      </c>
      <c r="C14" s="50"/>
      <c r="D14" s="50"/>
      <c r="E14" s="21">
        <v>45062</v>
      </c>
      <c r="F14" s="21">
        <v>27410</v>
      </c>
      <c r="G14" s="21">
        <v>30637</v>
      </c>
      <c r="H14" s="21">
        <v>54399</v>
      </c>
      <c r="I14" s="21">
        <v>148144</v>
      </c>
      <c r="J14" s="21">
        <f>SUM(Model!N25:Q25)</f>
        <v>227457</v>
      </c>
      <c r="K14" s="21">
        <v>398000</v>
      </c>
      <c r="L14" s="21">
        <v>466000</v>
      </c>
      <c r="M14" s="21">
        <v>526000</v>
      </c>
      <c r="N14" s="21">
        <v>592000</v>
      </c>
      <c r="O14" s="21">
        <v>660000</v>
      </c>
      <c r="P14" s="21"/>
      <c r="Q14" s="45">
        <v>50000</v>
      </c>
      <c r="R14" s="45">
        <v>16</v>
      </c>
      <c r="S14" s="46">
        <v>0.12</v>
      </c>
      <c r="T14" s="48" t="s">
        <v>93</v>
      </c>
      <c r="U14" s="48"/>
    </row>
    <row r="15" spans="1:28" x14ac:dyDescent="0.3">
      <c r="B15" s="50" t="s">
        <v>40</v>
      </c>
      <c r="C15" s="50"/>
      <c r="D15" s="50"/>
      <c r="E15" s="21">
        <v>129</v>
      </c>
      <c r="F15" s="21">
        <v>-295</v>
      </c>
      <c r="G15" s="21">
        <v>1297</v>
      </c>
      <c r="H15" s="21">
        <v>2070</v>
      </c>
      <c r="I15" s="21">
        <v>9111</v>
      </c>
      <c r="J15" s="21">
        <v>14372</v>
      </c>
      <c r="K15" s="21">
        <v>20300</v>
      </c>
      <c r="L15" s="21">
        <v>27300</v>
      </c>
      <c r="M15" s="21">
        <v>34200</v>
      </c>
      <c r="N15" s="21">
        <v>41800</v>
      </c>
      <c r="O15" s="21">
        <v>48800</v>
      </c>
      <c r="P15" s="21"/>
      <c r="Q15" s="47">
        <f>Q14*R14</f>
        <v>800000</v>
      </c>
      <c r="R15" s="47"/>
      <c r="T15" s="48" t="s">
        <v>95</v>
      </c>
      <c r="U15" s="48"/>
    </row>
    <row r="16" spans="1:28" x14ac:dyDescent="0.3">
      <c r="B16" s="50" t="s">
        <v>41</v>
      </c>
      <c r="C16" s="50"/>
      <c r="D16" s="50"/>
      <c r="E16" s="21">
        <v>79</v>
      </c>
      <c r="F16" s="21">
        <v>-1232</v>
      </c>
      <c r="G16" s="21">
        <v>-17</v>
      </c>
      <c r="H16" s="21">
        <v>134</v>
      </c>
      <c r="I16" s="21">
        <v>6134</v>
      </c>
      <c r="J16" s="21">
        <v>12445</v>
      </c>
      <c r="K16" s="21">
        <v>16400</v>
      </c>
      <c r="L16" s="21">
        <v>21200</v>
      </c>
      <c r="M16" s="21">
        <v>26300</v>
      </c>
      <c r="N16" s="21">
        <v>31800</v>
      </c>
      <c r="O16" s="21">
        <v>36300</v>
      </c>
      <c r="P16" s="21"/>
      <c r="Q16" s="47">
        <f>Q15/(1+S14)^5</f>
        <v>453941.4845748794</v>
      </c>
      <c r="R16" s="47"/>
      <c r="T16" s="13" t="s">
        <v>94</v>
      </c>
      <c r="U16" s="13"/>
    </row>
    <row r="17" spans="2:21" x14ac:dyDescent="0.3">
      <c r="B17" s="50" t="s">
        <v>42</v>
      </c>
      <c r="C17" s="50"/>
      <c r="D17" s="50"/>
      <c r="E17" s="32">
        <f t="shared" ref="E17:L17" si="0">E16/E14</f>
        <v>1.7531401180595624E-3</v>
      </c>
      <c r="F17" s="32">
        <f t="shared" si="0"/>
        <v>-4.4947099598686611E-2</v>
      </c>
      <c r="G17" s="32">
        <f t="shared" si="0"/>
        <v>-5.5488461664001049E-4</v>
      </c>
      <c r="H17" s="32">
        <f t="shared" si="0"/>
        <v>2.46328057501057E-3</v>
      </c>
      <c r="I17" s="32">
        <f t="shared" si="0"/>
        <v>4.1405659358462035E-2</v>
      </c>
      <c r="J17" s="32">
        <f t="shared" si="0"/>
        <v>5.4713638182161906E-2</v>
      </c>
      <c r="K17" s="32">
        <f t="shared" si="0"/>
        <v>4.1206030150753768E-2</v>
      </c>
      <c r="L17" s="32">
        <f t="shared" si="0"/>
        <v>4.5493562231759654E-2</v>
      </c>
      <c r="M17" s="32">
        <f t="shared" ref="M17:O17" si="1">M16/M14</f>
        <v>0.05</v>
      </c>
      <c r="N17" s="32">
        <f t="shared" si="1"/>
        <v>5.3716216216216216E-2</v>
      </c>
      <c r="O17" s="32">
        <f t="shared" si="1"/>
        <v>5.5E-2</v>
      </c>
      <c r="P17" s="21"/>
      <c r="Q17" s="47">
        <f>NPV(S14,K19:O19)+Q16</f>
        <v>532807.78801475931</v>
      </c>
      <c r="R17" s="47"/>
      <c r="T17" s="48" t="s">
        <v>96</v>
      </c>
      <c r="U17" s="48"/>
    </row>
    <row r="18" spans="2:21" x14ac:dyDescent="0.3">
      <c r="B18" s="50"/>
      <c r="C18" s="50"/>
      <c r="D18" s="5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2:21" x14ac:dyDescent="0.3">
      <c r="B19" s="50" t="s">
        <v>43</v>
      </c>
      <c r="C19" s="50"/>
      <c r="D19" s="50"/>
      <c r="E19" s="21">
        <v>-767</v>
      </c>
      <c r="F19" s="21">
        <v>-1232</v>
      </c>
      <c r="G19" s="21">
        <v>-17</v>
      </c>
      <c r="H19" s="21">
        <v>134</v>
      </c>
      <c r="I19" s="21">
        <v>6813</v>
      </c>
      <c r="J19" s="21">
        <v>9557</v>
      </c>
      <c r="K19" s="21">
        <v>13200</v>
      </c>
      <c r="L19" s="21">
        <v>17800</v>
      </c>
      <c r="M19" s="21">
        <v>23000</v>
      </c>
      <c r="N19" s="21">
        <v>28000</v>
      </c>
      <c r="O19" s="21">
        <v>33000</v>
      </c>
      <c r="P19" s="21"/>
      <c r="Q19" s="21"/>
    </row>
    <row r="20" spans="2:21" x14ac:dyDescent="0.3">
      <c r="B20" s="50" t="s">
        <v>44</v>
      </c>
      <c r="C20" s="50"/>
      <c r="D20" s="50"/>
      <c r="E20" s="40">
        <v>0</v>
      </c>
      <c r="F20" s="40">
        <v>-7.0000000000000007E-2</v>
      </c>
      <c r="G20" s="40">
        <v>0</v>
      </c>
      <c r="H20" s="40">
        <v>0</v>
      </c>
      <c r="I20" s="40">
        <v>0.24</v>
      </c>
      <c r="J20" s="40">
        <f>J16/(Y8*1000)</f>
        <v>0.43820422535211268</v>
      </c>
      <c r="K20" s="40">
        <v>0.57999999999999996</v>
      </c>
      <c r="L20" s="40">
        <v>0.74</v>
      </c>
      <c r="M20" s="40">
        <v>0.92</v>
      </c>
      <c r="N20" s="40">
        <v>1.1000000000000001</v>
      </c>
      <c r="O20" s="40">
        <v>1.25</v>
      </c>
      <c r="P20" s="21"/>
      <c r="Q20" s="21"/>
    </row>
    <row r="21" spans="2:21" x14ac:dyDescent="0.3">
      <c r="B21" s="50" t="s">
        <v>45</v>
      </c>
      <c r="C21" s="50"/>
      <c r="D21" s="50"/>
      <c r="E21" s="40">
        <v>0.46</v>
      </c>
      <c r="F21" s="40">
        <v>-0.56999999999999995</v>
      </c>
      <c r="G21" s="40">
        <v>0.71</v>
      </c>
      <c r="H21" s="40">
        <v>-0.39</v>
      </c>
      <c r="I21" s="40">
        <v>0.27</v>
      </c>
      <c r="J21" s="40">
        <f>J19/(Y8*1000)</f>
        <v>0.33651408450704223</v>
      </c>
      <c r="K21" s="40">
        <v>0.47</v>
      </c>
      <c r="L21" s="40">
        <v>0.61</v>
      </c>
      <c r="M21" s="40">
        <v>0.78</v>
      </c>
      <c r="N21" s="40">
        <v>0.96</v>
      </c>
      <c r="O21" s="1">
        <v>1.1000000000000001</v>
      </c>
      <c r="P21" s="21"/>
      <c r="Q21" s="21"/>
    </row>
    <row r="22" spans="2:21" x14ac:dyDescent="0.3">
      <c r="B22" s="50"/>
      <c r="C22" s="50"/>
      <c r="D22" s="5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2:21" x14ac:dyDescent="0.3">
      <c r="B23" s="50" t="s">
        <v>84</v>
      </c>
      <c r="C23" s="50"/>
      <c r="D23" s="50"/>
      <c r="E23" s="21">
        <v>12674</v>
      </c>
      <c r="F23" s="21">
        <v>8187</v>
      </c>
      <c r="G23" s="21">
        <v>11421</v>
      </c>
      <c r="H23" s="21">
        <v>5834</v>
      </c>
      <c r="I23" s="21">
        <v>287856</v>
      </c>
      <c r="J23" s="21">
        <v>478605</v>
      </c>
      <c r="K23" s="21">
        <v>625000</v>
      </c>
      <c r="L23" s="21">
        <v>775000</v>
      </c>
      <c r="M23" s="21">
        <v>970000</v>
      </c>
      <c r="N23" s="21">
        <v>1180000</v>
      </c>
      <c r="O23" s="21">
        <v>1370000</v>
      </c>
      <c r="P23" s="21"/>
      <c r="Q23" s="21"/>
    </row>
    <row r="24" spans="2:21" x14ac:dyDescent="0.3">
      <c r="B24" s="50" t="s">
        <v>28</v>
      </c>
      <c r="C24" s="50"/>
      <c r="D24" s="50"/>
      <c r="E24" s="41">
        <v>0.71</v>
      </c>
      <c r="F24" s="41">
        <v>0.45</v>
      </c>
      <c r="G24" s="41">
        <v>0.56000000000000005</v>
      </c>
      <c r="H24" s="41">
        <v>0.27</v>
      </c>
      <c r="I24" s="41">
        <v>11.86</v>
      </c>
      <c r="J24" s="41">
        <v>16.61</v>
      </c>
      <c r="K24" s="41">
        <v>21.7</v>
      </c>
      <c r="L24" s="41">
        <v>26.9</v>
      </c>
      <c r="M24" s="41">
        <v>33.6</v>
      </c>
      <c r="N24" s="41">
        <v>40.799999999999997</v>
      </c>
      <c r="O24" s="41">
        <v>47.4</v>
      </c>
      <c r="P24" s="21"/>
      <c r="Q24" s="21"/>
    </row>
    <row r="25" spans="2:21" x14ac:dyDescent="0.3"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2:21" x14ac:dyDescent="0.3">
      <c r="B26" s="50" t="s">
        <v>46</v>
      </c>
      <c r="C26" s="50"/>
      <c r="D26" s="50"/>
      <c r="E26" s="40">
        <v>0.17</v>
      </c>
      <c r="F26" s="42" t="s">
        <v>34</v>
      </c>
      <c r="G26" s="40">
        <v>0.23</v>
      </c>
      <c r="H26" s="42" t="s">
        <v>34</v>
      </c>
      <c r="I26" s="40">
        <v>1.66</v>
      </c>
      <c r="J26" s="40">
        <f>(Y11*1000)/J14</f>
        <v>2.0062517310964267</v>
      </c>
      <c r="K26" s="21">
        <v>1.32</v>
      </c>
      <c r="L26" s="21">
        <v>1.27</v>
      </c>
      <c r="M26" s="21">
        <v>1.25</v>
      </c>
      <c r="N26" s="21">
        <v>1.22</v>
      </c>
      <c r="O26" s="21">
        <v>1.2</v>
      </c>
      <c r="P26" s="21"/>
      <c r="Q26" s="21"/>
    </row>
    <row r="27" spans="2:21" x14ac:dyDescent="0.3">
      <c r="B27" s="1" t="s">
        <v>47</v>
      </c>
      <c r="E27" s="40">
        <v>57.52</v>
      </c>
      <c r="F27" s="42" t="s">
        <v>34</v>
      </c>
      <c r="G27" s="40">
        <v>5.33</v>
      </c>
      <c r="H27" s="42" t="s">
        <v>34</v>
      </c>
      <c r="I27" s="40">
        <v>26.92</v>
      </c>
      <c r="J27" s="40">
        <v>33.81</v>
      </c>
      <c r="K27" s="1">
        <v>24</v>
      </c>
      <c r="L27" s="1">
        <v>18.5</v>
      </c>
      <c r="M27" s="1">
        <v>14.8</v>
      </c>
      <c r="N27" s="1">
        <v>12.2</v>
      </c>
      <c r="O27" s="1">
        <v>11</v>
      </c>
    </row>
  </sheetData>
  <mergeCells count="57">
    <mergeCell ref="B2:C4"/>
    <mergeCell ref="D2:F4"/>
    <mergeCell ref="O6:T6"/>
    <mergeCell ref="H6:M6"/>
    <mergeCell ref="B6:F6"/>
    <mergeCell ref="V6:X6"/>
    <mergeCell ref="O7:Q7"/>
    <mergeCell ref="O8:Q8"/>
    <mergeCell ref="O9:Q9"/>
    <mergeCell ref="O10:Q10"/>
    <mergeCell ref="O11:Q11"/>
    <mergeCell ref="R7:T7"/>
    <mergeCell ref="R8:T8"/>
    <mergeCell ref="R9:T9"/>
    <mergeCell ref="R10:T10"/>
    <mergeCell ref="R11:T11"/>
    <mergeCell ref="H11:I11"/>
    <mergeCell ref="D7:F7"/>
    <mergeCell ref="D8:F8"/>
    <mergeCell ref="D9:F9"/>
    <mergeCell ref="B7:C7"/>
    <mergeCell ref="B8:C8"/>
    <mergeCell ref="B9:C9"/>
    <mergeCell ref="D10:F10"/>
    <mergeCell ref="D11:F11"/>
    <mergeCell ref="X3:Y3"/>
    <mergeCell ref="B14:D14"/>
    <mergeCell ref="B15:D15"/>
    <mergeCell ref="B16:D16"/>
    <mergeCell ref="B17:D17"/>
    <mergeCell ref="J7:M7"/>
    <mergeCell ref="J8:M8"/>
    <mergeCell ref="J9:M9"/>
    <mergeCell ref="J10:M10"/>
    <mergeCell ref="J11:M11"/>
    <mergeCell ref="B10:C10"/>
    <mergeCell ref="B11:C11"/>
    <mergeCell ref="H7:I7"/>
    <mergeCell ref="H8:I8"/>
    <mergeCell ref="H9:I9"/>
    <mergeCell ref="H10:I10"/>
    <mergeCell ref="B23:D23"/>
    <mergeCell ref="B24:D24"/>
    <mergeCell ref="B26:D26"/>
    <mergeCell ref="B18:D18"/>
    <mergeCell ref="B19:D19"/>
    <mergeCell ref="B20:D20"/>
    <mergeCell ref="B21:D21"/>
    <mergeCell ref="B22:D22"/>
    <mergeCell ref="Q16:R16"/>
    <mergeCell ref="Q17:R17"/>
    <mergeCell ref="T17:U17"/>
    <mergeCell ref="T13:U13"/>
    <mergeCell ref="Q13:R13"/>
    <mergeCell ref="T14:U14"/>
    <mergeCell ref="Q15:R15"/>
    <mergeCell ref="T15:U15"/>
  </mergeCells>
  <pageMargins left="0.7" right="0.7" top="0.75" bottom="0.75" header="0.3" footer="0.3"/>
  <pageSetup orientation="portrait" r:id="rId1"/>
  <ignoredErrors>
    <ignoredError sqref="Q1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BAF3-2E83-4667-B377-939AB0CCC065}">
  <dimension ref="A1:Z74"/>
  <sheetViews>
    <sheetView showGridLines="0" tabSelected="1" topLeftCell="I1" zoomScale="115" zoomScaleNormal="115" workbookViewId="0">
      <selection activeCell="V9" sqref="V9"/>
    </sheetView>
  </sheetViews>
  <sheetFormatPr defaultColWidth="11.77734375" defaultRowHeight="16.05" customHeight="1" x14ac:dyDescent="0.3"/>
  <cols>
    <col min="1" max="5" width="11.77734375" style="1"/>
    <col min="6" max="6" width="12" style="1" bestFit="1" customWidth="1"/>
    <col min="7" max="13" width="12" style="4" bestFit="1" customWidth="1"/>
    <col min="14" max="14" width="12.88671875" style="4" bestFit="1" customWidth="1"/>
    <col min="15" max="17" width="12" style="4" bestFit="1" customWidth="1"/>
    <col min="18" max="18" width="11.77734375" style="4"/>
    <col min="19" max="16384" width="11.77734375" style="1"/>
  </cols>
  <sheetData>
    <row r="1" spans="1:25" ht="16.05" customHeight="1" x14ac:dyDescent="0.3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5" s="63" customFormat="1" ht="16.05" customHeight="1" x14ac:dyDescent="0.3">
      <c r="A2" s="1"/>
      <c r="B2" s="63" t="s">
        <v>48</v>
      </c>
    </row>
    <row r="3" spans="1:25" s="63" customFormat="1" ht="16.05" customHeight="1" x14ac:dyDescent="0.3">
      <c r="A3" s="1"/>
    </row>
    <row r="4" spans="1:25" ht="16.05" customHeight="1" x14ac:dyDescent="0.3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5" ht="16.05" customHeight="1" x14ac:dyDescent="0.3">
      <c r="B5" s="2" t="s">
        <v>74</v>
      </c>
      <c r="C5" s="2"/>
      <c r="D5" s="2"/>
      <c r="E5" s="2"/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62</v>
      </c>
      <c r="O5" s="3" t="s">
        <v>63</v>
      </c>
      <c r="P5" s="3" t="s">
        <v>72</v>
      </c>
      <c r="Q5" s="3" t="s">
        <v>73</v>
      </c>
      <c r="S5" s="65" t="s">
        <v>105</v>
      </c>
      <c r="T5" s="65" t="s">
        <v>104</v>
      </c>
      <c r="U5" s="65" t="s">
        <v>103</v>
      </c>
      <c r="V5"/>
    </row>
    <row r="6" spans="1:25" ht="16.05" customHeight="1" x14ac:dyDescent="0.3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6" t="s">
        <v>39</v>
      </c>
      <c r="T6" s="68" t="s">
        <v>102</v>
      </c>
      <c r="U6" s="69" t="s">
        <v>101</v>
      </c>
      <c r="V6"/>
    </row>
    <row r="7" spans="1:25" ht="16.05" customHeight="1" x14ac:dyDescent="0.3">
      <c r="B7" s="5" t="s">
        <v>69</v>
      </c>
      <c r="C7" s="6"/>
      <c r="D7" s="6"/>
      <c r="E7" s="6"/>
      <c r="F7" s="7">
        <v>1726</v>
      </c>
      <c r="G7" s="7">
        <v>10593</v>
      </c>
      <c r="H7" s="7">
        <v>5422</v>
      </c>
      <c r="I7" s="7">
        <v>5422</v>
      </c>
      <c r="J7" s="7">
        <f>16538-K7</f>
        <v>11624</v>
      </c>
      <c r="K7" s="7">
        <v>4914</v>
      </c>
      <c r="L7" s="7">
        <v>60484</v>
      </c>
      <c r="M7" s="7">
        <f>117519-L7-K7-J7</f>
        <v>40497</v>
      </c>
      <c r="N7" s="7">
        <f>123179-O7</f>
        <v>90177</v>
      </c>
      <c r="O7" s="7">
        <v>33002</v>
      </c>
      <c r="P7" s="7">
        <v>31110</v>
      </c>
      <c r="Q7" s="64">
        <v>30000</v>
      </c>
      <c r="S7" s="66" t="s">
        <v>40</v>
      </c>
      <c r="T7" s="68" t="s">
        <v>99</v>
      </c>
      <c r="U7" s="69" t="s">
        <v>98</v>
      </c>
      <c r="V7"/>
    </row>
    <row r="8" spans="1:25" ht="16.05" customHeight="1" x14ac:dyDescent="0.3">
      <c r="B8" s="9" t="s">
        <v>77</v>
      </c>
      <c r="C8" s="9"/>
      <c r="D8" s="9"/>
      <c r="E8" s="9"/>
      <c r="F8" s="10"/>
      <c r="G8" s="10"/>
      <c r="H8" s="11">
        <v>3775</v>
      </c>
      <c r="I8" s="11">
        <v>3775</v>
      </c>
      <c r="J8" s="11">
        <f>14916-K8</f>
        <v>10715</v>
      </c>
      <c r="K8" s="11">
        <v>4201</v>
      </c>
      <c r="L8" s="11">
        <v>56766</v>
      </c>
      <c r="M8" s="11">
        <f>109697-L8-K8-J8</f>
        <v>38015</v>
      </c>
      <c r="N8" s="11">
        <f>113612-O8</f>
        <v>83149</v>
      </c>
      <c r="O8" s="11">
        <v>30463</v>
      </c>
      <c r="P8" s="11">
        <v>28500</v>
      </c>
      <c r="Q8" s="12">
        <v>27500</v>
      </c>
      <c r="S8" s="66" t="s">
        <v>44</v>
      </c>
      <c r="T8" s="68">
        <v>0.01</v>
      </c>
      <c r="U8" s="69">
        <v>0.12</v>
      </c>
      <c r="V8"/>
      <c r="W8"/>
      <c r="X8"/>
      <c r="Y8"/>
    </row>
    <row r="9" spans="1:25" ht="16.05" customHeight="1" x14ac:dyDescent="0.3">
      <c r="B9" s="9" t="s">
        <v>50</v>
      </c>
      <c r="C9" s="9"/>
      <c r="D9" s="9"/>
      <c r="E9" s="9"/>
      <c r="F9" s="10"/>
      <c r="G9" s="10"/>
      <c r="H9" s="11">
        <f t="shared" ref="H9:Q9" si="0">H7-H8</f>
        <v>1647</v>
      </c>
      <c r="I9" s="11">
        <f t="shared" si="0"/>
        <v>1647</v>
      </c>
      <c r="J9" s="11">
        <f t="shared" si="0"/>
        <v>909</v>
      </c>
      <c r="K9" s="11">
        <f t="shared" si="0"/>
        <v>713</v>
      </c>
      <c r="L9" s="11">
        <f t="shared" si="0"/>
        <v>3718</v>
      </c>
      <c r="M9" s="11">
        <f t="shared" si="0"/>
        <v>2482</v>
      </c>
      <c r="N9" s="11">
        <f t="shared" si="0"/>
        <v>7028</v>
      </c>
      <c r="O9" s="11">
        <f t="shared" si="0"/>
        <v>2539</v>
      </c>
      <c r="P9" s="11">
        <f t="shared" si="0"/>
        <v>2610</v>
      </c>
      <c r="Q9" s="12">
        <f t="shared" si="0"/>
        <v>2500</v>
      </c>
      <c r="S9" s="67" t="s">
        <v>100</v>
      </c>
      <c r="T9" s="67"/>
      <c r="U9" s="67">
        <f>0.03+0.05+0.06+0.05</f>
        <v>0.19</v>
      </c>
    </row>
    <row r="10" spans="1:25" ht="16.05" customHeight="1" x14ac:dyDescent="0.3">
      <c r="B10" s="13" t="s">
        <v>76</v>
      </c>
      <c r="C10" s="13"/>
      <c r="D10" s="14"/>
      <c r="E10" s="14"/>
      <c r="F10" s="15"/>
      <c r="G10" s="15"/>
      <c r="H10" s="16">
        <f t="shared" ref="H10:Q10" si="1">H9/H7</f>
        <v>0.30376244928070822</v>
      </c>
      <c r="I10" s="16">
        <f t="shared" si="1"/>
        <v>0.30376244928070822</v>
      </c>
      <c r="J10" s="16">
        <f t="shared" si="1"/>
        <v>7.8200275292498275E-2</v>
      </c>
      <c r="K10" s="16">
        <f t="shared" si="1"/>
        <v>0.1450956450956451</v>
      </c>
      <c r="L10" s="16">
        <f t="shared" si="1"/>
        <v>6.1470802195621982E-2</v>
      </c>
      <c r="M10" s="16">
        <f t="shared" si="1"/>
        <v>6.1288490505469542E-2</v>
      </c>
      <c r="N10" s="16">
        <f t="shared" si="1"/>
        <v>7.793561551171585E-2</v>
      </c>
      <c r="O10" s="16">
        <f t="shared" si="1"/>
        <v>7.6934731228410394E-2</v>
      </c>
      <c r="P10" s="16">
        <f t="shared" si="1"/>
        <v>8.3895853423336553E-2</v>
      </c>
      <c r="Q10" s="17">
        <f t="shared" si="1"/>
        <v>8.3333333333333329E-2</v>
      </c>
      <c r="S10" s="67" t="s">
        <v>97</v>
      </c>
      <c r="T10" s="67"/>
      <c r="U10" s="67">
        <v>14.68</v>
      </c>
    </row>
    <row r="11" spans="1:25" ht="16.05" customHeight="1" x14ac:dyDescent="0.3">
      <c r="B11" s="13" t="s">
        <v>79</v>
      </c>
      <c r="C11" s="13"/>
      <c r="D11" s="13"/>
      <c r="E11" s="13"/>
      <c r="F11" s="18"/>
      <c r="G11" s="18"/>
      <c r="H11" s="18"/>
      <c r="I11" s="18"/>
      <c r="J11" s="16">
        <f t="shared" ref="J11:P11" si="2">J7/F7-1</f>
        <v>5.7346465816917727</v>
      </c>
      <c r="K11" s="16">
        <f t="shared" si="2"/>
        <v>-0.53610875106202216</v>
      </c>
      <c r="L11" s="16">
        <f t="shared" si="2"/>
        <v>10.15529324972335</v>
      </c>
      <c r="M11" s="16">
        <f t="shared" si="2"/>
        <v>6.4690151235706379</v>
      </c>
      <c r="N11" s="16">
        <f t="shared" si="2"/>
        <v>6.7578286304198212</v>
      </c>
      <c r="O11" s="16">
        <f t="shared" si="2"/>
        <v>5.7159137159137163</v>
      </c>
      <c r="P11" s="16">
        <f t="shared" si="2"/>
        <v>-0.48564909728192585</v>
      </c>
      <c r="Q11" s="17">
        <f>Q7/M7-1</f>
        <v>-0.25920438551003777</v>
      </c>
    </row>
    <row r="12" spans="1:25" ht="16.05" customHeight="1" x14ac:dyDescent="0.3"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1"/>
      <c r="Q12" s="21"/>
      <c r="R12" s="21"/>
      <c r="S12" s="4"/>
    </row>
    <row r="13" spans="1:25" ht="16.05" customHeight="1" x14ac:dyDescent="0.3">
      <c r="B13" s="5" t="s">
        <v>70</v>
      </c>
      <c r="C13" s="6"/>
      <c r="D13" s="6"/>
      <c r="E13" s="6"/>
      <c r="F13" s="7">
        <v>2236</v>
      </c>
      <c r="G13" s="7">
        <v>1564</v>
      </c>
      <c r="H13" s="7">
        <v>1804</v>
      </c>
      <c r="I13" s="7">
        <v>1804</v>
      </c>
      <c r="J13" s="7">
        <f>4431-K13</f>
        <v>2146</v>
      </c>
      <c r="K13" s="7">
        <v>2285</v>
      </c>
      <c r="L13" s="7">
        <v>1954</v>
      </c>
      <c r="M13" s="7">
        <f>8005-L13-K13-J13</f>
        <v>1620</v>
      </c>
      <c r="N13" s="7">
        <f>2780-O13</f>
        <v>1298</v>
      </c>
      <c r="O13" s="7">
        <v>1482</v>
      </c>
      <c r="P13" s="7">
        <v>1600</v>
      </c>
      <c r="Q13" s="64">
        <v>1944</v>
      </c>
    </row>
    <row r="14" spans="1:25" ht="16.05" customHeight="1" x14ac:dyDescent="0.3">
      <c r="B14" s="9" t="s">
        <v>77</v>
      </c>
      <c r="C14" s="9"/>
      <c r="D14" s="9"/>
      <c r="E14" s="9"/>
      <c r="F14" s="10"/>
      <c r="G14" s="10"/>
      <c r="H14" s="11">
        <v>773</v>
      </c>
      <c r="I14" s="11">
        <v>773</v>
      </c>
      <c r="J14" s="11">
        <f>1543-K14</f>
        <v>945</v>
      </c>
      <c r="K14" s="11">
        <v>598</v>
      </c>
      <c r="L14" s="11">
        <v>1228</v>
      </c>
      <c r="M14" s="11">
        <f>3075-L14-K14-J14</f>
        <v>304</v>
      </c>
      <c r="N14" s="11">
        <f>1148-O14</f>
        <v>767</v>
      </c>
      <c r="O14" s="11">
        <v>381</v>
      </c>
      <c r="P14" s="11">
        <v>700</v>
      </c>
      <c r="Q14" s="12">
        <v>836</v>
      </c>
    </row>
    <row r="15" spans="1:25" ht="16.05" customHeight="1" x14ac:dyDescent="0.3">
      <c r="B15" s="9" t="s">
        <v>50</v>
      </c>
      <c r="C15" s="9"/>
      <c r="D15" s="9"/>
      <c r="E15" s="9"/>
      <c r="F15" s="10"/>
      <c r="G15" s="10"/>
      <c r="H15" s="11">
        <f t="shared" ref="H15:Q15" si="3">H13-H14</f>
        <v>1031</v>
      </c>
      <c r="I15" s="11">
        <f t="shared" si="3"/>
        <v>1031</v>
      </c>
      <c r="J15" s="11">
        <f t="shared" si="3"/>
        <v>1201</v>
      </c>
      <c r="K15" s="11">
        <f t="shared" si="3"/>
        <v>1687</v>
      </c>
      <c r="L15" s="11">
        <f t="shared" si="3"/>
        <v>726</v>
      </c>
      <c r="M15" s="11">
        <f t="shared" si="3"/>
        <v>1316</v>
      </c>
      <c r="N15" s="11">
        <f t="shared" si="3"/>
        <v>531</v>
      </c>
      <c r="O15" s="11">
        <f t="shared" si="3"/>
        <v>1101</v>
      </c>
      <c r="P15" s="11">
        <f t="shared" si="3"/>
        <v>900</v>
      </c>
      <c r="Q15" s="12">
        <f t="shared" si="3"/>
        <v>1108</v>
      </c>
    </row>
    <row r="16" spans="1:25" ht="16.05" customHeight="1" x14ac:dyDescent="0.3">
      <c r="B16" s="13" t="s">
        <v>76</v>
      </c>
      <c r="C16" s="13"/>
      <c r="D16" s="13"/>
      <c r="E16" s="14"/>
      <c r="F16" s="15"/>
      <c r="G16" s="15"/>
      <c r="H16" s="16">
        <f t="shared" ref="H16:Q16" si="4">H15/H13</f>
        <v>0.5715077605321508</v>
      </c>
      <c r="I16" s="16">
        <f t="shared" si="4"/>
        <v>0.5715077605321508</v>
      </c>
      <c r="J16" s="16">
        <f t="shared" si="4"/>
        <v>0.55964585274930101</v>
      </c>
      <c r="K16" s="16">
        <f t="shared" si="4"/>
        <v>0.73829321663019698</v>
      </c>
      <c r="L16" s="16">
        <f t="shared" si="4"/>
        <v>0.37154554759467756</v>
      </c>
      <c r="M16" s="16">
        <f t="shared" si="4"/>
        <v>0.81234567901234567</v>
      </c>
      <c r="N16" s="16">
        <f t="shared" si="4"/>
        <v>0.40909090909090912</v>
      </c>
      <c r="O16" s="16">
        <f t="shared" si="4"/>
        <v>0.74291497975708498</v>
      </c>
      <c r="P16" s="16">
        <f t="shared" si="4"/>
        <v>0.5625</v>
      </c>
      <c r="Q16" s="17">
        <f t="shared" si="4"/>
        <v>0.56995884773662553</v>
      </c>
    </row>
    <row r="17" spans="2:19" ht="16.05" customHeight="1" x14ac:dyDescent="0.3">
      <c r="B17" s="13" t="s">
        <v>79</v>
      </c>
      <c r="C17" s="13"/>
      <c r="D17" s="13"/>
      <c r="E17" s="13"/>
      <c r="F17" s="18"/>
      <c r="G17" s="18"/>
      <c r="H17" s="18"/>
      <c r="I17" s="18"/>
      <c r="J17" s="16">
        <f t="shared" ref="J17:Q17" si="5">J13/F13-1</f>
        <v>-4.0250447227191399E-2</v>
      </c>
      <c r="K17" s="16">
        <f t="shared" si="5"/>
        <v>0.46099744245524299</v>
      </c>
      <c r="L17" s="16">
        <f t="shared" si="5"/>
        <v>8.314855875831495E-2</v>
      </c>
      <c r="M17" s="16">
        <f t="shared" si="5"/>
        <v>-0.10199556541019961</v>
      </c>
      <c r="N17" s="16">
        <f t="shared" si="5"/>
        <v>-0.39515377446411926</v>
      </c>
      <c r="O17" s="16">
        <f t="shared" si="5"/>
        <v>-0.35142231947483593</v>
      </c>
      <c r="P17" s="16">
        <f t="shared" si="5"/>
        <v>-0.18116683725690885</v>
      </c>
      <c r="Q17" s="17">
        <f t="shared" si="5"/>
        <v>0.19999999999999996</v>
      </c>
    </row>
    <row r="18" spans="2:19" ht="16.05" customHeight="1" x14ac:dyDescent="0.3">
      <c r="F18" s="19"/>
      <c r="G18" s="19"/>
      <c r="H18" s="21"/>
      <c r="I18" s="21"/>
      <c r="J18" s="21"/>
      <c r="K18" s="21"/>
      <c r="L18" s="21"/>
      <c r="M18" s="21"/>
      <c r="N18" s="21"/>
      <c r="O18" s="20"/>
      <c r="P18" s="21"/>
      <c r="Q18" s="21"/>
    </row>
    <row r="19" spans="2:19" ht="16.05" customHeight="1" x14ac:dyDescent="0.3">
      <c r="B19" s="5" t="s">
        <v>71</v>
      </c>
      <c r="C19" s="6"/>
      <c r="D19" s="6"/>
      <c r="E19" s="7"/>
      <c r="F19" s="7">
        <v>2612</v>
      </c>
      <c r="G19" s="7">
        <v>2380</v>
      </c>
      <c r="H19" s="7">
        <v>1654</v>
      </c>
      <c r="I19" s="7">
        <v>1654</v>
      </c>
      <c r="J19" s="7">
        <f>7083-K19</f>
        <v>2123</v>
      </c>
      <c r="K19" s="7">
        <v>4960</v>
      </c>
      <c r="L19" s="7">
        <v>7630</v>
      </c>
      <c r="M19" s="7">
        <f>22620-L19-K19-J19</f>
        <v>7907</v>
      </c>
      <c r="N19" s="7">
        <f>16970-O19</f>
        <v>7484</v>
      </c>
      <c r="O19" s="7">
        <v>9486</v>
      </c>
      <c r="P19" s="7">
        <v>9200</v>
      </c>
      <c r="Q19" s="8">
        <v>10674</v>
      </c>
    </row>
    <row r="20" spans="2:19" ht="16.05" customHeight="1" x14ac:dyDescent="0.3">
      <c r="B20" s="9" t="s">
        <v>77</v>
      </c>
      <c r="C20" s="9"/>
      <c r="D20" s="9"/>
      <c r="E20" s="11"/>
      <c r="F20" s="10"/>
      <c r="G20" s="10"/>
      <c r="H20" s="11">
        <v>1502</v>
      </c>
      <c r="I20" s="11">
        <v>1502</v>
      </c>
      <c r="J20" s="11">
        <f>4343-K20</f>
        <v>1519</v>
      </c>
      <c r="K20" s="11">
        <v>2824</v>
      </c>
      <c r="L20" s="11">
        <v>4187</v>
      </c>
      <c r="M20" s="11">
        <f>13021-L20-K20-J20</f>
        <v>4491</v>
      </c>
      <c r="N20" s="11">
        <f>11144-O20</f>
        <v>5833</v>
      </c>
      <c r="O20" s="11">
        <v>5311</v>
      </c>
      <c r="P20" s="11">
        <v>8000</v>
      </c>
      <c r="Q20" s="22">
        <v>7145</v>
      </c>
    </row>
    <row r="21" spans="2:19" ht="16.05" customHeight="1" x14ac:dyDescent="0.3">
      <c r="B21" s="9" t="s">
        <v>50</v>
      </c>
      <c r="C21" s="9"/>
      <c r="D21" s="9"/>
      <c r="E21" s="11"/>
      <c r="F21" s="10"/>
      <c r="G21" s="10"/>
      <c r="H21" s="11">
        <f t="shared" ref="H21:Q21" si="6">H19-H20</f>
        <v>152</v>
      </c>
      <c r="I21" s="11">
        <f t="shared" si="6"/>
        <v>152</v>
      </c>
      <c r="J21" s="11">
        <f t="shared" si="6"/>
        <v>604</v>
      </c>
      <c r="K21" s="11">
        <f t="shared" si="6"/>
        <v>2136</v>
      </c>
      <c r="L21" s="11">
        <f t="shared" si="6"/>
        <v>3443</v>
      </c>
      <c r="M21" s="11">
        <f t="shared" si="6"/>
        <v>3416</v>
      </c>
      <c r="N21" s="11">
        <f t="shared" si="6"/>
        <v>1651</v>
      </c>
      <c r="O21" s="11">
        <f t="shared" si="6"/>
        <v>4175</v>
      </c>
      <c r="P21" s="11">
        <f t="shared" si="6"/>
        <v>1200</v>
      </c>
      <c r="Q21" s="23">
        <f t="shared" si="6"/>
        <v>3529</v>
      </c>
    </row>
    <row r="22" spans="2:19" ht="16.05" customHeight="1" x14ac:dyDescent="0.3">
      <c r="B22" s="13" t="s">
        <v>76</v>
      </c>
      <c r="C22" s="13"/>
      <c r="D22" s="13"/>
      <c r="E22" s="24"/>
      <c r="F22" s="15"/>
      <c r="G22" s="15"/>
      <c r="H22" s="16">
        <f t="shared" ref="H22:Q22" si="7">H21/H19</f>
        <v>9.1898428053204348E-2</v>
      </c>
      <c r="I22" s="16">
        <f t="shared" si="7"/>
        <v>9.1898428053204348E-2</v>
      </c>
      <c r="J22" s="16">
        <f t="shared" si="7"/>
        <v>0.28450306170513423</v>
      </c>
      <c r="K22" s="16">
        <f t="shared" si="7"/>
        <v>0.4306451612903226</v>
      </c>
      <c r="L22" s="16">
        <f t="shared" si="7"/>
        <v>0.45124508519003931</v>
      </c>
      <c r="M22" s="16">
        <f t="shared" si="7"/>
        <v>0.43202225875806249</v>
      </c>
      <c r="N22" s="16">
        <f t="shared" si="7"/>
        <v>0.22060395510422234</v>
      </c>
      <c r="O22" s="16">
        <f t="shared" si="7"/>
        <v>0.4401222854733291</v>
      </c>
      <c r="P22" s="16">
        <f t="shared" si="7"/>
        <v>0.13043478260869565</v>
      </c>
      <c r="Q22" s="17">
        <f t="shared" si="7"/>
        <v>0.33061645118980698</v>
      </c>
    </row>
    <row r="23" spans="2:19" ht="16.05" customHeight="1" x14ac:dyDescent="0.3">
      <c r="B23" s="13" t="s">
        <v>79</v>
      </c>
      <c r="C23" s="13"/>
      <c r="D23" s="13"/>
      <c r="E23" s="25"/>
      <c r="F23" s="18"/>
      <c r="G23" s="18"/>
      <c r="H23" s="18"/>
      <c r="I23" s="18"/>
      <c r="J23" s="16">
        <f t="shared" ref="J23:Q23" si="8">J19/F19-1</f>
        <v>-0.18721286370597245</v>
      </c>
      <c r="K23" s="16">
        <f t="shared" si="8"/>
        <v>1.0840336134453783</v>
      </c>
      <c r="L23" s="16">
        <f t="shared" si="8"/>
        <v>3.6130592503022978</v>
      </c>
      <c r="M23" s="16">
        <f t="shared" si="8"/>
        <v>3.7805320435308341</v>
      </c>
      <c r="N23" s="16">
        <f t="shared" si="8"/>
        <v>2.5252001884126236</v>
      </c>
      <c r="O23" s="16">
        <f t="shared" si="8"/>
        <v>0.91250000000000009</v>
      </c>
      <c r="P23" s="16">
        <f t="shared" si="8"/>
        <v>0.20576671035386629</v>
      </c>
      <c r="Q23" s="17">
        <f t="shared" si="8"/>
        <v>0.34994308840268107</v>
      </c>
    </row>
    <row r="24" spans="2:19" ht="16.05" customHeight="1" x14ac:dyDescent="0.3"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2:19" ht="16.05" customHeight="1" x14ac:dyDescent="0.3">
      <c r="B25" s="5" t="s">
        <v>68</v>
      </c>
      <c r="C25" s="6"/>
      <c r="D25" s="6"/>
      <c r="E25" s="7"/>
      <c r="F25" s="7">
        <v>6574</v>
      </c>
      <c r="G25" s="7">
        <v>14537</v>
      </c>
      <c r="H25" s="7">
        <f t="shared" ref="H25:Q25" si="9">H7+H13+H19</f>
        <v>8880</v>
      </c>
      <c r="I25" s="7">
        <f t="shared" si="9"/>
        <v>8880</v>
      </c>
      <c r="J25" s="7">
        <f t="shared" si="9"/>
        <v>15893</v>
      </c>
      <c r="K25" s="7">
        <f t="shared" si="9"/>
        <v>12159</v>
      </c>
      <c r="L25" s="7">
        <f t="shared" si="9"/>
        <v>70068</v>
      </c>
      <c r="M25" s="7">
        <f t="shared" si="9"/>
        <v>50024</v>
      </c>
      <c r="N25" s="7">
        <f t="shared" si="9"/>
        <v>98959</v>
      </c>
      <c r="O25" s="7">
        <f t="shared" si="9"/>
        <v>43970</v>
      </c>
      <c r="P25" s="7">
        <f t="shared" si="9"/>
        <v>41910</v>
      </c>
      <c r="Q25" s="8">
        <f t="shared" si="9"/>
        <v>42618</v>
      </c>
      <c r="R25" s="1"/>
    </row>
    <row r="26" spans="2:19" ht="16.05" customHeight="1" x14ac:dyDescent="0.3">
      <c r="B26" s="9" t="s">
        <v>49</v>
      </c>
      <c r="C26" s="9"/>
      <c r="D26" s="9"/>
      <c r="E26" s="11"/>
      <c r="F26" s="11">
        <v>4888</v>
      </c>
      <c r="G26" s="11">
        <v>11315</v>
      </c>
      <c r="H26" s="11">
        <f t="shared" ref="H26:Q26" si="10">H8+H14+H20</f>
        <v>6050</v>
      </c>
      <c r="I26" s="11">
        <f t="shared" si="10"/>
        <v>6050</v>
      </c>
      <c r="J26" s="11">
        <f t="shared" si="10"/>
        <v>13179</v>
      </c>
      <c r="K26" s="11">
        <f t="shared" si="10"/>
        <v>7623</v>
      </c>
      <c r="L26" s="11">
        <f t="shared" si="10"/>
        <v>62181</v>
      </c>
      <c r="M26" s="11">
        <f t="shared" si="10"/>
        <v>42810</v>
      </c>
      <c r="N26" s="11">
        <f t="shared" si="10"/>
        <v>89749</v>
      </c>
      <c r="O26" s="11">
        <f t="shared" si="10"/>
        <v>36155</v>
      </c>
      <c r="P26" s="11">
        <f t="shared" si="10"/>
        <v>37200</v>
      </c>
      <c r="Q26" s="12">
        <f t="shared" si="10"/>
        <v>35481</v>
      </c>
    </row>
    <row r="27" spans="2:19" ht="16.05" customHeight="1" x14ac:dyDescent="0.3">
      <c r="B27" s="26" t="s">
        <v>50</v>
      </c>
      <c r="C27" s="9"/>
      <c r="D27" s="9"/>
      <c r="E27" s="11"/>
      <c r="F27" s="11">
        <f t="shared" ref="F27:Q27" si="11">F25-F26</f>
        <v>1686</v>
      </c>
      <c r="G27" s="11">
        <f t="shared" si="11"/>
        <v>3222</v>
      </c>
      <c r="H27" s="11">
        <f t="shared" si="11"/>
        <v>2830</v>
      </c>
      <c r="I27" s="11">
        <f t="shared" si="11"/>
        <v>2830</v>
      </c>
      <c r="J27" s="11">
        <f t="shared" si="11"/>
        <v>2714</v>
      </c>
      <c r="K27" s="11">
        <f t="shared" si="11"/>
        <v>4536</v>
      </c>
      <c r="L27" s="11">
        <f t="shared" si="11"/>
        <v>7887</v>
      </c>
      <c r="M27" s="11">
        <f t="shared" si="11"/>
        <v>7214</v>
      </c>
      <c r="N27" s="11">
        <f t="shared" si="11"/>
        <v>9210</v>
      </c>
      <c r="O27" s="11">
        <f t="shared" si="11"/>
        <v>7815</v>
      </c>
      <c r="P27" s="11">
        <f t="shared" si="11"/>
        <v>4710</v>
      </c>
      <c r="Q27" s="12">
        <f t="shared" si="11"/>
        <v>7137</v>
      </c>
      <c r="S27" s="21"/>
    </row>
    <row r="28" spans="2:19" ht="16.05" customHeight="1" x14ac:dyDescent="0.3">
      <c r="B28" s="13" t="s">
        <v>75</v>
      </c>
      <c r="C28" s="13"/>
      <c r="D28" s="13"/>
      <c r="E28" s="25"/>
      <c r="F28" s="16">
        <f t="shared" ref="F28:Q28" si="12">F27/F25</f>
        <v>0.25646486157590509</v>
      </c>
      <c r="G28" s="16">
        <f t="shared" si="12"/>
        <v>0.22164132902249434</v>
      </c>
      <c r="H28" s="16">
        <f t="shared" si="12"/>
        <v>0.31869369369369371</v>
      </c>
      <c r="I28" s="16">
        <f t="shared" si="12"/>
        <v>0.31869369369369371</v>
      </c>
      <c r="J28" s="16">
        <f t="shared" si="12"/>
        <v>0.170767004341534</v>
      </c>
      <c r="K28" s="16">
        <f t="shared" si="12"/>
        <v>0.37305699481865284</v>
      </c>
      <c r="L28" s="16">
        <f t="shared" si="12"/>
        <v>0.11256208254838157</v>
      </c>
      <c r="M28" s="16">
        <f t="shared" si="12"/>
        <v>0.14421077882616345</v>
      </c>
      <c r="N28" s="16">
        <f t="shared" si="12"/>
        <v>9.3068846694085425E-2</v>
      </c>
      <c r="O28" s="16">
        <f t="shared" si="12"/>
        <v>0.17773481919490561</v>
      </c>
      <c r="P28" s="16">
        <f t="shared" si="12"/>
        <v>0.11238367931281316</v>
      </c>
      <c r="Q28" s="17">
        <f t="shared" si="12"/>
        <v>0.16746445164015206</v>
      </c>
      <c r="S28" s="21"/>
    </row>
    <row r="29" spans="2:19" ht="16.05" customHeight="1" x14ac:dyDescent="0.3">
      <c r="P29" s="16">
        <f t="shared" ref="P29:Q29" si="13">P25/L25-1</f>
        <v>-0.40186675800650795</v>
      </c>
      <c r="Q29" s="17">
        <f t="shared" si="13"/>
        <v>-0.14804893651047502</v>
      </c>
    </row>
    <row r="30" spans="2:19" ht="16.05" customHeight="1" x14ac:dyDescent="0.3"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2:19" ht="16.05" customHeight="1" x14ac:dyDescent="0.3">
      <c r="B31" s="1" t="s">
        <v>51</v>
      </c>
      <c r="E31" s="21"/>
      <c r="F31" s="21">
        <v>2262</v>
      </c>
      <c r="G31" s="21">
        <v>2159</v>
      </c>
      <c r="H31" s="21">
        <v>2043</v>
      </c>
      <c r="I31" s="21">
        <v>2467</v>
      </c>
      <c r="J31" s="21">
        <v>2389</v>
      </c>
      <c r="K31" s="21">
        <v>2719</v>
      </c>
      <c r="L31" s="21">
        <v>3885</v>
      </c>
      <c r="M31" s="21">
        <v>4247</v>
      </c>
      <c r="N31" s="21">
        <v>4887</v>
      </c>
      <c r="O31" s="21">
        <v>4735</v>
      </c>
      <c r="P31" s="21">
        <v>6986</v>
      </c>
      <c r="Q31" s="21">
        <v>4769</v>
      </c>
    </row>
    <row r="32" spans="2:19" ht="16.05" customHeight="1" x14ac:dyDescent="0.3">
      <c r="B32" s="1" t="s">
        <v>80</v>
      </c>
      <c r="E32" s="21"/>
      <c r="F32" s="21">
        <v>2351</v>
      </c>
      <c r="G32" s="21">
        <v>2247</v>
      </c>
      <c r="H32" s="21">
        <v>2115</v>
      </c>
      <c r="I32" s="21">
        <v>2538</v>
      </c>
      <c r="J32" s="21">
        <v>2461</v>
      </c>
      <c r="K32" s="21">
        <v>2836</v>
      </c>
      <c r="L32" s="21">
        <v>4093</v>
      </c>
      <c r="M32" s="21">
        <v>4458</v>
      </c>
      <c r="N32" s="21">
        <v>5097</v>
      </c>
      <c r="O32" s="21">
        <v>5579</v>
      </c>
      <c r="P32" s="21">
        <v>7568</v>
      </c>
      <c r="Q32" s="21">
        <v>5135</v>
      </c>
    </row>
    <row r="33" spans="2:21" ht="16.05" customHeight="1" x14ac:dyDescent="0.3">
      <c r="B33" s="27" t="s">
        <v>52</v>
      </c>
      <c r="E33" s="21"/>
      <c r="F33" s="21">
        <f t="shared" ref="F33:N33" si="14">F27-F32</f>
        <v>-665</v>
      </c>
      <c r="G33" s="21">
        <f t="shared" si="14"/>
        <v>975</v>
      </c>
      <c r="H33" s="21">
        <f t="shared" si="14"/>
        <v>715</v>
      </c>
      <c r="I33" s="21">
        <f t="shared" si="14"/>
        <v>292</v>
      </c>
      <c r="J33" s="21">
        <f t="shared" si="14"/>
        <v>253</v>
      </c>
      <c r="K33" s="21">
        <f t="shared" si="14"/>
        <v>1700</v>
      </c>
      <c r="L33" s="21">
        <f t="shared" si="14"/>
        <v>3794</v>
      </c>
      <c r="M33" s="21">
        <f t="shared" si="14"/>
        <v>2756</v>
      </c>
      <c r="N33" s="21">
        <f t="shared" si="14"/>
        <v>4113</v>
      </c>
      <c r="O33" s="21">
        <f>O27-O32</f>
        <v>2236</v>
      </c>
      <c r="P33" s="21">
        <f>P27-P32</f>
        <v>-2858</v>
      </c>
      <c r="Q33" s="21">
        <f>Q27-Q32</f>
        <v>2002</v>
      </c>
    </row>
    <row r="34" spans="2:21" ht="16.05" customHeight="1" x14ac:dyDescent="0.3">
      <c r="B34" s="28" t="s">
        <v>75</v>
      </c>
      <c r="C34" s="28"/>
      <c r="D34" s="28"/>
      <c r="E34" s="29"/>
      <c r="F34" s="16">
        <f t="shared" ref="F34:N34" si="15">F33/F25</f>
        <v>-0.10115606936416185</v>
      </c>
      <c r="G34" s="16">
        <f t="shared" si="15"/>
        <v>6.7070234573846046E-2</v>
      </c>
      <c r="H34" s="16">
        <f t="shared" si="15"/>
        <v>8.0518018018018014E-2</v>
      </c>
      <c r="I34" s="16">
        <f t="shared" si="15"/>
        <v>3.288288288288288E-2</v>
      </c>
      <c r="J34" s="16">
        <f t="shared" si="15"/>
        <v>1.5918958031837915E-2</v>
      </c>
      <c r="K34" s="16">
        <f t="shared" si="15"/>
        <v>0.13981412945143515</v>
      </c>
      <c r="L34" s="16">
        <f t="shared" si="15"/>
        <v>5.4147399668893079E-2</v>
      </c>
      <c r="M34" s="16">
        <f t="shared" si="15"/>
        <v>5.5093555093555097E-2</v>
      </c>
      <c r="N34" s="16">
        <f t="shared" si="15"/>
        <v>4.1562667367293527E-2</v>
      </c>
      <c r="O34" s="16">
        <f>O33/O25</f>
        <v>5.0852854218785534E-2</v>
      </c>
      <c r="P34" s="16">
        <f>P33/P25</f>
        <v>-6.8193748508709143E-2</v>
      </c>
      <c r="Q34" s="16">
        <f>Q33/Q25</f>
        <v>4.6975456379933361E-2</v>
      </c>
    </row>
    <row r="35" spans="2:21" ht="16.05" customHeight="1" x14ac:dyDescent="0.3">
      <c r="B35" s="28" t="s">
        <v>78</v>
      </c>
      <c r="E35" s="21"/>
      <c r="F35" s="16"/>
      <c r="G35" s="16"/>
      <c r="H35" s="16"/>
      <c r="I35" s="16"/>
      <c r="J35" s="16"/>
      <c r="K35" s="16">
        <f t="shared" ref="K35:N35" si="16">K33/G33-1</f>
        <v>0.74358974358974361</v>
      </c>
      <c r="L35" s="16">
        <f t="shared" si="16"/>
        <v>4.3062937062937063</v>
      </c>
      <c r="M35" s="16">
        <f t="shared" si="16"/>
        <v>8.4383561643835616</v>
      </c>
      <c r="N35" s="16">
        <f t="shared" si="16"/>
        <v>15.25691699604743</v>
      </c>
      <c r="O35" s="16">
        <f>O33/K33-1</f>
        <v>0.31529411764705872</v>
      </c>
      <c r="P35" s="16">
        <f>P33/L33-1</f>
        <v>-1.7532946758039007</v>
      </c>
      <c r="Q35" s="16">
        <f>Q33/M33-1</f>
        <v>-0.27358490566037741</v>
      </c>
    </row>
    <row r="36" spans="2:21" ht="16.05" customHeight="1" x14ac:dyDescent="0.3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2:21" ht="16.05" customHeight="1" x14ac:dyDescent="0.3">
      <c r="B37" s="1" t="s">
        <v>64</v>
      </c>
      <c r="E37" s="21"/>
      <c r="F37" s="21">
        <v>89</v>
      </c>
      <c r="G37" s="21">
        <v>88</v>
      </c>
      <c r="H37" s="21">
        <v>95</v>
      </c>
      <c r="I37" s="21">
        <v>48</v>
      </c>
      <c r="J37" s="21">
        <v>72</v>
      </c>
      <c r="K37" s="21">
        <v>116</v>
      </c>
      <c r="L37" s="21">
        <v>209</v>
      </c>
      <c r="M37" s="21">
        <v>211</v>
      </c>
      <c r="N37" s="21">
        <v>210</v>
      </c>
      <c r="O37" s="21">
        <v>844</v>
      </c>
      <c r="P37" s="4">
        <v>830</v>
      </c>
      <c r="Q37" s="4">
        <v>890</v>
      </c>
    </row>
    <row r="38" spans="2:21" ht="16.05" customHeight="1" x14ac:dyDescent="0.3">
      <c r="B38" s="27" t="s">
        <v>40</v>
      </c>
      <c r="E38" s="21"/>
      <c r="F38" s="21">
        <f t="shared" ref="F38:N38" si="17">F33+F37</f>
        <v>-576</v>
      </c>
      <c r="G38" s="21">
        <f t="shared" si="17"/>
        <v>1063</v>
      </c>
      <c r="H38" s="21">
        <f t="shared" si="17"/>
        <v>810</v>
      </c>
      <c r="I38" s="21">
        <f t="shared" si="17"/>
        <v>340</v>
      </c>
      <c r="J38" s="21">
        <f t="shared" si="17"/>
        <v>325</v>
      </c>
      <c r="K38" s="21">
        <f t="shared" si="17"/>
        <v>1816</v>
      </c>
      <c r="L38" s="21">
        <f t="shared" si="17"/>
        <v>4003</v>
      </c>
      <c r="M38" s="21">
        <f t="shared" si="17"/>
        <v>2967</v>
      </c>
      <c r="N38" s="21">
        <f t="shared" si="17"/>
        <v>4323</v>
      </c>
      <c r="O38" s="21">
        <f>O33+O37</f>
        <v>3080</v>
      </c>
      <c r="P38" s="21">
        <f>P33+P37</f>
        <v>-2028</v>
      </c>
      <c r="Q38" s="21">
        <f>Q33+Q37</f>
        <v>2892</v>
      </c>
      <c r="T38" s="21"/>
      <c r="U38" s="21"/>
    </row>
    <row r="39" spans="2:21" ht="16.05" customHeight="1" x14ac:dyDescent="0.3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2:21" ht="16.05" customHeight="1" x14ac:dyDescent="0.3">
      <c r="B40" s="1" t="s">
        <v>65</v>
      </c>
      <c r="E40" s="21"/>
      <c r="F40" s="21">
        <v>-112</v>
      </c>
      <c r="G40" s="21">
        <v>648</v>
      </c>
      <c r="H40" s="21">
        <v>-481</v>
      </c>
      <c r="I40" s="21">
        <v>-729</v>
      </c>
      <c r="J40" s="21">
        <v>-328</v>
      </c>
      <c r="K40" s="21">
        <v>-378</v>
      </c>
      <c r="L40" s="21">
        <v>-1128</v>
      </c>
      <c r="M40" s="21">
        <v>-1109</v>
      </c>
      <c r="N40" s="21">
        <v>-1468</v>
      </c>
      <c r="O40" s="21">
        <v>-859</v>
      </c>
      <c r="P40" s="21">
        <v>-850</v>
      </c>
      <c r="Q40" s="21">
        <v>-800</v>
      </c>
    </row>
    <row r="41" spans="2:21" ht="16.05" customHeight="1" x14ac:dyDescent="0.3">
      <c r="B41" s="1" t="s">
        <v>81</v>
      </c>
      <c r="F41" s="21">
        <v>0</v>
      </c>
      <c r="G41" s="21">
        <v>0</v>
      </c>
      <c r="H41" s="21">
        <v>0</v>
      </c>
      <c r="I41" s="21">
        <v>355</v>
      </c>
      <c r="J41" s="21">
        <v>100</v>
      </c>
      <c r="K41" s="21">
        <v>106</v>
      </c>
      <c r="L41" s="21">
        <v>0</v>
      </c>
      <c r="M41" s="21">
        <v>562</v>
      </c>
      <c r="N41" s="21">
        <v>383</v>
      </c>
      <c r="O41" s="21">
        <v>175</v>
      </c>
      <c r="P41" s="21">
        <v>200</v>
      </c>
      <c r="Q41" s="21">
        <v>180</v>
      </c>
    </row>
    <row r="42" spans="2:21" ht="16.05" customHeight="1" x14ac:dyDescent="0.3">
      <c r="B42" s="27" t="s">
        <v>53</v>
      </c>
      <c r="E42" s="21"/>
      <c r="F42" s="21">
        <f t="shared" ref="F42:N42" si="18">F33+F40+F41</f>
        <v>-777</v>
      </c>
      <c r="G42" s="21">
        <f t="shared" si="18"/>
        <v>1623</v>
      </c>
      <c r="H42" s="21">
        <f t="shared" si="18"/>
        <v>234</v>
      </c>
      <c r="I42" s="21">
        <f t="shared" si="18"/>
        <v>-82</v>
      </c>
      <c r="J42" s="21">
        <f t="shared" si="18"/>
        <v>25</v>
      </c>
      <c r="K42" s="21">
        <f t="shared" si="18"/>
        <v>1428</v>
      </c>
      <c r="L42" s="21">
        <f t="shared" si="18"/>
        <v>2666</v>
      </c>
      <c r="M42" s="21">
        <f t="shared" si="18"/>
        <v>2209</v>
      </c>
      <c r="N42" s="21">
        <f t="shared" si="18"/>
        <v>3028</v>
      </c>
      <c r="O42" s="21">
        <f>O33+O40+O41</f>
        <v>1552</v>
      </c>
      <c r="P42" s="21">
        <f>P33+P40+P41</f>
        <v>-3508</v>
      </c>
      <c r="Q42" s="21">
        <f>Q33+Q40+Q41</f>
        <v>1382</v>
      </c>
    </row>
    <row r="43" spans="2:21" ht="16.05" customHeight="1" x14ac:dyDescent="0.3"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2:21" ht="16.05" customHeight="1" x14ac:dyDescent="0.3">
      <c r="B44" s="1" t="s">
        <v>82</v>
      </c>
      <c r="F44" s="21">
        <v>9</v>
      </c>
      <c r="G44" s="21">
        <v>12</v>
      </c>
      <c r="H44" s="21">
        <v>24</v>
      </c>
      <c r="I44" s="21">
        <v>15</v>
      </c>
      <c r="J44" s="21">
        <v>10</v>
      </c>
      <c r="K44" s="21">
        <v>26</v>
      </c>
      <c r="L44" s="21">
        <v>20</v>
      </c>
      <c r="M44" s="21">
        <v>102</v>
      </c>
      <c r="N44" s="21">
        <v>49</v>
      </c>
      <c r="O44" s="21">
        <v>69</v>
      </c>
      <c r="P44" s="21">
        <v>225</v>
      </c>
      <c r="Q44" s="21">
        <v>160</v>
      </c>
    </row>
    <row r="45" spans="2:21" ht="16.05" customHeight="1" x14ac:dyDescent="0.3">
      <c r="B45" s="1" t="s">
        <v>83</v>
      </c>
      <c r="F45" s="16">
        <v>0</v>
      </c>
      <c r="G45" s="16">
        <f t="shared" ref="G45:N45" si="19">G44/G42</f>
        <v>7.3937153419593345E-3</v>
      </c>
      <c r="H45" s="16">
        <f t="shared" si="19"/>
        <v>0.10256410256410256</v>
      </c>
      <c r="I45" s="16">
        <f t="shared" si="19"/>
        <v>-0.18292682926829268</v>
      </c>
      <c r="J45" s="16">
        <f t="shared" si="19"/>
        <v>0.4</v>
      </c>
      <c r="K45" s="16">
        <f t="shared" si="19"/>
        <v>1.8207282913165267E-2</v>
      </c>
      <c r="L45" s="16">
        <f t="shared" si="19"/>
        <v>7.5018754688672166E-3</v>
      </c>
      <c r="M45" s="16">
        <f t="shared" si="19"/>
        <v>4.6174739701222274E-2</v>
      </c>
      <c r="N45" s="16">
        <f t="shared" si="19"/>
        <v>1.6182298546895641E-2</v>
      </c>
      <c r="O45" s="16">
        <f>O44/O42</f>
        <v>4.445876288659794E-2</v>
      </c>
      <c r="P45" s="16">
        <f>P44/P42</f>
        <v>-6.4139110604332958E-2</v>
      </c>
      <c r="Q45" s="16">
        <f>Q44/Q42</f>
        <v>0.11577424023154848</v>
      </c>
    </row>
    <row r="46" spans="2:21" ht="16.05" customHeight="1" x14ac:dyDescent="0.3"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2:21" ht="16.05" customHeight="1" x14ac:dyDescent="0.3">
      <c r="B47" s="27" t="s">
        <v>41</v>
      </c>
      <c r="F47" s="21">
        <f t="shared" ref="F47:N47" si="20">F42-F44</f>
        <v>-786</v>
      </c>
      <c r="G47" s="21">
        <f t="shared" si="20"/>
        <v>1611</v>
      </c>
      <c r="H47" s="21">
        <f t="shared" si="20"/>
        <v>210</v>
      </c>
      <c r="I47" s="21">
        <f t="shared" si="20"/>
        <v>-97</v>
      </c>
      <c r="J47" s="21">
        <f t="shared" si="20"/>
        <v>15</v>
      </c>
      <c r="K47" s="21">
        <f t="shared" si="20"/>
        <v>1402</v>
      </c>
      <c r="L47" s="21">
        <f t="shared" si="20"/>
        <v>2646</v>
      </c>
      <c r="M47" s="21">
        <f t="shared" si="20"/>
        <v>2107</v>
      </c>
      <c r="N47" s="21">
        <f t="shared" si="20"/>
        <v>2979</v>
      </c>
      <c r="O47" s="21">
        <f>O42-O44</f>
        <v>1483</v>
      </c>
      <c r="P47" s="21">
        <f>P42-P44</f>
        <v>-3733</v>
      </c>
      <c r="Q47" s="21">
        <f>Q42-Q44</f>
        <v>1222</v>
      </c>
    </row>
    <row r="48" spans="2:21" ht="16.05" customHeight="1" x14ac:dyDescent="0.3">
      <c r="B48" s="13" t="s">
        <v>78</v>
      </c>
      <c r="C48" s="13"/>
      <c r="D48" s="13"/>
      <c r="E48" s="25"/>
      <c r="F48" s="18"/>
      <c r="G48" s="18"/>
      <c r="H48" s="18"/>
      <c r="I48" s="18"/>
      <c r="J48" s="32">
        <f>-(47/F47-1)</f>
        <v>1.059796437659033</v>
      </c>
      <c r="K48" s="32">
        <f t="shared" ref="K48:N48" si="21">K47/G47-1</f>
        <v>-0.12973308504034764</v>
      </c>
      <c r="L48" s="32">
        <f t="shared" si="21"/>
        <v>11.6</v>
      </c>
      <c r="M48" s="32">
        <f>-(M47/I47-1)</f>
        <v>22.721649484536083</v>
      </c>
      <c r="N48" s="32">
        <f t="shared" si="21"/>
        <v>197.6</v>
      </c>
      <c r="O48" s="16">
        <f>O47/K47-1</f>
        <v>5.7774607703281022E-2</v>
      </c>
      <c r="P48" s="16">
        <f>P47/L47-1</f>
        <v>-2.4108087679516252</v>
      </c>
      <c r="Q48" s="16">
        <f>Q47/M47-1</f>
        <v>-0.4200284765068818</v>
      </c>
    </row>
    <row r="49" spans="2:26" ht="16.05" customHeight="1" x14ac:dyDescent="0.3">
      <c r="F49" s="21"/>
      <c r="G49" s="21"/>
      <c r="H49" s="21"/>
      <c r="I49" s="21"/>
      <c r="J49" s="21"/>
      <c r="K49" s="21"/>
      <c r="L49" s="21"/>
      <c r="M49" s="21"/>
      <c r="N49" s="21"/>
      <c r="P49" s="21"/>
      <c r="Q49" s="21"/>
    </row>
    <row r="50" spans="2:26" ht="16.05" customHeight="1" x14ac:dyDescent="0.3">
      <c r="B50" s="1" t="s">
        <v>66</v>
      </c>
      <c r="F50" s="21">
        <v>-13730</v>
      </c>
      <c r="G50" s="21">
        <v>17515</v>
      </c>
      <c r="H50" s="21">
        <v>4554</v>
      </c>
      <c r="I50" s="21">
        <v>-16865</v>
      </c>
      <c r="J50" s="21">
        <v>2607</v>
      </c>
      <c r="K50" s="21">
        <v>-6010</v>
      </c>
      <c r="L50" s="21">
        <v>38582</v>
      </c>
      <c r="M50" s="21">
        <v>-28366</v>
      </c>
      <c r="N50" s="21">
        <v>5764</v>
      </c>
      <c r="O50" s="21">
        <v>5430</v>
      </c>
      <c r="P50" s="21">
        <v>-1591</v>
      </c>
      <c r="Q50" s="21">
        <v>-46</v>
      </c>
    </row>
    <row r="51" spans="2:26" ht="16.05" customHeight="1" x14ac:dyDescent="0.3">
      <c r="B51" s="1" t="s">
        <v>44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5" spans="2:26" ht="16.05" customHeight="1" x14ac:dyDescent="0.3">
      <c r="S55" s="4"/>
      <c r="T55" s="4"/>
      <c r="U55" s="4"/>
      <c r="V55" s="4"/>
      <c r="W55" s="4"/>
      <c r="X55" s="4"/>
      <c r="Y55" s="4"/>
      <c r="Z55" s="4"/>
    </row>
    <row r="56" spans="2:26" ht="16.05" customHeight="1" x14ac:dyDescent="0.3">
      <c r="S56" s="4"/>
      <c r="T56" s="4"/>
      <c r="U56" s="4"/>
      <c r="V56" s="4"/>
      <c r="W56" s="4"/>
      <c r="X56" s="4"/>
      <c r="Y56" s="4"/>
      <c r="Z56" s="4"/>
    </row>
    <row r="57" spans="2:26" ht="16.05" customHeight="1" x14ac:dyDescent="0.3">
      <c r="S57" s="4"/>
      <c r="T57" s="4"/>
      <c r="U57" s="4"/>
      <c r="V57" s="4"/>
      <c r="W57" s="4"/>
      <c r="X57" s="4"/>
      <c r="Y57" s="4"/>
      <c r="Z57" s="4"/>
    </row>
    <row r="58" spans="2:26" ht="16.05" customHeight="1" x14ac:dyDescent="0.3">
      <c r="S58" s="4"/>
      <c r="T58" s="4"/>
      <c r="U58" s="4"/>
      <c r="V58" s="4"/>
      <c r="W58" s="4"/>
      <c r="X58" s="4"/>
      <c r="Y58" s="4"/>
      <c r="Z58" s="4"/>
    </row>
    <row r="59" spans="2:26" ht="16.05" customHeight="1" x14ac:dyDescent="0.3">
      <c r="S59" s="4"/>
      <c r="T59" s="4"/>
      <c r="U59" s="4"/>
      <c r="V59" s="4"/>
      <c r="W59" s="4"/>
      <c r="X59" s="4"/>
      <c r="Y59" s="4"/>
      <c r="Z59" s="4"/>
    </row>
    <row r="60" spans="2:26" ht="16.05" customHeight="1" x14ac:dyDescent="0.3"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2:26" ht="16.05" customHeight="1" x14ac:dyDescent="0.3">
      <c r="S61" s="4"/>
      <c r="T61" s="4"/>
      <c r="U61" s="4"/>
      <c r="V61" s="4"/>
      <c r="W61" s="4"/>
      <c r="X61" s="4"/>
      <c r="Y61" s="4"/>
      <c r="Z61" s="4"/>
    </row>
    <row r="62" spans="2:26" ht="16.05" customHeight="1" x14ac:dyDescent="0.3">
      <c r="S62" s="4"/>
      <c r="T62" s="4"/>
      <c r="U62" s="4"/>
      <c r="V62" s="4"/>
      <c r="W62" s="4"/>
      <c r="X62" s="4"/>
      <c r="Y62" s="4"/>
      <c r="Z62" s="4"/>
    </row>
    <row r="63" spans="2:26" ht="16.05" customHeight="1" x14ac:dyDescent="0.3">
      <c r="S63" s="4"/>
      <c r="T63" s="4"/>
      <c r="U63" s="4"/>
      <c r="V63" s="4"/>
      <c r="W63" s="4"/>
      <c r="X63" s="4"/>
      <c r="Y63" s="4"/>
      <c r="Z63" s="4"/>
    </row>
    <row r="64" spans="2:26" ht="16.05" customHeight="1" x14ac:dyDescent="0.3"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7:26" ht="16.05" customHeight="1" x14ac:dyDescent="0.3">
      <c r="S65" s="4"/>
      <c r="T65" s="4"/>
      <c r="U65" s="4"/>
      <c r="V65" s="4"/>
      <c r="W65" s="4"/>
      <c r="X65" s="4"/>
      <c r="Y65" s="4"/>
      <c r="Z65" s="4"/>
    </row>
    <row r="66" spans="17:26" ht="16.05" customHeight="1" x14ac:dyDescent="0.3">
      <c r="S66" s="4"/>
      <c r="T66" s="4"/>
      <c r="U66" s="4"/>
      <c r="V66" s="4"/>
      <c r="W66" s="4"/>
      <c r="X66" s="4"/>
      <c r="Y66" s="4"/>
      <c r="Z66" s="4"/>
    </row>
    <row r="67" spans="17:26" ht="16.05" customHeight="1" x14ac:dyDescent="0.3">
      <c r="S67" s="4"/>
      <c r="T67" s="4"/>
      <c r="U67" s="4"/>
      <c r="V67" s="4"/>
      <c r="W67" s="4"/>
      <c r="X67" s="4"/>
      <c r="Y67" s="4"/>
      <c r="Z67" s="4"/>
    </row>
    <row r="68" spans="17:26" ht="16.05" customHeight="1" x14ac:dyDescent="0.3">
      <c r="S68" s="4"/>
      <c r="T68" s="4"/>
      <c r="U68" s="4"/>
      <c r="V68" s="4"/>
      <c r="W68" s="4"/>
      <c r="X68" s="4"/>
      <c r="Y68" s="4"/>
      <c r="Z68" s="4"/>
    </row>
    <row r="69" spans="17:26" ht="16.05" customHeight="1" x14ac:dyDescent="0.3">
      <c r="S69" s="4"/>
      <c r="T69" s="4"/>
      <c r="U69" s="4"/>
      <c r="V69" s="4"/>
      <c r="W69" s="4"/>
      <c r="X69" s="4"/>
      <c r="Y69" s="4"/>
      <c r="Z69" s="4"/>
    </row>
    <row r="70" spans="17:26" ht="16.05" customHeight="1" x14ac:dyDescent="0.3">
      <c r="S70" s="4"/>
      <c r="T70" s="4"/>
      <c r="U70" s="4"/>
      <c r="V70" s="4"/>
      <c r="W70" s="4"/>
      <c r="X70" s="4"/>
      <c r="Y70" s="4"/>
      <c r="Z70" s="4"/>
    </row>
    <row r="71" spans="17:26" ht="16.05" customHeight="1" x14ac:dyDescent="0.3">
      <c r="S71" s="4"/>
      <c r="T71" s="4"/>
      <c r="U71" s="4"/>
      <c r="V71" s="4"/>
      <c r="W71" s="4"/>
      <c r="X71" s="4"/>
      <c r="Y71" s="4"/>
      <c r="Z71" s="4"/>
    </row>
    <row r="72" spans="17:26" ht="16.05" customHeight="1" x14ac:dyDescent="0.3">
      <c r="S72" s="4"/>
      <c r="T72" s="4"/>
      <c r="U72" s="4"/>
      <c r="V72" s="4"/>
      <c r="W72" s="4"/>
      <c r="X72" s="4"/>
      <c r="Y72" s="4"/>
      <c r="Z72" s="4"/>
    </row>
    <row r="73" spans="17:26" ht="16.05" customHeight="1" x14ac:dyDescent="0.3">
      <c r="S73" s="4"/>
      <c r="T73" s="4"/>
      <c r="U73" s="4"/>
      <c r="V73" s="4"/>
      <c r="W73" s="4"/>
      <c r="X73" s="4"/>
      <c r="Y73" s="4"/>
      <c r="Z73" s="4"/>
    </row>
    <row r="74" spans="17:26" ht="16.05" customHeight="1" x14ac:dyDescent="0.3">
      <c r="Q74" s="31"/>
      <c r="R74" s="31"/>
      <c r="S74" s="31"/>
      <c r="T74" s="31"/>
      <c r="U74" s="31"/>
      <c r="V74" s="31"/>
      <c r="W74" s="31"/>
      <c r="X74" s="31"/>
      <c r="Y74" s="31"/>
      <c r="Z74" s="31"/>
    </row>
  </sheetData>
  <mergeCells count="1">
    <mergeCell ref="B2:XFD3"/>
  </mergeCells>
  <pageMargins left="0.7" right="0.7" top="0.75" bottom="0.75" header="0.3" footer="0.3"/>
  <pageSetup orientation="portrait" r:id="rId1"/>
  <ignoredErrors>
    <ignoredError sqref="M4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2025-11-06T04:15:08Z</dcterms:created>
  <dcterms:modified xsi:type="dcterms:W3CDTF">2026-03-12T03:19:02Z</dcterms:modified>
</cp:coreProperties>
</file>